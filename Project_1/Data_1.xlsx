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ohak\Downloads\"/>
    </mc:Choice>
  </mc:AlternateContent>
  <xr:revisionPtr revIDLastSave="0" documentId="13_ncr:1_{95FD0A25-D2DA-471D-BCDF-301016C249CE}" xr6:coauthVersionLast="47" xr6:coauthVersionMax="47" xr10:uidLastSave="{00000000-0000-0000-0000-000000000000}"/>
  <bookViews>
    <workbookView xWindow="-108" yWindow="-108" windowWidth="23256" windowHeight="12456" activeTab="4" xr2:uid="{00000000-000D-0000-FFFF-FFFF00000000}"/>
  </bookViews>
  <sheets>
    <sheet name="Uncleaned Data" sheetId="1" r:id="rId1"/>
    <sheet name="Data Quality" sheetId="3" r:id="rId2"/>
    <sheet name="Cleaned Data" sheetId="2" r:id="rId3"/>
    <sheet name="Pivot Analysis" sheetId="4" r:id="rId4"/>
    <sheet name="Charts" sheetId="6" r:id="rId5"/>
  </sheets>
  <definedNames>
    <definedName name="Slicer_Category">#N/A</definedName>
    <definedName name="Slicer_Month">#N/A</definedName>
    <definedName name="Slicer_Product">#N/A</definedName>
    <definedName name="Slicer_Product1">#N/A</definedName>
    <definedName name="Slicer_Store_Locat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6" l="1"/>
  <c r="AJ1601" i="2"/>
  <c r="AJ1600" i="2"/>
  <c r="AJ1599" i="2"/>
  <c r="AJ1598" i="2"/>
  <c r="AJ1597" i="2"/>
  <c r="AJ1596" i="2"/>
  <c r="AJ1595" i="2"/>
  <c r="AJ1594" i="2"/>
  <c r="AJ1593" i="2"/>
  <c r="AJ1592" i="2"/>
  <c r="AJ1591" i="2"/>
  <c r="AJ1590" i="2"/>
  <c r="AJ1589" i="2"/>
  <c r="AJ1588" i="2"/>
  <c r="AJ1587" i="2"/>
  <c r="AJ1586" i="2"/>
  <c r="AJ1585" i="2"/>
  <c r="AJ1584" i="2"/>
  <c r="AJ1583" i="2"/>
  <c r="AJ1582" i="2"/>
  <c r="AJ1581" i="2"/>
  <c r="AJ1580" i="2"/>
  <c r="AJ1579" i="2"/>
  <c r="AJ1578" i="2"/>
  <c r="AJ1577" i="2"/>
  <c r="AJ1576" i="2"/>
  <c r="AJ1575" i="2"/>
  <c r="AJ1574" i="2"/>
  <c r="AJ1573" i="2"/>
  <c r="AJ1572" i="2"/>
  <c r="AJ1571" i="2"/>
  <c r="AJ1570" i="2"/>
  <c r="AJ1569" i="2"/>
  <c r="AJ1568" i="2"/>
  <c r="AJ1567" i="2"/>
  <c r="AJ1566" i="2"/>
  <c r="AJ1565" i="2"/>
  <c r="AJ1564" i="2"/>
  <c r="AJ1563" i="2"/>
  <c r="AJ1562" i="2"/>
  <c r="AJ1561" i="2"/>
  <c r="AJ1560" i="2"/>
  <c r="AJ1559" i="2"/>
  <c r="AJ1558" i="2"/>
  <c r="AJ1557" i="2"/>
  <c r="AJ1556" i="2"/>
  <c r="AJ1555" i="2"/>
  <c r="AJ1554" i="2"/>
  <c r="AJ1553" i="2"/>
  <c r="AJ1552" i="2"/>
  <c r="AJ1551" i="2"/>
  <c r="AJ1550" i="2"/>
  <c r="AJ1549" i="2"/>
  <c r="AJ1548" i="2"/>
  <c r="AJ1547" i="2"/>
  <c r="AJ1546" i="2"/>
  <c r="AJ1545" i="2"/>
  <c r="AJ1544" i="2"/>
  <c r="AJ1543" i="2"/>
  <c r="AJ1542" i="2"/>
  <c r="AJ1541" i="2"/>
  <c r="AJ1540" i="2"/>
  <c r="AJ1539" i="2"/>
  <c r="AJ1538" i="2"/>
  <c r="AJ1537" i="2"/>
  <c r="AJ1536" i="2"/>
  <c r="AJ1535" i="2"/>
  <c r="AJ1534" i="2"/>
  <c r="AJ1533" i="2"/>
  <c r="AJ1532" i="2"/>
  <c r="AJ1531" i="2"/>
  <c r="AJ1530" i="2"/>
  <c r="AJ1529" i="2"/>
  <c r="AJ1528" i="2"/>
  <c r="AJ1527" i="2"/>
  <c r="AJ1526" i="2"/>
  <c r="AJ1525" i="2"/>
  <c r="AJ1524" i="2"/>
  <c r="AJ1523" i="2"/>
  <c r="AJ1522" i="2"/>
  <c r="AJ1521" i="2"/>
  <c r="AJ1520" i="2"/>
  <c r="AJ1519" i="2"/>
  <c r="AJ1518" i="2"/>
  <c r="AJ1517" i="2"/>
  <c r="AJ1516" i="2"/>
  <c r="AJ1515" i="2"/>
  <c r="AJ1514" i="2"/>
  <c r="AJ1513" i="2"/>
  <c r="AJ1512" i="2"/>
  <c r="AJ1511" i="2"/>
  <c r="AJ1510" i="2"/>
  <c r="AJ1509" i="2"/>
  <c r="AJ1508" i="2"/>
  <c r="AJ1507" i="2"/>
  <c r="AJ1506" i="2"/>
  <c r="AJ1505" i="2"/>
  <c r="AJ1504" i="2"/>
  <c r="AJ1503" i="2"/>
  <c r="AJ1502" i="2"/>
  <c r="AJ1501" i="2"/>
  <c r="AJ1500" i="2"/>
  <c r="AJ1499" i="2"/>
  <c r="AJ1498" i="2"/>
  <c r="AJ1497" i="2"/>
  <c r="AJ1496" i="2"/>
  <c r="AJ1495" i="2"/>
  <c r="AJ1494" i="2"/>
  <c r="AJ1493" i="2"/>
  <c r="AJ1492" i="2"/>
  <c r="AJ1491" i="2"/>
  <c r="AJ1490" i="2"/>
  <c r="AJ1489" i="2"/>
  <c r="AJ1488" i="2"/>
  <c r="AJ1487" i="2"/>
  <c r="AJ1486" i="2"/>
  <c r="AJ1485" i="2"/>
  <c r="AJ1484" i="2"/>
  <c r="AJ1483" i="2"/>
  <c r="AJ1482" i="2"/>
  <c r="AJ1481" i="2"/>
  <c r="AJ1480" i="2"/>
  <c r="AJ1479" i="2"/>
  <c r="AJ1478" i="2"/>
  <c r="AJ1477" i="2"/>
  <c r="AJ1476" i="2"/>
  <c r="AJ1475" i="2"/>
  <c r="AJ1474" i="2"/>
  <c r="AJ1473" i="2"/>
  <c r="AJ1472" i="2"/>
  <c r="AJ1471" i="2"/>
  <c r="AJ1470" i="2"/>
  <c r="AJ1469" i="2"/>
  <c r="AJ1468" i="2"/>
  <c r="AJ1467" i="2"/>
  <c r="AJ1466" i="2"/>
  <c r="AJ1465" i="2"/>
  <c r="AJ1464" i="2"/>
  <c r="AJ1463" i="2"/>
  <c r="AJ1462" i="2"/>
  <c r="AJ1461" i="2"/>
  <c r="AJ1460" i="2"/>
  <c r="AJ1459" i="2"/>
  <c r="AJ1458" i="2"/>
  <c r="AJ1457" i="2"/>
  <c r="AJ1456" i="2"/>
  <c r="AJ1455" i="2"/>
  <c r="AJ1454" i="2"/>
  <c r="AJ1453" i="2"/>
  <c r="AJ1452" i="2"/>
  <c r="AJ1451" i="2"/>
  <c r="AJ1450" i="2"/>
  <c r="AJ1449" i="2"/>
  <c r="AJ1448" i="2"/>
  <c r="AJ1447" i="2"/>
  <c r="AJ1446" i="2"/>
  <c r="AJ1445" i="2"/>
  <c r="AJ1444" i="2"/>
  <c r="AJ1443" i="2"/>
  <c r="AJ1442" i="2"/>
  <c r="AJ1441" i="2"/>
  <c r="AJ1440" i="2"/>
  <c r="AJ1439" i="2"/>
  <c r="AJ1438" i="2"/>
  <c r="AJ1437" i="2"/>
  <c r="AJ1436" i="2"/>
  <c r="AJ1435" i="2"/>
  <c r="AJ1434" i="2"/>
  <c r="AJ1433" i="2"/>
  <c r="AJ1432" i="2"/>
  <c r="AJ1431" i="2"/>
  <c r="AJ1430" i="2"/>
  <c r="AJ1429" i="2"/>
  <c r="AJ1428" i="2"/>
  <c r="AJ1427" i="2"/>
  <c r="AJ1426" i="2"/>
  <c r="AJ1425" i="2"/>
  <c r="AJ1424" i="2"/>
  <c r="AJ1423" i="2"/>
  <c r="AJ1422" i="2"/>
  <c r="AJ1421" i="2"/>
  <c r="AJ1420" i="2"/>
  <c r="AJ1419" i="2"/>
  <c r="AJ1418" i="2"/>
  <c r="AJ1417" i="2"/>
  <c r="AJ1416" i="2"/>
  <c r="AJ1415" i="2"/>
  <c r="AJ1414" i="2"/>
  <c r="AJ1413" i="2"/>
  <c r="AJ1412" i="2"/>
  <c r="AJ1411" i="2"/>
  <c r="AJ1410" i="2"/>
  <c r="AJ1409" i="2"/>
  <c r="AJ1408" i="2"/>
  <c r="AJ1407" i="2"/>
  <c r="AJ1406" i="2"/>
  <c r="AJ1405" i="2"/>
  <c r="AJ1404" i="2"/>
  <c r="AJ1403" i="2"/>
  <c r="AJ1402" i="2"/>
  <c r="AJ1401" i="2"/>
  <c r="AJ1400" i="2"/>
  <c r="AJ1399" i="2"/>
  <c r="AJ1398" i="2"/>
  <c r="AJ1397" i="2"/>
  <c r="AJ1396" i="2"/>
  <c r="AJ1395" i="2"/>
  <c r="AJ1394" i="2"/>
  <c r="AJ1393" i="2"/>
  <c r="AJ1392" i="2"/>
  <c r="AJ1391" i="2"/>
  <c r="AJ1390" i="2"/>
  <c r="AJ1389" i="2"/>
  <c r="AJ1388" i="2"/>
  <c r="AJ1387" i="2"/>
  <c r="AJ1386" i="2"/>
  <c r="AJ1385" i="2"/>
  <c r="AJ1384" i="2"/>
  <c r="AJ1383" i="2"/>
  <c r="AJ1382" i="2"/>
  <c r="AJ1381" i="2"/>
  <c r="AJ1380" i="2"/>
  <c r="AJ1379" i="2"/>
  <c r="AJ1378" i="2"/>
  <c r="AJ1377" i="2"/>
  <c r="AJ1376" i="2"/>
  <c r="AJ1375" i="2"/>
  <c r="AJ1374" i="2"/>
  <c r="AJ1373" i="2"/>
  <c r="AJ1372" i="2"/>
  <c r="AJ1371" i="2"/>
  <c r="AJ1370" i="2"/>
  <c r="AJ1369" i="2"/>
  <c r="AJ1368" i="2"/>
  <c r="AJ1367" i="2"/>
  <c r="AJ1366" i="2"/>
  <c r="AJ1365" i="2"/>
  <c r="AJ1364" i="2"/>
  <c r="AJ1363" i="2"/>
  <c r="AJ1362" i="2"/>
  <c r="AJ1361" i="2"/>
  <c r="AJ1360" i="2"/>
  <c r="AJ1359" i="2"/>
  <c r="AJ1358" i="2"/>
  <c r="AJ1357" i="2"/>
  <c r="AJ1356" i="2"/>
  <c r="AJ1355" i="2"/>
  <c r="AJ1354" i="2"/>
  <c r="AJ1353" i="2"/>
  <c r="AJ1352" i="2"/>
  <c r="AJ1351" i="2"/>
  <c r="AJ1350" i="2"/>
  <c r="AJ1349" i="2"/>
  <c r="AJ1348" i="2"/>
  <c r="AJ1347" i="2"/>
  <c r="AJ1346" i="2"/>
  <c r="AJ1345" i="2"/>
  <c r="AJ1344" i="2"/>
  <c r="AJ1343" i="2"/>
  <c r="AJ1342" i="2"/>
  <c r="AJ1341" i="2"/>
  <c r="AJ1340" i="2"/>
  <c r="AJ1339" i="2"/>
  <c r="AJ1338" i="2"/>
  <c r="AJ1337" i="2"/>
  <c r="AJ1336" i="2"/>
  <c r="AJ1335" i="2"/>
  <c r="AJ1334" i="2"/>
  <c r="AJ1333" i="2"/>
  <c r="AJ1332" i="2"/>
  <c r="AJ1331" i="2"/>
  <c r="AJ1330" i="2"/>
  <c r="AJ1329" i="2"/>
  <c r="AJ1328" i="2"/>
  <c r="AJ1327" i="2"/>
  <c r="AJ1326" i="2"/>
  <c r="AJ1325" i="2"/>
  <c r="AJ1324" i="2"/>
  <c r="AJ1323" i="2"/>
  <c r="AJ1322" i="2"/>
  <c r="AJ1321" i="2"/>
  <c r="AJ1320" i="2"/>
  <c r="AJ1319" i="2"/>
  <c r="AJ1318" i="2"/>
  <c r="AJ1317" i="2"/>
  <c r="AJ1316" i="2"/>
  <c r="AJ1315" i="2"/>
  <c r="AJ1314" i="2"/>
  <c r="AJ1313" i="2"/>
  <c r="AJ1312" i="2"/>
  <c r="AJ1311" i="2"/>
  <c r="AJ1310" i="2"/>
  <c r="AJ1309" i="2"/>
  <c r="AJ1308" i="2"/>
  <c r="AJ1307" i="2"/>
  <c r="AJ1306" i="2"/>
  <c r="AJ1305" i="2"/>
  <c r="AJ1304" i="2"/>
  <c r="AJ1303" i="2"/>
  <c r="AJ1302" i="2"/>
  <c r="AJ1301" i="2"/>
  <c r="AJ1300" i="2"/>
  <c r="AJ1299" i="2"/>
  <c r="AJ1298" i="2"/>
  <c r="AJ1297" i="2"/>
  <c r="AJ1296" i="2"/>
  <c r="AJ1295" i="2"/>
  <c r="AJ1294" i="2"/>
  <c r="AJ1293" i="2"/>
  <c r="AJ1292" i="2"/>
  <c r="AJ1291" i="2"/>
  <c r="AJ1290" i="2"/>
  <c r="AJ1289" i="2"/>
  <c r="AJ1288" i="2"/>
  <c r="AJ1287" i="2"/>
  <c r="AJ1286" i="2"/>
  <c r="AJ1285" i="2"/>
  <c r="AJ1284" i="2"/>
  <c r="AJ1283" i="2"/>
  <c r="AJ1282" i="2"/>
  <c r="AJ1281" i="2"/>
  <c r="AJ1280" i="2"/>
  <c r="AJ1279" i="2"/>
  <c r="AJ1278" i="2"/>
  <c r="AJ1277" i="2"/>
  <c r="AJ1276" i="2"/>
  <c r="AJ1275" i="2"/>
  <c r="AJ1274" i="2"/>
  <c r="AJ1273" i="2"/>
  <c r="AJ1272" i="2"/>
  <c r="AJ1271" i="2"/>
  <c r="AJ1270" i="2"/>
  <c r="AJ1269" i="2"/>
  <c r="AJ1268" i="2"/>
  <c r="AJ1267" i="2"/>
  <c r="AJ1266" i="2"/>
  <c r="AJ1265" i="2"/>
  <c r="AJ1264" i="2"/>
  <c r="AJ1263" i="2"/>
  <c r="AJ1262" i="2"/>
  <c r="AJ1261" i="2"/>
  <c r="AJ1260" i="2"/>
  <c r="AJ1259" i="2"/>
  <c r="AJ1258" i="2"/>
  <c r="AJ1257" i="2"/>
  <c r="AJ1256" i="2"/>
  <c r="AJ1255" i="2"/>
  <c r="AJ1254" i="2"/>
  <c r="AJ1253" i="2"/>
  <c r="AJ1252" i="2"/>
  <c r="AJ1251" i="2"/>
  <c r="AJ1250" i="2"/>
  <c r="AJ1249" i="2"/>
  <c r="AJ1248" i="2"/>
  <c r="AJ1247" i="2"/>
  <c r="AJ1246" i="2"/>
  <c r="AJ1245" i="2"/>
  <c r="AJ1244" i="2"/>
  <c r="AJ1243" i="2"/>
  <c r="AJ1242" i="2"/>
  <c r="AJ1241" i="2"/>
  <c r="AJ1240" i="2"/>
  <c r="AJ1239" i="2"/>
  <c r="AJ1238" i="2"/>
  <c r="AJ1237" i="2"/>
  <c r="AJ1236" i="2"/>
  <c r="AJ1235" i="2"/>
  <c r="AJ1234" i="2"/>
  <c r="AJ1233" i="2"/>
  <c r="AJ1232" i="2"/>
  <c r="AJ1231" i="2"/>
  <c r="AJ1230" i="2"/>
  <c r="AJ1229" i="2"/>
  <c r="AJ1228" i="2"/>
  <c r="AJ1227" i="2"/>
  <c r="AJ1226" i="2"/>
  <c r="AJ1225" i="2"/>
  <c r="AJ1224" i="2"/>
  <c r="AJ1223" i="2"/>
  <c r="AJ1222" i="2"/>
  <c r="AJ1221" i="2"/>
  <c r="AJ1220" i="2"/>
  <c r="AJ1219" i="2"/>
  <c r="AJ1218" i="2"/>
  <c r="AJ1217" i="2"/>
  <c r="AJ1216" i="2"/>
  <c r="AJ1215" i="2"/>
  <c r="AJ1214" i="2"/>
  <c r="AJ1213" i="2"/>
  <c r="AJ1212" i="2"/>
  <c r="AJ1211" i="2"/>
  <c r="AJ1210" i="2"/>
  <c r="AJ1209" i="2"/>
  <c r="AJ1208" i="2"/>
  <c r="AJ1207" i="2"/>
  <c r="AJ1206" i="2"/>
  <c r="AJ1205" i="2"/>
  <c r="AJ1204" i="2"/>
  <c r="AJ1203" i="2"/>
  <c r="AJ1202" i="2"/>
  <c r="AJ1201" i="2"/>
  <c r="AJ1200" i="2"/>
  <c r="AJ1199" i="2"/>
  <c r="AJ1198" i="2"/>
  <c r="AJ1197" i="2"/>
  <c r="AJ1196" i="2"/>
  <c r="AJ1195" i="2"/>
  <c r="AJ1194" i="2"/>
  <c r="AJ1193" i="2"/>
  <c r="AJ1192" i="2"/>
  <c r="AJ1191" i="2"/>
  <c r="AJ1190" i="2"/>
  <c r="AJ1189" i="2"/>
  <c r="AJ1188" i="2"/>
  <c r="AJ1187" i="2"/>
  <c r="AJ1186" i="2"/>
  <c r="AJ1185" i="2"/>
  <c r="AJ1184" i="2"/>
  <c r="AJ1183" i="2"/>
  <c r="AJ1182" i="2"/>
  <c r="AJ1181" i="2"/>
  <c r="AJ1180" i="2"/>
  <c r="AJ1179" i="2"/>
  <c r="AJ1178" i="2"/>
  <c r="AJ1177" i="2"/>
  <c r="AJ1176" i="2"/>
  <c r="AJ1175" i="2"/>
  <c r="AJ1174" i="2"/>
  <c r="AJ1173" i="2"/>
  <c r="AJ1172" i="2"/>
  <c r="AJ1171" i="2"/>
  <c r="AJ1170" i="2"/>
  <c r="AJ1169" i="2"/>
  <c r="AJ1168" i="2"/>
  <c r="AJ1167" i="2"/>
  <c r="AJ1166" i="2"/>
  <c r="AJ1165" i="2"/>
  <c r="AJ1164" i="2"/>
  <c r="AJ1163" i="2"/>
  <c r="AJ1162" i="2"/>
  <c r="AJ1161" i="2"/>
  <c r="AJ1160" i="2"/>
  <c r="AJ1159" i="2"/>
  <c r="AJ1158" i="2"/>
  <c r="AJ1157" i="2"/>
  <c r="AJ1156" i="2"/>
  <c r="AJ1155" i="2"/>
  <c r="AJ1154" i="2"/>
  <c r="AJ1153" i="2"/>
  <c r="AJ1152" i="2"/>
  <c r="AJ1151" i="2"/>
  <c r="AJ1150" i="2"/>
  <c r="AJ1149" i="2"/>
  <c r="AJ1148" i="2"/>
  <c r="AJ1147" i="2"/>
  <c r="AJ1146" i="2"/>
  <c r="AJ1145" i="2"/>
  <c r="AJ1144" i="2"/>
  <c r="AJ1143" i="2"/>
  <c r="AJ1142" i="2"/>
  <c r="AJ1141" i="2"/>
  <c r="AJ1140" i="2"/>
  <c r="AJ1139" i="2"/>
  <c r="AJ1138" i="2"/>
  <c r="AJ1137" i="2"/>
  <c r="AJ1136" i="2"/>
  <c r="AJ1135" i="2"/>
  <c r="AJ1134" i="2"/>
  <c r="AJ1133" i="2"/>
  <c r="AJ1132" i="2"/>
  <c r="AJ1131" i="2"/>
  <c r="AJ1130" i="2"/>
  <c r="AJ1129" i="2"/>
  <c r="AJ1128" i="2"/>
  <c r="AJ1127" i="2"/>
  <c r="AJ1126" i="2"/>
  <c r="AJ1125" i="2"/>
  <c r="AJ1124" i="2"/>
  <c r="AJ1123" i="2"/>
  <c r="AJ1122" i="2"/>
  <c r="AJ1121" i="2"/>
  <c r="AJ1120" i="2"/>
  <c r="AJ1119" i="2"/>
  <c r="AJ1118" i="2"/>
  <c r="AJ1117" i="2"/>
  <c r="AJ1116" i="2"/>
  <c r="AJ1115" i="2"/>
  <c r="AJ1114" i="2"/>
  <c r="AJ1113" i="2"/>
  <c r="AJ1112" i="2"/>
  <c r="AJ1111" i="2"/>
  <c r="AJ1110" i="2"/>
  <c r="AJ1109" i="2"/>
  <c r="AJ1108" i="2"/>
  <c r="AJ1107" i="2"/>
  <c r="AJ1106" i="2"/>
  <c r="AJ1105" i="2"/>
  <c r="AJ1104" i="2"/>
  <c r="AJ1103" i="2"/>
  <c r="AJ1102" i="2"/>
  <c r="AJ1101" i="2"/>
  <c r="AJ1100" i="2"/>
  <c r="AJ1099" i="2"/>
  <c r="AJ1098" i="2"/>
  <c r="AJ1097" i="2"/>
  <c r="AJ1096" i="2"/>
  <c r="AJ1095" i="2"/>
  <c r="AJ1094" i="2"/>
  <c r="AJ1093" i="2"/>
  <c r="AJ1092" i="2"/>
  <c r="AJ1091" i="2"/>
  <c r="AJ1090" i="2"/>
  <c r="AJ1089" i="2"/>
  <c r="AJ1088" i="2"/>
  <c r="AJ1087" i="2"/>
  <c r="AJ1086" i="2"/>
  <c r="AJ1085" i="2"/>
  <c r="AJ1084" i="2"/>
  <c r="AJ1083" i="2"/>
  <c r="AJ1082" i="2"/>
  <c r="AJ1081" i="2"/>
  <c r="AJ1080" i="2"/>
  <c r="AJ1079" i="2"/>
  <c r="AJ1078" i="2"/>
  <c r="AJ1077" i="2"/>
  <c r="AJ1076" i="2"/>
  <c r="AJ1075" i="2"/>
  <c r="AJ1074" i="2"/>
  <c r="AJ1073" i="2"/>
  <c r="AJ1072" i="2"/>
  <c r="AJ1071" i="2"/>
  <c r="AJ1070" i="2"/>
  <c r="AJ1069" i="2"/>
  <c r="AJ1068" i="2"/>
  <c r="AJ1067" i="2"/>
  <c r="AJ1066" i="2"/>
  <c r="AJ1065" i="2"/>
  <c r="AJ1064" i="2"/>
  <c r="AJ1063" i="2"/>
  <c r="AJ1062" i="2"/>
  <c r="AJ1061" i="2"/>
  <c r="AJ1060" i="2"/>
  <c r="AJ1059" i="2"/>
  <c r="AJ1058" i="2"/>
  <c r="AJ1057" i="2"/>
  <c r="AJ1056" i="2"/>
  <c r="AJ1055" i="2"/>
  <c r="AJ1054" i="2"/>
  <c r="AJ1053" i="2"/>
  <c r="AJ1052" i="2"/>
  <c r="AJ1051" i="2"/>
  <c r="AJ1050" i="2"/>
  <c r="AJ1049" i="2"/>
  <c r="AJ1048" i="2"/>
  <c r="AJ1047" i="2"/>
  <c r="AJ1046" i="2"/>
  <c r="AJ1045" i="2"/>
  <c r="AJ1044" i="2"/>
  <c r="AJ1043" i="2"/>
  <c r="AJ1042" i="2"/>
  <c r="AJ1041" i="2"/>
  <c r="AJ1040" i="2"/>
  <c r="AJ1039" i="2"/>
  <c r="AJ1038" i="2"/>
  <c r="AJ1037" i="2"/>
  <c r="AJ1036" i="2"/>
  <c r="AJ1035" i="2"/>
  <c r="AJ1034" i="2"/>
  <c r="AJ1033" i="2"/>
  <c r="AJ1032" i="2"/>
  <c r="AJ1031" i="2"/>
  <c r="AJ1030" i="2"/>
  <c r="AJ1029" i="2"/>
  <c r="AJ1028" i="2"/>
  <c r="AJ1027" i="2"/>
  <c r="AJ1026" i="2"/>
  <c r="AJ1025" i="2"/>
  <c r="AJ1024" i="2"/>
  <c r="AJ1023" i="2"/>
  <c r="AJ1022" i="2"/>
  <c r="AJ1021" i="2"/>
  <c r="AJ1020" i="2"/>
  <c r="AJ1019" i="2"/>
  <c r="AJ1018" i="2"/>
  <c r="AJ1017" i="2"/>
  <c r="AJ1016" i="2"/>
  <c r="AJ1015" i="2"/>
  <c r="AJ1014" i="2"/>
  <c r="AJ1013" i="2"/>
  <c r="AJ1012" i="2"/>
  <c r="AJ1011" i="2"/>
  <c r="AJ1010" i="2"/>
  <c r="AJ1009" i="2"/>
  <c r="AJ1008" i="2"/>
  <c r="AJ1007" i="2"/>
  <c r="AJ1006" i="2"/>
  <c r="AJ1005" i="2"/>
  <c r="AJ1004" i="2"/>
  <c r="AJ1003" i="2"/>
  <c r="AJ1002" i="2"/>
  <c r="AJ1001" i="2"/>
  <c r="AJ1000" i="2"/>
  <c r="AJ999" i="2"/>
  <c r="AJ998" i="2"/>
  <c r="AJ997" i="2"/>
  <c r="AJ996" i="2"/>
  <c r="AJ995" i="2"/>
  <c r="AJ994" i="2"/>
  <c r="AJ993" i="2"/>
  <c r="AJ992" i="2"/>
  <c r="AJ991" i="2"/>
  <c r="AJ990" i="2"/>
  <c r="AJ989" i="2"/>
  <c r="AJ988" i="2"/>
  <c r="AJ987" i="2"/>
  <c r="AJ986" i="2"/>
  <c r="AJ985" i="2"/>
  <c r="AJ984" i="2"/>
  <c r="AJ983" i="2"/>
  <c r="AJ982" i="2"/>
  <c r="AJ981" i="2"/>
  <c r="AJ980" i="2"/>
  <c r="AJ979" i="2"/>
  <c r="AJ978" i="2"/>
  <c r="AJ977" i="2"/>
  <c r="AJ976" i="2"/>
  <c r="AJ975" i="2"/>
  <c r="AJ974" i="2"/>
  <c r="AJ973" i="2"/>
  <c r="AJ972" i="2"/>
  <c r="AJ971" i="2"/>
  <c r="AJ970" i="2"/>
  <c r="AJ969" i="2"/>
  <c r="AJ968" i="2"/>
  <c r="AJ967" i="2"/>
  <c r="AJ966" i="2"/>
  <c r="AJ965" i="2"/>
  <c r="AJ964" i="2"/>
  <c r="AJ963" i="2"/>
  <c r="AJ962" i="2"/>
  <c r="AJ961" i="2"/>
  <c r="AJ960" i="2"/>
  <c r="AJ959" i="2"/>
  <c r="AJ958" i="2"/>
  <c r="AJ957" i="2"/>
  <c r="AJ956" i="2"/>
  <c r="AJ955" i="2"/>
  <c r="AJ954" i="2"/>
  <c r="AJ953" i="2"/>
  <c r="AJ952" i="2"/>
  <c r="AJ951" i="2"/>
  <c r="AJ950" i="2"/>
  <c r="AJ949" i="2"/>
  <c r="AJ948" i="2"/>
  <c r="AJ947" i="2"/>
  <c r="AJ946" i="2"/>
  <c r="AJ945" i="2"/>
  <c r="AJ944" i="2"/>
  <c r="AJ943" i="2"/>
  <c r="AJ942" i="2"/>
  <c r="AJ941" i="2"/>
  <c r="AJ940" i="2"/>
  <c r="AJ939" i="2"/>
  <c r="AJ938" i="2"/>
  <c r="AJ937" i="2"/>
  <c r="AJ936" i="2"/>
  <c r="AJ935" i="2"/>
  <c r="AJ934" i="2"/>
  <c r="AJ933" i="2"/>
  <c r="AJ932" i="2"/>
  <c r="AJ931" i="2"/>
  <c r="AJ930" i="2"/>
  <c r="AJ929" i="2"/>
  <c r="AJ928" i="2"/>
  <c r="AJ927" i="2"/>
  <c r="AJ926" i="2"/>
  <c r="AJ925" i="2"/>
  <c r="AJ924" i="2"/>
  <c r="AJ923" i="2"/>
  <c r="AJ922" i="2"/>
  <c r="AJ921" i="2"/>
  <c r="AJ920" i="2"/>
  <c r="AJ919" i="2"/>
  <c r="AJ918" i="2"/>
  <c r="AJ917" i="2"/>
  <c r="AJ916" i="2"/>
  <c r="AJ915" i="2"/>
  <c r="AJ914" i="2"/>
  <c r="AJ913" i="2"/>
  <c r="AJ912" i="2"/>
  <c r="AJ911" i="2"/>
  <c r="AJ910" i="2"/>
  <c r="AJ909" i="2"/>
  <c r="AJ908" i="2"/>
  <c r="AJ907" i="2"/>
  <c r="AJ906" i="2"/>
  <c r="AJ905" i="2"/>
  <c r="AJ904" i="2"/>
  <c r="AJ903" i="2"/>
  <c r="AJ902" i="2"/>
  <c r="AJ901" i="2"/>
  <c r="AJ900" i="2"/>
  <c r="AJ899" i="2"/>
  <c r="AJ898" i="2"/>
  <c r="AJ897" i="2"/>
  <c r="AJ896" i="2"/>
  <c r="AJ895" i="2"/>
  <c r="AJ894" i="2"/>
  <c r="AJ893" i="2"/>
  <c r="AJ892" i="2"/>
  <c r="AJ891" i="2"/>
  <c r="AJ890" i="2"/>
  <c r="AJ889" i="2"/>
  <c r="AJ888" i="2"/>
  <c r="AJ887" i="2"/>
  <c r="AJ886" i="2"/>
  <c r="AJ885" i="2"/>
  <c r="AJ884" i="2"/>
  <c r="AJ883" i="2"/>
  <c r="AJ882" i="2"/>
  <c r="AJ881" i="2"/>
  <c r="AJ880" i="2"/>
  <c r="AJ879" i="2"/>
  <c r="AJ878" i="2"/>
  <c r="AJ877" i="2"/>
  <c r="AJ876" i="2"/>
  <c r="AJ875" i="2"/>
  <c r="AJ874" i="2"/>
  <c r="AJ873" i="2"/>
  <c r="AJ872" i="2"/>
  <c r="AJ871" i="2"/>
  <c r="AJ870" i="2"/>
  <c r="AJ869" i="2"/>
  <c r="AJ868" i="2"/>
  <c r="AJ867" i="2"/>
  <c r="AJ866" i="2"/>
  <c r="AJ865" i="2"/>
  <c r="AJ864" i="2"/>
  <c r="AJ863" i="2"/>
  <c r="AJ862" i="2"/>
  <c r="AJ861" i="2"/>
  <c r="AJ860" i="2"/>
  <c r="AJ859" i="2"/>
  <c r="AJ858" i="2"/>
  <c r="AJ857" i="2"/>
  <c r="AJ856" i="2"/>
  <c r="AJ855" i="2"/>
  <c r="AJ854" i="2"/>
  <c r="AJ853" i="2"/>
  <c r="AJ852" i="2"/>
  <c r="AJ851" i="2"/>
  <c r="AJ850" i="2"/>
  <c r="AJ849" i="2"/>
  <c r="AJ848" i="2"/>
  <c r="AJ847" i="2"/>
  <c r="AJ846" i="2"/>
  <c r="AJ845" i="2"/>
  <c r="AJ844" i="2"/>
  <c r="AJ843" i="2"/>
  <c r="AJ842" i="2"/>
  <c r="AJ841" i="2"/>
  <c r="AJ840" i="2"/>
  <c r="AJ839" i="2"/>
  <c r="AJ838" i="2"/>
  <c r="AJ837" i="2"/>
  <c r="AJ836" i="2"/>
  <c r="AJ835" i="2"/>
  <c r="AJ834" i="2"/>
  <c r="AJ833" i="2"/>
  <c r="AJ832" i="2"/>
  <c r="AJ831" i="2"/>
  <c r="AJ830" i="2"/>
  <c r="AJ829" i="2"/>
  <c r="AJ828" i="2"/>
  <c r="AJ827" i="2"/>
  <c r="AJ826" i="2"/>
  <c r="AJ825" i="2"/>
  <c r="AJ824" i="2"/>
  <c r="AJ823" i="2"/>
  <c r="AJ822" i="2"/>
  <c r="AJ821" i="2"/>
  <c r="AJ820" i="2"/>
  <c r="AJ819" i="2"/>
  <c r="AJ818" i="2"/>
  <c r="AJ817" i="2"/>
  <c r="AJ816" i="2"/>
  <c r="AJ815" i="2"/>
  <c r="AJ814" i="2"/>
  <c r="AJ813" i="2"/>
  <c r="AJ812" i="2"/>
  <c r="AJ811" i="2"/>
  <c r="AJ810" i="2"/>
  <c r="AJ809" i="2"/>
  <c r="AJ808" i="2"/>
  <c r="AJ807" i="2"/>
  <c r="AJ806" i="2"/>
  <c r="AJ805" i="2"/>
  <c r="AJ804" i="2"/>
  <c r="AJ803" i="2"/>
  <c r="AJ802" i="2"/>
  <c r="AJ801" i="2"/>
  <c r="AJ800" i="2"/>
  <c r="AJ799" i="2"/>
  <c r="AJ798" i="2"/>
  <c r="AJ797" i="2"/>
  <c r="AJ796" i="2"/>
  <c r="AJ795" i="2"/>
  <c r="AJ794" i="2"/>
  <c r="AJ793" i="2"/>
  <c r="AJ792" i="2"/>
  <c r="AJ791" i="2"/>
  <c r="AJ790" i="2"/>
  <c r="AJ789" i="2"/>
  <c r="AJ788" i="2"/>
  <c r="AJ787" i="2"/>
  <c r="AJ786" i="2"/>
  <c r="AJ785" i="2"/>
  <c r="AJ784" i="2"/>
  <c r="AJ783" i="2"/>
  <c r="AJ782" i="2"/>
  <c r="AJ781" i="2"/>
  <c r="AJ780" i="2"/>
  <c r="AJ779" i="2"/>
  <c r="AJ778" i="2"/>
  <c r="AJ777" i="2"/>
  <c r="AJ776" i="2"/>
  <c r="AJ775" i="2"/>
  <c r="AJ774" i="2"/>
  <c r="AJ773" i="2"/>
  <c r="AJ772" i="2"/>
  <c r="AJ771" i="2"/>
  <c r="AJ770" i="2"/>
  <c r="AJ769" i="2"/>
  <c r="AJ768" i="2"/>
  <c r="AJ767" i="2"/>
  <c r="AJ766" i="2"/>
  <c r="AJ765" i="2"/>
  <c r="AJ764" i="2"/>
  <c r="AJ763" i="2"/>
  <c r="AJ762" i="2"/>
  <c r="AJ761" i="2"/>
  <c r="AJ760" i="2"/>
  <c r="AJ759" i="2"/>
  <c r="AJ758" i="2"/>
  <c r="AJ757" i="2"/>
  <c r="AJ756" i="2"/>
  <c r="AJ755" i="2"/>
  <c r="AJ754" i="2"/>
  <c r="AJ753" i="2"/>
  <c r="AJ752" i="2"/>
  <c r="AJ751" i="2"/>
  <c r="AJ750" i="2"/>
  <c r="AJ749" i="2"/>
  <c r="AJ748" i="2"/>
  <c r="AJ747" i="2"/>
  <c r="AJ746" i="2"/>
  <c r="AJ745" i="2"/>
  <c r="AJ744" i="2"/>
  <c r="AJ743" i="2"/>
  <c r="AJ742" i="2"/>
  <c r="AJ741" i="2"/>
  <c r="AJ740" i="2"/>
  <c r="AJ739" i="2"/>
  <c r="AJ738" i="2"/>
  <c r="AJ737" i="2"/>
  <c r="AJ736" i="2"/>
  <c r="AJ735" i="2"/>
  <c r="AJ734" i="2"/>
  <c r="AJ733" i="2"/>
  <c r="AJ732" i="2"/>
  <c r="AJ731" i="2"/>
  <c r="AJ730" i="2"/>
  <c r="AJ729" i="2"/>
  <c r="AJ728" i="2"/>
  <c r="AJ727" i="2"/>
  <c r="AJ726" i="2"/>
  <c r="AJ725" i="2"/>
  <c r="AJ724" i="2"/>
  <c r="AJ723" i="2"/>
  <c r="AJ722" i="2"/>
  <c r="AJ721" i="2"/>
  <c r="AJ720" i="2"/>
  <c r="AJ719" i="2"/>
  <c r="AJ718" i="2"/>
  <c r="AJ717" i="2"/>
  <c r="AJ716" i="2"/>
  <c r="AJ715" i="2"/>
  <c r="AJ714" i="2"/>
  <c r="AJ713" i="2"/>
  <c r="AJ712" i="2"/>
  <c r="AJ711" i="2"/>
  <c r="AJ710" i="2"/>
  <c r="AJ709" i="2"/>
  <c r="AJ708" i="2"/>
  <c r="AJ707" i="2"/>
  <c r="AJ706" i="2"/>
  <c r="AJ705" i="2"/>
  <c r="AJ704" i="2"/>
  <c r="AJ703" i="2"/>
  <c r="AJ702" i="2"/>
  <c r="AJ701" i="2"/>
  <c r="AJ700" i="2"/>
  <c r="AJ699" i="2"/>
  <c r="AJ698" i="2"/>
  <c r="AJ697" i="2"/>
  <c r="AJ696" i="2"/>
  <c r="AJ695" i="2"/>
  <c r="AJ694" i="2"/>
  <c r="AJ693" i="2"/>
  <c r="AJ692" i="2"/>
  <c r="AJ691" i="2"/>
  <c r="AJ690" i="2"/>
  <c r="AJ689" i="2"/>
  <c r="AJ688" i="2"/>
  <c r="AJ687" i="2"/>
  <c r="AJ686" i="2"/>
  <c r="AJ685" i="2"/>
  <c r="AJ684" i="2"/>
  <c r="AJ683" i="2"/>
  <c r="AJ682" i="2"/>
  <c r="AJ681" i="2"/>
  <c r="AJ680" i="2"/>
  <c r="AJ679" i="2"/>
  <c r="AJ678" i="2"/>
  <c r="AJ677" i="2"/>
  <c r="AJ676" i="2"/>
  <c r="AJ675" i="2"/>
  <c r="AJ674" i="2"/>
  <c r="AJ673" i="2"/>
  <c r="AJ672" i="2"/>
  <c r="AJ671" i="2"/>
  <c r="AJ670" i="2"/>
  <c r="AJ669" i="2"/>
  <c r="AJ668" i="2"/>
  <c r="AJ667" i="2"/>
  <c r="AJ666" i="2"/>
  <c r="AJ665" i="2"/>
  <c r="AJ664" i="2"/>
  <c r="AJ663" i="2"/>
  <c r="AJ662" i="2"/>
  <c r="AJ661" i="2"/>
  <c r="AJ660" i="2"/>
  <c r="AJ659" i="2"/>
  <c r="AJ658" i="2"/>
  <c r="AJ657" i="2"/>
  <c r="AJ656" i="2"/>
  <c r="AJ655" i="2"/>
  <c r="AJ654" i="2"/>
  <c r="AJ653" i="2"/>
  <c r="AJ652" i="2"/>
  <c r="AJ651" i="2"/>
  <c r="AJ650" i="2"/>
  <c r="AJ649" i="2"/>
  <c r="AJ648" i="2"/>
  <c r="AJ647" i="2"/>
  <c r="AJ646" i="2"/>
  <c r="AJ645" i="2"/>
  <c r="AJ644" i="2"/>
  <c r="AJ643" i="2"/>
  <c r="AJ642" i="2"/>
  <c r="AJ641" i="2"/>
  <c r="AJ640" i="2"/>
  <c r="AJ639" i="2"/>
  <c r="AJ638" i="2"/>
  <c r="AJ637" i="2"/>
  <c r="AJ636" i="2"/>
  <c r="AJ635" i="2"/>
  <c r="AJ634" i="2"/>
  <c r="AJ633" i="2"/>
  <c r="AJ632" i="2"/>
  <c r="AJ631" i="2"/>
  <c r="AJ630" i="2"/>
  <c r="AJ629" i="2"/>
  <c r="AJ628" i="2"/>
  <c r="AJ627" i="2"/>
  <c r="AJ626" i="2"/>
  <c r="AJ625" i="2"/>
  <c r="AJ624" i="2"/>
  <c r="AJ623" i="2"/>
  <c r="AJ622" i="2"/>
  <c r="AJ621" i="2"/>
  <c r="AJ620" i="2"/>
  <c r="AJ619" i="2"/>
  <c r="AJ618" i="2"/>
  <c r="AJ617" i="2"/>
  <c r="AJ616" i="2"/>
  <c r="AJ615" i="2"/>
  <c r="AJ614" i="2"/>
  <c r="AJ613" i="2"/>
  <c r="AJ612" i="2"/>
  <c r="AJ611" i="2"/>
  <c r="AJ610" i="2"/>
  <c r="AJ609" i="2"/>
  <c r="AJ608" i="2"/>
  <c r="AJ607" i="2"/>
  <c r="AJ606" i="2"/>
  <c r="AJ605" i="2"/>
  <c r="AJ604" i="2"/>
  <c r="AJ603" i="2"/>
  <c r="AJ602" i="2"/>
  <c r="AJ601" i="2"/>
  <c r="AJ600" i="2"/>
  <c r="AJ599" i="2"/>
  <c r="AJ598" i="2"/>
  <c r="AJ597" i="2"/>
  <c r="AJ596" i="2"/>
  <c r="AJ595" i="2"/>
  <c r="AJ594" i="2"/>
  <c r="AJ593" i="2"/>
  <c r="AJ592" i="2"/>
  <c r="AJ591" i="2"/>
  <c r="AJ590" i="2"/>
  <c r="AJ589" i="2"/>
  <c r="AJ588" i="2"/>
  <c r="AJ587" i="2"/>
  <c r="AJ586" i="2"/>
  <c r="AJ585" i="2"/>
  <c r="AJ584" i="2"/>
  <c r="AJ583" i="2"/>
  <c r="AJ582" i="2"/>
  <c r="AJ581" i="2"/>
  <c r="AJ580" i="2"/>
  <c r="AJ579" i="2"/>
  <c r="AJ578" i="2"/>
  <c r="AJ577" i="2"/>
  <c r="AJ576" i="2"/>
  <c r="AJ575" i="2"/>
  <c r="AJ574" i="2"/>
  <c r="AJ573" i="2"/>
  <c r="AJ572" i="2"/>
  <c r="AJ571" i="2"/>
  <c r="AJ570" i="2"/>
  <c r="AJ569" i="2"/>
  <c r="AJ568" i="2"/>
  <c r="AJ567" i="2"/>
  <c r="AJ566" i="2"/>
  <c r="AJ565" i="2"/>
  <c r="AJ564" i="2"/>
  <c r="AJ563" i="2"/>
  <c r="AJ562" i="2"/>
  <c r="AJ561" i="2"/>
  <c r="AJ560" i="2"/>
  <c r="AJ559" i="2"/>
  <c r="AJ558" i="2"/>
  <c r="AJ557" i="2"/>
  <c r="AJ556" i="2"/>
  <c r="AJ555" i="2"/>
  <c r="AJ554" i="2"/>
  <c r="AJ553" i="2"/>
  <c r="AJ552" i="2"/>
  <c r="AJ551" i="2"/>
  <c r="AJ550" i="2"/>
  <c r="AJ549" i="2"/>
  <c r="AJ548" i="2"/>
  <c r="AJ547" i="2"/>
  <c r="AJ546" i="2"/>
  <c r="AJ545" i="2"/>
  <c r="AJ544" i="2"/>
  <c r="AJ543" i="2"/>
  <c r="AJ542" i="2"/>
  <c r="AJ541" i="2"/>
  <c r="AJ540" i="2"/>
  <c r="AJ539" i="2"/>
  <c r="AJ538" i="2"/>
  <c r="AJ537" i="2"/>
  <c r="AJ536" i="2"/>
  <c r="AJ535" i="2"/>
  <c r="AJ534" i="2"/>
  <c r="AJ533" i="2"/>
  <c r="AJ532" i="2"/>
  <c r="AJ531" i="2"/>
  <c r="AJ530" i="2"/>
  <c r="AJ529" i="2"/>
  <c r="AJ528" i="2"/>
  <c r="AJ527" i="2"/>
  <c r="AJ526" i="2"/>
  <c r="AJ525" i="2"/>
  <c r="AJ524" i="2"/>
  <c r="AJ523" i="2"/>
  <c r="AJ522" i="2"/>
  <c r="AJ521" i="2"/>
  <c r="AJ520" i="2"/>
  <c r="AJ519" i="2"/>
  <c r="AJ518" i="2"/>
  <c r="AJ517" i="2"/>
  <c r="AJ516" i="2"/>
  <c r="AJ515" i="2"/>
  <c r="AJ514" i="2"/>
  <c r="AJ513" i="2"/>
  <c r="AJ512" i="2"/>
  <c r="AJ511" i="2"/>
  <c r="AJ510" i="2"/>
  <c r="AJ509" i="2"/>
  <c r="AJ508" i="2"/>
  <c r="AJ507" i="2"/>
  <c r="AJ506" i="2"/>
  <c r="AJ505" i="2"/>
  <c r="AJ504" i="2"/>
  <c r="AJ503" i="2"/>
  <c r="AJ502" i="2"/>
  <c r="AJ501" i="2"/>
  <c r="AJ500" i="2"/>
  <c r="AJ499" i="2"/>
  <c r="AJ498" i="2"/>
  <c r="AJ497" i="2"/>
  <c r="AJ496" i="2"/>
  <c r="AJ495" i="2"/>
  <c r="AJ494" i="2"/>
  <c r="AJ493" i="2"/>
  <c r="AJ492" i="2"/>
  <c r="AJ491" i="2"/>
  <c r="AJ490" i="2"/>
  <c r="AJ489" i="2"/>
  <c r="AJ488" i="2"/>
  <c r="AJ487" i="2"/>
  <c r="AJ486" i="2"/>
  <c r="AJ485" i="2"/>
  <c r="AJ484" i="2"/>
  <c r="AJ483" i="2"/>
  <c r="AJ482" i="2"/>
  <c r="AJ481" i="2"/>
  <c r="AJ480" i="2"/>
  <c r="AJ479" i="2"/>
  <c r="AJ478" i="2"/>
  <c r="AJ477" i="2"/>
  <c r="AJ476" i="2"/>
  <c r="AJ475" i="2"/>
  <c r="AJ474" i="2"/>
  <c r="AJ473" i="2"/>
  <c r="AJ472" i="2"/>
  <c r="AJ471" i="2"/>
  <c r="AJ470" i="2"/>
  <c r="AJ469" i="2"/>
  <c r="AJ468" i="2"/>
  <c r="AJ467" i="2"/>
  <c r="AJ466" i="2"/>
  <c r="AJ465" i="2"/>
  <c r="AJ464" i="2"/>
  <c r="AJ463" i="2"/>
  <c r="AJ462" i="2"/>
  <c r="AJ461" i="2"/>
  <c r="AJ460" i="2"/>
  <c r="AJ459" i="2"/>
  <c r="AJ458" i="2"/>
  <c r="AJ457" i="2"/>
  <c r="AJ456" i="2"/>
  <c r="AJ455" i="2"/>
  <c r="AJ454" i="2"/>
  <c r="AJ453" i="2"/>
  <c r="AJ452" i="2"/>
  <c r="AJ451" i="2"/>
  <c r="AJ450" i="2"/>
  <c r="AJ449" i="2"/>
  <c r="AJ448" i="2"/>
  <c r="AJ447" i="2"/>
  <c r="AJ446" i="2"/>
  <c r="AJ445" i="2"/>
  <c r="AJ444" i="2"/>
  <c r="AJ443" i="2"/>
  <c r="AJ442" i="2"/>
  <c r="AJ441" i="2"/>
  <c r="AJ440" i="2"/>
  <c r="AJ439" i="2"/>
  <c r="AJ438" i="2"/>
  <c r="AJ437" i="2"/>
  <c r="AJ436" i="2"/>
  <c r="AJ435" i="2"/>
  <c r="AJ434" i="2"/>
  <c r="AJ433" i="2"/>
  <c r="AJ432" i="2"/>
  <c r="AJ431" i="2"/>
  <c r="AJ430" i="2"/>
  <c r="AJ429" i="2"/>
  <c r="AJ428" i="2"/>
  <c r="AJ427" i="2"/>
  <c r="AJ426" i="2"/>
  <c r="AJ425" i="2"/>
  <c r="AJ424" i="2"/>
  <c r="AJ423" i="2"/>
  <c r="AJ422" i="2"/>
  <c r="AJ421" i="2"/>
  <c r="AJ420" i="2"/>
  <c r="AJ419" i="2"/>
  <c r="AJ418" i="2"/>
  <c r="AJ417" i="2"/>
  <c r="AJ416" i="2"/>
  <c r="AJ415" i="2"/>
  <c r="AJ414" i="2"/>
  <c r="AJ413" i="2"/>
  <c r="AJ412" i="2"/>
  <c r="AJ411" i="2"/>
  <c r="AJ410" i="2"/>
  <c r="AJ409" i="2"/>
  <c r="AJ408" i="2"/>
  <c r="AJ407" i="2"/>
  <c r="AJ406" i="2"/>
  <c r="AJ405" i="2"/>
  <c r="AJ404" i="2"/>
  <c r="AJ403" i="2"/>
  <c r="AJ402" i="2"/>
  <c r="AJ401" i="2"/>
  <c r="AJ400" i="2"/>
  <c r="AJ399" i="2"/>
  <c r="AJ398" i="2"/>
  <c r="AJ397" i="2"/>
  <c r="AJ396" i="2"/>
  <c r="AJ395" i="2"/>
  <c r="AJ394" i="2"/>
  <c r="AJ393" i="2"/>
  <c r="AJ392" i="2"/>
  <c r="AJ391" i="2"/>
  <c r="AJ390" i="2"/>
  <c r="AJ389" i="2"/>
  <c r="AJ388" i="2"/>
  <c r="AJ387" i="2"/>
  <c r="AJ386" i="2"/>
  <c r="AJ385" i="2"/>
  <c r="AJ384" i="2"/>
  <c r="AJ383" i="2"/>
  <c r="AJ382" i="2"/>
  <c r="AJ381" i="2"/>
  <c r="AJ380" i="2"/>
  <c r="AJ379" i="2"/>
  <c r="AJ378" i="2"/>
  <c r="AJ377" i="2"/>
  <c r="AJ376" i="2"/>
  <c r="AJ375" i="2"/>
  <c r="AJ374" i="2"/>
  <c r="AJ373" i="2"/>
  <c r="AJ372" i="2"/>
  <c r="AJ371" i="2"/>
  <c r="AJ370" i="2"/>
  <c r="AJ369" i="2"/>
  <c r="AJ368" i="2"/>
  <c r="AJ367" i="2"/>
  <c r="AJ366" i="2"/>
  <c r="AJ365" i="2"/>
  <c r="AJ364" i="2"/>
  <c r="AJ363" i="2"/>
  <c r="AJ362" i="2"/>
  <c r="AJ361" i="2"/>
  <c r="AJ360" i="2"/>
  <c r="AJ359" i="2"/>
  <c r="AJ358" i="2"/>
  <c r="AJ357" i="2"/>
  <c r="AJ356" i="2"/>
  <c r="AJ355" i="2"/>
  <c r="AJ354" i="2"/>
  <c r="AJ353" i="2"/>
  <c r="AJ352" i="2"/>
  <c r="AJ351" i="2"/>
  <c r="AJ350" i="2"/>
  <c r="AJ349" i="2"/>
  <c r="AJ348" i="2"/>
  <c r="AJ347" i="2"/>
  <c r="AJ346" i="2"/>
  <c r="AJ345" i="2"/>
  <c r="AJ344" i="2"/>
  <c r="AJ343" i="2"/>
  <c r="AJ342" i="2"/>
  <c r="AJ341" i="2"/>
  <c r="AJ340" i="2"/>
  <c r="AJ339" i="2"/>
  <c r="AJ338" i="2"/>
  <c r="AJ337" i="2"/>
  <c r="AJ336" i="2"/>
  <c r="AJ335" i="2"/>
  <c r="AJ334" i="2"/>
  <c r="AJ333" i="2"/>
  <c r="AJ332" i="2"/>
  <c r="AJ331" i="2"/>
  <c r="AJ330" i="2"/>
  <c r="AJ329" i="2"/>
  <c r="AJ328" i="2"/>
  <c r="AJ327" i="2"/>
  <c r="AJ326" i="2"/>
  <c r="AJ325" i="2"/>
  <c r="AJ324" i="2"/>
  <c r="AJ323" i="2"/>
  <c r="AJ322" i="2"/>
  <c r="AJ321" i="2"/>
  <c r="AJ320" i="2"/>
  <c r="AJ319" i="2"/>
  <c r="AJ318" i="2"/>
  <c r="AJ317" i="2"/>
  <c r="AJ316" i="2"/>
  <c r="AJ315" i="2"/>
  <c r="AJ314" i="2"/>
  <c r="AJ313" i="2"/>
  <c r="AJ312" i="2"/>
  <c r="AJ311" i="2"/>
  <c r="AJ310" i="2"/>
  <c r="AJ309" i="2"/>
  <c r="AJ308" i="2"/>
  <c r="AJ307" i="2"/>
  <c r="AJ306" i="2"/>
  <c r="AJ305" i="2"/>
  <c r="AJ304" i="2"/>
  <c r="AJ303" i="2"/>
  <c r="AJ302" i="2"/>
  <c r="AJ301" i="2"/>
  <c r="AJ300" i="2"/>
  <c r="AJ299" i="2"/>
  <c r="AJ298" i="2"/>
  <c r="AJ297" i="2"/>
  <c r="AJ296" i="2"/>
  <c r="AJ295" i="2"/>
  <c r="AJ294" i="2"/>
  <c r="AJ293" i="2"/>
  <c r="AJ292" i="2"/>
  <c r="AJ291" i="2"/>
  <c r="AJ290" i="2"/>
  <c r="AJ289" i="2"/>
  <c r="AJ288" i="2"/>
  <c r="AJ287" i="2"/>
  <c r="AJ286" i="2"/>
  <c r="AJ285" i="2"/>
  <c r="AJ284" i="2"/>
  <c r="AJ283" i="2"/>
  <c r="AJ282" i="2"/>
  <c r="AJ281" i="2"/>
  <c r="AJ280" i="2"/>
  <c r="AJ279" i="2"/>
  <c r="AJ278" i="2"/>
  <c r="AJ277" i="2"/>
  <c r="AJ276" i="2"/>
  <c r="AJ275" i="2"/>
  <c r="AJ274" i="2"/>
  <c r="AJ273" i="2"/>
  <c r="AJ272" i="2"/>
  <c r="AJ271" i="2"/>
  <c r="AJ270" i="2"/>
  <c r="AJ269" i="2"/>
  <c r="AJ268" i="2"/>
  <c r="AJ267" i="2"/>
  <c r="AJ266" i="2"/>
  <c r="AJ265" i="2"/>
  <c r="AJ264" i="2"/>
  <c r="AJ263" i="2"/>
  <c r="AJ262" i="2"/>
  <c r="AJ261" i="2"/>
  <c r="AJ260" i="2"/>
  <c r="AJ259" i="2"/>
  <c r="AJ258" i="2"/>
  <c r="AJ257" i="2"/>
  <c r="AJ256" i="2"/>
  <c r="AJ255" i="2"/>
  <c r="AJ254" i="2"/>
  <c r="AJ253" i="2"/>
  <c r="AJ252" i="2"/>
  <c r="AJ251" i="2"/>
  <c r="AJ250" i="2"/>
  <c r="AJ249" i="2"/>
  <c r="AJ248" i="2"/>
  <c r="AJ247" i="2"/>
  <c r="AJ246" i="2"/>
  <c r="AJ245" i="2"/>
  <c r="AJ244" i="2"/>
  <c r="AJ243" i="2"/>
  <c r="AJ242" i="2"/>
  <c r="AJ241" i="2"/>
  <c r="AJ240" i="2"/>
  <c r="AJ239" i="2"/>
  <c r="AJ238" i="2"/>
  <c r="AJ237" i="2"/>
  <c r="AJ236" i="2"/>
  <c r="AJ235" i="2"/>
  <c r="AJ234" i="2"/>
  <c r="AJ233" i="2"/>
  <c r="AJ232" i="2"/>
  <c r="AJ231" i="2"/>
  <c r="AJ230" i="2"/>
  <c r="AJ229" i="2"/>
  <c r="AJ228" i="2"/>
  <c r="AJ227" i="2"/>
  <c r="AJ226" i="2"/>
  <c r="AJ225" i="2"/>
  <c r="AJ224" i="2"/>
  <c r="AJ223" i="2"/>
  <c r="AJ222" i="2"/>
  <c r="AJ221" i="2"/>
  <c r="AJ220" i="2"/>
  <c r="AJ219" i="2"/>
  <c r="AJ218" i="2"/>
  <c r="AJ217" i="2"/>
  <c r="AJ216" i="2"/>
  <c r="AJ215" i="2"/>
  <c r="AJ214" i="2"/>
  <c r="AJ213" i="2"/>
  <c r="AJ212" i="2"/>
  <c r="AJ211" i="2"/>
  <c r="AJ210" i="2"/>
  <c r="AJ209" i="2"/>
  <c r="AJ208" i="2"/>
  <c r="AJ207" i="2"/>
  <c r="AJ206" i="2"/>
  <c r="AJ205" i="2"/>
  <c r="AJ204" i="2"/>
  <c r="AJ203" i="2"/>
  <c r="AJ202" i="2"/>
  <c r="AJ201" i="2"/>
  <c r="AJ200" i="2"/>
  <c r="AJ199" i="2"/>
  <c r="AJ198" i="2"/>
  <c r="AJ197" i="2"/>
  <c r="AJ196" i="2"/>
  <c r="AJ195" i="2"/>
  <c r="AJ194" i="2"/>
  <c r="AJ193" i="2"/>
  <c r="AJ192" i="2"/>
  <c r="AJ191" i="2"/>
  <c r="AJ190" i="2"/>
  <c r="AJ189" i="2"/>
  <c r="AJ188" i="2"/>
  <c r="AJ187" i="2"/>
  <c r="AJ186" i="2"/>
  <c r="AJ185" i="2"/>
  <c r="AJ184" i="2"/>
  <c r="AJ183" i="2"/>
  <c r="AJ182" i="2"/>
  <c r="AJ181" i="2"/>
  <c r="AJ180" i="2"/>
  <c r="AJ179" i="2"/>
  <c r="AJ178" i="2"/>
  <c r="AJ177" i="2"/>
  <c r="AJ176" i="2"/>
  <c r="AJ175" i="2"/>
  <c r="AJ174" i="2"/>
  <c r="AJ173" i="2"/>
  <c r="AJ172" i="2"/>
  <c r="AJ171" i="2"/>
  <c r="AJ170" i="2"/>
  <c r="AJ169" i="2"/>
  <c r="AJ168" i="2"/>
  <c r="AJ167" i="2"/>
  <c r="AJ166" i="2"/>
  <c r="AJ165" i="2"/>
  <c r="AJ164" i="2"/>
  <c r="AJ163" i="2"/>
  <c r="AJ162" i="2"/>
  <c r="AJ161" i="2"/>
  <c r="AJ160" i="2"/>
  <c r="AJ159" i="2"/>
  <c r="AJ158" i="2"/>
  <c r="AJ157" i="2"/>
  <c r="AJ156" i="2"/>
  <c r="AJ155" i="2"/>
  <c r="AJ154" i="2"/>
  <c r="AJ153" i="2"/>
  <c r="AJ152" i="2"/>
  <c r="AJ151" i="2"/>
  <c r="AJ150" i="2"/>
  <c r="AJ149" i="2"/>
  <c r="AJ148" i="2"/>
  <c r="AJ147" i="2"/>
  <c r="AJ146" i="2"/>
  <c r="AJ145" i="2"/>
  <c r="AJ144" i="2"/>
  <c r="AJ143" i="2"/>
  <c r="AJ142" i="2"/>
  <c r="AJ141" i="2"/>
  <c r="AJ140" i="2"/>
  <c r="AJ139" i="2"/>
  <c r="AJ138" i="2"/>
  <c r="AJ137" i="2"/>
  <c r="AJ136" i="2"/>
  <c r="AJ135" i="2"/>
  <c r="AJ134" i="2"/>
  <c r="AJ133" i="2"/>
  <c r="AJ132" i="2"/>
  <c r="AJ131" i="2"/>
  <c r="AJ130" i="2"/>
  <c r="AJ129" i="2"/>
  <c r="AJ128" i="2"/>
  <c r="AJ127" i="2"/>
  <c r="AJ126" i="2"/>
  <c r="AJ125" i="2"/>
  <c r="AJ124" i="2"/>
  <c r="AJ123" i="2"/>
  <c r="AJ122" i="2"/>
  <c r="AJ121" i="2"/>
  <c r="AJ120" i="2"/>
  <c r="AJ119" i="2"/>
  <c r="AJ118" i="2"/>
  <c r="AJ117" i="2"/>
  <c r="AJ116" i="2"/>
  <c r="AJ115" i="2"/>
  <c r="AJ114" i="2"/>
  <c r="AJ113" i="2"/>
  <c r="AJ112" i="2"/>
  <c r="AJ111" i="2"/>
  <c r="AJ110" i="2"/>
  <c r="AJ109" i="2"/>
  <c r="AJ108" i="2"/>
  <c r="AJ107" i="2"/>
  <c r="AJ106" i="2"/>
  <c r="AJ105" i="2"/>
  <c r="AJ104" i="2"/>
  <c r="AJ103" i="2"/>
  <c r="AJ102" i="2"/>
  <c r="AJ101" i="2"/>
  <c r="AJ100" i="2"/>
  <c r="AJ99" i="2"/>
  <c r="AJ98" i="2"/>
  <c r="AJ97" i="2"/>
  <c r="AJ96" i="2"/>
  <c r="AJ95" i="2"/>
  <c r="AJ94" i="2"/>
  <c r="AJ93" i="2"/>
  <c r="AJ92" i="2"/>
  <c r="AJ91" i="2"/>
  <c r="AJ90" i="2"/>
  <c r="AJ89" i="2"/>
  <c r="AJ88" i="2"/>
  <c r="AJ87" i="2"/>
  <c r="AJ86" i="2"/>
  <c r="AJ85" i="2"/>
  <c r="AJ84" i="2"/>
  <c r="AJ83" i="2"/>
  <c r="AJ82" i="2"/>
  <c r="AJ81" i="2"/>
  <c r="AJ80" i="2"/>
  <c r="AJ79" i="2"/>
  <c r="AJ78" i="2"/>
  <c r="AJ77" i="2"/>
  <c r="AJ76" i="2"/>
  <c r="AJ75" i="2"/>
  <c r="AJ74" i="2"/>
  <c r="AJ73" i="2"/>
  <c r="AJ72" i="2"/>
  <c r="AJ71" i="2"/>
  <c r="AJ70" i="2"/>
  <c r="AJ69" i="2"/>
  <c r="AJ68" i="2"/>
  <c r="AJ67" i="2"/>
  <c r="AJ66" i="2"/>
  <c r="AJ65" i="2"/>
  <c r="AJ64" i="2"/>
  <c r="AJ63" i="2"/>
  <c r="AJ62" i="2"/>
  <c r="AJ61" i="2"/>
  <c r="AJ60" i="2"/>
  <c r="AJ59" i="2"/>
  <c r="AJ58" i="2"/>
  <c r="AJ57" i="2"/>
  <c r="AJ56" i="2"/>
  <c r="AJ55" i="2"/>
  <c r="AJ54" i="2"/>
  <c r="AJ53" i="2"/>
  <c r="AJ52" i="2"/>
  <c r="AJ51" i="2"/>
  <c r="AJ50" i="2"/>
  <c r="AJ49" i="2"/>
  <c r="AJ48" i="2"/>
  <c r="AJ47" i="2"/>
  <c r="AJ46" i="2"/>
  <c r="AJ45" i="2"/>
  <c r="AJ44" i="2"/>
  <c r="AJ43" i="2"/>
  <c r="AJ42" i="2"/>
  <c r="AJ41" i="2"/>
  <c r="AJ40" i="2"/>
  <c r="AJ39" i="2"/>
  <c r="AJ38" i="2"/>
  <c r="AJ37" i="2"/>
  <c r="AJ36" i="2"/>
  <c r="AJ35" i="2"/>
  <c r="AJ34" i="2"/>
  <c r="AJ33" i="2"/>
  <c r="AJ32" i="2"/>
  <c r="AJ31" i="2"/>
  <c r="AJ30" i="2"/>
  <c r="AJ29" i="2"/>
  <c r="AJ28" i="2"/>
  <c r="AJ27" i="2"/>
  <c r="AJ26" i="2"/>
  <c r="AJ25" i="2"/>
  <c r="AJ24" i="2"/>
  <c r="AJ23" i="2"/>
  <c r="AJ22" i="2"/>
  <c r="AJ21" i="2"/>
  <c r="AJ20" i="2"/>
  <c r="AJ19" i="2"/>
  <c r="AJ18" i="2"/>
  <c r="AJ17" i="2"/>
  <c r="AJ16" i="2"/>
  <c r="AJ15" i="2"/>
  <c r="AJ14" i="2"/>
  <c r="AJ13" i="2"/>
  <c r="AJ12" i="2"/>
  <c r="AJ11" i="2"/>
  <c r="AJ10" i="2"/>
  <c r="AJ9" i="2"/>
  <c r="AJ8" i="2"/>
  <c r="AJ7" i="2"/>
  <c r="AJ6" i="2"/>
  <c r="AJ5" i="2"/>
  <c r="AJ4" i="2"/>
  <c r="AJ3" i="2"/>
  <c r="AJ2" i="2"/>
  <c r="AI1601" i="2"/>
  <c r="AI1600" i="2"/>
  <c r="AI1599" i="2"/>
  <c r="AI1598" i="2"/>
  <c r="AI1597" i="2"/>
  <c r="AI1596" i="2"/>
  <c r="AI1595" i="2"/>
  <c r="AI1594" i="2"/>
  <c r="AI1593" i="2"/>
  <c r="AI1592" i="2"/>
  <c r="AI1591" i="2"/>
  <c r="AI1590" i="2"/>
  <c r="AI1589" i="2"/>
  <c r="AI1588" i="2"/>
  <c r="AI1587" i="2"/>
  <c r="AI1586" i="2"/>
  <c r="AI1585" i="2"/>
  <c r="AI1584" i="2"/>
  <c r="AI1583" i="2"/>
  <c r="AI1582" i="2"/>
  <c r="AI1581" i="2"/>
  <c r="AI1580" i="2"/>
  <c r="AI1579" i="2"/>
  <c r="AI1578" i="2"/>
  <c r="AI1577" i="2"/>
  <c r="AI1576" i="2"/>
  <c r="AI1575" i="2"/>
  <c r="AI1574" i="2"/>
  <c r="AI1573" i="2"/>
  <c r="AI1572" i="2"/>
  <c r="AI1571" i="2"/>
  <c r="AI1570" i="2"/>
  <c r="AI1569" i="2"/>
  <c r="AI1568" i="2"/>
  <c r="AI1567" i="2"/>
  <c r="AI1566" i="2"/>
  <c r="AI1565" i="2"/>
  <c r="AI1564" i="2"/>
  <c r="AI1563" i="2"/>
  <c r="AI1562" i="2"/>
  <c r="AI1561" i="2"/>
  <c r="AI1560" i="2"/>
  <c r="AI1559" i="2"/>
  <c r="AI1558" i="2"/>
  <c r="AI1557" i="2"/>
  <c r="AI1556" i="2"/>
  <c r="AI1555" i="2"/>
  <c r="AI1554" i="2"/>
  <c r="AI1553" i="2"/>
  <c r="AI1552" i="2"/>
  <c r="AI1551" i="2"/>
  <c r="AI1550" i="2"/>
  <c r="AI1549" i="2"/>
  <c r="AI1548" i="2"/>
  <c r="AI1547" i="2"/>
  <c r="AI1546" i="2"/>
  <c r="AI1545" i="2"/>
  <c r="AI1544" i="2"/>
  <c r="AI1543" i="2"/>
  <c r="AI1542" i="2"/>
  <c r="AI1541" i="2"/>
  <c r="AI1540" i="2"/>
  <c r="AI1539" i="2"/>
  <c r="AI1538" i="2"/>
  <c r="AI1537" i="2"/>
  <c r="AI1536" i="2"/>
  <c r="AI1535" i="2"/>
  <c r="AI1534" i="2"/>
  <c r="AI1533" i="2"/>
  <c r="AI1532" i="2"/>
  <c r="AI1531" i="2"/>
  <c r="AI1530" i="2"/>
  <c r="AI1529" i="2"/>
  <c r="AI1528" i="2"/>
  <c r="AI1527" i="2"/>
  <c r="AI1526" i="2"/>
  <c r="AI1525" i="2"/>
  <c r="AI1524" i="2"/>
  <c r="AI1523" i="2"/>
  <c r="AI1522" i="2"/>
  <c r="AI1521" i="2"/>
  <c r="AI1520" i="2"/>
  <c r="AI1519" i="2"/>
  <c r="AI1518" i="2"/>
  <c r="AI1517" i="2"/>
  <c r="AI1516" i="2"/>
  <c r="AI1515" i="2"/>
  <c r="AI1514" i="2"/>
  <c r="AI1513" i="2"/>
  <c r="AI1512" i="2"/>
  <c r="AI1511" i="2"/>
  <c r="AI1510" i="2"/>
  <c r="AI1509" i="2"/>
  <c r="AI1508" i="2"/>
  <c r="AI1507" i="2"/>
  <c r="AI1506" i="2"/>
  <c r="AI1505" i="2"/>
  <c r="AI1504" i="2"/>
  <c r="AI1503" i="2"/>
  <c r="AI1502" i="2"/>
  <c r="AI1501" i="2"/>
  <c r="AI1500" i="2"/>
  <c r="AI1499" i="2"/>
  <c r="AI1498" i="2"/>
  <c r="AI1497" i="2"/>
  <c r="AI1496" i="2"/>
  <c r="AI1495" i="2"/>
  <c r="AI1494" i="2"/>
  <c r="AI1493" i="2"/>
  <c r="AI1492" i="2"/>
  <c r="AI1491" i="2"/>
  <c r="AI1490" i="2"/>
  <c r="AI1489" i="2"/>
  <c r="AI1488" i="2"/>
  <c r="AI1487" i="2"/>
  <c r="AI1486" i="2"/>
  <c r="AI1485" i="2"/>
  <c r="AI1484" i="2"/>
  <c r="AI1483" i="2"/>
  <c r="AI1482" i="2"/>
  <c r="AI1481" i="2"/>
  <c r="AI1480" i="2"/>
  <c r="AI1479" i="2"/>
  <c r="AI1478" i="2"/>
  <c r="AI1477" i="2"/>
  <c r="AI1476" i="2"/>
  <c r="AI1475" i="2"/>
  <c r="AI1474" i="2"/>
  <c r="AI1473" i="2"/>
  <c r="AI1472" i="2"/>
  <c r="AI1471" i="2"/>
  <c r="AI1470" i="2"/>
  <c r="AI1469" i="2"/>
  <c r="AI1468" i="2"/>
  <c r="AI1467" i="2"/>
  <c r="AI1466" i="2"/>
  <c r="AI1465" i="2"/>
  <c r="AI1464" i="2"/>
  <c r="AI1463" i="2"/>
  <c r="AI1462" i="2"/>
  <c r="AI1461" i="2"/>
  <c r="AI1460" i="2"/>
  <c r="AI1459" i="2"/>
  <c r="AI1458" i="2"/>
  <c r="AI1457" i="2"/>
  <c r="AI1456" i="2"/>
  <c r="AI1455" i="2"/>
  <c r="AI1454" i="2"/>
  <c r="AI1453" i="2"/>
  <c r="AI1452" i="2"/>
  <c r="AI1451" i="2"/>
  <c r="AI1450" i="2"/>
  <c r="AI1449" i="2"/>
  <c r="AI1448" i="2"/>
  <c r="AI1447" i="2"/>
  <c r="AI1446" i="2"/>
  <c r="AI1445" i="2"/>
  <c r="AI1444" i="2"/>
  <c r="AI1443" i="2"/>
  <c r="AI1442" i="2"/>
  <c r="AI1441" i="2"/>
  <c r="AI1440" i="2"/>
  <c r="AI1439" i="2"/>
  <c r="AI1438" i="2"/>
  <c r="AI1437" i="2"/>
  <c r="AI1436" i="2"/>
  <c r="AI1435" i="2"/>
  <c r="AI1434" i="2"/>
  <c r="AI1433" i="2"/>
  <c r="AI1432" i="2"/>
  <c r="AI1431" i="2"/>
  <c r="AI1430" i="2"/>
  <c r="AI1429" i="2"/>
  <c r="AI1428" i="2"/>
  <c r="AI1427" i="2"/>
  <c r="AI1426" i="2"/>
  <c r="AI1425" i="2"/>
  <c r="AI1424" i="2"/>
  <c r="AI1423" i="2"/>
  <c r="AI1422" i="2"/>
  <c r="AI1421" i="2"/>
  <c r="AI1420" i="2"/>
  <c r="AI1419" i="2"/>
  <c r="AI1418" i="2"/>
  <c r="AI1417" i="2"/>
  <c r="AI1416" i="2"/>
  <c r="AI1415" i="2"/>
  <c r="AI1414" i="2"/>
  <c r="AI1413" i="2"/>
  <c r="AI1412" i="2"/>
  <c r="AI1411" i="2"/>
  <c r="AI1410" i="2"/>
  <c r="AI1409" i="2"/>
  <c r="AI1408" i="2"/>
  <c r="AI1407" i="2"/>
  <c r="AI1406" i="2"/>
  <c r="AI1405" i="2"/>
  <c r="AI1404" i="2"/>
  <c r="AI1403" i="2"/>
  <c r="AI1402" i="2"/>
  <c r="AI1401" i="2"/>
  <c r="AI1400" i="2"/>
  <c r="AI1399" i="2"/>
  <c r="AI1398" i="2"/>
  <c r="AI1397" i="2"/>
  <c r="AI1396" i="2"/>
  <c r="AI1395" i="2"/>
  <c r="AI1394" i="2"/>
  <c r="AI1393" i="2"/>
  <c r="AI1392" i="2"/>
  <c r="AI1391" i="2"/>
  <c r="AI1390" i="2"/>
  <c r="AI1389" i="2"/>
  <c r="AI1388" i="2"/>
  <c r="AI1387" i="2"/>
  <c r="AI1386" i="2"/>
  <c r="AI1385" i="2"/>
  <c r="AI1384" i="2"/>
  <c r="AI1383" i="2"/>
  <c r="AI1382" i="2"/>
  <c r="AI1381" i="2"/>
  <c r="AI1380" i="2"/>
  <c r="AI1379" i="2"/>
  <c r="AI1378" i="2"/>
  <c r="AI1377" i="2"/>
  <c r="AI1376" i="2"/>
  <c r="AI1375" i="2"/>
  <c r="AI1374" i="2"/>
  <c r="AI1373" i="2"/>
  <c r="AI1372" i="2"/>
  <c r="AI1371" i="2"/>
  <c r="AI1370" i="2"/>
  <c r="AI1369" i="2"/>
  <c r="AI1368" i="2"/>
  <c r="AI1367" i="2"/>
  <c r="AI1366" i="2"/>
  <c r="AI1365" i="2"/>
  <c r="AI1364" i="2"/>
  <c r="AI1363" i="2"/>
  <c r="AI1362" i="2"/>
  <c r="AI1361" i="2"/>
  <c r="AI1360" i="2"/>
  <c r="AI1359" i="2"/>
  <c r="AI1358" i="2"/>
  <c r="AI1357" i="2"/>
  <c r="AI1356" i="2"/>
  <c r="AI1355" i="2"/>
  <c r="AI1354" i="2"/>
  <c r="AI1353" i="2"/>
  <c r="AI1352" i="2"/>
  <c r="AI1351" i="2"/>
  <c r="AI1350" i="2"/>
  <c r="AI1349" i="2"/>
  <c r="AI1348" i="2"/>
  <c r="AI1347" i="2"/>
  <c r="AI1346" i="2"/>
  <c r="AI1345" i="2"/>
  <c r="AI1344" i="2"/>
  <c r="AI1343" i="2"/>
  <c r="AI1342" i="2"/>
  <c r="AI1341" i="2"/>
  <c r="AI1340" i="2"/>
  <c r="AI1339" i="2"/>
  <c r="AI1338" i="2"/>
  <c r="AI1337" i="2"/>
  <c r="AI1336" i="2"/>
  <c r="AI1335" i="2"/>
  <c r="AI1334" i="2"/>
  <c r="AI1333" i="2"/>
  <c r="AI1332" i="2"/>
  <c r="AI1331" i="2"/>
  <c r="AI1330" i="2"/>
  <c r="AI1329" i="2"/>
  <c r="AI1328" i="2"/>
  <c r="AI1327" i="2"/>
  <c r="AI1326" i="2"/>
  <c r="AI1325" i="2"/>
  <c r="AI1324" i="2"/>
  <c r="AI1323" i="2"/>
  <c r="AI1322" i="2"/>
  <c r="AI1321" i="2"/>
  <c r="AI1320" i="2"/>
  <c r="AI1319" i="2"/>
  <c r="AI1318" i="2"/>
  <c r="AI1317" i="2"/>
  <c r="AI1316" i="2"/>
  <c r="AI1315" i="2"/>
  <c r="AI1314" i="2"/>
  <c r="AI1313" i="2"/>
  <c r="AI1312" i="2"/>
  <c r="AI1311" i="2"/>
  <c r="AI1310" i="2"/>
  <c r="AI1309" i="2"/>
  <c r="AI1308" i="2"/>
  <c r="AI1307" i="2"/>
  <c r="AI1306" i="2"/>
  <c r="AI1305" i="2"/>
  <c r="AI1304" i="2"/>
  <c r="AI1303" i="2"/>
  <c r="AI1302" i="2"/>
  <c r="AI1301" i="2"/>
  <c r="AI1300" i="2"/>
  <c r="AI1299" i="2"/>
  <c r="AI1298" i="2"/>
  <c r="AI1297" i="2"/>
  <c r="AI1296" i="2"/>
  <c r="AI1295" i="2"/>
  <c r="AI1294" i="2"/>
  <c r="AI1293" i="2"/>
  <c r="AI1292" i="2"/>
  <c r="AI1291" i="2"/>
  <c r="AI1290" i="2"/>
  <c r="AI1289" i="2"/>
  <c r="AI1288" i="2"/>
  <c r="AI1287" i="2"/>
  <c r="AI1286" i="2"/>
  <c r="AI1285" i="2"/>
  <c r="AI1284" i="2"/>
  <c r="AI1283" i="2"/>
  <c r="AI1282" i="2"/>
  <c r="AI1281" i="2"/>
  <c r="AI1280" i="2"/>
  <c r="AI1279" i="2"/>
  <c r="AI1278" i="2"/>
  <c r="AI1277" i="2"/>
  <c r="AI1276" i="2"/>
  <c r="AI1275" i="2"/>
  <c r="AI1274" i="2"/>
  <c r="AI1273" i="2"/>
  <c r="AI1272" i="2"/>
  <c r="AI1271" i="2"/>
  <c r="AI1270" i="2"/>
  <c r="AI1269" i="2"/>
  <c r="AI1268" i="2"/>
  <c r="AI1267" i="2"/>
  <c r="AI1266" i="2"/>
  <c r="AI1265" i="2"/>
  <c r="AI1264" i="2"/>
  <c r="AI1263" i="2"/>
  <c r="AI1262" i="2"/>
  <c r="AI1261" i="2"/>
  <c r="AI1260" i="2"/>
  <c r="AI1259" i="2"/>
  <c r="AI1258" i="2"/>
  <c r="AI1257" i="2"/>
  <c r="AI1256" i="2"/>
  <c r="AI1255" i="2"/>
  <c r="AI1254" i="2"/>
  <c r="AI1253" i="2"/>
  <c r="AI1252" i="2"/>
  <c r="AI1251" i="2"/>
  <c r="AI1250" i="2"/>
  <c r="AI1249" i="2"/>
  <c r="AI1248" i="2"/>
  <c r="AI1247" i="2"/>
  <c r="AI1246" i="2"/>
  <c r="AI1245" i="2"/>
  <c r="AI1244" i="2"/>
  <c r="AI1243" i="2"/>
  <c r="AI1242" i="2"/>
  <c r="AI1241" i="2"/>
  <c r="AI1240" i="2"/>
  <c r="AI1239" i="2"/>
  <c r="AI1238" i="2"/>
  <c r="AI1237" i="2"/>
  <c r="AI1236" i="2"/>
  <c r="AI1235" i="2"/>
  <c r="AI1234" i="2"/>
  <c r="AI1233" i="2"/>
  <c r="AI1232" i="2"/>
  <c r="AI1231" i="2"/>
  <c r="AI1230" i="2"/>
  <c r="AI1229" i="2"/>
  <c r="AI1228" i="2"/>
  <c r="AI1227" i="2"/>
  <c r="AI1226" i="2"/>
  <c r="AI1225" i="2"/>
  <c r="AI1224" i="2"/>
  <c r="AI1223" i="2"/>
  <c r="AI1222" i="2"/>
  <c r="AI1221" i="2"/>
  <c r="AI1220" i="2"/>
  <c r="AI1219" i="2"/>
  <c r="AI1218" i="2"/>
  <c r="AI1217" i="2"/>
  <c r="AI1216" i="2"/>
  <c r="AI1215" i="2"/>
  <c r="AI1214" i="2"/>
  <c r="AI1213" i="2"/>
  <c r="AI1212" i="2"/>
  <c r="AI1211" i="2"/>
  <c r="AI1210" i="2"/>
  <c r="AI1209" i="2"/>
  <c r="AI1208" i="2"/>
  <c r="AI1207" i="2"/>
  <c r="AI1206" i="2"/>
  <c r="AI1205" i="2"/>
  <c r="AI1204" i="2"/>
  <c r="AI1203" i="2"/>
  <c r="AI1202" i="2"/>
  <c r="AI1201" i="2"/>
  <c r="AI1200" i="2"/>
  <c r="AI1199" i="2"/>
  <c r="AI1198" i="2"/>
  <c r="AI1197" i="2"/>
  <c r="AI1196" i="2"/>
  <c r="AI1195" i="2"/>
  <c r="AI1194" i="2"/>
  <c r="AI1193" i="2"/>
  <c r="AI1192" i="2"/>
  <c r="AI1191" i="2"/>
  <c r="AI1190" i="2"/>
  <c r="AI1189" i="2"/>
  <c r="AI1188" i="2"/>
  <c r="AI1187" i="2"/>
  <c r="AI1186" i="2"/>
  <c r="AI1185" i="2"/>
  <c r="AI1184" i="2"/>
  <c r="AI1183" i="2"/>
  <c r="AI1182" i="2"/>
  <c r="AI1181" i="2"/>
  <c r="AI1180" i="2"/>
  <c r="AI1179" i="2"/>
  <c r="AI1178" i="2"/>
  <c r="AI1177" i="2"/>
  <c r="AI1176" i="2"/>
  <c r="AI1175" i="2"/>
  <c r="AI1174" i="2"/>
  <c r="AI1173" i="2"/>
  <c r="AI1172" i="2"/>
  <c r="AI1171" i="2"/>
  <c r="AI1170" i="2"/>
  <c r="AI1169" i="2"/>
  <c r="AI1168" i="2"/>
  <c r="AI1167" i="2"/>
  <c r="AI1166" i="2"/>
  <c r="AI1165" i="2"/>
  <c r="AI1164" i="2"/>
  <c r="AI1163" i="2"/>
  <c r="AI1162" i="2"/>
  <c r="AI1161" i="2"/>
  <c r="AI1160" i="2"/>
  <c r="AI1159" i="2"/>
  <c r="AI1158" i="2"/>
  <c r="AI1157" i="2"/>
  <c r="AI1156" i="2"/>
  <c r="AI1155" i="2"/>
  <c r="AI1154" i="2"/>
  <c r="AI1153" i="2"/>
  <c r="AI1152" i="2"/>
  <c r="AI1151" i="2"/>
  <c r="AI1150" i="2"/>
  <c r="AI1149" i="2"/>
  <c r="AI1148" i="2"/>
  <c r="AI1147" i="2"/>
  <c r="AI1146" i="2"/>
  <c r="AI1145" i="2"/>
  <c r="AI1144" i="2"/>
  <c r="AI1143" i="2"/>
  <c r="AI1142" i="2"/>
  <c r="AI1141" i="2"/>
  <c r="AI1140" i="2"/>
  <c r="AI1139" i="2"/>
  <c r="AI1138" i="2"/>
  <c r="AI1137" i="2"/>
  <c r="AI1136" i="2"/>
  <c r="AI1135" i="2"/>
  <c r="AI1134" i="2"/>
  <c r="AI1133" i="2"/>
  <c r="AI1132" i="2"/>
  <c r="AI1131" i="2"/>
  <c r="AI1130" i="2"/>
  <c r="AI1129" i="2"/>
  <c r="AI1128" i="2"/>
  <c r="AI1127" i="2"/>
  <c r="AI1126" i="2"/>
  <c r="AI1125" i="2"/>
  <c r="AI1124" i="2"/>
  <c r="AI1123" i="2"/>
  <c r="AI1122" i="2"/>
  <c r="AI1121" i="2"/>
  <c r="AI1120" i="2"/>
  <c r="AI1119" i="2"/>
  <c r="AI1118" i="2"/>
  <c r="AI1117" i="2"/>
  <c r="AI1116" i="2"/>
  <c r="AI1115" i="2"/>
  <c r="AI1114" i="2"/>
  <c r="AI1113" i="2"/>
  <c r="AI1112" i="2"/>
  <c r="AI1111" i="2"/>
  <c r="AI1110" i="2"/>
  <c r="AI1109" i="2"/>
  <c r="AI1108" i="2"/>
  <c r="AI1107" i="2"/>
  <c r="AI1106" i="2"/>
  <c r="AI1105" i="2"/>
  <c r="AI1104" i="2"/>
  <c r="AI1103" i="2"/>
  <c r="AI1102" i="2"/>
  <c r="AI1101" i="2"/>
  <c r="AI1100" i="2"/>
  <c r="AI1099" i="2"/>
  <c r="AI1098" i="2"/>
  <c r="AI1097" i="2"/>
  <c r="AI1096" i="2"/>
  <c r="AI1095" i="2"/>
  <c r="AI1094" i="2"/>
  <c r="AI1093" i="2"/>
  <c r="AI1092" i="2"/>
  <c r="AI1091" i="2"/>
  <c r="AI1090" i="2"/>
  <c r="AI1089" i="2"/>
  <c r="AI1088" i="2"/>
  <c r="AI1087" i="2"/>
  <c r="AI1086" i="2"/>
  <c r="AI1085" i="2"/>
  <c r="AI1084" i="2"/>
  <c r="AI1083" i="2"/>
  <c r="AI1082" i="2"/>
  <c r="AI1081" i="2"/>
  <c r="AI1080" i="2"/>
  <c r="AI1079" i="2"/>
  <c r="AI1078" i="2"/>
  <c r="AI1077" i="2"/>
  <c r="AI1076" i="2"/>
  <c r="AI1075" i="2"/>
  <c r="AI1074" i="2"/>
  <c r="AI1073" i="2"/>
  <c r="AI1072" i="2"/>
  <c r="AI1071" i="2"/>
  <c r="AI1070" i="2"/>
  <c r="AI1069" i="2"/>
  <c r="AI1068" i="2"/>
  <c r="AI1067" i="2"/>
  <c r="AI1066" i="2"/>
  <c r="AI1065" i="2"/>
  <c r="AI1064" i="2"/>
  <c r="AI1063" i="2"/>
  <c r="AI1062" i="2"/>
  <c r="AI1061" i="2"/>
  <c r="AI1060" i="2"/>
  <c r="AI1059" i="2"/>
  <c r="AI1058" i="2"/>
  <c r="AI1057" i="2"/>
  <c r="AI1056" i="2"/>
  <c r="AI1055" i="2"/>
  <c r="AI1054" i="2"/>
  <c r="AI1053" i="2"/>
  <c r="AI1052" i="2"/>
  <c r="AI1051" i="2"/>
  <c r="AI1050" i="2"/>
  <c r="AI1049" i="2"/>
  <c r="AI1048" i="2"/>
  <c r="AI1047" i="2"/>
  <c r="AI1046" i="2"/>
  <c r="AI1045" i="2"/>
  <c r="AI1044" i="2"/>
  <c r="AI1043" i="2"/>
  <c r="AI1042" i="2"/>
  <c r="AI1041" i="2"/>
  <c r="AI1040" i="2"/>
  <c r="AI1039" i="2"/>
  <c r="AI1038" i="2"/>
  <c r="AI1037" i="2"/>
  <c r="AI1036" i="2"/>
  <c r="AI1035" i="2"/>
  <c r="AI1034" i="2"/>
  <c r="AI1033" i="2"/>
  <c r="AI1032" i="2"/>
  <c r="AI1031" i="2"/>
  <c r="AI1030" i="2"/>
  <c r="AI1029" i="2"/>
  <c r="AI1028" i="2"/>
  <c r="AI1027" i="2"/>
  <c r="AI1026" i="2"/>
  <c r="AI1025" i="2"/>
  <c r="AI1024" i="2"/>
  <c r="AI1023" i="2"/>
  <c r="AI1022" i="2"/>
  <c r="AI1021" i="2"/>
  <c r="AI1020" i="2"/>
  <c r="AI1019" i="2"/>
  <c r="AI1018" i="2"/>
  <c r="AI1017" i="2"/>
  <c r="AI1016" i="2"/>
  <c r="AI1015" i="2"/>
  <c r="AI1014" i="2"/>
  <c r="AI1013" i="2"/>
  <c r="AI1012" i="2"/>
  <c r="AI1011" i="2"/>
  <c r="AI1010" i="2"/>
  <c r="AI1009" i="2"/>
  <c r="AI1008" i="2"/>
  <c r="AI1007" i="2"/>
  <c r="AI1006" i="2"/>
  <c r="AI1005" i="2"/>
  <c r="AI1004" i="2"/>
  <c r="AI1003" i="2"/>
  <c r="AI1002" i="2"/>
  <c r="AI1001" i="2"/>
  <c r="AI1000" i="2"/>
  <c r="AI999" i="2"/>
  <c r="AI998" i="2"/>
  <c r="AI997" i="2"/>
  <c r="AI996" i="2"/>
  <c r="AI995" i="2"/>
  <c r="AI994" i="2"/>
  <c r="AI993" i="2"/>
  <c r="AI992" i="2"/>
  <c r="AI991" i="2"/>
  <c r="AI990" i="2"/>
  <c r="AI989" i="2"/>
  <c r="AI988" i="2"/>
  <c r="AI987" i="2"/>
  <c r="AI986" i="2"/>
  <c r="AI985" i="2"/>
  <c r="AI984" i="2"/>
  <c r="AI983" i="2"/>
  <c r="AI982" i="2"/>
  <c r="AI981" i="2"/>
  <c r="AI980" i="2"/>
  <c r="AI979" i="2"/>
  <c r="AI978" i="2"/>
  <c r="AI977" i="2"/>
  <c r="AI976" i="2"/>
  <c r="AI975" i="2"/>
  <c r="AI974" i="2"/>
  <c r="AI973" i="2"/>
  <c r="AI972" i="2"/>
  <c r="AI971" i="2"/>
  <c r="AI970" i="2"/>
  <c r="AI969" i="2"/>
  <c r="AI968" i="2"/>
  <c r="AI967" i="2"/>
  <c r="AI966" i="2"/>
  <c r="AI965" i="2"/>
  <c r="AI964" i="2"/>
  <c r="AI963" i="2"/>
  <c r="AI962" i="2"/>
  <c r="AI961" i="2"/>
  <c r="AI960" i="2"/>
  <c r="AI959" i="2"/>
  <c r="AI958" i="2"/>
  <c r="AI957" i="2"/>
  <c r="AI956" i="2"/>
  <c r="AI955" i="2"/>
  <c r="AI954" i="2"/>
  <c r="AI953" i="2"/>
  <c r="AI952" i="2"/>
  <c r="AI951" i="2"/>
  <c r="AI950" i="2"/>
  <c r="AI949" i="2"/>
  <c r="AI948" i="2"/>
  <c r="AI947" i="2"/>
  <c r="AI946" i="2"/>
  <c r="AI945" i="2"/>
  <c r="AI944" i="2"/>
  <c r="AI943" i="2"/>
  <c r="AI942" i="2"/>
  <c r="AI941" i="2"/>
  <c r="AI940" i="2"/>
  <c r="AI939" i="2"/>
  <c r="AI938" i="2"/>
  <c r="AI937" i="2"/>
  <c r="AI936" i="2"/>
  <c r="AI935" i="2"/>
  <c r="AI934" i="2"/>
  <c r="AI933" i="2"/>
  <c r="AI932" i="2"/>
  <c r="AI931" i="2"/>
  <c r="AI930" i="2"/>
  <c r="AI929" i="2"/>
  <c r="AI928" i="2"/>
  <c r="AI927" i="2"/>
  <c r="AI926" i="2"/>
  <c r="AI925" i="2"/>
  <c r="AI924" i="2"/>
  <c r="AI923" i="2"/>
  <c r="AI922" i="2"/>
  <c r="AI921" i="2"/>
  <c r="AI920" i="2"/>
  <c r="AI919" i="2"/>
  <c r="AI918" i="2"/>
  <c r="AI917" i="2"/>
  <c r="AI916" i="2"/>
  <c r="AI915" i="2"/>
  <c r="AI914" i="2"/>
  <c r="AI913" i="2"/>
  <c r="AI912" i="2"/>
  <c r="AI911" i="2"/>
  <c r="AI910" i="2"/>
  <c r="AI909" i="2"/>
  <c r="AI908" i="2"/>
  <c r="AI907" i="2"/>
  <c r="AI906" i="2"/>
  <c r="AI905" i="2"/>
  <c r="AI904" i="2"/>
  <c r="AI903" i="2"/>
  <c r="AI902" i="2"/>
  <c r="AI901" i="2"/>
  <c r="AI900" i="2"/>
  <c r="AI899" i="2"/>
  <c r="AI898" i="2"/>
  <c r="AI897" i="2"/>
  <c r="AI896" i="2"/>
  <c r="AI895" i="2"/>
  <c r="AI894" i="2"/>
  <c r="AI893" i="2"/>
  <c r="AI892" i="2"/>
  <c r="AI891" i="2"/>
  <c r="AI890" i="2"/>
  <c r="AI889" i="2"/>
  <c r="AI888" i="2"/>
  <c r="AI887" i="2"/>
  <c r="AI886" i="2"/>
  <c r="AI885" i="2"/>
  <c r="AI884" i="2"/>
  <c r="AI883" i="2"/>
  <c r="AI882" i="2"/>
  <c r="AI881" i="2"/>
  <c r="AI880" i="2"/>
  <c r="AI879" i="2"/>
  <c r="AI878" i="2"/>
  <c r="AI877" i="2"/>
  <c r="AI876" i="2"/>
  <c r="AI875" i="2"/>
  <c r="AI874" i="2"/>
  <c r="AI873" i="2"/>
  <c r="AI872" i="2"/>
  <c r="AI871" i="2"/>
  <c r="AI870" i="2"/>
  <c r="AI869" i="2"/>
  <c r="AI868" i="2"/>
  <c r="AI867" i="2"/>
  <c r="AI866" i="2"/>
  <c r="AI865" i="2"/>
  <c r="AI864" i="2"/>
  <c r="AI863" i="2"/>
  <c r="AI862" i="2"/>
  <c r="AI861" i="2"/>
  <c r="AI860" i="2"/>
  <c r="AI859" i="2"/>
  <c r="AI858" i="2"/>
  <c r="AI857" i="2"/>
  <c r="AI856" i="2"/>
  <c r="AI855" i="2"/>
  <c r="AI854" i="2"/>
  <c r="AI853" i="2"/>
  <c r="AI852" i="2"/>
  <c r="AI851" i="2"/>
  <c r="AI850" i="2"/>
  <c r="AI849" i="2"/>
  <c r="AI848" i="2"/>
  <c r="AI847" i="2"/>
  <c r="AI846" i="2"/>
  <c r="AI845" i="2"/>
  <c r="AI844" i="2"/>
  <c r="AI843" i="2"/>
  <c r="AI842" i="2"/>
  <c r="AI841" i="2"/>
  <c r="AI840" i="2"/>
  <c r="AI839" i="2"/>
  <c r="AI838" i="2"/>
  <c r="AI837" i="2"/>
  <c r="AI836" i="2"/>
  <c r="AI835" i="2"/>
  <c r="AI834" i="2"/>
  <c r="AI833" i="2"/>
  <c r="AI832" i="2"/>
  <c r="AI831" i="2"/>
  <c r="AI830" i="2"/>
  <c r="AI829" i="2"/>
  <c r="AI828" i="2"/>
  <c r="AI827" i="2"/>
  <c r="AI826" i="2"/>
  <c r="AI825" i="2"/>
  <c r="AI824" i="2"/>
  <c r="AI823" i="2"/>
  <c r="AI822" i="2"/>
  <c r="AI821" i="2"/>
  <c r="AI820" i="2"/>
  <c r="AI819" i="2"/>
  <c r="AI818" i="2"/>
  <c r="AI817" i="2"/>
  <c r="AI816" i="2"/>
  <c r="AI815" i="2"/>
  <c r="AI814" i="2"/>
  <c r="AI813" i="2"/>
  <c r="AI812" i="2"/>
  <c r="AI811" i="2"/>
  <c r="AI810" i="2"/>
  <c r="AI809" i="2"/>
  <c r="AI808" i="2"/>
  <c r="AI807" i="2"/>
  <c r="AI806" i="2"/>
  <c r="AI805" i="2"/>
  <c r="AI804" i="2"/>
  <c r="AI803" i="2"/>
  <c r="AI802" i="2"/>
  <c r="AI801" i="2"/>
  <c r="AI800" i="2"/>
  <c r="AI799" i="2"/>
  <c r="AI798" i="2"/>
  <c r="AI797" i="2"/>
  <c r="AI796" i="2"/>
  <c r="AI795" i="2"/>
  <c r="AI794" i="2"/>
  <c r="AI793" i="2"/>
  <c r="AI792" i="2"/>
  <c r="AI791" i="2"/>
  <c r="AI790" i="2"/>
  <c r="AI789" i="2"/>
  <c r="AI788" i="2"/>
  <c r="AI787" i="2"/>
  <c r="AI786" i="2"/>
  <c r="AI785" i="2"/>
  <c r="AI784" i="2"/>
  <c r="AI783" i="2"/>
  <c r="AI782" i="2"/>
  <c r="AI781" i="2"/>
  <c r="AI780" i="2"/>
  <c r="AI779" i="2"/>
  <c r="AI778" i="2"/>
  <c r="AI777" i="2"/>
  <c r="AI776" i="2"/>
  <c r="AI775" i="2"/>
  <c r="AI774" i="2"/>
  <c r="AI773" i="2"/>
  <c r="AI772" i="2"/>
  <c r="AI771" i="2"/>
  <c r="AI770" i="2"/>
  <c r="AI769" i="2"/>
  <c r="AI768" i="2"/>
  <c r="AI767" i="2"/>
  <c r="AI766" i="2"/>
  <c r="AI765" i="2"/>
  <c r="AI764" i="2"/>
  <c r="AI763" i="2"/>
  <c r="AI762" i="2"/>
  <c r="AI761" i="2"/>
  <c r="AI760" i="2"/>
  <c r="AI759" i="2"/>
  <c r="AI758" i="2"/>
  <c r="AI757" i="2"/>
  <c r="AI756" i="2"/>
  <c r="AI755" i="2"/>
  <c r="AI754" i="2"/>
  <c r="AI753" i="2"/>
  <c r="AI752" i="2"/>
  <c r="AI751" i="2"/>
  <c r="AI750" i="2"/>
  <c r="AI749" i="2"/>
  <c r="AI748" i="2"/>
  <c r="AI747" i="2"/>
  <c r="AI746" i="2"/>
  <c r="AI745" i="2"/>
  <c r="AI744" i="2"/>
  <c r="AI743" i="2"/>
  <c r="AI742" i="2"/>
  <c r="AI741" i="2"/>
  <c r="AI740" i="2"/>
  <c r="AI739" i="2"/>
  <c r="AI738" i="2"/>
  <c r="AI737" i="2"/>
  <c r="AI736" i="2"/>
  <c r="AI735" i="2"/>
  <c r="AI734" i="2"/>
  <c r="AI733" i="2"/>
  <c r="AI732" i="2"/>
  <c r="AI731" i="2"/>
  <c r="AI730" i="2"/>
  <c r="AI729" i="2"/>
  <c r="AI728" i="2"/>
  <c r="AI727" i="2"/>
  <c r="AI726" i="2"/>
  <c r="AI725" i="2"/>
  <c r="AI724" i="2"/>
  <c r="AI723" i="2"/>
  <c r="AI722" i="2"/>
  <c r="AI721" i="2"/>
  <c r="AI720" i="2"/>
  <c r="AI719" i="2"/>
  <c r="AI718" i="2"/>
  <c r="AI717" i="2"/>
  <c r="AI716" i="2"/>
  <c r="AI715" i="2"/>
  <c r="AI714" i="2"/>
  <c r="AI713" i="2"/>
  <c r="AI712" i="2"/>
  <c r="AI711" i="2"/>
  <c r="AI710" i="2"/>
  <c r="AI709" i="2"/>
  <c r="AI708" i="2"/>
  <c r="AI707" i="2"/>
  <c r="AI706" i="2"/>
  <c r="AI705" i="2"/>
  <c r="AI704" i="2"/>
  <c r="AI703" i="2"/>
  <c r="AI702" i="2"/>
  <c r="AI701" i="2"/>
  <c r="AI700" i="2"/>
  <c r="AI699" i="2"/>
  <c r="AI698" i="2"/>
  <c r="AI697" i="2"/>
  <c r="AI696" i="2"/>
  <c r="AI695" i="2"/>
  <c r="AI694" i="2"/>
  <c r="AI693" i="2"/>
  <c r="AI692" i="2"/>
  <c r="AI691" i="2"/>
  <c r="AI690" i="2"/>
  <c r="AI689" i="2"/>
  <c r="AI688" i="2"/>
  <c r="AI687" i="2"/>
  <c r="AI686" i="2"/>
  <c r="AI685" i="2"/>
  <c r="AI684" i="2"/>
  <c r="AI683" i="2"/>
  <c r="AI682" i="2"/>
  <c r="AI681" i="2"/>
  <c r="AI680" i="2"/>
  <c r="AI679" i="2"/>
  <c r="AI678" i="2"/>
  <c r="AI677" i="2"/>
  <c r="AI676" i="2"/>
  <c r="AI675" i="2"/>
  <c r="AI674" i="2"/>
  <c r="AI673" i="2"/>
  <c r="AI672" i="2"/>
  <c r="AI671" i="2"/>
  <c r="AI670" i="2"/>
  <c r="AI669" i="2"/>
  <c r="AI668" i="2"/>
  <c r="AI667" i="2"/>
  <c r="AI666" i="2"/>
  <c r="AI665" i="2"/>
  <c r="AI664" i="2"/>
  <c r="AI663" i="2"/>
  <c r="AI662" i="2"/>
  <c r="AI661" i="2"/>
  <c r="AI660" i="2"/>
  <c r="AI659" i="2"/>
  <c r="AI658" i="2"/>
  <c r="AI657" i="2"/>
  <c r="AI656" i="2"/>
  <c r="AI655" i="2"/>
  <c r="AI654" i="2"/>
  <c r="AI653" i="2"/>
  <c r="AI652" i="2"/>
  <c r="AI651" i="2"/>
  <c r="AI650" i="2"/>
  <c r="AI649" i="2"/>
  <c r="AI648" i="2"/>
  <c r="AI647" i="2"/>
  <c r="AI646" i="2"/>
  <c r="AI645" i="2"/>
  <c r="AI644" i="2"/>
  <c r="AI643" i="2"/>
  <c r="AI642" i="2"/>
  <c r="AI641" i="2"/>
  <c r="AI640" i="2"/>
  <c r="AI639" i="2"/>
  <c r="AI638" i="2"/>
  <c r="AI637" i="2"/>
  <c r="AI636" i="2"/>
  <c r="AI635" i="2"/>
  <c r="AI634" i="2"/>
  <c r="AI633" i="2"/>
  <c r="AI632" i="2"/>
  <c r="AI631" i="2"/>
  <c r="AI630" i="2"/>
  <c r="AI629" i="2"/>
  <c r="AI628" i="2"/>
  <c r="AI627" i="2"/>
  <c r="AI626" i="2"/>
  <c r="AI625" i="2"/>
  <c r="AI624" i="2"/>
  <c r="AI623" i="2"/>
  <c r="AI622" i="2"/>
  <c r="AI621" i="2"/>
  <c r="AI620" i="2"/>
  <c r="AI619" i="2"/>
  <c r="AI618" i="2"/>
  <c r="AI617" i="2"/>
  <c r="AI616" i="2"/>
  <c r="AI615" i="2"/>
  <c r="AI614" i="2"/>
  <c r="AI613" i="2"/>
  <c r="AI612" i="2"/>
  <c r="AI611" i="2"/>
  <c r="AI610" i="2"/>
  <c r="AI609" i="2"/>
  <c r="AI608" i="2"/>
  <c r="AI607" i="2"/>
  <c r="AI606" i="2"/>
  <c r="AI605" i="2"/>
  <c r="AI604" i="2"/>
  <c r="AI603" i="2"/>
  <c r="AI602" i="2"/>
  <c r="AI601" i="2"/>
  <c r="AI600" i="2"/>
  <c r="AI599" i="2"/>
  <c r="AI598" i="2"/>
  <c r="AI597" i="2"/>
  <c r="AI596" i="2"/>
  <c r="AI595" i="2"/>
  <c r="AI594" i="2"/>
  <c r="AI593" i="2"/>
  <c r="AI592" i="2"/>
  <c r="AI591" i="2"/>
  <c r="AI590" i="2"/>
  <c r="AI589" i="2"/>
  <c r="AI588" i="2"/>
  <c r="AI587" i="2"/>
  <c r="AI586" i="2"/>
  <c r="AI585" i="2"/>
  <c r="AI584" i="2"/>
  <c r="AI583" i="2"/>
  <c r="AI582" i="2"/>
  <c r="AI581" i="2"/>
  <c r="AI580" i="2"/>
  <c r="AI579" i="2"/>
  <c r="AI578" i="2"/>
  <c r="AI577" i="2"/>
  <c r="AI576" i="2"/>
  <c r="AI575" i="2"/>
  <c r="AI574" i="2"/>
  <c r="AI573" i="2"/>
  <c r="AI572" i="2"/>
  <c r="AI571" i="2"/>
  <c r="AI570" i="2"/>
  <c r="AI569" i="2"/>
  <c r="AI568" i="2"/>
  <c r="AI567" i="2"/>
  <c r="AI566" i="2"/>
  <c r="AI565" i="2"/>
  <c r="AI564" i="2"/>
  <c r="AI563" i="2"/>
  <c r="AI562" i="2"/>
  <c r="AI561" i="2"/>
  <c r="AI560" i="2"/>
  <c r="AI559" i="2"/>
  <c r="AI558" i="2"/>
  <c r="AI557" i="2"/>
  <c r="AI556" i="2"/>
  <c r="AI555" i="2"/>
  <c r="AI554" i="2"/>
  <c r="AI553" i="2"/>
  <c r="AI552" i="2"/>
  <c r="AI551" i="2"/>
  <c r="AI550" i="2"/>
  <c r="AI549" i="2"/>
  <c r="AI548" i="2"/>
  <c r="AI547" i="2"/>
  <c r="AI546" i="2"/>
  <c r="AI545" i="2"/>
  <c r="AI544" i="2"/>
  <c r="AI543" i="2"/>
  <c r="AI542" i="2"/>
  <c r="AI541" i="2"/>
  <c r="AI540" i="2"/>
  <c r="AI539" i="2"/>
  <c r="AI538" i="2"/>
  <c r="AI537" i="2"/>
  <c r="AI536" i="2"/>
  <c r="AI535" i="2"/>
  <c r="AI534" i="2"/>
  <c r="AI533" i="2"/>
  <c r="AI532" i="2"/>
  <c r="AI531" i="2"/>
  <c r="AI530" i="2"/>
  <c r="AI529" i="2"/>
  <c r="AI528" i="2"/>
  <c r="AI527" i="2"/>
  <c r="AI526" i="2"/>
  <c r="AI525" i="2"/>
  <c r="AI524" i="2"/>
  <c r="AI523" i="2"/>
  <c r="AI522" i="2"/>
  <c r="AI521" i="2"/>
  <c r="AI520" i="2"/>
  <c r="AI519" i="2"/>
  <c r="AI518" i="2"/>
  <c r="AI517" i="2"/>
  <c r="AI516" i="2"/>
  <c r="AI515" i="2"/>
  <c r="AI514" i="2"/>
  <c r="AI513" i="2"/>
  <c r="AI512" i="2"/>
  <c r="AI511" i="2"/>
  <c r="AI510" i="2"/>
  <c r="AI509" i="2"/>
  <c r="AI508" i="2"/>
  <c r="AI507" i="2"/>
  <c r="AI506" i="2"/>
  <c r="AI505" i="2"/>
  <c r="AI504" i="2"/>
  <c r="AI503" i="2"/>
  <c r="AI502" i="2"/>
  <c r="AI501" i="2"/>
  <c r="AI500" i="2"/>
  <c r="AI499" i="2"/>
  <c r="AI498" i="2"/>
  <c r="AI497" i="2"/>
  <c r="AI496" i="2"/>
  <c r="AI495" i="2"/>
  <c r="AI494" i="2"/>
  <c r="AI493" i="2"/>
  <c r="AI492" i="2"/>
  <c r="AI491" i="2"/>
  <c r="AI490" i="2"/>
  <c r="AI489" i="2"/>
  <c r="AI488" i="2"/>
  <c r="AI487" i="2"/>
  <c r="AI486" i="2"/>
  <c r="AI485" i="2"/>
  <c r="AI484" i="2"/>
  <c r="AI483" i="2"/>
  <c r="AI482" i="2"/>
  <c r="AI481" i="2"/>
  <c r="AI480" i="2"/>
  <c r="AI479" i="2"/>
  <c r="AI478" i="2"/>
  <c r="AI477" i="2"/>
  <c r="AI476" i="2"/>
  <c r="AI475" i="2"/>
  <c r="AI474" i="2"/>
  <c r="AI473" i="2"/>
  <c r="AI472" i="2"/>
  <c r="AI471" i="2"/>
  <c r="AI470" i="2"/>
  <c r="AI469" i="2"/>
  <c r="AI468" i="2"/>
  <c r="AI467" i="2"/>
  <c r="AI466" i="2"/>
  <c r="AI465" i="2"/>
  <c r="AI464" i="2"/>
  <c r="AI463" i="2"/>
  <c r="AI462" i="2"/>
  <c r="AI461" i="2"/>
  <c r="AI460" i="2"/>
  <c r="AI459" i="2"/>
  <c r="AI458" i="2"/>
  <c r="AI457" i="2"/>
  <c r="AI456" i="2"/>
  <c r="AI455" i="2"/>
  <c r="AI454" i="2"/>
  <c r="AI453" i="2"/>
  <c r="AI452" i="2"/>
  <c r="AI451" i="2"/>
  <c r="AI450" i="2"/>
  <c r="AI449" i="2"/>
  <c r="AI448" i="2"/>
  <c r="AI447" i="2"/>
  <c r="AI446" i="2"/>
  <c r="AI445" i="2"/>
  <c r="AI444" i="2"/>
  <c r="AI443" i="2"/>
  <c r="AI442" i="2"/>
  <c r="AI441" i="2"/>
  <c r="AI440" i="2"/>
  <c r="AI439" i="2"/>
  <c r="AI438" i="2"/>
  <c r="AI437" i="2"/>
  <c r="AI436" i="2"/>
  <c r="AI435" i="2"/>
  <c r="AI434" i="2"/>
  <c r="AI433" i="2"/>
  <c r="AI432" i="2"/>
  <c r="AI431" i="2"/>
  <c r="AI430" i="2"/>
  <c r="AI429" i="2"/>
  <c r="AI428" i="2"/>
  <c r="AI427" i="2"/>
  <c r="AI426" i="2"/>
  <c r="AI425" i="2"/>
  <c r="AI424" i="2"/>
  <c r="AI423" i="2"/>
  <c r="AI422" i="2"/>
  <c r="AI421" i="2"/>
  <c r="AI420" i="2"/>
  <c r="AI419" i="2"/>
  <c r="AI418" i="2"/>
  <c r="AI417" i="2"/>
  <c r="AI416" i="2"/>
  <c r="AI415" i="2"/>
  <c r="AI414" i="2"/>
  <c r="AI413" i="2"/>
  <c r="AI412" i="2"/>
  <c r="AI411" i="2"/>
  <c r="AI410" i="2"/>
  <c r="AI409" i="2"/>
  <c r="AI408" i="2"/>
  <c r="AI407" i="2"/>
  <c r="AI406" i="2"/>
  <c r="AI405" i="2"/>
  <c r="AI404" i="2"/>
  <c r="AI403" i="2"/>
  <c r="AI402" i="2"/>
  <c r="AI401" i="2"/>
  <c r="AI400" i="2"/>
  <c r="AI399" i="2"/>
  <c r="AI398" i="2"/>
  <c r="AI397" i="2"/>
  <c r="AI396" i="2"/>
  <c r="AI395" i="2"/>
  <c r="AI394" i="2"/>
  <c r="AI393" i="2"/>
  <c r="AI392" i="2"/>
  <c r="AI391" i="2"/>
  <c r="AI390" i="2"/>
  <c r="AI389" i="2"/>
  <c r="AI388" i="2"/>
  <c r="AI387" i="2"/>
  <c r="AI386" i="2"/>
  <c r="AI385" i="2"/>
  <c r="AI384" i="2"/>
  <c r="AI383" i="2"/>
  <c r="AI382" i="2"/>
  <c r="AI381" i="2"/>
  <c r="AI380" i="2"/>
  <c r="AI379" i="2"/>
  <c r="AI378" i="2"/>
  <c r="AI377" i="2"/>
  <c r="AI376" i="2"/>
  <c r="AI375" i="2"/>
  <c r="AI374" i="2"/>
  <c r="AI373" i="2"/>
  <c r="AI372" i="2"/>
  <c r="AI371" i="2"/>
  <c r="AI370" i="2"/>
  <c r="AI369" i="2"/>
  <c r="AI368" i="2"/>
  <c r="AI367" i="2"/>
  <c r="AI366" i="2"/>
  <c r="AI365" i="2"/>
  <c r="AI364" i="2"/>
  <c r="AI363" i="2"/>
  <c r="AI362" i="2"/>
  <c r="AI361" i="2"/>
  <c r="AI360" i="2"/>
  <c r="AI359" i="2"/>
  <c r="AI358" i="2"/>
  <c r="AI357" i="2"/>
  <c r="AI356" i="2"/>
  <c r="AI355" i="2"/>
  <c r="AI354" i="2"/>
  <c r="AI353" i="2"/>
  <c r="AI352" i="2"/>
  <c r="AI351" i="2"/>
  <c r="AI350" i="2"/>
  <c r="AI349" i="2"/>
  <c r="AI348" i="2"/>
  <c r="AI347" i="2"/>
  <c r="AI346" i="2"/>
  <c r="AI345" i="2"/>
  <c r="AI344" i="2"/>
  <c r="AI343" i="2"/>
  <c r="AI342" i="2"/>
  <c r="AI341" i="2"/>
  <c r="AI340" i="2"/>
  <c r="AI339" i="2"/>
  <c r="AI338" i="2"/>
  <c r="AI337" i="2"/>
  <c r="AI336" i="2"/>
  <c r="AI335" i="2"/>
  <c r="AI334" i="2"/>
  <c r="AI333" i="2"/>
  <c r="AI332" i="2"/>
  <c r="AI331" i="2"/>
  <c r="AI330" i="2"/>
  <c r="AI329" i="2"/>
  <c r="AI328" i="2"/>
  <c r="AI327" i="2"/>
  <c r="AI326" i="2"/>
  <c r="AI325" i="2"/>
  <c r="AI324" i="2"/>
  <c r="AI323" i="2"/>
  <c r="AI322" i="2"/>
  <c r="AI321" i="2"/>
  <c r="AI320" i="2"/>
  <c r="AI319" i="2"/>
  <c r="AI318" i="2"/>
  <c r="AI317" i="2"/>
  <c r="AI316" i="2"/>
  <c r="AI315" i="2"/>
  <c r="AI314" i="2"/>
  <c r="AI313" i="2"/>
  <c r="AI312" i="2"/>
  <c r="AI311" i="2"/>
  <c r="AI310" i="2"/>
  <c r="AI309" i="2"/>
  <c r="AI308" i="2"/>
  <c r="AI307" i="2"/>
  <c r="AI306" i="2"/>
  <c r="AI305" i="2"/>
  <c r="AI304" i="2"/>
  <c r="AI303" i="2"/>
  <c r="AI302" i="2"/>
  <c r="AI301" i="2"/>
  <c r="AI300" i="2"/>
  <c r="AI299" i="2"/>
  <c r="AI298" i="2"/>
  <c r="AI297" i="2"/>
  <c r="AI296" i="2"/>
  <c r="AI295" i="2"/>
  <c r="AI294" i="2"/>
  <c r="AI293" i="2"/>
  <c r="AI292" i="2"/>
  <c r="AI291" i="2"/>
  <c r="AI290" i="2"/>
  <c r="AI289" i="2"/>
  <c r="AI288" i="2"/>
  <c r="AI287" i="2"/>
  <c r="AI286" i="2"/>
  <c r="AI285" i="2"/>
  <c r="AI284" i="2"/>
  <c r="AI283" i="2"/>
  <c r="AI282" i="2"/>
  <c r="AI281" i="2"/>
  <c r="AI280" i="2"/>
  <c r="AI279" i="2"/>
  <c r="AI278" i="2"/>
  <c r="AI277" i="2"/>
  <c r="AI276" i="2"/>
  <c r="AI275" i="2"/>
  <c r="AI274" i="2"/>
  <c r="AI273" i="2"/>
  <c r="AI272" i="2"/>
  <c r="AI271" i="2"/>
  <c r="AI270" i="2"/>
  <c r="AI269" i="2"/>
  <c r="AI268" i="2"/>
  <c r="AI267" i="2"/>
  <c r="AI266" i="2"/>
  <c r="AI265" i="2"/>
  <c r="AI264" i="2"/>
  <c r="AI263" i="2"/>
  <c r="AI262" i="2"/>
  <c r="AI261" i="2"/>
  <c r="AI260" i="2"/>
  <c r="AI259" i="2"/>
  <c r="AI258" i="2"/>
  <c r="AI257" i="2"/>
  <c r="AI256" i="2"/>
  <c r="AI255" i="2"/>
  <c r="AI254" i="2"/>
  <c r="AI253" i="2"/>
  <c r="AI252" i="2"/>
  <c r="AI251" i="2"/>
  <c r="AI250" i="2"/>
  <c r="AI249" i="2"/>
  <c r="AI248" i="2"/>
  <c r="AI247" i="2"/>
  <c r="AI246" i="2"/>
  <c r="AI245" i="2"/>
  <c r="AI244" i="2"/>
  <c r="AI243" i="2"/>
  <c r="AI242" i="2"/>
  <c r="AI241" i="2"/>
  <c r="AI240" i="2"/>
  <c r="AI239" i="2"/>
  <c r="AI238" i="2"/>
  <c r="AI237" i="2"/>
  <c r="AI236" i="2"/>
  <c r="AI235" i="2"/>
  <c r="AI234" i="2"/>
  <c r="AI233" i="2"/>
  <c r="AI232" i="2"/>
  <c r="AI231" i="2"/>
  <c r="AI230" i="2"/>
  <c r="AI229" i="2"/>
  <c r="AI228" i="2"/>
  <c r="AI227" i="2"/>
  <c r="AI226" i="2"/>
  <c r="AI225" i="2"/>
  <c r="AI224" i="2"/>
  <c r="AI223" i="2"/>
  <c r="AI222" i="2"/>
  <c r="AI221" i="2"/>
  <c r="AI220" i="2"/>
  <c r="AI219" i="2"/>
  <c r="AI218" i="2"/>
  <c r="AI217" i="2"/>
  <c r="AI216" i="2"/>
  <c r="AI215" i="2"/>
  <c r="AI214" i="2"/>
  <c r="AI213" i="2"/>
  <c r="AI212" i="2"/>
  <c r="AI211" i="2"/>
  <c r="AI210" i="2"/>
  <c r="AI209" i="2"/>
  <c r="AI208" i="2"/>
  <c r="AI207" i="2"/>
  <c r="AI206" i="2"/>
  <c r="AI205" i="2"/>
  <c r="AI204" i="2"/>
  <c r="AI203" i="2"/>
  <c r="AI202" i="2"/>
  <c r="AI201" i="2"/>
  <c r="AI200" i="2"/>
  <c r="AI199" i="2"/>
  <c r="AI198" i="2"/>
  <c r="AI197" i="2"/>
  <c r="AI196" i="2"/>
  <c r="AI195" i="2"/>
  <c r="AI194" i="2"/>
  <c r="AI193" i="2"/>
  <c r="AI192" i="2"/>
  <c r="AI191" i="2"/>
  <c r="AI190" i="2"/>
  <c r="AI189" i="2"/>
  <c r="AI188" i="2"/>
  <c r="AI187" i="2"/>
  <c r="AI186" i="2"/>
  <c r="AI185" i="2"/>
  <c r="AI184" i="2"/>
  <c r="AI183" i="2"/>
  <c r="AI182" i="2"/>
  <c r="AI181" i="2"/>
  <c r="AI180" i="2"/>
  <c r="AI179" i="2"/>
  <c r="AI178" i="2"/>
  <c r="AI177" i="2"/>
  <c r="AI176" i="2"/>
  <c r="AI175" i="2"/>
  <c r="AI174" i="2"/>
  <c r="AI173" i="2"/>
  <c r="AI172" i="2"/>
  <c r="AI171" i="2"/>
  <c r="AI170" i="2"/>
  <c r="AI169" i="2"/>
  <c r="AI168" i="2"/>
  <c r="AI167" i="2"/>
  <c r="AI166" i="2"/>
  <c r="AI165" i="2"/>
  <c r="AI164" i="2"/>
  <c r="AI163" i="2"/>
  <c r="AI162" i="2"/>
  <c r="AI161" i="2"/>
  <c r="AI160" i="2"/>
  <c r="AI159" i="2"/>
  <c r="AI158" i="2"/>
  <c r="AI157" i="2"/>
  <c r="AI156" i="2"/>
  <c r="AI155" i="2"/>
  <c r="AI154" i="2"/>
  <c r="AI153" i="2"/>
  <c r="AI152" i="2"/>
  <c r="AI151" i="2"/>
  <c r="AI150" i="2"/>
  <c r="AI149" i="2"/>
  <c r="AI148" i="2"/>
  <c r="AI147" i="2"/>
  <c r="AI146" i="2"/>
  <c r="AI145" i="2"/>
  <c r="AI144" i="2"/>
  <c r="AI143" i="2"/>
  <c r="AI142" i="2"/>
  <c r="AI141" i="2"/>
  <c r="AI140" i="2"/>
  <c r="AI139" i="2"/>
  <c r="AI138" i="2"/>
  <c r="AI137" i="2"/>
  <c r="AI136" i="2"/>
  <c r="AI135" i="2"/>
  <c r="AI134" i="2"/>
  <c r="AI133" i="2"/>
  <c r="AI132" i="2"/>
  <c r="AI131" i="2"/>
  <c r="AI130" i="2"/>
  <c r="AI129" i="2"/>
  <c r="AI128" i="2"/>
  <c r="AI127" i="2"/>
  <c r="AI126" i="2"/>
  <c r="AI125" i="2"/>
  <c r="AI124" i="2"/>
  <c r="AI123" i="2"/>
  <c r="AI122" i="2"/>
  <c r="AI121" i="2"/>
  <c r="AI120" i="2"/>
  <c r="AI119" i="2"/>
  <c r="AI118" i="2"/>
  <c r="AI117" i="2"/>
  <c r="AI116" i="2"/>
  <c r="AI115" i="2"/>
  <c r="AI114" i="2"/>
  <c r="AI113" i="2"/>
  <c r="AI112" i="2"/>
  <c r="AI111" i="2"/>
  <c r="AI110" i="2"/>
  <c r="AI109" i="2"/>
  <c r="AI108" i="2"/>
  <c r="AI107" i="2"/>
  <c r="AI106" i="2"/>
  <c r="AI105" i="2"/>
  <c r="AI104" i="2"/>
  <c r="AI103" i="2"/>
  <c r="AI102" i="2"/>
  <c r="AI101" i="2"/>
  <c r="AI100" i="2"/>
  <c r="AI99" i="2"/>
  <c r="AI98" i="2"/>
  <c r="AI97" i="2"/>
  <c r="AI96" i="2"/>
  <c r="AI95" i="2"/>
  <c r="AI94" i="2"/>
  <c r="AI93" i="2"/>
  <c r="AI92" i="2"/>
  <c r="AI91" i="2"/>
  <c r="AI90" i="2"/>
  <c r="AI89" i="2"/>
  <c r="AI88" i="2"/>
  <c r="AI87" i="2"/>
  <c r="AI86" i="2"/>
  <c r="AI85" i="2"/>
  <c r="AI84" i="2"/>
  <c r="AI83" i="2"/>
  <c r="AI82" i="2"/>
  <c r="AI81" i="2"/>
  <c r="AI80" i="2"/>
  <c r="AI79" i="2"/>
  <c r="AI78" i="2"/>
  <c r="AI77" i="2"/>
  <c r="AI76" i="2"/>
  <c r="AI75" i="2"/>
  <c r="AI74" i="2"/>
  <c r="AI73" i="2"/>
  <c r="AI72" i="2"/>
  <c r="AI71" i="2"/>
  <c r="AI70" i="2"/>
  <c r="AI69" i="2"/>
  <c r="AI68" i="2"/>
  <c r="AI67" i="2"/>
  <c r="AI66" i="2"/>
  <c r="AI65" i="2"/>
  <c r="AI64" i="2"/>
  <c r="AI63" i="2"/>
  <c r="AI62" i="2"/>
  <c r="AI61" i="2"/>
  <c r="AI60" i="2"/>
  <c r="AI59" i="2"/>
  <c r="AI58" i="2"/>
  <c r="AI57" i="2"/>
  <c r="AI56" i="2"/>
  <c r="AI55" i="2"/>
  <c r="AI54" i="2"/>
  <c r="AI53" i="2"/>
  <c r="AI52" i="2"/>
  <c r="AI51" i="2"/>
  <c r="AI50" i="2"/>
  <c r="AI49" i="2"/>
  <c r="AI48" i="2"/>
  <c r="AI47" i="2"/>
  <c r="AI46" i="2"/>
  <c r="AI45" i="2"/>
  <c r="AI44" i="2"/>
  <c r="AI43" i="2"/>
  <c r="AI42" i="2"/>
  <c r="AI41" i="2"/>
  <c r="AI40" i="2"/>
  <c r="AI39" i="2"/>
  <c r="AI38" i="2"/>
  <c r="AI37" i="2"/>
  <c r="AI36" i="2"/>
  <c r="AI35" i="2"/>
  <c r="AI34" i="2"/>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I6" i="2"/>
  <c r="AI5" i="2"/>
  <c r="AI4" i="2"/>
  <c r="AI3" i="2"/>
  <c r="AI2" i="2"/>
  <c r="AH1601" i="2"/>
  <c r="AH1600" i="2"/>
  <c r="AH1599" i="2"/>
  <c r="AH1598" i="2"/>
  <c r="AH1597" i="2"/>
  <c r="AH1596" i="2"/>
  <c r="AH1595" i="2"/>
  <c r="AH1594" i="2"/>
  <c r="AH1593" i="2"/>
  <c r="AH1592" i="2"/>
  <c r="AH1591" i="2"/>
  <c r="AH1590" i="2"/>
  <c r="AH1589" i="2"/>
  <c r="AH1588" i="2"/>
  <c r="AH1587" i="2"/>
  <c r="AH1586" i="2"/>
  <c r="AH1585" i="2"/>
  <c r="AH1584" i="2"/>
  <c r="AH1583" i="2"/>
  <c r="AH1582" i="2"/>
  <c r="AH1581" i="2"/>
  <c r="AH1580" i="2"/>
  <c r="AH1579" i="2"/>
  <c r="AH1578" i="2"/>
  <c r="AH1577" i="2"/>
  <c r="AH1576" i="2"/>
  <c r="AH1575" i="2"/>
  <c r="AH1574" i="2"/>
  <c r="AH1573" i="2"/>
  <c r="AH1572" i="2"/>
  <c r="AH1571" i="2"/>
  <c r="AH1570" i="2"/>
  <c r="AH1569" i="2"/>
  <c r="AH1568" i="2"/>
  <c r="AH1567" i="2"/>
  <c r="AH1566" i="2"/>
  <c r="AH1565" i="2"/>
  <c r="AH1564" i="2"/>
  <c r="AH1563" i="2"/>
  <c r="AH1562" i="2"/>
  <c r="AH1561" i="2"/>
  <c r="AH1560" i="2"/>
  <c r="AH1559" i="2"/>
  <c r="AH1558" i="2"/>
  <c r="AH1557" i="2"/>
  <c r="AH1556" i="2"/>
  <c r="AH1555" i="2"/>
  <c r="AH1554" i="2"/>
  <c r="AH1553" i="2"/>
  <c r="AH1552" i="2"/>
  <c r="AH1551" i="2"/>
  <c r="AH1550" i="2"/>
  <c r="AH1549" i="2"/>
  <c r="AH1548" i="2"/>
  <c r="AH1547" i="2"/>
  <c r="AH1546" i="2"/>
  <c r="AH1545" i="2"/>
  <c r="AH1544" i="2"/>
  <c r="AH1543" i="2"/>
  <c r="AH1542" i="2"/>
  <c r="AH1541" i="2"/>
  <c r="AH1540" i="2"/>
  <c r="AH1539" i="2"/>
  <c r="AH1538" i="2"/>
  <c r="AH1537" i="2"/>
  <c r="AH1536" i="2"/>
  <c r="AH1535" i="2"/>
  <c r="AH1534" i="2"/>
  <c r="AH1533" i="2"/>
  <c r="AH1532" i="2"/>
  <c r="AH1531" i="2"/>
  <c r="AH1530" i="2"/>
  <c r="AH1529" i="2"/>
  <c r="AH1528" i="2"/>
  <c r="AH1527" i="2"/>
  <c r="AH1526" i="2"/>
  <c r="AH1525" i="2"/>
  <c r="AH1524" i="2"/>
  <c r="AH1523" i="2"/>
  <c r="AH1522" i="2"/>
  <c r="AH1521" i="2"/>
  <c r="AH1520" i="2"/>
  <c r="AH1519" i="2"/>
  <c r="AH1518" i="2"/>
  <c r="AH1517" i="2"/>
  <c r="AH1516" i="2"/>
  <c r="AH1515" i="2"/>
  <c r="AH1514" i="2"/>
  <c r="AH1513" i="2"/>
  <c r="AH1512" i="2"/>
  <c r="AH1511" i="2"/>
  <c r="AH1510" i="2"/>
  <c r="AH1509" i="2"/>
  <c r="AH1508" i="2"/>
  <c r="AH1507" i="2"/>
  <c r="AH1506" i="2"/>
  <c r="AH1505" i="2"/>
  <c r="AH1504" i="2"/>
  <c r="AH1503" i="2"/>
  <c r="AH1502" i="2"/>
  <c r="AH1501" i="2"/>
  <c r="AH1500" i="2"/>
  <c r="AH1499" i="2"/>
  <c r="AH1498" i="2"/>
  <c r="AH1497" i="2"/>
  <c r="AH1496" i="2"/>
  <c r="AH1495" i="2"/>
  <c r="AH1494" i="2"/>
  <c r="AH1493" i="2"/>
  <c r="AH1492" i="2"/>
  <c r="AH1491" i="2"/>
  <c r="AH1490" i="2"/>
  <c r="AH1489" i="2"/>
  <c r="AH1488" i="2"/>
  <c r="AH1487" i="2"/>
  <c r="AH1486" i="2"/>
  <c r="AH1485" i="2"/>
  <c r="AH1484" i="2"/>
  <c r="AH1483" i="2"/>
  <c r="AH1482" i="2"/>
  <c r="AH1481" i="2"/>
  <c r="AH1480" i="2"/>
  <c r="AH1479" i="2"/>
  <c r="AH1478" i="2"/>
  <c r="AH1477" i="2"/>
  <c r="AH1476" i="2"/>
  <c r="AH1475" i="2"/>
  <c r="AH1474" i="2"/>
  <c r="AH1473" i="2"/>
  <c r="AH1472" i="2"/>
  <c r="AH1471" i="2"/>
  <c r="AH1470" i="2"/>
  <c r="AH1469" i="2"/>
  <c r="AH1468" i="2"/>
  <c r="AH1467" i="2"/>
  <c r="AH1466" i="2"/>
  <c r="AH1465" i="2"/>
  <c r="AH1464" i="2"/>
  <c r="AH1463" i="2"/>
  <c r="AH1462" i="2"/>
  <c r="AH1461" i="2"/>
  <c r="AH1460" i="2"/>
  <c r="AH1459" i="2"/>
  <c r="AH1458" i="2"/>
  <c r="AH1457" i="2"/>
  <c r="AH1456" i="2"/>
  <c r="AH1455" i="2"/>
  <c r="AH1454" i="2"/>
  <c r="AH1453" i="2"/>
  <c r="AH1452" i="2"/>
  <c r="AH1451" i="2"/>
  <c r="AH1450" i="2"/>
  <c r="AH1449" i="2"/>
  <c r="AH1448" i="2"/>
  <c r="AH1447" i="2"/>
  <c r="AH1446" i="2"/>
  <c r="AH1445" i="2"/>
  <c r="AH1444" i="2"/>
  <c r="AH1443" i="2"/>
  <c r="AH1442" i="2"/>
  <c r="AH1441" i="2"/>
  <c r="AH1440" i="2"/>
  <c r="AH1439" i="2"/>
  <c r="AH1438" i="2"/>
  <c r="AH1437" i="2"/>
  <c r="AH1436" i="2"/>
  <c r="AH1435" i="2"/>
  <c r="AH1434" i="2"/>
  <c r="AH1433" i="2"/>
  <c r="AH1432" i="2"/>
  <c r="AH1431" i="2"/>
  <c r="AH1430" i="2"/>
  <c r="AH1429" i="2"/>
  <c r="AH1428" i="2"/>
  <c r="AH1427" i="2"/>
  <c r="AH1426" i="2"/>
  <c r="AH1425" i="2"/>
  <c r="AH1424" i="2"/>
  <c r="AH1423" i="2"/>
  <c r="AH1422" i="2"/>
  <c r="AH1421" i="2"/>
  <c r="AH1420" i="2"/>
  <c r="AH1419" i="2"/>
  <c r="AH1418" i="2"/>
  <c r="AH1417" i="2"/>
  <c r="AH1416" i="2"/>
  <c r="AH1415" i="2"/>
  <c r="AH1414" i="2"/>
  <c r="AH1413" i="2"/>
  <c r="AH1412" i="2"/>
  <c r="AH1411" i="2"/>
  <c r="AH1410" i="2"/>
  <c r="AH1409" i="2"/>
  <c r="AH1408" i="2"/>
  <c r="AH1407" i="2"/>
  <c r="AH1406" i="2"/>
  <c r="AH1405" i="2"/>
  <c r="AH1404" i="2"/>
  <c r="AH1403" i="2"/>
  <c r="AH1402" i="2"/>
  <c r="AH1401" i="2"/>
  <c r="AH1400" i="2"/>
  <c r="AH1399" i="2"/>
  <c r="AH1398" i="2"/>
  <c r="AH1397" i="2"/>
  <c r="AH1396" i="2"/>
  <c r="AH1395" i="2"/>
  <c r="AH1394" i="2"/>
  <c r="AH1393" i="2"/>
  <c r="AH1392" i="2"/>
  <c r="AH1391" i="2"/>
  <c r="AH1390" i="2"/>
  <c r="AH1389" i="2"/>
  <c r="AH1388" i="2"/>
  <c r="AH1387" i="2"/>
  <c r="AH1386" i="2"/>
  <c r="AH1385" i="2"/>
  <c r="AH1384" i="2"/>
  <c r="AH1383" i="2"/>
  <c r="AH1382" i="2"/>
  <c r="AH1381" i="2"/>
  <c r="AH1380" i="2"/>
  <c r="AH1379" i="2"/>
  <c r="AH1378" i="2"/>
  <c r="AH1377" i="2"/>
  <c r="AH1376" i="2"/>
  <c r="AH1375" i="2"/>
  <c r="AH1374" i="2"/>
  <c r="AH1373" i="2"/>
  <c r="AH1372" i="2"/>
  <c r="AH1371" i="2"/>
  <c r="AH1370" i="2"/>
  <c r="AH1369" i="2"/>
  <c r="AH1368" i="2"/>
  <c r="AH1367" i="2"/>
  <c r="AH1366" i="2"/>
  <c r="AH1365" i="2"/>
  <c r="AH1364" i="2"/>
  <c r="AH1363" i="2"/>
  <c r="AH1362" i="2"/>
  <c r="AH1361" i="2"/>
  <c r="AH1360" i="2"/>
  <c r="AH1359" i="2"/>
  <c r="AH1358" i="2"/>
  <c r="AH1357" i="2"/>
  <c r="AH1356" i="2"/>
  <c r="AH1355" i="2"/>
  <c r="AH1354" i="2"/>
  <c r="AH1353" i="2"/>
  <c r="AH1352" i="2"/>
  <c r="AH1351" i="2"/>
  <c r="AH1350" i="2"/>
  <c r="AH1349" i="2"/>
  <c r="AH1348" i="2"/>
  <c r="AH1347" i="2"/>
  <c r="AH1346" i="2"/>
  <c r="AH1345" i="2"/>
  <c r="AH1344" i="2"/>
  <c r="AH1343" i="2"/>
  <c r="AH1342" i="2"/>
  <c r="AH1341" i="2"/>
  <c r="AH1340" i="2"/>
  <c r="AH1339" i="2"/>
  <c r="AH1338" i="2"/>
  <c r="AH1337" i="2"/>
  <c r="AH1336" i="2"/>
  <c r="AH1335" i="2"/>
  <c r="AH1334" i="2"/>
  <c r="AH1333" i="2"/>
  <c r="AH1332" i="2"/>
  <c r="AH1331" i="2"/>
  <c r="AH1330" i="2"/>
  <c r="AH1329" i="2"/>
  <c r="AH1328" i="2"/>
  <c r="AH1327" i="2"/>
  <c r="AH1326" i="2"/>
  <c r="AH1325" i="2"/>
  <c r="AH1324" i="2"/>
  <c r="AH1323" i="2"/>
  <c r="AH1322" i="2"/>
  <c r="AH1321" i="2"/>
  <c r="AH1320" i="2"/>
  <c r="AH1319" i="2"/>
  <c r="AH1318" i="2"/>
  <c r="AH1317" i="2"/>
  <c r="AH1316" i="2"/>
  <c r="AH1315" i="2"/>
  <c r="AH1314" i="2"/>
  <c r="AH1313" i="2"/>
  <c r="AH1312" i="2"/>
  <c r="AH1311" i="2"/>
  <c r="AH1310" i="2"/>
  <c r="AH1309" i="2"/>
  <c r="AH1308" i="2"/>
  <c r="AH1307" i="2"/>
  <c r="AH1306" i="2"/>
  <c r="AH1305" i="2"/>
  <c r="AH1304" i="2"/>
  <c r="AH1303" i="2"/>
  <c r="AH1302" i="2"/>
  <c r="AH1301" i="2"/>
  <c r="AH1300" i="2"/>
  <c r="AH1299" i="2"/>
  <c r="AH1298" i="2"/>
  <c r="AH1297" i="2"/>
  <c r="AH1296" i="2"/>
  <c r="AH1295" i="2"/>
  <c r="AH1294" i="2"/>
  <c r="AH1293" i="2"/>
  <c r="AH1292" i="2"/>
  <c r="AH1291" i="2"/>
  <c r="AH1290" i="2"/>
  <c r="AH1289" i="2"/>
  <c r="AH1288" i="2"/>
  <c r="AH1287" i="2"/>
  <c r="AH1286" i="2"/>
  <c r="AH1285" i="2"/>
  <c r="AH1284" i="2"/>
  <c r="AH1283" i="2"/>
  <c r="AH1282" i="2"/>
  <c r="AH1281" i="2"/>
  <c r="AH1280" i="2"/>
  <c r="AH1279" i="2"/>
  <c r="AH1278" i="2"/>
  <c r="AH1277" i="2"/>
  <c r="AH1276" i="2"/>
  <c r="AH1275" i="2"/>
  <c r="AH1274" i="2"/>
  <c r="AH1273" i="2"/>
  <c r="AH1272" i="2"/>
  <c r="AH1271" i="2"/>
  <c r="AH1270" i="2"/>
  <c r="AH1269" i="2"/>
  <c r="AH1268" i="2"/>
  <c r="AH1267" i="2"/>
  <c r="AH1266" i="2"/>
  <c r="AH1265" i="2"/>
  <c r="AH1264" i="2"/>
  <c r="AH1263" i="2"/>
  <c r="AH1262" i="2"/>
  <c r="AH1261" i="2"/>
  <c r="AH1260" i="2"/>
  <c r="AH1259" i="2"/>
  <c r="AH1258" i="2"/>
  <c r="AH1257" i="2"/>
  <c r="AH1256" i="2"/>
  <c r="AH1255" i="2"/>
  <c r="AH1254" i="2"/>
  <c r="AH1253" i="2"/>
  <c r="AH1252" i="2"/>
  <c r="AH1251" i="2"/>
  <c r="AH1250" i="2"/>
  <c r="AH1249" i="2"/>
  <c r="AH1248" i="2"/>
  <c r="AH1247" i="2"/>
  <c r="AH1246" i="2"/>
  <c r="AH1245" i="2"/>
  <c r="AH1244" i="2"/>
  <c r="AH1243" i="2"/>
  <c r="AH1242" i="2"/>
  <c r="AH1241" i="2"/>
  <c r="AH1240" i="2"/>
  <c r="AH1239" i="2"/>
  <c r="AH1238" i="2"/>
  <c r="AH1237" i="2"/>
  <c r="AH1236" i="2"/>
  <c r="AH1235" i="2"/>
  <c r="AH1234" i="2"/>
  <c r="AH1233" i="2"/>
  <c r="AH1232" i="2"/>
  <c r="AH1231" i="2"/>
  <c r="AH1230" i="2"/>
  <c r="AH1229" i="2"/>
  <c r="AH1228" i="2"/>
  <c r="AH1227" i="2"/>
  <c r="AH1226" i="2"/>
  <c r="AH1225" i="2"/>
  <c r="AH1224" i="2"/>
  <c r="AH1223" i="2"/>
  <c r="AH1222" i="2"/>
  <c r="AH1221" i="2"/>
  <c r="AH1220" i="2"/>
  <c r="AH1219" i="2"/>
  <c r="AH1218" i="2"/>
  <c r="AH1217" i="2"/>
  <c r="AH1216" i="2"/>
  <c r="AH1215" i="2"/>
  <c r="AH1214" i="2"/>
  <c r="AH1213" i="2"/>
  <c r="AH1212" i="2"/>
  <c r="AH1211" i="2"/>
  <c r="AH1210" i="2"/>
  <c r="AH1209" i="2"/>
  <c r="AH1208" i="2"/>
  <c r="AH1207" i="2"/>
  <c r="AH1206" i="2"/>
  <c r="AH1205" i="2"/>
  <c r="AH1204" i="2"/>
  <c r="AH1203" i="2"/>
  <c r="AH1202" i="2"/>
  <c r="AH1201" i="2"/>
  <c r="AH1200" i="2"/>
  <c r="AH1199" i="2"/>
  <c r="AH1198" i="2"/>
  <c r="AH1197" i="2"/>
  <c r="AH1196" i="2"/>
  <c r="AH1195" i="2"/>
  <c r="AH1194" i="2"/>
  <c r="AH1193" i="2"/>
  <c r="AH1192" i="2"/>
  <c r="AH1191" i="2"/>
  <c r="AH1190" i="2"/>
  <c r="AH1189" i="2"/>
  <c r="AH1188" i="2"/>
  <c r="AH1187" i="2"/>
  <c r="AH1186" i="2"/>
  <c r="AH1185" i="2"/>
  <c r="AH1184" i="2"/>
  <c r="AH1183" i="2"/>
  <c r="AH1182" i="2"/>
  <c r="AH1181" i="2"/>
  <c r="AH1180" i="2"/>
  <c r="AH1179" i="2"/>
  <c r="AH1178" i="2"/>
  <c r="AH1177" i="2"/>
  <c r="AH1176" i="2"/>
  <c r="AH1175" i="2"/>
  <c r="AH1174" i="2"/>
  <c r="AH1173" i="2"/>
  <c r="AH1172" i="2"/>
  <c r="AH1171" i="2"/>
  <c r="AH1170" i="2"/>
  <c r="AH1169" i="2"/>
  <c r="AH1168" i="2"/>
  <c r="AH1167" i="2"/>
  <c r="AH1166" i="2"/>
  <c r="AH1165" i="2"/>
  <c r="AH1164" i="2"/>
  <c r="AH1163" i="2"/>
  <c r="AH1162" i="2"/>
  <c r="AH1161" i="2"/>
  <c r="AH1160" i="2"/>
  <c r="AH1159" i="2"/>
  <c r="AH1158" i="2"/>
  <c r="AH1157" i="2"/>
  <c r="AH1156" i="2"/>
  <c r="AH1155" i="2"/>
  <c r="AH1154" i="2"/>
  <c r="AH1153" i="2"/>
  <c r="AH1152" i="2"/>
  <c r="AH1151" i="2"/>
  <c r="AH1150" i="2"/>
  <c r="AH1149" i="2"/>
  <c r="AH1148" i="2"/>
  <c r="AH1147" i="2"/>
  <c r="AH1146" i="2"/>
  <c r="AH1145" i="2"/>
  <c r="AH1144" i="2"/>
  <c r="AH1143" i="2"/>
  <c r="AH1142" i="2"/>
  <c r="AH1141" i="2"/>
  <c r="AH1140" i="2"/>
  <c r="AH1139" i="2"/>
  <c r="AH1138" i="2"/>
  <c r="AH1137" i="2"/>
  <c r="AH1136" i="2"/>
  <c r="AH1135" i="2"/>
  <c r="AH1134" i="2"/>
  <c r="AH1133" i="2"/>
  <c r="AH1132" i="2"/>
  <c r="AH1131" i="2"/>
  <c r="AH1130" i="2"/>
  <c r="AH1129" i="2"/>
  <c r="AH1128" i="2"/>
  <c r="AH1127" i="2"/>
  <c r="AH1126" i="2"/>
  <c r="AH1125" i="2"/>
  <c r="AH1124" i="2"/>
  <c r="AH1123" i="2"/>
  <c r="AH1122" i="2"/>
  <c r="AH1121" i="2"/>
  <c r="AH1120" i="2"/>
  <c r="AH1119" i="2"/>
  <c r="AH1118" i="2"/>
  <c r="AH1117" i="2"/>
  <c r="AH1116" i="2"/>
  <c r="AH1115" i="2"/>
  <c r="AH1114" i="2"/>
  <c r="AH1113" i="2"/>
  <c r="AH1112" i="2"/>
  <c r="AH1111" i="2"/>
  <c r="AH1110" i="2"/>
  <c r="AH1109" i="2"/>
  <c r="AH1108" i="2"/>
  <c r="AH1107" i="2"/>
  <c r="AH1106" i="2"/>
  <c r="AH1105" i="2"/>
  <c r="AH1104" i="2"/>
  <c r="AH1103" i="2"/>
  <c r="AH1102" i="2"/>
  <c r="AH1101" i="2"/>
  <c r="AH1100" i="2"/>
  <c r="AH1099" i="2"/>
  <c r="AH1098" i="2"/>
  <c r="AH1097" i="2"/>
  <c r="AH1096" i="2"/>
  <c r="AH1095" i="2"/>
  <c r="AH1094" i="2"/>
  <c r="AH1093" i="2"/>
  <c r="AH1092" i="2"/>
  <c r="AH1091" i="2"/>
  <c r="AH1090" i="2"/>
  <c r="AH1089" i="2"/>
  <c r="AH1088" i="2"/>
  <c r="AH1087" i="2"/>
  <c r="AH1086" i="2"/>
  <c r="AH1085" i="2"/>
  <c r="AH1084" i="2"/>
  <c r="AH1083" i="2"/>
  <c r="AH1082" i="2"/>
  <c r="AH1081" i="2"/>
  <c r="AH1080" i="2"/>
  <c r="AH1079" i="2"/>
  <c r="AH1078" i="2"/>
  <c r="AH1077" i="2"/>
  <c r="AH1076" i="2"/>
  <c r="AH1075" i="2"/>
  <c r="AH1074" i="2"/>
  <c r="AH1073" i="2"/>
  <c r="AH1072" i="2"/>
  <c r="AH1071" i="2"/>
  <c r="AH1070" i="2"/>
  <c r="AH1069" i="2"/>
  <c r="AH1068" i="2"/>
  <c r="AH1067" i="2"/>
  <c r="AH1066" i="2"/>
  <c r="AH1065" i="2"/>
  <c r="AH1064" i="2"/>
  <c r="AH1063" i="2"/>
  <c r="AH1062" i="2"/>
  <c r="AH1061" i="2"/>
  <c r="AH1060" i="2"/>
  <c r="AH1059" i="2"/>
  <c r="AH1058" i="2"/>
  <c r="AH1057" i="2"/>
  <c r="AH1056" i="2"/>
  <c r="AH1055" i="2"/>
  <c r="AH1054" i="2"/>
  <c r="AH1053" i="2"/>
  <c r="AH1052" i="2"/>
  <c r="AH1051" i="2"/>
  <c r="AH1050" i="2"/>
  <c r="AH1049" i="2"/>
  <c r="AH1048" i="2"/>
  <c r="AH1047" i="2"/>
  <c r="AH1046" i="2"/>
  <c r="AH1045" i="2"/>
  <c r="AH1044" i="2"/>
  <c r="AH1043" i="2"/>
  <c r="AH1042" i="2"/>
  <c r="AH1041" i="2"/>
  <c r="AH1040" i="2"/>
  <c r="AH1039" i="2"/>
  <c r="AH1038" i="2"/>
  <c r="AH1037" i="2"/>
  <c r="AH1036" i="2"/>
  <c r="AH1035" i="2"/>
  <c r="AH1034" i="2"/>
  <c r="AH1033" i="2"/>
  <c r="AH1032" i="2"/>
  <c r="AH1031" i="2"/>
  <c r="AH1030" i="2"/>
  <c r="AH1029" i="2"/>
  <c r="AH1028" i="2"/>
  <c r="AH1027" i="2"/>
  <c r="AH1026" i="2"/>
  <c r="AH1025" i="2"/>
  <c r="AH1024" i="2"/>
  <c r="AH1023" i="2"/>
  <c r="AH1022" i="2"/>
  <c r="AH1021" i="2"/>
  <c r="AH1020" i="2"/>
  <c r="AH1019" i="2"/>
  <c r="AH1018" i="2"/>
  <c r="AH1017" i="2"/>
  <c r="AH1016" i="2"/>
  <c r="AH1015" i="2"/>
  <c r="AH1014" i="2"/>
  <c r="AH1013" i="2"/>
  <c r="AH1012" i="2"/>
  <c r="AH1011" i="2"/>
  <c r="AH1010" i="2"/>
  <c r="AH1009" i="2"/>
  <c r="AH1008" i="2"/>
  <c r="AH1007" i="2"/>
  <c r="AH1006" i="2"/>
  <c r="AH1005" i="2"/>
  <c r="AH1004" i="2"/>
  <c r="AH1003" i="2"/>
  <c r="AH1002" i="2"/>
  <c r="AH1001" i="2"/>
  <c r="AH1000" i="2"/>
  <c r="AH999" i="2"/>
  <c r="AH998" i="2"/>
  <c r="AH997" i="2"/>
  <c r="AH996" i="2"/>
  <c r="AH995" i="2"/>
  <c r="AH994" i="2"/>
  <c r="AH993" i="2"/>
  <c r="AH992" i="2"/>
  <c r="AH991" i="2"/>
  <c r="AH990" i="2"/>
  <c r="AH989" i="2"/>
  <c r="AH988" i="2"/>
  <c r="AH987" i="2"/>
  <c r="AH986" i="2"/>
  <c r="AH985" i="2"/>
  <c r="AH984" i="2"/>
  <c r="AH983" i="2"/>
  <c r="AH982" i="2"/>
  <c r="AH981" i="2"/>
  <c r="AH980" i="2"/>
  <c r="AH979" i="2"/>
  <c r="AH978" i="2"/>
  <c r="AH977" i="2"/>
  <c r="AH976" i="2"/>
  <c r="AH975" i="2"/>
  <c r="AH974" i="2"/>
  <c r="AH973" i="2"/>
  <c r="AH972" i="2"/>
  <c r="AH971" i="2"/>
  <c r="AH970" i="2"/>
  <c r="AH969" i="2"/>
  <c r="AH968" i="2"/>
  <c r="AH967" i="2"/>
  <c r="AH966" i="2"/>
  <c r="AH965" i="2"/>
  <c r="AH964" i="2"/>
  <c r="AH963" i="2"/>
  <c r="AH962" i="2"/>
  <c r="AH961" i="2"/>
  <c r="AH960" i="2"/>
  <c r="AH959" i="2"/>
  <c r="AH958" i="2"/>
  <c r="AH957" i="2"/>
  <c r="AH956" i="2"/>
  <c r="AH955" i="2"/>
  <c r="AH954" i="2"/>
  <c r="AH953" i="2"/>
  <c r="AH952" i="2"/>
  <c r="AH951" i="2"/>
  <c r="AH950" i="2"/>
  <c r="AH949" i="2"/>
  <c r="AH948" i="2"/>
  <c r="AH947" i="2"/>
  <c r="AH946" i="2"/>
  <c r="AH945" i="2"/>
  <c r="AH944" i="2"/>
  <c r="AH943" i="2"/>
  <c r="AH942" i="2"/>
  <c r="AH941" i="2"/>
  <c r="AH940" i="2"/>
  <c r="AH939" i="2"/>
  <c r="AH938" i="2"/>
  <c r="AH937" i="2"/>
  <c r="AH936" i="2"/>
  <c r="AH935" i="2"/>
  <c r="AH934" i="2"/>
  <c r="AH933" i="2"/>
  <c r="AH932" i="2"/>
  <c r="AH931" i="2"/>
  <c r="AH930" i="2"/>
  <c r="AH929" i="2"/>
  <c r="AH928" i="2"/>
  <c r="AH927" i="2"/>
  <c r="AH926" i="2"/>
  <c r="AH925" i="2"/>
  <c r="AH924" i="2"/>
  <c r="AH923" i="2"/>
  <c r="AH922" i="2"/>
  <c r="AH921" i="2"/>
  <c r="AH920" i="2"/>
  <c r="AH919" i="2"/>
  <c r="AH918" i="2"/>
  <c r="AH917" i="2"/>
  <c r="AH916" i="2"/>
  <c r="AH915" i="2"/>
  <c r="AH914" i="2"/>
  <c r="AH913" i="2"/>
  <c r="AH912" i="2"/>
  <c r="AH911" i="2"/>
  <c r="AH910" i="2"/>
  <c r="AH909" i="2"/>
  <c r="AH908" i="2"/>
  <c r="AH907" i="2"/>
  <c r="AH906" i="2"/>
  <c r="AH905" i="2"/>
  <c r="AH904" i="2"/>
  <c r="AH903" i="2"/>
  <c r="AH902" i="2"/>
  <c r="AH901" i="2"/>
  <c r="AH900" i="2"/>
  <c r="AH899" i="2"/>
  <c r="AH898" i="2"/>
  <c r="AH897" i="2"/>
  <c r="AH896" i="2"/>
  <c r="AH895" i="2"/>
  <c r="AH894" i="2"/>
  <c r="AH893" i="2"/>
  <c r="AH892" i="2"/>
  <c r="AH891" i="2"/>
  <c r="AH890" i="2"/>
  <c r="AH889" i="2"/>
  <c r="AH888" i="2"/>
  <c r="AH887" i="2"/>
  <c r="AH886" i="2"/>
  <c r="AH885" i="2"/>
  <c r="AH884" i="2"/>
  <c r="AH883" i="2"/>
  <c r="AH882" i="2"/>
  <c r="AH881" i="2"/>
  <c r="AH880" i="2"/>
  <c r="AH879" i="2"/>
  <c r="AH878" i="2"/>
  <c r="AH877" i="2"/>
  <c r="AH876" i="2"/>
  <c r="AH875" i="2"/>
  <c r="AH874" i="2"/>
  <c r="AH873" i="2"/>
  <c r="AH872" i="2"/>
  <c r="AH871" i="2"/>
  <c r="AH870" i="2"/>
  <c r="AH869" i="2"/>
  <c r="AH868" i="2"/>
  <c r="AH867" i="2"/>
  <c r="AH866" i="2"/>
  <c r="AH865" i="2"/>
  <c r="AH864" i="2"/>
  <c r="AH863" i="2"/>
  <c r="AH862" i="2"/>
  <c r="AH861" i="2"/>
  <c r="AH860" i="2"/>
  <c r="AH859" i="2"/>
  <c r="AH858" i="2"/>
  <c r="AH857" i="2"/>
  <c r="AH856" i="2"/>
  <c r="AH855" i="2"/>
  <c r="AH854" i="2"/>
  <c r="AH853" i="2"/>
  <c r="AH852" i="2"/>
  <c r="AH851" i="2"/>
  <c r="AH850" i="2"/>
  <c r="AH849" i="2"/>
  <c r="AH848" i="2"/>
  <c r="AH847" i="2"/>
  <c r="AH846" i="2"/>
  <c r="AH845" i="2"/>
  <c r="AH844" i="2"/>
  <c r="AH843" i="2"/>
  <c r="AH842" i="2"/>
  <c r="AH841" i="2"/>
  <c r="AH840" i="2"/>
  <c r="AH839" i="2"/>
  <c r="AH838" i="2"/>
  <c r="AH837" i="2"/>
  <c r="AH836" i="2"/>
  <c r="AH835" i="2"/>
  <c r="AH834" i="2"/>
  <c r="AH833" i="2"/>
  <c r="AH832" i="2"/>
  <c r="AH831" i="2"/>
  <c r="AH830" i="2"/>
  <c r="AH829" i="2"/>
  <c r="AH828" i="2"/>
  <c r="AH827" i="2"/>
  <c r="AH826" i="2"/>
  <c r="AH825" i="2"/>
  <c r="AH824" i="2"/>
  <c r="AH823" i="2"/>
  <c r="AH822" i="2"/>
  <c r="AH821" i="2"/>
  <c r="AH820" i="2"/>
  <c r="AH819" i="2"/>
  <c r="AH818" i="2"/>
  <c r="AH817" i="2"/>
  <c r="AH816" i="2"/>
  <c r="AH815" i="2"/>
  <c r="AH814" i="2"/>
  <c r="AH813" i="2"/>
  <c r="AH812" i="2"/>
  <c r="AH811" i="2"/>
  <c r="AH810" i="2"/>
  <c r="AH809" i="2"/>
  <c r="AH808" i="2"/>
  <c r="AH807" i="2"/>
  <c r="AH806" i="2"/>
  <c r="AH805" i="2"/>
  <c r="AH804" i="2"/>
  <c r="AH803" i="2"/>
  <c r="AH802" i="2"/>
  <c r="AH801" i="2"/>
  <c r="AH800" i="2"/>
  <c r="AH799" i="2"/>
  <c r="AH798" i="2"/>
  <c r="AH797" i="2"/>
  <c r="AH796" i="2"/>
  <c r="AH795" i="2"/>
  <c r="AH794" i="2"/>
  <c r="AH793" i="2"/>
  <c r="AH792" i="2"/>
  <c r="AH791" i="2"/>
  <c r="AH790" i="2"/>
  <c r="AH789" i="2"/>
  <c r="AH788" i="2"/>
  <c r="AH787" i="2"/>
  <c r="AH786" i="2"/>
  <c r="AH785" i="2"/>
  <c r="AH784" i="2"/>
  <c r="AH783" i="2"/>
  <c r="AH782" i="2"/>
  <c r="AH781" i="2"/>
  <c r="AH780" i="2"/>
  <c r="AH779" i="2"/>
  <c r="AH778" i="2"/>
  <c r="AH777" i="2"/>
  <c r="AH776" i="2"/>
  <c r="AH775" i="2"/>
  <c r="AH774" i="2"/>
  <c r="AH773" i="2"/>
  <c r="AH772" i="2"/>
  <c r="AH771" i="2"/>
  <c r="AH770" i="2"/>
  <c r="AH769" i="2"/>
  <c r="AH768" i="2"/>
  <c r="AH767" i="2"/>
  <c r="AH766" i="2"/>
  <c r="AH765" i="2"/>
  <c r="AH764" i="2"/>
  <c r="AH763" i="2"/>
  <c r="AH762" i="2"/>
  <c r="AH761" i="2"/>
  <c r="AH760" i="2"/>
  <c r="AH759" i="2"/>
  <c r="AH758" i="2"/>
  <c r="AH757" i="2"/>
  <c r="AH756" i="2"/>
  <c r="AH755" i="2"/>
  <c r="AH754" i="2"/>
  <c r="AH753" i="2"/>
  <c r="AH752" i="2"/>
  <c r="AH751" i="2"/>
  <c r="AH750" i="2"/>
  <c r="AH749" i="2"/>
  <c r="AH748" i="2"/>
  <c r="AH747" i="2"/>
  <c r="AH746" i="2"/>
  <c r="AH745" i="2"/>
  <c r="AH744" i="2"/>
  <c r="AH743" i="2"/>
  <c r="AH742" i="2"/>
  <c r="AH741" i="2"/>
  <c r="AH740" i="2"/>
  <c r="AH739" i="2"/>
  <c r="AH738" i="2"/>
  <c r="AH737" i="2"/>
  <c r="AH736" i="2"/>
  <c r="AH735" i="2"/>
  <c r="AH734" i="2"/>
  <c r="AH733" i="2"/>
  <c r="AH732" i="2"/>
  <c r="AH731" i="2"/>
  <c r="AH730" i="2"/>
  <c r="AH729" i="2"/>
  <c r="AH728" i="2"/>
  <c r="AH727" i="2"/>
  <c r="AH726" i="2"/>
  <c r="AH725" i="2"/>
  <c r="AH724" i="2"/>
  <c r="AH723" i="2"/>
  <c r="AH722" i="2"/>
  <c r="AH721" i="2"/>
  <c r="AH720" i="2"/>
  <c r="AH719" i="2"/>
  <c r="AH718" i="2"/>
  <c r="AH717" i="2"/>
  <c r="AH716" i="2"/>
  <c r="AH715" i="2"/>
  <c r="AH714" i="2"/>
  <c r="AH713" i="2"/>
  <c r="AH712" i="2"/>
  <c r="AH711" i="2"/>
  <c r="AH710" i="2"/>
  <c r="AH709" i="2"/>
  <c r="AH708" i="2"/>
  <c r="AH707" i="2"/>
  <c r="AH706" i="2"/>
  <c r="AH705" i="2"/>
  <c r="AH704" i="2"/>
  <c r="AH703" i="2"/>
  <c r="AH702" i="2"/>
  <c r="AH701" i="2"/>
  <c r="AH700" i="2"/>
  <c r="AH699" i="2"/>
  <c r="AH698" i="2"/>
  <c r="AH697" i="2"/>
  <c r="AH696" i="2"/>
  <c r="AH695" i="2"/>
  <c r="AH694" i="2"/>
  <c r="AH693" i="2"/>
  <c r="AH692" i="2"/>
  <c r="AH691" i="2"/>
  <c r="AH690" i="2"/>
  <c r="AH689" i="2"/>
  <c r="AH688" i="2"/>
  <c r="AH687" i="2"/>
  <c r="AH686" i="2"/>
  <c r="AH685" i="2"/>
  <c r="AH684" i="2"/>
  <c r="AH683" i="2"/>
  <c r="AH682" i="2"/>
  <c r="AH681" i="2"/>
  <c r="AH680" i="2"/>
  <c r="AH679" i="2"/>
  <c r="AH678" i="2"/>
  <c r="AH677" i="2"/>
  <c r="AH676" i="2"/>
  <c r="AH675" i="2"/>
  <c r="AH674" i="2"/>
  <c r="AH673" i="2"/>
  <c r="AH672" i="2"/>
  <c r="AH671" i="2"/>
  <c r="AH670" i="2"/>
  <c r="AH669" i="2"/>
  <c r="AH668" i="2"/>
  <c r="AH667" i="2"/>
  <c r="AH666" i="2"/>
  <c r="AH665" i="2"/>
  <c r="AH664" i="2"/>
  <c r="AH663" i="2"/>
  <c r="AH662" i="2"/>
  <c r="AH661" i="2"/>
  <c r="AH660" i="2"/>
  <c r="AH659" i="2"/>
  <c r="AH658" i="2"/>
  <c r="AH657" i="2"/>
  <c r="AH656" i="2"/>
  <c r="AH655" i="2"/>
  <c r="AH654" i="2"/>
  <c r="AH653" i="2"/>
  <c r="AH652" i="2"/>
  <c r="AH651" i="2"/>
  <c r="AH650" i="2"/>
  <c r="AH649" i="2"/>
  <c r="AH648" i="2"/>
  <c r="AH647" i="2"/>
  <c r="AH646" i="2"/>
  <c r="AH645" i="2"/>
  <c r="AH644" i="2"/>
  <c r="AH643" i="2"/>
  <c r="AH642" i="2"/>
  <c r="AH641" i="2"/>
  <c r="AH640" i="2"/>
  <c r="AH639" i="2"/>
  <c r="AH638" i="2"/>
  <c r="AH637" i="2"/>
  <c r="AH636" i="2"/>
  <c r="AH635" i="2"/>
  <c r="AH634" i="2"/>
  <c r="AH633" i="2"/>
  <c r="AH632" i="2"/>
  <c r="AH631" i="2"/>
  <c r="AH630" i="2"/>
  <c r="AH629" i="2"/>
  <c r="AH628" i="2"/>
  <c r="AH627" i="2"/>
  <c r="AH626" i="2"/>
  <c r="AH625" i="2"/>
  <c r="AH624" i="2"/>
  <c r="AH623" i="2"/>
  <c r="AH622" i="2"/>
  <c r="AH621" i="2"/>
  <c r="AH620" i="2"/>
  <c r="AH619" i="2"/>
  <c r="AH618" i="2"/>
  <c r="AH617" i="2"/>
  <c r="AH616" i="2"/>
  <c r="AH615" i="2"/>
  <c r="AH614" i="2"/>
  <c r="AH613" i="2"/>
  <c r="AH612" i="2"/>
  <c r="AH611" i="2"/>
  <c r="AH610" i="2"/>
  <c r="AH609" i="2"/>
  <c r="AH608" i="2"/>
  <c r="AH607" i="2"/>
  <c r="AH606" i="2"/>
  <c r="AH605" i="2"/>
  <c r="AH604" i="2"/>
  <c r="AH603" i="2"/>
  <c r="AH602" i="2"/>
  <c r="AH601" i="2"/>
  <c r="AH600" i="2"/>
  <c r="AH599" i="2"/>
  <c r="AH598" i="2"/>
  <c r="AH597" i="2"/>
  <c r="AH596" i="2"/>
  <c r="AH595" i="2"/>
  <c r="AH594" i="2"/>
  <c r="AH593" i="2"/>
  <c r="AH592" i="2"/>
  <c r="AH591" i="2"/>
  <c r="AH590" i="2"/>
  <c r="AH589" i="2"/>
  <c r="AH588" i="2"/>
  <c r="AH587" i="2"/>
  <c r="AH586" i="2"/>
  <c r="AH585" i="2"/>
  <c r="AH584" i="2"/>
  <c r="AH583" i="2"/>
  <c r="AH582" i="2"/>
  <c r="AH581" i="2"/>
  <c r="AH580" i="2"/>
  <c r="AH579" i="2"/>
  <c r="AH578" i="2"/>
  <c r="AH577" i="2"/>
  <c r="AH576" i="2"/>
  <c r="AH575" i="2"/>
  <c r="AH574" i="2"/>
  <c r="AH573" i="2"/>
  <c r="AH572" i="2"/>
  <c r="AH571" i="2"/>
  <c r="AH570" i="2"/>
  <c r="AH569" i="2"/>
  <c r="AH568" i="2"/>
  <c r="AH567" i="2"/>
  <c r="AH566" i="2"/>
  <c r="AH565" i="2"/>
  <c r="AH564" i="2"/>
  <c r="AH563" i="2"/>
  <c r="AH562" i="2"/>
  <c r="AH561" i="2"/>
  <c r="AH560" i="2"/>
  <c r="AH559" i="2"/>
  <c r="AH558" i="2"/>
  <c r="AH557" i="2"/>
  <c r="AH556" i="2"/>
  <c r="AH555" i="2"/>
  <c r="AH554" i="2"/>
  <c r="AH553" i="2"/>
  <c r="AH552" i="2"/>
  <c r="AH551" i="2"/>
  <c r="AH550" i="2"/>
  <c r="AH549" i="2"/>
  <c r="AH548" i="2"/>
  <c r="AH547" i="2"/>
  <c r="AH546" i="2"/>
  <c r="AH545" i="2"/>
  <c r="AH544" i="2"/>
  <c r="AH543" i="2"/>
  <c r="AH542" i="2"/>
  <c r="AH541" i="2"/>
  <c r="AH540" i="2"/>
  <c r="AH539" i="2"/>
  <c r="AH538" i="2"/>
  <c r="AH537" i="2"/>
  <c r="AH536" i="2"/>
  <c r="AH535" i="2"/>
  <c r="AH534" i="2"/>
  <c r="AH533" i="2"/>
  <c r="AH532" i="2"/>
  <c r="AH531" i="2"/>
  <c r="AH530" i="2"/>
  <c r="AH529" i="2"/>
  <c r="AH528" i="2"/>
  <c r="AH527" i="2"/>
  <c r="AH526" i="2"/>
  <c r="AH525" i="2"/>
  <c r="AH524" i="2"/>
  <c r="AH523" i="2"/>
  <c r="AH522" i="2"/>
  <c r="AH521" i="2"/>
  <c r="AH520" i="2"/>
  <c r="AH519" i="2"/>
  <c r="AH518" i="2"/>
  <c r="AH517" i="2"/>
  <c r="AH516" i="2"/>
  <c r="AH515" i="2"/>
  <c r="AH514" i="2"/>
  <c r="AH513" i="2"/>
  <c r="AH512" i="2"/>
  <c r="AH511" i="2"/>
  <c r="AH510" i="2"/>
  <c r="AH509" i="2"/>
  <c r="AH508" i="2"/>
  <c r="AH507" i="2"/>
  <c r="AH506" i="2"/>
  <c r="AH505" i="2"/>
  <c r="AH504" i="2"/>
  <c r="AH503" i="2"/>
  <c r="AH502" i="2"/>
  <c r="AH501" i="2"/>
  <c r="AH500" i="2"/>
  <c r="AH499" i="2"/>
  <c r="AH498" i="2"/>
  <c r="AH497" i="2"/>
  <c r="AH496" i="2"/>
  <c r="AH495" i="2"/>
  <c r="AH494" i="2"/>
  <c r="AH493" i="2"/>
  <c r="AH492" i="2"/>
  <c r="AH491" i="2"/>
  <c r="AH490" i="2"/>
  <c r="AH489" i="2"/>
  <c r="AH488" i="2"/>
  <c r="AH487" i="2"/>
  <c r="AH486" i="2"/>
  <c r="AH485" i="2"/>
  <c r="AH484" i="2"/>
  <c r="AH483" i="2"/>
  <c r="AH482" i="2"/>
  <c r="AH481" i="2"/>
  <c r="AH480" i="2"/>
  <c r="AH479" i="2"/>
  <c r="AH478" i="2"/>
  <c r="AH477" i="2"/>
  <c r="AH476" i="2"/>
  <c r="AH475" i="2"/>
  <c r="AH474" i="2"/>
  <c r="AH473" i="2"/>
  <c r="AH472" i="2"/>
  <c r="AH471" i="2"/>
  <c r="AH470" i="2"/>
  <c r="AH469" i="2"/>
  <c r="AH468" i="2"/>
  <c r="AH467" i="2"/>
  <c r="AH466" i="2"/>
  <c r="AH465" i="2"/>
  <c r="AH464" i="2"/>
  <c r="AH463" i="2"/>
  <c r="AH462" i="2"/>
  <c r="AH461" i="2"/>
  <c r="AH460" i="2"/>
  <c r="AH459" i="2"/>
  <c r="AH458" i="2"/>
  <c r="AH457" i="2"/>
  <c r="AH456" i="2"/>
  <c r="AH455" i="2"/>
  <c r="AH454" i="2"/>
  <c r="AH453" i="2"/>
  <c r="AH452" i="2"/>
  <c r="AH451" i="2"/>
  <c r="AH450" i="2"/>
  <c r="AH449" i="2"/>
  <c r="AH448" i="2"/>
  <c r="AH447" i="2"/>
  <c r="AH446" i="2"/>
  <c r="AH445" i="2"/>
  <c r="AH444" i="2"/>
  <c r="AH443" i="2"/>
  <c r="AH442" i="2"/>
  <c r="AH441" i="2"/>
  <c r="AH440" i="2"/>
  <c r="AH439" i="2"/>
  <c r="AH438" i="2"/>
  <c r="AH437" i="2"/>
  <c r="AH436" i="2"/>
  <c r="AH435" i="2"/>
  <c r="AH434" i="2"/>
  <c r="AH433" i="2"/>
  <c r="AH432" i="2"/>
  <c r="AH431" i="2"/>
  <c r="AH430" i="2"/>
  <c r="AH429" i="2"/>
  <c r="AH428" i="2"/>
  <c r="AH427" i="2"/>
  <c r="AH426" i="2"/>
  <c r="AH425" i="2"/>
  <c r="AH424" i="2"/>
  <c r="AH423" i="2"/>
  <c r="AH422" i="2"/>
  <c r="AH421" i="2"/>
  <c r="AH420" i="2"/>
  <c r="AH419" i="2"/>
  <c r="AH418" i="2"/>
  <c r="AH417" i="2"/>
  <c r="AH416" i="2"/>
  <c r="AH415" i="2"/>
  <c r="AH414" i="2"/>
  <c r="AH413" i="2"/>
  <c r="AH412" i="2"/>
  <c r="AH411" i="2"/>
  <c r="AH410" i="2"/>
  <c r="AH409" i="2"/>
  <c r="AH408" i="2"/>
  <c r="AH407" i="2"/>
  <c r="AH406" i="2"/>
  <c r="AH405" i="2"/>
  <c r="AH404" i="2"/>
  <c r="AH403" i="2"/>
  <c r="AH402" i="2"/>
  <c r="AH401" i="2"/>
  <c r="AH400" i="2"/>
  <c r="AH399" i="2"/>
  <c r="AH398" i="2"/>
  <c r="AH397" i="2"/>
  <c r="AH396" i="2"/>
  <c r="AH395" i="2"/>
  <c r="AH394" i="2"/>
  <c r="AH393" i="2"/>
  <c r="AH392" i="2"/>
  <c r="AH391" i="2"/>
  <c r="AH390" i="2"/>
  <c r="AH389" i="2"/>
  <c r="AH388" i="2"/>
  <c r="AH387" i="2"/>
  <c r="AH386" i="2"/>
  <c r="AH385" i="2"/>
  <c r="AH384" i="2"/>
  <c r="AH383" i="2"/>
  <c r="AH382" i="2"/>
  <c r="AH381" i="2"/>
  <c r="AH380" i="2"/>
  <c r="AH379" i="2"/>
  <c r="AH378" i="2"/>
  <c r="AH377" i="2"/>
  <c r="AH376" i="2"/>
  <c r="AH375" i="2"/>
  <c r="AH374" i="2"/>
  <c r="AH373" i="2"/>
  <c r="AH372" i="2"/>
  <c r="AH371" i="2"/>
  <c r="AH370" i="2"/>
  <c r="AH369" i="2"/>
  <c r="AH368" i="2"/>
  <c r="AH367" i="2"/>
  <c r="AH366" i="2"/>
  <c r="AH365" i="2"/>
  <c r="AH364" i="2"/>
  <c r="AH363" i="2"/>
  <c r="AH362" i="2"/>
  <c r="AH361" i="2"/>
  <c r="AH360" i="2"/>
  <c r="AH359" i="2"/>
  <c r="AH358" i="2"/>
  <c r="AH357" i="2"/>
  <c r="AH356" i="2"/>
  <c r="AH355" i="2"/>
  <c r="AH354" i="2"/>
  <c r="AH353" i="2"/>
  <c r="AH352" i="2"/>
  <c r="AH351" i="2"/>
  <c r="AH350" i="2"/>
  <c r="AH349" i="2"/>
  <c r="AH348" i="2"/>
  <c r="AH347" i="2"/>
  <c r="AH346" i="2"/>
  <c r="AH345" i="2"/>
  <c r="AH344" i="2"/>
  <c r="AH343" i="2"/>
  <c r="AH342" i="2"/>
  <c r="AH341" i="2"/>
  <c r="AH340" i="2"/>
  <c r="AH339" i="2"/>
  <c r="AH338" i="2"/>
  <c r="AH337" i="2"/>
  <c r="AH336" i="2"/>
  <c r="AH335" i="2"/>
  <c r="AH334" i="2"/>
  <c r="AH333" i="2"/>
  <c r="AH332" i="2"/>
  <c r="AH331" i="2"/>
  <c r="AH330" i="2"/>
  <c r="AH329" i="2"/>
  <c r="AH328" i="2"/>
  <c r="AH327" i="2"/>
  <c r="AH326" i="2"/>
  <c r="AH325" i="2"/>
  <c r="AH324" i="2"/>
  <c r="AH323" i="2"/>
  <c r="AH322" i="2"/>
  <c r="AH321" i="2"/>
  <c r="AH320" i="2"/>
  <c r="AH319" i="2"/>
  <c r="AH318" i="2"/>
  <c r="AH317" i="2"/>
  <c r="AH316" i="2"/>
  <c r="AH315" i="2"/>
  <c r="AH314" i="2"/>
  <c r="AH313" i="2"/>
  <c r="AH312" i="2"/>
  <c r="AH311" i="2"/>
  <c r="AH310" i="2"/>
  <c r="AH309" i="2"/>
  <c r="AH308" i="2"/>
  <c r="AH307" i="2"/>
  <c r="AH306" i="2"/>
  <c r="AH305" i="2"/>
  <c r="AH304" i="2"/>
  <c r="AH303" i="2"/>
  <c r="AH302" i="2"/>
  <c r="AH301" i="2"/>
  <c r="AH300" i="2"/>
  <c r="AH299" i="2"/>
  <c r="AH298" i="2"/>
  <c r="AH297" i="2"/>
  <c r="AH296" i="2"/>
  <c r="AH295" i="2"/>
  <c r="AH294" i="2"/>
  <c r="AH293" i="2"/>
  <c r="AH292" i="2"/>
  <c r="AH291" i="2"/>
  <c r="AH290" i="2"/>
  <c r="AH289" i="2"/>
  <c r="AH288" i="2"/>
  <c r="AH287" i="2"/>
  <c r="AH286" i="2"/>
  <c r="AH285" i="2"/>
  <c r="AH284" i="2"/>
  <c r="AH283" i="2"/>
  <c r="AH282" i="2"/>
  <c r="AH281" i="2"/>
  <c r="AH280" i="2"/>
  <c r="AH279" i="2"/>
  <c r="AH278" i="2"/>
  <c r="AH277" i="2"/>
  <c r="AH276" i="2"/>
  <c r="AH275" i="2"/>
  <c r="AH274" i="2"/>
  <c r="AH273" i="2"/>
  <c r="AH272" i="2"/>
  <c r="AH271" i="2"/>
  <c r="AH270" i="2"/>
  <c r="AH269" i="2"/>
  <c r="AH268" i="2"/>
  <c r="AH267" i="2"/>
  <c r="AH266" i="2"/>
  <c r="AH265" i="2"/>
  <c r="AH264" i="2"/>
  <c r="AH263" i="2"/>
  <c r="AH262" i="2"/>
  <c r="AH261" i="2"/>
  <c r="AH260" i="2"/>
  <c r="AH259" i="2"/>
  <c r="AH258" i="2"/>
  <c r="AH257" i="2"/>
  <c r="AH256" i="2"/>
  <c r="AH255" i="2"/>
  <c r="AH254" i="2"/>
  <c r="AH253" i="2"/>
  <c r="AH252" i="2"/>
  <c r="AH251" i="2"/>
  <c r="AH250" i="2"/>
  <c r="AH249" i="2"/>
  <c r="AH248" i="2"/>
  <c r="AH247" i="2"/>
  <c r="AH246" i="2"/>
  <c r="AH245" i="2"/>
  <c r="AH244" i="2"/>
  <c r="AH243" i="2"/>
  <c r="AH242" i="2"/>
  <c r="AH241" i="2"/>
  <c r="AH240" i="2"/>
  <c r="AH239" i="2"/>
  <c r="AH238" i="2"/>
  <c r="AH237" i="2"/>
  <c r="AH236" i="2"/>
  <c r="AH235" i="2"/>
  <c r="AH234" i="2"/>
  <c r="AH233" i="2"/>
  <c r="AH232" i="2"/>
  <c r="AH231" i="2"/>
  <c r="AH230" i="2"/>
  <c r="AH229" i="2"/>
  <c r="AH228" i="2"/>
  <c r="AH227" i="2"/>
  <c r="AH226" i="2"/>
  <c r="AH225" i="2"/>
  <c r="AH224" i="2"/>
  <c r="AH223" i="2"/>
  <c r="AH222" i="2"/>
  <c r="AH221" i="2"/>
  <c r="AH220" i="2"/>
  <c r="AH219" i="2"/>
  <c r="AH218" i="2"/>
  <c r="AH217" i="2"/>
  <c r="AH216" i="2"/>
  <c r="AH215" i="2"/>
  <c r="AH214" i="2"/>
  <c r="AH213" i="2"/>
  <c r="AH212" i="2"/>
  <c r="AH211" i="2"/>
  <c r="AH210" i="2"/>
  <c r="AH209" i="2"/>
  <c r="AH208" i="2"/>
  <c r="AH207" i="2"/>
  <c r="AH206" i="2"/>
  <c r="AH205" i="2"/>
  <c r="AH204" i="2"/>
  <c r="AH203" i="2"/>
  <c r="AH202" i="2"/>
  <c r="AH201" i="2"/>
  <c r="AH200" i="2"/>
  <c r="AH199" i="2"/>
  <c r="AH198" i="2"/>
  <c r="AH197" i="2"/>
  <c r="AH196" i="2"/>
  <c r="AH195" i="2"/>
  <c r="AH194" i="2"/>
  <c r="AH193" i="2"/>
  <c r="AH192" i="2"/>
  <c r="AH191" i="2"/>
  <c r="AH190" i="2"/>
  <c r="AH189" i="2"/>
  <c r="AH188" i="2"/>
  <c r="AH187" i="2"/>
  <c r="AH186" i="2"/>
  <c r="AH185" i="2"/>
  <c r="AH184" i="2"/>
  <c r="AH183" i="2"/>
  <c r="AH182" i="2"/>
  <c r="AH181" i="2"/>
  <c r="AH180" i="2"/>
  <c r="AH179" i="2"/>
  <c r="AH178" i="2"/>
  <c r="AH177" i="2"/>
  <c r="AH176" i="2"/>
  <c r="AH175" i="2"/>
  <c r="AH174" i="2"/>
  <c r="AH173" i="2"/>
  <c r="AH172" i="2"/>
  <c r="AH171" i="2"/>
  <c r="AH170" i="2"/>
  <c r="AH169" i="2"/>
  <c r="AH168" i="2"/>
  <c r="AH167" i="2"/>
  <c r="AH166" i="2"/>
  <c r="AH165" i="2"/>
  <c r="AH164" i="2"/>
  <c r="AH163" i="2"/>
  <c r="AH162" i="2"/>
  <c r="AH161" i="2"/>
  <c r="AH160" i="2"/>
  <c r="AH159" i="2"/>
  <c r="AH158" i="2"/>
  <c r="AH157" i="2"/>
  <c r="AH156" i="2"/>
  <c r="AH155" i="2"/>
  <c r="AH154" i="2"/>
  <c r="AH153" i="2"/>
  <c r="AH152" i="2"/>
  <c r="AH151" i="2"/>
  <c r="AH150" i="2"/>
  <c r="AH149" i="2"/>
  <c r="AH148" i="2"/>
  <c r="AH147" i="2"/>
  <c r="AH146" i="2"/>
  <c r="AH145" i="2"/>
  <c r="AH144" i="2"/>
  <c r="AH143" i="2"/>
  <c r="AH142" i="2"/>
  <c r="AH141" i="2"/>
  <c r="AH140" i="2"/>
  <c r="AH139" i="2"/>
  <c r="AH138" i="2"/>
  <c r="AH137" i="2"/>
  <c r="AH136" i="2"/>
  <c r="AH135" i="2"/>
  <c r="AH134" i="2"/>
  <c r="AH133" i="2"/>
  <c r="AH132" i="2"/>
  <c r="AH131" i="2"/>
  <c r="AH130" i="2"/>
  <c r="AH129" i="2"/>
  <c r="AH128" i="2"/>
  <c r="AH127" i="2"/>
  <c r="AH126" i="2"/>
  <c r="AH125" i="2"/>
  <c r="AH124" i="2"/>
  <c r="AH123" i="2"/>
  <c r="AH122" i="2"/>
  <c r="AH121" i="2"/>
  <c r="AH120" i="2"/>
  <c r="AH119" i="2"/>
  <c r="AH118" i="2"/>
  <c r="AH117" i="2"/>
  <c r="AH116" i="2"/>
  <c r="AH115" i="2"/>
  <c r="AH114" i="2"/>
  <c r="AH113" i="2"/>
  <c r="AH112" i="2"/>
  <c r="AH111" i="2"/>
  <c r="AH110" i="2"/>
  <c r="AH109" i="2"/>
  <c r="AH108" i="2"/>
  <c r="AH107" i="2"/>
  <c r="AH106" i="2"/>
  <c r="AH105" i="2"/>
  <c r="AH104" i="2"/>
  <c r="AH103" i="2"/>
  <c r="AH102" i="2"/>
  <c r="AH101" i="2"/>
  <c r="AH100" i="2"/>
  <c r="AH99" i="2"/>
  <c r="AH98" i="2"/>
  <c r="AH97" i="2"/>
  <c r="AH96" i="2"/>
  <c r="AH95" i="2"/>
  <c r="AH94" i="2"/>
  <c r="AH93" i="2"/>
  <c r="AH92" i="2"/>
  <c r="AH91" i="2"/>
  <c r="AH90" i="2"/>
  <c r="AH89" i="2"/>
  <c r="AH88" i="2"/>
  <c r="AH87" i="2"/>
  <c r="AH86" i="2"/>
  <c r="AH85" i="2"/>
  <c r="AH84" i="2"/>
  <c r="AH83" i="2"/>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H3" i="2"/>
  <c r="AH2" i="2"/>
  <c r="AG1601" i="2"/>
  <c r="AG1600" i="2"/>
  <c r="AG1599" i="2"/>
  <c r="AG1598" i="2"/>
  <c r="AG1597" i="2"/>
  <c r="AG1596" i="2"/>
  <c r="AG1595" i="2"/>
  <c r="AG1594" i="2"/>
  <c r="AG1593" i="2"/>
  <c r="AG1592" i="2"/>
  <c r="AG1591" i="2"/>
  <c r="AG1590" i="2"/>
  <c r="AG1589" i="2"/>
  <c r="AG1588" i="2"/>
  <c r="AG1587" i="2"/>
  <c r="AG1586" i="2"/>
  <c r="AG1585" i="2"/>
  <c r="AG1584" i="2"/>
  <c r="AG1583" i="2"/>
  <c r="AG1582" i="2"/>
  <c r="AG1581" i="2"/>
  <c r="AG1580" i="2"/>
  <c r="AG1579" i="2"/>
  <c r="AG1578" i="2"/>
  <c r="AG1577" i="2"/>
  <c r="AG1576" i="2"/>
  <c r="AG1575" i="2"/>
  <c r="AG1574" i="2"/>
  <c r="AG1573" i="2"/>
  <c r="AG1572" i="2"/>
  <c r="AG1571" i="2"/>
  <c r="AG1570" i="2"/>
  <c r="AG1569" i="2"/>
  <c r="AG1568" i="2"/>
  <c r="AG1567" i="2"/>
  <c r="AG1566" i="2"/>
  <c r="AG1565" i="2"/>
  <c r="AG1564" i="2"/>
  <c r="AG1563" i="2"/>
  <c r="AG1562" i="2"/>
  <c r="AG1561" i="2"/>
  <c r="AG1560" i="2"/>
  <c r="AG1559" i="2"/>
  <c r="AG1558" i="2"/>
  <c r="AG1557" i="2"/>
  <c r="AG1556" i="2"/>
  <c r="AG1555" i="2"/>
  <c r="AG1554" i="2"/>
  <c r="AG1553" i="2"/>
  <c r="AG1552" i="2"/>
  <c r="AG1551" i="2"/>
  <c r="AG1550" i="2"/>
  <c r="AG1549" i="2"/>
  <c r="AG1548" i="2"/>
  <c r="AG1547" i="2"/>
  <c r="AG1546" i="2"/>
  <c r="AG1545" i="2"/>
  <c r="AG1544" i="2"/>
  <c r="AG1543" i="2"/>
  <c r="AG1542" i="2"/>
  <c r="AG1541" i="2"/>
  <c r="AG1540" i="2"/>
  <c r="AG1539" i="2"/>
  <c r="AG1538" i="2"/>
  <c r="AG1537" i="2"/>
  <c r="AG1536" i="2"/>
  <c r="AG1535" i="2"/>
  <c r="AG1534" i="2"/>
  <c r="AG1533" i="2"/>
  <c r="AG1532" i="2"/>
  <c r="AG1531" i="2"/>
  <c r="AG1530" i="2"/>
  <c r="AG1529" i="2"/>
  <c r="AG1528" i="2"/>
  <c r="AG1527" i="2"/>
  <c r="AG1526" i="2"/>
  <c r="AG1525" i="2"/>
  <c r="AG1524" i="2"/>
  <c r="AG1523" i="2"/>
  <c r="AG1522" i="2"/>
  <c r="AG1521" i="2"/>
  <c r="AG1520" i="2"/>
  <c r="AG1519" i="2"/>
  <c r="AG1518" i="2"/>
  <c r="AG1517" i="2"/>
  <c r="AG1516" i="2"/>
  <c r="AG1515" i="2"/>
  <c r="AG1514" i="2"/>
  <c r="AG1513" i="2"/>
  <c r="AG1512" i="2"/>
  <c r="AG1511" i="2"/>
  <c r="AG1510" i="2"/>
  <c r="AG1509" i="2"/>
  <c r="AG1508" i="2"/>
  <c r="AG1507" i="2"/>
  <c r="AG1506" i="2"/>
  <c r="AG1505" i="2"/>
  <c r="AG1504" i="2"/>
  <c r="AG1503" i="2"/>
  <c r="AG1502" i="2"/>
  <c r="AG1501" i="2"/>
  <c r="AG1500" i="2"/>
  <c r="AG1499" i="2"/>
  <c r="AG1498" i="2"/>
  <c r="AG1497" i="2"/>
  <c r="AG1496" i="2"/>
  <c r="AG1495" i="2"/>
  <c r="AG1494" i="2"/>
  <c r="AG1493" i="2"/>
  <c r="AG1492" i="2"/>
  <c r="AG1491" i="2"/>
  <c r="AG1490" i="2"/>
  <c r="AG1489" i="2"/>
  <c r="AG1488" i="2"/>
  <c r="AG1487" i="2"/>
  <c r="AG1486" i="2"/>
  <c r="AG1485" i="2"/>
  <c r="AG1484" i="2"/>
  <c r="AG1483" i="2"/>
  <c r="AG1482" i="2"/>
  <c r="AG1481" i="2"/>
  <c r="AG1480" i="2"/>
  <c r="AG1479" i="2"/>
  <c r="AG1478" i="2"/>
  <c r="AG1477" i="2"/>
  <c r="AG1476" i="2"/>
  <c r="AG1475" i="2"/>
  <c r="AG1474" i="2"/>
  <c r="AG1473" i="2"/>
  <c r="AG1472" i="2"/>
  <c r="AG1471" i="2"/>
  <c r="AG1470" i="2"/>
  <c r="AG1469" i="2"/>
  <c r="AG1468" i="2"/>
  <c r="AG1467" i="2"/>
  <c r="AG1466" i="2"/>
  <c r="AG1465" i="2"/>
  <c r="AG1464" i="2"/>
  <c r="AG1463" i="2"/>
  <c r="AG1462" i="2"/>
  <c r="AG1461" i="2"/>
  <c r="AG1460" i="2"/>
  <c r="AG1459" i="2"/>
  <c r="AG1458" i="2"/>
  <c r="AG1457" i="2"/>
  <c r="AG1456" i="2"/>
  <c r="AG1455" i="2"/>
  <c r="AG1454" i="2"/>
  <c r="AG1453" i="2"/>
  <c r="AG1452" i="2"/>
  <c r="AG1451" i="2"/>
  <c r="AG1450" i="2"/>
  <c r="AG1449" i="2"/>
  <c r="AG1448" i="2"/>
  <c r="AG1447" i="2"/>
  <c r="AG1446" i="2"/>
  <c r="AG1445" i="2"/>
  <c r="AG1444" i="2"/>
  <c r="AG1443" i="2"/>
  <c r="AG1442" i="2"/>
  <c r="AG1441" i="2"/>
  <c r="AG1440" i="2"/>
  <c r="AG1439" i="2"/>
  <c r="AG1438" i="2"/>
  <c r="AG1437" i="2"/>
  <c r="AG1436" i="2"/>
  <c r="AG1435" i="2"/>
  <c r="AG1434" i="2"/>
  <c r="AG1433" i="2"/>
  <c r="AG1432" i="2"/>
  <c r="AG1431" i="2"/>
  <c r="AG1430" i="2"/>
  <c r="AG1429" i="2"/>
  <c r="AG1428" i="2"/>
  <c r="AG1427" i="2"/>
  <c r="AG1426" i="2"/>
  <c r="AG1425" i="2"/>
  <c r="AG1424" i="2"/>
  <c r="AG1423" i="2"/>
  <c r="AG1422" i="2"/>
  <c r="AG1421" i="2"/>
  <c r="AG1420" i="2"/>
  <c r="AG1419" i="2"/>
  <c r="AG1418" i="2"/>
  <c r="AG1417" i="2"/>
  <c r="AG1416" i="2"/>
  <c r="AG1415" i="2"/>
  <c r="AG1414" i="2"/>
  <c r="AG1413" i="2"/>
  <c r="AG1412" i="2"/>
  <c r="AG1411" i="2"/>
  <c r="AG1410" i="2"/>
  <c r="AG1409" i="2"/>
  <c r="AG1408" i="2"/>
  <c r="AG1407" i="2"/>
  <c r="AG1406" i="2"/>
  <c r="AG1405" i="2"/>
  <c r="AG1404" i="2"/>
  <c r="AG1403" i="2"/>
  <c r="AG1402" i="2"/>
  <c r="AG1401" i="2"/>
  <c r="AG1400" i="2"/>
  <c r="AG1399" i="2"/>
  <c r="AG1398" i="2"/>
  <c r="AG1397" i="2"/>
  <c r="AG1396" i="2"/>
  <c r="AG1395" i="2"/>
  <c r="AG1394" i="2"/>
  <c r="AG1393" i="2"/>
  <c r="AG1392" i="2"/>
  <c r="AG1391" i="2"/>
  <c r="AG1390" i="2"/>
  <c r="AG1389" i="2"/>
  <c r="AG1388" i="2"/>
  <c r="AG1387" i="2"/>
  <c r="AG1386" i="2"/>
  <c r="AG1385" i="2"/>
  <c r="AG1384" i="2"/>
  <c r="AG1383" i="2"/>
  <c r="AG1382" i="2"/>
  <c r="AG1381" i="2"/>
  <c r="AG1380" i="2"/>
  <c r="AG1379" i="2"/>
  <c r="AG1378" i="2"/>
  <c r="AG1377" i="2"/>
  <c r="AG1376" i="2"/>
  <c r="AG1375" i="2"/>
  <c r="AG1374" i="2"/>
  <c r="AG1373" i="2"/>
  <c r="AG1372" i="2"/>
  <c r="AG1371" i="2"/>
  <c r="AG1370" i="2"/>
  <c r="AG1369" i="2"/>
  <c r="AG1368" i="2"/>
  <c r="AG1367" i="2"/>
  <c r="AG1366" i="2"/>
  <c r="AG1365" i="2"/>
  <c r="AG1364" i="2"/>
  <c r="AG1363" i="2"/>
  <c r="AG1362" i="2"/>
  <c r="AG1361" i="2"/>
  <c r="AG1360" i="2"/>
  <c r="AG1359" i="2"/>
  <c r="AG1358" i="2"/>
  <c r="AG1357" i="2"/>
  <c r="AG1356" i="2"/>
  <c r="AG1355" i="2"/>
  <c r="AG1354" i="2"/>
  <c r="AG1353" i="2"/>
  <c r="AG1352" i="2"/>
  <c r="AG1351" i="2"/>
  <c r="AG1350" i="2"/>
  <c r="AG1349" i="2"/>
  <c r="AG1348" i="2"/>
  <c r="AG1347" i="2"/>
  <c r="AG1346" i="2"/>
  <c r="AG1345" i="2"/>
  <c r="AG1344" i="2"/>
  <c r="AG1343" i="2"/>
  <c r="AG1342" i="2"/>
  <c r="AG1341" i="2"/>
  <c r="AG1340" i="2"/>
  <c r="AG1339" i="2"/>
  <c r="AG1338" i="2"/>
  <c r="AG1337" i="2"/>
  <c r="AG1336" i="2"/>
  <c r="AG1335" i="2"/>
  <c r="AG1334" i="2"/>
  <c r="AG1333" i="2"/>
  <c r="AG1332" i="2"/>
  <c r="AG1331" i="2"/>
  <c r="AG1330" i="2"/>
  <c r="AG1329" i="2"/>
  <c r="AG1328" i="2"/>
  <c r="AG1327" i="2"/>
  <c r="AG1326" i="2"/>
  <c r="AG1325" i="2"/>
  <c r="AG1324" i="2"/>
  <c r="AG1323" i="2"/>
  <c r="AG1322" i="2"/>
  <c r="AG1321" i="2"/>
  <c r="AG1320" i="2"/>
  <c r="AG1319" i="2"/>
  <c r="AG1318" i="2"/>
  <c r="AG1317" i="2"/>
  <c r="AG1316" i="2"/>
  <c r="AG1315" i="2"/>
  <c r="AG1314" i="2"/>
  <c r="AG1313" i="2"/>
  <c r="AG1312" i="2"/>
  <c r="AG1311" i="2"/>
  <c r="AG1310" i="2"/>
  <c r="AG1309" i="2"/>
  <c r="AG1308" i="2"/>
  <c r="AG1307" i="2"/>
  <c r="AG1306" i="2"/>
  <c r="AG1305" i="2"/>
  <c r="AG1304" i="2"/>
  <c r="AG1303" i="2"/>
  <c r="AG1302" i="2"/>
  <c r="AG1301" i="2"/>
  <c r="AG1300" i="2"/>
  <c r="AG1299" i="2"/>
  <c r="AG1298" i="2"/>
  <c r="AG1297" i="2"/>
  <c r="AG1296" i="2"/>
  <c r="AG1295" i="2"/>
  <c r="AG1294" i="2"/>
  <c r="AG1293" i="2"/>
  <c r="AG1292" i="2"/>
  <c r="AG1291" i="2"/>
  <c r="AG1290" i="2"/>
  <c r="AG1289" i="2"/>
  <c r="AG1288" i="2"/>
  <c r="AG1287" i="2"/>
  <c r="AG1286" i="2"/>
  <c r="AG1285" i="2"/>
  <c r="AG1284" i="2"/>
  <c r="AG1283" i="2"/>
  <c r="AG1282" i="2"/>
  <c r="AG1281" i="2"/>
  <c r="AG1280" i="2"/>
  <c r="AG1279" i="2"/>
  <c r="AG1278" i="2"/>
  <c r="AG1277" i="2"/>
  <c r="AG1276" i="2"/>
  <c r="AG1275" i="2"/>
  <c r="AG1274" i="2"/>
  <c r="AG1273" i="2"/>
  <c r="AG1272" i="2"/>
  <c r="AG1271" i="2"/>
  <c r="AG1270" i="2"/>
  <c r="AG1269" i="2"/>
  <c r="AG1268" i="2"/>
  <c r="AG1267" i="2"/>
  <c r="AG1266" i="2"/>
  <c r="AG1265" i="2"/>
  <c r="AG1264" i="2"/>
  <c r="AG1263" i="2"/>
  <c r="AG1262" i="2"/>
  <c r="AG1261" i="2"/>
  <c r="AG1260" i="2"/>
  <c r="AG1259" i="2"/>
  <c r="AG1258" i="2"/>
  <c r="AG1257" i="2"/>
  <c r="AG1256" i="2"/>
  <c r="AG1255" i="2"/>
  <c r="AG1254" i="2"/>
  <c r="AG1253" i="2"/>
  <c r="AG1252" i="2"/>
  <c r="AG1251" i="2"/>
  <c r="AG1250" i="2"/>
  <c r="AG1249" i="2"/>
  <c r="AG1248" i="2"/>
  <c r="AG1247" i="2"/>
  <c r="AG1246" i="2"/>
  <c r="AG1245" i="2"/>
  <c r="AG1244" i="2"/>
  <c r="AG1243" i="2"/>
  <c r="AG1242" i="2"/>
  <c r="AG1241" i="2"/>
  <c r="AG1240" i="2"/>
  <c r="AG1239" i="2"/>
  <c r="AG1238" i="2"/>
  <c r="AG1237" i="2"/>
  <c r="AG1236" i="2"/>
  <c r="AG1235" i="2"/>
  <c r="AG1234" i="2"/>
  <c r="AG1233" i="2"/>
  <c r="AG1232" i="2"/>
  <c r="AG1231" i="2"/>
  <c r="AG1230" i="2"/>
  <c r="AG1229" i="2"/>
  <c r="AG1228" i="2"/>
  <c r="AG1227" i="2"/>
  <c r="AG1226" i="2"/>
  <c r="AG1225" i="2"/>
  <c r="AG1224" i="2"/>
  <c r="AG1223" i="2"/>
  <c r="AG1222" i="2"/>
  <c r="AG1221" i="2"/>
  <c r="AG1220" i="2"/>
  <c r="AG1219" i="2"/>
  <c r="AG1218" i="2"/>
  <c r="AG1217" i="2"/>
  <c r="AG1216" i="2"/>
  <c r="AG1215" i="2"/>
  <c r="AG1214" i="2"/>
  <c r="AG1213" i="2"/>
  <c r="AG1212" i="2"/>
  <c r="AG1211" i="2"/>
  <c r="AG1210" i="2"/>
  <c r="AG1209" i="2"/>
  <c r="AG1208" i="2"/>
  <c r="AG1207" i="2"/>
  <c r="AG1206" i="2"/>
  <c r="AG1205" i="2"/>
  <c r="AG1204" i="2"/>
  <c r="AG1203" i="2"/>
  <c r="AG1202" i="2"/>
  <c r="AG1201" i="2"/>
  <c r="AG1200" i="2"/>
  <c r="AG1199" i="2"/>
  <c r="AG1198" i="2"/>
  <c r="AG1197" i="2"/>
  <c r="AG1196" i="2"/>
  <c r="AG1195" i="2"/>
  <c r="AG1194" i="2"/>
  <c r="AG1193" i="2"/>
  <c r="AG1192" i="2"/>
  <c r="AG1191" i="2"/>
  <c r="AG1190" i="2"/>
  <c r="AG1189" i="2"/>
  <c r="AG1188" i="2"/>
  <c r="AG1187" i="2"/>
  <c r="AG1186" i="2"/>
  <c r="AG1185" i="2"/>
  <c r="AG1184" i="2"/>
  <c r="AG1183" i="2"/>
  <c r="AG1182" i="2"/>
  <c r="AG1181" i="2"/>
  <c r="AG1180" i="2"/>
  <c r="AG1179" i="2"/>
  <c r="AG1178" i="2"/>
  <c r="AG1177" i="2"/>
  <c r="AG1176" i="2"/>
  <c r="AG1175" i="2"/>
  <c r="AG1174" i="2"/>
  <c r="AG1173" i="2"/>
  <c r="AG1172" i="2"/>
  <c r="AG1171" i="2"/>
  <c r="AG1170" i="2"/>
  <c r="AG1169" i="2"/>
  <c r="AG1168" i="2"/>
  <c r="AG1167" i="2"/>
  <c r="AG1166" i="2"/>
  <c r="AG1165" i="2"/>
  <c r="AG1164" i="2"/>
  <c r="AG1163" i="2"/>
  <c r="AG1162" i="2"/>
  <c r="AG1161" i="2"/>
  <c r="AG1160" i="2"/>
  <c r="AG1159" i="2"/>
  <c r="AG1158" i="2"/>
  <c r="AG1157" i="2"/>
  <c r="AG1156" i="2"/>
  <c r="AG1155" i="2"/>
  <c r="AG1154" i="2"/>
  <c r="AG1153" i="2"/>
  <c r="AG1152" i="2"/>
  <c r="AG1151" i="2"/>
  <c r="AG1150" i="2"/>
  <c r="AG1149" i="2"/>
  <c r="AG1148" i="2"/>
  <c r="AG1147" i="2"/>
  <c r="AG1146" i="2"/>
  <c r="AG1145" i="2"/>
  <c r="AG1144" i="2"/>
  <c r="AG1143" i="2"/>
  <c r="AG1142" i="2"/>
  <c r="AG1141" i="2"/>
  <c r="AG1140" i="2"/>
  <c r="AG1139" i="2"/>
  <c r="AG1138" i="2"/>
  <c r="AG1137" i="2"/>
  <c r="AG1136" i="2"/>
  <c r="AG1135" i="2"/>
  <c r="AG1134" i="2"/>
  <c r="AG1133" i="2"/>
  <c r="AG1132" i="2"/>
  <c r="AG1131" i="2"/>
  <c r="AG1130" i="2"/>
  <c r="AG1129" i="2"/>
  <c r="AG1128" i="2"/>
  <c r="AG1127" i="2"/>
  <c r="AG1126" i="2"/>
  <c r="AG1125" i="2"/>
  <c r="AG1124" i="2"/>
  <c r="AG1123" i="2"/>
  <c r="AG1122" i="2"/>
  <c r="AG1121" i="2"/>
  <c r="AG1120" i="2"/>
  <c r="AG1119" i="2"/>
  <c r="AG1118" i="2"/>
  <c r="AG1117" i="2"/>
  <c r="AG1116" i="2"/>
  <c r="AG1115" i="2"/>
  <c r="AG1114" i="2"/>
  <c r="AG1113" i="2"/>
  <c r="AG1112" i="2"/>
  <c r="AG1111" i="2"/>
  <c r="AG1110" i="2"/>
  <c r="AG1109" i="2"/>
  <c r="AG1108" i="2"/>
  <c r="AG1107" i="2"/>
  <c r="AG1106" i="2"/>
  <c r="AG1105" i="2"/>
  <c r="AG1104" i="2"/>
  <c r="AG1103" i="2"/>
  <c r="AG1102" i="2"/>
  <c r="AG1101" i="2"/>
  <c r="AG1100" i="2"/>
  <c r="AG1099" i="2"/>
  <c r="AG1098" i="2"/>
  <c r="AG1097" i="2"/>
  <c r="AG1096" i="2"/>
  <c r="AG1095" i="2"/>
  <c r="AG1094" i="2"/>
  <c r="AG1093" i="2"/>
  <c r="AG1092" i="2"/>
  <c r="AG1091" i="2"/>
  <c r="AG1090" i="2"/>
  <c r="AG1089" i="2"/>
  <c r="AG1088" i="2"/>
  <c r="AG1087" i="2"/>
  <c r="AG1086" i="2"/>
  <c r="AG1085" i="2"/>
  <c r="AG1084" i="2"/>
  <c r="AG1083" i="2"/>
  <c r="AG1082" i="2"/>
  <c r="AG1081" i="2"/>
  <c r="AG1080" i="2"/>
  <c r="AG1079" i="2"/>
  <c r="AG1078" i="2"/>
  <c r="AG1077" i="2"/>
  <c r="AG1076" i="2"/>
  <c r="AG1075" i="2"/>
  <c r="AG1074" i="2"/>
  <c r="AG1073" i="2"/>
  <c r="AG1072" i="2"/>
  <c r="AG1071" i="2"/>
  <c r="AG1070" i="2"/>
  <c r="AG1069" i="2"/>
  <c r="AG1068" i="2"/>
  <c r="AG1067" i="2"/>
  <c r="AG1066" i="2"/>
  <c r="AG1065" i="2"/>
  <c r="AG1064" i="2"/>
  <c r="AG1063" i="2"/>
  <c r="AG1062" i="2"/>
  <c r="AG1061" i="2"/>
  <c r="AG1060" i="2"/>
  <c r="AG1059" i="2"/>
  <c r="AG1058" i="2"/>
  <c r="AG1057" i="2"/>
  <c r="AG1056" i="2"/>
  <c r="AG1055" i="2"/>
  <c r="AG1054" i="2"/>
  <c r="AG1053" i="2"/>
  <c r="AG1052" i="2"/>
  <c r="AG1051" i="2"/>
  <c r="AG1050" i="2"/>
  <c r="AG1049" i="2"/>
  <c r="AG1048" i="2"/>
  <c r="AG1047" i="2"/>
  <c r="AG1046" i="2"/>
  <c r="AG1045" i="2"/>
  <c r="AG1044" i="2"/>
  <c r="AG1043" i="2"/>
  <c r="AG1042" i="2"/>
  <c r="AG1041" i="2"/>
  <c r="AG1040" i="2"/>
  <c r="AG1039" i="2"/>
  <c r="AG1038" i="2"/>
  <c r="AG1037" i="2"/>
  <c r="AG1036" i="2"/>
  <c r="AG1035" i="2"/>
  <c r="AG1034" i="2"/>
  <c r="AG1033" i="2"/>
  <c r="AG1032" i="2"/>
  <c r="AG1031" i="2"/>
  <c r="AG1030" i="2"/>
  <c r="AG1029" i="2"/>
  <c r="AG1028" i="2"/>
  <c r="AG1027" i="2"/>
  <c r="AG1026" i="2"/>
  <c r="AG1025" i="2"/>
  <c r="AG1024" i="2"/>
  <c r="AG1023" i="2"/>
  <c r="AG1022" i="2"/>
  <c r="AG1021" i="2"/>
  <c r="AG1020" i="2"/>
  <c r="AG1019" i="2"/>
  <c r="AG1018" i="2"/>
  <c r="AG1017" i="2"/>
  <c r="AG1016" i="2"/>
  <c r="AG1015" i="2"/>
  <c r="AG1014" i="2"/>
  <c r="AG1013" i="2"/>
  <c r="AG1012" i="2"/>
  <c r="AG1011" i="2"/>
  <c r="AG1010" i="2"/>
  <c r="AG1009" i="2"/>
  <c r="AG1008" i="2"/>
  <c r="AG1007" i="2"/>
  <c r="AG1006" i="2"/>
  <c r="AG1005" i="2"/>
  <c r="AG1004" i="2"/>
  <c r="AG1003" i="2"/>
  <c r="AG1002" i="2"/>
  <c r="AG1001" i="2"/>
  <c r="AG1000" i="2"/>
  <c r="AG999" i="2"/>
  <c r="AG998" i="2"/>
  <c r="AG997" i="2"/>
  <c r="AG996" i="2"/>
  <c r="AG995" i="2"/>
  <c r="AG994" i="2"/>
  <c r="AG993" i="2"/>
  <c r="AG992" i="2"/>
  <c r="AG991" i="2"/>
  <c r="AG990" i="2"/>
  <c r="AG989" i="2"/>
  <c r="AG988" i="2"/>
  <c r="AG987" i="2"/>
  <c r="AG986" i="2"/>
  <c r="AG985" i="2"/>
  <c r="AG984" i="2"/>
  <c r="AG983" i="2"/>
  <c r="AG982" i="2"/>
  <c r="AG981" i="2"/>
  <c r="AG980" i="2"/>
  <c r="AG979" i="2"/>
  <c r="AG978" i="2"/>
  <c r="AG977" i="2"/>
  <c r="AG976" i="2"/>
  <c r="AG975" i="2"/>
  <c r="AG974" i="2"/>
  <c r="AG973" i="2"/>
  <c r="AG972" i="2"/>
  <c r="AG971" i="2"/>
  <c r="AG970" i="2"/>
  <c r="AG969" i="2"/>
  <c r="AG968" i="2"/>
  <c r="AG967" i="2"/>
  <c r="AG966" i="2"/>
  <c r="AG965" i="2"/>
  <c r="AG964" i="2"/>
  <c r="AG963" i="2"/>
  <c r="AG962" i="2"/>
  <c r="AG961" i="2"/>
  <c r="AG960" i="2"/>
  <c r="AG959" i="2"/>
  <c r="AG958" i="2"/>
  <c r="AG957" i="2"/>
  <c r="AG956" i="2"/>
  <c r="AG955" i="2"/>
  <c r="AG954" i="2"/>
  <c r="AG953" i="2"/>
  <c r="AG952" i="2"/>
  <c r="AG951" i="2"/>
  <c r="AG950" i="2"/>
  <c r="AG949" i="2"/>
  <c r="AG948" i="2"/>
  <c r="AG947" i="2"/>
  <c r="AG946" i="2"/>
  <c r="AG945" i="2"/>
  <c r="AG944" i="2"/>
  <c r="AG943" i="2"/>
  <c r="AG942" i="2"/>
  <c r="AG941" i="2"/>
  <c r="AG940" i="2"/>
  <c r="AG939" i="2"/>
  <c r="AG938" i="2"/>
  <c r="AG937" i="2"/>
  <c r="AG936" i="2"/>
  <c r="AG935" i="2"/>
  <c r="AG934" i="2"/>
  <c r="AG933" i="2"/>
  <c r="AG932" i="2"/>
  <c r="AG931" i="2"/>
  <c r="AG930" i="2"/>
  <c r="AG929" i="2"/>
  <c r="AG928" i="2"/>
  <c r="AG927" i="2"/>
  <c r="AG926" i="2"/>
  <c r="AG925" i="2"/>
  <c r="AG924" i="2"/>
  <c r="AG923" i="2"/>
  <c r="AG922" i="2"/>
  <c r="AG921" i="2"/>
  <c r="AG920" i="2"/>
  <c r="AG919" i="2"/>
  <c r="AG918" i="2"/>
  <c r="AG917" i="2"/>
  <c r="AG916" i="2"/>
  <c r="AG915" i="2"/>
  <c r="AG914" i="2"/>
  <c r="AG913" i="2"/>
  <c r="AG912" i="2"/>
  <c r="AG911" i="2"/>
  <c r="AG910" i="2"/>
  <c r="AG909" i="2"/>
  <c r="AG908" i="2"/>
  <c r="AG907" i="2"/>
  <c r="AG906" i="2"/>
  <c r="AG905" i="2"/>
  <c r="AG904" i="2"/>
  <c r="AG903" i="2"/>
  <c r="AG902" i="2"/>
  <c r="AG901" i="2"/>
  <c r="AG900" i="2"/>
  <c r="AG899" i="2"/>
  <c r="AG898" i="2"/>
  <c r="AG897" i="2"/>
  <c r="AG896" i="2"/>
  <c r="AG895" i="2"/>
  <c r="AG894" i="2"/>
  <c r="AG893" i="2"/>
  <c r="AG892" i="2"/>
  <c r="AG891" i="2"/>
  <c r="AG890" i="2"/>
  <c r="AG889" i="2"/>
  <c r="AG888" i="2"/>
  <c r="AG887" i="2"/>
  <c r="AG886" i="2"/>
  <c r="AG885" i="2"/>
  <c r="AG884" i="2"/>
  <c r="AG883" i="2"/>
  <c r="AG882" i="2"/>
  <c r="AG881" i="2"/>
  <c r="AG880" i="2"/>
  <c r="AG879" i="2"/>
  <c r="AG878" i="2"/>
  <c r="AG877" i="2"/>
  <c r="AG876" i="2"/>
  <c r="AG875" i="2"/>
  <c r="AG874" i="2"/>
  <c r="AG873" i="2"/>
  <c r="AG872" i="2"/>
  <c r="AG871" i="2"/>
  <c r="AG870" i="2"/>
  <c r="AG869" i="2"/>
  <c r="AG868" i="2"/>
  <c r="AG867" i="2"/>
  <c r="AG866" i="2"/>
  <c r="AG865" i="2"/>
  <c r="AG864" i="2"/>
  <c r="AG863" i="2"/>
  <c r="AG862" i="2"/>
  <c r="AG861" i="2"/>
  <c r="AG860" i="2"/>
  <c r="AG859" i="2"/>
  <c r="AG858" i="2"/>
  <c r="AG857" i="2"/>
  <c r="AG856" i="2"/>
  <c r="AG855" i="2"/>
  <c r="AG854" i="2"/>
  <c r="AG853" i="2"/>
  <c r="AG852" i="2"/>
  <c r="AG851" i="2"/>
  <c r="AG850" i="2"/>
  <c r="AG849" i="2"/>
  <c r="AG848" i="2"/>
  <c r="AG847" i="2"/>
  <c r="AG846" i="2"/>
  <c r="AG845" i="2"/>
  <c r="AG844" i="2"/>
  <c r="AG843" i="2"/>
  <c r="AG842" i="2"/>
  <c r="AG841" i="2"/>
  <c r="AG840" i="2"/>
  <c r="AG839" i="2"/>
  <c r="AG838" i="2"/>
  <c r="AG837" i="2"/>
  <c r="AG836" i="2"/>
  <c r="AG835" i="2"/>
  <c r="AG834" i="2"/>
  <c r="AG833" i="2"/>
  <c r="AG832" i="2"/>
  <c r="AG831" i="2"/>
  <c r="AG830" i="2"/>
  <c r="AG829" i="2"/>
  <c r="AG828" i="2"/>
  <c r="AG827" i="2"/>
  <c r="AG826" i="2"/>
  <c r="AG825" i="2"/>
  <c r="AG824" i="2"/>
  <c r="AG823" i="2"/>
  <c r="AG822" i="2"/>
  <c r="AG821" i="2"/>
  <c r="AG820" i="2"/>
  <c r="AG819" i="2"/>
  <c r="AG818" i="2"/>
  <c r="AG817" i="2"/>
  <c r="AG816" i="2"/>
  <c r="AG815" i="2"/>
  <c r="AG814" i="2"/>
  <c r="AG813" i="2"/>
  <c r="AG812" i="2"/>
  <c r="AG811" i="2"/>
  <c r="AG810" i="2"/>
  <c r="AG809" i="2"/>
  <c r="AG808" i="2"/>
  <c r="AG807" i="2"/>
  <c r="AG806" i="2"/>
  <c r="AG805" i="2"/>
  <c r="AG804" i="2"/>
  <c r="AG803" i="2"/>
  <c r="AG802" i="2"/>
  <c r="AG801" i="2"/>
  <c r="AG800" i="2"/>
  <c r="AG799" i="2"/>
  <c r="AG798" i="2"/>
  <c r="AG797" i="2"/>
  <c r="AG796" i="2"/>
  <c r="AG795" i="2"/>
  <c r="AG794" i="2"/>
  <c r="AG793" i="2"/>
  <c r="AG792" i="2"/>
  <c r="AG791" i="2"/>
  <c r="AG790" i="2"/>
  <c r="AG789" i="2"/>
  <c r="AG788" i="2"/>
  <c r="AG787" i="2"/>
  <c r="AG786" i="2"/>
  <c r="AG785" i="2"/>
  <c r="AG784" i="2"/>
  <c r="AG783" i="2"/>
  <c r="AG782" i="2"/>
  <c r="AG781" i="2"/>
  <c r="AG780" i="2"/>
  <c r="AG779" i="2"/>
  <c r="AG778" i="2"/>
  <c r="AG777" i="2"/>
  <c r="AG776" i="2"/>
  <c r="AG775" i="2"/>
  <c r="AG774" i="2"/>
  <c r="AG773" i="2"/>
  <c r="AG772" i="2"/>
  <c r="AG771" i="2"/>
  <c r="AG770" i="2"/>
  <c r="AG769" i="2"/>
  <c r="AG768" i="2"/>
  <c r="AG767" i="2"/>
  <c r="AG766" i="2"/>
  <c r="AG765" i="2"/>
  <c r="AG764" i="2"/>
  <c r="AG763" i="2"/>
  <c r="AG762" i="2"/>
  <c r="AG761" i="2"/>
  <c r="AG760" i="2"/>
  <c r="AG759" i="2"/>
  <c r="AG758" i="2"/>
  <c r="AG757" i="2"/>
  <c r="AG756" i="2"/>
  <c r="AG755" i="2"/>
  <c r="AG754" i="2"/>
  <c r="AG753" i="2"/>
  <c r="AG752" i="2"/>
  <c r="AG751" i="2"/>
  <c r="AG750" i="2"/>
  <c r="AG749" i="2"/>
  <c r="AG748" i="2"/>
  <c r="AG747" i="2"/>
  <c r="AG746" i="2"/>
  <c r="AG745" i="2"/>
  <c r="AG744" i="2"/>
  <c r="AG743" i="2"/>
  <c r="AG742" i="2"/>
  <c r="AG741" i="2"/>
  <c r="AG740" i="2"/>
  <c r="AG739" i="2"/>
  <c r="AG738" i="2"/>
  <c r="AG737" i="2"/>
  <c r="AG736" i="2"/>
  <c r="AG735" i="2"/>
  <c r="AG734" i="2"/>
  <c r="AG733" i="2"/>
  <c r="AG732" i="2"/>
  <c r="AG731" i="2"/>
  <c r="AG730" i="2"/>
  <c r="AG729" i="2"/>
  <c r="AG728" i="2"/>
  <c r="AG727" i="2"/>
  <c r="AG726" i="2"/>
  <c r="AG725" i="2"/>
  <c r="AG724" i="2"/>
  <c r="AG723" i="2"/>
  <c r="AG722" i="2"/>
  <c r="AG721" i="2"/>
  <c r="AG720" i="2"/>
  <c r="AG719" i="2"/>
  <c r="AG718" i="2"/>
  <c r="AG717" i="2"/>
  <c r="AG716" i="2"/>
  <c r="AG715" i="2"/>
  <c r="AG714" i="2"/>
  <c r="AG713" i="2"/>
  <c r="AG712" i="2"/>
  <c r="AG711" i="2"/>
  <c r="AG710" i="2"/>
  <c r="AG709" i="2"/>
  <c r="AG708" i="2"/>
  <c r="AG707" i="2"/>
  <c r="AG706" i="2"/>
  <c r="AG705" i="2"/>
  <c r="AG704" i="2"/>
  <c r="AG703" i="2"/>
  <c r="AG702" i="2"/>
  <c r="AG701" i="2"/>
  <c r="AG700" i="2"/>
  <c r="AG699" i="2"/>
  <c r="AG698" i="2"/>
  <c r="AG697" i="2"/>
  <c r="AG696" i="2"/>
  <c r="AG695" i="2"/>
  <c r="AG694" i="2"/>
  <c r="AG693" i="2"/>
  <c r="AG692" i="2"/>
  <c r="AG691" i="2"/>
  <c r="AG690" i="2"/>
  <c r="AG689" i="2"/>
  <c r="AG688" i="2"/>
  <c r="AG687" i="2"/>
  <c r="AG686" i="2"/>
  <c r="AG685" i="2"/>
  <c r="AG684" i="2"/>
  <c r="AG683" i="2"/>
  <c r="AG682" i="2"/>
  <c r="AG681" i="2"/>
  <c r="AG680" i="2"/>
  <c r="AG679" i="2"/>
  <c r="AG678" i="2"/>
  <c r="AG677" i="2"/>
  <c r="AG676" i="2"/>
  <c r="AG675" i="2"/>
  <c r="AG674" i="2"/>
  <c r="AG673" i="2"/>
  <c r="AG672" i="2"/>
  <c r="AG671" i="2"/>
  <c r="AG670" i="2"/>
  <c r="AG669" i="2"/>
  <c r="AG668" i="2"/>
  <c r="AG667" i="2"/>
  <c r="AG666" i="2"/>
  <c r="AG665" i="2"/>
  <c r="AG664" i="2"/>
  <c r="AG663" i="2"/>
  <c r="AG662" i="2"/>
  <c r="AG661" i="2"/>
  <c r="AG660" i="2"/>
  <c r="AG659" i="2"/>
  <c r="AG658" i="2"/>
  <c r="AG657" i="2"/>
  <c r="AG656" i="2"/>
  <c r="AG655" i="2"/>
  <c r="AG654" i="2"/>
  <c r="AG653" i="2"/>
  <c r="AG652" i="2"/>
  <c r="AG651" i="2"/>
  <c r="AG650" i="2"/>
  <c r="AG649" i="2"/>
  <c r="AG648" i="2"/>
  <c r="AG647" i="2"/>
  <c r="AG646" i="2"/>
  <c r="AG645" i="2"/>
  <c r="AG644" i="2"/>
  <c r="AG643" i="2"/>
  <c r="AG642" i="2"/>
  <c r="AG641" i="2"/>
  <c r="AG640" i="2"/>
  <c r="AG639" i="2"/>
  <c r="AG638" i="2"/>
  <c r="AG637" i="2"/>
  <c r="AG636" i="2"/>
  <c r="AG635" i="2"/>
  <c r="AG634" i="2"/>
  <c r="AG633" i="2"/>
  <c r="AG632" i="2"/>
  <c r="AG631" i="2"/>
  <c r="AG630" i="2"/>
  <c r="AG629" i="2"/>
  <c r="AG628" i="2"/>
  <c r="AG627" i="2"/>
  <c r="AG626" i="2"/>
  <c r="AG625" i="2"/>
  <c r="AG624" i="2"/>
  <c r="AG623" i="2"/>
  <c r="AG622" i="2"/>
  <c r="AG621" i="2"/>
  <c r="AG620" i="2"/>
  <c r="AG619" i="2"/>
  <c r="AG618" i="2"/>
  <c r="AG617" i="2"/>
  <c r="AG616" i="2"/>
  <c r="AG615" i="2"/>
  <c r="AG614" i="2"/>
  <c r="AG613" i="2"/>
  <c r="AG612" i="2"/>
  <c r="AG611" i="2"/>
  <c r="AG610" i="2"/>
  <c r="AG609" i="2"/>
  <c r="AG608" i="2"/>
  <c r="AG607" i="2"/>
  <c r="AG606" i="2"/>
  <c r="AG605" i="2"/>
  <c r="AG604" i="2"/>
  <c r="AG603" i="2"/>
  <c r="AG602" i="2"/>
  <c r="AG601" i="2"/>
  <c r="AG600" i="2"/>
  <c r="AG599" i="2"/>
  <c r="AG598" i="2"/>
  <c r="AG597" i="2"/>
  <c r="AG596" i="2"/>
  <c r="AG595" i="2"/>
  <c r="AG594" i="2"/>
  <c r="AG593" i="2"/>
  <c r="AG592" i="2"/>
  <c r="AG591" i="2"/>
  <c r="AG590" i="2"/>
  <c r="AG589" i="2"/>
  <c r="AG588" i="2"/>
  <c r="AG587" i="2"/>
  <c r="AG586" i="2"/>
  <c r="AG585" i="2"/>
  <c r="AG584" i="2"/>
  <c r="AG583" i="2"/>
  <c r="AG582" i="2"/>
  <c r="AG581" i="2"/>
  <c r="AG580" i="2"/>
  <c r="AG579" i="2"/>
  <c r="AG578" i="2"/>
  <c r="AG577" i="2"/>
  <c r="AG576" i="2"/>
  <c r="AG575" i="2"/>
  <c r="AG574" i="2"/>
  <c r="AG573" i="2"/>
  <c r="AG572" i="2"/>
  <c r="AG571" i="2"/>
  <c r="AG570" i="2"/>
  <c r="AG569" i="2"/>
  <c r="AG568" i="2"/>
  <c r="AG567" i="2"/>
  <c r="AG566" i="2"/>
  <c r="AG565" i="2"/>
  <c r="AG564" i="2"/>
  <c r="AG563" i="2"/>
  <c r="AG562" i="2"/>
  <c r="AG561" i="2"/>
  <c r="AG560" i="2"/>
  <c r="AG559" i="2"/>
  <c r="AG558" i="2"/>
  <c r="AG557" i="2"/>
  <c r="AG556" i="2"/>
  <c r="AG555" i="2"/>
  <c r="AG554" i="2"/>
  <c r="AG553" i="2"/>
  <c r="AG552" i="2"/>
  <c r="AG551" i="2"/>
  <c r="AG550" i="2"/>
  <c r="AG549" i="2"/>
  <c r="AG548" i="2"/>
  <c r="AG547" i="2"/>
  <c r="AG546" i="2"/>
  <c r="AG545" i="2"/>
  <c r="AG544" i="2"/>
  <c r="AG543" i="2"/>
  <c r="AG542" i="2"/>
  <c r="AG541" i="2"/>
  <c r="AG540" i="2"/>
  <c r="AG539" i="2"/>
  <c r="AG538" i="2"/>
  <c r="AG537" i="2"/>
  <c r="AG536" i="2"/>
  <c r="AG535" i="2"/>
  <c r="AG534" i="2"/>
  <c r="AG533" i="2"/>
  <c r="AG532" i="2"/>
  <c r="AG531" i="2"/>
  <c r="AG530" i="2"/>
  <c r="AG529" i="2"/>
  <c r="AG528" i="2"/>
  <c r="AG527" i="2"/>
  <c r="AG526" i="2"/>
  <c r="AG525" i="2"/>
  <c r="AG524" i="2"/>
  <c r="AG523" i="2"/>
  <c r="AG522" i="2"/>
  <c r="AG521" i="2"/>
  <c r="AG520" i="2"/>
  <c r="AG519" i="2"/>
  <c r="AG518" i="2"/>
  <c r="AG517" i="2"/>
  <c r="AG516" i="2"/>
  <c r="AG515" i="2"/>
  <c r="AG514" i="2"/>
  <c r="AG513" i="2"/>
  <c r="AG512" i="2"/>
  <c r="AG511" i="2"/>
  <c r="AG510" i="2"/>
  <c r="AG509" i="2"/>
  <c r="AG508" i="2"/>
  <c r="AG507" i="2"/>
  <c r="AG506" i="2"/>
  <c r="AG505" i="2"/>
  <c r="AG504" i="2"/>
  <c r="AG503" i="2"/>
  <c r="AG502" i="2"/>
  <c r="AG501" i="2"/>
  <c r="AG500" i="2"/>
  <c r="AG499" i="2"/>
  <c r="AG498" i="2"/>
  <c r="AG497" i="2"/>
  <c r="AG496" i="2"/>
  <c r="AG495" i="2"/>
  <c r="AG494" i="2"/>
  <c r="AG493" i="2"/>
  <c r="AG492" i="2"/>
  <c r="AG491" i="2"/>
  <c r="AG490" i="2"/>
  <c r="AG489" i="2"/>
  <c r="AG488" i="2"/>
  <c r="AG487" i="2"/>
  <c r="AG486" i="2"/>
  <c r="AG485" i="2"/>
  <c r="AG484" i="2"/>
  <c r="AG483" i="2"/>
  <c r="AG482" i="2"/>
  <c r="AG481" i="2"/>
  <c r="AG480" i="2"/>
  <c r="AG479" i="2"/>
  <c r="AG478" i="2"/>
  <c r="AG477" i="2"/>
  <c r="AG476" i="2"/>
  <c r="AG475" i="2"/>
  <c r="AG474" i="2"/>
  <c r="AG473" i="2"/>
  <c r="AG472" i="2"/>
  <c r="AG471" i="2"/>
  <c r="AG470" i="2"/>
  <c r="AG469" i="2"/>
  <c r="AG468" i="2"/>
  <c r="AG467" i="2"/>
  <c r="AG466" i="2"/>
  <c r="AG465" i="2"/>
  <c r="AG464" i="2"/>
  <c r="AG463" i="2"/>
  <c r="AG462" i="2"/>
  <c r="AG461" i="2"/>
  <c r="AG460" i="2"/>
  <c r="AG459" i="2"/>
  <c r="AG458" i="2"/>
  <c r="AG457" i="2"/>
  <c r="AG456" i="2"/>
  <c r="AG455" i="2"/>
  <c r="AG454" i="2"/>
  <c r="AG453" i="2"/>
  <c r="AG452" i="2"/>
  <c r="AG451" i="2"/>
  <c r="AG450" i="2"/>
  <c r="AG449" i="2"/>
  <c r="AG448" i="2"/>
  <c r="AG447" i="2"/>
  <c r="AG446" i="2"/>
  <c r="AG445" i="2"/>
  <c r="AG444" i="2"/>
  <c r="AG443" i="2"/>
  <c r="AG442" i="2"/>
  <c r="AG441" i="2"/>
  <c r="AG440" i="2"/>
  <c r="AG439" i="2"/>
  <c r="AG438" i="2"/>
  <c r="AG437" i="2"/>
  <c r="AG436" i="2"/>
  <c r="AG435" i="2"/>
  <c r="AG434" i="2"/>
  <c r="AG433" i="2"/>
  <c r="AG432" i="2"/>
  <c r="AG431" i="2"/>
  <c r="AG430" i="2"/>
  <c r="AG429" i="2"/>
  <c r="AG428" i="2"/>
  <c r="AG427" i="2"/>
  <c r="AG426" i="2"/>
  <c r="AG425" i="2"/>
  <c r="AG424" i="2"/>
  <c r="AG423" i="2"/>
  <c r="AG422" i="2"/>
  <c r="AG421" i="2"/>
  <c r="AG420" i="2"/>
  <c r="AG419" i="2"/>
  <c r="AG418" i="2"/>
  <c r="AG417" i="2"/>
  <c r="AG416" i="2"/>
  <c r="AG415" i="2"/>
  <c r="AG414" i="2"/>
  <c r="AG413" i="2"/>
  <c r="AG412" i="2"/>
  <c r="AG411" i="2"/>
  <c r="AG410" i="2"/>
  <c r="AG409" i="2"/>
  <c r="AG408" i="2"/>
  <c r="AG407" i="2"/>
  <c r="AG406" i="2"/>
  <c r="AG405" i="2"/>
  <c r="AG404" i="2"/>
  <c r="AG403" i="2"/>
  <c r="AG402" i="2"/>
  <c r="AG401" i="2"/>
  <c r="AG400" i="2"/>
  <c r="AG399" i="2"/>
  <c r="AG398" i="2"/>
  <c r="AG397" i="2"/>
  <c r="AG396" i="2"/>
  <c r="AG395" i="2"/>
  <c r="AG394" i="2"/>
  <c r="AG393" i="2"/>
  <c r="AG392" i="2"/>
  <c r="AG391" i="2"/>
  <c r="AG390" i="2"/>
  <c r="AG389" i="2"/>
  <c r="AG388" i="2"/>
  <c r="AG387" i="2"/>
  <c r="AG386" i="2"/>
  <c r="AG385" i="2"/>
  <c r="AG384" i="2"/>
  <c r="AG383" i="2"/>
  <c r="AG382" i="2"/>
  <c r="AG381" i="2"/>
  <c r="AG380" i="2"/>
  <c r="AG379" i="2"/>
  <c r="AG378" i="2"/>
  <c r="AG377" i="2"/>
  <c r="AG376" i="2"/>
  <c r="AG375" i="2"/>
  <c r="AG374" i="2"/>
  <c r="AG373" i="2"/>
  <c r="AG372" i="2"/>
  <c r="AG371" i="2"/>
  <c r="AG370" i="2"/>
  <c r="AG369" i="2"/>
  <c r="AG368" i="2"/>
  <c r="AG367" i="2"/>
  <c r="AG366" i="2"/>
  <c r="AG365" i="2"/>
  <c r="AG364" i="2"/>
  <c r="AG363" i="2"/>
  <c r="AG362" i="2"/>
  <c r="AG361" i="2"/>
  <c r="AG360" i="2"/>
  <c r="AG359" i="2"/>
  <c r="AG358" i="2"/>
  <c r="AG357" i="2"/>
  <c r="AG356" i="2"/>
  <c r="AG355" i="2"/>
  <c r="AG354" i="2"/>
  <c r="AG353" i="2"/>
  <c r="AG352" i="2"/>
  <c r="AG351" i="2"/>
  <c r="AG350" i="2"/>
  <c r="AG349" i="2"/>
  <c r="AG348" i="2"/>
  <c r="AG347" i="2"/>
  <c r="AG346" i="2"/>
  <c r="AG345" i="2"/>
  <c r="AG344" i="2"/>
  <c r="AG343" i="2"/>
  <c r="AG342" i="2"/>
  <c r="AG341" i="2"/>
  <c r="AG340" i="2"/>
  <c r="AG339" i="2"/>
  <c r="AG338" i="2"/>
  <c r="AG337" i="2"/>
  <c r="AG336" i="2"/>
  <c r="AG335" i="2"/>
  <c r="AG334" i="2"/>
  <c r="AG333" i="2"/>
  <c r="AG332" i="2"/>
  <c r="AG331" i="2"/>
  <c r="AG330" i="2"/>
  <c r="AG329" i="2"/>
  <c r="AG328" i="2"/>
  <c r="AG327" i="2"/>
  <c r="AG326" i="2"/>
  <c r="AG325" i="2"/>
  <c r="AG324" i="2"/>
  <c r="AG323" i="2"/>
  <c r="AG322" i="2"/>
  <c r="AG321" i="2"/>
  <c r="AG320" i="2"/>
  <c r="AG319" i="2"/>
  <c r="AG318" i="2"/>
  <c r="AG317" i="2"/>
  <c r="AG316" i="2"/>
  <c r="AG315" i="2"/>
  <c r="AG314" i="2"/>
  <c r="AG313" i="2"/>
  <c r="AG312" i="2"/>
  <c r="AG311" i="2"/>
  <c r="AG310" i="2"/>
  <c r="AG309" i="2"/>
  <c r="AG308" i="2"/>
  <c r="AG307" i="2"/>
  <c r="AG306" i="2"/>
  <c r="AG305" i="2"/>
  <c r="AG304" i="2"/>
  <c r="AG303" i="2"/>
  <c r="AG302" i="2"/>
  <c r="AG301" i="2"/>
  <c r="AG300" i="2"/>
  <c r="AG299" i="2"/>
  <c r="AG298" i="2"/>
  <c r="AG297" i="2"/>
  <c r="AG296" i="2"/>
  <c r="AG295" i="2"/>
  <c r="AG294" i="2"/>
  <c r="AG293" i="2"/>
  <c r="AG292" i="2"/>
  <c r="AG291" i="2"/>
  <c r="AG290" i="2"/>
  <c r="AG289" i="2"/>
  <c r="AG288" i="2"/>
  <c r="AG287" i="2"/>
  <c r="AG286" i="2"/>
  <c r="AG285" i="2"/>
  <c r="AG284" i="2"/>
  <c r="AG283" i="2"/>
  <c r="AG282" i="2"/>
  <c r="AG281" i="2"/>
  <c r="AG280" i="2"/>
  <c r="AG279" i="2"/>
  <c r="AG278" i="2"/>
  <c r="AG277" i="2"/>
  <c r="AG276" i="2"/>
  <c r="AG275" i="2"/>
  <c r="AG274" i="2"/>
  <c r="AG273" i="2"/>
  <c r="AG272" i="2"/>
  <c r="AG271" i="2"/>
  <c r="AG270" i="2"/>
  <c r="AG269" i="2"/>
  <c r="AG268" i="2"/>
  <c r="AG267" i="2"/>
  <c r="AG266" i="2"/>
  <c r="AG265" i="2"/>
  <c r="AG264" i="2"/>
  <c r="AG263" i="2"/>
  <c r="AG262" i="2"/>
  <c r="AG261" i="2"/>
  <c r="AG260" i="2"/>
  <c r="AG259" i="2"/>
  <c r="AG258" i="2"/>
  <c r="AG257" i="2"/>
  <c r="AG256" i="2"/>
  <c r="AG255" i="2"/>
  <c r="AG254" i="2"/>
  <c r="AG253" i="2"/>
  <c r="AG252" i="2"/>
  <c r="AG251" i="2"/>
  <c r="AG250" i="2"/>
  <c r="AG249" i="2"/>
  <c r="AG248" i="2"/>
  <c r="AG247" i="2"/>
  <c r="AG246" i="2"/>
  <c r="AG245" i="2"/>
  <c r="AG244" i="2"/>
  <c r="AG243" i="2"/>
  <c r="AG242" i="2"/>
  <c r="AG241" i="2"/>
  <c r="AG240" i="2"/>
  <c r="AG239" i="2"/>
  <c r="AG238" i="2"/>
  <c r="AG237" i="2"/>
  <c r="AG236" i="2"/>
  <c r="AG235" i="2"/>
  <c r="AG234" i="2"/>
  <c r="AG233" i="2"/>
  <c r="AG232" i="2"/>
  <c r="AG231" i="2"/>
  <c r="AG230" i="2"/>
  <c r="AG229" i="2"/>
  <c r="AG228" i="2"/>
  <c r="AG227" i="2"/>
  <c r="AG226" i="2"/>
  <c r="AG225" i="2"/>
  <c r="AG224" i="2"/>
  <c r="AG223" i="2"/>
  <c r="AG222" i="2"/>
  <c r="AG221" i="2"/>
  <c r="AG220" i="2"/>
  <c r="AG219" i="2"/>
  <c r="AG218" i="2"/>
  <c r="AG217" i="2"/>
  <c r="AG216" i="2"/>
  <c r="AG215" i="2"/>
  <c r="AG214" i="2"/>
  <c r="AG213" i="2"/>
  <c r="AG212" i="2"/>
  <c r="AG211" i="2"/>
  <c r="AG210" i="2"/>
  <c r="AG209" i="2"/>
  <c r="AG208" i="2"/>
  <c r="AG207" i="2"/>
  <c r="AG206" i="2"/>
  <c r="AG205" i="2"/>
  <c r="AG204" i="2"/>
  <c r="AG203" i="2"/>
  <c r="AG202" i="2"/>
  <c r="AG201" i="2"/>
  <c r="AG200" i="2"/>
  <c r="AG199" i="2"/>
  <c r="AG198" i="2"/>
  <c r="AG197" i="2"/>
  <c r="AG196" i="2"/>
  <c r="AG195" i="2"/>
  <c r="AG194" i="2"/>
  <c r="AG193" i="2"/>
  <c r="AG192" i="2"/>
  <c r="AG191" i="2"/>
  <c r="AG190" i="2"/>
  <c r="AG189" i="2"/>
  <c r="AG188" i="2"/>
  <c r="AG187" i="2"/>
  <c r="AG186" i="2"/>
  <c r="AG185" i="2"/>
  <c r="AG184" i="2"/>
  <c r="AG183" i="2"/>
  <c r="AG182" i="2"/>
  <c r="AG181" i="2"/>
  <c r="AG180" i="2"/>
  <c r="AG179" i="2"/>
  <c r="AG178" i="2"/>
  <c r="AG177" i="2"/>
  <c r="AG176" i="2"/>
  <c r="AG175" i="2"/>
  <c r="AG174" i="2"/>
  <c r="AG173" i="2"/>
  <c r="AG172" i="2"/>
  <c r="AG171" i="2"/>
  <c r="AG170" i="2"/>
  <c r="AG169" i="2"/>
  <c r="AG168" i="2"/>
  <c r="AG167" i="2"/>
  <c r="AG166" i="2"/>
  <c r="AG165" i="2"/>
  <c r="AG164" i="2"/>
  <c r="AG163" i="2"/>
  <c r="AG162" i="2"/>
  <c r="AG161" i="2"/>
  <c r="AG160" i="2"/>
  <c r="AG159" i="2"/>
  <c r="AG158" i="2"/>
  <c r="AG157" i="2"/>
  <c r="AG156" i="2"/>
  <c r="AG155" i="2"/>
  <c r="AG154" i="2"/>
  <c r="AG153" i="2"/>
  <c r="AG152" i="2"/>
  <c r="AG151" i="2"/>
  <c r="AG150" i="2"/>
  <c r="AG149" i="2"/>
  <c r="AG148" i="2"/>
  <c r="AG147" i="2"/>
  <c r="AG146" i="2"/>
  <c r="AG145" i="2"/>
  <c r="AG144" i="2"/>
  <c r="AG143" i="2"/>
  <c r="AG142" i="2"/>
  <c r="AG141" i="2"/>
  <c r="AG140" i="2"/>
  <c r="AG139" i="2"/>
  <c r="AG138" i="2"/>
  <c r="AG137" i="2"/>
  <c r="AG136" i="2"/>
  <c r="AG135" i="2"/>
  <c r="AG134" i="2"/>
  <c r="AG133" i="2"/>
  <c r="AG132" i="2"/>
  <c r="AG131" i="2"/>
  <c r="AG130" i="2"/>
  <c r="AG129" i="2"/>
  <c r="AG128" i="2"/>
  <c r="AG127" i="2"/>
  <c r="AG126" i="2"/>
  <c r="AG125" i="2"/>
  <c r="AG124" i="2"/>
  <c r="AG123" i="2"/>
  <c r="AG122" i="2"/>
  <c r="AG121" i="2"/>
  <c r="AG120" i="2"/>
  <c r="AG119" i="2"/>
  <c r="AG118" i="2"/>
  <c r="AG117" i="2"/>
  <c r="AG116" i="2"/>
  <c r="AG115" i="2"/>
  <c r="AG114" i="2"/>
  <c r="AG113" i="2"/>
  <c r="AG112" i="2"/>
  <c r="AG111" i="2"/>
  <c r="AG110" i="2"/>
  <c r="AG109" i="2"/>
  <c r="AG108" i="2"/>
  <c r="AG107" i="2"/>
  <c r="AG106" i="2"/>
  <c r="AG105" i="2"/>
  <c r="AG104" i="2"/>
  <c r="AG103" i="2"/>
  <c r="AG102" i="2"/>
  <c r="AG101" i="2"/>
  <c r="AG100" i="2"/>
  <c r="AG99" i="2"/>
  <c r="AG98" i="2"/>
  <c r="AG97" i="2"/>
  <c r="AG96" i="2"/>
  <c r="AG95" i="2"/>
  <c r="AG94" i="2"/>
  <c r="AG93" i="2"/>
  <c r="AG92" i="2"/>
  <c r="AG91" i="2"/>
  <c r="AG90" i="2"/>
  <c r="AG89" i="2"/>
  <c r="AG88" i="2"/>
  <c r="AG87" i="2"/>
  <c r="AG86" i="2"/>
  <c r="AG85" i="2"/>
  <c r="AG84" i="2"/>
  <c r="AG83" i="2"/>
  <c r="AG82" i="2"/>
  <c r="AG81" i="2"/>
  <c r="AG80" i="2"/>
  <c r="AG79" i="2"/>
  <c r="AG78" i="2"/>
  <c r="AG77" i="2"/>
  <c r="AG76" i="2"/>
  <c r="AG75" i="2"/>
  <c r="AG74" i="2"/>
  <c r="AG73" i="2"/>
  <c r="AG72" i="2"/>
  <c r="AG71" i="2"/>
  <c r="AG70" i="2"/>
  <c r="AG69" i="2"/>
  <c r="AG68" i="2"/>
  <c r="AG67" i="2"/>
  <c r="AG66" i="2"/>
  <c r="AG65" i="2"/>
  <c r="AG64" i="2"/>
  <c r="AG63" i="2"/>
  <c r="AG62" i="2"/>
  <c r="AG61" i="2"/>
  <c r="AG60" i="2"/>
  <c r="AG59" i="2"/>
  <c r="AG58" i="2"/>
  <c r="AG57" i="2"/>
  <c r="AG56" i="2"/>
  <c r="AG55" i="2"/>
  <c r="AG54" i="2"/>
  <c r="AG53" i="2"/>
  <c r="AG52" i="2"/>
  <c r="AG51" i="2"/>
  <c r="AG50" i="2"/>
  <c r="AG49" i="2"/>
  <c r="AG48" i="2"/>
  <c r="AG47" i="2"/>
  <c r="AG46" i="2"/>
  <c r="AG45" i="2"/>
  <c r="AG44" i="2"/>
  <c r="AG43" i="2"/>
  <c r="AG42" i="2"/>
  <c r="AG41" i="2"/>
  <c r="AG40" i="2"/>
  <c r="AG39" i="2"/>
  <c r="AG38" i="2"/>
  <c r="AG37" i="2"/>
  <c r="AG36" i="2"/>
  <c r="AG35" i="2"/>
  <c r="AG34" i="2"/>
  <c r="AG33" i="2"/>
  <c r="AG32" i="2"/>
  <c r="AG31" i="2"/>
  <c r="AG30" i="2"/>
  <c r="AG29" i="2"/>
  <c r="AG28" i="2"/>
  <c r="AG27" i="2"/>
  <c r="AG26" i="2"/>
  <c r="AG25" i="2"/>
  <c r="AG24" i="2"/>
  <c r="AG23" i="2"/>
  <c r="AG22" i="2"/>
  <c r="AG21" i="2"/>
  <c r="AG20" i="2"/>
  <c r="AG19" i="2"/>
  <c r="AG18" i="2"/>
  <c r="AG17" i="2"/>
  <c r="AG16" i="2"/>
  <c r="AG15" i="2"/>
  <c r="AG14" i="2"/>
  <c r="AG13" i="2"/>
  <c r="AG12" i="2"/>
  <c r="AG11" i="2"/>
  <c r="AG10" i="2"/>
  <c r="AG9" i="2"/>
  <c r="AG8" i="2"/>
  <c r="AG7" i="2"/>
  <c r="AG6" i="2"/>
  <c r="AG5" i="2"/>
  <c r="AG4" i="2"/>
  <c r="AG3" i="2"/>
  <c r="AG2" i="2"/>
  <c r="AE1601" i="2"/>
  <c r="AE1600" i="2"/>
  <c r="AE1599" i="2"/>
  <c r="AE1598" i="2"/>
  <c r="AE1597" i="2"/>
  <c r="AE1596" i="2"/>
  <c r="AE1595" i="2"/>
  <c r="AE1594" i="2"/>
  <c r="AE1593" i="2"/>
  <c r="AE1592" i="2"/>
  <c r="AE1591" i="2"/>
  <c r="AE1590" i="2"/>
  <c r="AE1589" i="2"/>
  <c r="AE1588" i="2"/>
  <c r="AE1587" i="2"/>
  <c r="AE1586" i="2"/>
  <c r="AE1585" i="2"/>
  <c r="AE1584" i="2"/>
  <c r="AE1583" i="2"/>
  <c r="AE1582" i="2"/>
  <c r="AE1581" i="2"/>
  <c r="AE1580" i="2"/>
  <c r="AE1579" i="2"/>
  <c r="AE1578" i="2"/>
  <c r="AE1577" i="2"/>
  <c r="AE1576" i="2"/>
  <c r="AE1575" i="2"/>
  <c r="AE1574" i="2"/>
  <c r="AE1573" i="2"/>
  <c r="AE1572" i="2"/>
  <c r="AE1571" i="2"/>
  <c r="AE1570" i="2"/>
  <c r="AE1569" i="2"/>
  <c r="AE1568" i="2"/>
  <c r="AE1567" i="2"/>
  <c r="AE1566" i="2"/>
  <c r="AE1565" i="2"/>
  <c r="AE1564" i="2"/>
  <c r="AE1563" i="2"/>
  <c r="AE1562" i="2"/>
  <c r="AE1561" i="2"/>
  <c r="AE1560" i="2"/>
  <c r="AE1559" i="2"/>
  <c r="AE1558" i="2"/>
  <c r="AE1557" i="2"/>
  <c r="AE1556" i="2"/>
  <c r="AE1555" i="2"/>
  <c r="AE1554" i="2"/>
  <c r="AE1553" i="2"/>
  <c r="AE1552" i="2"/>
  <c r="AE1551" i="2"/>
  <c r="AE1550" i="2"/>
  <c r="AE1549" i="2"/>
  <c r="AE1548" i="2"/>
  <c r="AE1547" i="2"/>
  <c r="AE1546" i="2"/>
  <c r="AE1545" i="2"/>
  <c r="AE1544" i="2"/>
  <c r="AE1543" i="2"/>
  <c r="AE1542" i="2"/>
  <c r="AE1541" i="2"/>
  <c r="AE1540" i="2"/>
  <c r="AE1539" i="2"/>
  <c r="AE1538" i="2"/>
  <c r="AE1537" i="2"/>
  <c r="AE1536" i="2"/>
  <c r="AE1535" i="2"/>
  <c r="AE1534" i="2"/>
  <c r="AE1533" i="2"/>
  <c r="AE1532" i="2"/>
  <c r="AE1531" i="2"/>
  <c r="AE1530" i="2"/>
  <c r="AE1529" i="2"/>
  <c r="AE1528" i="2"/>
  <c r="AE1527" i="2"/>
  <c r="AE1526" i="2"/>
  <c r="AE1525" i="2"/>
  <c r="AE1524" i="2"/>
  <c r="AE1523" i="2"/>
  <c r="AE1522" i="2"/>
  <c r="AE1521" i="2"/>
  <c r="AE1520" i="2"/>
  <c r="AE1519" i="2"/>
  <c r="AE1518" i="2"/>
  <c r="AE1517" i="2"/>
  <c r="AE1516" i="2"/>
  <c r="AE1515" i="2"/>
  <c r="AE1514" i="2"/>
  <c r="AE1513" i="2"/>
  <c r="AE1512" i="2"/>
  <c r="AE1511" i="2"/>
  <c r="AE1510" i="2"/>
  <c r="AE1509" i="2"/>
  <c r="AE1508" i="2"/>
  <c r="AE1507" i="2"/>
  <c r="AE1506" i="2"/>
  <c r="AE1505" i="2"/>
  <c r="AE1504" i="2"/>
  <c r="AE1503" i="2"/>
  <c r="AE1502" i="2"/>
  <c r="AE1501" i="2"/>
  <c r="AE1500" i="2"/>
  <c r="AE1499" i="2"/>
  <c r="AE1498" i="2"/>
  <c r="AE1497" i="2"/>
  <c r="AE1496" i="2"/>
  <c r="AE1495" i="2"/>
  <c r="AE1494" i="2"/>
  <c r="AE1493" i="2"/>
  <c r="AE1492" i="2"/>
  <c r="AE1491" i="2"/>
  <c r="AE1490" i="2"/>
  <c r="AE1489" i="2"/>
  <c r="AE1488" i="2"/>
  <c r="AE1487" i="2"/>
  <c r="AE1486" i="2"/>
  <c r="AE1485" i="2"/>
  <c r="AE1484" i="2"/>
  <c r="AE1483" i="2"/>
  <c r="AE1482" i="2"/>
  <c r="AE1481" i="2"/>
  <c r="AE1480" i="2"/>
  <c r="AE1479" i="2"/>
  <c r="AE1478" i="2"/>
  <c r="AE1477" i="2"/>
  <c r="AE1476" i="2"/>
  <c r="AE1475" i="2"/>
  <c r="AE1474" i="2"/>
  <c r="AE1473" i="2"/>
  <c r="AE1472" i="2"/>
  <c r="AE1471" i="2"/>
  <c r="AE1470" i="2"/>
  <c r="AE1469" i="2"/>
  <c r="AE1468" i="2"/>
  <c r="AE1467" i="2"/>
  <c r="AE1466" i="2"/>
  <c r="AE1465" i="2"/>
  <c r="AE1464" i="2"/>
  <c r="AE1463" i="2"/>
  <c r="AE1462" i="2"/>
  <c r="AE1461" i="2"/>
  <c r="AE1460" i="2"/>
  <c r="AE1459" i="2"/>
  <c r="AE1458" i="2"/>
  <c r="AE1457" i="2"/>
  <c r="AE1456" i="2"/>
  <c r="AE1455" i="2"/>
  <c r="AE1454" i="2"/>
  <c r="AE1453" i="2"/>
  <c r="AE1452" i="2"/>
  <c r="AE1451" i="2"/>
  <c r="AE1450" i="2"/>
  <c r="AE1449" i="2"/>
  <c r="AE1448" i="2"/>
  <c r="AE1447" i="2"/>
  <c r="AE1446" i="2"/>
  <c r="AE1445" i="2"/>
  <c r="AE1444" i="2"/>
  <c r="AE1443" i="2"/>
  <c r="AE1442" i="2"/>
  <c r="AE1441" i="2"/>
  <c r="AE1440" i="2"/>
  <c r="AE1439" i="2"/>
  <c r="AE1438" i="2"/>
  <c r="AE1437" i="2"/>
  <c r="AE1436" i="2"/>
  <c r="AE1435" i="2"/>
  <c r="AE1434" i="2"/>
  <c r="AE1433" i="2"/>
  <c r="AE1432" i="2"/>
  <c r="AE1431" i="2"/>
  <c r="AE1430" i="2"/>
  <c r="AE1429" i="2"/>
  <c r="AE1428" i="2"/>
  <c r="AE1427" i="2"/>
  <c r="AE1426" i="2"/>
  <c r="AE1425" i="2"/>
  <c r="AE1424" i="2"/>
  <c r="AE1423" i="2"/>
  <c r="AE1422" i="2"/>
  <c r="AE1421" i="2"/>
  <c r="AE1420" i="2"/>
  <c r="AE1419" i="2"/>
  <c r="AE1418" i="2"/>
  <c r="AE1417" i="2"/>
  <c r="AE1416" i="2"/>
  <c r="AE1415" i="2"/>
  <c r="AE1414" i="2"/>
  <c r="AE1413" i="2"/>
  <c r="AE1412" i="2"/>
  <c r="AE1411" i="2"/>
  <c r="AE1410" i="2"/>
  <c r="AE1409" i="2"/>
  <c r="AE1408" i="2"/>
  <c r="AE1407" i="2"/>
  <c r="AE1406" i="2"/>
  <c r="AE1405" i="2"/>
  <c r="AE1404" i="2"/>
  <c r="AE1403" i="2"/>
  <c r="AE1402" i="2"/>
  <c r="AE1401" i="2"/>
  <c r="AE1400" i="2"/>
  <c r="AE1399" i="2"/>
  <c r="AE1398" i="2"/>
  <c r="AE1397" i="2"/>
  <c r="AE1396" i="2"/>
  <c r="AE1395" i="2"/>
  <c r="AE1394" i="2"/>
  <c r="AE1393" i="2"/>
  <c r="AE1392" i="2"/>
  <c r="AE1391" i="2"/>
  <c r="AE1390" i="2"/>
  <c r="AE1389" i="2"/>
  <c r="AE1388" i="2"/>
  <c r="AE1387" i="2"/>
  <c r="AE1386" i="2"/>
  <c r="AE1385" i="2"/>
  <c r="AE1384" i="2"/>
  <c r="AE1383" i="2"/>
  <c r="AE1382" i="2"/>
  <c r="AE1381" i="2"/>
  <c r="AE1380" i="2"/>
  <c r="AE1379" i="2"/>
  <c r="AE1378" i="2"/>
  <c r="AE1377" i="2"/>
  <c r="AE1376" i="2"/>
  <c r="AE1375" i="2"/>
  <c r="AE1374" i="2"/>
  <c r="AE1373" i="2"/>
  <c r="AE1372" i="2"/>
  <c r="AE1371" i="2"/>
  <c r="AE1370" i="2"/>
  <c r="AE1369" i="2"/>
  <c r="AE1368" i="2"/>
  <c r="AE1367" i="2"/>
  <c r="AE1366" i="2"/>
  <c r="AE1365" i="2"/>
  <c r="AE1364" i="2"/>
  <c r="AE1363" i="2"/>
  <c r="AE1362" i="2"/>
  <c r="AE1361" i="2"/>
  <c r="AE1360" i="2"/>
  <c r="AE1359" i="2"/>
  <c r="AE1358" i="2"/>
  <c r="AE1357" i="2"/>
  <c r="AE1356" i="2"/>
  <c r="AE1355" i="2"/>
  <c r="AE1354" i="2"/>
  <c r="AE1353" i="2"/>
  <c r="AE1352" i="2"/>
  <c r="AE1351" i="2"/>
  <c r="AE1350" i="2"/>
  <c r="AE1349" i="2"/>
  <c r="AE1348" i="2"/>
  <c r="AE1347" i="2"/>
  <c r="AE1346" i="2"/>
  <c r="AE1345" i="2"/>
  <c r="AE1344" i="2"/>
  <c r="AE1343" i="2"/>
  <c r="AE1342" i="2"/>
  <c r="AE1341" i="2"/>
  <c r="AE1340" i="2"/>
  <c r="AE1339" i="2"/>
  <c r="AE1338" i="2"/>
  <c r="AE1337" i="2"/>
  <c r="AE1336" i="2"/>
  <c r="AE1335" i="2"/>
  <c r="AE1334" i="2"/>
  <c r="AE1333" i="2"/>
  <c r="AE1332" i="2"/>
  <c r="AE1331" i="2"/>
  <c r="AE1330" i="2"/>
  <c r="AE1329" i="2"/>
  <c r="AE1328" i="2"/>
  <c r="AE1327" i="2"/>
  <c r="AE1326" i="2"/>
  <c r="AE1325" i="2"/>
  <c r="AE1324" i="2"/>
  <c r="AE1323" i="2"/>
  <c r="AE1322" i="2"/>
  <c r="AE1321" i="2"/>
  <c r="AE1320" i="2"/>
  <c r="AE1319" i="2"/>
  <c r="AE1318" i="2"/>
  <c r="AE1317" i="2"/>
  <c r="AE1316" i="2"/>
  <c r="AE1315" i="2"/>
  <c r="AE1314" i="2"/>
  <c r="AE1313" i="2"/>
  <c r="AE1312" i="2"/>
  <c r="AE1311" i="2"/>
  <c r="AE1310" i="2"/>
  <c r="AE1309" i="2"/>
  <c r="AE1308" i="2"/>
  <c r="AE1307" i="2"/>
  <c r="AE1306" i="2"/>
  <c r="AE1305" i="2"/>
  <c r="AE1304" i="2"/>
  <c r="AE1303" i="2"/>
  <c r="AE1302" i="2"/>
  <c r="AE1301" i="2"/>
  <c r="AE1300" i="2"/>
  <c r="AE1299" i="2"/>
  <c r="AE1298" i="2"/>
  <c r="AE1297" i="2"/>
  <c r="AE1296" i="2"/>
  <c r="AE1295" i="2"/>
  <c r="AE1294" i="2"/>
  <c r="AE1293" i="2"/>
  <c r="AE1292" i="2"/>
  <c r="AE1291" i="2"/>
  <c r="AE1290" i="2"/>
  <c r="AE1289" i="2"/>
  <c r="AE1288" i="2"/>
  <c r="AE1287" i="2"/>
  <c r="AE1286" i="2"/>
  <c r="AE1285" i="2"/>
  <c r="AE1284" i="2"/>
  <c r="AE1283" i="2"/>
  <c r="AE1282" i="2"/>
  <c r="AE1281" i="2"/>
  <c r="AE1280" i="2"/>
  <c r="AE1279" i="2"/>
  <c r="AE1278" i="2"/>
  <c r="AE1277" i="2"/>
  <c r="AE1276" i="2"/>
  <c r="AE1275" i="2"/>
  <c r="AE1274" i="2"/>
  <c r="AE1273" i="2"/>
  <c r="AE1272" i="2"/>
  <c r="AE1271" i="2"/>
  <c r="AE1270" i="2"/>
  <c r="AE1269" i="2"/>
  <c r="AE1268" i="2"/>
  <c r="AE1267" i="2"/>
  <c r="AE1266" i="2"/>
  <c r="AE1265" i="2"/>
  <c r="AE1264" i="2"/>
  <c r="AE1263" i="2"/>
  <c r="AE1262" i="2"/>
  <c r="AE1261" i="2"/>
  <c r="AE1260" i="2"/>
  <c r="AE1259" i="2"/>
  <c r="AE1258" i="2"/>
  <c r="AE1257" i="2"/>
  <c r="AE1256" i="2"/>
  <c r="AE1255" i="2"/>
  <c r="AE1254" i="2"/>
  <c r="AE1253" i="2"/>
  <c r="AE1252" i="2"/>
  <c r="AE1251" i="2"/>
  <c r="AE1250" i="2"/>
  <c r="AE1249" i="2"/>
  <c r="AE1248" i="2"/>
  <c r="AE1247" i="2"/>
  <c r="AE1246" i="2"/>
  <c r="AE1245" i="2"/>
  <c r="AE1244" i="2"/>
  <c r="AE1243" i="2"/>
  <c r="AE1242" i="2"/>
  <c r="AE1241" i="2"/>
  <c r="AE1240" i="2"/>
  <c r="AE1239" i="2"/>
  <c r="AE1238" i="2"/>
  <c r="AE1237" i="2"/>
  <c r="AE1236" i="2"/>
  <c r="AE1235" i="2"/>
  <c r="AE1234" i="2"/>
  <c r="AE1233" i="2"/>
  <c r="AE1232" i="2"/>
  <c r="AE1231" i="2"/>
  <c r="AE1230" i="2"/>
  <c r="AE1229" i="2"/>
  <c r="AE1228" i="2"/>
  <c r="AE1227" i="2"/>
  <c r="AE1226" i="2"/>
  <c r="AE1225" i="2"/>
  <c r="AE1224" i="2"/>
  <c r="AE1223" i="2"/>
  <c r="AE1222" i="2"/>
  <c r="AE1221" i="2"/>
  <c r="AE1220" i="2"/>
  <c r="AE1219" i="2"/>
  <c r="AE1218" i="2"/>
  <c r="AE1217" i="2"/>
  <c r="AE1216" i="2"/>
  <c r="AE1215" i="2"/>
  <c r="AE1214" i="2"/>
  <c r="AE1213" i="2"/>
  <c r="AE1212" i="2"/>
  <c r="AE1211" i="2"/>
  <c r="AE1210" i="2"/>
  <c r="AE1209" i="2"/>
  <c r="AE1208" i="2"/>
  <c r="AE1207" i="2"/>
  <c r="AE1206" i="2"/>
  <c r="AE1205" i="2"/>
  <c r="AE1204" i="2"/>
  <c r="AE1203" i="2"/>
  <c r="AE1202" i="2"/>
  <c r="AE1201" i="2"/>
  <c r="AE1200" i="2"/>
  <c r="AE1199" i="2"/>
  <c r="AE1198" i="2"/>
  <c r="AE1197" i="2"/>
  <c r="AE1196" i="2"/>
  <c r="AE1195" i="2"/>
  <c r="AE1194" i="2"/>
  <c r="AE1193" i="2"/>
  <c r="AE1192" i="2"/>
  <c r="AE1191" i="2"/>
  <c r="AE1190" i="2"/>
  <c r="AE1189" i="2"/>
  <c r="AE1188" i="2"/>
  <c r="AE1187" i="2"/>
  <c r="AE1186" i="2"/>
  <c r="AE1185" i="2"/>
  <c r="AE1184" i="2"/>
  <c r="AE1183" i="2"/>
  <c r="AE1182" i="2"/>
  <c r="AE1181" i="2"/>
  <c r="AE1180" i="2"/>
  <c r="AE1179" i="2"/>
  <c r="AE1178" i="2"/>
  <c r="AE1177" i="2"/>
  <c r="AE1176" i="2"/>
  <c r="AE1175" i="2"/>
  <c r="AE1174" i="2"/>
  <c r="AE1173" i="2"/>
  <c r="AE1172" i="2"/>
  <c r="AE1171" i="2"/>
  <c r="AE1170" i="2"/>
  <c r="AE1169" i="2"/>
  <c r="AE1168" i="2"/>
  <c r="AE1167" i="2"/>
  <c r="AE1166" i="2"/>
  <c r="AE1165" i="2"/>
  <c r="AE1164" i="2"/>
  <c r="AE1163" i="2"/>
  <c r="AE1162" i="2"/>
  <c r="AE1161" i="2"/>
  <c r="AE1160" i="2"/>
  <c r="AE1159" i="2"/>
  <c r="AE1158" i="2"/>
  <c r="AE1157" i="2"/>
  <c r="AE1156" i="2"/>
  <c r="AE1155" i="2"/>
  <c r="AE1154" i="2"/>
  <c r="AE1153" i="2"/>
  <c r="AE1152" i="2"/>
  <c r="AE1151" i="2"/>
  <c r="AE1150" i="2"/>
  <c r="AE1149" i="2"/>
  <c r="AE1148" i="2"/>
  <c r="AE1147" i="2"/>
  <c r="AE1146" i="2"/>
  <c r="AE1145" i="2"/>
  <c r="AE1144" i="2"/>
  <c r="AE1143" i="2"/>
  <c r="AE1142" i="2"/>
  <c r="AE1141" i="2"/>
  <c r="AE1140" i="2"/>
  <c r="AE1139" i="2"/>
  <c r="AE1138" i="2"/>
  <c r="AE1137" i="2"/>
  <c r="AE1136" i="2"/>
  <c r="AE1135" i="2"/>
  <c r="AE1134" i="2"/>
  <c r="AE1133" i="2"/>
  <c r="AE1132" i="2"/>
  <c r="AE1131" i="2"/>
  <c r="AE1130" i="2"/>
  <c r="AE1129" i="2"/>
  <c r="AE1128" i="2"/>
  <c r="AE1127" i="2"/>
  <c r="AE1126" i="2"/>
  <c r="AE1125" i="2"/>
  <c r="AE1124" i="2"/>
  <c r="AE1123" i="2"/>
  <c r="AE1122" i="2"/>
  <c r="AE1121" i="2"/>
  <c r="AE1120" i="2"/>
  <c r="AE1119" i="2"/>
  <c r="AE1118" i="2"/>
  <c r="AE1117" i="2"/>
  <c r="AE1116" i="2"/>
  <c r="AE1115" i="2"/>
  <c r="AE1114" i="2"/>
  <c r="AE1113" i="2"/>
  <c r="AE1112" i="2"/>
  <c r="AE1111" i="2"/>
  <c r="AE1110" i="2"/>
  <c r="AE1109" i="2"/>
  <c r="AE1108" i="2"/>
  <c r="AE1107" i="2"/>
  <c r="AE1106" i="2"/>
  <c r="AE1105" i="2"/>
  <c r="AE1104" i="2"/>
  <c r="AE1103" i="2"/>
  <c r="AE1102" i="2"/>
  <c r="AE1101" i="2"/>
  <c r="AE1100" i="2"/>
  <c r="AE1099" i="2"/>
  <c r="AE1098" i="2"/>
  <c r="AE1097" i="2"/>
  <c r="AE1096" i="2"/>
  <c r="AE1095" i="2"/>
  <c r="AE1094" i="2"/>
  <c r="AE1093" i="2"/>
  <c r="AE1092" i="2"/>
  <c r="AE1091" i="2"/>
  <c r="AE1090" i="2"/>
  <c r="AE1089" i="2"/>
  <c r="AE1088" i="2"/>
  <c r="AE1087" i="2"/>
  <c r="AE1086" i="2"/>
  <c r="AE1085" i="2"/>
  <c r="AE1084" i="2"/>
  <c r="AE1083" i="2"/>
  <c r="AE1082" i="2"/>
  <c r="AE1081" i="2"/>
  <c r="AE1080" i="2"/>
  <c r="AE1079" i="2"/>
  <c r="AE1078" i="2"/>
  <c r="AE1077" i="2"/>
  <c r="AE1076" i="2"/>
  <c r="AE1075" i="2"/>
  <c r="AE1074" i="2"/>
  <c r="AE1073" i="2"/>
  <c r="AE1072" i="2"/>
  <c r="AE1071" i="2"/>
  <c r="AE1070" i="2"/>
  <c r="AE1069" i="2"/>
  <c r="AE1068" i="2"/>
  <c r="AE1067" i="2"/>
  <c r="AE1066" i="2"/>
  <c r="AE1065" i="2"/>
  <c r="AE1064" i="2"/>
  <c r="AE1063" i="2"/>
  <c r="AE1062" i="2"/>
  <c r="AE1061" i="2"/>
  <c r="AE1060" i="2"/>
  <c r="AE1059" i="2"/>
  <c r="AE1058" i="2"/>
  <c r="AE1057" i="2"/>
  <c r="AE1056" i="2"/>
  <c r="AE1055" i="2"/>
  <c r="AE1054" i="2"/>
  <c r="AE1053" i="2"/>
  <c r="AE1052" i="2"/>
  <c r="AE1051" i="2"/>
  <c r="AE1050" i="2"/>
  <c r="AE1049" i="2"/>
  <c r="AE1048" i="2"/>
  <c r="AE1047" i="2"/>
  <c r="AE1046" i="2"/>
  <c r="AE1045" i="2"/>
  <c r="AE1044" i="2"/>
  <c r="AE1043" i="2"/>
  <c r="AE1042" i="2"/>
  <c r="AE1041" i="2"/>
  <c r="AE1040" i="2"/>
  <c r="AE1039" i="2"/>
  <c r="AE1038" i="2"/>
  <c r="AE1037" i="2"/>
  <c r="AE1036" i="2"/>
  <c r="AE1035" i="2"/>
  <c r="AE1034" i="2"/>
  <c r="AE1033" i="2"/>
  <c r="AE1032" i="2"/>
  <c r="AE1031" i="2"/>
  <c r="AE1030" i="2"/>
  <c r="AE1029" i="2"/>
  <c r="AE1028" i="2"/>
  <c r="AE1027" i="2"/>
  <c r="AE1026" i="2"/>
  <c r="AE1025" i="2"/>
  <c r="AE1024" i="2"/>
  <c r="AE1023" i="2"/>
  <c r="AE1022" i="2"/>
  <c r="AE1021" i="2"/>
  <c r="AE1020" i="2"/>
  <c r="AE1019" i="2"/>
  <c r="AE1018" i="2"/>
  <c r="AE1017" i="2"/>
  <c r="AE1016" i="2"/>
  <c r="AE1015" i="2"/>
  <c r="AE1014" i="2"/>
  <c r="AE1013" i="2"/>
  <c r="AE1012" i="2"/>
  <c r="AE1011" i="2"/>
  <c r="AE1010" i="2"/>
  <c r="AE1009" i="2"/>
  <c r="AE1008" i="2"/>
  <c r="AE1007" i="2"/>
  <c r="AE1006" i="2"/>
  <c r="AE1005" i="2"/>
  <c r="AE1004" i="2"/>
  <c r="AE1003" i="2"/>
  <c r="AE1002" i="2"/>
  <c r="AE1001" i="2"/>
  <c r="AE1000" i="2"/>
  <c r="AE999" i="2"/>
  <c r="AE998" i="2"/>
  <c r="AE997" i="2"/>
  <c r="AE996" i="2"/>
  <c r="AE995" i="2"/>
  <c r="AE994" i="2"/>
  <c r="AE993" i="2"/>
  <c r="AE992" i="2"/>
  <c r="AE991" i="2"/>
  <c r="AE990" i="2"/>
  <c r="AE989" i="2"/>
  <c r="AE988" i="2"/>
  <c r="AE987" i="2"/>
  <c r="AE986" i="2"/>
  <c r="AE985" i="2"/>
  <c r="AE984" i="2"/>
  <c r="AE983" i="2"/>
  <c r="AE982" i="2"/>
  <c r="AE981" i="2"/>
  <c r="AE980" i="2"/>
  <c r="AE979" i="2"/>
  <c r="AE978" i="2"/>
  <c r="AE977" i="2"/>
  <c r="AE976" i="2"/>
  <c r="AE975" i="2"/>
  <c r="AE974" i="2"/>
  <c r="AE973" i="2"/>
  <c r="AE972" i="2"/>
  <c r="AE971" i="2"/>
  <c r="AE970" i="2"/>
  <c r="AE969" i="2"/>
  <c r="AE968" i="2"/>
  <c r="AE967" i="2"/>
  <c r="AE966" i="2"/>
  <c r="AE965" i="2"/>
  <c r="AE964" i="2"/>
  <c r="AE963" i="2"/>
  <c r="AE962" i="2"/>
  <c r="AE961" i="2"/>
  <c r="AE960" i="2"/>
  <c r="AE959" i="2"/>
  <c r="AE958" i="2"/>
  <c r="AE957" i="2"/>
  <c r="AE956" i="2"/>
  <c r="AE955" i="2"/>
  <c r="AE954" i="2"/>
  <c r="AE953" i="2"/>
  <c r="AE952" i="2"/>
  <c r="AE951" i="2"/>
  <c r="AE950" i="2"/>
  <c r="AE949" i="2"/>
  <c r="AE948" i="2"/>
  <c r="AE947" i="2"/>
  <c r="AE946" i="2"/>
  <c r="AE945" i="2"/>
  <c r="AE944" i="2"/>
  <c r="AE943" i="2"/>
  <c r="AE942" i="2"/>
  <c r="AE941" i="2"/>
  <c r="AE940" i="2"/>
  <c r="AE939" i="2"/>
  <c r="AE938" i="2"/>
  <c r="AE937" i="2"/>
  <c r="AE936" i="2"/>
  <c r="AE935" i="2"/>
  <c r="AE934" i="2"/>
  <c r="AE933" i="2"/>
  <c r="AE932" i="2"/>
  <c r="AE931" i="2"/>
  <c r="AE930" i="2"/>
  <c r="AE929" i="2"/>
  <c r="AE928" i="2"/>
  <c r="AE927" i="2"/>
  <c r="AE926" i="2"/>
  <c r="AE925" i="2"/>
  <c r="AE924" i="2"/>
  <c r="AE923" i="2"/>
  <c r="AE922" i="2"/>
  <c r="AE921" i="2"/>
  <c r="AE920" i="2"/>
  <c r="AE919" i="2"/>
  <c r="AE918" i="2"/>
  <c r="AE917" i="2"/>
  <c r="AE916" i="2"/>
  <c r="AE915" i="2"/>
  <c r="AE914" i="2"/>
  <c r="AE913" i="2"/>
  <c r="AE912" i="2"/>
  <c r="AE911" i="2"/>
  <c r="AE910" i="2"/>
  <c r="AE909" i="2"/>
  <c r="AE908" i="2"/>
  <c r="AE907" i="2"/>
  <c r="AE906" i="2"/>
  <c r="AE905" i="2"/>
  <c r="AE904" i="2"/>
  <c r="AE903" i="2"/>
  <c r="AE902" i="2"/>
  <c r="AE901" i="2"/>
  <c r="AE900" i="2"/>
  <c r="AE899" i="2"/>
  <c r="AE898" i="2"/>
  <c r="AE897" i="2"/>
  <c r="AE896" i="2"/>
  <c r="AE895" i="2"/>
  <c r="AE894" i="2"/>
  <c r="AE893" i="2"/>
  <c r="AE892" i="2"/>
  <c r="AE891" i="2"/>
  <c r="AE890" i="2"/>
  <c r="AE889" i="2"/>
  <c r="AE888" i="2"/>
  <c r="AE887" i="2"/>
  <c r="AE886" i="2"/>
  <c r="AE885" i="2"/>
  <c r="AE884" i="2"/>
  <c r="AE883" i="2"/>
  <c r="AE882" i="2"/>
  <c r="AE881" i="2"/>
  <c r="AE880" i="2"/>
  <c r="AE879" i="2"/>
  <c r="AE878" i="2"/>
  <c r="AE877" i="2"/>
  <c r="AE876" i="2"/>
  <c r="AE875" i="2"/>
  <c r="AE874" i="2"/>
  <c r="AE873" i="2"/>
  <c r="AE872" i="2"/>
  <c r="AE871" i="2"/>
  <c r="AE870" i="2"/>
  <c r="AE869" i="2"/>
  <c r="AE868" i="2"/>
  <c r="AE867" i="2"/>
  <c r="AE866" i="2"/>
  <c r="AE865" i="2"/>
  <c r="AE864" i="2"/>
  <c r="AE863" i="2"/>
  <c r="AE862" i="2"/>
  <c r="AE861" i="2"/>
  <c r="AE860" i="2"/>
  <c r="AE859" i="2"/>
  <c r="AE858" i="2"/>
  <c r="AE857" i="2"/>
  <c r="AE856" i="2"/>
  <c r="AE855" i="2"/>
  <c r="AE854" i="2"/>
  <c r="AE853" i="2"/>
  <c r="AE852" i="2"/>
  <c r="AE851" i="2"/>
  <c r="AE850" i="2"/>
  <c r="AE849" i="2"/>
  <c r="AE848" i="2"/>
  <c r="AE847" i="2"/>
  <c r="AE846" i="2"/>
  <c r="AE845" i="2"/>
  <c r="AE844" i="2"/>
  <c r="AE843" i="2"/>
  <c r="AE842" i="2"/>
  <c r="AE841" i="2"/>
  <c r="AE840" i="2"/>
  <c r="AE839" i="2"/>
  <c r="AE838" i="2"/>
  <c r="AE837" i="2"/>
  <c r="AE836" i="2"/>
  <c r="AE835" i="2"/>
  <c r="AE834" i="2"/>
  <c r="AE833" i="2"/>
  <c r="AE832" i="2"/>
  <c r="AE831" i="2"/>
  <c r="AE830" i="2"/>
  <c r="AE829" i="2"/>
  <c r="AE828" i="2"/>
  <c r="AE827" i="2"/>
  <c r="AE826" i="2"/>
  <c r="AE825" i="2"/>
  <c r="AE824" i="2"/>
  <c r="AE823" i="2"/>
  <c r="AE822" i="2"/>
  <c r="AE821" i="2"/>
  <c r="AE820" i="2"/>
  <c r="AE819" i="2"/>
  <c r="AE818" i="2"/>
  <c r="AE817" i="2"/>
  <c r="AE816" i="2"/>
  <c r="AE815" i="2"/>
  <c r="AE814" i="2"/>
  <c r="AE813" i="2"/>
  <c r="AE812" i="2"/>
  <c r="AE811" i="2"/>
  <c r="AE810" i="2"/>
  <c r="AE809" i="2"/>
  <c r="AE808" i="2"/>
  <c r="AE807" i="2"/>
  <c r="AE806" i="2"/>
  <c r="AE805" i="2"/>
  <c r="AE804" i="2"/>
  <c r="AE803" i="2"/>
  <c r="AE802" i="2"/>
  <c r="AE801" i="2"/>
  <c r="AE800" i="2"/>
  <c r="AE799" i="2"/>
  <c r="AE798" i="2"/>
  <c r="AE797" i="2"/>
  <c r="AE796" i="2"/>
  <c r="AE795" i="2"/>
  <c r="AE794" i="2"/>
  <c r="AE793" i="2"/>
  <c r="AE792" i="2"/>
  <c r="AE791" i="2"/>
  <c r="AE790" i="2"/>
  <c r="AE789" i="2"/>
  <c r="AE788" i="2"/>
  <c r="AE787" i="2"/>
  <c r="AE786" i="2"/>
  <c r="AE785" i="2"/>
  <c r="AE784" i="2"/>
  <c r="AE783" i="2"/>
  <c r="AE782" i="2"/>
  <c r="AE781" i="2"/>
  <c r="AE780" i="2"/>
  <c r="AE779" i="2"/>
  <c r="AE778" i="2"/>
  <c r="AE777" i="2"/>
  <c r="AE776" i="2"/>
  <c r="AE775" i="2"/>
  <c r="AE774" i="2"/>
  <c r="AE773" i="2"/>
  <c r="AE772" i="2"/>
  <c r="AE771" i="2"/>
  <c r="AE770" i="2"/>
  <c r="AE769" i="2"/>
  <c r="AE768" i="2"/>
  <c r="AE767" i="2"/>
  <c r="AE766" i="2"/>
  <c r="AE765" i="2"/>
  <c r="AE764" i="2"/>
  <c r="AE763" i="2"/>
  <c r="AE762" i="2"/>
  <c r="AE761" i="2"/>
  <c r="AE760" i="2"/>
  <c r="AE759" i="2"/>
  <c r="AE758" i="2"/>
  <c r="AE757" i="2"/>
  <c r="AE756" i="2"/>
  <c r="AE755" i="2"/>
  <c r="AE754" i="2"/>
  <c r="AE753" i="2"/>
  <c r="AE752" i="2"/>
  <c r="AE751" i="2"/>
  <c r="AE750" i="2"/>
  <c r="AE749" i="2"/>
  <c r="AE748" i="2"/>
  <c r="AE747" i="2"/>
  <c r="AE746" i="2"/>
  <c r="AE745" i="2"/>
  <c r="AE744" i="2"/>
  <c r="AE743" i="2"/>
  <c r="AE742" i="2"/>
  <c r="AE741" i="2"/>
  <c r="AE740" i="2"/>
  <c r="AE739" i="2"/>
  <c r="AE738" i="2"/>
  <c r="AE737" i="2"/>
  <c r="AE736" i="2"/>
  <c r="AE735" i="2"/>
  <c r="AE734" i="2"/>
  <c r="AE733" i="2"/>
  <c r="AE732" i="2"/>
  <c r="AE731" i="2"/>
  <c r="AE730" i="2"/>
  <c r="AE729" i="2"/>
  <c r="AE728" i="2"/>
  <c r="AE727" i="2"/>
  <c r="AE726" i="2"/>
  <c r="AE725" i="2"/>
  <c r="AE724" i="2"/>
  <c r="AE723" i="2"/>
  <c r="AE722" i="2"/>
  <c r="AE721" i="2"/>
  <c r="AE720" i="2"/>
  <c r="AE719" i="2"/>
  <c r="AE718" i="2"/>
  <c r="AE717" i="2"/>
  <c r="AE716" i="2"/>
  <c r="AE715" i="2"/>
  <c r="AE714" i="2"/>
  <c r="AE713" i="2"/>
  <c r="AE712" i="2"/>
  <c r="AE711" i="2"/>
  <c r="AE710" i="2"/>
  <c r="AE709" i="2"/>
  <c r="AE708" i="2"/>
  <c r="AE707" i="2"/>
  <c r="AE706" i="2"/>
  <c r="AE705" i="2"/>
  <c r="AE704" i="2"/>
  <c r="AE703" i="2"/>
  <c r="AE702" i="2"/>
  <c r="AE701" i="2"/>
  <c r="AE700" i="2"/>
  <c r="AE699" i="2"/>
  <c r="AE698" i="2"/>
  <c r="AE697" i="2"/>
  <c r="AE696" i="2"/>
  <c r="AE695" i="2"/>
  <c r="AE694" i="2"/>
  <c r="AE693" i="2"/>
  <c r="AE692" i="2"/>
  <c r="AE691" i="2"/>
  <c r="AE690" i="2"/>
  <c r="AE689" i="2"/>
  <c r="AE688" i="2"/>
  <c r="AE687" i="2"/>
  <c r="AE686" i="2"/>
  <c r="AE685" i="2"/>
  <c r="AE684" i="2"/>
  <c r="AE683" i="2"/>
  <c r="AE682" i="2"/>
  <c r="AE681" i="2"/>
  <c r="AE680" i="2"/>
  <c r="AE679" i="2"/>
  <c r="AE678" i="2"/>
  <c r="AE677" i="2"/>
  <c r="AE676" i="2"/>
  <c r="AE675" i="2"/>
  <c r="AE674" i="2"/>
  <c r="AE673" i="2"/>
  <c r="AE672" i="2"/>
  <c r="AE671" i="2"/>
  <c r="AE670" i="2"/>
  <c r="AE669" i="2"/>
  <c r="AE668" i="2"/>
  <c r="AE667" i="2"/>
  <c r="AE666" i="2"/>
  <c r="AE665" i="2"/>
  <c r="AE664" i="2"/>
  <c r="AE663" i="2"/>
  <c r="AE662" i="2"/>
  <c r="AE661" i="2"/>
  <c r="AE660" i="2"/>
  <c r="AE659" i="2"/>
  <c r="AE658" i="2"/>
  <c r="AE657" i="2"/>
  <c r="AE656" i="2"/>
  <c r="AE655" i="2"/>
  <c r="AE654" i="2"/>
  <c r="AE653" i="2"/>
  <c r="AE652" i="2"/>
  <c r="AE651" i="2"/>
  <c r="AE650" i="2"/>
  <c r="AE649" i="2"/>
  <c r="AE648" i="2"/>
  <c r="AE647" i="2"/>
  <c r="AE646" i="2"/>
  <c r="AE645" i="2"/>
  <c r="AE644" i="2"/>
  <c r="AE643" i="2"/>
  <c r="AE642" i="2"/>
  <c r="AE641" i="2"/>
  <c r="AE640" i="2"/>
  <c r="AE639" i="2"/>
  <c r="AE638" i="2"/>
  <c r="AE637" i="2"/>
  <c r="AE636" i="2"/>
  <c r="AE635" i="2"/>
  <c r="AE634" i="2"/>
  <c r="AE633" i="2"/>
  <c r="AE632" i="2"/>
  <c r="AE631" i="2"/>
  <c r="AE630" i="2"/>
  <c r="AE629" i="2"/>
  <c r="AE628" i="2"/>
  <c r="AE627" i="2"/>
  <c r="AE626" i="2"/>
  <c r="AE625" i="2"/>
  <c r="AE624" i="2"/>
  <c r="AE623" i="2"/>
  <c r="AE622" i="2"/>
  <c r="AE621" i="2"/>
  <c r="AE620" i="2"/>
  <c r="AE619" i="2"/>
  <c r="AE618" i="2"/>
  <c r="AE617" i="2"/>
  <c r="AE616" i="2"/>
  <c r="AE615" i="2"/>
  <c r="AE614" i="2"/>
  <c r="AE613" i="2"/>
  <c r="AE612" i="2"/>
  <c r="AE611" i="2"/>
  <c r="AE610" i="2"/>
  <c r="AE609" i="2"/>
  <c r="AE608" i="2"/>
  <c r="AE607" i="2"/>
  <c r="AE606" i="2"/>
  <c r="AE605" i="2"/>
  <c r="AE604" i="2"/>
  <c r="AE603" i="2"/>
  <c r="AE602" i="2"/>
  <c r="AE601" i="2"/>
  <c r="AE600" i="2"/>
  <c r="AE599" i="2"/>
  <c r="AE598" i="2"/>
  <c r="AE597" i="2"/>
  <c r="AE596" i="2"/>
  <c r="AE595" i="2"/>
  <c r="AE594" i="2"/>
  <c r="AE593" i="2"/>
  <c r="AE592" i="2"/>
  <c r="AE591" i="2"/>
  <c r="AE590" i="2"/>
  <c r="AE589" i="2"/>
  <c r="AE588" i="2"/>
  <c r="AE587" i="2"/>
  <c r="AE586" i="2"/>
  <c r="AE585" i="2"/>
  <c r="AE584" i="2"/>
  <c r="AE583" i="2"/>
  <c r="AE582" i="2"/>
  <c r="AE581" i="2"/>
  <c r="AE580" i="2"/>
  <c r="AE579" i="2"/>
  <c r="AE578" i="2"/>
  <c r="AE577" i="2"/>
  <c r="AE576" i="2"/>
  <c r="AE575" i="2"/>
  <c r="AE574" i="2"/>
  <c r="AE573" i="2"/>
  <c r="AE572" i="2"/>
  <c r="AE571" i="2"/>
  <c r="AE570" i="2"/>
  <c r="AE569" i="2"/>
  <c r="AE568" i="2"/>
  <c r="AE567" i="2"/>
  <c r="AE566" i="2"/>
  <c r="AE565" i="2"/>
  <c r="AE564" i="2"/>
  <c r="AE563" i="2"/>
  <c r="AE562" i="2"/>
  <c r="AE561" i="2"/>
  <c r="AE560" i="2"/>
  <c r="AE559" i="2"/>
  <c r="AE558" i="2"/>
  <c r="AE557" i="2"/>
  <c r="AE556" i="2"/>
  <c r="AE555" i="2"/>
  <c r="AE554" i="2"/>
  <c r="AE553" i="2"/>
  <c r="AE552" i="2"/>
  <c r="AE551" i="2"/>
  <c r="AE550" i="2"/>
  <c r="AE549" i="2"/>
  <c r="AE548" i="2"/>
  <c r="AE547" i="2"/>
  <c r="AE546" i="2"/>
  <c r="AE545" i="2"/>
  <c r="AE544" i="2"/>
  <c r="AE543" i="2"/>
  <c r="AE542" i="2"/>
  <c r="AE541" i="2"/>
  <c r="AE540" i="2"/>
  <c r="AE539" i="2"/>
  <c r="AE538" i="2"/>
  <c r="AE537" i="2"/>
  <c r="AE536" i="2"/>
  <c r="AE535" i="2"/>
  <c r="AE534" i="2"/>
  <c r="AE533" i="2"/>
  <c r="AE532" i="2"/>
  <c r="AE531" i="2"/>
  <c r="AE530" i="2"/>
  <c r="AE529" i="2"/>
  <c r="AE528" i="2"/>
  <c r="AE527" i="2"/>
  <c r="AE526" i="2"/>
  <c r="AE525" i="2"/>
  <c r="AE524" i="2"/>
  <c r="AE523" i="2"/>
  <c r="AE522" i="2"/>
  <c r="AE521" i="2"/>
  <c r="AE520" i="2"/>
  <c r="AE519" i="2"/>
  <c r="AE518" i="2"/>
  <c r="AE517" i="2"/>
  <c r="AE516" i="2"/>
  <c r="AE515" i="2"/>
  <c r="AE514" i="2"/>
  <c r="AE513" i="2"/>
  <c r="AE512" i="2"/>
  <c r="AE511" i="2"/>
  <c r="AE510" i="2"/>
  <c r="AE509" i="2"/>
  <c r="AE508" i="2"/>
  <c r="AE507" i="2"/>
  <c r="AE506" i="2"/>
  <c r="AE505" i="2"/>
  <c r="AE504" i="2"/>
  <c r="AE503" i="2"/>
  <c r="AE502" i="2"/>
  <c r="AE501" i="2"/>
  <c r="AE500" i="2"/>
  <c r="AE499" i="2"/>
  <c r="AE498" i="2"/>
  <c r="AE497" i="2"/>
  <c r="AE496" i="2"/>
  <c r="AE495" i="2"/>
  <c r="AE494" i="2"/>
  <c r="AE493" i="2"/>
  <c r="AE492" i="2"/>
  <c r="AE491" i="2"/>
  <c r="AE490" i="2"/>
  <c r="AE489" i="2"/>
  <c r="AE488" i="2"/>
  <c r="AE487" i="2"/>
  <c r="AE486" i="2"/>
  <c r="AE485" i="2"/>
  <c r="AE484" i="2"/>
  <c r="AE483" i="2"/>
  <c r="AE482" i="2"/>
  <c r="AE481" i="2"/>
  <c r="AE480" i="2"/>
  <c r="AE479" i="2"/>
  <c r="AE478" i="2"/>
  <c r="AE477" i="2"/>
  <c r="AE476" i="2"/>
  <c r="AE475" i="2"/>
  <c r="AE474" i="2"/>
  <c r="AE473" i="2"/>
  <c r="AE472" i="2"/>
  <c r="AE471" i="2"/>
  <c r="AE470" i="2"/>
  <c r="AE469" i="2"/>
  <c r="AE468" i="2"/>
  <c r="AE467" i="2"/>
  <c r="AE466" i="2"/>
  <c r="AE465" i="2"/>
  <c r="AE464" i="2"/>
  <c r="AE463" i="2"/>
  <c r="AE462" i="2"/>
  <c r="AE461" i="2"/>
  <c r="AE460" i="2"/>
  <c r="AE459" i="2"/>
  <c r="AE458" i="2"/>
  <c r="AE457" i="2"/>
  <c r="AE456" i="2"/>
  <c r="AE455" i="2"/>
  <c r="AE454" i="2"/>
  <c r="AE453" i="2"/>
  <c r="AE452" i="2"/>
  <c r="AE451" i="2"/>
  <c r="AE450" i="2"/>
  <c r="AE449" i="2"/>
  <c r="AE448" i="2"/>
  <c r="AE447" i="2"/>
  <c r="AE446" i="2"/>
  <c r="AE445" i="2"/>
  <c r="AE444" i="2"/>
  <c r="AE443" i="2"/>
  <c r="AE442" i="2"/>
  <c r="AE441" i="2"/>
  <c r="AE440" i="2"/>
  <c r="AE439" i="2"/>
  <c r="AE438" i="2"/>
  <c r="AE437" i="2"/>
  <c r="AE436" i="2"/>
  <c r="AE435" i="2"/>
  <c r="AE434" i="2"/>
  <c r="AE433" i="2"/>
  <c r="AE432" i="2"/>
  <c r="AE431" i="2"/>
  <c r="AE430" i="2"/>
  <c r="AE429" i="2"/>
  <c r="AE428" i="2"/>
  <c r="AE427" i="2"/>
  <c r="AE426" i="2"/>
  <c r="AE425" i="2"/>
  <c r="AE424" i="2"/>
  <c r="AE423" i="2"/>
  <c r="AE422" i="2"/>
  <c r="AE421" i="2"/>
  <c r="AE420" i="2"/>
  <c r="AE419" i="2"/>
  <c r="AE418" i="2"/>
  <c r="AE417" i="2"/>
  <c r="AE416" i="2"/>
  <c r="AE415" i="2"/>
  <c r="AE414" i="2"/>
  <c r="AE413" i="2"/>
  <c r="AE412" i="2"/>
  <c r="AE411" i="2"/>
  <c r="AE410" i="2"/>
  <c r="AE409" i="2"/>
  <c r="AE408" i="2"/>
  <c r="AE407" i="2"/>
  <c r="AE406" i="2"/>
  <c r="AE405" i="2"/>
  <c r="AE404" i="2"/>
  <c r="AE403" i="2"/>
  <c r="AE402" i="2"/>
  <c r="AE401" i="2"/>
  <c r="AE400" i="2"/>
  <c r="AE399" i="2"/>
  <c r="AE398" i="2"/>
  <c r="AE397" i="2"/>
  <c r="AE396" i="2"/>
  <c r="AE395" i="2"/>
  <c r="AE394" i="2"/>
  <c r="AE393" i="2"/>
  <c r="AE392" i="2"/>
  <c r="AE391" i="2"/>
  <c r="AE390" i="2"/>
  <c r="AE389" i="2"/>
  <c r="AE388" i="2"/>
  <c r="AE387" i="2"/>
  <c r="AE386" i="2"/>
  <c r="AE385" i="2"/>
  <c r="AE384" i="2"/>
  <c r="AE383" i="2"/>
  <c r="AE382" i="2"/>
  <c r="AE381" i="2"/>
  <c r="AE380" i="2"/>
  <c r="AE379" i="2"/>
  <c r="AE378" i="2"/>
  <c r="AE377" i="2"/>
  <c r="AE376" i="2"/>
  <c r="AE375" i="2"/>
  <c r="AE374" i="2"/>
  <c r="AE373" i="2"/>
  <c r="AE372" i="2"/>
  <c r="AE371" i="2"/>
  <c r="AE370" i="2"/>
  <c r="AE369" i="2"/>
  <c r="AE368" i="2"/>
  <c r="AE367" i="2"/>
  <c r="AE366" i="2"/>
  <c r="AE365" i="2"/>
  <c r="AE364" i="2"/>
  <c r="AE363" i="2"/>
  <c r="AE362" i="2"/>
  <c r="AE361" i="2"/>
  <c r="AE360" i="2"/>
  <c r="AE359" i="2"/>
  <c r="AE358" i="2"/>
  <c r="AE357" i="2"/>
  <c r="AE356" i="2"/>
  <c r="AE355" i="2"/>
  <c r="AE354" i="2"/>
  <c r="AE353" i="2"/>
  <c r="AE352" i="2"/>
  <c r="AE351" i="2"/>
  <c r="AE350" i="2"/>
  <c r="AE349" i="2"/>
  <c r="AE348" i="2"/>
  <c r="AE347" i="2"/>
  <c r="AE346" i="2"/>
  <c r="AE345" i="2"/>
  <c r="AE344" i="2"/>
  <c r="AE343" i="2"/>
  <c r="AE342" i="2"/>
  <c r="AE341" i="2"/>
  <c r="AE340" i="2"/>
  <c r="AE339" i="2"/>
  <c r="AE338" i="2"/>
  <c r="AE337" i="2"/>
  <c r="AE336" i="2"/>
  <c r="AE335" i="2"/>
  <c r="AE334" i="2"/>
  <c r="AE333" i="2"/>
  <c r="AE332" i="2"/>
  <c r="AE331" i="2"/>
  <c r="AE330" i="2"/>
  <c r="AE329" i="2"/>
  <c r="AE328" i="2"/>
  <c r="AE327" i="2"/>
  <c r="AE326" i="2"/>
  <c r="AE325" i="2"/>
  <c r="AE324" i="2"/>
  <c r="AE323" i="2"/>
  <c r="AE322" i="2"/>
  <c r="AE321" i="2"/>
  <c r="AE320" i="2"/>
  <c r="AE319" i="2"/>
  <c r="AE318" i="2"/>
  <c r="AE317" i="2"/>
  <c r="AE316" i="2"/>
  <c r="AE315" i="2"/>
  <c r="AE314" i="2"/>
  <c r="AE313" i="2"/>
  <c r="AE312" i="2"/>
  <c r="AE311" i="2"/>
  <c r="AE310" i="2"/>
  <c r="AE309" i="2"/>
  <c r="AE308" i="2"/>
  <c r="AE307" i="2"/>
  <c r="AE306" i="2"/>
  <c r="AE305" i="2"/>
  <c r="AE304" i="2"/>
  <c r="AE303" i="2"/>
  <c r="AE302" i="2"/>
  <c r="AE301" i="2"/>
  <c r="AE300" i="2"/>
  <c r="AE299" i="2"/>
  <c r="AE298" i="2"/>
  <c r="AE297" i="2"/>
  <c r="AE296" i="2"/>
  <c r="AE295" i="2"/>
  <c r="AE294" i="2"/>
  <c r="AE293" i="2"/>
  <c r="AE292" i="2"/>
  <c r="AE291" i="2"/>
  <c r="AE290" i="2"/>
  <c r="AE289" i="2"/>
  <c r="AE288" i="2"/>
  <c r="AE287" i="2"/>
  <c r="AE286" i="2"/>
  <c r="AE285" i="2"/>
  <c r="AE284" i="2"/>
  <c r="AE283" i="2"/>
  <c r="AE282" i="2"/>
  <c r="AE281" i="2"/>
  <c r="AE280" i="2"/>
  <c r="AE279" i="2"/>
  <c r="AE278" i="2"/>
  <c r="AE277" i="2"/>
  <c r="AE276" i="2"/>
  <c r="AE275" i="2"/>
  <c r="AE274" i="2"/>
  <c r="AE273" i="2"/>
  <c r="AE272" i="2"/>
  <c r="AE271" i="2"/>
  <c r="AE270" i="2"/>
  <c r="AE269" i="2"/>
  <c r="AE268" i="2"/>
  <c r="AE267" i="2"/>
  <c r="AE266" i="2"/>
  <c r="AE265" i="2"/>
  <c r="AE264" i="2"/>
  <c r="AE263" i="2"/>
  <c r="AE262" i="2"/>
  <c r="AE261" i="2"/>
  <c r="AE260" i="2"/>
  <c r="AE259" i="2"/>
  <c r="AE258" i="2"/>
  <c r="AE257" i="2"/>
  <c r="AE256" i="2"/>
  <c r="AE255" i="2"/>
  <c r="AE254" i="2"/>
  <c r="AE253" i="2"/>
  <c r="AE252" i="2"/>
  <c r="AE251" i="2"/>
  <c r="AE250" i="2"/>
  <c r="AE249" i="2"/>
  <c r="AE248" i="2"/>
  <c r="AE247" i="2"/>
  <c r="AE246" i="2"/>
  <c r="AE245" i="2"/>
  <c r="AE244" i="2"/>
  <c r="AE243" i="2"/>
  <c r="AE242" i="2"/>
  <c r="AE241" i="2"/>
  <c r="AE240" i="2"/>
  <c r="AE239" i="2"/>
  <c r="AE238" i="2"/>
  <c r="AE237" i="2"/>
  <c r="AE236" i="2"/>
  <c r="AE235" i="2"/>
  <c r="AE234" i="2"/>
  <c r="AE233" i="2"/>
  <c r="AE232" i="2"/>
  <c r="AE231" i="2"/>
  <c r="AE230" i="2"/>
  <c r="AE229" i="2"/>
  <c r="AE228" i="2"/>
  <c r="AE227" i="2"/>
  <c r="AE226" i="2"/>
  <c r="AE225" i="2"/>
  <c r="AE224" i="2"/>
  <c r="AE223" i="2"/>
  <c r="AE222" i="2"/>
  <c r="AE221" i="2"/>
  <c r="AE220" i="2"/>
  <c r="AE219" i="2"/>
  <c r="AE218" i="2"/>
  <c r="AE217" i="2"/>
  <c r="AE216" i="2"/>
  <c r="AE215" i="2"/>
  <c r="AE214" i="2"/>
  <c r="AE213" i="2"/>
  <c r="AE212" i="2"/>
  <c r="AE211" i="2"/>
  <c r="AE210" i="2"/>
  <c r="AE209" i="2"/>
  <c r="AE208" i="2"/>
  <c r="AE207" i="2"/>
  <c r="AE206" i="2"/>
  <c r="AE205" i="2"/>
  <c r="AE204" i="2"/>
  <c r="AE203" i="2"/>
  <c r="AE202" i="2"/>
  <c r="AE201" i="2"/>
  <c r="AE200" i="2"/>
  <c r="AE199" i="2"/>
  <c r="AE198" i="2"/>
  <c r="AE197" i="2"/>
  <c r="AE196" i="2"/>
  <c r="AE195" i="2"/>
  <c r="AE194" i="2"/>
  <c r="AE193" i="2"/>
  <c r="AE192" i="2"/>
  <c r="AE191" i="2"/>
  <c r="AE190" i="2"/>
  <c r="AE189" i="2"/>
  <c r="AE188" i="2"/>
  <c r="AE187" i="2"/>
  <c r="AE186" i="2"/>
  <c r="AE185" i="2"/>
  <c r="AE184" i="2"/>
  <c r="AE183" i="2"/>
  <c r="AE182" i="2"/>
  <c r="AE181" i="2"/>
  <c r="AE180" i="2"/>
  <c r="AE179" i="2"/>
  <c r="AE178" i="2"/>
  <c r="AE177" i="2"/>
  <c r="AE176" i="2"/>
  <c r="AE175" i="2"/>
  <c r="AE174" i="2"/>
  <c r="AE173" i="2"/>
  <c r="AE172" i="2"/>
  <c r="AE171" i="2"/>
  <c r="AE170" i="2"/>
  <c r="AE169" i="2"/>
  <c r="AE168" i="2"/>
  <c r="AE167" i="2"/>
  <c r="AE166" i="2"/>
  <c r="AE165" i="2"/>
  <c r="AE164" i="2"/>
  <c r="AE163" i="2"/>
  <c r="AE162" i="2"/>
  <c r="AE161" i="2"/>
  <c r="AE160" i="2"/>
  <c r="AE159" i="2"/>
  <c r="AE158" i="2"/>
  <c r="AE157" i="2"/>
  <c r="AE156" i="2"/>
  <c r="AE155" i="2"/>
  <c r="AE154" i="2"/>
  <c r="AE153" i="2"/>
  <c r="AE152" i="2"/>
  <c r="AE151" i="2"/>
  <c r="AE150" i="2"/>
  <c r="AE149" i="2"/>
  <c r="AE148" i="2"/>
  <c r="AE147" i="2"/>
  <c r="AE146" i="2"/>
  <c r="AE145" i="2"/>
  <c r="AE144" i="2"/>
  <c r="AE143" i="2"/>
  <c r="AE142" i="2"/>
  <c r="AE141" i="2"/>
  <c r="AE140" i="2"/>
  <c r="AE139" i="2"/>
  <c r="AE138" i="2"/>
  <c r="AE137" i="2"/>
  <c r="AE136" i="2"/>
  <c r="AE135" i="2"/>
  <c r="AE134" i="2"/>
  <c r="AE133" i="2"/>
  <c r="AE132" i="2"/>
  <c r="AE131" i="2"/>
  <c r="AE130" i="2"/>
  <c r="AE129" i="2"/>
  <c r="AE128" i="2"/>
  <c r="AE127" i="2"/>
  <c r="AE126" i="2"/>
  <c r="AE125" i="2"/>
  <c r="AE124" i="2"/>
  <c r="AE123" i="2"/>
  <c r="AE122" i="2"/>
  <c r="AE121" i="2"/>
  <c r="AE120" i="2"/>
  <c r="AE119" i="2"/>
  <c r="AE118" i="2"/>
  <c r="AE117" i="2"/>
  <c r="AE116" i="2"/>
  <c r="AE115" i="2"/>
  <c r="AE114" i="2"/>
  <c r="AE113" i="2"/>
  <c r="AE112" i="2"/>
  <c r="AE111" i="2"/>
  <c r="AE110" i="2"/>
  <c r="AE109" i="2"/>
  <c r="AE108" i="2"/>
  <c r="AE107" i="2"/>
  <c r="AE106" i="2"/>
  <c r="AE105" i="2"/>
  <c r="AE104" i="2"/>
  <c r="AE103" i="2"/>
  <c r="AE102" i="2"/>
  <c r="AE101" i="2"/>
  <c r="AE100" i="2"/>
  <c r="AE99" i="2"/>
  <c r="AE98" i="2"/>
  <c r="AE97" i="2"/>
  <c r="AE96" i="2"/>
  <c r="AE95" i="2"/>
  <c r="AE94" i="2"/>
  <c r="AE93" i="2"/>
  <c r="AE92" i="2"/>
  <c r="AE91" i="2"/>
  <c r="AE90" i="2"/>
  <c r="AE89" i="2"/>
  <c r="AE88" i="2"/>
  <c r="AE87" i="2"/>
  <c r="AE86" i="2"/>
  <c r="AE85" i="2"/>
  <c r="AE84" i="2"/>
  <c r="AE83" i="2"/>
  <c r="AE82" i="2"/>
  <c r="AE81" i="2"/>
  <c r="AE80" i="2"/>
  <c r="AE79" i="2"/>
  <c r="AE78" i="2"/>
  <c r="AE77" i="2"/>
  <c r="AE76" i="2"/>
  <c r="AE75" i="2"/>
  <c r="AE74" i="2"/>
  <c r="AE73" i="2"/>
  <c r="AE72" i="2"/>
  <c r="AE71" i="2"/>
  <c r="AE70" i="2"/>
  <c r="AE69" i="2"/>
  <c r="AE68" i="2"/>
  <c r="AE67" i="2"/>
  <c r="AE66" i="2"/>
  <c r="AE65" i="2"/>
  <c r="AE64" i="2"/>
  <c r="AE63" i="2"/>
  <c r="AE62" i="2"/>
  <c r="AE61" i="2"/>
  <c r="AE60" i="2"/>
  <c r="AE59" i="2"/>
  <c r="AE58" i="2"/>
  <c r="AE57" i="2"/>
  <c r="AE56" i="2"/>
  <c r="AE55" i="2"/>
  <c r="AE54" i="2"/>
  <c r="AE53" i="2"/>
  <c r="AE52" i="2"/>
  <c r="AE51" i="2"/>
  <c r="AE50" i="2"/>
  <c r="AE49" i="2"/>
  <c r="AE48" i="2"/>
  <c r="AE47" i="2"/>
  <c r="AE46" i="2"/>
  <c r="AE45" i="2"/>
  <c r="AE44" i="2"/>
  <c r="AE43" i="2"/>
  <c r="AE42" i="2"/>
  <c r="AE41" i="2"/>
  <c r="AE40" i="2"/>
  <c r="AE39" i="2"/>
  <c r="AE38" i="2"/>
  <c r="AE37" i="2"/>
  <c r="AE36" i="2"/>
  <c r="AE35" i="2"/>
  <c r="AE34" i="2"/>
  <c r="AE33" i="2"/>
  <c r="AE32" i="2"/>
  <c r="AE31" i="2"/>
  <c r="AE30" i="2"/>
  <c r="AE29" i="2"/>
  <c r="AE28" i="2"/>
  <c r="AE27" i="2"/>
  <c r="AE26" i="2"/>
  <c r="AE25" i="2"/>
  <c r="AE24" i="2"/>
  <c r="AE23" i="2"/>
  <c r="AE22" i="2"/>
  <c r="AE21" i="2"/>
  <c r="AE20" i="2"/>
  <c r="AE19" i="2"/>
  <c r="AE18" i="2"/>
  <c r="AE17" i="2"/>
  <c r="AE16" i="2"/>
  <c r="AE15" i="2"/>
  <c r="AE14" i="2"/>
  <c r="AE13" i="2"/>
  <c r="AE12" i="2"/>
  <c r="AE11" i="2"/>
  <c r="AE10" i="2"/>
  <c r="AE9" i="2"/>
  <c r="AE8" i="2"/>
  <c r="AE7" i="2"/>
  <c r="AE6" i="2"/>
  <c r="AE5" i="2"/>
  <c r="AE4" i="2"/>
  <c r="AE3" i="2"/>
  <c r="AE2" i="2"/>
  <c r="N1601" i="2"/>
  <c r="AC1601" i="2" s="1"/>
  <c r="N1600" i="2"/>
  <c r="AC1600" i="2" s="1"/>
  <c r="N1599" i="2"/>
  <c r="AC1599" i="2" s="1"/>
  <c r="N1598" i="2"/>
  <c r="AC1598" i="2" s="1"/>
  <c r="N1597" i="2"/>
  <c r="AC1597" i="2" s="1"/>
  <c r="N1596" i="2"/>
  <c r="AC1596" i="2" s="1"/>
  <c r="N1595" i="2"/>
  <c r="AC1595" i="2" s="1"/>
  <c r="N1594" i="2"/>
  <c r="AC1594" i="2" s="1"/>
  <c r="N1593" i="2"/>
  <c r="AC1593" i="2" s="1"/>
  <c r="N1592" i="2"/>
  <c r="AC1592" i="2" s="1"/>
  <c r="N1591" i="2"/>
  <c r="AC1591" i="2" s="1"/>
  <c r="N1590" i="2"/>
  <c r="AC1590" i="2" s="1"/>
  <c r="N1589" i="2"/>
  <c r="AC1589" i="2" s="1"/>
  <c r="N1588" i="2"/>
  <c r="AC1588" i="2" s="1"/>
  <c r="N1587" i="2"/>
  <c r="AC1587" i="2" s="1"/>
  <c r="N1586" i="2"/>
  <c r="AC1586" i="2" s="1"/>
  <c r="N1585" i="2"/>
  <c r="AC1585" i="2" s="1"/>
  <c r="N1584" i="2"/>
  <c r="AC1584" i="2" s="1"/>
  <c r="N1583" i="2"/>
  <c r="AC1583" i="2" s="1"/>
  <c r="N1582" i="2"/>
  <c r="AC1582" i="2" s="1"/>
  <c r="N1581" i="2"/>
  <c r="AC1581" i="2" s="1"/>
  <c r="N1580" i="2"/>
  <c r="AC1580" i="2" s="1"/>
  <c r="N1579" i="2"/>
  <c r="AC1579" i="2" s="1"/>
  <c r="N1578" i="2"/>
  <c r="AC1578" i="2" s="1"/>
  <c r="N1577" i="2"/>
  <c r="AC1577" i="2" s="1"/>
  <c r="N1576" i="2"/>
  <c r="AC1576" i="2" s="1"/>
  <c r="N1575" i="2"/>
  <c r="AC1575" i="2" s="1"/>
  <c r="N1574" i="2"/>
  <c r="AC1574" i="2" s="1"/>
  <c r="N1573" i="2"/>
  <c r="AC1573" i="2" s="1"/>
  <c r="N1572" i="2"/>
  <c r="AC1572" i="2" s="1"/>
  <c r="N1571" i="2"/>
  <c r="AC1571" i="2" s="1"/>
  <c r="N1570" i="2"/>
  <c r="AC1570" i="2" s="1"/>
  <c r="N1569" i="2"/>
  <c r="AC1569" i="2" s="1"/>
  <c r="N1568" i="2"/>
  <c r="AC1568" i="2" s="1"/>
  <c r="N1567" i="2"/>
  <c r="AC1567" i="2" s="1"/>
  <c r="N1566" i="2"/>
  <c r="AC1566" i="2" s="1"/>
  <c r="N1565" i="2"/>
  <c r="AC1565" i="2" s="1"/>
  <c r="N1564" i="2"/>
  <c r="AC1564" i="2" s="1"/>
  <c r="N1563" i="2"/>
  <c r="AC1563" i="2" s="1"/>
  <c r="N1562" i="2"/>
  <c r="AC1562" i="2" s="1"/>
  <c r="N1561" i="2"/>
  <c r="AC1561" i="2" s="1"/>
  <c r="N1560" i="2"/>
  <c r="AC1560" i="2" s="1"/>
  <c r="N1559" i="2"/>
  <c r="AC1559" i="2" s="1"/>
  <c r="N1558" i="2"/>
  <c r="AC1558" i="2" s="1"/>
  <c r="N1557" i="2"/>
  <c r="AC1557" i="2" s="1"/>
  <c r="N1556" i="2"/>
  <c r="AC1556" i="2" s="1"/>
  <c r="N1555" i="2"/>
  <c r="AC1555" i="2" s="1"/>
  <c r="N1554" i="2"/>
  <c r="AC1554" i="2" s="1"/>
  <c r="N1553" i="2"/>
  <c r="AC1553" i="2" s="1"/>
  <c r="N1552" i="2"/>
  <c r="AC1552" i="2" s="1"/>
  <c r="N1551" i="2"/>
  <c r="AC1551" i="2" s="1"/>
  <c r="N1550" i="2"/>
  <c r="AC1550" i="2" s="1"/>
  <c r="N1549" i="2"/>
  <c r="AC1549" i="2" s="1"/>
  <c r="N1548" i="2"/>
  <c r="AC1548" i="2" s="1"/>
  <c r="N1547" i="2"/>
  <c r="AC1547" i="2" s="1"/>
  <c r="N1546" i="2"/>
  <c r="AC1546" i="2" s="1"/>
  <c r="N1545" i="2"/>
  <c r="AC1545" i="2" s="1"/>
  <c r="N1544" i="2"/>
  <c r="AC1544" i="2" s="1"/>
  <c r="N1543" i="2"/>
  <c r="AC1543" i="2" s="1"/>
  <c r="N1542" i="2"/>
  <c r="AC1542" i="2" s="1"/>
  <c r="N1541" i="2"/>
  <c r="AC1541" i="2" s="1"/>
  <c r="N1540" i="2"/>
  <c r="AC1540" i="2" s="1"/>
  <c r="N1539" i="2"/>
  <c r="AC1539" i="2" s="1"/>
  <c r="N1538" i="2"/>
  <c r="AC1538" i="2" s="1"/>
  <c r="N1537" i="2"/>
  <c r="AC1537" i="2" s="1"/>
  <c r="N1536" i="2"/>
  <c r="AC1536" i="2" s="1"/>
  <c r="N1535" i="2"/>
  <c r="AC1535" i="2" s="1"/>
  <c r="N1534" i="2"/>
  <c r="AC1534" i="2" s="1"/>
  <c r="N1533" i="2"/>
  <c r="AC1533" i="2" s="1"/>
  <c r="N1532" i="2"/>
  <c r="AC1532" i="2" s="1"/>
  <c r="N1531" i="2"/>
  <c r="AC1531" i="2" s="1"/>
  <c r="N1530" i="2"/>
  <c r="AC1530" i="2" s="1"/>
  <c r="N1529" i="2"/>
  <c r="AC1529" i="2" s="1"/>
  <c r="N1528" i="2"/>
  <c r="AC1528" i="2" s="1"/>
  <c r="N1527" i="2"/>
  <c r="AC1527" i="2" s="1"/>
  <c r="N1526" i="2"/>
  <c r="AC1526" i="2" s="1"/>
  <c r="N1525" i="2"/>
  <c r="AC1525" i="2" s="1"/>
  <c r="N1524" i="2"/>
  <c r="AC1524" i="2" s="1"/>
  <c r="N1523" i="2"/>
  <c r="AC1523" i="2" s="1"/>
  <c r="N1522" i="2"/>
  <c r="AC1522" i="2" s="1"/>
  <c r="N1521" i="2"/>
  <c r="AC1521" i="2" s="1"/>
  <c r="N1520" i="2"/>
  <c r="AC1520" i="2" s="1"/>
  <c r="N1519" i="2"/>
  <c r="AC1519" i="2" s="1"/>
  <c r="N1518" i="2"/>
  <c r="AC1518" i="2" s="1"/>
  <c r="N1517" i="2"/>
  <c r="AC1517" i="2" s="1"/>
  <c r="N1516" i="2"/>
  <c r="AC1516" i="2" s="1"/>
  <c r="N1515" i="2"/>
  <c r="AC1515" i="2" s="1"/>
  <c r="N1514" i="2"/>
  <c r="AC1514" i="2" s="1"/>
  <c r="N1513" i="2"/>
  <c r="AC1513" i="2" s="1"/>
  <c r="N1512" i="2"/>
  <c r="AC1512" i="2" s="1"/>
  <c r="N1511" i="2"/>
  <c r="AC1511" i="2" s="1"/>
  <c r="N1510" i="2"/>
  <c r="AC1510" i="2" s="1"/>
  <c r="N1509" i="2"/>
  <c r="AC1509" i="2" s="1"/>
  <c r="N1508" i="2"/>
  <c r="AC1508" i="2" s="1"/>
  <c r="N1507" i="2"/>
  <c r="AC1507" i="2" s="1"/>
  <c r="N1506" i="2"/>
  <c r="AC1506" i="2" s="1"/>
  <c r="N1505" i="2"/>
  <c r="AC1505" i="2" s="1"/>
  <c r="N1504" i="2"/>
  <c r="AC1504" i="2" s="1"/>
  <c r="N1503" i="2"/>
  <c r="AC1503" i="2" s="1"/>
  <c r="N1502" i="2"/>
  <c r="AC1502" i="2" s="1"/>
  <c r="N1501" i="2"/>
  <c r="N1500" i="2"/>
  <c r="N1499" i="2"/>
  <c r="N1498" i="2"/>
  <c r="N1497" i="2"/>
  <c r="N1496" i="2"/>
  <c r="N1495" i="2"/>
  <c r="N1494" i="2"/>
  <c r="N1493" i="2"/>
  <c r="N1492" i="2"/>
  <c r="N1491" i="2"/>
  <c r="N1490" i="2"/>
  <c r="N1489" i="2"/>
  <c r="N1488" i="2"/>
  <c r="N1487" i="2"/>
  <c r="N1486" i="2"/>
  <c r="N1485" i="2"/>
  <c r="N1484" i="2"/>
  <c r="N1483" i="2"/>
  <c r="N1482" i="2"/>
  <c r="N1481" i="2"/>
  <c r="N1480" i="2"/>
  <c r="N1479" i="2"/>
  <c r="N1478" i="2"/>
  <c r="N1477" i="2"/>
  <c r="N1476" i="2"/>
  <c r="N1475" i="2"/>
  <c r="N1474" i="2"/>
  <c r="N1473" i="2"/>
  <c r="N1472" i="2"/>
  <c r="N1471" i="2"/>
  <c r="N1470" i="2"/>
  <c r="N1469" i="2"/>
  <c r="N1468" i="2"/>
  <c r="N1467" i="2"/>
  <c r="N1466" i="2"/>
  <c r="N1465" i="2"/>
  <c r="N1464" i="2"/>
  <c r="N1463" i="2"/>
  <c r="N1462" i="2"/>
  <c r="N1461" i="2"/>
  <c r="N1460" i="2"/>
  <c r="N1459" i="2"/>
  <c r="N1458" i="2"/>
  <c r="N1457" i="2"/>
  <c r="N1456" i="2"/>
  <c r="N1455" i="2"/>
  <c r="N1454" i="2"/>
  <c r="N1453" i="2"/>
  <c r="N1452" i="2"/>
  <c r="N1451" i="2"/>
  <c r="N1450" i="2"/>
  <c r="N1449" i="2"/>
  <c r="N1448" i="2"/>
  <c r="N1447" i="2"/>
  <c r="N1446" i="2"/>
  <c r="N1445" i="2"/>
  <c r="N1444" i="2"/>
  <c r="N1443" i="2"/>
  <c r="N1442" i="2"/>
  <c r="N1441" i="2"/>
  <c r="N1440" i="2"/>
  <c r="N1439" i="2"/>
  <c r="N1438" i="2"/>
  <c r="N1437" i="2"/>
  <c r="N1436" i="2"/>
  <c r="N1435" i="2"/>
  <c r="N1434" i="2"/>
  <c r="N1433" i="2"/>
  <c r="N1432" i="2"/>
  <c r="N1431" i="2"/>
  <c r="N1430" i="2"/>
  <c r="N1429" i="2"/>
  <c r="N1428" i="2"/>
  <c r="N1427" i="2"/>
  <c r="N1426" i="2"/>
  <c r="N1425" i="2"/>
  <c r="N1424" i="2"/>
  <c r="N1423" i="2"/>
  <c r="N1422" i="2"/>
  <c r="N1421" i="2"/>
  <c r="N1420" i="2"/>
  <c r="N1419" i="2"/>
  <c r="N1418" i="2"/>
  <c r="N1417" i="2"/>
  <c r="N1416" i="2"/>
  <c r="N1415" i="2"/>
  <c r="N1414" i="2"/>
  <c r="N1413" i="2"/>
  <c r="N1412" i="2"/>
  <c r="N1411" i="2"/>
  <c r="N1410" i="2"/>
  <c r="N1409" i="2"/>
  <c r="N1408" i="2"/>
  <c r="N1407" i="2"/>
  <c r="N1406" i="2"/>
  <c r="N1405" i="2"/>
  <c r="N1404" i="2"/>
  <c r="N1403" i="2"/>
  <c r="N1402" i="2"/>
  <c r="N1401" i="2"/>
  <c r="N1400" i="2"/>
  <c r="N1399" i="2"/>
  <c r="N1398" i="2"/>
  <c r="N1397" i="2"/>
  <c r="N1396" i="2"/>
  <c r="N1395" i="2"/>
  <c r="N1394" i="2"/>
  <c r="N1393" i="2"/>
  <c r="N1392" i="2"/>
  <c r="N1391" i="2"/>
  <c r="N1390" i="2"/>
  <c r="N1389" i="2"/>
  <c r="N1388" i="2"/>
  <c r="N1387" i="2"/>
  <c r="N1386" i="2"/>
  <c r="N1385" i="2"/>
  <c r="N1384" i="2"/>
  <c r="N1383" i="2"/>
  <c r="N1382" i="2"/>
  <c r="N1381" i="2"/>
  <c r="N1380" i="2"/>
  <c r="N1379" i="2"/>
  <c r="N1378" i="2"/>
  <c r="N1377" i="2"/>
  <c r="N1376" i="2"/>
  <c r="N1375" i="2"/>
  <c r="N1374" i="2"/>
  <c r="N1373" i="2"/>
  <c r="N1372" i="2"/>
  <c r="N1371" i="2"/>
  <c r="N1370" i="2"/>
  <c r="N1369" i="2"/>
  <c r="N1368" i="2"/>
  <c r="N1367" i="2"/>
  <c r="N1366" i="2"/>
  <c r="N1365" i="2"/>
  <c r="N1364" i="2"/>
  <c r="N1363" i="2"/>
  <c r="N1362" i="2"/>
  <c r="N1361" i="2"/>
  <c r="N1360" i="2"/>
  <c r="N1359" i="2"/>
  <c r="N1358" i="2"/>
  <c r="N1357" i="2"/>
  <c r="N1356" i="2"/>
  <c r="N1355" i="2"/>
  <c r="N1354" i="2"/>
  <c r="N1353" i="2"/>
  <c r="N1352" i="2"/>
  <c r="N1351" i="2"/>
  <c r="N1350" i="2"/>
  <c r="N1349" i="2"/>
  <c r="N1348" i="2"/>
  <c r="N1347" i="2"/>
  <c r="N1346" i="2"/>
  <c r="N1345" i="2"/>
  <c r="N1344" i="2"/>
  <c r="N1343" i="2"/>
  <c r="N1342" i="2"/>
  <c r="N1341" i="2"/>
  <c r="N1340" i="2"/>
  <c r="N1339" i="2"/>
  <c r="N1338" i="2"/>
  <c r="N1337" i="2"/>
  <c r="N1336" i="2"/>
  <c r="N1335" i="2"/>
  <c r="N1334" i="2"/>
  <c r="N1333" i="2"/>
  <c r="N1332" i="2"/>
  <c r="N1331" i="2"/>
  <c r="N1330" i="2"/>
  <c r="N1329" i="2"/>
  <c r="N1328" i="2"/>
  <c r="N1327" i="2"/>
  <c r="N1326" i="2"/>
  <c r="N1325" i="2"/>
  <c r="N1324" i="2"/>
  <c r="N1323" i="2"/>
  <c r="N1322" i="2"/>
  <c r="N1321" i="2"/>
  <c r="N1320" i="2"/>
  <c r="N1319" i="2"/>
  <c r="N1318" i="2"/>
  <c r="N1317" i="2"/>
  <c r="N1316" i="2"/>
  <c r="N1315" i="2"/>
  <c r="N1314" i="2"/>
  <c r="N1313" i="2"/>
  <c r="N1312" i="2"/>
  <c r="N1311" i="2"/>
  <c r="N1310" i="2"/>
  <c r="N1309" i="2"/>
  <c r="N1308" i="2"/>
  <c r="N1307" i="2"/>
  <c r="N1306" i="2"/>
  <c r="N1305" i="2"/>
  <c r="N1304" i="2"/>
  <c r="N1303" i="2"/>
  <c r="N1302" i="2"/>
  <c r="N1301" i="2"/>
  <c r="N1300" i="2"/>
  <c r="N1299" i="2"/>
  <c r="N1298" i="2"/>
  <c r="N1297" i="2"/>
  <c r="N1296" i="2"/>
  <c r="N1295" i="2"/>
  <c r="N1294" i="2"/>
  <c r="N1293" i="2"/>
  <c r="N1292" i="2"/>
  <c r="N1291" i="2"/>
  <c r="N1290" i="2"/>
  <c r="N1289" i="2"/>
  <c r="N1288" i="2"/>
  <c r="N1287" i="2"/>
  <c r="N1286" i="2"/>
  <c r="N1285" i="2"/>
  <c r="N1284" i="2"/>
  <c r="N1283" i="2"/>
  <c r="N1282" i="2"/>
  <c r="N1281" i="2"/>
  <c r="N1280" i="2"/>
  <c r="N1279" i="2"/>
  <c r="N1278" i="2"/>
  <c r="N1277" i="2"/>
  <c r="N1276" i="2"/>
  <c r="N1275" i="2"/>
  <c r="N1274" i="2"/>
  <c r="N1273" i="2"/>
  <c r="N1272" i="2"/>
  <c r="N1271" i="2"/>
  <c r="N1270" i="2"/>
  <c r="N1269" i="2"/>
  <c r="N1268" i="2"/>
  <c r="N1267" i="2"/>
  <c r="N1266" i="2"/>
  <c r="N1265" i="2"/>
  <c r="N1264" i="2"/>
  <c r="N1263" i="2"/>
  <c r="N1262" i="2"/>
  <c r="N1261" i="2"/>
  <c r="N1260" i="2"/>
  <c r="N1259" i="2"/>
  <c r="N1258" i="2"/>
  <c r="N1257" i="2"/>
  <c r="N1256" i="2"/>
  <c r="N1255" i="2"/>
  <c r="N1254" i="2"/>
  <c r="N1253" i="2"/>
  <c r="N1252" i="2"/>
  <c r="N1251" i="2"/>
  <c r="N1250" i="2"/>
  <c r="N1249" i="2"/>
  <c r="N1248" i="2"/>
  <c r="N1247" i="2"/>
  <c r="N1246" i="2"/>
  <c r="N1245" i="2"/>
  <c r="N1244" i="2"/>
  <c r="N1243" i="2"/>
  <c r="N1242" i="2"/>
  <c r="N1241" i="2"/>
  <c r="N1240" i="2"/>
  <c r="N1239" i="2"/>
  <c r="N1238" i="2"/>
  <c r="N1237" i="2"/>
  <c r="N1236" i="2"/>
  <c r="N1235" i="2"/>
  <c r="N1234" i="2"/>
  <c r="N1233" i="2"/>
  <c r="N1232" i="2"/>
  <c r="N1231" i="2"/>
  <c r="N1230" i="2"/>
  <c r="N1229" i="2"/>
  <c r="N1228" i="2"/>
  <c r="N1227" i="2"/>
  <c r="N1226" i="2"/>
  <c r="N1225" i="2"/>
  <c r="N1224" i="2"/>
  <c r="N1223" i="2"/>
  <c r="N1222" i="2"/>
  <c r="N1221" i="2"/>
  <c r="N1220" i="2"/>
  <c r="N1219" i="2"/>
  <c r="N1218" i="2"/>
  <c r="N1217" i="2"/>
  <c r="N1216" i="2"/>
  <c r="N1215" i="2"/>
  <c r="N1214" i="2"/>
  <c r="N1213" i="2"/>
  <c r="N1212" i="2"/>
  <c r="N1211" i="2"/>
  <c r="N1210" i="2"/>
  <c r="N1209" i="2"/>
  <c r="N1208" i="2"/>
  <c r="N1207" i="2"/>
  <c r="N1206" i="2"/>
  <c r="N1205" i="2"/>
  <c r="N1204" i="2"/>
  <c r="N1203" i="2"/>
  <c r="N1202" i="2"/>
  <c r="N1201" i="2"/>
  <c r="AC1201" i="2" s="1"/>
  <c r="N1200" i="2"/>
  <c r="AC1200" i="2" s="1"/>
  <c r="N1199" i="2"/>
  <c r="AC1199" i="2" s="1"/>
  <c r="N1198" i="2"/>
  <c r="AC1198" i="2" s="1"/>
  <c r="N1197" i="2"/>
  <c r="AC1197" i="2" s="1"/>
  <c r="N1196" i="2"/>
  <c r="AC1196" i="2" s="1"/>
  <c r="N1195" i="2"/>
  <c r="AC1195" i="2" s="1"/>
  <c r="N1194" i="2"/>
  <c r="AC1194" i="2" s="1"/>
  <c r="N1193" i="2"/>
  <c r="AC1193" i="2" s="1"/>
  <c r="N1192" i="2"/>
  <c r="AC1192" i="2" s="1"/>
  <c r="N1191" i="2"/>
  <c r="AC1191" i="2" s="1"/>
  <c r="N1190" i="2"/>
  <c r="AC1190" i="2" s="1"/>
  <c r="N1189" i="2"/>
  <c r="AC1189" i="2" s="1"/>
  <c r="N1188" i="2"/>
  <c r="AC1188" i="2" s="1"/>
  <c r="N1187" i="2"/>
  <c r="AC1187" i="2" s="1"/>
  <c r="N1186" i="2"/>
  <c r="AC1186" i="2" s="1"/>
  <c r="N1185" i="2"/>
  <c r="AC1185" i="2" s="1"/>
  <c r="N1184" i="2"/>
  <c r="AC1184" i="2" s="1"/>
  <c r="N1183" i="2"/>
  <c r="AC1183" i="2" s="1"/>
  <c r="N1182" i="2"/>
  <c r="AC1182" i="2" s="1"/>
  <c r="N1181" i="2"/>
  <c r="AC1181" i="2" s="1"/>
  <c r="N1180" i="2"/>
  <c r="AC1180" i="2" s="1"/>
  <c r="N1179" i="2"/>
  <c r="AC1179" i="2" s="1"/>
  <c r="N1178" i="2"/>
  <c r="AC1178" i="2" s="1"/>
  <c r="N1177" i="2"/>
  <c r="AC1177" i="2" s="1"/>
  <c r="N1176" i="2"/>
  <c r="AC1176" i="2" s="1"/>
  <c r="N1175" i="2"/>
  <c r="AC1175" i="2" s="1"/>
  <c r="N1174" i="2"/>
  <c r="AC1174" i="2" s="1"/>
  <c r="N1173" i="2"/>
  <c r="AC1173" i="2" s="1"/>
  <c r="N1172" i="2"/>
  <c r="AC1172" i="2" s="1"/>
  <c r="N1171" i="2"/>
  <c r="AC1171" i="2" s="1"/>
  <c r="N1170" i="2"/>
  <c r="AC1170" i="2" s="1"/>
  <c r="N1169" i="2"/>
  <c r="AC1169" i="2" s="1"/>
  <c r="N1168" i="2"/>
  <c r="AC1168" i="2" s="1"/>
  <c r="N1167" i="2"/>
  <c r="AC1167" i="2" s="1"/>
  <c r="N1166" i="2"/>
  <c r="AC1166" i="2" s="1"/>
  <c r="N1165" i="2"/>
  <c r="AC1165" i="2" s="1"/>
  <c r="N1164" i="2"/>
  <c r="AC1164" i="2" s="1"/>
  <c r="N1163" i="2"/>
  <c r="AC1163" i="2" s="1"/>
  <c r="N1162" i="2"/>
  <c r="AC1162" i="2" s="1"/>
  <c r="N1161" i="2"/>
  <c r="AC1161" i="2" s="1"/>
  <c r="N1160" i="2"/>
  <c r="AC1160" i="2" s="1"/>
  <c r="N1159" i="2"/>
  <c r="AC1159" i="2" s="1"/>
  <c r="N1158" i="2"/>
  <c r="AC1158" i="2" s="1"/>
  <c r="N1157" i="2"/>
  <c r="AC1157" i="2" s="1"/>
  <c r="N1156" i="2"/>
  <c r="AC1156" i="2" s="1"/>
  <c r="N1155" i="2"/>
  <c r="AC1155" i="2" s="1"/>
  <c r="N1154" i="2"/>
  <c r="AC1154" i="2" s="1"/>
  <c r="N1153" i="2"/>
  <c r="AC1153" i="2" s="1"/>
  <c r="N1152" i="2"/>
  <c r="AC1152" i="2" s="1"/>
  <c r="N1151" i="2"/>
  <c r="AC1151" i="2" s="1"/>
  <c r="N1150" i="2"/>
  <c r="AC1150" i="2" s="1"/>
  <c r="N1149" i="2"/>
  <c r="AC1149" i="2" s="1"/>
  <c r="N1148" i="2"/>
  <c r="AC1148" i="2" s="1"/>
  <c r="N1147" i="2"/>
  <c r="AC1147" i="2" s="1"/>
  <c r="N1146" i="2"/>
  <c r="AC1146" i="2" s="1"/>
  <c r="N1145" i="2"/>
  <c r="AC1145" i="2" s="1"/>
  <c r="N1144" i="2"/>
  <c r="AC1144" i="2" s="1"/>
  <c r="N1143" i="2"/>
  <c r="AC1143" i="2" s="1"/>
  <c r="N1142" i="2"/>
  <c r="AC1142" i="2" s="1"/>
  <c r="N1141" i="2"/>
  <c r="AC1141" i="2" s="1"/>
  <c r="N1140" i="2"/>
  <c r="AC1140" i="2" s="1"/>
  <c r="N1139" i="2"/>
  <c r="AC1139" i="2" s="1"/>
  <c r="N1138" i="2"/>
  <c r="AC1138" i="2" s="1"/>
  <c r="N1137" i="2"/>
  <c r="AC1137" i="2" s="1"/>
  <c r="N1136" i="2"/>
  <c r="AC1136" i="2" s="1"/>
  <c r="N1135" i="2"/>
  <c r="AC1135" i="2" s="1"/>
  <c r="N1134" i="2"/>
  <c r="AC1134" i="2" s="1"/>
  <c r="N1133" i="2"/>
  <c r="AC1133" i="2" s="1"/>
  <c r="N1132" i="2"/>
  <c r="AC1132" i="2" s="1"/>
  <c r="N1131" i="2"/>
  <c r="AC1131" i="2" s="1"/>
  <c r="N1130" i="2"/>
  <c r="AC1130" i="2" s="1"/>
  <c r="N1129" i="2"/>
  <c r="AC1129" i="2" s="1"/>
  <c r="N1128" i="2"/>
  <c r="AC1128" i="2" s="1"/>
  <c r="N1127" i="2"/>
  <c r="AC1127" i="2" s="1"/>
  <c r="N1126" i="2"/>
  <c r="AC1126" i="2" s="1"/>
  <c r="N1125" i="2"/>
  <c r="AC1125" i="2" s="1"/>
  <c r="N1124" i="2"/>
  <c r="AC1124" i="2" s="1"/>
  <c r="N1123" i="2"/>
  <c r="AC1123" i="2" s="1"/>
  <c r="N1122" i="2"/>
  <c r="AC1122" i="2" s="1"/>
  <c r="N1121" i="2"/>
  <c r="AC1121" i="2" s="1"/>
  <c r="N1120" i="2"/>
  <c r="AC1120" i="2" s="1"/>
  <c r="N1119" i="2"/>
  <c r="AC1119" i="2" s="1"/>
  <c r="N1118" i="2"/>
  <c r="AC1118" i="2" s="1"/>
  <c r="N1117" i="2"/>
  <c r="AC1117" i="2" s="1"/>
  <c r="N1116" i="2"/>
  <c r="N1115" i="2"/>
  <c r="N1114" i="2"/>
  <c r="N1113" i="2"/>
  <c r="N1112" i="2"/>
  <c r="N1111" i="2"/>
  <c r="N1110" i="2"/>
  <c r="N1109" i="2"/>
  <c r="N1108" i="2"/>
  <c r="N1107" i="2"/>
  <c r="N1106" i="2"/>
  <c r="N1105" i="2"/>
  <c r="N1104" i="2"/>
  <c r="N1103" i="2"/>
  <c r="N1102" i="2"/>
  <c r="N1101" i="2"/>
  <c r="N1100" i="2"/>
  <c r="N1099" i="2"/>
  <c r="N1098" i="2"/>
  <c r="N1097" i="2"/>
  <c r="N1096" i="2"/>
  <c r="N1095" i="2"/>
  <c r="N1094" i="2"/>
  <c r="N1093" i="2"/>
  <c r="N1092" i="2"/>
  <c r="N1091" i="2"/>
  <c r="N1090" i="2"/>
  <c r="N1089" i="2"/>
  <c r="N1088" i="2"/>
  <c r="N1087" i="2"/>
  <c r="N1086" i="2"/>
  <c r="N1085" i="2"/>
  <c r="N1084" i="2"/>
  <c r="N1083" i="2"/>
  <c r="N1082" i="2"/>
  <c r="N1081" i="2"/>
  <c r="N1080" i="2"/>
  <c r="N1079" i="2"/>
  <c r="N1078" i="2"/>
  <c r="N1077" i="2"/>
  <c r="N1076" i="2"/>
  <c r="N1075" i="2"/>
  <c r="N1074" i="2"/>
  <c r="N1073" i="2"/>
  <c r="N1072" i="2"/>
  <c r="N1071" i="2"/>
  <c r="N1070" i="2"/>
  <c r="N1069" i="2"/>
  <c r="N1068" i="2"/>
  <c r="N1067" i="2"/>
  <c r="N1066" i="2"/>
  <c r="N1065" i="2"/>
  <c r="N1064" i="2"/>
  <c r="N1063" i="2"/>
  <c r="N1062" i="2"/>
  <c r="N1061" i="2"/>
  <c r="N1060" i="2"/>
  <c r="N1059" i="2"/>
  <c r="N1058" i="2"/>
  <c r="N1057" i="2"/>
  <c r="N1056" i="2"/>
  <c r="N1055" i="2"/>
  <c r="N1054" i="2"/>
  <c r="N1053" i="2"/>
  <c r="N1052" i="2"/>
  <c r="N1051" i="2"/>
  <c r="N1050" i="2"/>
  <c r="N1049" i="2"/>
  <c r="N1048" i="2"/>
  <c r="N1047" i="2"/>
  <c r="N1046" i="2"/>
  <c r="N1045" i="2"/>
  <c r="N1044" i="2"/>
  <c r="N1043" i="2"/>
  <c r="N1042" i="2"/>
  <c r="N1041" i="2"/>
  <c r="N1040" i="2"/>
  <c r="N1039" i="2"/>
  <c r="N1038" i="2"/>
  <c r="N1037" i="2"/>
  <c r="N1036" i="2"/>
  <c r="N1035" i="2"/>
  <c r="N1034" i="2"/>
  <c r="N1033" i="2"/>
  <c r="N1032" i="2"/>
  <c r="N1031" i="2"/>
  <c r="N1030" i="2"/>
  <c r="N1029" i="2"/>
  <c r="N1028"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O973" i="2" s="1"/>
  <c r="N972" i="2"/>
  <c r="O972" i="2" s="1"/>
  <c r="N971" i="2"/>
  <c r="O971" i="2" s="1"/>
  <c r="N970" i="2"/>
  <c r="O970" i="2" s="1"/>
  <c r="N969" i="2"/>
  <c r="O969" i="2" s="1"/>
  <c r="N968" i="2"/>
  <c r="O968" i="2" s="1"/>
  <c r="N967" i="2"/>
  <c r="O967" i="2" s="1"/>
  <c r="N966" i="2"/>
  <c r="O966" i="2" s="1"/>
  <c r="N965" i="2"/>
  <c r="O965" i="2" s="1"/>
  <c r="N964" i="2"/>
  <c r="O964" i="2" s="1"/>
  <c r="N963" i="2"/>
  <c r="O963" i="2" s="1"/>
  <c r="N962" i="2"/>
  <c r="O962" i="2" s="1"/>
  <c r="N961" i="2"/>
  <c r="O961" i="2" s="1"/>
  <c r="N960" i="2"/>
  <c r="O960" i="2" s="1"/>
  <c r="N959" i="2"/>
  <c r="O959" i="2" s="1"/>
  <c r="N958" i="2"/>
  <c r="O958" i="2" s="1"/>
  <c r="N957" i="2"/>
  <c r="O957" i="2" s="1"/>
  <c r="N956" i="2"/>
  <c r="O956" i="2" s="1"/>
  <c r="N955" i="2"/>
  <c r="O955" i="2" s="1"/>
  <c r="N954" i="2"/>
  <c r="O954" i="2" s="1"/>
  <c r="N953" i="2"/>
  <c r="O953" i="2" s="1"/>
  <c r="N952" i="2"/>
  <c r="O952" i="2" s="1"/>
  <c r="N951" i="2"/>
  <c r="O951" i="2" s="1"/>
  <c r="N950" i="2"/>
  <c r="O950" i="2" s="1"/>
  <c r="N949" i="2"/>
  <c r="O949" i="2" s="1"/>
  <c r="N948" i="2"/>
  <c r="O948" i="2" s="1"/>
  <c r="N947" i="2"/>
  <c r="O947" i="2" s="1"/>
  <c r="N946" i="2"/>
  <c r="O946" i="2" s="1"/>
  <c r="N945" i="2"/>
  <c r="O945" i="2" s="1"/>
  <c r="N944" i="2"/>
  <c r="O944" i="2" s="1"/>
  <c r="N943" i="2"/>
  <c r="O943" i="2" s="1"/>
  <c r="N942" i="2"/>
  <c r="O942" i="2" s="1"/>
  <c r="N941" i="2"/>
  <c r="O941" i="2" s="1"/>
  <c r="N940" i="2"/>
  <c r="O940" i="2" s="1"/>
  <c r="N939" i="2"/>
  <c r="O939" i="2" s="1"/>
  <c r="N938" i="2"/>
  <c r="O938" i="2" s="1"/>
  <c r="N937" i="2"/>
  <c r="O937" i="2" s="1"/>
  <c r="N936" i="2"/>
  <c r="O936" i="2" s="1"/>
  <c r="N935" i="2"/>
  <c r="O935" i="2" s="1"/>
  <c r="N934" i="2"/>
  <c r="O934" i="2" s="1"/>
  <c r="N933" i="2"/>
  <c r="O933" i="2" s="1"/>
  <c r="N932" i="2"/>
  <c r="O932" i="2" s="1"/>
  <c r="N931" i="2"/>
  <c r="O931" i="2" s="1"/>
  <c r="N930" i="2"/>
  <c r="O930" i="2" s="1"/>
  <c r="N929" i="2"/>
  <c r="O929" i="2" s="1"/>
  <c r="N928" i="2"/>
  <c r="O928" i="2" s="1"/>
  <c r="N927" i="2"/>
  <c r="O927" i="2" s="1"/>
  <c r="N926" i="2"/>
  <c r="O926" i="2" s="1"/>
  <c r="N925" i="2"/>
  <c r="O925" i="2" s="1"/>
  <c r="N924" i="2"/>
  <c r="O924" i="2" s="1"/>
  <c r="N923" i="2"/>
  <c r="O923" i="2" s="1"/>
  <c r="N922" i="2"/>
  <c r="O922" i="2" s="1"/>
  <c r="N921" i="2"/>
  <c r="O921" i="2" s="1"/>
  <c r="N920" i="2"/>
  <c r="O920" i="2" s="1"/>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AC886" i="2" s="1"/>
  <c r="N885" i="2"/>
  <c r="AC885" i="2" s="1"/>
  <c r="N884" i="2"/>
  <c r="AC884" i="2" s="1"/>
  <c r="N883" i="2"/>
  <c r="AC883" i="2" s="1"/>
  <c r="N882" i="2"/>
  <c r="AC882" i="2" s="1"/>
  <c r="N881" i="2"/>
  <c r="AC881" i="2" s="1"/>
  <c r="N880" i="2"/>
  <c r="AC880" i="2" s="1"/>
  <c r="N879" i="2"/>
  <c r="AC879" i="2" s="1"/>
  <c r="N878" i="2"/>
  <c r="AC878" i="2" s="1"/>
  <c r="N877" i="2"/>
  <c r="AC877" i="2" s="1"/>
  <c r="N876" i="2"/>
  <c r="AC876" i="2" s="1"/>
  <c r="N875" i="2"/>
  <c r="AC875" i="2" s="1"/>
  <c r="N874" i="2"/>
  <c r="AC874" i="2" s="1"/>
  <c r="N873" i="2"/>
  <c r="AC873" i="2" s="1"/>
  <c r="N872" i="2"/>
  <c r="AC872" i="2" s="1"/>
  <c r="N871" i="2"/>
  <c r="AC871" i="2" s="1"/>
  <c r="N870" i="2"/>
  <c r="AC870" i="2" s="1"/>
  <c r="N869" i="2"/>
  <c r="AC869" i="2" s="1"/>
  <c r="N868" i="2"/>
  <c r="AC868" i="2" s="1"/>
  <c r="N867" i="2"/>
  <c r="AC867" i="2" s="1"/>
  <c r="N866" i="2"/>
  <c r="AC866" i="2" s="1"/>
  <c r="N865" i="2"/>
  <c r="AC865" i="2" s="1"/>
  <c r="N864" i="2"/>
  <c r="AC864" i="2" s="1"/>
  <c r="N863" i="2"/>
  <c r="AC863" i="2" s="1"/>
  <c r="N862" i="2"/>
  <c r="AC862" i="2" s="1"/>
  <c r="N861" i="2"/>
  <c r="AC861" i="2" s="1"/>
  <c r="N860" i="2"/>
  <c r="AC860" i="2" s="1"/>
  <c r="N859" i="2"/>
  <c r="AC859" i="2" s="1"/>
  <c r="N858" i="2"/>
  <c r="AC858" i="2" s="1"/>
  <c r="N857" i="2"/>
  <c r="AC857" i="2" s="1"/>
  <c r="N856" i="2"/>
  <c r="AC856" i="2" s="1"/>
  <c r="N855" i="2"/>
  <c r="AC855" i="2" s="1"/>
  <c r="N854" i="2"/>
  <c r="AC854" i="2" s="1"/>
  <c r="N853" i="2"/>
  <c r="AC853" i="2" s="1"/>
  <c r="N852" i="2"/>
  <c r="AC852" i="2" s="1"/>
  <c r="N851" i="2"/>
  <c r="AC851" i="2" s="1"/>
  <c r="N850" i="2"/>
  <c r="AC850" i="2" s="1"/>
  <c r="N849" i="2"/>
  <c r="AC849" i="2" s="1"/>
  <c r="N848" i="2"/>
  <c r="AC848" i="2" s="1"/>
  <c r="N847" i="2"/>
  <c r="AC847" i="2" s="1"/>
  <c r="N846" i="2"/>
  <c r="AC846" i="2" s="1"/>
  <c r="N845" i="2"/>
  <c r="AC845" i="2" s="1"/>
  <c r="N844" i="2"/>
  <c r="AC844" i="2" s="1"/>
  <c r="N843" i="2"/>
  <c r="AC843" i="2" s="1"/>
  <c r="N842" i="2"/>
  <c r="AC842" i="2" s="1"/>
  <c r="N841" i="2"/>
  <c r="AC841" i="2" s="1"/>
  <c r="N840" i="2"/>
  <c r="AC840" i="2" s="1"/>
  <c r="N839" i="2"/>
  <c r="AC839" i="2" s="1"/>
  <c r="N838" i="2"/>
  <c r="AC838" i="2" s="1"/>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AB519" i="2" s="1"/>
  <c r="N518" i="2"/>
  <c r="AB518" i="2" s="1"/>
  <c r="N517" i="2"/>
  <c r="AB517" i="2" s="1"/>
  <c r="N516" i="2"/>
  <c r="AB516" i="2" s="1"/>
  <c r="N515" i="2"/>
  <c r="AB515" i="2" s="1"/>
  <c r="N514" i="2"/>
  <c r="AB514" i="2" s="1"/>
  <c r="N513" i="2"/>
  <c r="AB513" i="2" s="1"/>
  <c r="N512" i="2"/>
  <c r="AB512" i="2" s="1"/>
  <c r="N511" i="2"/>
  <c r="AB511" i="2" s="1"/>
  <c r="N510" i="2"/>
  <c r="AB510" i="2" s="1"/>
  <c r="N509" i="2"/>
  <c r="AB509" i="2" s="1"/>
  <c r="N508" i="2"/>
  <c r="AB508" i="2" s="1"/>
  <c r="N507" i="2"/>
  <c r="AB507" i="2" s="1"/>
  <c r="N506" i="2"/>
  <c r="AB506" i="2" s="1"/>
  <c r="N505" i="2"/>
  <c r="AB505" i="2" s="1"/>
  <c r="N504" i="2"/>
  <c r="AB504" i="2" s="1"/>
  <c r="N503" i="2"/>
  <c r="AB503" i="2" s="1"/>
  <c r="N502" i="2"/>
  <c r="AB502" i="2" s="1"/>
  <c r="N501" i="2"/>
  <c r="AB501" i="2" s="1"/>
  <c r="N500" i="2"/>
  <c r="AB500" i="2" s="1"/>
  <c r="N499" i="2"/>
  <c r="AB499" i="2" s="1"/>
  <c r="N498" i="2"/>
  <c r="AB498" i="2" s="1"/>
  <c r="N497" i="2"/>
  <c r="AB497" i="2" s="1"/>
  <c r="N496" i="2"/>
  <c r="AB496" i="2" s="1"/>
  <c r="N495" i="2"/>
  <c r="AB495" i="2" s="1"/>
  <c r="N494" i="2"/>
  <c r="AB494" i="2" s="1"/>
  <c r="N493" i="2"/>
  <c r="AB493" i="2" s="1"/>
  <c r="N492" i="2"/>
  <c r="AB492" i="2" s="1"/>
  <c r="N491" i="2"/>
  <c r="AB491" i="2" s="1"/>
  <c r="N490" i="2"/>
  <c r="AB490" i="2" s="1"/>
  <c r="N489" i="2"/>
  <c r="AB489" i="2" s="1"/>
  <c r="N488" i="2"/>
  <c r="AB488" i="2" s="1"/>
  <c r="N487" i="2"/>
  <c r="AB487" i="2" s="1"/>
  <c r="N486" i="2"/>
  <c r="AB486" i="2" s="1"/>
  <c r="N485" i="2"/>
  <c r="AB485" i="2" s="1"/>
  <c r="N484" i="2"/>
  <c r="AB484" i="2" s="1"/>
  <c r="N483" i="2"/>
  <c r="AB483" i="2" s="1"/>
  <c r="N482" i="2"/>
  <c r="AB482" i="2" s="1"/>
  <c r="N481" i="2"/>
  <c r="AB481" i="2" s="1"/>
  <c r="N480" i="2"/>
  <c r="AB480" i="2" s="1"/>
  <c r="N479" i="2"/>
  <c r="AB479" i="2" s="1"/>
  <c r="N478" i="2"/>
  <c r="AB478" i="2" s="1"/>
  <c r="N477" i="2"/>
  <c r="AB477" i="2" s="1"/>
  <c r="N476" i="2"/>
  <c r="AB476" i="2" s="1"/>
  <c r="N475" i="2"/>
  <c r="AB475" i="2" s="1"/>
  <c r="N474" i="2"/>
  <c r="AB474" i="2" s="1"/>
  <c r="N473" i="2"/>
  <c r="AB473" i="2" s="1"/>
  <c r="N472" i="2"/>
  <c r="AB472" i="2" s="1"/>
  <c r="N471" i="2"/>
  <c r="AB471" i="2" s="1"/>
  <c r="N470" i="2"/>
  <c r="AB470" i="2" s="1"/>
  <c r="N469" i="2"/>
  <c r="AB469" i="2" s="1"/>
  <c r="N468" i="2"/>
  <c r="AB468" i="2" s="1"/>
  <c r="N467" i="2"/>
  <c r="AB467" i="2" s="1"/>
  <c r="N466" i="2"/>
  <c r="AB466" i="2" s="1"/>
  <c r="N465" i="2"/>
  <c r="AB465" i="2" s="1"/>
  <c r="N464" i="2"/>
  <c r="AB464" i="2" s="1"/>
  <c r="N463" i="2"/>
  <c r="AB463" i="2" s="1"/>
  <c r="N462" i="2"/>
  <c r="AB462" i="2" s="1"/>
  <c r="N461" i="2"/>
  <c r="AB461" i="2" s="1"/>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K8" i="6" l="1"/>
  <c r="B8" i="6"/>
  <c r="AB1116" i="2"/>
  <c r="AC1116" i="2"/>
  <c r="O1116" i="2"/>
  <c r="AB1115" i="2"/>
  <c r="AC1115" i="2"/>
  <c r="O1115" i="2"/>
  <c r="AB1114" i="2"/>
  <c r="AC1114" i="2"/>
  <c r="O1114" i="2"/>
  <c r="AB1113" i="2"/>
  <c r="AC1113" i="2"/>
  <c r="O1113" i="2"/>
  <c r="AB1112" i="2"/>
  <c r="AC1112" i="2"/>
  <c r="O1112" i="2"/>
  <c r="AB1111" i="2"/>
  <c r="AC1111" i="2"/>
  <c r="O1111" i="2"/>
  <c r="AB1110" i="2"/>
  <c r="AC1110" i="2"/>
  <c r="O1110" i="2"/>
  <c r="AB1109" i="2"/>
  <c r="AC1109" i="2"/>
  <c r="O1109" i="2"/>
  <c r="AB1108" i="2"/>
  <c r="AC1108" i="2"/>
  <c r="O1108" i="2"/>
  <c r="AB1107" i="2"/>
  <c r="AC1107" i="2"/>
  <c r="O1107" i="2"/>
  <c r="AB1106" i="2"/>
  <c r="AC1106" i="2"/>
  <c r="O1106" i="2"/>
  <c r="AB1105" i="2"/>
  <c r="AC1105" i="2"/>
  <c r="O1105" i="2"/>
  <c r="AB1104" i="2"/>
  <c r="AC1104" i="2"/>
  <c r="O1104" i="2"/>
  <c r="AB1103" i="2"/>
  <c r="AC1103" i="2"/>
  <c r="O1103" i="2"/>
  <c r="AB1102" i="2"/>
  <c r="AC1102" i="2"/>
  <c r="O1102" i="2"/>
  <c r="AB1101" i="2"/>
  <c r="AC1101" i="2"/>
  <c r="O1101" i="2"/>
  <c r="AB1100" i="2"/>
  <c r="AC1100" i="2"/>
  <c r="O1100" i="2"/>
  <c r="AB1099" i="2"/>
  <c r="AC1099" i="2"/>
  <c r="O1099" i="2"/>
  <c r="AB1098" i="2"/>
  <c r="AC1098" i="2"/>
  <c r="O1098" i="2"/>
  <c r="AB1097" i="2"/>
  <c r="AC1097" i="2"/>
  <c r="O1097" i="2"/>
  <c r="AB1096" i="2"/>
  <c r="O1096" i="2"/>
  <c r="AC1096" i="2"/>
  <c r="AB1095" i="2"/>
  <c r="O1095" i="2"/>
  <c r="AC1095" i="2"/>
  <c r="AB1094" i="2"/>
  <c r="O1094" i="2"/>
  <c r="AC1094" i="2"/>
  <c r="AB1093" i="2"/>
  <c r="O1093" i="2"/>
  <c r="AC1093" i="2"/>
  <c r="AB1092" i="2"/>
  <c r="O1092" i="2"/>
  <c r="AC1092" i="2"/>
  <c r="AB1091" i="2"/>
  <c r="O1091" i="2"/>
  <c r="AC1091" i="2"/>
  <c r="AB1090" i="2"/>
  <c r="O1090" i="2"/>
  <c r="AC1090" i="2"/>
  <c r="AB1089" i="2"/>
  <c r="AC1089" i="2"/>
  <c r="O1089" i="2"/>
  <c r="AB1088" i="2"/>
  <c r="AC1088" i="2"/>
  <c r="O1088" i="2"/>
  <c r="AB1087" i="2"/>
  <c r="O1087" i="2"/>
  <c r="AC1087" i="2"/>
  <c r="AB1086" i="2"/>
  <c r="O1086" i="2"/>
  <c r="AC1086" i="2"/>
  <c r="AB1085" i="2"/>
  <c r="O1085" i="2"/>
  <c r="AC1085" i="2"/>
  <c r="AB1084" i="2"/>
  <c r="O1084" i="2"/>
  <c r="AC1084" i="2"/>
  <c r="AB1083" i="2"/>
  <c r="O1083" i="2"/>
  <c r="AC1083" i="2"/>
  <c r="AB1082" i="2"/>
  <c r="AC1082" i="2"/>
  <c r="O1082" i="2"/>
  <c r="AB1081" i="2"/>
  <c r="O1081" i="2"/>
  <c r="AC1081" i="2"/>
  <c r="AB1080" i="2"/>
  <c r="AC1080" i="2"/>
  <c r="O1080" i="2"/>
  <c r="AB1079" i="2"/>
  <c r="O1079" i="2"/>
  <c r="AC1079" i="2"/>
  <c r="AB1078" i="2"/>
  <c r="O1078" i="2"/>
  <c r="AC1078" i="2"/>
  <c r="AB1077" i="2"/>
  <c r="O1077" i="2"/>
  <c r="AC1077" i="2"/>
  <c r="AB1076" i="2"/>
  <c r="O1076" i="2"/>
  <c r="AC1076" i="2"/>
  <c r="AB1075" i="2"/>
  <c r="O1075" i="2"/>
  <c r="AC1075" i="2"/>
  <c r="AB1074" i="2"/>
  <c r="O1074" i="2"/>
  <c r="AC1074" i="2"/>
  <c r="AB1073" i="2"/>
  <c r="O1073" i="2"/>
  <c r="AC1073" i="2"/>
  <c r="AB1072" i="2"/>
  <c r="O1072" i="2"/>
  <c r="AC1072" i="2"/>
  <c r="AB1071" i="2"/>
  <c r="O1071" i="2"/>
  <c r="AC1071" i="2"/>
  <c r="AB1070" i="2"/>
  <c r="AC1070" i="2"/>
  <c r="O1070" i="2"/>
  <c r="AB1069" i="2"/>
  <c r="AC1069" i="2"/>
  <c r="O1069" i="2"/>
  <c r="AB1068" i="2"/>
  <c r="AC1068" i="2"/>
  <c r="O1068" i="2"/>
  <c r="AB1067" i="2"/>
  <c r="AC1067" i="2"/>
  <c r="O1067" i="2"/>
  <c r="AB1066" i="2"/>
  <c r="AC1066" i="2"/>
  <c r="O1066" i="2"/>
  <c r="AB1065" i="2"/>
  <c r="AC1065" i="2"/>
  <c r="O1065" i="2"/>
  <c r="AB1064" i="2"/>
  <c r="AC1064" i="2"/>
  <c r="O1064" i="2"/>
  <c r="AB1063" i="2"/>
  <c r="AC1063" i="2"/>
  <c r="O1063" i="2"/>
  <c r="AB1062" i="2"/>
  <c r="AC1062" i="2"/>
  <c r="O1062" i="2"/>
  <c r="AB1061" i="2"/>
  <c r="AC1061" i="2"/>
  <c r="O1061" i="2"/>
  <c r="AB1060" i="2"/>
  <c r="AC1060" i="2"/>
  <c r="O1060" i="2"/>
  <c r="AB1059" i="2"/>
  <c r="AC1059" i="2"/>
  <c r="O1059" i="2"/>
  <c r="AB1058" i="2"/>
  <c r="AC1058" i="2"/>
  <c r="O1058" i="2"/>
  <c r="AB1057" i="2"/>
  <c r="AC1057" i="2"/>
  <c r="O1057" i="2"/>
  <c r="AB1056" i="2"/>
  <c r="AC1056" i="2"/>
  <c r="O1056" i="2"/>
  <c r="AB1055" i="2"/>
  <c r="AC1055" i="2"/>
  <c r="O1055" i="2"/>
  <c r="AB1054" i="2"/>
  <c r="AC1054" i="2"/>
  <c r="O1054" i="2"/>
  <c r="AB1053" i="2"/>
  <c r="AC1053" i="2"/>
  <c r="O1053" i="2"/>
  <c r="AB1052" i="2"/>
  <c r="AC1052" i="2"/>
  <c r="O1052" i="2"/>
  <c r="AB1051" i="2"/>
  <c r="AC1051" i="2"/>
  <c r="O1051" i="2"/>
  <c r="AB1050" i="2"/>
  <c r="AC1050" i="2"/>
  <c r="O1050" i="2"/>
  <c r="AB1049" i="2"/>
  <c r="AC1049" i="2"/>
  <c r="O1049" i="2"/>
  <c r="AB1048" i="2"/>
  <c r="AC1048" i="2"/>
  <c r="O1048" i="2"/>
  <c r="AB1047" i="2"/>
  <c r="AC1047" i="2"/>
  <c r="O1047" i="2"/>
  <c r="AB1046" i="2"/>
  <c r="AC1046" i="2"/>
  <c r="O1046" i="2"/>
  <c r="AB1045" i="2"/>
  <c r="AC1045" i="2"/>
  <c r="O1045" i="2"/>
  <c r="AB1044" i="2"/>
  <c r="AC1044" i="2"/>
  <c r="O1044" i="2"/>
  <c r="AB1043" i="2"/>
  <c r="AC1043" i="2"/>
  <c r="O1043" i="2"/>
  <c r="AB1042" i="2"/>
  <c r="AC1042" i="2"/>
  <c r="O1042" i="2"/>
  <c r="AB1041" i="2"/>
  <c r="AC1041" i="2"/>
  <c r="O1041" i="2"/>
  <c r="AB1040" i="2"/>
  <c r="AC1040" i="2"/>
  <c r="O1040" i="2"/>
  <c r="AB1039" i="2"/>
  <c r="AC1039" i="2"/>
  <c r="O1039" i="2"/>
  <c r="AB1038" i="2"/>
  <c r="AC1038" i="2"/>
  <c r="O1038" i="2"/>
  <c r="AB1037" i="2"/>
  <c r="AC1037" i="2"/>
  <c r="O1037" i="2"/>
  <c r="AB1036" i="2"/>
  <c r="O1036" i="2"/>
  <c r="AC1036" i="2"/>
  <c r="AB1035" i="2"/>
  <c r="O1035" i="2"/>
  <c r="AC1035" i="2"/>
  <c r="AB1034" i="2"/>
  <c r="AC1034" i="2"/>
  <c r="O1034" i="2"/>
  <c r="AB1033" i="2"/>
  <c r="AC1033" i="2"/>
  <c r="O1033" i="2"/>
  <c r="AB1032" i="2"/>
  <c r="O1032" i="2"/>
  <c r="AC1032" i="2"/>
  <c r="AB1031" i="2"/>
  <c r="O1031" i="2"/>
  <c r="AC1031" i="2"/>
  <c r="AB1030" i="2"/>
  <c r="O1030" i="2"/>
  <c r="AC1030" i="2"/>
  <c r="AB1029" i="2"/>
  <c r="O1029" i="2"/>
  <c r="AC1029" i="2"/>
  <c r="AB1028" i="2"/>
  <c r="O1028" i="2"/>
  <c r="AC1028" i="2"/>
  <c r="AB1027" i="2"/>
  <c r="AC1027" i="2"/>
  <c r="O1027" i="2"/>
  <c r="AB1026" i="2"/>
  <c r="O1026" i="2"/>
  <c r="AC1026" i="2"/>
  <c r="AB1025" i="2"/>
  <c r="O1025" i="2"/>
  <c r="AC1025" i="2"/>
  <c r="AB1024" i="2"/>
  <c r="O1024" i="2"/>
  <c r="AC1024" i="2"/>
  <c r="AB1023" i="2"/>
  <c r="AC1023" i="2"/>
  <c r="O1023" i="2"/>
  <c r="AB1022" i="2"/>
  <c r="AC1022" i="2"/>
  <c r="O1022" i="2"/>
  <c r="AB1021" i="2"/>
  <c r="AC1021" i="2"/>
  <c r="O1021" i="2"/>
  <c r="AB1020" i="2"/>
  <c r="O1020" i="2"/>
  <c r="AC1020" i="2"/>
  <c r="AB1019" i="2"/>
  <c r="O1019" i="2"/>
  <c r="AC1019" i="2"/>
  <c r="AB1018" i="2"/>
  <c r="AC1018" i="2"/>
  <c r="O1018" i="2"/>
  <c r="AB1017" i="2"/>
  <c r="AC1017" i="2"/>
  <c r="O1017" i="2"/>
  <c r="AB1016" i="2"/>
  <c r="AC1016" i="2"/>
  <c r="O1016" i="2"/>
  <c r="AB1015" i="2"/>
  <c r="O1015" i="2"/>
  <c r="AC1015" i="2"/>
  <c r="AB1014" i="2"/>
  <c r="O1014" i="2"/>
  <c r="AC1014" i="2"/>
  <c r="AB1013" i="2"/>
  <c r="O1013" i="2"/>
  <c r="AC1013" i="2"/>
  <c r="AB1012" i="2"/>
  <c r="O1012" i="2"/>
  <c r="AC1012" i="2"/>
  <c r="AB1011" i="2"/>
  <c r="O1011" i="2"/>
  <c r="AC1011" i="2"/>
  <c r="AB1010" i="2"/>
  <c r="O1010" i="2"/>
  <c r="AC1010" i="2"/>
  <c r="AB1009" i="2"/>
  <c r="O1009" i="2"/>
  <c r="AC1009" i="2"/>
  <c r="AB1008" i="2"/>
  <c r="O1008" i="2"/>
  <c r="AC1008" i="2"/>
  <c r="AB1007" i="2"/>
  <c r="O1007" i="2"/>
  <c r="AC1007" i="2"/>
  <c r="AB1006" i="2"/>
  <c r="O1006" i="2"/>
  <c r="AC1006" i="2"/>
  <c r="AB1005" i="2"/>
  <c r="O1005" i="2"/>
  <c r="AC1005" i="2"/>
  <c r="AB1004" i="2"/>
  <c r="O1004" i="2"/>
  <c r="AC1004" i="2"/>
  <c r="AB1003" i="2"/>
  <c r="O1003" i="2"/>
  <c r="AC1003" i="2"/>
  <c r="AB1002" i="2"/>
  <c r="AC1002" i="2"/>
  <c r="O1002" i="2"/>
  <c r="AB1001" i="2"/>
  <c r="AC1001" i="2"/>
  <c r="O1001" i="2"/>
  <c r="AB1000" i="2"/>
  <c r="AC1000" i="2"/>
  <c r="O1000" i="2"/>
  <c r="AB999" i="2"/>
  <c r="AC999" i="2"/>
  <c r="O999" i="2"/>
  <c r="AB998" i="2"/>
  <c r="AC998" i="2"/>
  <c r="O998" i="2"/>
  <c r="AB997" i="2"/>
  <c r="AC997" i="2"/>
  <c r="O997" i="2"/>
  <c r="AB996" i="2"/>
  <c r="AC996" i="2"/>
  <c r="O996" i="2"/>
  <c r="AB995" i="2"/>
  <c r="AC995" i="2"/>
  <c r="O995" i="2"/>
  <c r="AB994" i="2"/>
  <c r="AC994" i="2"/>
  <c r="O994" i="2"/>
  <c r="AB993" i="2"/>
  <c r="AC993" i="2"/>
  <c r="O993" i="2"/>
  <c r="AB992" i="2"/>
  <c r="AC992" i="2"/>
  <c r="O992" i="2"/>
  <c r="AB991" i="2"/>
  <c r="AC991" i="2"/>
  <c r="O991" i="2"/>
  <c r="AB990" i="2"/>
  <c r="AC990" i="2"/>
  <c r="O990" i="2"/>
  <c r="AB989" i="2"/>
  <c r="AC989" i="2"/>
  <c r="O989" i="2"/>
  <c r="AB988" i="2"/>
  <c r="AC988" i="2"/>
  <c r="O988" i="2"/>
  <c r="AB987" i="2"/>
  <c r="AC987" i="2"/>
  <c r="O987" i="2"/>
  <c r="AB986" i="2"/>
  <c r="AC986" i="2"/>
  <c r="O986" i="2"/>
  <c r="AB985" i="2"/>
  <c r="AC985" i="2"/>
  <c r="O985" i="2"/>
  <c r="AB984" i="2"/>
  <c r="AC984" i="2"/>
  <c r="O984" i="2"/>
  <c r="AB983" i="2"/>
  <c r="AC983" i="2"/>
  <c r="O983" i="2"/>
  <c r="AB982" i="2"/>
  <c r="AC982" i="2"/>
  <c r="O982" i="2"/>
  <c r="AB981" i="2"/>
  <c r="AC981" i="2"/>
  <c r="O981" i="2"/>
  <c r="AB980" i="2"/>
  <c r="AC980" i="2"/>
  <c r="O980" i="2"/>
  <c r="AB979" i="2"/>
  <c r="AC979" i="2"/>
  <c r="O979" i="2"/>
  <c r="AB978" i="2"/>
  <c r="AC978" i="2"/>
  <c r="O978" i="2"/>
  <c r="AB977" i="2"/>
  <c r="AC977" i="2"/>
  <c r="O977" i="2"/>
  <c r="AB976" i="2"/>
  <c r="AC976" i="2"/>
  <c r="O976" i="2"/>
  <c r="AB975" i="2"/>
  <c r="O975" i="2"/>
  <c r="AC975" i="2"/>
  <c r="AB974" i="2"/>
  <c r="AC974" i="2"/>
  <c r="O974" i="2"/>
  <c r="AB1601" i="2"/>
  <c r="O1601" i="2"/>
  <c r="AB1600" i="2"/>
  <c r="O1600" i="2"/>
  <c r="AB1599" i="2"/>
  <c r="O1599" i="2"/>
  <c r="AB1598" i="2"/>
  <c r="O1598" i="2"/>
  <c r="AB1597" i="2"/>
  <c r="O1597" i="2"/>
  <c r="AB1596" i="2"/>
  <c r="O1596" i="2"/>
  <c r="AB1595" i="2"/>
  <c r="O1595" i="2"/>
  <c r="AB1594" i="2"/>
  <c r="O1594" i="2"/>
  <c r="AB1593" i="2"/>
  <c r="O1593" i="2"/>
  <c r="AB1592" i="2"/>
  <c r="O1592" i="2"/>
  <c r="AB1591" i="2"/>
  <c r="O1591" i="2"/>
  <c r="AB1590" i="2"/>
  <c r="O1590" i="2"/>
  <c r="AB1589" i="2"/>
  <c r="O1589" i="2"/>
  <c r="AB1588" i="2"/>
  <c r="O1588" i="2"/>
  <c r="AB1587" i="2"/>
  <c r="O1587" i="2"/>
  <c r="AB1586" i="2"/>
  <c r="O1586" i="2"/>
  <c r="AB1585" i="2"/>
  <c r="O1585" i="2"/>
  <c r="AB1584" i="2"/>
  <c r="O1584" i="2"/>
  <c r="AB1583" i="2"/>
  <c r="O1583" i="2"/>
  <c r="AB1582" i="2"/>
  <c r="O1582" i="2"/>
  <c r="AB1581" i="2"/>
  <c r="O1581" i="2"/>
  <c r="AB1580" i="2"/>
  <c r="O1580" i="2"/>
  <c r="AB1579" i="2"/>
  <c r="O1579" i="2"/>
  <c r="AB1578" i="2"/>
  <c r="O1578" i="2"/>
  <c r="AB1577" i="2"/>
  <c r="O1577" i="2"/>
  <c r="AB1576" i="2"/>
  <c r="O1576" i="2"/>
  <c r="AB1575" i="2"/>
  <c r="O1575" i="2"/>
  <c r="AB1574" i="2"/>
  <c r="O1574" i="2"/>
  <c r="AB1573" i="2"/>
  <c r="O1573" i="2"/>
  <c r="AB1572" i="2"/>
  <c r="O1572" i="2"/>
  <c r="AB1571" i="2"/>
  <c r="O1571" i="2"/>
  <c r="AB1570" i="2"/>
  <c r="O1570" i="2"/>
  <c r="AB1569" i="2"/>
  <c r="O1569" i="2"/>
  <c r="AB1568" i="2"/>
  <c r="O1568" i="2"/>
  <c r="AB1567" i="2"/>
  <c r="O1567" i="2"/>
  <c r="AB1566" i="2"/>
  <c r="O1566" i="2"/>
  <c r="AB1565" i="2"/>
  <c r="O1565" i="2"/>
  <c r="AB1564" i="2"/>
  <c r="O1564" i="2"/>
  <c r="AB1563" i="2"/>
  <c r="O1563" i="2"/>
  <c r="AB1562" i="2"/>
  <c r="O1562" i="2"/>
  <c r="AB1561" i="2"/>
  <c r="O1561" i="2"/>
  <c r="AB1560" i="2"/>
  <c r="O1560" i="2"/>
  <c r="AB1559" i="2"/>
  <c r="O1559" i="2"/>
  <c r="AB1558" i="2"/>
  <c r="O1558" i="2"/>
  <c r="AB1557" i="2"/>
  <c r="O1557" i="2"/>
  <c r="AB1556" i="2"/>
  <c r="O1556" i="2"/>
  <c r="AB1555" i="2"/>
  <c r="O1555" i="2"/>
  <c r="AB1554" i="2"/>
  <c r="O1554" i="2"/>
  <c r="AB1553" i="2"/>
  <c r="O1553" i="2"/>
  <c r="AB1552" i="2"/>
  <c r="O1552" i="2"/>
  <c r="AB1551" i="2"/>
  <c r="O1551" i="2"/>
  <c r="AB1550" i="2"/>
  <c r="O1550" i="2"/>
  <c r="AB1549" i="2"/>
  <c r="O1549" i="2"/>
  <c r="AB1548" i="2"/>
  <c r="O1548" i="2"/>
  <c r="AB1547" i="2"/>
  <c r="O1547" i="2"/>
  <c r="AB1546" i="2"/>
  <c r="O1546" i="2"/>
  <c r="AB1545" i="2"/>
  <c r="O1545" i="2"/>
  <c r="AB1544" i="2"/>
  <c r="O1544" i="2"/>
  <c r="AB1543" i="2"/>
  <c r="O1543" i="2"/>
  <c r="AB1542" i="2"/>
  <c r="O1542" i="2"/>
  <c r="AB1541" i="2"/>
  <c r="O1541" i="2"/>
  <c r="AB1540" i="2"/>
  <c r="O1540" i="2"/>
  <c r="AB1539" i="2"/>
  <c r="O1539" i="2"/>
  <c r="AB1538" i="2"/>
  <c r="O1538" i="2"/>
  <c r="AB1537" i="2"/>
  <c r="O1537" i="2"/>
  <c r="AB1536" i="2"/>
  <c r="O1536" i="2"/>
  <c r="AB1535" i="2"/>
  <c r="O1535" i="2"/>
  <c r="AB1534" i="2"/>
  <c r="O1534" i="2"/>
  <c r="AB1533" i="2"/>
  <c r="O1533" i="2"/>
  <c r="AB1532" i="2"/>
  <c r="O1532" i="2"/>
  <c r="AB1531" i="2"/>
  <c r="O1531" i="2"/>
  <c r="AB1530" i="2"/>
  <c r="O1530" i="2"/>
  <c r="AB1529" i="2"/>
  <c r="O1529" i="2"/>
  <c r="AB1528" i="2"/>
  <c r="O1528" i="2"/>
  <c r="AB1527" i="2"/>
  <c r="O1527" i="2"/>
  <c r="AB1526" i="2"/>
  <c r="O1526" i="2"/>
  <c r="AB1525" i="2"/>
  <c r="O1525" i="2"/>
  <c r="AB1524" i="2"/>
  <c r="O1524" i="2"/>
  <c r="AB1523" i="2"/>
  <c r="O1523" i="2"/>
  <c r="AB1522" i="2"/>
  <c r="O1522" i="2"/>
  <c r="AB1521" i="2"/>
  <c r="O1521" i="2"/>
  <c r="AB1520" i="2"/>
  <c r="O1520" i="2"/>
  <c r="AB1519" i="2"/>
  <c r="O1519" i="2"/>
  <c r="AB1518" i="2"/>
  <c r="O1518" i="2"/>
  <c r="AB1517" i="2"/>
  <c r="O1517" i="2"/>
  <c r="AB1516" i="2"/>
  <c r="O1516" i="2"/>
  <c r="AB1515" i="2"/>
  <c r="O1515" i="2"/>
  <c r="AB1514" i="2"/>
  <c r="O1514" i="2"/>
  <c r="AB1513" i="2"/>
  <c r="O1513" i="2"/>
  <c r="AB1512" i="2"/>
  <c r="O1512" i="2"/>
  <c r="AB1511" i="2"/>
  <c r="O1511" i="2"/>
  <c r="AB1510" i="2"/>
  <c r="O1510" i="2"/>
  <c r="AB1509" i="2"/>
  <c r="O1509" i="2"/>
  <c r="AB1508" i="2"/>
  <c r="O1508" i="2"/>
  <c r="AB1507" i="2"/>
  <c r="O1507" i="2"/>
  <c r="AB1506" i="2"/>
  <c r="O1506" i="2"/>
  <c r="AB1505" i="2"/>
  <c r="O1505" i="2"/>
  <c r="AB1504" i="2"/>
  <c r="O1504" i="2"/>
  <c r="AB1503" i="2"/>
  <c r="O1503" i="2"/>
  <c r="AB1502" i="2"/>
  <c r="O1502" i="2"/>
  <c r="AB1201" i="2"/>
  <c r="O1201" i="2"/>
  <c r="AB1200" i="2"/>
  <c r="O1200" i="2"/>
  <c r="AB1199" i="2"/>
  <c r="O1199" i="2"/>
  <c r="AB1198" i="2"/>
  <c r="O1198" i="2"/>
  <c r="AB1197" i="2"/>
  <c r="O1197" i="2"/>
  <c r="AB1196" i="2"/>
  <c r="O1196" i="2"/>
  <c r="AB1195" i="2"/>
  <c r="O1195" i="2"/>
  <c r="AB1194" i="2"/>
  <c r="O1194" i="2"/>
  <c r="AB1193" i="2"/>
  <c r="O1193" i="2"/>
  <c r="AB1192" i="2"/>
  <c r="O1192" i="2"/>
  <c r="AB1191" i="2"/>
  <c r="O1191" i="2"/>
  <c r="AB1190" i="2"/>
  <c r="O1190" i="2"/>
  <c r="AB1189" i="2"/>
  <c r="O1189" i="2"/>
  <c r="AB1188" i="2"/>
  <c r="O1188" i="2"/>
  <c r="AB1187" i="2"/>
  <c r="O1187" i="2"/>
  <c r="AB1186" i="2"/>
  <c r="O1186" i="2"/>
  <c r="AB1185" i="2"/>
  <c r="O1185" i="2"/>
  <c r="AB1184" i="2"/>
  <c r="O1184" i="2"/>
  <c r="AB1183" i="2"/>
  <c r="O1183" i="2"/>
  <c r="AB1182" i="2"/>
  <c r="O1182" i="2"/>
  <c r="AB1181" i="2"/>
  <c r="O1181" i="2"/>
  <c r="AB1180" i="2"/>
  <c r="O1180" i="2"/>
  <c r="AB1179" i="2"/>
  <c r="O1179" i="2"/>
  <c r="AB1178" i="2"/>
  <c r="O1178" i="2"/>
  <c r="AB1177" i="2"/>
  <c r="O1177" i="2"/>
  <c r="AB1176" i="2"/>
  <c r="O1176" i="2"/>
  <c r="AB1175" i="2"/>
  <c r="O1175" i="2"/>
  <c r="AB1174" i="2"/>
  <c r="O1174" i="2"/>
  <c r="AB1173" i="2"/>
  <c r="O1173" i="2"/>
  <c r="AB1172" i="2"/>
  <c r="O1172" i="2"/>
  <c r="AB1171" i="2"/>
  <c r="O1171" i="2"/>
  <c r="AB1170" i="2"/>
  <c r="O1170" i="2"/>
  <c r="AB1169" i="2"/>
  <c r="O1169" i="2"/>
  <c r="AB1168" i="2"/>
  <c r="O1168" i="2"/>
  <c r="AB1167" i="2"/>
  <c r="O1167" i="2"/>
  <c r="AB1166" i="2"/>
  <c r="O1166" i="2"/>
  <c r="AB1165" i="2"/>
  <c r="O1165" i="2"/>
  <c r="AB1164" i="2"/>
  <c r="O1164" i="2"/>
  <c r="AB1163" i="2"/>
  <c r="O1163" i="2"/>
  <c r="AB1162" i="2"/>
  <c r="O1162" i="2"/>
  <c r="AB1161" i="2"/>
  <c r="O1161" i="2"/>
  <c r="AB1160" i="2"/>
  <c r="O1160" i="2"/>
  <c r="AB1159" i="2"/>
  <c r="O1159" i="2"/>
  <c r="AB1158" i="2"/>
  <c r="O1158" i="2"/>
  <c r="AB1157" i="2"/>
  <c r="O1157" i="2"/>
  <c r="AB1156" i="2"/>
  <c r="O1156" i="2"/>
  <c r="AB1155" i="2"/>
  <c r="O1155" i="2"/>
  <c r="AB1154" i="2"/>
  <c r="O1154" i="2"/>
  <c r="AB1153" i="2"/>
  <c r="O1153" i="2"/>
  <c r="AB1152" i="2"/>
  <c r="O1152" i="2"/>
  <c r="AB1151" i="2"/>
  <c r="O1151" i="2"/>
  <c r="AB1150" i="2"/>
  <c r="O1150" i="2"/>
  <c r="AB1149" i="2"/>
  <c r="O1149" i="2"/>
  <c r="AB1148" i="2"/>
  <c r="O1148" i="2"/>
  <c r="AB1147" i="2"/>
  <c r="O1147" i="2"/>
  <c r="AB1146" i="2"/>
  <c r="O1146" i="2"/>
  <c r="AB1145" i="2"/>
  <c r="O1145" i="2"/>
  <c r="AB1144" i="2"/>
  <c r="O1144" i="2"/>
  <c r="AB1143" i="2"/>
  <c r="O1143" i="2"/>
  <c r="AB1142" i="2"/>
  <c r="O1142" i="2"/>
  <c r="AB1141" i="2"/>
  <c r="O1141" i="2"/>
  <c r="AB1140" i="2"/>
  <c r="O1140" i="2"/>
  <c r="AB1139" i="2"/>
  <c r="O1139" i="2"/>
  <c r="AB1138" i="2"/>
  <c r="O1138" i="2"/>
  <c r="AB1137" i="2"/>
  <c r="O1137" i="2"/>
  <c r="AB1136" i="2"/>
  <c r="O1136" i="2"/>
  <c r="AB1135" i="2"/>
  <c r="O1135" i="2"/>
  <c r="AB1134" i="2"/>
  <c r="O1134" i="2"/>
  <c r="AB1133" i="2"/>
  <c r="O1133" i="2"/>
  <c r="AB1132" i="2"/>
  <c r="O1132" i="2"/>
  <c r="AB1131" i="2"/>
  <c r="O1131" i="2"/>
  <c r="AB1130" i="2"/>
  <c r="O1130" i="2"/>
  <c r="AB1129" i="2"/>
  <c r="O1129" i="2"/>
  <c r="AB1128" i="2"/>
  <c r="O1128" i="2"/>
  <c r="AB1127" i="2"/>
  <c r="O1127" i="2"/>
  <c r="AB1126" i="2"/>
  <c r="O1126" i="2"/>
  <c r="AB1125" i="2"/>
  <c r="O1125" i="2"/>
  <c r="AB1124" i="2"/>
  <c r="O1124" i="2"/>
  <c r="AB1123" i="2"/>
  <c r="O1123" i="2"/>
  <c r="AB1122" i="2"/>
  <c r="O1122" i="2"/>
  <c r="AB1121" i="2"/>
  <c r="O1121" i="2"/>
  <c r="AB1120" i="2"/>
  <c r="O1120" i="2"/>
  <c r="AB1119" i="2"/>
  <c r="O1119" i="2"/>
  <c r="AB1118" i="2"/>
  <c r="O1118" i="2"/>
  <c r="AB1117" i="2"/>
  <c r="O1117" i="2"/>
  <c r="AB973" i="2"/>
  <c r="AC973" i="2"/>
  <c r="AB972" i="2"/>
  <c r="AC972" i="2"/>
  <c r="AB971" i="2"/>
  <c r="AC971" i="2"/>
  <c r="AB970" i="2"/>
  <c r="AC970" i="2"/>
  <c r="AB969" i="2"/>
  <c r="AC969" i="2"/>
  <c r="AB968" i="2"/>
  <c r="AC968" i="2"/>
  <c r="AB967" i="2"/>
  <c r="AC967" i="2"/>
  <c r="AB966" i="2"/>
  <c r="AC966" i="2"/>
  <c r="AB965" i="2"/>
  <c r="AC965" i="2"/>
  <c r="AB964" i="2"/>
  <c r="AC964" i="2"/>
  <c r="AB963" i="2"/>
  <c r="AC963" i="2"/>
  <c r="AB962" i="2"/>
  <c r="AC962" i="2"/>
  <c r="AB961" i="2"/>
  <c r="AC961" i="2"/>
  <c r="AB960" i="2"/>
  <c r="AC960" i="2"/>
  <c r="AB959" i="2"/>
  <c r="AC959" i="2"/>
  <c r="AB958" i="2"/>
  <c r="AC958" i="2"/>
  <c r="AB957" i="2"/>
  <c r="AC957" i="2"/>
  <c r="AB956" i="2"/>
  <c r="AC956" i="2"/>
  <c r="AB955" i="2"/>
  <c r="AC955" i="2"/>
  <c r="AB954" i="2"/>
  <c r="AC954" i="2"/>
  <c r="AB953" i="2"/>
  <c r="AC953" i="2"/>
  <c r="AB952" i="2"/>
  <c r="AC952" i="2"/>
  <c r="AB951" i="2"/>
  <c r="AC951" i="2"/>
  <c r="AB950" i="2"/>
  <c r="AC950" i="2"/>
  <c r="AB949" i="2"/>
  <c r="AC949" i="2"/>
  <c r="AB948" i="2"/>
  <c r="AC948" i="2"/>
  <c r="AB947" i="2"/>
  <c r="AC947" i="2"/>
  <c r="AB946" i="2"/>
  <c r="AC946" i="2"/>
  <c r="AB945" i="2"/>
  <c r="AC945" i="2"/>
  <c r="AB944" i="2"/>
  <c r="AC944" i="2"/>
  <c r="AB943" i="2"/>
  <c r="AC943" i="2"/>
  <c r="AB942" i="2"/>
  <c r="AC942" i="2"/>
  <c r="AB941" i="2"/>
  <c r="AC941" i="2"/>
  <c r="AB940" i="2"/>
  <c r="AC940" i="2"/>
  <c r="AB939" i="2"/>
  <c r="AC939" i="2"/>
  <c r="AB938" i="2"/>
  <c r="AC938" i="2"/>
  <c r="AB937" i="2"/>
  <c r="AC937" i="2"/>
  <c r="AB936" i="2"/>
  <c r="AC936" i="2"/>
  <c r="AB935" i="2"/>
  <c r="AC935" i="2"/>
  <c r="AB934" i="2"/>
  <c r="AC934" i="2"/>
  <c r="AB933" i="2"/>
  <c r="AC933" i="2"/>
  <c r="AB932" i="2"/>
  <c r="AC932" i="2"/>
  <c r="AB931" i="2"/>
  <c r="AC931" i="2"/>
  <c r="AB930" i="2"/>
  <c r="AC930" i="2"/>
  <c r="AB929" i="2"/>
  <c r="AC929" i="2"/>
  <c r="AB928" i="2"/>
  <c r="AC928" i="2"/>
  <c r="AB927" i="2"/>
  <c r="AC927" i="2"/>
  <c r="AB926" i="2"/>
  <c r="AC926" i="2"/>
  <c r="AB925" i="2"/>
  <c r="AC925" i="2"/>
  <c r="AB924" i="2"/>
  <c r="AC924" i="2"/>
  <c r="AB923" i="2"/>
  <c r="AC923" i="2"/>
  <c r="AB922" i="2"/>
  <c r="AC922" i="2"/>
  <c r="AB921" i="2"/>
  <c r="AC921" i="2"/>
  <c r="AB920" i="2"/>
  <c r="AC920" i="2"/>
  <c r="AB919" i="2"/>
  <c r="O919" i="2"/>
  <c r="AC919" i="2"/>
  <c r="AB918" i="2"/>
  <c r="O918" i="2"/>
  <c r="AC918" i="2"/>
  <c r="AB917" i="2"/>
  <c r="O917" i="2"/>
  <c r="AC917" i="2"/>
  <c r="AB916" i="2"/>
  <c r="O916" i="2"/>
  <c r="AC916" i="2"/>
  <c r="AB915" i="2"/>
  <c r="O915" i="2"/>
  <c r="AC915" i="2"/>
  <c r="AB914" i="2"/>
  <c r="O914" i="2"/>
  <c r="AC914" i="2"/>
  <c r="AB913" i="2"/>
  <c r="O913" i="2"/>
  <c r="AC913" i="2"/>
  <c r="AB912" i="2"/>
  <c r="O912" i="2"/>
  <c r="AC912" i="2"/>
  <c r="AB911" i="2"/>
  <c r="O911" i="2"/>
  <c r="AC911" i="2"/>
  <c r="AB910" i="2"/>
  <c r="O910" i="2"/>
  <c r="AC910" i="2"/>
  <c r="AB909" i="2"/>
  <c r="AC909" i="2"/>
  <c r="O909" i="2"/>
  <c r="AB908" i="2"/>
  <c r="AC908" i="2"/>
  <c r="O908" i="2"/>
  <c r="AB907" i="2"/>
  <c r="AC907" i="2"/>
  <c r="O907" i="2"/>
  <c r="AB906" i="2"/>
  <c r="O906" i="2"/>
  <c r="AC906" i="2"/>
  <c r="AB905" i="2"/>
  <c r="O905" i="2"/>
  <c r="AC905" i="2"/>
  <c r="AB904" i="2"/>
  <c r="AC904" i="2"/>
  <c r="O904" i="2"/>
  <c r="AB903" i="2"/>
  <c r="AC903" i="2"/>
  <c r="O903" i="2"/>
  <c r="AB902" i="2"/>
  <c r="AC902" i="2"/>
  <c r="O902" i="2"/>
  <c r="AB901" i="2"/>
  <c r="AC901" i="2"/>
  <c r="O901" i="2"/>
  <c r="AB900" i="2"/>
  <c r="AC900" i="2"/>
  <c r="O900" i="2"/>
  <c r="AB899" i="2"/>
  <c r="O899" i="2"/>
  <c r="AC899" i="2"/>
  <c r="AB898" i="2"/>
  <c r="AC898" i="2"/>
  <c r="O898" i="2"/>
  <c r="AB897" i="2"/>
  <c r="O897" i="2"/>
  <c r="AC897" i="2"/>
  <c r="AB896" i="2"/>
  <c r="O896" i="2"/>
  <c r="AC896" i="2"/>
  <c r="AB895" i="2"/>
  <c r="O895" i="2"/>
  <c r="AC895" i="2"/>
  <c r="AB894" i="2"/>
  <c r="O894" i="2"/>
  <c r="AC894" i="2"/>
  <c r="AB893" i="2"/>
  <c r="AC893" i="2"/>
  <c r="O893" i="2"/>
  <c r="AB892" i="2"/>
  <c r="AC892" i="2"/>
  <c r="O892" i="2"/>
  <c r="AB891" i="2"/>
  <c r="AC891" i="2"/>
  <c r="O891" i="2"/>
  <c r="AB890" i="2"/>
  <c r="O890" i="2"/>
  <c r="AC890" i="2"/>
  <c r="AB889" i="2"/>
  <c r="AC889" i="2"/>
  <c r="O889" i="2"/>
  <c r="AB888" i="2"/>
  <c r="AC888" i="2"/>
  <c r="O888" i="2"/>
  <c r="AB887" i="2"/>
  <c r="AC887" i="2"/>
  <c r="O887" i="2"/>
  <c r="AB886" i="2"/>
  <c r="O886" i="2"/>
  <c r="AB885" i="2"/>
  <c r="O885" i="2"/>
  <c r="AB884" i="2"/>
  <c r="O884" i="2"/>
  <c r="AB883" i="2"/>
  <c r="O883" i="2"/>
  <c r="AB882" i="2"/>
  <c r="O882" i="2"/>
  <c r="AB881" i="2"/>
  <c r="O881" i="2"/>
  <c r="AB880" i="2"/>
  <c r="O880" i="2"/>
  <c r="AB879" i="2"/>
  <c r="O879" i="2"/>
  <c r="AB878" i="2"/>
  <c r="O878" i="2"/>
  <c r="AB877" i="2"/>
  <c r="O877" i="2"/>
  <c r="AB876" i="2"/>
  <c r="O876" i="2"/>
  <c r="AB875" i="2"/>
  <c r="O875" i="2"/>
  <c r="AB874" i="2"/>
  <c r="O874" i="2"/>
  <c r="AB873" i="2"/>
  <c r="O873" i="2"/>
  <c r="AB872" i="2"/>
  <c r="O872" i="2"/>
  <c r="AB871" i="2"/>
  <c r="O871" i="2"/>
  <c r="AB870" i="2"/>
  <c r="O870" i="2"/>
  <c r="AB869" i="2"/>
  <c r="O869" i="2"/>
  <c r="AB868" i="2"/>
  <c r="O868" i="2"/>
  <c r="AB867" i="2"/>
  <c r="O867" i="2"/>
  <c r="AB866" i="2"/>
  <c r="O866" i="2"/>
  <c r="AB865" i="2"/>
  <c r="O865" i="2"/>
  <c r="AB864" i="2"/>
  <c r="O864" i="2"/>
  <c r="AB863" i="2"/>
  <c r="O863" i="2"/>
  <c r="AB862" i="2"/>
  <c r="O862" i="2"/>
  <c r="AB861" i="2"/>
  <c r="O861" i="2"/>
  <c r="AB860" i="2"/>
  <c r="O860" i="2"/>
  <c r="AB859" i="2"/>
  <c r="O859" i="2"/>
  <c r="AB858" i="2"/>
  <c r="O858" i="2"/>
  <c r="AB857" i="2"/>
  <c r="O857" i="2"/>
  <c r="AB856" i="2"/>
  <c r="O856" i="2"/>
  <c r="AB855" i="2"/>
  <c r="O855" i="2"/>
  <c r="AB854" i="2"/>
  <c r="O854" i="2"/>
  <c r="AB853" i="2"/>
  <c r="O853" i="2"/>
  <c r="AB852" i="2"/>
  <c r="O852" i="2"/>
  <c r="AB851" i="2"/>
  <c r="O851" i="2"/>
  <c r="AB850" i="2"/>
  <c r="O850" i="2"/>
  <c r="AB849" i="2"/>
  <c r="O849" i="2"/>
  <c r="AB848" i="2"/>
  <c r="O848" i="2"/>
  <c r="AB847" i="2"/>
  <c r="O847" i="2"/>
  <c r="AB846" i="2"/>
  <c r="O846" i="2"/>
  <c r="AB845" i="2"/>
  <c r="O845" i="2"/>
  <c r="AB844" i="2"/>
  <c r="O844" i="2"/>
  <c r="AB843" i="2"/>
  <c r="O843" i="2"/>
  <c r="AB842" i="2"/>
  <c r="O842" i="2"/>
  <c r="AB841" i="2"/>
  <c r="O841" i="2"/>
  <c r="AB840" i="2"/>
  <c r="O840" i="2"/>
  <c r="AB839" i="2"/>
  <c r="O839" i="2"/>
  <c r="AB838" i="2"/>
  <c r="O838" i="2"/>
  <c r="AB837" i="2"/>
  <c r="AC837" i="2"/>
  <c r="O837" i="2"/>
  <c r="AB836" i="2"/>
  <c r="O836" i="2"/>
  <c r="AC836" i="2"/>
  <c r="AB835" i="2"/>
  <c r="O835" i="2"/>
  <c r="AC835" i="2"/>
  <c r="AB834" i="2"/>
  <c r="O834" i="2"/>
  <c r="AC834" i="2"/>
  <c r="AB833" i="2"/>
  <c r="AC833" i="2"/>
  <c r="O833" i="2"/>
  <c r="AB832" i="2"/>
  <c r="O832" i="2"/>
  <c r="AC832" i="2"/>
  <c r="AB831" i="2"/>
  <c r="O831" i="2"/>
  <c r="AC831" i="2"/>
  <c r="AB830" i="2"/>
  <c r="O830" i="2"/>
  <c r="AC830" i="2"/>
  <c r="AB829" i="2"/>
  <c r="O829" i="2"/>
  <c r="AC829" i="2"/>
  <c r="AB828" i="2"/>
  <c r="O828" i="2"/>
  <c r="AC828" i="2"/>
  <c r="AB827" i="2"/>
  <c r="AC827" i="2"/>
  <c r="O827" i="2"/>
  <c r="AB826" i="2"/>
  <c r="AC826" i="2"/>
  <c r="O826" i="2"/>
  <c r="AB825" i="2"/>
  <c r="AC825" i="2"/>
  <c r="O825" i="2"/>
  <c r="AB824" i="2"/>
  <c r="AC824" i="2"/>
  <c r="O824" i="2"/>
  <c r="AB823" i="2"/>
  <c r="AC823" i="2"/>
  <c r="O823" i="2"/>
  <c r="AB822" i="2"/>
  <c r="O822" i="2"/>
  <c r="AC822" i="2"/>
  <c r="AB821" i="2"/>
  <c r="O821" i="2"/>
  <c r="AC821" i="2"/>
  <c r="AB820" i="2"/>
  <c r="AC820" i="2"/>
  <c r="O820" i="2"/>
  <c r="AB819" i="2"/>
  <c r="AC819" i="2"/>
  <c r="O819" i="2"/>
  <c r="AB818" i="2"/>
  <c r="O818" i="2"/>
  <c r="AC818" i="2"/>
  <c r="AB817" i="2"/>
  <c r="O817" i="2"/>
  <c r="AC817" i="2"/>
  <c r="AB816" i="2"/>
  <c r="O816" i="2"/>
  <c r="AC816" i="2"/>
  <c r="AB815" i="2"/>
  <c r="O815" i="2"/>
  <c r="AC815" i="2"/>
  <c r="AB814" i="2"/>
  <c r="O814" i="2"/>
  <c r="AC814" i="2"/>
  <c r="AB813" i="2"/>
  <c r="O813" i="2"/>
  <c r="AC813" i="2"/>
  <c r="AB812" i="2"/>
  <c r="O812" i="2"/>
  <c r="AC812" i="2"/>
  <c r="AB811" i="2"/>
  <c r="AC811" i="2"/>
  <c r="O811" i="2"/>
  <c r="AB810" i="2"/>
  <c r="O810" i="2"/>
  <c r="AC810" i="2"/>
  <c r="AB809" i="2"/>
  <c r="AC809" i="2"/>
  <c r="O809" i="2"/>
  <c r="AB808" i="2"/>
  <c r="O808" i="2"/>
  <c r="AC808" i="2"/>
  <c r="AB807" i="2"/>
  <c r="AC807" i="2"/>
  <c r="O807" i="2"/>
  <c r="AB806" i="2"/>
  <c r="AC806" i="2"/>
  <c r="O806" i="2"/>
  <c r="AB805" i="2"/>
  <c r="AC805" i="2"/>
  <c r="O805" i="2"/>
  <c r="AB804" i="2"/>
  <c r="AC804" i="2"/>
  <c r="O804" i="2"/>
  <c r="AB803" i="2"/>
  <c r="O803" i="2"/>
  <c r="AC803" i="2"/>
  <c r="AB802" i="2"/>
  <c r="O802" i="2"/>
  <c r="AC802" i="2"/>
  <c r="AC460" i="2"/>
  <c r="AB460" i="2"/>
  <c r="O460" i="2"/>
  <c r="AC459" i="2"/>
  <c r="AB459" i="2"/>
  <c r="O459" i="2"/>
  <c r="AC458" i="2"/>
  <c r="AB458" i="2"/>
  <c r="O458" i="2"/>
  <c r="AC457" i="2"/>
  <c r="AB457" i="2"/>
  <c r="O457" i="2"/>
  <c r="AC456" i="2"/>
  <c r="AB456" i="2"/>
  <c r="O456" i="2"/>
  <c r="AC455" i="2"/>
  <c r="AB455" i="2"/>
  <c r="O455" i="2"/>
  <c r="AC454" i="2"/>
  <c r="AB454" i="2"/>
  <c r="O454" i="2"/>
  <c r="AC453" i="2"/>
  <c r="AB453" i="2"/>
  <c r="O453" i="2"/>
  <c r="AC452" i="2"/>
  <c r="AB452" i="2"/>
  <c r="O452" i="2"/>
  <c r="AC451" i="2"/>
  <c r="AB451" i="2"/>
  <c r="O451" i="2"/>
  <c r="AC450" i="2"/>
  <c r="AB450" i="2"/>
  <c r="O450" i="2"/>
  <c r="AC449" i="2"/>
  <c r="AB449" i="2"/>
  <c r="O449" i="2"/>
  <c r="AC448" i="2"/>
  <c r="AB448" i="2"/>
  <c r="O448" i="2"/>
  <c r="AC447" i="2"/>
  <c r="AB447" i="2"/>
  <c r="O447" i="2"/>
  <c r="AD973" i="2"/>
  <c r="Y973" i="2"/>
  <c r="AF973" i="2" s="1"/>
  <c r="AD972" i="2"/>
  <c r="Y972" i="2"/>
  <c r="AF972" i="2" s="1"/>
  <c r="AD971" i="2"/>
  <c r="Y971" i="2"/>
  <c r="AF971" i="2" s="1"/>
  <c r="AD970" i="2"/>
  <c r="Y970" i="2"/>
  <c r="AF970" i="2" s="1"/>
  <c r="AD969" i="2"/>
  <c r="Y969" i="2"/>
  <c r="AF969" i="2" s="1"/>
  <c r="AD968" i="2"/>
  <c r="Y968" i="2"/>
  <c r="AF968" i="2" s="1"/>
  <c r="AD967" i="2"/>
  <c r="Y967" i="2"/>
  <c r="AF967" i="2" s="1"/>
  <c r="AD966" i="2"/>
  <c r="Y966" i="2"/>
  <c r="AF966" i="2" s="1"/>
  <c r="AD965" i="2"/>
  <c r="Y965" i="2"/>
  <c r="AF965" i="2" s="1"/>
  <c r="AD964" i="2"/>
  <c r="Y964" i="2"/>
  <c r="AF964" i="2" s="1"/>
  <c r="AD963" i="2"/>
  <c r="Y963" i="2"/>
  <c r="AF963" i="2" s="1"/>
  <c r="AD962" i="2"/>
  <c r="Y962" i="2"/>
  <c r="AF962" i="2" s="1"/>
  <c r="Y961" i="2"/>
  <c r="AF961" i="2" s="1"/>
  <c r="AD961" i="2"/>
  <c r="Y960" i="2"/>
  <c r="AF960" i="2" s="1"/>
  <c r="AD960" i="2"/>
  <c r="Y959" i="2"/>
  <c r="AF959" i="2" s="1"/>
  <c r="AD959" i="2"/>
  <c r="AD958" i="2"/>
  <c r="Y958" i="2"/>
  <c r="AF958" i="2" s="1"/>
  <c r="AD957" i="2"/>
  <c r="Y957" i="2"/>
  <c r="AF957" i="2" s="1"/>
  <c r="AD956" i="2"/>
  <c r="Y956" i="2"/>
  <c r="AF956" i="2" s="1"/>
  <c r="AD955" i="2"/>
  <c r="Y955" i="2"/>
  <c r="AF955" i="2" s="1"/>
  <c r="AD954" i="2"/>
  <c r="Y954" i="2"/>
  <c r="AF954" i="2" s="1"/>
  <c r="AD953" i="2"/>
  <c r="Y953" i="2"/>
  <c r="AF953" i="2" s="1"/>
  <c r="AD952" i="2"/>
  <c r="Y952" i="2"/>
  <c r="AF952" i="2" s="1"/>
  <c r="AD951" i="2"/>
  <c r="Y951" i="2"/>
  <c r="AF951" i="2" s="1"/>
  <c r="AD950" i="2"/>
  <c r="Y950" i="2"/>
  <c r="AF950" i="2" s="1"/>
  <c r="AD949" i="2"/>
  <c r="Y949" i="2"/>
  <c r="AF949" i="2" s="1"/>
  <c r="AD948" i="2"/>
  <c r="Y948" i="2"/>
  <c r="AF948" i="2" s="1"/>
  <c r="AD947" i="2"/>
  <c r="Y947" i="2"/>
  <c r="AF947" i="2" s="1"/>
  <c r="AD946" i="2"/>
  <c r="Y946" i="2"/>
  <c r="AF946" i="2" s="1"/>
  <c r="AD945" i="2"/>
  <c r="Y945" i="2"/>
  <c r="AF945" i="2" s="1"/>
  <c r="AD944" i="2"/>
  <c r="Y944" i="2"/>
  <c r="AF944" i="2" s="1"/>
  <c r="AD943" i="2"/>
  <c r="Y943" i="2"/>
  <c r="AF943" i="2" s="1"/>
  <c r="AD942" i="2"/>
  <c r="Y942" i="2"/>
  <c r="AF942" i="2" s="1"/>
  <c r="AD941" i="2"/>
  <c r="Y941" i="2"/>
  <c r="AF941" i="2" s="1"/>
  <c r="Y940" i="2"/>
  <c r="AF940" i="2" s="1"/>
  <c r="AD940" i="2"/>
  <c r="AD939" i="2"/>
  <c r="Y939" i="2"/>
  <c r="AF939" i="2" s="1"/>
  <c r="AD938" i="2"/>
  <c r="Y938" i="2"/>
  <c r="AF938" i="2" s="1"/>
  <c r="AD937" i="2"/>
  <c r="Y937" i="2"/>
  <c r="AF937" i="2" s="1"/>
  <c r="AD936" i="2"/>
  <c r="Y936" i="2"/>
  <c r="AF936" i="2" s="1"/>
  <c r="AD935" i="2"/>
  <c r="Y935" i="2"/>
  <c r="AF935" i="2" s="1"/>
  <c r="Y934" i="2"/>
  <c r="AF934" i="2" s="1"/>
  <c r="AD934" i="2"/>
  <c r="AD933" i="2"/>
  <c r="Y933" i="2"/>
  <c r="AF933" i="2" s="1"/>
  <c r="AD932" i="2"/>
  <c r="Y932" i="2"/>
  <c r="AF932" i="2" s="1"/>
  <c r="AD931" i="2"/>
  <c r="Y931" i="2"/>
  <c r="AF931" i="2" s="1"/>
  <c r="AD930" i="2"/>
  <c r="Y930" i="2"/>
  <c r="AF930" i="2" s="1"/>
  <c r="Y929" i="2"/>
  <c r="AF929" i="2" s="1"/>
  <c r="AD929" i="2"/>
  <c r="AD928" i="2"/>
  <c r="Y928" i="2"/>
  <c r="AF928" i="2" s="1"/>
  <c r="AD927" i="2"/>
  <c r="Y927" i="2"/>
  <c r="AF927" i="2" s="1"/>
  <c r="AD926" i="2"/>
  <c r="Y926" i="2"/>
  <c r="AF926" i="2" s="1"/>
  <c r="Y925" i="2"/>
  <c r="AF925" i="2" s="1"/>
  <c r="AD925" i="2"/>
  <c r="Y924" i="2"/>
  <c r="AF924" i="2" s="1"/>
  <c r="AD924" i="2"/>
  <c r="Y923" i="2"/>
  <c r="AF923" i="2" s="1"/>
  <c r="AD923" i="2"/>
  <c r="Y922" i="2"/>
  <c r="AF922" i="2" s="1"/>
  <c r="AD922" i="2"/>
  <c r="AD921" i="2"/>
  <c r="Y921" i="2"/>
  <c r="AF921" i="2" s="1"/>
  <c r="Y920" i="2"/>
  <c r="AF920" i="2" s="1"/>
  <c r="AD920" i="2"/>
  <c r="AC1501" i="2"/>
  <c r="AB1501" i="2"/>
  <c r="O1501" i="2"/>
  <c r="AC1500" i="2"/>
  <c r="AB1500" i="2"/>
  <c r="O1500" i="2"/>
  <c r="AB1499" i="2"/>
  <c r="O1499" i="2"/>
  <c r="AC1499" i="2"/>
  <c r="AB1498" i="2"/>
  <c r="AC1498" i="2"/>
  <c r="O1498" i="2"/>
  <c r="O1497" i="2"/>
  <c r="AC1497" i="2"/>
  <c r="AB1497" i="2"/>
  <c r="O1496" i="2"/>
  <c r="AC1496" i="2"/>
  <c r="AB1496" i="2"/>
  <c r="O1495" i="2"/>
  <c r="AC1495" i="2"/>
  <c r="AB1495" i="2"/>
  <c r="AC1494" i="2"/>
  <c r="O1494" i="2"/>
  <c r="AB1494" i="2"/>
  <c r="O1493" i="2"/>
  <c r="AB1493" i="2"/>
  <c r="AC1493" i="2"/>
  <c r="AB1492" i="2"/>
  <c r="O1492" i="2"/>
  <c r="AC1492" i="2"/>
  <c r="AB1491" i="2"/>
  <c r="AC1491" i="2"/>
  <c r="O1491" i="2"/>
  <c r="AB1490" i="2"/>
  <c r="O1490" i="2"/>
  <c r="AC1490" i="2"/>
  <c r="O1489" i="2"/>
  <c r="AB1489" i="2"/>
  <c r="AC1489" i="2"/>
  <c r="AB1488" i="2"/>
  <c r="AC1488" i="2"/>
  <c r="O1488" i="2"/>
  <c r="O1487" i="2"/>
  <c r="AC1487" i="2"/>
  <c r="AB1487" i="2"/>
  <c r="O1486" i="2"/>
  <c r="AB1486" i="2"/>
  <c r="AC1486" i="2"/>
  <c r="AC1485" i="2"/>
  <c r="O1485" i="2"/>
  <c r="AB1485" i="2"/>
  <c r="AB1484" i="2"/>
  <c r="AC1484" i="2"/>
  <c r="O1484" i="2"/>
  <c r="AC1483" i="2"/>
  <c r="O1483" i="2"/>
  <c r="AB1483" i="2"/>
  <c r="AC1482" i="2"/>
  <c r="AB1482" i="2"/>
  <c r="O1482" i="2"/>
  <c r="AC1481" i="2"/>
  <c r="O1481" i="2"/>
  <c r="AB1481" i="2"/>
  <c r="AC1480" i="2"/>
  <c r="AB1480" i="2"/>
  <c r="O1480" i="2"/>
  <c r="AC1479" i="2"/>
  <c r="O1479" i="2"/>
  <c r="AB1479" i="2"/>
  <c r="O1478" i="2"/>
  <c r="AB1478" i="2"/>
  <c r="AC1478" i="2"/>
  <c r="AC1477" i="2"/>
  <c r="AB1477" i="2"/>
  <c r="O1477" i="2"/>
  <c r="AC1476" i="2"/>
  <c r="O1476" i="2"/>
  <c r="AB1476" i="2"/>
  <c r="AB1475" i="2"/>
  <c r="O1475" i="2"/>
  <c r="AC1475" i="2"/>
  <c r="AB1474" i="2"/>
  <c r="O1474" i="2"/>
  <c r="AC1474" i="2"/>
  <c r="AB1473" i="2"/>
  <c r="AC1473" i="2"/>
  <c r="O1473" i="2"/>
  <c r="AB1472" i="2"/>
  <c r="O1472" i="2"/>
  <c r="AC1472" i="2"/>
  <c r="AB1471" i="2"/>
  <c r="O1471" i="2"/>
  <c r="AC1471" i="2"/>
  <c r="AB1470" i="2"/>
  <c r="O1470" i="2"/>
  <c r="AC1470" i="2"/>
  <c r="AB1469" i="2"/>
  <c r="O1469" i="2"/>
  <c r="AC1469" i="2"/>
  <c r="AB1468" i="2"/>
  <c r="O1468" i="2"/>
  <c r="AC1468" i="2"/>
  <c r="AB1467" i="2"/>
  <c r="O1467" i="2"/>
  <c r="AC1467" i="2"/>
  <c r="AB1466" i="2"/>
  <c r="O1466" i="2"/>
  <c r="AC1466" i="2"/>
  <c r="AB1465" i="2"/>
  <c r="AC1465" i="2"/>
  <c r="O1465" i="2"/>
  <c r="AB1464" i="2"/>
  <c r="AC1464" i="2"/>
  <c r="O1464" i="2"/>
  <c r="AB1463" i="2"/>
  <c r="AC1463" i="2"/>
  <c r="O1463" i="2"/>
  <c r="AB1462" i="2"/>
  <c r="O1462" i="2"/>
  <c r="AC1462" i="2"/>
  <c r="AB1461" i="2"/>
  <c r="O1461" i="2"/>
  <c r="AC1461" i="2"/>
  <c r="AB1460" i="2"/>
  <c r="O1460" i="2"/>
  <c r="AC1460" i="2"/>
  <c r="AB1459" i="2"/>
  <c r="AC1459" i="2"/>
  <c r="O1459" i="2"/>
  <c r="AB1458" i="2"/>
  <c r="O1458" i="2"/>
  <c r="AC1458" i="2"/>
  <c r="O1457" i="2"/>
  <c r="AB1457" i="2"/>
  <c r="AC1457" i="2"/>
  <c r="O1456" i="2"/>
  <c r="AB1456" i="2"/>
  <c r="AC1456" i="2"/>
  <c r="O1455" i="2"/>
  <c r="AB1455" i="2"/>
  <c r="AC1455" i="2"/>
  <c r="O1454" i="2"/>
  <c r="AB1454" i="2"/>
  <c r="AC1454" i="2"/>
  <c r="O1453" i="2"/>
  <c r="AB1453" i="2"/>
  <c r="AC1453" i="2"/>
  <c r="AC1452" i="2"/>
  <c r="O1452" i="2"/>
  <c r="AB1452" i="2"/>
  <c r="AC1451" i="2"/>
  <c r="AB1451" i="2"/>
  <c r="O1451" i="2"/>
  <c r="AC1450" i="2"/>
  <c r="AB1450" i="2"/>
  <c r="O1450" i="2"/>
  <c r="O1449" i="2"/>
  <c r="AB1449" i="2"/>
  <c r="AC1449" i="2"/>
  <c r="AB1448" i="2"/>
  <c r="AC1448" i="2"/>
  <c r="O1448" i="2"/>
  <c r="AB1447" i="2"/>
  <c r="AC1447" i="2"/>
  <c r="O1447" i="2"/>
  <c r="AB1446" i="2"/>
  <c r="AC1446" i="2"/>
  <c r="O1446" i="2"/>
  <c r="AB1445" i="2"/>
  <c r="O1445" i="2"/>
  <c r="AC1445" i="2"/>
  <c r="AB1444" i="2"/>
  <c r="AC1444" i="2"/>
  <c r="O1444" i="2"/>
  <c r="AB1443" i="2"/>
  <c r="O1443" i="2"/>
  <c r="AC1443" i="2"/>
  <c r="AB1442" i="2"/>
  <c r="O1442" i="2"/>
  <c r="AC1442" i="2"/>
  <c r="AB1441" i="2"/>
  <c r="O1441" i="2"/>
  <c r="AC1441" i="2"/>
  <c r="AB1440" i="2"/>
  <c r="AC1440" i="2"/>
  <c r="O1440" i="2"/>
  <c r="AB1439" i="2"/>
  <c r="O1439" i="2"/>
  <c r="AC1439" i="2"/>
  <c r="AB1438" i="2"/>
  <c r="O1438" i="2"/>
  <c r="AC1438" i="2"/>
  <c r="O1437" i="2"/>
  <c r="AB1437" i="2"/>
  <c r="AC1437" i="2"/>
  <c r="O1436" i="2"/>
  <c r="AB1436" i="2"/>
  <c r="AC1436" i="2"/>
  <c r="AB1435" i="2"/>
  <c r="O1435" i="2"/>
  <c r="AC1435" i="2"/>
  <c r="AC1434" i="2"/>
  <c r="O1434" i="2"/>
  <c r="AB1434" i="2"/>
  <c r="AB1433" i="2"/>
  <c r="O1433" i="2"/>
  <c r="AC1433" i="2"/>
  <c r="AB1432" i="2"/>
  <c r="O1432" i="2"/>
  <c r="AC1432" i="2"/>
  <c r="AB1431" i="2"/>
  <c r="AC1431" i="2"/>
  <c r="O1431" i="2"/>
  <c r="AB1430" i="2"/>
  <c r="O1430" i="2"/>
  <c r="AC1430" i="2"/>
  <c r="AB1429" i="2"/>
  <c r="O1429" i="2"/>
  <c r="AC1429" i="2"/>
  <c r="AB1428" i="2"/>
  <c r="O1428" i="2"/>
  <c r="AC1428" i="2"/>
  <c r="AB1427" i="2"/>
  <c r="AC1427" i="2"/>
  <c r="O1427" i="2"/>
  <c r="AC1426" i="2"/>
  <c r="O1426" i="2"/>
  <c r="AB1426" i="2"/>
  <c r="AC1425" i="2"/>
  <c r="AB1425" i="2"/>
  <c r="O1425" i="2"/>
  <c r="AC1424" i="2"/>
  <c r="AB1424" i="2"/>
  <c r="O1424" i="2"/>
  <c r="O1423" i="2"/>
  <c r="AB1423" i="2"/>
  <c r="AC1423" i="2"/>
  <c r="AC1422" i="2"/>
  <c r="O1422" i="2"/>
  <c r="AB1422" i="2"/>
  <c r="AC1421" i="2"/>
  <c r="O1421" i="2"/>
  <c r="AB1421" i="2"/>
  <c r="O1420" i="2"/>
  <c r="AB1420" i="2"/>
  <c r="AC1420" i="2"/>
  <c r="O1419" i="2"/>
  <c r="AB1419" i="2"/>
  <c r="AC1419" i="2"/>
  <c r="O1418" i="2"/>
  <c r="AC1418" i="2"/>
  <c r="AB1418" i="2"/>
  <c r="O1417" i="2"/>
  <c r="AC1417" i="2"/>
  <c r="AB1417" i="2"/>
  <c r="AC1416" i="2"/>
  <c r="AB1416" i="2"/>
  <c r="O1416" i="2"/>
  <c r="O1415" i="2"/>
  <c r="AC1415" i="2"/>
  <c r="AB1415" i="2"/>
  <c r="O1414" i="2"/>
  <c r="AC1414" i="2"/>
  <c r="AB1414" i="2"/>
  <c r="O1413" i="2"/>
  <c r="AC1413" i="2"/>
  <c r="AB1413" i="2"/>
  <c r="AC1412" i="2"/>
  <c r="AB1412" i="2"/>
  <c r="O1412" i="2"/>
  <c r="AB1411" i="2"/>
  <c r="AC1411" i="2"/>
  <c r="O1411" i="2"/>
  <c r="AC1410" i="2"/>
  <c r="O1410" i="2"/>
  <c r="AB1410" i="2"/>
  <c r="O1409" i="2"/>
  <c r="AC1409" i="2"/>
  <c r="AB1409" i="2"/>
  <c r="AB1408" i="2"/>
  <c r="O1408" i="2"/>
  <c r="AC1408" i="2"/>
  <c r="AB1407" i="2"/>
  <c r="AC1407" i="2"/>
  <c r="O1407" i="2"/>
  <c r="AB1406" i="2"/>
  <c r="O1406" i="2"/>
  <c r="AC1406" i="2"/>
  <c r="AB1405" i="2"/>
  <c r="AC1405" i="2"/>
  <c r="O1405" i="2"/>
  <c r="AB1404" i="2"/>
  <c r="O1404" i="2"/>
  <c r="AC1404" i="2"/>
  <c r="AB1403" i="2"/>
  <c r="O1403" i="2"/>
  <c r="AC1403" i="2"/>
  <c r="AB1402" i="2"/>
  <c r="AC1402" i="2"/>
  <c r="O1402" i="2"/>
  <c r="AB1401" i="2"/>
  <c r="O1401" i="2"/>
  <c r="AC1401" i="2"/>
  <c r="AB1400" i="2"/>
  <c r="O1400" i="2"/>
  <c r="AC1400" i="2"/>
  <c r="AC1399" i="2"/>
  <c r="O1399" i="2"/>
  <c r="AB1399" i="2"/>
  <c r="AC1398" i="2"/>
  <c r="O1398" i="2"/>
  <c r="AB1398" i="2"/>
  <c r="AC1397" i="2"/>
  <c r="O1397" i="2"/>
  <c r="AB1397" i="2"/>
  <c r="AC1396" i="2"/>
  <c r="AB1396" i="2"/>
  <c r="O1396" i="2"/>
  <c r="AC1395" i="2"/>
  <c r="O1395" i="2"/>
  <c r="AB1395" i="2"/>
  <c r="AC1394" i="2"/>
  <c r="AB1394" i="2"/>
  <c r="O1394" i="2"/>
  <c r="O1393" i="2"/>
  <c r="AB1393" i="2"/>
  <c r="AC1393" i="2"/>
  <c r="AB1392" i="2"/>
  <c r="O1392" i="2"/>
  <c r="AC1392" i="2"/>
  <c r="AB1391" i="2"/>
  <c r="O1391" i="2"/>
  <c r="AC1391" i="2"/>
  <c r="AB1390" i="2"/>
  <c r="O1390" i="2"/>
  <c r="AC1390" i="2"/>
  <c r="AC1389" i="2"/>
  <c r="AB1389" i="2"/>
  <c r="O1389" i="2"/>
  <c r="AB1388" i="2"/>
  <c r="AC1388" i="2"/>
  <c r="O1388" i="2"/>
  <c r="AB1387" i="2"/>
  <c r="AC1387" i="2"/>
  <c r="O1387" i="2"/>
  <c r="AB1386" i="2"/>
  <c r="AC1386" i="2"/>
  <c r="O1386" i="2"/>
  <c r="AB1385" i="2"/>
  <c r="AC1385" i="2"/>
  <c r="O1385" i="2"/>
  <c r="AB1384" i="2"/>
  <c r="O1384" i="2"/>
  <c r="AC1384" i="2"/>
  <c r="AB1383" i="2"/>
  <c r="O1383" i="2"/>
  <c r="AC1383" i="2"/>
  <c r="AB1382" i="2"/>
  <c r="O1382" i="2"/>
  <c r="AC1382" i="2"/>
  <c r="AB1381" i="2"/>
  <c r="O1381" i="2"/>
  <c r="AC1381" i="2"/>
  <c r="AB1380" i="2"/>
  <c r="O1380" i="2"/>
  <c r="AC1380" i="2"/>
  <c r="AB1379" i="2"/>
  <c r="O1379" i="2"/>
  <c r="AC1379" i="2"/>
  <c r="AB1378" i="2"/>
  <c r="AC1378" i="2"/>
  <c r="O1378" i="2"/>
  <c r="AB1377" i="2"/>
  <c r="O1377" i="2"/>
  <c r="AC1377" i="2"/>
  <c r="AC1376" i="2"/>
  <c r="O1376" i="2"/>
  <c r="AB1376" i="2"/>
  <c r="O1375" i="2"/>
  <c r="AC1375" i="2"/>
  <c r="AB1375" i="2"/>
  <c r="O1374" i="2"/>
  <c r="AB1374" i="2"/>
  <c r="AC1374" i="2"/>
  <c r="O1373" i="2"/>
  <c r="AB1373" i="2"/>
  <c r="AC1373" i="2"/>
  <c r="AC1372" i="2"/>
  <c r="AB1372" i="2"/>
  <c r="O1372" i="2"/>
  <c r="AC1371" i="2"/>
  <c r="O1371" i="2"/>
  <c r="AB1371" i="2"/>
  <c r="AC1370" i="2"/>
  <c r="O1370" i="2"/>
  <c r="AB1370" i="2"/>
  <c r="AC1369" i="2"/>
  <c r="AB1369" i="2"/>
  <c r="O1369" i="2"/>
  <c r="O1368" i="2"/>
  <c r="AC1368" i="2"/>
  <c r="AB1368" i="2"/>
  <c r="AB1367" i="2"/>
  <c r="O1367" i="2"/>
  <c r="AC1367" i="2"/>
  <c r="O1366" i="2"/>
  <c r="AC1366" i="2"/>
  <c r="AB1366" i="2"/>
  <c r="AC1365" i="2"/>
  <c r="AB1365" i="2"/>
  <c r="O1365" i="2"/>
  <c r="AC1364" i="2"/>
  <c r="AB1364" i="2"/>
  <c r="O1364" i="2"/>
  <c r="AC1363" i="2"/>
  <c r="O1363" i="2"/>
  <c r="AB1363" i="2"/>
  <c r="AC1362" i="2"/>
  <c r="O1362" i="2"/>
  <c r="AB1362" i="2"/>
  <c r="AC1361" i="2"/>
  <c r="AB1361" i="2"/>
  <c r="O1361" i="2"/>
  <c r="AC1360" i="2"/>
  <c r="AB1360" i="2"/>
  <c r="O1360" i="2"/>
  <c r="AC1359" i="2"/>
  <c r="AB1359" i="2"/>
  <c r="O1359" i="2"/>
  <c r="AC1358" i="2"/>
  <c r="O1358" i="2"/>
  <c r="AB1358" i="2"/>
  <c r="AC1357" i="2"/>
  <c r="AB1357" i="2"/>
  <c r="O1357" i="2"/>
  <c r="O1356" i="2"/>
  <c r="AC1356" i="2"/>
  <c r="AB1356" i="2"/>
  <c r="O1355" i="2"/>
  <c r="AB1355" i="2"/>
  <c r="AC1355" i="2"/>
  <c r="O1354" i="2"/>
  <c r="AB1354" i="2"/>
  <c r="AC1354" i="2"/>
  <c r="O1353" i="2"/>
  <c r="AB1353" i="2"/>
  <c r="AC1353" i="2"/>
  <c r="AB1352" i="2"/>
  <c r="AC1352" i="2"/>
  <c r="O1352" i="2"/>
  <c r="O1351" i="2"/>
  <c r="AB1351" i="2"/>
  <c r="AC1351" i="2"/>
  <c r="O1350" i="2"/>
  <c r="AB1350" i="2"/>
  <c r="AC1350" i="2"/>
  <c r="O1349" i="2"/>
  <c r="AB1349" i="2"/>
  <c r="AC1349" i="2"/>
  <c r="O1348" i="2"/>
  <c r="AC1348" i="2"/>
  <c r="AB1348" i="2"/>
  <c r="O1347" i="2"/>
  <c r="AC1347" i="2"/>
  <c r="AB1347" i="2"/>
  <c r="AB1346" i="2"/>
  <c r="AC1346" i="2"/>
  <c r="O1346" i="2"/>
  <c r="AC1345" i="2"/>
  <c r="O1345" i="2"/>
  <c r="AB1345" i="2"/>
  <c r="AB1344" i="2"/>
  <c r="AC1344" i="2"/>
  <c r="O1344" i="2"/>
  <c r="AB1343" i="2"/>
  <c r="AC1343" i="2"/>
  <c r="O1343" i="2"/>
  <c r="O1342" i="2"/>
  <c r="AC1342" i="2"/>
  <c r="AB1342" i="2"/>
  <c r="O1341" i="2"/>
  <c r="AB1341" i="2"/>
  <c r="AC1341" i="2"/>
  <c r="O1340" i="2"/>
  <c r="AB1340" i="2"/>
  <c r="AC1340" i="2"/>
  <c r="O1339" i="2"/>
  <c r="AB1339" i="2"/>
  <c r="AC1339" i="2"/>
  <c r="AB1338" i="2"/>
  <c r="AC1338" i="2"/>
  <c r="O1338" i="2"/>
  <c r="O1337" i="2"/>
  <c r="AB1337" i="2"/>
  <c r="AC1337" i="2"/>
  <c r="AB1336" i="2"/>
  <c r="O1336" i="2"/>
  <c r="AC1336" i="2"/>
  <c r="AB1335" i="2"/>
  <c r="AC1335" i="2"/>
  <c r="O1335" i="2"/>
  <c r="AB1334" i="2"/>
  <c r="O1334" i="2"/>
  <c r="AC1334" i="2"/>
  <c r="O1333" i="2"/>
  <c r="AC1333" i="2"/>
  <c r="AB1333" i="2"/>
  <c r="O1332" i="2"/>
  <c r="AC1332" i="2"/>
  <c r="AB1332" i="2"/>
  <c r="AC1331" i="2"/>
  <c r="AB1331" i="2"/>
  <c r="O1331" i="2"/>
  <c r="O1330" i="2"/>
  <c r="AC1330" i="2"/>
  <c r="AB1330" i="2"/>
  <c r="AB1329" i="2"/>
  <c r="O1329" i="2"/>
  <c r="AC1329" i="2"/>
  <c r="O1328" i="2"/>
  <c r="AC1328" i="2"/>
  <c r="AB1328" i="2"/>
  <c r="AB1327" i="2"/>
  <c r="O1327" i="2"/>
  <c r="AC1327" i="2"/>
  <c r="O1326" i="2"/>
  <c r="AB1326" i="2"/>
  <c r="AC1326" i="2"/>
  <c r="O1325" i="2"/>
  <c r="AC1325" i="2"/>
  <c r="AB1325" i="2"/>
  <c r="O1324" i="2"/>
  <c r="AC1324" i="2"/>
  <c r="AB1324" i="2"/>
  <c r="O1323" i="2"/>
  <c r="AB1323" i="2"/>
  <c r="AC1323" i="2"/>
  <c r="AC1322" i="2"/>
  <c r="AB1322" i="2"/>
  <c r="O1322" i="2"/>
  <c r="AB1321" i="2"/>
  <c r="O1321" i="2"/>
  <c r="AC1321" i="2"/>
  <c r="AB1320" i="2"/>
  <c r="O1320" i="2"/>
  <c r="AC1320" i="2"/>
  <c r="AC1319" i="2"/>
  <c r="AB1319" i="2"/>
  <c r="O1319" i="2"/>
  <c r="AC1318" i="2"/>
  <c r="O1318" i="2"/>
  <c r="AB1318" i="2"/>
  <c r="AB1317" i="2"/>
  <c r="AC1317" i="2"/>
  <c r="O1317" i="2"/>
  <c r="O1316" i="2"/>
  <c r="AC1316" i="2"/>
  <c r="AB1316" i="2"/>
  <c r="AB1315" i="2"/>
  <c r="AC1315" i="2"/>
  <c r="O1315" i="2"/>
  <c r="AB1314" i="2"/>
  <c r="O1314" i="2"/>
  <c r="AC1314" i="2"/>
  <c r="AB1313" i="2"/>
  <c r="AC1313" i="2"/>
  <c r="O1313" i="2"/>
  <c r="AB1312" i="2"/>
  <c r="AC1312" i="2"/>
  <c r="O1312" i="2"/>
  <c r="AB1311" i="2"/>
  <c r="O1311" i="2"/>
  <c r="AC1311" i="2"/>
  <c r="O1310" i="2"/>
  <c r="AB1310" i="2"/>
  <c r="AC1310" i="2"/>
  <c r="O1309" i="2"/>
  <c r="AC1309" i="2"/>
  <c r="AB1309" i="2"/>
  <c r="O1308" i="2"/>
  <c r="AC1308" i="2"/>
  <c r="AB1308" i="2"/>
  <c r="AB1307" i="2"/>
  <c r="O1307" i="2"/>
  <c r="AC1307" i="2"/>
  <c r="O1306" i="2"/>
  <c r="AB1306" i="2"/>
  <c r="AC1306" i="2"/>
  <c r="O1305" i="2"/>
  <c r="AB1305" i="2"/>
  <c r="AC1305" i="2"/>
  <c r="AB1304" i="2"/>
  <c r="AC1304" i="2"/>
  <c r="O1304" i="2"/>
  <c r="AB1303" i="2"/>
  <c r="AC1303" i="2"/>
  <c r="O1303" i="2"/>
  <c r="AC1302" i="2"/>
  <c r="O1302" i="2"/>
  <c r="AB1302" i="2"/>
  <c r="AC1301" i="2"/>
  <c r="O1301" i="2"/>
  <c r="AB1301" i="2"/>
  <c r="AC1300" i="2"/>
  <c r="O1300" i="2"/>
  <c r="AB1300" i="2"/>
  <c r="AC1299" i="2"/>
  <c r="O1299" i="2"/>
  <c r="AB1299" i="2"/>
  <c r="AC1298" i="2"/>
  <c r="AB1298" i="2"/>
  <c r="O1298" i="2"/>
  <c r="AC1297" i="2"/>
  <c r="O1297" i="2"/>
  <c r="AB1297" i="2"/>
  <c r="AC1296" i="2"/>
  <c r="AB1296" i="2"/>
  <c r="O1296" i="2"/>
  <c r="AC1295" i="2"/>
  <c r="AB1295" i="2"/>
  <c r="O1295" i="2"/>
  <c r="AC1294" i="2"/>
  <c r="O1294" i="2"/>
  <c r="AB1294" i="2"/>
  <c r="AC1293" i="2"/>
  <c r="O1293" i="2"/>
  <c r="AB1293" i="2"/>
  <c r="AC1292" i="2"/>
  <c r="O1292" i="2"/>
  <c r="AB1292" i="2"/>
  <c r="AC1291" i="2"/>
  <c r="O1291" i="2"/>
  <c r="AB1291" i="2"/>
  <c r="AC1290" i="2"/>
  <c r="AB1290" i="2"/>
  <c r="O1290" i="2"/>
  <c r="AC1289" i="2"/>
  <c r="O1289" i="2"/>
  <c r="AB1289" i="2"/>
  <c r="AC1288" i="2"/>
  <c r="O1288" i="2"/>
  <c r="AB1288" i="2"/>
  <c r="AC1287" i="2"/>
  <c r="AB1287" i="2"/>
  <c r="O1287" i="2"/>
  <c r="AB1286" i="2"/>
  <c r="O1286" i="2"/>
  <c r="AC1286" i="2"/>
  <c r="AB1285" i="2"/>
  <c r="O1285" i="2"/>
  <c r="AC1285" i="2"/>
  <c r="O1284" i="2"/>
  <c r="AC1284" i="2"/>
  <c r="AB1284" i="2"/>
  <c r="AC1283" i="2"/>
  <c r="AB1283" i="2"/>
  <c r="O1283" i="2"/>
  <c r="AC1282" i="2"/>
  <c r="AB1282" i="2"/>
  <c r="O1282" i="2"/>
  <c r="AC1281" i="2"/>
  <c r="O1281" i="2"/>
  <c r="AB1281" i="2"/>
  <c r="AC1280" i="2"/>
  <c r="O1280" i="2"/>
  <c r="AB1280" i="2"/>
  <c r="AC1279" i="2"/>
  <c r="O1279" i="2"/>
  <c r="AB1279" i="2"/>
  <c r="AC1278" i="2"/>
  <c r="O1278" i="2"/>
  <c r="AB1278" i="2"/>
  <c r="O1277" i="2"/>
  <c r="AB1277" i="2"/>
  <c r="AC1277" i="2"/>
  <c r="O1276" i="2"/>
  <c r="AB1276" i="2"/>
  <c r="AC1276" i="2"/>
  <c r="O1275" i="2"/>
  <c r="AB1275" i="2"/>
  <c r="AC1275" i="2"/>
  <c r="O1274" i="2"/>
  <c r="AB1274" i="2"/>
  <c r="AC1274" i="2"/>
  <c r="O1273" i="2"/>
  <c r="AC1273" i="2"/>
  <c r="AB1273" i="2"/>
  <c r="O1272" i="2"/>
  <c r="AB1272" i="2"/>
  <c r="AC1272" i="2"/>
  <c r="AC1271" i="2"/>
  <c r="AB1271" i="2"/>
  <c r="O1271" i="2"/>
  <c r="AC1270" i="2"/>
  <c r="AB1270" i="2"/>
  <c r="O1270" i="2"/>
  <c r="AB1269" i="2"/>
  <c r="AC1269" i="2"/>
  <c r="O1269" i="2"/>
  <c r="AC1268" i="2"/>
  <c r="O1268" i="2"/>
  <c r="AB1268" i="2"/>
  <c r="AB1267" i="2"/>
  <c r="AC1267" i="2"/>
  <c r="O1267" i="2"/>
  <c r="AC1266" i="2"/>
  <c r="AB1266" i="2"/>
  <c r="O1266" i="2"/>
  <c r="AC1265" i="2"/>
  <c r="AB1265" i="2"/>
  <c r="O1265" i="2"/>
  <c r="AC1264" i="2"/>
  <c r="AB1264" i="2"/>
  <c r="O1264" i="2"/>
  <c r="AC1263" i="2"/>
  <c r="AB1263" i="2"/>
  <c r="O1263" i="2"/>
  <c r="AB1262" i="2"/>
  <c r="O1262" i="2"/>
  <c r="AC1262" i="2"/>
  <c r="AC1261" i="2"/>
  <c r="O1261" i="2"/>
  <c r="AB1261" i="2"/>
  <c r="AB1260" i="2"/>
  <c r="AC1260" i="2"/>
  <c r="O1260" i="2"/>
  <c r="AC1259" i="2"/>
  <c r="O1259" i="2"/>
  <c r="AB1259" i="2"/>
  <c r="AC1258" i="2"/>
  <c r="O1258" i="2"/>
  <c r="AB1258" i="2"/>
  <c r="AC1257" i="2"/>
  <c r="O1257" i="2"/>
  <c r="AB1257" i="2"/>
  <c r="AC1256" i="2"/>
  <c r="O1256" i="2"/>
  <c r="AB1256" i="2"/>
  <c r="AC1255" i="2"/>
  <c r="O1255" i="2"/>
  <c r="AB1255" i="2"/>
  <c r="O1254" i="2"/>
  <c r="AC1254" i="2"/>
  <c r="AB1254" i="2"/>
  <c r="O1253" i="2"/>
  <c r="AC1253" i="2"/>
  <c r="AB1253" i="2"/>
  <c r="O1252" i="2"/>
  <c r="AB1252" i="2"/>
  <c r="AC1252" i="2"/>
  <c r="AB1251" i="2"/>
  <c r="O1251" i="2"/>
  <c r="AC1251" i="2"/>
  <c r="AB1250" i="2"/>
  <c r="O1250" i="2"/>
  <c r="AC1250" i="2"/>
  <c r="O1249" i="2"/>
  <c r="AC1249" i="2"/>
  <c r="AB1249" i="2"/>
  <c r="AB1248" i="2"/>
  <c r="O1248" i="2"/>
  <c r="AC1248" i="2"/>
  <c r="O1247" i="2"/>
  <c r="AC1247" i="2"/>
  <c r="AB1247" i="2"/>
  <c r="AB1246" i="2"/>
  <c r="O1246" i="2"/>
  <c r="AC1246" i="2"/>
  <c r="O1245" i="2"/>
  <c r="AC1245" i="2"/>
  <c r="AB1245" i="2"/>
  <c r="O1244" i="2"/>
  <c r="AC1244" i="2"/>
  <c r="AB1244" i="2"/>
  <c r="AB1243" i="2"/>
  <c r="O1243" i="2"/>
  <c r="AC1243" i="2"/>
  <c r="AB1242" i="2"/>
  <c r="AC1242" i="2"/>
  <c r="O1242" i="2"/>
  <c r="AC1241" i="2"/>
  <c r="O1241" i="2"/>
  <c r="AB1241" i="2"/>
  <c r="AC1240" i="2"/>
  <c r="AB1240" i="2"/>
  <c r="O1240" i="2"/>
  <c r="AC1239" i="2"/>
  <c r="AB1239" i="2"/>
  <c r="O1239" i="2"/>
  <c r="O1238" i="2"/>
  <c r="AB1238" i="2"/>
  <c r="AC1238" i="2"/>
  <c r="AB1237" i="2"/>
  <c r="AC1237" i="2"/>
  <c r="O1237" i="2"/>
  <c r="AB1236" i="2"/>
  <c r="AC1236" i="2"/>
  <c r="O1236" i="2"/>
  <c r="AC1235" i="2"/>
  <c r="O1235" i="2"/>
  <c r="AB1235" i="2"/>
  <c r="AC1234" i="2"/>
  <c r="O1234" i="2"/>
  <c r="AB1234" i="2"/>
  <c r="AC1233" i="2"/>
  <c r="AB1233" i="2"/>
  <c r="O1233" i="2"/>
  <c r="AB1232" i="2"/>
  <c r="AC1232" i="2"/>
  <c r="O1232" i="2"/>
  <c r="AC1231" i="2"/>
  <c r="O1231" i="2"/>
  <c r="AB1231" i="2"/>
  <c r="AB1230" i="2"/>
  <c r="O1230" i="2"/>
  <c r="AC1230" i="2"/>
  <c r="AB1229" i="2"/>
  <c r="AC1229" i="2"/>
  <c r="O1229" i="2"/>
  <c r="O1228" i="2"/>
  <c r="AC1228" i="2"/>
  <c r="AB1228" i="2"/>
  <c r="O1227" i="2"/>
  <c r="AC1227" i="2"/>
  <c r="AB1227" i="2"/>
  <c r="AB1226" i="2"/>
  <c r="O1226" i="2"/>
  <c r="AC1226" i="2"/>
  <c r="AB1225" i="2"/>
  <c r="O1225" i="2"/>
  <c r="AC1225" i="2"/>
  <c r="O1224" i="2"/>
  <c r="AC1224" i="2"/>
  <c r="AB1224" i="2"/>
  <c r="AC1223" i="2"/>
  <c r="O1223" i="2"/>
  <c r="AB1223" i="2"/>
  <c r="AC1222" i="2"/>
  <c r="O1222" i="2"/>
  <c r="AB1222" i="2"/>
  <c r="AC1221" i="2"/>
  <c r="AB1221" i="2"/>
  <c r="O1221" i="2"/>
  <c r="AC1220" i="2"/>
  <c r="AB1220" i="2"/>
  <c r="O1220" i="2"/>
  <c r="AC1219" i="2"/>
  <c r="AB1219" i="2"/>
  <c r="O1219" i="2"/>
  <c r="AC1218" i="2"/>
  <c r="AB1218" i="2"/>
  <c r="O1218" i="2"/>
  <c r="AC1217" i="2"/>
  <c r="AB1217" i="2"/>
  <c r="O1217" i="2"/>
  <c r="AC1216" i="2"/>
  <c r="AB1216" i="2"/>
  <c r="O1216" i="2"/>
  <c r="AC1215" i="2"/>
  <c r="O1215" i="2"/>
  <c r="AB1215" i="2"/>
  <c r="AB1214" i="2"/>
  <c r="AC1214" i="2"/>
  <c r="O1214" i="2"/>
  <c r="AC1213" i="2"/>
  <c r="O1213" i="2"/>
  <c r="AB1213" i="2"/>
  <c r="AC1212" i="2"/>
  <c r="O1212" i="2"/>
  <c r="AB1212" i="2"/>
  <c r="AC1211" i="2"/>
  <c r="O1211" i="2"/>
  <c r="AB1211" i="2"/>
  <c r="AC1210" i="2"/>
  <c r="O1210" i="2"/>
  <c r="AB1210" i="2"/>
  <c r="AC1209" i="2"/>
  <c r="O1209" i="2"/>
  <c r="AB1209" i="2"/>
  <c r="AC1208" i="2"/>
  <c r="O1208" i="2"/>
  <c r="AB1208" i="2"/>
  <c r="O1207" i="2"/>
  <c r="AC1207" i="2"/>
  <c r="AB1207" i="2"/>
  <c r="O1206" i="2"/>
  <c r="AC1206" i="2"/>
  <c r="AB1206" i="2"/>
  <c r="O1205" i="2"/>
  <c r="AC1205" i="2"/>
  <c r="AB1205" i="2"/>
  <c r="AC1204" i="2"/>
  <c r="AB1204" i="2"/>
  <c r="O1204" i="2"/>
  <c r="AC1203" i="2"/>
  <c r="O1203" i="2"/>
  <c r="AB1203" i="2"/>
  <c r="AC1202" i="2"/>
  <c r="O1202" i="2"/>
  <c r="AB1202" i="2"/>
  <c r="O801" i="2"/>
  <c r="AB801" i="2"/>
  <c r="AC801" i="2"/>
  <c r="AC800" i="2"/>
  <c r="AB800" i="2"/>
  <c r="O800" i="2"/>
  <c r="AC799" i="2"/>
  <c r="O799" i="2"/>
  <c r="AB799" i="2"/>
  <c r="AC798" i="2"/>
  <c r="AB798" i="2"/>
  <c r="O798" i="2"/>
  <c r="AB797" i="2"/>
  <c r="AC797" i="2"/>
  <c r="O797" i="2"/>
  <c r="AB796" i="2"/>
  <c r="AC796" i="2"/>
  <c r="O796" i="2"/>
  <c r="AB795" i="2"/>
  <c r="AC795" i="2"/>
  <c r="O795" i="2"/>
  <c r="AC794" i="2"/>
  <c r="AB794" i="2"/>
  <c r="O794" i="2"/>
  <c r="AB793" i="2"/>
  <c r="AC793" i="2"/>
  <c r="O793" i="2"/>
  <c r="O792" i="2"/>
  <c r="AB792" i="2"/>
  <c r="AC792" i="2"/>
  <c r="O791" i="2"/>
  <c r="AB791" i="2"/>
  <c r="AC791" i="2"/>
  <c r="AB790" i="2"/>
  <c r="O790" i="2"/>
  <c r="AC790" i="2"/>
  <c r="AC789" i="2"/>
  <c r="O789" i="2"/>
  <c r="AB789" i="2"/>
  <c r="AC788" i="2"/>
  <c r="O788" i="2"/>
  <c r="AB788" i="2"/>
  <c r="AC787" i="2"/>
  <c r="O787" i="2"/>
  <c r="AB787" i="2"/>
  <c r="AC786" i="2"/>
  <c r="O786" i="2"/>
  <c r="AB786" i="2"/>
  <c r="O785" i="2"/>
  <c r="AB785" i="2"/>
  <c r="AC785" i="2"/>
  <c r="AB784" i="2"/>
  <c r="AC784" i="2"/>
  <c r="O784" i="2"/>
  <c r="AC783" i="2"/>
  <c r="AB783" i="2"/>
  <c r="O783" i="2"/>
  <c r="O782" i="2"/>
  <c r="AC782" i="2"/>
  <c r="AB782" i="2"/>
  <c r="AC781" i="2"/>
  <c r="O781" i="2"/>
  <c r="AB781" i="2"/>
  <c r="AC780" i="2"/>
  <c r="AB780" i="2"/>
  <c r="O780" i="2"/>
  <c r="AB779" i="2"/>
  <c r="AC779" i="2"/>
  <c r="O779" i="2"/>
  <c r="AB778" i="2"/>
  <c r="AC778" i="2"/>
  <c r="O778" i="2"/>
  <c r="AC777" i="2"/>
  <c r="AB777" i="2"/>
  <c r="O777" i="2"/>
  <c r="AC776" i="2"/>
  <c r="O776" i="2"/>
  <c r="AB776" i="2"/>
  <c r="AC775" i="2"/>
  <c r="O775" i="2"/>
  <c r="AB775" i="2"/>
  <c r="O774" i="2"/>
  <c r="AC774" i="2"/>
  <c r="AB774" i="2"/>
  <c r="O773" i="2"/>
  <c r="AC773" i="2"/>
  <c r="AB773" i="2"/>
  <c r="O772" i="2"/>
  <c r="AC772" i="2"/>
  <c r="AB772" i="2"/>
  <c r="AC771" i="2"/>
  <c r="O771" i="2"/>
  <c r="AB771" i="2"/>
  <c r="AC770" i="2"/>
  <c r="O770" i="2"/>
  <c r="AB770" i="2"/>
  <c r="AC769" i="2"/>
  <c r="O769" i="2"/>
  <c r="AB769" i="2"/>
  <c r="O768" i="2"/>
  <c r="AB768" i="2"/>
  <c r="AC768" i="2"/>
  <c r="AB767" i="2"/>
  <c r="O767" i="2"/>
  <c r="AC767" i="2"/>
  <c r="O766" i="2"/>
  <c r="AB766" i="2"/>
  <c r="AC766" i="2"/>
  <c r="AC765" i="2"/>
  <c r="O765" i="2"/>
  <c r="AB765" i="2"/>
  <c r="AC764" i="2"/>
  <c r="O764" i="2"/>
  <c r="AB764" i="2"/>
  <c r="AC763" i="2"/>
  <c r="O763" i="2"/>
  <c r="AB763" i="2"/>
  <c r="AC762" i="2"/>
  <c r="O762" i="2"/>
  <c r="AB762" i="2"/>
  <c r="AC761" i="2"/>
  <c r="AB761" i="2"/>
  <c r="O761" i="2"/>
  <c r="AC760" i="2"/>
  <c r="O760" i="2"/>
  <c r="AB760" i="2"/>
  <c r="AC759" i="2"/>
  <c r="O759" i="2"/>
  <c r="AB759" i="2"/>
  <c r="AC758" i="2"/>
  <c r="AB758" i="2"/>
  <c r="O758" i="2"/>
  <c r="AB757" i="2"/>
  <c r="AC757" i="2"/>
  <c r="O757" i="2"/>
  <c r="AC756" i="2"/>
  <c r="O756" i="2"/>
  <c r="AB756" i="2"/>
  <c r="O755" i="2"/>
  <c r="AB755" i="2"/>
  <c r="AC755" i="2"/>
  <c r="O754" i="2"/>
  <c r="AC754" i="2"/>
  <c r="AB754" i="2"/>
  <c r="AC753" i="2"/>
  <c r="AB753" i="2"/>
  <c r="O753" i="2"/>
  <c r="AC752" i="2"/>
  <c r="AB752" i="2"/>
  <c r="O752" i="2"/>
  <c r="AB751" i="2"/>
  <c r="AC751" i="2"/>
  <c r="O751" i="2"/>
  <c r="AB750" i="2"/>
  <c r="AC750" i="2"/>
  <c r="O750" i="2"/>
  <c r="AB749" i="2"/>
  <c r="AC749" i="2"/>
  <c r="O749" i="2"/>
  <c r="AB748" i="2"/>
  <c r="AC748" i="2"/>
  <c r="O748" i="2"/>
  <c r="AB747" i="2"/>
  <c r="AC747" i="2"/>
  <c r="O747" i="2"/>
  <c r="AB746" i="2"/>
  <c r="AC746" i="2"/>
  <c r="O746" i="2"/>
  <c r="O745" i="2"/>
  <c r="AC745" i="2"/>
  <c r="AB745" i="2"/>
  <c r="O744" i="2"/>
  <c r="AC744" i="2"/>
  <c r="AB744" i="2"/>
  <c r="O743" i="2"/>
  <c r="AB743" i="2"/>
  <c r="AC743" i="2"/>
  <c r="AC742" i="2"/>
  <c r="O742" i="2"/>
  <c r="AB742" i="2"/>
  <c r="O741" i="2"/>
  <c r="AC741" i="2"/>
  <c r="AB741" i="2"/>
  <c r="O740" i="2"/>
  <c r="AC740" i="2"/>
  <c r="AB740" i="2"/>
  <c r="O739" i="2"/>
  <c r="AC739" i="2"/>
  <c r="AB739" i="2"/>
  <c r="O738" i="2"/>
  <c r="AB738" i="2"/>
  <c r="AC738" i="2"/>
  <c r="O737" i="2"/>
  <c r="AC737" i="2"/>
  <c r="AB737" i="2"/>
  <c r="O736" i="2"/>
  <c r="AB736" i="2"/>
  <c r="AC736" i="2"/>
  <c r="AC735" i="2"/>
  <c r="AB735" i="2"/>
  <c r="O735" i="2"/>
  <c r="AB734" i="2"/>
  <c r="AC734" i="2"/>
  <c r="O734" i="2"/>
  <c r="AB733" i="2"/>
  <c r="AC733" i="2"/>
  <c r="O733" i="2"/>
  <c r="AC732" i="2"/>
  <c r="AB732" i="2"/>
  <c r="O732" i="2"/>
  <c r="AB731" i="2"/>
  <c r="AC731" i="2"/>
  <c r="O731" i="2"/>
  <c r="AC730" i="2"/>
  <c r="AB730" i="2"/>
  <c r="O730" i="2"/>
  <c r="AC729" i="2"/>
  <c r="AB729" i="2"/>
  <c r="O729" i="2"/>
  <c r="AC728" i="2"/>
  <c r="AB728" i="2"/>
  <c r="O728" i="2"/>
  <c r="AB727" i="2"/>
  <c r="AC727" i="2"/>
  <c r="O727" i="2"/>
  <c r="AC726" i="2"/>
  <c r="AB726" i="2"/>
  <c r="O726" i="2"/>
  <c r="AC725" i="2"/>
  <c r="AB725" i="2"/>
  <c r="O725" i="2"/>
  <c r="AC724" i="2"/>
  <c r="AB724" i="2"/>
  <c r="O724" i="2"/>
  <c r="AC723" i="2"/>
  <c r="AB723" i="2"/>
  <c r="O723" i="2"/>
  <c r="AC722" i="2"/>
  <c r="AB722" i="2"/>
  <c r="O722" i="2"/>
  <c r="AB721" i="2"/>
  <c r="AC721" i="2"/>
  <c r="O721" i="2"/>
  <c r="AC720" i="2"/>
  <c r="AB720" i="2"/>
  <c r="O720" i="2"/>
  <c r="AC719" i="2"/>
  <c r="AB719" i="2"/>
  <c r="O719" i="2"/>
  <c r="AB718" i="2"/>
  <c r="AC718" i="2"/>
  <c r="O718" i="2"/>
  <c r="AB717" i="2"/>
  <c r="O717" i="2"/>
  <c r="AC717" i="2"/>
  <c r="O716" i="2"/>
  <c r="AB716" i="2"/>
  <c r="AC716" i="2"/>
  <c r="AC715" i="2"/>
  <c r="AB715" i="2"/>
  <c r="O715" i="2"/>
  <c r="AC714" i="2"/>
  <c r="AB714" i="2"/>
  <c r="O714" i="2"/>
  <c r="AB713" i="2"/>
  <c r="AC713" i="2"/>
  <c r="O713" i="2"/>
  <c r="AC712" i="2"/>
  <c r="AB712" i="2"/>
  <c r="O712" i="2"/>
  <c r="AC711" i="2"/>
  <c r="O711" i="2"/>
  <c r="AB711" i="2"/>
  <c r="AC710" i="2"/>
  <c r="AB710" i="2"/>
  <c r="O710" i="2"/>
  <c r="AC709" i="2"/>
  <c r="AB709" i="2"/>
  <c r="O709" i="2"/>
  <c r="AC708" i="2"/>
  <c r="AB708" i="2"/>
  <c r="O708" i="2"/>
  <c r="AB707" i="2"/>
  <c r="AC707" i="2"/>
  <c r="O707" i="2"/>
  <c r="AC706" i="2"/>
  <c r="AB706" i="2"/>
  <c r="O706" i="2"/>
  <c r="AC705" i="2"/>
  <c r="AB705" i="2"/>
  <c r="O705" i="2"/>
  <c r="AC704" i="2"/>
  <c r="AB704" i="2"/>
  <c r="O704" i="2"/>
  <c r="AC703" i="2"/>
  <c r="AB703" i="2"/>
  <c r="O703" i="2"/>
  <c r="AC702" i="2"/>
  <c r="AB702" i="2"/>
  <c r="O702" i="2"/>
  <c r="AC701" i="2"/>
  <c r="AB701" i="2"/>
  <c r="O701" i="2"/>
  <c r="AC700" i="2"/>
  <c r="O700" i="2"/>
  <c r="AB700" i="2"/>
  <c r="AB699" i="2"/>
  <c r="AC699" i="2"/>
  <c r="O699" i="2"/>
  <c r="O698" i="2"/>
  <c r="AB698" i="2"/>
  <c r="AC698" i="2"/>
  <c r="O697" i="2"/>
  <c r="AB697" i="2"/>
  <c r="AC697" i="2"/>
  <c r="O696" i="2"/>
  <c r="AB696" i="2"/>
  <c r="AC696" i="2"/>
  <c r="AC695" i="2"/>
  <c r="AB695" i="2"/>
  <c r="O695" i="2"/>
  <c r="AC694" i="2"/>
  <c r="AB694" i="2"/>
  <c r="O694" i="2"/>
  <c r="AC693" i="2"/>
  <c r="AB693" i="2"/>
  <c r="O693" i="2"/>
  <c r="AC692" i="2"/>
  <c r="AB692" i="2"/>
  <c r="O692" i="2"/>
  <c r="O691" i="2"/>
  <c r="AC691" i="2"/>
  <c r="AB691" i="2"/>
  <c r="O690" i="2"/>
  <c r="AC690" i="2"/>
  <c r="AB690" i="2"/>
  <c r="O689" i="2"/>
  <c r="AB689" i="2"/>
  <c r="AC689" i="2"/>
  <c r="O688" i="2"/>
  <c r="AB688" i="2"/>
  <c r="AC688" i="2"/>
  <c r="O687" i="2"/>
  <c r="AB687" i="2"/>
  <c r="AC687" i="2"/>
  <c r="O686" i="2"/>
  <c r="AB686" i="2"/>
  <c r="AC686" i="2"/>
  <c r="O685" i="2"/>
  <c r="AC685" i="2"/>
  <c r="AB685" i="2"/>
  <c r="AC684" i="2"/>
  <c r="O684" i="2"/>
  <c r="AB684" i="2"/>
  <c r="AB683" i="2"/>
  <c r="AC683" i="2"/>
  <c r="O683" i="2"/>
  <c r="O682" i="2"/>
  <c r="AC682" i="2"/>
  <c r="AB682" i="2"/>
  <c r="AC681" i="2"/>
  <c r="O681" i="2"/>
  <c r="AB681" i="2"/>
  <c r="O680" i="2"/>
  <c r="AB680" i="2"/>
  <c r="AC680" i="2"/>
  <c r="O679" i="2"/>
  <c r="AC679" i="2"/>
  <c r="AB679" i="2"/>
  <c r="AC678" i="2"/>
  <c r="AB678" i="2"/>
  <c r="O678" i="2"/>
  <c r="AB677" i="2"/>
  <c r="AC677" i="2"/>
  <c r="O677" i="2"/>
  <c r="O676" i="2"/>
  <c r="AB676" i="2"/>
  <c r="AC676" i="2"/>
  <c r="AB675" i="2"/>
  <c r="AC675" i="2"/>
  <c r="O675" i="2"/>
  <c r="AC674" i="2"/>
  <c r="AB674" i="2"/>
  <c r="O674" i="2"/>
  <c r="AC673" i="2"/>
  <c r="AB673" i="2"/>
  <c r="O673" i="2"/>
  <c r="AB672" i="2"/>
  <c r="O672" i="2"/>
  <c r="AC672" i="2"/>
  <c r="AC671" i="2"/>
  <c r="AB671" i="2"/>
  <c r="O671" i="2"/>
  <c r="AB670" i="2"/>
  <c r="AC670" i="2"/>
  <c r="O670" i="2"/>
  <c r="AC669" i="2"/>
  <c r="AB669" i="2"/>
  <c r="O669" i="2"/>
  <c r="AC668" i="2"/>
  <c r="O668" i="2"/>
  <c r="AB668" i="2"/>
  <c r="AC667" i="2"/>
  <c r="AB667" i="2"/>
  <c r="O667" i="2"/>
  <c r="AC666" i="2"/>
  <c r="AB666" i="2"/>
  <c r="O666" i="2"/>
  <c r="AC665" i="2"/>
  <c r="AB665" i="2"/>
  <c r="O665" i="2"/>
  <c r="AC664" i="2"/>
  <c r="O664" i="2"/>
  <c r="AB664" i="2"/>
  <c r="AB663" i="2"/>
  <c r="O663" i="2"/>
  <c r="AC663" i="2"/>
  <c r="AB662" i="2"/>
  <c r="O662" i="2"/>
  <c r="AC662" i="2"/>
  <c r="AB661" i="2"/>
  <c r="O661" i="2"/>
  <c r="AC661" i="2"/>
  <c r="AC660" i="2"/>
  <c r="AB660" i="2"/>
  <c r="O660" i="2"/>
  <c r="AB659" i="2"/>
  <c r="O659" i="2"/>
  <c r="AC659" i="2"/>
  <c r="AC658" i="2"/>
  <c r="AB658" i="2"/>
  <c r="O658" i="2"/>
  <c r="O657" i="2"/>
  <c r="AC657" i="2"/>
  <c r="AB657" i="2"/>
  <c r="O656" i="2"/>
  <c r="AB656" i="2"/>
  <c r="AC656" i="2"/>
  <c r="AB655" i="2"/>
  <c r="AC655" i="2"/>
  <c r="O655" i="2"/>
  <c r="AC654" i="2"/>
  <c r="AB654" i="2"/>
  <c r="O654" i="2"/>
  <c r="AC653" i="2"/>
  <c r="O653" i="2"/>
  <c r="AB653" i="2"/>
  <c r="AC652" i="2"/>
  <c r="O652" i="2"/>
  <c r="AB652" i="2"/>
  <c r="AB651" i="2"/>
  <c r="O651" i="2"/>
  <c r="AC651" i="2"/>
  <c r="O650" i="2"/>
  <c r="AC650" i="2"/>
  <c r="AB650" i="2"/>
  <c r="AC649" i="2"/>
  <c r="AB649" i="2"/>
  <c r="O649" i="2"/>
  <c r="AC648" i="2"/>
  <c r="AB648" i="2"/>
  <c r="O648" i="2"/>
  <c r="AC647" i="2"/>
  <c r="AB647" i="2"/>
  <c r="O647" i="2"/>
  <c r="AC646" i="2"/>
  <c r="AB646" i="2"/>
  <c r="O646" i="2"/>
  <c r="AC645" i="2"/>
  <c r="AB645" i="2"/>
  <c r="O645" i="2"/>
  <c r="AC644" i="2"/>
  <c r="AB644" i="2"/>
  <c r="O644" i="2"/>
  <c r="AC643" i="2"/>
  <c r="AB643" i="2"/>
  <c r="O643" i="2"/>
  <c r="AC642" i="2"/>
  <c r="AB642" i="2"/>
  <c r="O642" i="2"/>
  <c r="AC641" i="2"/>
  <c r="O641" i="2"/>
  <c r="AB641" i="2"/>
  <c r="AC640" i="2"/>
  <c r="AB640" i="2"/>
  <c r="O640" i="2"/>
  <c r="AC639" i="2"/>
  <c r="AB639" i="2"/>
  <c r="O639" i="2"/>
  <c r="AC638" i="2"/>
  <c r="AB638" i="2"/>
  <c r="O638" i="2"/>
  <c r="AB637" i="2"/>
  <c r="AC637" i="2"/>
  <c r="O637" i="2"/>
  <c r="AC636" i="2"/>
  <c r="AB636" i="2"/>
  <c r="O636" i="2"/>
  <c r="AC635" i="2"/>
  <c r="AB635" i="2"/>
  <c r="O635" i="2"/>
  <c r="AC634" i="2"/>
  <c r="AB634" i="2"/>
  <c r="O634" i="2"/>
  <c r="AC633" i="2"/>
  <c r="AB633" i="2"/>
  <c r="O633" i="2"/>
  <c r="AC632" i="2"/>
  <c r="AB632" i="2"/>
  <c r="O632" i="2"/>
  <c r="AC631" i="2"/>
  <c r="O631" i="2"/>
  <c r="AB631" i="2"/>
  <c r="AC630" i="2"/>
  <c r="O630" i="2"/>
  <c r="AB630" i="2"/>
  <c r="AC629" i="2"/>
  <c r="O629" i="2"/>
  <c r="AB629" i="2"/>
  <c r="AC628" i="2"/>
  <c r="O628" i="2"/>
  <c r="AB628" i="2"/>
  <c r="AC627" i="2"/>
  <c r="O627" i="2"/>
  <c r="AB627" i="2"/>
  <c r="AC626" i="2"/>
  <c r="O626" i="2"/>
  <c r="AB626" i="2"/>
  <c r="AC625" i="2"/>
  <c r="O625" i="2"/>
  <c r="AB625" i="2"/>
  <c r="O624" i="2"/>
  <c r="AC624" i="2"/>
  <c r="AB624" i="2"/>
  <c r="O623" i="2"/>
  <c r="AC623" i="2"/>
  <c r="AB623" i="2"/>
  <c r="O622" i="2"/>
  <c r="AC622" i="2"/>
  <c r="AB622" i="2"/>
  <c r="O621" i="2"/>
  <c r="AC621" i="2"/>
  <c r="AB621" i="2"/>
  <c r="O620" i="2"/>
  <c r="AC620" i="2"/>
  <c r="AB620" i="2"/>
  <c r="AB619" i="2"/>
  <c r="O619" i="2"/>
  <c r="AC619" i="2"/>
  <c r="AC618" i="2"/>
  <c r="O618" i="2"/>
  <c r="AB618" i="2"/>
  <c r="AC617" i="2"/>
  <c r="O617" i="2"/>
  <c r="AB617" i="2"/>
  <c r="AC616" i="2"/>
  <c r="O616" i="2"/>
  <c r="AB616" i="2"/>
  <c r="AC615" i="2"/>
  <c r="O615" i="2"/>
  <c r="AB615" i="2"/>
  <c r="AC614" i="2"/>
  <c r="O614" i="2"/>
  <c r="AB614" i="2"/>
  <c r="AC613" i="2"/>
  <c r="O613" i="2"/>
  <c r="AB613" i="2"/>
  <c r="AC612" i="2"/>
  <c r="O612" i="2"/>
  <c r="AB612" i="2"/>
  <c r="AC611" i="2"/>
  <c r="O611" i="2"/>
  <c r="AB611" i="2"/>
  <c r="O610" i="2"/>
  <c r="AB610" i="2"/>
  <c r="AC610" i="2"/>
  <c r="O609" i="2"/>
  <c r="AB609" i="2"/>
  <c r="AC609" i="2"/>
  <c r="AC608" i="2"/>
  <c r="O608" i="2"/>
  <c r="AB608" i="2"/>
  <c r="O607" i="2"/>
  <c r="AB607" i="2"/>
  <c r="AC607" i="2"/>
  <c r="O606" i="2"/>
  <c r="AB606" i="2"/>
  <c r="AC606" i="2"/>
  <c r="O605" i="2"/>
  <c r="AB605" i="2"/>
  <c r="AC605" i="2"/>
  <c r="AB604" i="2"/>
  <c r="O604" i="2"/>
  <c r="AC604" i="2"/>
  <c r="AB603" i="2"/>
  <c r="AC603" i="2"/>
  <c r="O603" i="2"/>
  <c r="AC602" i="2"/>
  <c r="O602" i="2"/>
  <c r="AB602" i="2"/>
  <c r="AC601" i="2"/>
  <c r="AB601" i="2"/>
  <c r="O601" i="2"/>
  <c r="O600" i="2"/>
  <c r="AB600" i="2"/>
  <c r="AC600" i="2"/>
  <c r="O599" i="2"/>
  <c r="AB599" i="2"/>
  <c r="AC599" i="2"/>
  <c r="O598" i="2"/>
  <c r="AB598" i="2"/>
  <c r="AC598" i="2"/>
  <c r="O597" i="2"/>
  <c r="AC597" i="2"/>
  <c r="AB597" i="2"/>
  <c r="AB596" i="2"/>
  <c r="O596" i="2"/>
  <c r="AC596" i="2"/>
  <c r="O595" i="2"/>
  <c r="AB595" i="2"/>
  <c r="AC595" i="2"/>
  <c r="AB594" i="2"/>
  <c r="O594" i="2"/>
  <c r="AC594" i="2"/>
  <c r="O593" i="2"/>
  <c r="AC593" i="2"/>
  <c r="AB593" i="2"/>
  <c r="AB592" i="2"/>
  <c r="AC592" i="2"/>
  <c r="O592" i="2"/>
  <c r="AB591" i="2"/>
  <c r="O591" i="2"/>
  <c r="AC591" i="2"/>
  <c r="O590" i="2"/>
  <c r="AC590" i="2"/>
  <c r="AB590" i="2"/>
  <c r="AC589" i="2"/>
  <c r="O589" i="2"/>
  <c r="AB589" i="2"/>
  <c r="O588" i="2"/>
  <c r="AB588" i="2"/>
  <c r="AC588" i="2"/>
  <c r="AB587" i="2"/>
  <c r="O587" i="2"/>
  <c r="AC587" i="2"/>
  <c r="AB586" i="2"/>
  <c r="AC586" i="2"/>
  <c r="O586" i="2"/>
  <c r="O585" i="2"/>
  <c r="AC585" i="2"/>
  <c r="AB585" i="2"/>
  <c r="AC584" i="2"/>
  <c r="AB584" i="2"/>
  <c r="O584" i="2"/>
  <c r="AC583" i="2"/>
  <c r="AB583" i="2"/>
  <c r="O583" i="2"/>
  <c r="AC582" i="2"/>
  <c r="AB582" i="2"/>
  <c r="O582" i="2"/>
  <c r="AC581" i="2"/>
  <c r="AB581" i="2"/>
  <c r="O581" i="2"/>
  <c r="AB580" i="2"/>
  <c r="AC580" i="2"/>
  <c r="O580" i="2"/>
  <c r="AC579" i="2"/>
  <c r="AB579" i="2"/>
  <c r="O579" i="2"/>
  <c r="AB578" i="2"/>
  <c r="O578" i="2"/>
  <c r="AC578" i="2"/>
  <c r="AC577" i="2"/>
  <c r="O577" i="2"/>
  <c r="AB577" i="2"/>
  <c r="AC576" i="2"/>
  <c r="O576" i="2"/>
  <c r="AB576" i="2"/>
  <c r="AC575" i="2"/>
  <c r="O575" i="2"/>
  <c r="AB575" i="2"/>
  <c r="O574" i="2"/>
  <c r="AB574" i="2"/>
  <c r="AC574" i="2"/>
  <c r="AC573" i="2"/>
  <c r="O573" i="2"/>
  <c r="AB573" i="2"/>
  <c r="O572" i="2"/>
  <c r="AC572" i="2"/>
  <c r="AB572" i="2"/>
  <c r="AB571" i="2"/>
  <c r="O571" i="2"/>
  <c r="AC571" i="2"/>
  <c r="AC570" i="2"/>
  <c r="AB570" i="2"/>
  <c r="O570" i="2"/>
  <c r="AC569" i="2"/>
  <c r="AB569" i="2"/>
  <c r="O569" i="2"/>
  <c r="AC568" i="2"/>
  <c r="AB568" i="2"/>
  <c r="O568" i="2"/>
  <c r="AC567" i="2"/>
  <c r="AB567" i="2"/>
  <c r="O567" i="2"/>
  <c r="AB566" i="2"/>
  <c r="AC566" i="2"/>
  <c r="O566" i="2"/>
  <c r="AB565" i="2"/>
  <c r="AC565" i="2"/>
  <c r="O565" i="2"/>
  <c r="AC564" i="2"/>
  <c r="O564" i="2"/>
  <c r="AB564" i="2"/>
  <c r="AC563" i="2"/>
  <c r="AB563" i="2"/>
  <c r="O563" i="2"/>
  <c r="AB562" i="2"/>
  <c r="AC562" i="2"/>
  <c r="O562" i="2"/>
  <c r="O561" i="2"/>
  <c r="AB561" i="2"/>
  <c r="AC561" i="2"/>
  <c r="AB560" i="2"/>
  <c r="AC560" i="2"/>
  <c r="O560" i="2"/>
  <c r="AB559" i="2"/>
  <c r="AC559" i="2"/>
  <c r="O559" i="2"/>
  <c r="AB558" i="2"/>
  <c r="O558" i="2"/>
  <c r="AC558" i="2"/>
  <c r="AB557" i="2"/>
  <c r="O557" i="2"/>
  <c r="AC557" i="2"/>
  <c r="AB556" i="2"/>
  <c r="O556" i="2"/>
  <c r="AC556" i="2"/>
  <c r="AB555" i="2"/>
  <c r="AC555" i="2"/>
  <c r="O555" i="2"/>
  <c r="AB554" i="2"/>
  <c r="AC554" i="2"/>
  <c r="O554" i="2"/>
  <c r="O553" i="2"/>
  <c r="AC553" i="2"/>
  <c r="AB553" i="2"/>
  <c r="O552" i="2"/>
  <c r="AC552" i="2"/>
  <c r="AB552" i="2"/>
  <c r="O551" i="2"/>
  <c r="AC551" i="2"/>
  <c r="AB551" i="2"/>
  <c r="O550" i="2"/>
  <c r="AB550" i="2"/>
  <c r="AC550" i="2"/>
  <c r="AC549" i="2"/>
  <c r="AB549" i="2"/>
  <c r="O549" i="2"/>
  <c r="AC548" i="2"/>
  <c r="O548" i="2"/>
  <c r="AB548" i="2"/>
  <c r="O547" i="2"/>
  <c r="AC547" i="2"/>
  <c r="AB547" i="2"/>
  <c r="AC546" i="2"/>
  <c r="O546" i="2"/>
  <c r="AB546" i="2"/>
  <c r="AC545" i="2"/>
  <c r="O545" i="2"/>
  <c r="AB545" i="2"/>
  <c r="O544" i="2"/>
  <c r="AB544" i="2"/>
  <c r="AC544" i="2"/>
  <c r="AB543" i="2"/>
  <c r="O543" i="2"/>
  <c r="AC543" i="2"/>
  <c r="AB542" i="2"/>
  <c r="O542" i="2"/>
  <c r="AC542" i="2"/>
  <c r="AB541" i="2"/>
  <c r="O541" i="2"/>
  <c r="AC541" i="2"/>
  <c r="AB540" i="2"/>
  <c r="AC540" i="2"/>
  <c r="O540" i="2"/>
  <c r="AC539" i="2"/>
  <c r="AB539" i="2"/>
  <c r="O539" i="2"/>
  <c r="AC538" i="2"/>
  <c r="AB538" i="2"/>
  <c r="O538" i="2"/>
  <c r="AC537" i="2"/>
  <c r="AB537" i="2"/>
  <c r="O537" i="2"/>
  <c r="AC536" i="2"/>
  <c r="AB536" i="2"/>
  <c r="O536" i="2"/>
  <c r="AC535" i="2"/>
  <c r="AB535" i="2"/>
  <c r="O535" i="2"/>
  <c r="AC534" i="2"/>
  <c r="AB534" i="2"/>
  <c r="O534" i="2"/>
  <c r="O533" i="2"/>
  <c r="AC533" i="2"/>
  <c r="AB533" i="2"/>
  <c r="O532" i="2"/>
  <c r="AB532" i="2"/>
  <c r="AC532" i="2"/>
  <c r="AB531" i="2"/>
  <c r="O531" i="2"/>
  <c r="AC531" i="2"/>
  <c r="AB530" i="2"/>
  <c r="O530" i="2"/>
  <c r="AC530" i="2"/>
  <c r="AC529" i="2"/>
  <c r="O529" i="2"/>
  <c r="AB529" i="2"/>
  <c r="O528" i="2"/>
  <c r="AC528" i="2"/>
  <c r="AB528" i="2"/>
  <c r="O527" i="2"/>
  <c r="AC527" i="2"/>
  <c r="AB527" i="2"/>
  <c r="AB526" i="2"/>
  <c r="AC526" i="2"/>
  <c r="O526" i="2"/>
  <c r="AB525" i="2"/>
  <c r="AC525" i="2"/>
  <c r="O525" i="2"/>
  <c r="O524" i="2"/>
  <c r="AB524" i="2"/>
  <c r="AC524" i="2"/>
  <c r="O523" i="2"/>
  <c r="AB523" i="2"/>
  <c r="AC523" i="2"/>
  <c r="AB522" i="2"/>
  <c r="O522" i="2"/>
  <c r="AC522" i="2"/>
  <c r="AB521" i="2"/>
  <c r="O521" i="2"/>
  <c r="AC521" i="2"/>
  <c r="O520" i="2"/>
  <c r="AC520" i="2"/>
  <c r="AB520" i="2"/>
  <c r="O519" i="2"/>
  <c r="AC519" i="2"/>
  <c r="AC518" i="2"/>
  <c r="O518" i="2"/>
  <c r="O517" i="2"/>
  <c r="AC517" i="2"/>
  <c r="O516" i="2"/>
  <c r="AC516" i="2"/>
  <c r="O515" i="2"/>
  <c r="AC515" i="2"/>
  <c r="O514" i="2"/>
  <c r="AC514" i="2"/>
  <c r="AC513" i="2"/>
  <c r="O513" i="2"/>
  <c r="O512" i="2"/>
  <c r="AC512" i="2"/>
  <c r="AC511" i="2"/>
  <c r="O511" i="2"/>
  <c r="O510" i="2"/>
  <c r="AC510" i="2"/>
  <c r="AC509" i="2"/>
  <c r="O509" i="2"/>
  <c r="AC508" i="2"/>
  <c r="O508" i="2"/>
  <c r="AC507" i="2"/>
  <c r="O507" i="2"/>
  <c r="AC506" i="2"/>
  <c r="O506" i="2"/>
  <c r="AC505" i="2"/>
  <c r="O505" i="2"/>
  <c r="AC504" i="2"/>
  <c r="O504" i="2"/>
  <c r="AC503" i="2"/>
  <c r="O503" i="2"/>
  <c r="AC502" i="2"/>
  <c r="O502" i="2"/>
  <c r="O501" i="2"/>
  <c r="AC501" i="2"/>
  <c r="AC500" i="2"/>
  <c r="O500" i="2"/>
  <c r="AC499" i="2"/>
  <c r="O499" i="2"/>
  <c r="AC498" i="2"/>
  <c r="O498" i="2"/>
  <c r="O497" i="2"/>
  <c r="AC497" i="2"/>
  <c r="AC496" i="2"/>
  <c r="O496" i="2"/>
  <c r="O495" i="2"/>
  <c r="AC495" i="2"/>
  <c r="O494" i="2"/>
  <c r="AC494" i="2"/>
  <c r="O493" i="2"/>
  <c r="AC493" i="2"/>
  <c r="O492" i="2"/>
  <c r="AC492" i="2"/>
  <c r="O491" i="2"/>
  <c r="AC491" i="2"/>
  <c r="O490" i="2"/>
  <c r="AC490" i="2"/>
  <c r="O489" i="2"/>
  <c r="AC489" i="2"/>
  <c r="O488" i="2"/>
  <c r="AC488" i="2"/>
  <c r="O487" i="2"/>
  <c r="AC487" i="2"/>
  <c r="O486" i="2"/>
  <c r="AC486" i="2"/>
  <c r="AC485" i="2"/>
  <c r="O485" i="2"/>
  <c r="O484" i="2"/>
  <c r="AC484" i="2"/>
  <c r="O483" i="2"/>
  <c r="AC483" i="2"/>
  <c r="AC482" i="2"/>
  <c r="O482" i="2"/>
  <c r="O481" i="2"/>
  <c r="AC481" i="2"/>
  <c r="AC480" i="2"/>
  <c r="O480" i="2"/>
  <c r="AC479" i="2"/>
  <c r="O479" i="2"/>
  <c r="AC478" i="2"/>
  <c r="O478" i="2"/>
  <c r="AC477" i="2"/>
  <c r="O477" i="2"/>
  <c r="AC476" i="2"/>
  <c r="O476" i="2"/>
  <c r="AC475" i="2"/>
  <c r="O475" i="2"/>
  <c r="AC474" i="2"/>
  <c r="O474" i="2"/>
  <c r="AC473" i="2"/>
  <c r="O473" i="2"/>
  <c r="AC472" i="2"/>
  <c r="O472" i="2"/>
  <c r="AC471" i="2"/>
  <c r="O471" i="2"/>
  <c r="AC470" i="2"/>
  <c r="O470" i="2"/>
  <c r="AC469" i="2"/>
  <c r="O469" i="2"/>
  <c r="AC468" i="2"/>
  <c r="O468" i="2"/>
  <c r="AC467" i="2"/>
  <c r="O467" i="2"/>
  <c r="AC466" i="2"/>
  <c r="O466" i="2"/>
  <c r="AC465" i="2"/>
  <c r="O465" i="2"/>
  <c r="AC464" i="2"/>
  <c r="O464" i="2"/>
  <c r="AC463" i="2"/>
  <c r="O463" i="2"/>
  <c r="AC462" i="2"/>
  <c r="O462" i="2"/>
  <c r="O461" i="2"/>
  <c r="AC461" i="2"/>
  <c r="AB446" i="2"/>
  <c r="O446" i="2"/>
  <c r="AC446" i="2"/>
  <c r="AC445" i="2"/>
  <c r="O445" i="2"/>
  <c r="AB445" i="2"/>
  <c r="AB444" i="2"/>
  <c r="O444" i="2"/>
  <c r="AC444" i="2"/>
  <c r="O443" i="2"/>
  <c r="AC443" i="2"/>
  <c r="AB443" i="2"/>
  <c r="AB442" i="2"/>
  <c r="O442" i="2"/>
  <c r="AC442" i="2"/>
  <c r="AB441" i="2"/>
  <c r="O441" i="2"/>
  <c r="AC441" i="2"/>
  <c r="AB440" i="2"/>
  <c r="O440" i="2"/>
  <c r="AC440" i="2"/>
  <c r="O439" i="2"/>
  <c r="AC439" i="2"/>
  <c r="AB439" i="2"/>
  <c r="AB438" i="2"/>
  <c r="O438" i="2"/>
  <c r="AC438" i="2"/>
  <c r="AC437" i="2"/>
  <c r="O437" i="2"/>
  <c r="AB437" i="2"/>
  <c r="AC436" i="2"/>
  <c r="AB436" i="2"/>
  <c r="O436" i="2"/>
  <c r="O435" i="2"/>
  <c r="AC435" i="2"/>
  <c r="AB435" i="2"/>
  <c r="O434" i="2"/>
  <c r="AB434" i="2"/>
  <c r="AC434" i="2"/>
  <c r="AB433" i="2"/>
  <c r="O433" i="2"/>
  <c r="AC433" i="2"/>
  <c r="O432" i="2"/>
  <c r="AB432" i="2"/>
  <c r="AC432" i="2"/>
  <c r="O431" i="2"/>
  <c r="AB431" i="2"/>
  <c r="AC431" i="2"/>
  <c r="O430" i="2"/>
  <c r="AB430" i="2"/>
  <c r="AC430" i="2"/>
  <c r="AB429" i="2"/>
  <c r="AC429" i="2"/>
  <c r="O429" i="2"/>
  <c r="O428" i="2"/>
  <c r="AC428" i="2"/>
  <c r="AB428" i="2"/>
  <c r="AC427" i="2"/>
  <c r="AB427" i="2"/>
  <c r="O427" i="2"/>
  <c r="O426" i="2"/>
  <c r="AC426" i="2"/>
  <c r="AB426" i="2"/>
  <c r="AB425" i="2"/>
  <c r="AC425" i="2"/>
  <c r="O425" i="2"/>
  <c r="AC424" i="2"/>
  <c r="AB424" i="2"/>
  <c r="O424" i="2"/>
  <c r="AC423" i="2"/>
  <c r="AB423" i="2"/>
  <c r="O423" i="2"/>
  <c r="AB422" i="2"/>
  <c r="O422" i="2"/>
  <c r="AC422" i="2"/>
  <c r="AB421" i="2"/>
  <c r="AC421" i="2"/>
  <c r="O421" i="2"/>
  <c r="O420" i="2"/>
  <c r="AB420" i="2"/>
  <c r="AC420" i="2"/>
  <c r="AB419" i="2"/>
  <c r="AC419" i="2"/>
  <c r="O419" i="2"/>
  <c r="AC418" i="2"/>
  <c r="O418" i="2"/>
  <c r="AB418" i="2"/>
  <c r="O417" i="2"/>
  <c r="AB417" i="2"/>
  <c r="AC417" i="2"/>
  <c r="AB416" i="2"/>
  <c r="O416" i="2"/>
  <c r="AC416" i="2"/>
  <c r="AB415" i="2"/>
  <c r="AC415" i="2"/>
  <c r="O415" i="2"/>
  <c r="AB414" i="2"/>
  <c r="O414" i="2"/>
  <c r="AC414" i="2"/>
  <c r="AB413" i="2"/>
  <c r="O413" i="2"/>
  <c r="AC413" i="2"/>
  <c r="O412" i="2"/>
  <c r="AC412" i="2"/>
  <c r="AB412" i="2"/>
  <c r="AB411" i="2"/>
  <c r="O411" i="2"/>
  <c r="AC411" i="2"/>
  <c r="AB410" i="2"/>
  <c r="AC410" i="2"/>
  <c r="O410" i="2"/>
  <c r="AB409" i="2"/>
  <c r="AC409" i="2"/>
  <c r="O409" i="2"/>
  <c r="O408" i="2"/>
  <c r="AB408" i="2"/>
  <c r="AC408" i="2"/>
  <c r="AB407" i="2"/>
  <c r="AC407" i="2"/>
  <c r="O407" i="2"/>
  <c r="AB406" i="2"/>
  <c r="AC406" i="2"/>
  <c r="O406" i="2"/>
  <c r="AB405" i="2"/>
  <c r="O405" i="2"/>
  <c r="AC405" i="2"/>
  <c r="O404" i="2"/>
  <c r="AB404" i="2"/>
  <c r="AC404" i="2"/>
  <c r="O403" i="2"/>
  <c r="AB403" i="2"/>
  <c r="AC403" i="2"/>
  <c r="AC402" i="2"/>
  <c r="AB402" i="2"/>
  <c r="O402" i="2"/>
  <c r="AB401" i="2"/>
  <c r="O401" i="2"/>
  <c r="AC401" i="2"/>
  <c r="AC400" i="2"/>
  <c r="O400" i="2"/>
  <c r="AB400" i="2"/>
  <c r="AC399" i="2"/>
  <c r="AB399" i="2"/>
  <c r="O399" i="2"/>
  <c r="O398" i="2"/>
  <c r="AB398" i="2"/>
  <c r="AC398" i="2"/>
  <c r="AC397" i="2"/>
  <c r="AB397" i="2"/>
  <c r="O397" i="2"/>
  <c r="O396" i="2"/>
  <c r="AC396" i="2"/>
  <c r="AB396" i="2"/>
  <c r="AB395" i="2"/>
  <c r="O395" i="2"/>
  <c r="AC395" i="2"/>
  <c r="O394" i="2"/>
  <c r="AB394" i="2"/>
  <c r="AC394" i="2"/>
  <c r="AB393" i="2"/>
  <c r="AC393" i="2"/>
  <c r="O393" i="2"/>
  <c r="O392" i="2"/>
  <c r="AC392" i="2"/>
  <c r="AB392" i="2"/>
  <c r="AB391" i="2"/>
  <c r="O391" i="2"/>
  <c r="AC391" i="2"/>
  <c r="O390" i="2"/>
  <c r="AB390" i="2"/>
  <c r="AC390" i="2"/>
  <c r="O389" i="2"/>
  <c r="AB389" i="2"/>
  <c r="AC389" i="2"/>
  <c r="AC388" i="2"/>
  <c r="AB388" i="2"/>
  <c r="O388" i="2"/>
  <c r="O387" i="2"/>
  <c r="AB387" i="2"/>
  <c r="AC387" i="2"/>
  <c r="AB386" i="2"/>
  <c r="AC386" i="2"/>
  <c r="O386" i="2"/>
  <c r="AB385" i="2"/>
  <c r="O385" i="2"/>
  <c r="AC385" i="2"/>
  <c r="AC384" i="2"/>
  <c r="AB384" i="2"/>
  <c r="O384" i="2"/>
  <c r="AC383" i="2"/>
  <c r="AB383" i="2"/>
  <c r="O383" i="2"/>
  <c r="O382" i="2"/>
  <c r="AB382" i="2"/>
  <c r="AC382" i="2"/>
  <c r="O381" i="2"/>
  <c r="AC381" i="2"/>
  <c r="AB381" i="2"/>
  <c r="AC380" i="2"/>
  <c r="AB380" i="2"/>
  <c r="O380" i="2"/>
  <c r="O379" i="2"/>
  <c r="AB379" i="2"/>
  <c r="AC379" i="2"/>
  <c r="O378" i="2"/>
  <c r="AC378" i="2"/>
  <c r="AB378" i="2"/>
  <c r="AB377" i="2"/>
  <c r="AC377" i="2"/>
  <c r="O377" i="2"/>
  <c r="O376" i="2"/>
  <c r="AC376" i="2"/>
  <c r="AB376" i="2"/>
  <c r="AB375" i="2"/>
  <c r="O375" i="2"/>
  <c r="AC375" i="2"/>
  <c r="O374" i="2"/>
  <c r="AC374" i="2"/>
  <c r="AB374" i="2"/>
  <c r="O373" i="2"/>
  <c r="AC373" i="2"/>
  <c r="AB373" i="2"/>
  <c r="AC372" i="2"/>
  <c r="O372" i="2"/>
  <c r="AB372" i="2"/>
  <c r="AB371" i="2"/>
  <c r="AC371" i="2"/>
  <c r="O371" i="2"/>
  <c r="AB370" i="2"/>
  <c r="AC370" i="2"/>
  <c r="O370" i="2"/>
  <c r="O369" i="2"/>
  <c r="AB369" i="2"/>
  <c r="AC369" i="2"/>
  <c r="AB368" i="2"/>
  <c r="O368" i="2"/>
  <c r="AC368" i="2"/>
  <c r="O367" i="2"/>
  <c r="AB367" i="2"/>
  <c r="AC367" i="2"/>
  <c r="AC366" i="2"/>
  <c r="AB366" i="2"/>
  <c r="O366" i="2"/>
  <c r="AC365" i="2"/>
  <c r="AB365" i="2"/>
  <c r="O365" i="2"/>
  <c r="AC364" i="2"/>
  <c r="AB364" i="2"/>
  <c r="O364" i="2"/>
  <c r="AC363" i="2"/>
  <c r="O363" i="2"/>
  <c r="AB363" i="2"/>
  <c r="O362" i="2"/>
  <c r="AB362" i="2"/>
  <c r="AC362" i="2"/>
  <c r="O361" i="2"/>
  <c r="AC361" i="2"/>
  <c r="AB361" i="2"/>
  <c r="AB360" i="2"/>
  <c r="AC360" i="2"/>
  <c r="O360" i="2"/>
  <c r="AC359" i="2"/>
  <c r="AB359" i="2"/>
  <c r="O359" i="2"/>
  <c r="AB358" i="2"/>
  <c r="AC358" i="2"/>
  <c r="O358" i="2"/>
  <c r="O357" i="2"/>
  <c r="AB357" i="2"/>
  <c r="AC357" i="2"/>
  <c r="O356" i="2"/>
  <c r="AC356" i="2"/>
  <c r="AB356" i="2"/>
  <c r="AC355" i="2"/>
  <c r="AB355" i="2"/>
  <c r="O355" i="2"/>
  <c r="O354" i="2"/>
  <c r="AC354" i="2"/>
  <c r="AB354" i="2"/>
  <c r="AC353" i="2"/>
  <c r="O353" i="2"/>
  <c r="AB353" i="2"/>
  <c r="O352" i="2"/>
  <c r="AC352" i="2"/>
  <c r="AB352" i="2"/>
  <c r="O351" i="2"/>
  <c r="AC351" i="2"/>
  <c r="AB351" i="2"/>
  <c r="O350" i="2"/>
  <c r="AC350" i="2"/>
  <c r="AB350" i="2"/>
  <c r="O349" i="2"/>
  <c r="AB349" i="2"/>
  <c r="AC349" i="2"/>
  <c r="AB348" i="2"/>
  <c r="AC348" i="2"/>
  <c r="O348" i="2"/>
  <c r="O347" i="2"/>
  <c r="AC347" i="2"/>
  <c r="AB347" i="2"/>
  <c r="O346" i="2"/>
  <c r="AB346" i="2"/>
  <c r="AC346" i="2"/>
  <c r="AB345" i="2"/>
  <c r="AC345" i="2"/>
  <c r="O345" i="2"/>
  <c r="O344" i="2"/>
  <c r="AB344" i="2"/>
  <c r="AC344" i="2"/>
  <c r="O343" i="2"/>
  <c r="AB343" i="2"/>
  <c r="AC343" i="2"/>
  <c r="AB342" i="2"/>
  <c r="O342" i="2"/>
  <c r="AC342" i="2"/>
  <c r="O341" i="2"/>
  <c r="AB341" i="2"/>
  <c r="AC341" i="2"/>
  <c r="AC340" i="2"/>
  <c r="O340" i="2"/>
  <c r="AB340" i="2"/>
  <c r="AB339" i="2"/>
  <c r="AC339" i="2"/>
  <c r="O339" i="2"/>
  <c r="O338" i="2"/>
  <c r="AB338" i="2"/>
  <c r="AC338" i="2"/>
  <c r="AB337" i="2"/>
  <c r="AC337" i="2"/>
  <c r="O337" i="2"/>
  <c r="AB336" i="2"/>
  <c r="O336" i="2"/>
  <c r="AC336" i="2"/>
  <c r="AB335" i="2"/>
  <c r="O335" i="2"/>
  <c r="AC335" i="2"/>
  <c r="AB334" i="2"/>
  <c r="O334" i="2"/>
  <c r="AC334" i="2"/>
  <c r="AB333" i="2"/>
  <c r="O333" i="2"/>
  <c r="AC333" i="2"/>
  <c r="AC332" i="2"/>
  <c r="O332" i="2"/>
  <c r="AB332" i="2"/>
  <c r="AB331" i="2"/>
  <c r="AC331" i="2"/>
  <c r="O331" i="2"/>
  <c r="AB330" i="2"/>
  <c r="O330" i="2"/>
  <c r="AC330" i="2"/>
  <c r="AB329" i="2"/>
  <c r="AC329" i="2"/>
  <c r="O329" i="2"/>
  <c r="AC328" i="2"/>
  <c r="O328" i="2"/>
  <c r="AB328" i="2"/>
  <c r="AB327" i="2"/>
  <c r="AC327" i="2"/>
  <c r="O327" i="2"/>
  <c r="AC326" i="2"/>
  <c r="AB326" i="2"/>
  <c r="O326" i="2"/>
  <c r="O325" i="2"/>
  <c r="AC325" i="2"/>
  <c r="AB325" i="2"/>
  <c r="AB324" i="2"/>
  <c r="AC324" i="2"/>
  <c r="O324" i="2"/>
  <c r="O323" i="2"/>
  <c r="AC323" i="2"/>
  <c r="AB323" i="2"/>
  <c r="O322" i="2"/>
  <c r="AC322" i="2"/>
  <c r="AB322" i="2"/>
  <c r="AC321" i="2"/>
  <c r="O321" i="2"/>
  <c r="AB321" i="2"/>
  <c r="AC320" i="2"/>
  <c r="O320" i="2"/>
  <c r="AB320" i="2"/>
  <c r="AC319" i="2"/>
  <c r="O319" i="2"/>
  <c r="AB319" i="2"/>
  <c r="AC318" i="2"/>
  <c r="O318" i="2"/>
  <c r="AB318" i="2"/>
  <c r="AC317" i="2"/>
  <c r="AB317" i="2"/>
  <c r="O317" i="2"/>
  <c r="AC316" i="2"/>
  <c r="AB316" i="2"/>
  <c r="O316" i="2"/>
  <c r="AC315" i="2"/>
  <c r="AB315" i="2"/>
  <c r="O315" i="2"/>
  <c r="AC314" i="2"/>
  <c r="O314" i="2"/>
  <c r="AB314" i="2"/>
  <c r="AC313" i="2"/>
  <c r="AB313" i="2"/>
  <c r="O313" i="2"/>
  <c r="AB312" i="2"/>
  <c r="O312" i="2"/>
  <c r="AC312" i="2"/>
  <c r="O311" i="2"/>
  <c r="AC311" i="2"/>
  <c r="AB311" i="2"/>
  <c r="AB310" i="2"/>
  <c r="O310" i="2"/>
  <c r="AC310" i="2"/>
  <c r="O309" i="2"/>
  <c r="AB309" i="2"/>
  <c r="AC309" i="2"/>
  <c r="AB308" i="2"/>
  <c r="O308" i="2"/>
  <c r="AC308" i="2"/>
  <c r="AB307" i="2"/>
  <c r="O307" i="2"/>
  <c r="AC307" i="2"/>
  <c r="O306" i="2"/>
  <c r="AB306" i="2"/>
  <c r="AC306" i="2"/>
  <c r="O305" i="2"/>
  <c r="AB305" i="2"/>
  <c r="AC305" i="2"/>
  <c r="AC304" i="2"/>
  <c r="AB304" i="2"/>
  <c r="O304" i="2"/>
  <c r="AB303" i="2"/>
  <c r="O303" i="2"/>
  <c r="AC303" i="2"/>
  <c r="AB302" i="2"/>
  <c r="AC302" i="2"/>
  <c r="O302" i="2"/>
  <c r="O301" i="2"/>
  <c r="AC301" i="2"/>
  <c r="AB301" i="2"/>
  <c r="AB300" i="2"/>
  <c r="O300" i="2"/>
  <c r="AC300" i="2"/>
  <c r="O299" i="2"/>
  <c r="AC299" i="2"/>
  <c r="AB299" i="2"/>
  <c r="AB298" i="2"/>
  <c r="AC298" i="2"/>
  <c r="O298" i="2"/>
  <c r="AC297" i="2"/>
  <c r="O297" i="2"/>
  <c r="AB297" i="2"/>
  <c r="AC296" i="2"/>
  <c r="O296" i="2"/>
  <c r="AB296" i="2"/>
  <c r="O295" i="2"/>
  <c r="AB295" i="2"/>
  <c r="AC295" i="2"/>
  <c r="AC294" i="2"/>
  <c r="O294" i="2"/>
  <c r="AB294" i="2"/>
  <c r="AC293" i="2"/>
  <c r="O293" i="2"/>
  <c r="AB293" i="2"/>
  <c r="O292" i="2"/>
  <c r="AC292" i="2"/>
  <c r="AB292" i="2"/>
  <c r="AC291" i="2"/>
  <c r="O291" i="2"/>
  <c r="AB291" i="2"/>
  <c r="O290" i="2"/>
  <c r="AC290" i="2"/>
  <c r="AB290" i="2"/>
  <c r="O289" i="2"/>
  <c r="AC289" i="2"/>
  <c r="AB289" i="2"/>
  <c r="AC288" i="2"/>
  <c r="AB288" i="2"/>
  <c r="O288" i="2"/>
  <c r="AB287" i="2"/>
  <c r="AC287" i="2"/>
  <c r="O287" i="2"/>
  <c r="AB286" i="2"/>
  <c r="AC286" i="2"/>
  <c r="O286" i="2"/>
  <c r="AB285" i="2"/>
  <c r="AC285" i="2"/>
  <c r="O285" i="2"/>
  <c r="AB284" i="2"/>
  <c r="AC284" i="2"/>
  <c r="O284" i="2"/>
  <c r="AC283" i="2"/>
  <c r="AB283" i="2"/>
  <c r="O283" i="2"/>
  <c r="AC282" i="2"/>
  <c r="AB282" i="2"/>
  <c r="O282" i="2"/>
  <c r="AC281" i="2"/>
  <c r="AB281" i="2"/>
  <c r="O281" i="2"/>
  <c r="AB280" i="2"/>
  <c r="AC280" i="2"/>
  <c r="O280" i="2"/>
  <c r="AB279" i="2"/>
  <c r="O279" i="2"/>
  <c r="AC279" i="2"/>
  <c r="AC278" i="2"/>
  <c r="AB278" i="2"/>
  <c r="O278" i="2"/>
  <c r="AC277" i="2"/>
  <c r="AB277" i="2"/>
  <c r="O277" i="2"/>
  <c r="AC276" i="2"/>
  <c r="AB276" i="2"/>
  <c r="O276" i="2"/>
  <c r="AC275" i="2"/>
  <c r="AB275" i="2"/>
  <c r="O275" i="2"/>
  <c r="AB274" i="2"/>
  <c r="AC274" i="2"/>
  <c r="O274" i="2"/>
  <c r="AB273" i="2"/>
  <c r="O273" i="2"/>
  <c r="AC273" i="2"/>
  <c r="O272" i="2"/>
  <c r="AC272" i="2"/>
  <c r="AB272" i="2"/>
  <c r="AB271" i="2"/>
  <c r="AC271" i="2"/>
  <c r="O271" i="2"/>
  <c r="AC270" i="2"/>
  <c r="AB270" i="2"/>
  <c r="O270" i="2"/>
  <c r="AC269" i="2"/>
  <c r="AB269" i="2"/>
  <c r="O269" i="2"/>
  <c r="AB268" i="2"/>
  <c r="O268" i="2"/>
  <c r="AC268" i="2"/>
  <c r="O267" i="2"/>
  <c r="AC267" i="2"/>
  <c r="AB267" i="2"/>
  <c r="AB266" i="2"/>
  <c r="AC266" i="2"/>
  <c r="O266" i="2"/>
  <c r="O265" i="2"/>
  <c r="AC265" i="2"/>
  <c r="AB265" i="2"/>
  <c r="AB264" i="2"/>
  <c r="AC264" i="2"/>
  <c r="O264" i="2"/>
  <c r="O263" i="2"/>
  <c r="AC263" i="2"/>
  <c r="AB263" i="2"/>
  <c r="O262" i="2"/>
  <c r="AC262" i="2"/>
  <c r="AB262" i="2"/>
  <c r="AB261" i="2"/>
  <c r="AC261" i="2"/>
  <c r="O261" i="2"/>
  <c r="AC260" i="2"/>
  <c r="O260" i="2"/>
  <c r="AB260" i="2"/>
  <c r="AB259" i="2"/>
  <c r="AC259" i="2"/>
  <c r="O259" i="2"/>
  <c r="AB258" i="2"/>
  <c r="O258" i="2"/>
  <c r="AC258" i="2"/>
  <c r="AC257" i="2"/>
  <c r="O257" i="2"/>
  <c r="AB257" i="2"/>
  <c r="AC256" i="2"/>
  <c r="AB256" i="2"/>
  <c r="O256" i="2"/>
  <c r="AC255" i="2"/>
  <c r="O255" i="2"/>
  <c r="AB255" i="2"/>
  <c r="O254" i="2"/>
  <c r="AC254" i="2"/>
  <c r="AB254" i="2"/>
  <c r="AC253" i="2"/>
  <c r="AB253" i="2"/>
  <c r="O253" i="2"/>
  <c r="AC252" i="2"/>
  <c r="AB252" i="2"/>
  <c r="O252" i="2"/>
  <c r="AB251" i="2"/>
  <c r="AC251" i="2"/>
  <c r="O251" i="2"/>
  <c r="AB250" i="2"/>
  <c r="AC250" i="2"/>
  <c r="O250" i="2"/>
  <c r="O249" i="2"/>
  <c r="AC249" i="2"/>
  <c r="AB249" i="2"/>
  <c r="AB248" i="2"/>
  <c r="O248" i="2"/>
  <c r="AC248" i="2"/>
  <c r="AB247" i="2"/>
  <c r="O247" i="2"/>
  <c r="AC247" i="2"/>
  <c r="AC246" i="2"/>
  <c r="O246" i="2"/>
  <c r="AB246" i="2"/>
  <c r="AC245" i="2"/>
  <c r="AB245" i="2"/>
  <c r="O245" i="2"/>
  <c r="AB244" i="2"/>
  <c r="AC244" i="2"/>
  <c r="O244" i="2"/>
  <c r="AB243" i="2"/>
  <c r="AC243" i="2"/>
  <c r="O243" i="2"/>
  <c r="AB242" i="2"/>
  <c r="AC242" i="2"/>
  <c r="O242" i="2"/>
  <c r="AB241" i="2"/>
  <c r="O241" i="2"/>
  <c r="AC241" i="2"/>
  <c r="AB240" i="2"/>
  <c r="AC240" i="2"/>
  <c r="O240" i="2"/>
  <c r="AC239" i="2"/>
  <c r="AB239" i="2"/>
  <c r="O239" i="2"/>
  <c r="AC238" i="2"/>
  <c r="O238" i="2"/>
  <c r="AB238" i="2"/>
  <c r="O237" i="2"/>
  <c r="AB237" i="2"/>
  <c r="AC237" i="2"/>
  <c r="AB236" i="2"/>
  <c r="AC236" i="2"/>
  <c r="O236" i="2"/>
  <c r="O235" i="2"/>
  <c r="AC235" i="2"/>
  <c r="AB235" i="2"/>
  <c r="O234" i="2"/>
  <c r="AB234" i="2"/>
  <c r="AC234" i="2"/>
  <c r="O233" i="2"/>
  <c r="AB233" i="2"/>
  <c r="AC233" i="2"/>
  <c r="O232" i="2"/>
  <c r="AB232" i="2"/>
  <c r="AC232" i="2"/>
  <c r="O231" i="2"/>
  <c r="AC231" i="2"/>
  <c r="AB231" i="2"/>
  <c r="O230" i="2"/>
  <c r="AC230" i="2"/>
  <c r="AB230" i="2"/>
  <c r="O229" i="2"/>
  <c r="AB229" i="2"/>
  <c r="AC229" i="2"/>
  <c r="O228" i="2"/>
  <c r="AC228" i="2"/>
  <c r="AB228" i="2"/>
  <c r="AC227" i="2"/>
  <c r="O227" i="2"/>
  <c r="AB227" i="2"/>
  <c r="O226" i="2"/>
  <c r="AC226" i="2"/>
  <c r="AB226" i="2"/>
  <c r="AB225" i="2"/>
  <c r="AC225" i="2"/>
  <c r="O225" i="2"/>
  <c r="AC224" i="2"/>
  <c r="O224" i="2"/>
  <c r="AB224" i="2"/>
  <c r="AC223" i="2"/>
  <c r="AB223" i="2"/>
  <c r="O223" i="2"/>
  <c r="AC222" i="2"/>
  <c r="O222" i="2"/>
  <c r="AB222" i="2"/>
  <c r="AB221" i="2"/>
  <c r="O221" i="2"/>
  <c r="AC221" i="2"/>
  <c r="O220" i="2"/>
  <c r="AC220" i="2"/>
  <c r="AB220" i="2"/>
  <c r="AC219" i="2"/>
  <c r="O219" i="2"/>
  <c r="AB219" i="2"/>
  <c r="AC218" i="2"/>
  <c r="AB218" i="2"/>
  <c r="O218" i="2"/>
  <c r="O217" i="2"/>
  <c r="AC217" i="2"/>
  <c r="AB217" i="2"/>
  <c r="AB216" i="2"/>
  <c r="AC216" i="2"/>
  <c r="O216" i="2"/>
  <c r="O215" i="2"/>
  <c r="AC215" i="2"/>
  <c r="AB215" i="2"/>
  <c r="AC214" i="2"/>
  <c r="AB214" i="2"/>
  <c r="O214" i="2"/>
  <c r="O213" i="2"/>
  <c r="AC213" i="2"/>
  <c r="AB213" i="2"/>
  <c r="O212" i="2"/>
  <c r="AC212" i="2"/>
  <c r="AB212" i="2"/>
  <c r="AC211" i="2"/>
  <c r="O211" i="2"/>
  <c r="AB211" i="2"/>
  <c r="AC210" i="2"/>
  <c r="O210" i="2"/>
  <c r="AB210" i="2"/>
  <c r="O209" i="2"/>
  <c r="AC209" i="2"/>
  <c r="AB209" i="2"/>
  <c r="AC208" i="2"/>
  <c r="O208" i="2"/>
  <c r="AB208" i="2"/>
  <c r="AC207" i="2"/>
  <c r="AB207" i="2"/>
  <c r="O207" i="2"/>
  <c r="AC206" i="2"/>
  <c r="AB206" i="2"/>
  <c r="O206" i="2"/>
  <c r="AB205" i="2"/>
  <c r="AC205" i="2"/>
  <c r="O205" i="2"/>
  <c r="AB204" i="2"/>
  <c r="AC204" i="2"/>
  <c r="O204" i="2"/>
  <c r="AB203" i="2"/>
  <c r="AC203" i="2"/>
  <c r="O203" i="2"/>
  <c r="O202" i="2"/>
  <c r="AB202" i="2"/>
  <c r="AC202" i="2"/>
  <c r="AB201" i="2"/>
  <c r="AC201" i="2"/>
  <c r="O201" i="2"/>
  <c r="AC200" i="2"/>
  <c r="O200" i="2"/>
  <c r="AB200" i="2"/>
  <c r="O199" i="2"/>
  <c r="AB199" i="2"/>
  <c r="AC199" i="2"/>
  <c r="AB198" i="2"/>
  <c r="O198" i="2"/>
  <c r="AC198" i="2"/>
  <c r="AC197" i="2"/>
  <c r="AB197" i="2"/>
  <c r="O197" i="2"/>
  <c r="AB196" i="2"/>
  <c r="AC196" i="2"/>
  <c r="O196" i="2"/>
  <c r="AC195" i="2"/>
  <c r="AB195" i="2"/>
  <c r="O195" i="2"/>
  <c r="O194" i="2"/>
  <c r="AB194" i="2"/>
  <c r="AC194" i="2"/>
  <c r="AB193" i="2"/>
  <c r="O193" i="2"/>
  <c r="AC193" i="2"/>
  <c r="O192" i="2"/>
  <c r="AB192" i="2"/>
  <c r="AC192" i="2"/>
  <c r="AB191" i="2"/>
  <c r="AC191" i="2"/>
  <c r="O191" i="2"/>
  <c r="O190" i="2"/>
  <c r="AC190" i="2"/>
  <c r="AB190" i="2"/>
  <c r="AC189" i="2"/>
  <c r="AB189" i="2"/>
  <c r="O189" i="2"/>
  <c r="O188" i="2"/>
  <c r="AC188" i="2"/>
  <c r="AB188" i="2"/>
  <c r="AC187" i="2"/>
  <c r="O187" i="2"/>
  <c r="AB187" i="2"/>
  <c r="AC186" i="2"/>
  <c r="AB186" i="2"/>
  <c r="O186" i="2"/>
  <c r="AB185" i="2"/>
  <c r="O185" i="2"/>
  <c r="AC185" i="2"/>
  <c r="O184" i="2"/>
  <c r="AC184" i="2"/>
  <c r="AB184" i="2"/>
  <c r="AC183" i="2"/>
  <c r="AB183" i="2"/>
  <c r="O183" i="2"/>
  <c r="AB182" i="2"/>
  <c r="AC182" i="2"/>
  <c r="O182" i="2"/>
  <c r="AC181" i="2"/>
  <c r="AB181" i="2"/>
  <c r="O181" i="2"/>
  <c r="O180" i="2"/>
  <c r="AB180" i="2"/>
  <c r="AC180" i="2"/>
  <c r="AC179" i="2"/>
  <c r="AB179" i="2"/>
  <c r="O179" i="2"/>
  <c r="AC178" i="2"/>
  <c r="AB178" i="2"/>
  <c r="O178" i="2"/>
  <c r="O177" i="2"/>
  <c r="AB177" i="2"/>
  <c r="AC177" i="2"/>
  <c r="AB176" i="2"/>
  <c r="AC176" i="2"/>
  <c r="O176" i="2"/>
  <c r="AB175" i="2"/>
  <c r="AC175" i="2"/>
  <c r="O175" i="2"/>
  <c r="AC174" i="2"/>
  <c r="O174" i="2"/>
  <c r="AB174" i="2"/>
  <c r="AC173" i="2"/>
  <c r="AB173" i="2"/>
  <c r="O173" i="2"/>
  <c r="AB172" i="2"/>
  <c r="O172" i="2"/>
  <c r="AC172" i="2"/>
  <c r="AC171" i="2"/>
  <c r="O171" i="2"/>
  <c r="AB171" i="2"/>
  <c r="AB170" i="2"/>
  <c r="AC170" i="2"/>
  <c r="O170" i="2"/>
  <c r="AB169" i="2"/>
  <c r="O169" i="2"/>
  <c r="AC169" i="2"/>
  <c r="AC168" i="2"/>
  <c r="O168" i="2"/>
  <c r="AB168" i="2"/>
  <c r="AB167" i="2"/>
  <c r="AC167" i="2"/>
  <c r="O167" i="2"/>
  <c r="AC166" i="2"/>
  <c r="O166" i="2"/>
  <c r="AB166" i="2"/>
  <c r="AB165" i="2"/>
  <c r="AC165" i="2"/>
  <c r="O165" i="2"/>
  <c r="AC164" i="2"/>
  <c r="O164" i="2"/>
  <c r="AB164" i="2"/>
  <c r="AC163" i="2"/>
  <c r="O163" i="2"/>
  <c r="AB163" i="2"/>
  <c r="AC162" i="2"/>
  <c r="O162" i="2"/>
  <c r="AB162" i="2"/>
  <c r="O161" i="2"/>
  <c r="AC161" i="2"/>
  <c r="AB161" i="2"/>
  <c r="AB160" i="2"/>
  <c r="AC160" i="2"/>
  <c r="O160" i="2"/>
  <c r="O159" i="2"/>
  <c r="AB159" i="2"/>
  <c r="AC159" i="2"/>
  <c r="AB158" i="2"/>
  <c r="O158" i="2"/>
  <c r="AC158" i="2"/>
  <c r="AC157" i="2"/>
  <c r="AB157" i="2"/>
  <c r="O157" i="2"/>
  <c r="AB156" i="2"/>
  <c r="AC156" i="2"/>
  <c r="O156" i="2"/>
  <c r="AC155" i="2"/>
  <c r="O155" i="2"/>
  <c r="AB155" i="2"/>
  <c r="AB154" i="2"/>
  <c r="AC154" i="2"/>
  <c r="O154" i="2"/>
  <c r="O153" i="2"/>
  <c r="AC153" i="2"/>
  <c r="AB153" i="2"/>
  <c r="AB152" i="2"/>
  <c r="O152" i="2"/>
  <c r="AC152" i="2"/>
  <c r="AC151" i="2"/>
  <c r="AB151" i="2"/>
  <c r="O151" i="2"/>
  <c r="AB150" i="2"/>
  <c r="AC150" i="2"/>
  <c r="O150" i="2"/>
  <c r="O149" i="2"/>
  <c r="AB149" i="2"/>
  <c r="AC149" i="2"/>
  <c r="AB148" i="2"/>
  <c r="O148" i="2"/>
  <c r="AC148" i="2"/>
  <c r="AB147" i="2"/>
  <c r="O147" i="2"/>
  <c r="AC147" i="2"/>
  <c r="AB146" i="2"/>
  <c r="O146" i="2"/>
  <c r="AC146" i="2"/>
  <c r="AB145" i="2"/>
  <c r="O145" i="2"/>
  <c r="AC145" i="2"/>
  <c r="AB144" i="2"/>
  <c r="AC144" i="2"/>
  <c r="O144" i="2"/>
  <c r="AB143" i="2"/>
  <c r="AC143" i="2"/>
  <c r="O143" i="2"/>
  <c r="AB142" i="2"/>
  <c r="O142" i="2"/>
  <c r="AC142" i="2"/>
  <c r="AB141" i="2"/>
  <c r="O141" i="2"/>
  <c r="AC141" i="2"/>
  <c r="AB140" i="2"/>
  <c r="AC140" i="2"/>
  <c r="O140" i="2"/>
  <c r="AC139" i="2"/>
  <c r="AB139" i="2"/>
  <c r="O139" i="2"/>
  <c r="AC138" i="2"/>
  <c r="AB138" i="2"/>
  <c r="O138" i="2"/>
  <c r="O137" i="2"/>
  <c r="AC137" i="2"/>
  <c r="AB137" i="2"/>
  <c r="O136" i="2"/>
  <c r="AB136" i="2"/>
  <c r="AC136" i="2"/>
  <c r="AC135" i="2"/>
  <c r="O135" i="2"/>
  <c r="AB135" i="2"/>
  <c r="AB134" i="2"/>
  <c r="AC134" i="2"/>
  <c r="O134" i="2"/>
  <c r="AB133" i="2"/>
  <c r="O133" i="2"/>
  <c r="AC133" i="2"/>
  <c r="O132" i="2"/>
  <c r="AB132" i="2"/>
  <c r="AC132" i="2"/>
  <c r="O131" i="2"/>
  <c r="AC131" i="2"/>
  <c r="AB131" i="2"/>
  <c r="AB130" i="2"/>
  <c r="O130" i="2"/>
  <c r="AC130" i="2"/>
  <c r="O129" i="2"/>
  <c r="AB129" i="2"/>
  <c r="AC129" i="2"/>
  <c r="AB128" i="2"/>
  <c r="O128" i="2"/>
  <c r="AC128" i="2"/>
  <c r="O127" i="2"/>
  <c r="AB127" i="2"/>
  <c r="AC127" i="2"/>
  <c r="AB126" i="2"/>
  <c r="O126" i="2"/>
  <c r="AC126" i="2"/>
  <c r="O125" i="2"/>
  <c r="AB125" i="2"/>
  <c r="AC125" i="2"/>
  <c r="O124" i="2"/>
  <c r="AC124" i="2"/>
  <c r="AB124" i="2"/>
  <c r="AC123" i="2"/>
  <c r="AB123" i="2"/>
  <c r="O123" i="2"/>
  <c r="AC122" i="2"/>
  <c r="O122" i="2"/>
  <c r="AB122" i="2"/>
  <c r="AC121" i="2"/>
  <c r="AB121" i="2"/>
  <c r="O121" i="2"/>
  <c r="AC120" i="2"/>
  <c r="O120" i="2"/>
  <c r="AB120" i="2"/>
  <c r="AC119" i="2"/>
  <c r="O119" i="2"/>
  <c r="AB119" i="2"/>
  <c r="AC118" i="2"/>
  <c r="O118" i="2"/>
  <c r="AB118" i="2"/>
  <c r="AC117" i="2"/>
  <c r="O117" i="2"/>
  <c r="AB117" i="2"/>
  <c r="AC116" i="2"/>
  <c r="O116" i="2"/>
  <c r="AB116" i="2"/>
  <c r="O115" i="2"/>
  <c r="AB115" i="2"/>
  <c r="AC115" i="2"/>
  <c r="AB114" i="2"/>
  <c r="AC114" i="2"/>
  <c r="O114" i="2"/>
  <c r="AC113" i="2"/>
  <c r="O113" i="2"/>
  <c r="AB113" i="2"/>
  <c r="AC112" i="2"/>
  <c r="AB112" i="2"/>
  <c r="O112" i="2"/>
  <c r="AC111" i="2"/>
  <c r="O111" i="2"/>
  <c r="AB111" i="2"/>
  <c r="AC110" i="2"/>
  <c r="AB110" i="2"/>
  <c r="O110" i="2"/>
  <c r="AB109" i="2"/>
  <c r="AC109" i="2"/>
  <c r="O109" i="2"/>
  <c r="AC108" i="2"/>
  <c r="AB108" i="2"/>
  <c r="O108" i="2"/>
  <c r="O107" i="2"/>
  <c r="AC107" i="2"/>
  <c r="AB107" i="2"/>
  <c r="AB106" i="2"/>
  <c r="O106" i="2"/>
  <c r="AC106" i="2"/>
  <c r="AB105" i="2"/>
  <c r="AC105" i="2"/>
  <c r="O105" i="2"/>
  <c r="AB104" i="2"/>
  <c r="AC104" i="2"/>
  <c r="O104" i="2"/>
  <c r="O103" i="2"/>
  <c r="AC103" i="2"/>
  <c r="AB103" i="2"/>
  <c r="AB102" i="2"/>
  <c r="AC102" i="2"/>
  <c r="O102" i="2"/>
  <c r="AC101" i="2"/>
  <c r="O101" i="2"/>
  <c r="AB101" i="2"/>
  <c r="AC100" i="2"/>
  <c r="AB100" i="2"/>
  <c r="O100" i="2"/>
  <c r="AC99" i="2"/>
  <c r="AB99" i="2"/>
  <c r="O99" i="2"/>
  <c r="AC98" i="2"/>
  <c r="O98" i="2"/>
  <c r="AB98" i="2"/>
  <c r="AB97" i="2"/>
  <c r="AC97" i="2"/>
  <c r="O97" i="2"/>
  <c r="O96" i="2"/>
  <c r="AC96" i="2"/>
  <c r="AB96" i="2"/>
  <c r="AC95" i="2"/>
  <c r="O95" i="2"/>
  <c r="AB95" i="2"/>
  <c r="AC94" i="2"/>
  <c r="AB94" i="2"/>
  <c r="O94" i="2"/>
  <c r="AC93" i="2"/>
  <c r="O93" i="2"/>
  <c r="AB93" i="2"/>
  <c r="O92" i="2"/>
  <c r="AB92" i="2"/>
  <c r="AC92" i="2"/>
  <c r="AB91" i="2"/>
  <c r="AC91" i="2"/>
  <c r="O91" i="2"/>
  <c r="O90" i="2"/>
  <c r="AB90" i="2"/>
  <c r="AC90" i="2"/>
  <c r="O89" i="2"/>
  <c r="AC89" i="2"/>
  <c r="AB89" i="2"/>
  <c r="O88" i="2"/>
  <c r="AC88" i="2"/>
  <c r="AB88" i="2"/>
  <c r="AB87" i="2"/>
  <c r="AC87" i="2"/>
  <c r="O87" i="2"/>
  <c r="AC86" i="2"/>
  <c r="AB86" i="2"/>
  <c r="O86" i="2"/>
  <c r="AC85" i="2"/>
  <c r="O85" i="2"/>
  <c r="AB85" i="2"/>
  <c r="AC84" i="2"/>
  <c r="AB84" i="2"/>
  <c r="O84" i="2"/>
  <c r="AB83" i="2"/>
  <c r="AC83" i="2"/>
  <c r="O83" i="2"/>
  <c r="O82" i="2"/>
  <c r="AC82" i="2"/>
  <c r="AB82" i="2"/>
  <c r="AC81" i="2"/>
  <c r="O81" i="2"/>
  <c r="AB81" i="2"/>
  <c r="AB80" i="2"/>
  <c r="O80" i="2"/>
  <c r="AC80" i="2"/>
  <c r="O79" i="2"/>
  <c r="AC79" i="2"/>
  <c r="AB79" i="2"/>
  <c r="O78" i="2"/>
  <c r="AC78" i="2"/>
  <c r="AB78" i="2"/>
  <c r="AC77" i="2"/>
  <c r="O77" i="2"/>
  <c r="AB77" i="2"/>
  <c r="AC76" i="2"/>
  <c r="O76" i="2"/>
  <c r="AB76" i="2"/>
  <c r="AC75" i="2"/>
  <c r="O75" i="2"/>
  <c r="AB75" i="2"/>
  <c r="O74" i="2"/>
  <c r="AC74" i="2"/>
  <c r="AB74" i="2"/>
  <c r="O73" i="2"/>
  <c r="AC73" i="2"/>
  <c r="AB73" i="2"/>
  <c r="AC72" i="2"/>
  <c r="O72" i="2"/>
  <c r="AB72" i="2"/>
  <c r="AC71" i="2"/>
  <c r="AB71" i="2"/>
  <c r="O71" i="2"/>
  <c r="O70" i="2"/>
  <c r="AC70" i="2"/>
  <c r="AB70" i="2"/>
  <c r="AC69" i="2"/>
  <c r="AB69" i="2"/>
  <c r="O69" i="2"/>
  <c r="AC68" i="2"/>
  <c r="O68" i="2"/>
  <c r="AB68" i="2"/>
  <c r="O67" i="2"/>
  <c r="AB67" i="2"/>
  <c r="AC67" i="2"/>
  <c r="AC66" i="2"/>
  <c r="O66" i="2"/>
  <c r="AB66" i="2"/>
  <c r="AB65" i="2"/>
  <c r="AC65" i="2"/>
  <c r="O65" i="2"/>
  <c r="AC64" i="2"/>
  <c r="AB64" i="2"/>
  <c r="O64" i="2"/>
  <c r="O63" i="2"/>
  <c r="AB63" i="2"/>
  <c r="AC63" i="2"/>
  <c r="AC62" i="2"/>
  <c r="O62" i="2"/>
  <c r="AB62" i="2"/>
  <c r="O61" i="2"/>
  <c r="AB61" i="2"/>
  <c r="AC61" i="2"/>
  <c r="O60" i="2"/>
  <c r="AC60" i="2"/>
  <c r="AB60" i="2"/>
  <c r="AB59" i="2"/>
  <c r="AC59" i="2"/>
  <c r="O59" i="2"/>
  <c r="AC58" i="2"/>
  <c r="AB58" i="2"/>
  <c r="O58" i="2"/>
  <c r="AB57" i="2"/>
  <c r="O57" i="2"/>
  <c r="AC57" i="2"/>
  <c r="O56" i="2"/>
  <c r="AC56" i="2"/>
  <c r="AB56" i="2"/>
  <c r="AB55" i="2"/>
  <c r="O55" i="2"/>
  <c r="AC55" i="2"/>
  <c r="O54" i="2"/>
  <c r="AC54" i="2"/>
  <c r="AB54" i="2"/>
  <c r="AC53" i="2"/>
  <c r="O53" i="2"/>
  <c r="AB53" i="2"/>
  <c r="AC52" i="2"/>
  <c r="O52" i="2"/>
  <c r="AB52" i="2"/>
  <c r="AB51" i="2"/>
  <c r="O51" i="2"/>
  <c r="AC51" i="2"/>
  <c r="O50" i="2"/>
  <c r="AC50" i="2"/>
  <c r="AB50" i="2"/>
  <c r="O49" i="2"/>
  <c r="AC49" i="2"/>
  <c r="AB49" i="2"/>
  <c r="AB48" i="2"/>
  <c r="AC48" i="2"/>
  <c r="O48" i="2"/>
  <c r="O47" i="2"/>
  <c r="AB47" i="2"/>
  <c r="AC47" i="2"/>
  <c r="O46" i="2"/>
  <c r="AB46" i="2"/>
  <c r="AC46" i="2"/>
  <c r="AC45" i="2"/>
  <c r="O45" i="2"/>
  <c r="AB45" i="2"/>
  <c r="AB44" i="2"/>
  <c r="O44" i="2"/>
  <c r="AC44" i="2"/>
  <c r="O43" i="2"/>
  <c r="AC43" i="2"/>
  <c r="AB43" i="2"/>
  <c r="AC42" i="2"/>
  <c r="O42" i="2"/>
  <c r="AB42" i="2"/>
  <c r="O41" i="2"/>
  <c r="AC41" i="2"/>
  <c r="AB41" i="2"/>
  <c r="AB40" i="2"/>
  <c r="AC40" i="2"/>
  <c r="O40" i="2"/>
  <c r="AC39" i="2"/>
  <c r="AB39" i="2"/>
  <c r="O39" i="2"/>
  <c r="O38" i="2"/>
  <c r="AC38" i="2"/>
  <c r="AB38" i="2"/>
  <c r="O37" i="2"/>
  <c r="AB37" i="2"/>
  <c r="AC37" i="2"/>
  <c r="O36" i="2"/>
  <c r="AB36" i="2"/>
  <c r="AC36" i="2"/>
  <c r="O35" i="2"/>
  <c r="AB35" i="2"/>
  <c r="AC35" i="2"/>
  <c r="AB34" i="2"/>
  <c r="O34" i="2"/>
  <c r="AC34" i="2"/>
  <c r="O33" i="2"/>
  <c r="AB33" i="2"/>
  <c r="AC33" i="2"/>
  <c r="AC32" i="2"/>
  <c r="O32" i="2"/>
  <c r="AB32" i="2"/>
  <c r="O31" i="2"/>
  <c r="AB31" i="2"/>
  <c r="AC31" i="2"/>
  <c r="O30" i="2"/>
  <c r="AC30" i="2"/>
  <c r="AB30" i="2"/>
  <c r="AB29" i="2"/>
  <c r="O29" i="2"/>
  <c r="AC29" i="2"/>
  <c r="O28" i="2"/>
  <c r="AB28" i="2"/>
  <c r="AC28" i="2"/>
  <c r="AC27" i="2"/>
  <c r="O27" i="2"/>
  <c r="AB27" i="2"/>
  <c r="O26" i="2"/>
  <c r="AC26" i="2"/>
  <c r="AB26" i="2"/>
  <c r="AC25" i="2"/>
  <c r="AB25" i="2"/>
  <c r="O25" i="2"/>
  <c r="AC24" i="2"/>
  <c r="O24" i="2"/>
  <c r="AB24" i="2"/>
  <c r="O23" i="2"/>
  <c r="AB23" i="2"/>
  <c r="AC23" i="2"/>
  <c r="O22" i="2"/>
  <c r="AB22" i="2"/>
  <c r="AC22" i="2"/>
  <c r="AB21" i="2"/>
  <c r="O21" i="2"/>
  <c r="AC21" i="2"/>
  <c r="AC20" i="2"/>
  <c r="O20" i="2"/>
  <c r="AB20" i="2"/>
  <c r="AC19" i="2"/>
  <c r="O19" i="2"/>
  <c r="AB19" i="2"/>
  <c r="AB18" i="2"/>
  <c r="AC18" i="2"/>
  <c r="O18" i="2"/>
  <c r="AC17" i="2"/>
  <c r="AB17" i="2"/>
  <c r="O17" i="2"/>
  <c r="AC16" i="2"/>
  <c r="O16" i="2"/>
  <c r="AB16" i="2"/>
  <c r="O15" i="2"/>
  <c r="AC15" i="2"/>
  <c r="AB15" i="2"/>
  <c r="AC14" i="2"/>
  <c r="AB14" i="2"/>
  <c r="O14" i="2"/>
  <c r="O13" i="2"/>
  <c r="AB13" i="2"/>
  <c r="AC13" i="2"/>
  <c r="AC12" i="2"/>
  <c r="AB12" i="2"/>
  <c r="O12" i="2"/>
  <c r="AC11" i="2"/>
  <c r="O11" i="2"/>
  <c r="AB11" i="2"/>
  <c r="AC10" i="2"/>
  <c r="AB10" i="2"/>
  <c r="O10" i="2"/>
  <c r="AC9" i="2"/>
  <c r="AB9" i="2"/>
  <c r="O9" i="2"/>
  <c r="AC8" i="2"/>
  <c r="O8" i="2"/>
  <c r="AB8" i="2"/>
  <c r="AC7" i="2"/>
  <c r="AB7" i="2"/>
  <c r="O7" i="2"/>
  <c r="O6" i="2"/>
  <c r="AC6" i="2"/>
  <c r="AB6" i="2"/>
  <c r="AB5" i="2"/>
  <c r="AC5" i="2"/>
  <c r="O5" i="2"/>
  <c r="O4" i="2"/>
  <c r="AC4" i="2"/>
  <c r="AB4" i="2"/>
  <c r="AB3" i="2"/>
  <c r="O3" i="2"/>
  <c r="AC3" i="2"/>
  <c r="AC2" i="2"/>
  <c r="O2" i="2"/>
  <c r="AB2" i="2"/>
  <c r="AD1178" i="2" l="1"/>
  <c r="Y1178" i="2"/>
  <c r="AF1178" i="2" s="1"/>
  <c r="AD1177" i="2"/>
  <c r="Y1177" i="2"/>
  <c r="AF1177" i="2" s="1"/>
  <c r="AD1176" i="2"/>
  <c r="Y1176" i="2"/>
  <c r="AF1176" i="2" s="1"/>
  <c r="T8" i="6"/>
  <c r="Y1116" i="2"/>
  <c r="AF1116" i="2" s="1"/>
  <c r="AD1116" i="2"/>
  <c r="Y1115" i="2"/>
  <c r="AF1115" i="2" s="1"/>
  <c r="AD1115" i="2"/>
  <c r="Y1114" i="2"/>
  <c r="AF1114" i="2" s="1"/>
  <c r="AD1114" i="2"/>
  <c r="AD1113" i="2"/>
  <c r="Y1113" i="2"/>
  <c r="AF1113" i="2" s="1"/>
  <c r="AD1112" i="2"/>
  <c r="Y1112" i="2"/>
  <c r="AF1112" i="2" s="1"/>
  <c r="AD1111" i="2"/>
  <c r="Y1111" i="2"/>
  <c r="AF1111" i="2" s="1"/>
  <c r="Y1110" i="2"/>
  <c r="AF1110" i="2" s="1"/>
  <c r="AD1110" i="2"/>
  <c r="AD1109" i="2"/>
  <c r="Y1109" i="2"/>
  <c r="AF1109" i="2" s="1"/>
  <c r="AD1108" i="2"/>
  <c r="Y1108" i="2"/>
  <c r="AF1108" i="2" s="1"/>
  <c r="AD1107" i="2"/>
  <c r="Y1107" i="2"/>
  <c r="AF1107" i="2" s="1"/>
  <c r="Y1106" i="2"/>
  <c r="AF1106" i="2" s="1"/>
  <c r="AD1106" i="2"/>
  <c r="Y1105" i="2"/>
  <c r="AF1105" i="2" s="1"/>
  <c r="AD1105" i="2"/>
  <c r="Y1104" i="2"/>
  <c r="AF1104" i="2" s="1"/>
  <c r="AD1104" i="2"/>
  <c r="AD1103" i="2"/>
  <c r="Y1103" i="2"/>
  <c r="AF1103" i="2" s="1"/>
  <c r="AD1102" i="2"/>
  <c r="Y1102" i="2"/>
  <c r="AF1102" i="2" s="1"/>
  <c r="AD1101" i="2"/>
  <c r="Y1101" i="2"/>
  <c r="AF1101" i="2" s="1"/>
  <c r="AD1100" i="2"/>
  <c r="Y1100" i="2"/>
  <c r="AF1100" i="2" s="1"/>
  <c r="AD1099" i="2"/>
  <c r="Y1099" i="2"/>
  <c r="AF1099" i="2" s="1"/>
  <c r="Y1098" i="2"/>
  <c r="AF1098" i="2" s="1"/>
  <c r="AD1098" i="2"/>
  <c r="Y1097" i="2"/>
  <c r="AF1097" i="2" s="1"/>
  <c r="AD1097" i="2"/>
  <c r="Y1096" i="2"/>
  <c r="AF1096" i="2" s="1"/>
  <c r="AD1096" i="2"/>
  <c r="AD1095" i="2"/>
  <c r="Y1095" i="2"/>
  <c r="AF1095" i="2" s="1"/>
  <c r="Y1094" i="2"/>
  <c r="AF1094" i="2" s="1"/>
  <c r="AD1094" i="2"/>
  <c r="AD1093" i="2"/>
  <c r="Y1093" i="2"/>
  <c r="AF1093" i="2" s="1"/>
  <c r="AD1092" i="2"/>
  <c r="Y1092" i="2"/>
  <c r="AF1092" i="2" s="1"/>
  <c r="Y1091" i="2"/>
  <c r="AF1091" i="2" s="1"/>
  <c r="AD1091" i="2"/>
  <c r="AD1090" i="2"/>
  <c r="Y1090" i="2"/>
  <c r="AF1090" i="2" s="1"/>
  <c r="AD1089" i="2"/>
  <c r="Y1089" i="2"/>
  <c r="AF1089" i="2" s="1"/>
  <c r="Y1088" i="2"/>
  <c r="AF1088" i="2" s="1"/>
  <c r="AD1088" i="2"/>
  <c r="AD1087" i="2"/>
  <c r="Y1087" i="2"/>
  <c r="AF1087" i="2" s="1"/>
  <c r="Y1086" i="2"/>
  <c r="AF1086" i="2" s="1"/>
  <c r="AD1086" i="2"/>
  <c r="Y1085" i="2"/>
  <c r="AF1085" i="2" s="1"/>
  <c r="AD1085" i="2"/>
  <c r="Y1084" i="2"/>
  <c r="AF1084" i="2" s="1"/>
  <c r="AD1084" i="2"/>
  <c r="AD1083" i="2"/>
  <c r="Y1083" i="2"/>
  <c r="AF1083" i="2" s="1"/>
  <c r="AD1082" i="2"/>
  <c r="Y1082" i="2"/>
  <c r="AF1082" i="2" s="1"/>
  <c r="AD1081" i="2"/>
  <c r="Y1081" i="2"/>
  <c r="AF1081" i="2" s="1"/>
  <c r="AD1080" i="2"/>
  <c r="Y1080" i="2"/>
  <c r="AF1080" i="2" s="1"/>
  <c r="AD1079" i="2"/>
  <c r="Y1079" i="2"/>
  <c r="AF1079" i="2" s="1"/>
  <c r="AD1078" i="2"/>
  <c r="Y1078" i="2"/>
  <c r="AF1078" i="2" s="1"/>
  <c r="AD1077" i="2"/>
  <c r="Y1077" i="2"/>
  <c r="AF1077" i="2" s="1"/>
  <c r="AD1076" i="2"/>
  <c r="Y1076" i="2"/>
  <c r="AF1076" i="2" s="1"/>
  <c r="AD1075" i="2"/>
  <c r="Y1075" i="2"/>
  <c r="AF1075" i="2" s="1"/>
  <c r="Y1074" i="2"/>
  <c r="AF1074" i="2" s="1"/>
  <c r="AD1074" i="2"/>
  <c r="Y1073" i="2"/>
  <c r="AF1073" i="2" s="1"/>
  <c r="AD1073" i="2"/>
  <c r="Y1072" i="2"/>
  <c r="AF1072" i="2" s="1"/>
  <c r="AD1072" i="2"/>
  <c r="AD1071" i="2"/>
  <c r="Y1071" i="2"/>
  <c r="AF1071" i="2" s="1"/>
  <c r="AD1070" i="2"/>
  <c r="Y1070" i="2"/>
  <c r="AF1070" i="2" s="1"/>
  <c r="Y1069" i="2"/>
  <c r="AF1069" i="2" s="1"/>
  <c r="AD1069" i="2"/>
  <c r="Y1068" i="2"/>
  <c r="AF1068" i="2" s="1"/>
  <c r="AD1068" i="2"/>
  <c r="AD1067" i="2"/>
  <c r="Y1067" i="2"/>
  <c r="AF1067" i="2" s="1"/>
  <c r="AD1066" i="2"/>
  <c r="Y1066" i="2"/>
  <c r="AF1066" i="2" s="1"/>
  <c r="Y1065" i="2"/>
  <c r="AF1065" i="2" s="1"/>
  <c r="AD1065" i="2"/>
  <c r="Y1064" i="2"/>
  <c r="AF1064" i="2" s="1"/>
  <c r="AD1064" i="2"/>
  <c r="AD1063" i="2"/>
  <c r="Y1063" i="2"/>
  <c r="AF1063" i="2" s="1"/>
  <c r="AD1062" i="2"/>
  <c r="Y1062" i="2"/>
  <c r="AF1062" i="2" s="1"/>
  <c r="AD1061" i="2"/>
  <c r="Y1061" i="2"/>
  <c r="AF1061" i="2" s="1"/>
  <c r="AD1060" i="2"/>
  <c r="Y1060" i="2"/>
  <c r="AF1060" i="2" s="1"/>
  <c r="AD1059" i="2"/>
  <c r="Y1059" i="2"/>
  <c r="AF1059" i="2" s="1"/>
  <c r="AD1058" i="2"/>
  <c r="Y1058" i="2"/>
  <c r="AF1058" i="2" s="1"/>
  <c r="Y1057" i="2"/>
  <c r="AF1057" i="2" s="1"/>
  <c r="AD1057" i="2"/>
  <c r="AD1056" i="2"/>
  <c r="Y1056" i="2"/>
  <c r="AF1056" i="2" s="1"/>
  <c r="Y1055" i="2"/>
  <c r="AF1055" i="2" s="1"/>
  <c r="AD1055" i="2"/>
  <c r="Y1054" i="2"/>
  <c r="AF1054" i="2" s="1"/>
  <c r="AD1054" i="2"/>
  <c r="Y1053" i="2"/>
  <c r="AF1053" i="2" s="1"/>
  <c r="AD1053" i="2"/>
  <c r="Y1052" i="2"/>
  <c r="AF1052" i="2" s="1"/>
  <c r="AD1052" i="2"/>
  <c r="AD1051" i="2"/>
  <c r="Y1051" i="2"/>
  <c r="AF1051" i="2" s="1"/>
  <c r="Y1050" i="2"/>
  <c r="AF1050" i="2" s="1"/>
  <c r="AD1050" i="2"/>
  <c r="AD1049" i="2"/>
  <c r="Y1049" i="2"/>
  <c r="AF1049" i="2" s="1"/>
  <c r="AD1048" i="2"/>
  <c r="Y1048" i="2"/>
  <c r="AF1048" i="2" s="1"/>
  <c r="Y1047" i="2"/>
  <c r="AF1047" i="2" s="1"/>
  <c r="AD1047" i="2"/>
  <c r="AD1046" i="2"/>
  <c r="Y1046" i="2"/>
  <c r="AF1046" i="2" s="1"/>
  <c r="Y1045" i="2"/>
  <c r="AF1045" i="2" s="1"/>
  <c r="AD1045" i="2"/>
  <c r="AD1044" i="2"/>
  <c r="Y1044" i="2"/>
  <c r="AF1044" i="2" s="1"/>
  <c r="AD1043" i="2"/>
  <c r="Y1043" i="2"/>
  <c r="AF1043" i="2" s="1"/>
  <c r="Y1042" i="2"/>
  <c r="AF1042" i="2" s="1"/>
  <c r="AD1042" i="2"/>
  <c r="AD1041" i="2"/>
  <c r="Y1041" i="2"/>
  <c r="AF1041" i="2" s="1"/>
  <c r="AD1040" i="2"/>
  <c r="Y1040" i="2"/>
  <c r="AF1040" i="2" s="1"/>
  <c r="AD1039" i="2"/>
  <c r="Y1039" i="2"/>
  <c r="AF1039" i="2" s="1"/>
  <c r="AD1038" i="2"/>
  <c r="Y1038" i="2"/>
  <c r="AF1038" i="2" s="1"/>
  <c r="AD1037" i="2"/>
  <c r="Y1037" i="2"/>
  <c r="AF1037" i="2" s="1"/>
  <c r="AD1036" i="2"/>
  <c r="Y1036" i="2"/>
  <c r="AF1036" i="2" s="1"/>
  <c r="Y1035" i="2"/>
  <c r="AF1035" i="2" s="1"/>
  <c r="AD1035" i="2"/>
  <c r="Y1034" i="2"/>
  <c r="AF1034" i="2" s="1"/>
  <c r="AD1034" i="2"/>
  <c r="AD1033" i="2"/>
  <c r="Y1033" i="2"/>
  <c r="AF1033" i="2" s="1"/>
  <c r="AD1032" i="2"/>
  <c r="Y1032" i="2"/>
  <c r="AF1032" i="2" s="1"/>
  <c r="Y1031" i="2"/>
  <c r="AF1031" i="2" s="1"/>
  <c r="AD1031" i="2"/>
  <c r="Y1030" i="2"/>
  <c r="AF1030" i="2" s="1"/>
  <c r="AD1030" i="2"/>
  <c r="AD1029" i="2"/>
  <c r="Y1029" i="2"/>
  <c r="AF1029" i="2" s="1"/>
  <c r="AD1028" i="2"/>
  <c r="Y1028" i="2"/>
  <c r="AF1028" i="2" s="1"/>
  <c r="Y1027" i="2"/>
  <c r="AF1027" i="2" s="1"/>
  <c r="AD1027" i="2"/>
  <c r="AD1026" i="2"/>
  <c r="Y1026" i="2"/>
  <c r="AF1026" i="2" s="1"/>
  <c r="AD1025" i="2"/>
  <c r="Y1025" i="2"/>
  <c r="AF1025" i="2" s="1"/>
  <c r="AD1024" i="2"/>
  <c r="Y1024" i="2"/>
  <c r="AF1024" i="2" s="1"/>
  <c r="AD1023" i="2"/>
  <c r="Y1023" i="2"/>
  <c r="AF1023" i="2" s="1"/>
  <c r="AD1022" i="2"/>
  <c r="Y1022" i="2"/>
  <c r="AF1022" i="2" s="1"/>
  <c r="Y1021" i="2"/>
  <c r="AF1021" i="2" s="1"/>
  <c r="AD1021" i="2"/>
  <c r="Y1020" i="2"/>
  <c r="AF1020" i="2" s="1"/>
  <c r="AD1020" i="2"/>
  <c r="Y1019" i="2"/>
  <c r="AF1019" i="2" s="1"/>
  <c r="AD1019" i="2"/>
  <c r="AD1018" i="2"/>
  <c r="Y1018" i="2"/>
  <c r="AF1018" i="2" s="1"/>
  <c r="Y1017" i="2"/>
  <c r="AF1017" i="2" s="1"/>
  <c r="AD1017" i="2"/>
  <c r="Y1016" i="2"/>
  <c r="AF1016" i="2" s="1"/>
  <c r="AD1016" i="2"/>
  <c r="Y1015" i="2"/>
  <c r="AF1015" i="2" s="1"/>
  <c r="AD1015" i="2"/>
  <c r="Y1014" i="2"/>
  <c r="AF1014" i="2" s="1"/>
  <c r="AD1014" i="2"/>
  <c r="AD1013" i="2"/>
  <c r="Y1013" i="2"/>
  <c r="AF1013" i="2" s="1"/>
  <c r="AD1012" i="2"/>
  <c r="Y1012" i="2"/>
  <c r="AF1012" i="2" s="1"/>
  <c r="AD1011" i="2"/>
  <c r="Y1011" i="2"/>
  <c r="AF1011" i="2" s="1"/>
  <c r="Y1010" i="2"/>
  <c r="AF1010" i="2" s="1"/>
  <c r="AD1010" i="2"/>
  <c r="AD1009" i="2"/>
  <c r="Y1009" i="2"/>
  <c r="AF1009" i="2" s="1"/>
  <c r="AD1008" i="2"/>
  <c r="Y1008" i="2"/>
  <c r="AF1008" i="2" s="1"/>
  <c r="AD1007" i="2"/>
  <c r="Y1007" i="2"/>
  <c r="AF1007" i="2" s="1"/>
  <c r="AD1006" i="2"/>
  <c r="Y1006" i="2"/>
  <c r="AF1006" i="2" s="1"/>
  <c r="Y1005" i="2"/>
  <c r="AF1005" i="2" s="1"/>
  <c r="AD1005" i="2"/>
  <c r="Y1004" i="2"/>
  <c r="AF1004" i="2" s="1"/>
  <c r="AD1004" i="2"/>
  <c r="AD1003" i="2"/>
  <c r="Y1003" i="2"/>
  <c r="AF1003" i="2" s="1"/>
  <c r="AD1002" i="2"/>
  <c r="Y1002" i="2"/>
  <c r="AF1002" i="2" s="1"/>
  <c r="AD1001" i="2"/>
  <c r="Y1001" i="2"/>
  <c r="AF1001" i="2" s="1"/>
  <c r="AD1000" i="2"/>
  <c r="Y1000" i="2"/>
  <c r="AF1000" i="2" s="1"/>
  <c r="AD999" i="2"/>
  <c r="Y999" i="2"/>
  <c r="AF999" i="2" s="1"/>
  <c r="Y998" i="2"/>
  <c r="AF998" i="2" s="1"/>
  <c r="AD998" i="2"/>
  <c r="Y997" i="2"/>
  <c r="AF997" i="2" s="1"/>
  <c r="AD997" i="2"/>
  <c r="Y996" i="2"/>
  <c r="AF996" i="2" s="1"/>
  <c r="AD996" i="2"/>
  <c r="Y995" i="2"/>
  <c r="AF995" i="2" s="1"/>
  <c r="AD995" i="2"/>
  <c r="Y994" i="2"/>
  <c r="AF994" i="2" s="1"/>
  <c r="AD994" i="2"/>
  <c r="AD993" i="2"/>
  <c r="Y993" i="2"/>
  <c r="AF993" i="2" s="1"/>
  <c r="Y992" i="2"/>
  <c r="AF992" i="2" s="1"/>
  <c r="AD992" i="2"/>
  <c r="Y991" i="2"/>
  <c r="AF991" i="2" s="1"/>
  <c r="AD991" i="2"/>
  <c r="AD990" i="2"/>
  <c r="Y990" i="2"/>
  <c r="AF990" i="2" s="1"/>
  <c r="Y989" i="2"/>
  <c r="AF989" i="2" s="1"/>
  <c r="AD989" i="2"/>
  <c r="AD988" i="2"/>
  <c r="Y988" i="2"/>
  <c r="AF988" i="2" s="1"/>
  <c r="AD987" i="2"/>
  <c r="Y987" i="2"/>
  <c r="AF987" i="2" s="1"/>
  <c r="Y986" i="2"/>
  <c r="AF986" i="2" s="1"/>
  <c r="AD986" i="2"/>
  <c r="Y985" i="2"/>
  <c r="AF985" i="2" s="1"/>
  <c r="AD985" i="2"/>
  <c r="Y984" i="2"/>
  <c r="AF984" i="2" s="1"/>
  <c r="AD984" i="2"/>
  <c r="AD983" i="2"/>
  <c r="Y983" i="2"/>
  <c r="AF983" i="2" s="1"/>
  <c r="AD982" i="2"/>
  <c r="Y982" i="2"/>
  <c r="AF982" i="2" s="1"/>
  <c r="AD981" i="2"/>
  <c r="Y981" i="2"/>
  <c r="AF981" i="2" s="1"/>
  <c r="AD980" i="2"/>
  <c r="Y980" i="2"/>
  <c r="AF980" i="2" s="1"/>
  <c r="AD979" i="2"/>
  <c r="Y979" i="2"/>
  <c r="AF979" i="2" s="1"/>
  <c r="AD978" i="2"/>
  <c r="Y978" i="2"/>
  <c r="AF978" i="2" s="1"/>
  <c r="AD977" i="2"/>
  <c r="Y977" i="2"/>
  <c r="AF977" i="2" s="1"/>
  <c r="AD976" i="2"/>
  <c r="Y976" i="2"/>
  <c r="AF976" i="2" s="1"/>
  <c r="AD975" i="2"/>
  <c r="Y975" i="2"/>
  <c r="AF975" i="2" s="1"/>
  <c r="Y974" i="2"/>
  <c r="AF974" i="2" s="1"/>
  <c r="AD974" i="2"/>
  <c r="Y1510" i="2"/>
  <c r="AF1510" i="2" s="1"/>
  <c r="AD1510" i="2"/>
  <c r="AD1508" i="2"/>
  <c r="Y1508" i="2"/>
  <c r="AF1508" i="2" s="1"/>
  <c r="AD1507" i="2"/>
  <c r="Y1507" i="2"/>
  <c r="AF1507" i="2" s="1"/>
  <c r="Y1506" i="2"/>
  <c r="AF1506" i="2" s="1"/>
  <c r="AD1506" i="2"/>
  <c r="Y1505" i="2"/>
  <c r="AF1505" i="2" s="1"/>
  <c r="AD1505" i="2"/>
  <c r="AD1504" i="2"/>
  <c r="Y1504" i="2"/>
  <c r="AF1504" i="2" s="1"/>
  <c r="Y1503" i="2"/>
  <c r="AF1503" i="2" s="1"/>
  <c r="AD1503" i="2"/>
  <c r="Y1502" i="2"/>
  <c r="AF1502" i="2" s="1"/>
  <c r="AD1502" i="2"/>
  <c r="AD1201" i="2"/>
  <c r="Y1201" i="2"/>
  <c r="AF1201" i="2" s="1"/>
  <c r="AD1200" i="2"/>
  <c r="Y1200" i="2"/>
  <c r="AF1200" i="2" s="1"/>
  <c r="AD1199" i="2"/>
  <c r="Y1199" i="2"/>
  <c r="AF1199" i="2" s="1"/>
  <c r="AD1198" i="2"/>
  <c r="Y1198" i="2"/>
  <c r="AF1198" i="2" s="1"/>
  <c r="AD1197" i="2"/>
  <c r="Y1197" i="2"/>
  <c r="AF1197" i="2" s="1"/>
  <c r="Y1196" i="2"/>
  <c r="AF1196" i="2" s="1"/>
  <c r="AD1196" i="2"/>
  <c r="AD1195" i="2"/>
  <c r="Y1195" i="2"/>
  <c r="AF1195" i="2" s="1"/>
  <c r="AD1194" i="2"/>
  <c r="Y1194" i="2"/>
  <c r="AF1194" i="2" s="1"/>
  <c r="AD1193" i="2"/>
  <c r="Y1193" i="2"/>
  <c r="AF1193" i="2" s="1"/>
  <c r="Y1192" i="2"/>
  <c r="AF1192" i="2" s="1"/>
  <c r="AD1192" i="2"/>
  <c r="AD1191" i="2"/>
  <c r="Y1191" i="2"/>
  <c r="AF1191" i="2" s="1"/>
  <c r="Y1190" i="2"/>
  <c r="AF1190" i="2" s="1"/>
  <c r="AD1190" i="2"/>
  <c r="AD1189" i="2"/>
  <c r="Y1189" i="2"/>
  <c r="AF1189" i="2" s="1"/>
  <c r="AD1188" i="2"/>
  <c r="Y1188" i="2"/>
  <c r="AF1188" i="2" s="1"/>
  <c r="Y1187" i="2"/>
  <c r="AF1187" i="2" s="1"/>
  <c r="AD1187" i="2"/>
  <c r="Y1186" i="2"/>
  <c r="AF1186" i="2" s="1"/>
  <c r="AD1186" i="2"/>
  <c r="AD1185" i="2"/>
  <c r="Y1185" i="2"/>
  <c r="AF1185" i="2" s="1"/>
  <c r="AD1184" i="2"/>
  <c r="Y1184" i="2"/>
  <c r="AF1184" i="2" s="1"/>
  <c r="AD1183" i="2"/>
  <c r="Y1183" i="2"/>
  <c r="AF1183" i="2" s="1"/>
  <c r="Y1182" i="2"/>
  <c r="AF1182" i="2" s="1"/>
  <c r="AD1182" i="2"/>
  <c r="Y1181" i="2"/>
  <c r="AF1181" i="2" s="1"/>
  <c r="AD1181" i="2"/>
  <c r="Y1180" i="2"/>
  <c r="AF1180" i="2" s="1"/>
  <c r="AD1180" i="2"/>
  <c r="AD1179" i="2"/>
  <c r="Y1179" i="2"/>
  <c r="AF1179" i="2" s="1"/>
  <c r="AD1175" i="2"/>
  <c r="Y1175" i="2"/>
  <c r="AF1175" i="2" s="1"/>
  <c r="AD1174" i="2"/>
  <c r="Y1174" i="2"/>
  <c r="AF1174" i="2" s="1"/>
  <c r="Y1173" i="2"/>
  <c r="AF1173" i="2" s="1"/>
  <c r="AD1173" i="2"/>
  <c r="AD1172" i="2"/>
  <c r="Y1172" i="2"/>
  <c r="AF1172" i="2" s="1"/>
  <c r="Y1171" i="2"/>
  <c r="AF1171" i="2" s="1"/>
  <c r="AD1171" i="2"/>
  <c r="AD1170" i="2"/>
  <c r="Y1170" i="2"/>
  <c r="AF1170" i="2" s="1"/>
  <c r="AD1169" i="2"/>
  <c r="Y1169" i="2"/>
  <c r="AF1169" i="2" s="1"/>
  <c r="AD1168" i="2"/>
  <c r="Y1168" i="2"/>
  <c r="AF1168" i="2" s="1"/>
  <c r="AD1167" i="2"/>
  <c r="Y1167" i="2"/>
  <c r="AF1167" i="2" s="1"/>
  <c r="AD1166" i="2"/>
  <c r="Y1166" i="2"/>
  <c r="AF1166" i="2" s="1"/>
  <c r="AD1165" i="2"/>
  <c r="Y1165" i="2"/>
  <c r="AF1165" i="2" s="1"/>
  <c r="AD1164" i="2"/>
  <c r="Y1164" i="2"/>
  <c r="AF1164" i="2" s="1"/>
  <c r="Y1163" i="2"/>
  <c r="AF1163" i="2" s="1"/>
  <c r="AD1163" i="2"/>
  <c r="Y1162" i="2"/>
  <c r="AF1162" i="2" s="1"/>
  <c r="AD1162" i="2"/>
  <c r="Y1161" i="2"/>
  <c r="AF1161" i="2" s="1"/>
  <c r="AD1161" i="2"/>
  <c r="Y1160" i="2"/>
  <c r="AF1160" i="2" s="1"/>
  <c r="AD1160" i="2"/>
  <c r="Y1159" i="2"/>
  <c r="AF1159" i="2" s="1"/>
  <c r="AD1159" i="2"/>
  <c r="AD1158" i="2"/>
  <c r="Y1158" i="2"/>
  <c r="AF1158" i="2" s="1"/>
  <c r="AD1157" i="2"/>
  <c r="Y1157" i="2"/>
  <c r="AF1157" i="2" s="1"/>
  <c r="AD1156" i="2"/>
  <c r="Y1156" i="2"/>
  <c r="AF1156" i="2" s="1"/>
  <c r="AD1155" i="2"/>
  <c r="Y1155" i="2"/>
  <c r="AF1155" i="2" s="1"/>
  <c r="AD1154" i="2"/>
  <c r="Y1154" i="2"/>
  <c r="AF1154" i="2" s="1"/>
  <c r="AD1153" i="2"/>
  <c r="Y1153" i="2"/>
  <c r="AF1153" i="2" s="1"/>
  <c r="AD1152" i="2"/>
  <c r="Y1152" i="2"/>
  <c r="AF1152" i="2" s="1"/>
  <c r="AD1151" i="2"/>
  <c r="Y1151" i="2"/>
  <c r="AF1151" i="2" s="1"/>
  <c r="Y1150" i="2"/>
  <c r="AF1150" i="2" s="1"/>
  <c r="AD1150" i="2"/>
  <c r="Y1149" i="2"/>
  <c r="AF1149" i="2" s="1"/>
  <c r="AD1149" i="2"/>
  <c r="Y1148" i="2"/>
  <c r="AF1148" i="2" s="1"/>
  <c r="AD1148" i="2"/>
  <c r="AD1147" i="2"/>
  <c r="Y1147" i="2"/>
  <c r="AF1147" i="2" s="1"/>
  <c r="Y1146" i="2"/>
  <c r="AF1146" i="2" s="1"/>
  <c r="AD1146" i="2"/>
  <c r="AD1145" i="2"/>
  <c r="Y1145" i="2"/>
  <c r="AF1145" i="2" s="1"/>
  <c r="Y1144" i="2"/>
  <c r="AF1144" i="2" s="1"/>
  <c r="AD1144" i="2"/>
  <c r="AD1143" i="2"/>
  <c r="Y1143" i="2"/>
  <c r="AF1143" i="2" s="1"/>
  <c r="AD1142" i="2"/>
  <c r="Y1142" i="2"/>
  <c r="AF1142" i="2" s="1"/>
  <c r="Y1141" i="2"/>
  <c r="AF1141" i="2" s="1"/>
  <c r="AD1141" i="2"/>
  <c r="AD1140" i="2"/>
  <c r="Y1140" i="2"/>
  <c r="AF1140" i="2" s="1"/>
  <c r="AD1139" i="2"/>
  <c r="Y1139" i="2"/>
  <c r="AF1139" i="2" s="1"/>
  <c r="AD1138" i="2"/>
  <c r="Y1138" i="2"/>
  <c r="AF1138" i="2" s="1"/>
  <c r="Y1137" i="2"/>
  <c r="AF1137" i="2" s="1"/>
  <c r="AD1137" i="2"/>
  <c r="AD1136" i="2"/>
  <c r="Y1136" i="2"/>
  <c r="AF1136" i="2" s="1"/>
  <c r="Y1135" i="2"/>
  <c r="AF1135" i="2" s="1"/>
  <c r="AD1135" i="2"/>
  <c r="Y1134" i="2"/>
  <c r="AF1134" i="2" s="1"/>
  <c r="AD1134" i="2"/>
  <c r="AD1133" i="2"/>
  <c r="Y1133" i="2"/>
  <c r="AF1133" i="2" s="1"/>
  <c r="Y1132" i="2"/>
  <c r="AF1132" i="2" s="1"/>
  <c r="AD1132" i="2"/>
  <c r="Y1131" i="2"/>
  <c r="AF1131" i="2" s="1"/>
  <c r="AD1131" i="2"/>
  <c r="Y1130" i="2"/>
  <c r="AF1130" i="2" s="1"/>
  <c r="AD1130" i="2"/>
  <c r="Y1129" i="2"/>
  <c r="AF1129" i="2" s="1"/>
  <c r="AD1129" i="2"/>
  <c r="Y1128" i="2"/>
  <c r="AF1128" i="2" s="1"/>
  <c r="AD1128" i="2"/>
  <c r="AD1127" i="2"/>
  <c r="Y1127" i="2"/>
  <c r="AF1127" i="2" s="1"/>
  <c r="Y1126" i="2"/>
  <c r="AF1126" i="2" s="1"/>
  <c r="AD1126" i="2"/>
  <c r="AD1125" i="2"/>
  <c r="Y1125" i="2"/>
  <c r="AF1125" i="2" s="1"/>
  <c r="AD1124" i="2"/>
  <c r="Y1124" i="2"/>
  <c r="AF1124" i="2" s="1"/>
  <c r="AD1123" i="2"/>
  <c r="Y1123" i="2"/>
  <c r="AF1123" i="2" s="1"/>
  <c r="AD1122" i="2"/>
  <c r="Y1122" i="2"/>
  <c r="AF1122" i="2" s="1"/>
  <c r="AD1121" i="2"/>
  <c r="Y1121" i="2"/>
  <c r="AF1121" i="2" s="1"/>
  <c r="AD1120" i="2"/>
  <c r="Y1120" i="2"/>
  <c r="AF1120" i="2" s="1"/>
  <c r="Y1119" i="2"/>
  <c r="AF1119" i="2" s="1"/>
  <c r="AD1119" i="2"/>
  <c r="Y1118" i="2"/>
  <c r="AF1118" i="2" s="1"/>
  <c r="AD1118" i="2"/>
  <c r="AD1117" i="2"/>
  <c r="Y1117" i="2"/>
  <c r="AF1117" i="2" s="1"/>
  <c r="AD919" i="2"/>
  <c r="Y919" i="2"/>
  <c r="AF919" i="2" s="1"/>
  <c r="AD918" i="2"/>
  <c r="Y918" i="2"/>
  <c r="AF918" i="2" s="1"/>
  <c r="AD917" i="2"/>
  <c r="Y917" i="2"/>
  <c r="AF917" i="2" s="1"/>
  <c r="AD916" i="2"/>
  <c r="Y916" i="2"/>
  <c r="AF916" i="2" s="1"/>
  <c r="AD915" i="2"/>
  <c r="Y915" i="2"/>
  <c r="AF915" i="2" s="1"/>
  <c r="AD914" i="2"/>
  <c r="Y914" i="2"/>
  <c r="AF914" i="2" s="1"/>
  <c r="AD913" i="2"/>
  <c r="Y913" i="2"/>
  <c r="AF913" i="2" s="1"/>
  <c r="AD912" i="2"/>
  <c r="Y912" i="2"/>
  <c r="AF912" i="2" s="1"/>
  <c r="AD911" i="2"/>
  <c r="Y911" i="2"/>
  <c r="AF911" i="2" s="1"/>
  <c r="AD910" i="2"/>
  <c r="Y910" i="2"/>
  <c r="AF910" i="2" s="1"/>
  <c r="AD909" i="2"/>
  <c r="Y909" i="2"/>
  <c r="AF909" i="2" s="1"/>
  <c r="AD908" i="2"/>
  <c r="Y908" i="2"/>
  <c r="AF908" i="2" s="1"/>
  <c r="AD907" i="2"/>
  <c r="Y907" i="2"/>
  <c r="AF907" i="2" s="1"/>
  <c r="AD906" i="2"/>
  <c r="Y906" i="2"/>
  <c r="AF906" i="2" s="1"/>
  <c r="AD905" i="2"/>
  <c r="Y905" i="2"/>
  <c r="AF905" i="2" s="1"/>
  <c r="AD904" i="2"/>
  <c r="Y904" i="2"/>
  <c r="AF904" i="2" s="1"/>
  <c r="AD903" i="2"/>
  <c r="Y903" i="2"/>
  <c r="AF903" i="2" s="1"/>
  <c r="AD902" i="2"/>
  <c r="Y902" i="2"/>
  <c r="AF902" i="2" s="1"/>
  <c r="AD901" i="2"/>
  <c r="Y901" i="2"/>
  <c r="AF901" i="2" s="1"/>
  <c r="AD900" i="2"/>
  <c r="Y900" i="2"/>
  <c r="AF900" i="2" s="1"/>
  <c r="AD899" i="2"/>
  <c r="Y899" i="2"/>
  <c r="AF899" i="2" s="1"/>
  <c r="AD898" i="2"/>
  <c r="Y898" i="2"/>
  <c r="AF898" i="2" s="1"/>
  <c r="AD897" i="2"/>
  <c r="Y897" i="2"/>
  <c r="AF897" i="2" s="1"/>
  <c r="AD896" i="2"/>
  <c r="Y896" i="2"/>
  <c r="AF896" i="2" s="1"/>
  <c r="Y895" i="2"/>
  <c r="AF895" i="2" s="1"/>
  <c r="AD895" i="2"/>
  <c r="Y894" i="2"/>
  <c r="AF894" i="2" s="1"/>
  <c r="AD894" i="2"/>
  <c r="Y893" i="2"/>
  <c r="AF893" i="2" s="1"/>
  <c r="AD893" i="2"/>
  <c r="Y892" i="2"/>
  <c r="AF892" i="2" s="1"/>
  <c r="AD892" i="2"/>
  <c r="Y891" i="2"/>
  <c r="AF891" i="2" s="1"/>
  <c r="AD891" i="2"/>
  <c r="Y890" i="2"/>
  <c r="AF890" i="2" s="1"/>
  <c r="AD890" i="2"/>
  <c r="Y889" i="2"/>
  <c r="AF889" i="2" s="1"/>
  <c r="AD889" i="2"/>
  <c r="Y888" i="2"/>
  <c r="AF888" i="2" s="1"/>
  <c r="AD888" i="2"/>
  <c r="Y887" i="2"/>
  <c r="AF887" i="2" s="1"/>
  <c r="AD887" i="2"/>
  <c r="AD1601" i="2"/>
  <c r="Y1601" i="2"/>
  <c r="AF1601" i="2" s="1"/>
  <c r="AD1600" i="2"/>
  <c r="Y1600" i="2"/>
  <c r="AF1600" i="2" s="1"/>
  <c r="AD1599" i="2"/>
  <c r="Y1599" i="2"/>
  <c r="AF1599" i="2" s="1"/>
  <c r="AD1598" i="2"/>
  <c r="Y1598" i="2"/>
  <c r="AF1598" i="2" s="1"/>
  <c r="AD1597" i="2"/>
  <c r="Y1597" i="2"/>
  <c r="AF1597" i="2" s="1"/>
  <c r="AD1596" i="2"/>
  <c r="Y1596" i="2"/>
  <c r="AF1596" i="2" s="1"/>
  <c r="AD1595" i="2"/>
  <c r="Y1595" i="2"/>
  <c r="AF1595" i="2" s="1"/>
  <c r="AD1594" i="2"/>
  <c r="Y1594" i="2"/>
  <c r="AF1594" i="2" s="1"/>
  <c r="AD1593" i="2"/>
  <c r="Y1593" i="2"/>
  <c r="AF1593" i="2" s="1"/>
  <c r="AD1592" i="2"/>
  <c r="Y1592" i="2"/>
  <c r="AF1592" i="2" s="1"/>
  <c r="AD1591" i="2"/>
  <c r="Y1591" i="2"/>
  <c r="AF1591" i="2" s="1"/>
  <c r="AD1590" i="2"/>
  <c r="Y1590" i="2"/>
  <c r="AF1590" i="2" s="1"/>
  <c r="AD1589" i="2"/>
  <c r="Y1589" i="2"/>
  <c r="AF1589" i="2" s="1"/>
  <c r="AD1588" i="2"/>
  <c r="Y1588" i="2"/>
  <c r="AF1588" i="2" s="1"/>
  <c r="AD1587" i="2"/>
  <c r="Y1587" i="2"/>
  <c r="AF1587" i="2" s="1"/>
  <c r="AD1586" i="2"/>
  <c r="Y1586" i="2"/>
  <c r="AF1586" i="2" s="1"/>
  <c r="AD1585" i="2"/>
  <c r="Y1585" i="2"/>
  <c r="AF1585" i="2" s="1"/>
  <c r="AD1584" i="2"/>
  <c r="Y1584" i="2"/>
  <c r="AF1584" i="2" s="1"/>
  <c r="AD1583" i="2"/>
  <c r="Y1583" i="2"/>
  <c r="AF1583" i="2" s="1"/>
  <c r="AD1582" i="2"/>
  <c r="Y1582" i="2"/>
  <c r="AF1582" i="2" s="1"/>
  <c r="AD1581" i="2"/>
  <c r="Y1581" i="2"/>
  <c r="AF1581" i="2" s="1"/>
  <c r="AD1580" i="2"/>
  <c r="Y1580" i="2"/>
  <c r="AF1580" i="2" s="1"/>
  <c r="AD1579" i="2"/>
  <c r="Y1579" i="2"/>
  <c r="AF1579" i="2" s="1"/>
  <c r="AD1578" i="2"/>
  <c r="Y1578" i="2"/>
  <c r="AF1578" i="2" s="1"/>
  <c r="AD1577" i="2"/>
  <c r="Y1577" i="2"/>
  <c r="AF1577" i="2" s="1"/>
  <c r="AD1576" i="2"/>
  <c r="Y1576" i="2"/>
  <c r="AF1576" i="2" s="1"/>
  <c r="AD1575" i="2"/>
  <c r="Y1575" i="2"/>
  <c r="AF1575" i="2" s="1"/>
  <c r="AD1574" i="2"/>
  <c r="Y1574" i="2"/>
  <c r="AF1574" i="2" s="1"/>
  <c r="AD1573" i="2"/>
  <c r="Y1573" i="2"/>
  <c r="AF1573" i="2" s="1"/>
  <c r="AD1572" i="2"/>
  <c r="Y1572" i="2"/>
  <c r="AF1572" i="2" s="1"/>
  <c r="AD1571" i="2"/>
  <c r="Y1571" i="2"/>
  <c r="AF1571" i="2" s="1"/>
  <c r="AD1570" i="2"/>
  <c r="Y1570" i="2"/>
  <c r="AF1570" i="2" s="1"/>
  <c r="AD1569" i="2"/>
  <c r="Y1569" i="2"/>
  <c r="AF1569" i="2" s="1"/>
  <c r="AD1568" i="2"/>
  <c r="Y1568" i="2"/>
  <c r="AF1568" i="2" s="1"/>
  <c r="AD1567" i="2"/>
  <c r="Y1567" i="2"/>
  <c r="AF1567" i="2" s="1"/>
  <c r="AD1566" i="2"/>
  <c r="Y1566" i="2"/>
  <c r="AF1566" i="2" s="1"/>
  <c r="AD1565" i="2"/>
  <c r="Y1565" i="2"/>
  <c r="AF1565" i="2" s="1"/>
  <c r="AD1564" i="2"/>
  <c r="Y1564" i="2"/>
  <c r="AF1564" i="2" s="1"/>
  <c r="AD1563" i="2"/>
  <c r="Y1563" i="2"/>
  <c r="AF1563" i="2" s="1"/>
  <c r="AD1562" i="2"/>
  <c r="Y1562" i="2"/>
  <c r="AF1562" i="2" s="1"/>
  <c r="AD1561" i="2"/>
  <c r="Y1561" i="2"/>
  <c r="AF1561" i="2" s="1"/>
  <c r="AD1560" i="2"/>
  <c r="Y1560" i="2"/>
  <c r="AF1560" i="2" s="1"/>
  <c r="AD1559" i="2"/>
  <c r="Y1559" i="2"/>
  <c r="AF1559" i="2" s="1"/>
  <c r="AD1558" i="2"/>
  <c r="Y1558" i="2"/>
  <c r="AF1558" i="2" s="1"/>
  <c r="AD1557" i="2"/>
  <c r="Y1557" i="2"/>
  <c r="AF1557" i="2" s="1"/>
  <c r="AD1556" i="2"/>
  <c r="Y1556" i="2"/>
  <c r="AF1556" i="2" s="1"/>
  <c r="AD1555" i="2"/>
  <c r="Y1555" i="2"/>
  <c r="AF1555" i="2" s="1"/>
  <c r="AD1554" i="2"/>
  <c r="Y1554" i="2"/>
  <c r="AF1554" i="2" s="1"/>
  <c r="AD1553" i="2"/>
  <c r="Y1553" i="2"/>
  <c r="AF1553" i="2" s="1"/>
  <c r="AD1552" i="2"/>
  <c r="Y1552" i="2"/>
  <c r="AF1552" i="2" s="1"/>
  <c r="AD1551" i="2"/>
  <c r="Y1551" i="2"/>
  <c r="AF1551" i="2" s="1"/>
  <c r="AD1550" i="2"/>
  <c r="Y1550" i="2"/>
  <c r="AF1550" i="2" s="1"/>
  <c r="AD1549" i="2"/>
  <c r="Y1549" i="2"/>
  <c r="AF1549" i="2" s="1"/>
  <c r="AD1548" i="2"/>
  <c r="Y1548" i="2"/>
  <c r="AF1548" i="2" s="1"/>
  <c r="AD1547" i="2"/>
  <c r="Y1547" i="2"/>
  <c r="AF1547" i="2" s="1"/>
  <c r="AD1546" i="2"/>
  <c r="Y1546" i="2"/>
  <c r="AF1546" i="2" s="1"/>
  <c r="AD1545" i="2"/>
  <c r="Y1545" i="2"/>
  <c r="AF1545" i="2" s="1"/>
  <c r="AD1544" i="2"/>
  <c r="Y1544" i="2"/>
  <c r="AF1544" i="2" s="1"/>
  <c r="AD1543" i="2"/>
  <c r="Y1543" i="2"/>
  <c r="AF1543" i="2" s="1"/>
  <c r="AD1542" i="2"/>
  <c r="Y1542" i="2"/>
  <c r="AF1542" i="2" s="1"/>
  <c r="AD1541" i="2"/>
  <c r="Y1541" i="2"/>
  <c r="AF1541" i="2" s="1"/>
  <c r="AD1540" i="2"/>
  <c r="Y1540" i="2"/>
  <c r="AF1540" i="2" s="1"/>
  <c r="AD1539" i="2"/>
  <c r="Y1539" i="2"/>
  <c r="AF1539" i="2" s="1"/>
  <c r="AD1538" i="2"/>
  <c r="Y1538" i="2"/>
  <c r="AF1538" i="2" s="1"/>
  <c r="AD1537" i="2"/>
  <c r="Y1537" i="2"/>
  <c r="AF1537" i="2" s="1"/>
  <c r="AD1536" i="2"/>
  <c r="Y1536" i="2"/>
  <c r="AF1536" i="2" s="1"/>
  <c r="AD1535" i="2"/>
  <c r="Y1535" i="2"/>
  <c r="AF1535" i="2" s="1"/>
  <c r="AD1534" i="2"/>
  <c r="Y1534" i="2"/>
  <c r="AF1534" i="2" s="1"/>
  <c r="AD1533" i="2"/>
  <c r="Y1533" i="2"/>
  <c r="AF1533" i="2" s="1"/>
  <c r="AD1532" i="2"/>
  <c r="Y1532" i="2"/>
  <c r="AF1532" i="2" s="1"/>
  <c r="AD1531" i="2"/>
  <c r="Y1531" i="2"/>
  <c r="AF1531" i="2" s="1"/>
  <c r="AD1530" i="2"/>
  <c r="Y1530" i="2"/>
  <c r="AF1530" i="2" s="1"/>
  <c r="AD1529" i="2"/>
  <c r="Y1529" i="2"/>
  <c r="AF1529" i="2" s="1"/>
  <c r="AD1528" i="2"/>
  <c r="Y1528" i="2"/>
  <c r="AF1528" i="2" s="1"/>
  <c r="AD1527" i="2"/>
  <c r="Y1527" i="2"/>
  <c r="AF1527" i="2" s="1"/>
  <c r="AD1526" i="2"/>
  <c r="Y1526" i="2"/>
  <c r="AF1526" i="2" s="1"/>
  <c r="AD1525" i="2"/>
  <c r="Y1525" i="2"/>
  <c r="AF1525" i="2" s="1"/>
  <c r="AD1524" i="2"/>
  <c r="Y1524" i="2"/>
  <c r="AF1524" i="2" s="1"/>
  <c r="AD1523" i="2"/>
  <c r="Y1523" i="2"/>
  <c r="AF1523" i="2" s="1"/>
  <c r="AD1522" i="2"/>
  <c r="Y1522" i="2"/>
  <c r="AF1522" i="2" s="1"/>
  <c r="AD1521" i="2"/>
  <c r="Y1521" i="2"/>
  <c r="AF1521" i="2" s="1"/>
  <c r="AD1520" i="2"/>
  <c r="Y1520" i="2"/>
  <c r="AF1520" i="2" s="1"/>
  <c r="AD1519" i="2"/>
  <c r="Y1519" i="2"/>
  <c r="AF1519" i="2" s="1"/>
  <c r="AD1518" i="2"/>
  <c r="Y1518" i="2"/>
  <c r="AF1518" i="2" s="1"/>
  <c r="AD1517" i="2"/>
  <c r="Y1517" i="2"/>
  <c r="AF1517" i="2" s="1"/>
  <c r="AD1516" i="2"/>
  <c r="Y1516" i="2"/>
  <c r="AF1516" i="2" s="1"/>
  <c r="AD1515" i="2"/>
  <c r="Y1515" i="2"/>
  <c r="AF1515" i="2" s="1"/>
  <c r="AD1514" i="2"/>
  <c r="Y1514" i="2"/>
  <c r="AF1514" i="2" s="1"/>
  <c r="AD1513" i="2"/>
  <c r="Y1513" i="2"/>
  <c r="AF1513" i="2" s="1"/>
  <c r="AD1512" i="2"/>
  <c r="Y1512" i="2"/>
  <c r="AF1512" i="2" s="1"/>
  <c r="AD1511" i="2"/>
  <c r="Y1511" i="2"/>
  <c r="AF1511" i="2" s="1"/>
  <c r="AD1509" i="2"/>
  <c r="Y1509" i="2"/>
  <c r="AF1509" i="2" s="1"/>
  <c r="AD819" i="2"/>
  <c r="Y819" i="2"/>
  <c r="AF819" i="2" s="1"/>
  <c r="AD818" i="2"/>
  <c r="Y818" i="2"/>
  <c r="AF818" i="2" s="1"/>
  <c r="AD817" i="2"/>
  <c r="Y817" i="2"/>
  <c r="AF817" i="2" s="1"/>
  <c r="AD816" i="2"/>
  <c r="Y816" i="2"/>
  <c r="AF816" i="2" s="1"/>
  <c r="AD815" i="2"/>
  <c r="Y815" i="2"/>
  <c r="AF815" i="2" s="1"/>
  <c r="AD814" i="2"/>
  <c r="Y814" i="2"/>
  <c r="AF814" i="2" s="1"/>
  <c r="AD813" i="2"/>
  <c r="Y813" i="2"/>
  <c r="AF813" i="2" s="1"/>
  <c r="AD812" i="2"/>
  <c r="Y812" i="2"/>
  <c r="AF812" i="2" s="1"/>
  <c r="AD811" i="2"/>
  <c r="Y811" i="2"/>
  <c r="AF811" i="2" s="1"/>
  <c r="AD810" i="2"/>
  <c r="Y810" i="2"/>
  <c r="AF810" i="2" s="1"/>
  <c r="AD809" i="2"/>
  <c r="Y809" i="2"/>
  <c r="AF809" i="2" s="1"/>
  <c r="AD808" i="2"/>
  <c r="Y808" i="2"/>
  <c r="AF808" i="2" s="1"/>
  <c r="AD807" i="2"/>
  <c r="Y807" i="2"/>
  <c r="AF807" i="2" s="1"/>
  <c r="AD806" i="2"/>
  <c r="Y806" i="2"/>
  <c r="AF806" i="2" s="1"/>
  <c r="AD805" i="2"/>
  <c r="Y805" i="2"/>
  <c r="AF805" i="2" s="1"/>
  <c r="AD804" i="2"/>
  <c r="Y804" i="2"/>
  <c r="AF804" i="2" s="1"/>
  <c r="AD803" i="2"/>
  <c r="Y803" i="2"/>
  <c r="AF803" i="2" s="1"/>
  <c r="AD802" i="2"/>
  <c r="Y802" i="2"/>
  <c r="AF802" i="2" s="1"/>
  <c r="AD459" i="2"/>
  <c r="Y459" i="2"/>
  <c r="AF459" i="2" s="1"/>
  <c r="AD458" i="2"/>
  <c r="Y458" i="2"/>
  <c r="AF458" i="2" s="1"/>
  <c r="AD457" i="2"/>
  <c r="Y457" i="2"/>
  <c r="AF457" i="2" s="1"/>
  <c r="AD456" i="2"/>
  <c r="Y456" i="2"/>
  <c r="AF456" i="2" s="1"/>
  <c r="AD455" i="2"/>
  <c r="Y455" i="2"/>
  <c r="AF455" i="2" s="1"/>
  <c r="AD454" i="2"/>
  <c r="Y454" i="2"/>
  <c r="AF454" i="2" s="1"/>
  <c r="AD453" i="2"/>
  <c r="Y453" i="2"/>
  <c r="AF453" i="2" s="1"/>
  <c r="AD452" i="2"/>
  <c r="Y452" i="2"/>
  <c r="AF452" i="2" s="1"/>
  <c r="AD451" i="2"/>
  <c r="Y451" i="2"/>
  <c r="AF451" i="2" s="1"/>
  <c r="AD450" i="2"/>
  <c r="Y450" i="2"/>
  <c r="AF450" i="2" s="1"/>
  <c r="AD449" i="2"/>
  <c r="Y449" i="2"/>
  <c r="AF449" i="2" s="1"/>
  <c r="AD448" i="2"/>
  <c r="Y448" i="2"/>
  <c r="AF448" i="2" s="1"/>
  <c r="AD447" i="2"/>
  <c r="Y447" i="2"/>
  <c r="AF447" i="2" s="1"/>
  <c r="AD886" i="2"/>
  <c r="Y886" i="2"/>
  <c r="AF886" i="2" s="1"/>
  <c r="AD885" i="2"/>
  <c r="Y885" i="2"/>
  <c r="AF885" i="2" s="1"/>
  <c r="AD884" i="2"/>
  <c r="Y884" i="2"/>
  <c r="AF884" i="2" s="1"/>
  <c r="AD883" i="2"/>
  <c r="Y883" i="2"/>
  <c r="AF883" i="2" s="1"/>
  <c r="AD882" i="2"/>
  <c r="Y882" i="2"/>
  <c r="AF882" i="2" s="1"/>
  <c r="AD881" i="2"/>
  <c r="Y881" i="2"/>
  <c r="AF881" i="2" s="1"/>
  <c r="AD880" i="2"/>
  <c r="Y880" i="2"/>
  <c r="AF880" i="2" s="1"/>
  <c r="AD879" i="2"/>
  <c r="Y879" i="2"/>
  <c r="AF879" i="2" s="1"/>
  <c r="AD878" i="2"/>
  <c r="Y878" i="2"/>
  <c r="AF878" i="2" s="1"/>
  <c r="AD877" i="2"/>
  <c r="Y877" i="2"/>
  <c r="AF877" i="2" s="1"/>
  <c r="AD876" i="2"/>
  <c r="Y876" i="2"/>
  <c r="AF876" i="2" s="1"/>
  <c r="AD875" i="2"/>
  <c r="Y875" i="2"/>
  <c r="AF875" i="2" s="1"/>
  <c r="AD874" i="2"/>
  <c r="Y874" i="2"/>
  <c r="AF874" i="2" s="1"/>
  <c r="AD873" i="2"/>
  <c r="Y873" i="2"/>
  <c r="AF873" i="2" s="1"/>
  <c r="Y872" i="2"/>
  <c r="AF872" i="2" s="1"/>
  <c r="AD872" i="2"/>
  <c r="Y871" i="2"/>
  <c r="AF871" i="2" s="1"/>
  <c r="AD871" i="2"/>
  <c r="AD870" i="2"/>
  <c r="Y870" i="2"/>
  <c r="AF870" i="2" s="1"/>
  <c r="AD869" i="2"/>
  <c r="Y869" i="2"/>
  <c r="AF869" i="2" s="1"/>
  <c r="AD868" i="2"/>
  <c r="Y868" i="2"/>
  <c r="AF868" i="2" s="1"/>
  <c r="AD867" i="2"/>
  <c r="Y867" i="2"/>
  <c r="AF867" i="2" s="1"/>
  <c r="AD866" i="2"/>
  <c r="Y866" i="2"/>
  <c r="AF866" i="2" s="1"/>
  <c r="AD865" i="2"/>
  <c r="Y865" i="2"/>
  <c r="AF865" i="2" s="1"/>
  <c r="AD864" i="2"/>
  <c r="Y864" i="2"/>
  <c r="AF864" i="2" s="1"/>
  <c r="AD863" i="2"/>
  <c r="Y863" i="2"/>
  <c r="AF863" i="2" s="1"/>
  <c r="AD862" i="2"/>
  <c r="Y862" i="2"/>
  <c r="AF862" i="2" s="1"/>
  <c r="AD861" i="2"/>
  <c r="Y861" i="2"/>
  <c r="AF861" i="2" s="1"/>
  <c r="AD860" i="2"/>
  <c r="Y860" i="2"/>
  <c r="AF860" i="2" s="1"/>
  <c r="AD859" i="2"/>
  <c r="Y859" i="2"/>
  <c r="AF859" i="2" s="1"/>
  <c r="AD858" i="2"/>
  <c r="Y858" i="2"/>
  <c r="AF858" i="2" s="1"/>
  <c r="AD857" i="2"/>
  <c r="Y857" i="2"/>
  <c r="AF857" i="2" s="1"/>
  <c r="AD856" i="2"/>
  <c r="Y856" i="2"/>
  <c r="AF856" i="2" s="1"/>
  <c r="Y855" i="2"/>
  <c r="AF855" i="2" s="1"/>
  <c r="AD855" i="2"/>
  <c r="AD854" i="2"/>
  <c r="Y854" i="2"/>
  <c r="AF854" i="2" s="1"/>
  <c r="AD853" i="2"/>
  <c r="Y853" i="2"/>
  <c r="AF853" i="2" s="1"/>
  <c r="Y852" i="2"/>
  <c r="AF852" i="2" s="1"/>
  <c r="AD852" i="2"/>
  <c r="AD851" i="2"/>
  <c r="Y851" i="2"/>
  <c r="AF851" i="2" s="1"/>
  <c r="Y850" i="2"/>
  <c r="AF850" i="2" s="1"/>
  <c r="AD850" i="2"/>
  <c r="AD849" i="2"/>
  <c r="Y849" i="2"/>
  <c r="AF849" i="2" s="1"/>
  <c r="AD848" i="2"/>
  <c r="Y848" i="2"/>
  <c r="AF848" i="2" s="1"/>
  <c r="AD847" i="2"/>
  <c r="Y847" i="2"/>
  <c r="AF847" i="2" s="1"/>
  <c r="AD846" i="2"/>
  <c r="Y846" i="2"/>
  <c r="AF846" i="2" s="1"/>
  <c r="AD845" i="2"/>
  <c r="Y845" i="2"/>
  <c r="AF845" i="2" s="1"/>
  <c r="AD844" i="2"/>
  <c r="Y844" i="2"/>
  <c r="AF844" i="2" s="1"/>
  <c r="Y843" i="2"/>
  <c r="AF843" i="2" s="1"/>
  <c r="AD843" i="2"/>
  <c r="AD842" i="2"/>
  <c r="Y842" i="2"/>
  <c r="AF842" i="2" s="1"/>
  <c r="AD841" i="2"/>
  <c r="Y841" i="2"/>
  <c r="AF841" i="2" s="1"/>
  <c r="AD840" i="2"/>
  <c r="Y840" i="2"/>
  <c r="AF840" i="2" s="1"/>
  <c r="AD839" i="2"/>
  <c r="Y839" i="2"/>
  <c r="AF839" i="2" s="1"/>
  <c r="AD838" i="2"/>
  <c r="Y838" i="2"/>
  <c r="AF838" i="2" s="1"/>
  <c r="Y837" i="2"/>
  <c r="AF837" i="2" s="1"/>
  <c r="AD837" i="2"/>
  <c r="Y836" i="2"/>
  <c r="AF836" i="2" s="1"/>
  <c r="AD836" i="2"/>
  <c r="AD835" i="2"/>
  <c r="Y835" i="2"/>
  <c r="AF835" i="2" s="1"/>
  <c r="AD834" i="2"/>
  <c r="Y834" i="2"/>
  <c r="AF834" i="2" s="1"/>
  <c r="Y833" i="2"/>
  <c r="AF833" i="2" s="1"/>
  <c r="AD833" i="2"/>
  <c r="AD832" i="2"/>
  <c r="Y832" i="2"/>
  <c r="AF832" i="2" s="1"/>
  <c r="AD831" i="2"/>
  <c r="Y831" i="2"/>
  <c r="AF831" i="2" s="1"/>
  <c r="Y830" i="2"/>
  <c r="AF830" i="2" s="1"/>
  <c r="AD830" i="2"/>
  <c r="Y829" i="2"/>
  <c r="AF829" i="2" s="1"/>
  <c r="AD829" i="2"/>
  <c r="Y828" i="2"/>
  <c r="AF828" i="2" s="1"/>
  <c r="AD828" i="2"/>
  <c r="Y827" i="2"/>
  <c r="AF827" i="2" s="1"/>
  <c r="AD827" i="2"/>
  <c r="AD826" i="2"/>
  <c r="Y826" i="2"/>
  <c r="AF826" i="2" s="1"/>
  <c r="AD825" i="2"/>
  <c r="Y825" i="2"/>
  <c r="AF825" i="2" s="1"/>
  <c r="AD824" i="2"/>
  <c r="Y824" i="2"/>
  <c r="AF824" i="2" s="1"/>
  <c r="AD823" i="2"/>
  <c r="Y823" i="2"/>
  <c r="AF823" i="2" s="1"/>
  <c r="AD822" i="2"/>
  <c r="Y822" i="2"/>
  <c r="AF822" i="2" s="1"/>
  <c r="AD821" i="2"/>
  <c r="Y821" i="2"/>
  <c r="AF821" i="2" s="1"/>
  <c r="Y820" i="2"/>
  <c r="AF820" i="2" s="1"/>
  <c r="AD820" i="2"/>
  <c r="AD460" i="2"/>
  <c r="Y460" i="2"/>
  <c r="AF460" i="2" s="1"/>
  <c r="Y1501" i="2"/>
  <c r="AF1501" i="2" s="1"/>
  <c r="AD1501" i="2"/>
  <c r="Y1500" i="2"/>
  <c r="AF1500" i="2" s="1"/>
  <c r="AD1500" i="2"/>
  <c r="Y1499" i="2"/>
  <c r="AF1499" i="2" s="1"/>
  <c r="AD1499" i="2"/>
  <c r="Y1498" i="2"/>
  <c r="AF1498" i="2" s="1"/>
  <c r="AD1498" i="2"/>
  <c r="Y1497" i="2"/>
  <c r="AF1497" i="2" s="1"/>
  <c r="AD1497" i="2"/>
  <c r="Y1496" i="2"/>
  <c r="AF1496" i="2" s="1"/>
  <c r="AD1496" i="2"/>
  <c r="Y1495" i="2"/>
  <c r="AF1495" i="2" s="1"/>
  <c r="AD1495" i="2"/>
  <c r="Y1494" i="2"/>
  <c r="AF1494" i="2" s="1"/>
  <c r="AD1494" i="2"/>
  <c r="Y1493" i="2"/>
  <c r="AF1493" i="2" s="1"/>
  <c r="AD1493" i="2"/>
  <c r="Y1492" i="2"/>
  <c r="AF1492" i="2" s="1"/>
  <c r="AD1492" i="2"/>
  <c r="Y1491" i="2"/>
  <c r="AF1491" i="2" s="1"/>
  <c r="AD1491" i="2"/>
  <c r="Y1490" i="2"/>
  <c r="AF1490" i="2" s="1"/>
  <c r="AD1490" i="2"/>
  <c r="Y1489" i="2"/>
  <c r="AF1489" i="2" s="1"/>
  <c r="AD1489" i="2"/>
  <c r="Y1488" i="2"/>
  <c r="AF1488" i="2" s="1"/>
  <c r="AD1488" i="2"/>
  <c r="Y1487" i="2"/>
  <c r="AF1487" i="2" s="1"/>
  <c r="AD1487" i="2"/>
  <c r="Y1486" i="2"/>
  <c r="AF1486" i="2" s="1"/>
  <c r="AD1486" i="2"/>
  <c r="Y1485" i="2"/>
  <c r="AF1485" i="2" s="1"/>
  <c r="AD1485" i="2"/>
  <c r="Y1484" i="2"/>
  <c r="AF1484" i="2" s="1"/>
  <c r="AD1484" i="2"/>
  <c r="Y1483" i="2"/>
  <c r="AF1483" i="2" s="1"/>
  <c r="AD1483" i="2"/>
  <c r="Y1482" i="2"/>
  <c r="AF1482" i="2" s="1"/>
  <c r="AD1482" i="2"/>
  <c r="Y1481" i="2"/>
  <c r="AF1481" i="2" s="1"/>
  <c r="AD1481" i="2"/>
  <c r="Y1480" i="2"/>
  <c r="AF1480" i="2" s="1"/>
  <c r="AD1480" i="2"/>
  <c r="Y1479" i="2"/>
  <c r="AF1479" i="2" s="1"/>
  <c r="AD1479" i="2"/>
  <c r="Y1478" i="2"/>
  <c r="AF1478" i="2" s="1"/>
  <c r="AD1478" i="2"/>
  <c r="Y1477" i="2"/>
  <c r="AF1477" i="2" s="1"/>
  <c r="AD1477" i="2"/>
  <c r="Y1476" i="2"/>
  <c r="AF1476" i="2" s="1"/>
  <c r="AD1476" i="2"/>
  <c r="Y1475" i="2"/>
  <c r="AF1475" i="2" s="1"/>
  <c r="AD1475" i="2"/>
  <c r="Y1474" i="2"/>
  <c r="AF1474" i="2" s="1"/>
  <c r="AD1474" i="2"/>
  <c r="Y1473" i="2"/>
  <c r="AF1473" i="2" s="1"/>
  <c r="AD1473" i="2"/>
  <c r="Y1472" i="2"/>
  <c r="AF1472" i="2" s="1"/>
  <c r="AD1472" i="2"/>
  <c r="Y1471" i="2"/>
  <c r="AF1471" i="2" s="1"/>
  <c r="AD1471" i="2"/>
  <c r="Y1470" i="2"/>
  <c r="AF1470" i="2" s="1"/>
  <c r="AD1470" i="2"/>
  <c r="Y1469" i="2"/>
  <c r="AF1469" i="2" s="1"/>
  <c r="AD1469" i="2"/>
  <c r="Y1468" i="2"/>
  <c r="AF1468" i="2" s="1"/>
  <c r="AD1468" i="2"/>
  <c r="Y1467" i="2"/>
  <c r="AF1467" i="2" s="1"/>
  <c r="AD1467" i="2"/>
  <c r="Y1466" i="2"/>
  <c r="AF1466" i="2" s="1"/>
  <c r="AD1466" i="2"/>
  <c r="Y1465" i="2"/>
  <c r="AF1465" i="2" s="1"/>
  <c r="AD1465" i="2"/>
  <c r="Y1464" i="2"/>
  <c r="AF1464" i="2" s="1"/>
  <c r="AD1464" i="2"/>
  <c r="Y1463" i="2"/>
  <c r="AF1463" i="2" s="1"/>
  <c r="AD1463" i="2"/>
  <c r="Y1462" i="2"/>
  <c r="AF1462" i="2" s="1"/>
  <c r="AD1462" i="2"/>
  <c r="Y1461" i="2"/>
  <c r="AF1461" i="2" s="1"/>
  <c r="AD1461" i="2"/>
  <c r="Y1460" i="2"/>
  <c r="AF1460" i="2" s="1"/>
  <c r="AD1460" i="2"/>
  <c r="Y1459" i="2"/>
  <c r="AF1459" i="2" s="1"/>
  <c r="AD1459" i="2"/>
  <c r="Y1458" i="2"/>
  <c r="AF1458" i="2" s="1"/>
  <c r="AD1458" i="2"/>
  <c r="Y1457" i="2"/>
  <c r="AF1457" i="2" s="1"/>
  <c r="AD1457" i="2"/>
  <c r="Y1456" i="2"/>
  <c r="AF1456" i="2" s="1"/>
  <c r="AD1456" i="2"/>
  <c r="Y1455" i="2"/>
  <c r="AF1455" i="2" s="1"/>
  <c r="AD1455" i="2"/>
  <c r="Y1454" i="2"/>
  <c r="AF1454" i="2" s="1"/>
  <c r="AD1454" i="2"/>
  <c r="Y1453" i="2"/>
  <c r="AF1453" i="2" s="1"/>
  <c r="AD1453" i="2"/>
  <c r="Y1452" i="2"/>
  <c r="AF1452" i="2" s="1"/>
  <c r="AD1452" i="2"/>
  <c r="Y1451" i="2"/>
  <c r="AF1451" i="2" s="1"/>
  <c r="AD1451" i="2"/>
  <c r="Y1450" i="2"/>
  <c r="AF1450" i="2" s="1"/>
  <c r="AD1450" i="2"/>
  <c r="Y1449" i="2"/>
  <c r="AF1449" i="2" s="1"/>
  <c r="AD1449" i="2"/>
  <c r="Y1448" i="2"/>
  <c r="AF1448" i="2" s="1"/>
  <c r="AD1448" i="2"/>
  <c r="Y1447" i="2"/>
  <c r="AF1447" i="2" s="1"/>
  <c r="AD1447" i="2"/>
  <c r="Y1446" i="2"/>
  <c r="AF1446" i="2" s="1"/>
  <c r="AD1446" i="2"/>
  <c r="Y1445" i="2"/>
  <c r="AF1445" i="2" s="1"/>
  <c r="AD1445" i="2"/>
  <c r="Y1444" i="2"/>
  <c r="AF1444" i="2" s="1"/>
  <c r="AD1444" i="2"/>
  <c r="Y1443" i="2"/>
  <c r="AF1443" i="2" s="1"/>
  <c r="AD1443" i="2"/>
  <c r="Y1442" i="2"/>
  <c r="AF1442" i="2" s="1"/>
  <c r="AD1442" i="2"/>
  <c r="Y1441" i="2"/>
  <c r="AF1441" i="2" s="1"/>
  <c r="AD1441" i="2"/>
  <c r="Y1440" i="2"/>
  <c r="AF1440" i="2" s="1"/>
  <c r="AD1440" i="2"/>
  <c r="Y1439" i="2"/>
  <c r="AF1439" i="2" s="1"/>
  <c r="AD1439" i="2"/>
  <c r="Y1438" i="2"/>
  <c r="AF1438" i="2" s="1"/>
  <c r="AD1438" i="2"/>
  <c r="Y1437" i="2"/>
  <c r="AF1437" i="2" s="1"/>
  <c r="AD1437" i="2"/>
  <c r="Y1436" i="2"/>
  <c r="AF1436" i="2" s="1"/>
  <c r="AD1436" i="2"/>
  <c r="Y1435" i="2"/>
  <c r="AF1435" i="2" s="1"/>
  <c r="AD1435" i="2"/>
  <c r="Y1434" i="2"/>
  <c r="AF1434" i="2" s="1"/>
  <c r="AD1434" i="2"/>
  <c r="Y1433" i="2"/>
  <c r="AF1433" i="2" s="1"/>
  <c r="AD1433" i="2"/>
  <c r="Y1432" i="2"/>
  <c r="AF1432" i="2" s="1"/>
  <c r="AD1432" i="2"/>
  <c r="Y1431" i="2"/>
  <c r="AF1431" i="2" s="1"/>
  <c r="AD1431" i="2"/>
  <c r="Y1430" i="2"/>
  <c r="AF1430" i="2" s="1"/>
  <c r="AD1430" i="2"/>
  <c r="Y1429" i="2"/>
  <c r="AF1429" i="2" s="1"/>
  <c r="AD1429" i="2"/>
  <c r="Y1428" i="2"/>
  <c r="AF1428" i="2" s="1"/>
  <c r="AD1428" i="2"/>
  <c r="Y1427" i="2"/>
  <c r="AF1427" i="2" s="1"/>
  <c r="AD1427" i="2"/>
  <c r="Y1426" i="2"/>
  <c r="AF1426" i="2" s="1"/>
  <c r="AD1426" i="2"/>
  <c r="Y1425" i="2"/>
  <c r="AF1425" i="2" s="1"/>
  <c r="AD1425" i="2"/>
  <c r="Y1424" i="2"/>
  <c r="AF1424" i="2" s="1"/>
  <c r="AD1424" i="2"/>
  <c r="Y1423" i="2"/>
  <c r="AF1423" i="2" s="1"/>
  <c r="AD1423" i="2"/>
  <c r="Y1422" i="2"/>
  <c r="AF1422" i="2" s="1"/>
  <c r="AD1422" i="2"/>
  <c r="Y1421" i="2"/>
  <c r="AF1421" i="2" s="1"/>
  <c r="AD1421" i="2"/>
  <c r="Y1420" i="2"/>
  <c r="AF1420" i="2" s="1"/>
  <c r="AD1420" i="2"/>
  <c r="Y1419" i="2"/>
  <c r="AF1419" i="2" s="1"/>
  <c r="AD1419" i="2"/>
  <c r="Y1418" i="2"/>
  <c r="AF1418" i="2" s="1"/>
  <c r="AD1418" i="2"/>
  <c r="Y1417" i="2"/>
  <c r="AF1417" i="2" s="1"/>
  <c r="AD1417" i="2"/>
  <c r="Y1416" i="2"/>
  <c r="AF1416" i="2" s="1"/>
  <c r="AD1416" i="2"/>
  <c r="Y1415" i="2"/>
  <c r="AF1415" i="2" s="1"/>
  <c r="AD1415" i="2"/>
  <c r="Y1414" i="2"/>
  <c r="AF1414" i="2" s="1"/>
  <c r="AD1414" i="2"/>
  <c r="Y1413" i="2"/>
  <c r="AF1413" i="2" s="1"/>
  <c r="AD1413" i="2"/>
  <c r="Y1412" i="2"/>
  <c r="AF1412" i="2" s="1"/>
  <c r="AD1412" i="2"/>
  <c r="Y1411" i="2"/>
  <c r="AF1411" i="2" s="1"/>
  <c r="AD1411" i="2"/>
  <c r="Y1410" i="2"/>
  <c r="AF1410" i="2" s="1"/>
  <c r="AD1410" i="2"/>
  <c r="Y1409" i="2"/>
  <c r="AF1409" i="2" s="1"/>
  <c r="AD1409" i="2"/>
  <c r="Y1408" i="2"/>
  <c r="AF1408" i="2" s="1"/>
  <c r="AD1408" i="2"/>
  <c r="Y1407" i="2"/>
  <c r="AF1407" i="2" s="1"/>
  <c r="AD1407" i="2"/>
  <c r="Y1406" i="2"/>
  <c r="AF1406" i="2" s="1"/>
  <c r="AD1406" i="2"/>
  <c r="Y1405" i="2"/>
  <c r="AF1405" i="2" s="1"/>
  <c r="AD1405" i="2"/>
  <c r="Y1404" i="2"/>
  <c r="AF1404" i="2" s="1"/>
  <c r="AD1404" i="2"/>
  <c r="Y1403" i="2"/>
  <c r="AF1403" i="2" s="1"/>
  <c r="AD1403" i="2"/>
  <c r="Y1402" i="2"/>
  <c r="AF1402" i="2" s="1"/>
  <c r="AD1402" i="2"/>
  <c r="Y1401" i="2"/>
  <c r="AF1401" i="2" s="1"/>
  <c r="AD1401" i="2"/>
  <c r="Y1400" i="2"/>
  <c r="AF1400" i="2" s="1"/>
  <c r="AD1400" i="2"/>
  <c r="Y1399" i="2"/>
  <c r="AF1399" i="2" s="1"/>
  <c r="AD1399" i="2"/>
  <c r="Y1398" i="2"/>
  <c r="AF1398" i="2" s="1"/>
  <c r="AD1398" i="2"/>
  <c r="Y1397" i="2"/>
  <c r="AF1397" i="2" s="1"/>
  <c r="AD1397" i="2"/>
  <c r="Y1396" i="2"/>
  <c r="AF1396" i="2" s="1"/>
  <c r="AD1396" i="2"/>
  <c r="Y1395" i="2"/>
  <c r="AF1395" i="2" s="1"/>
  <c r="AD1395" i="2"/>
  <c r="Y1394" i="2"/>
  <c r="AF1394" i="2" s="1"/>
  <c r="AD1394" i="2"/>
  <c r="Y1393" i="2"/>
  <c r="AF1393" i="2" s="1"/>
  <c r="AD1393" i="2"/>
  <c r="Y1392" i="2"/>
  <c r="AF1392" i="2" s="1"/>
  <c r="AD1392" i="2"/>
  <c r="Y1391" i="2"/>
  <c r="AF1391" i="2" s="1"/>
  <c r="AD1391" i="2"/>
  <c r="Y1390" i="2"/>
  <c r="AF1390" i="2" s="1"/>
  <c r="AD1390" i="2"/>
  <c r="Y1389" i="2"/>
  <c r="AF1389" i="2" s="1"/>
  <c r="AD1389" i="2"/>
  <c r="Y1388" i="2"/>
  <c r="AF1388" i="2" s="1"/>
  <c r="AD1388" i="2"/>
  <c r="Y1387" i="2"/>
  <c r="AF1387" i="2" s="1"/>
  <c r="AD1387" i="2"/>
  <c r="Y1386" i="2"/>
  <c r="AF1386" i="2" s="1"/>
  <c r="AD1386" i="2"/>
  <c r="Y1385" i="2"/>
  <c r="AF1385" i="2" s="1"/>
  <c r="AD1385" i="2"/>
  <c r="Y1384" i="2"/>
  <c r="AF1384" i="2" s="1"/>
  <c r="AD1384" i="2"/>
  <c r="Y1383" i="2"/>
  <c r="AF1383" i="2" s="1"/>
  <c r="AD1383" i="2"/>
  <c r="Y1382" i="2"/>
  <c r="AF1382" i="2" s="1"/>
  <c r="AD1382" i="2"/>
  <c r="Y1381" i="2"/>
  <c r="AF1381" i="2" s="1"/>
  <c r="AD1381" i="2"/>
  <c r="Y1380" i="2"/>
  <c r="AF1380" i="2" s="1"/>
  <c r="AD1380" i="2"/>
  <c r="Y1379" i="2"/>
  <c r="AF1379" i="2" s="1"/>
  <c r="AD1379" i="2"/>
  <c r="Y1378" i="2"/>
  <c r="AF1378" i="2" s="1"/>
  <c r="AD1378" i="2"/>
  <c r="Y1377" i="2"/>
  <c r="AF1377" i="2" s="1"/>
  <c r="AD1377" i="2"/>
  <c r="Y1376" i="2"/>
  <c r="AF1376" i="2" s="1"/>
  <c r="AD1376" i="2"/>
  <c r="Y1375" i="2"/>
  <c r="AF1375" i="2" s="1"/>
  <c r="AD1375" i="2"/>
  <c r="Y1374" i="2"/>
  <c r="AF1374" i="2" s="1"/>
  <c r="AD1374" i="2"/>
  <c r="Y1373" i="2"/>
  <c r="AF1373" i="2" s="1"/>
  <c r="AD1373" i="2"/>
  <c r="Y1372" i="2"/>
  <c r="AF1372" i="2" s="1"/>
  <c r="AD1372" i="2"/>
  <c r="Y1371" i="2"/>
  <c r="AF1371" i="2" s="1"/>
  <c r="AD1371" i="2"/>
  <c r="Y1370" i="2"/>
  <c r="AF1370" i="2" s="1"/>
  <c r="AD1370" i="2"/>
  <c r="Y1369" i="2"/>
  <c r="AF1369" i="2" s="1"/>
  <c r="AD1369" i="2"/>
  <c r="Y1368" i="2"/>
  <c r="AF1368" i="2" s="1"/>
  <c r="AD1368" i="2"/>
  <c r="Y1367" i="2"/>
  <c r="AF1367" i="2" s="1"/>
  <c r="AD1367" i="2"/>
  <c r="Y1366" i="2"/>
  <c r="AF1366" i="2" s="1"/>
  <c r="AD1366" i="2"/>
  <c r="Y1365" i="2"/>
  <c r="AF1365" i="2" s="1"/>
  <c r="AD1365" i="2"/>
  <c r="Y1364" i="2"/>
  <c r="AF1364" i="2" s="1"/>
  <c r="AD1364" i="2"/>
  <c r="Y1363" i="2"/>
  <c r="AF1363" i="2" s="1"/>
  <c r="AD1363" i="2"/>
  <c r="Y1362" i="2"/>
  <c r="AF1362" i="2" s="1"/>
  <c r="AD1362" i="2"/>
  <c r="Y1361" i="2"/>
  <c r="AF1361" i="2" s="1"/>
  <c r="AD1361" i="2"/>
  <c r="Y1360" i="2"/>
  <c r="AF1360" i="2" s="1"/>
  <c r="AD1360" i="2"/>
  <c r="Y1359" i="2"/>
  <c r="AF1359" i="2" s="1"/>
  <c r="AD1359" i="2"/>
  <c r="Y1358" i="2"/>
  <c r="AF1358" i="2" s="1"/>
  <c r="AD1358" i="2"/>
  <c r="Y1357" i="2"/>
  <c r="AF1357" i="2" s="1"/>
  <c r="AD1357" i="2"/>
  <c r="Y1356" i="2"/>
  <c r="AF1356" i="2" s="1"/>
  <c r="AD1356" i="2"/>
  <c r="Y1355" i="2"/>
  <c r="AF1355" i="2" s="1"/>
  <c r="AD1355" i="2"/>
  <c r="Y1354" i="2"/>
  <c r="AF1354" i="2" s="1"/>
  <c r="AD1354" i="2"/>
  <c r="Y1353" i="2"/>
  <c r="AF1353" i="2" s="1"/>
  <c r="AD1353" i="2"/>
  <c r="Y1352" i="2"/>
  <c r="AF1352" i="2" s="1"/>
  <c r="AD1352" i="2"/>
  <c r="Y1351" i="2"/>
  <c r="AF1351" i="2" s="1"/>
  <c r="AD1351" i="2"/>
  <c r="Y1350" i="2"/>
  <c r="AF1350" i="2" s="1"/>
  <c r="AD1350" i="2"/>
  <c r="Y1349" i="2"/>
  <c r="AF1349" i="2" s="1"/>
  <c r="AD1349" i="2"/>
  <c r="Y1348" i="2"/>
  <c r="AF1348" i="2" s="1"/>
  <c r="AD1348" i="2"/>
  <c r="Y1347" i="2"/>
  <c r="AF1347" i="2" s="1"/>
  <c r="AD1347" i="2"/>
  <c r="Y1346" i="2"/>
  <c r="AF1346" i="2" s="1"/>
  <c r="AD1346" i="2"/>
  <c r="Y1345" i="2"/>
  <c r="AF1345" i="2" s="1"/>
  <c r="AD1345" i="2"/>
  <c r="Y1344" i="2"/>
  <c r="AF1344" i="2" s="1"/>
  <c r="AD1344" i="2"/>
  <c r="Y1343" i="2"/>
  <c r="AF1343" i="2" s="1"/>
  <c r="AD1343" i="2"/>
  <c r="Y1342" i="2"/>
  <c r="AF1342" i="2" s="1"/>
  <c r="AD1342" i="2"/>
  <c r="Y1341" i="2"/>
  <c r="AF1341" i="2" s="1"/>
  <c r="AD1341" i="2"/>
  <c r="Y1340" i="2"/>
  <c r="AF1340" i="2" s="1"/>
  <c r="AD1340" i="2"/>
  <c r="Y1339" i="2"/>
  <c r="AF1339" i="2" s="1"/>
  <c r="AD1339" i="2"/>
  <c r="Y1338" i="2"/>
  <c r="AF1338" i="2" s="1"/>
  <c r="AD1338" i="2"/>
  <c r="Y1337" i="2"/>
  <c r="AF1337" i="2" s="1"/>
  <c r="AD1337" i="2"/>
  <c r="Y1336" i="2"/>
  <c r="AF1336" i="2" s="1"/>
  <c r="AD1336" i="2"/>
  <c r="Y1335" i="2"/>
  <c r="AF1335" i="2" s="1"/>
  <c r="AD1335" i="2"/>
  <c r="Y1334" i="2"/>
  <c r="AF1334" i="2" s="1"/>
  <c r="AD1334" i="2"/>
  <c r="Y1333" i="2"/>
  <c r="AF1333" i="2" s="1"/>
  <c r="AD1333" i="2"/>
  <c r="Y1332" i="2"/>
  <c r="AF1332" i="2" s="1"/>
  <c r="AD1332" i="2"/>
  <c r="Y1331" i="2"/>
  <c r="AF1331" i="2" s="1"/>
  <c r="AD1331" i="2"/>
  <c r="Y1330" i="2"/>
  <c r="AF1330" i="2" s="1"/>
  <c r="AD1330" i="2"/>
  <c r="Y1329" i="2"/>
  <c r="AF1329" i="2" s="1"/>
  <c r="AD1329" i="2"/>
  <c r="Y1328" i="2"/>
  <c r="AF1328" i="2" s="1"/>
  <c r="AD1328" i="2"/>
  <c r="Y1327" i="2"/>
  <c r="AF1327" i="2" s="1"/>
  <c r="AD1327" i="2"/>
  <c r="Y1326" i="2"/>
  <c r="AF1326" i="2" s="1"/>
  <c r="AD1326" i="2"/>
  <c r="Y1325" i="2"/>
  <c r="AF1325" i="2" s="1"/>
  <c r="AD1325" i="2"/>
  <c r="Y1324" i="2"/>
  <c r="AF1324" i="2" s="1"/>
  <c r="AD1324" i="2"/>
  <c r="Y1323" i="2"/>
  <c r="AF1323" i="2" s="1"/>
  <c r="AD1323" i="2"/>
  <c r="Y1322" i="2"/>
  <c r="AF1322" i="2" s="1"/>
  <c r="AD1322" i="2"/>
  <c r="Y1321" i="2"/>
  <c r="AF1321" i="2" s="1"/>
  <c r="AD1321" i="2"/>
  <c r="Y1320" i="2"/>
  <c r="AF1320" i="2" s="1"/>
  <c r="AD1320" i="2"/>
  <c r="Y1319" i="2"/>
  <c r="AF1319" i="2" s="1"/>
  <c r="AD1319" i="2"/>
  <c r="Y1318" i="2"/>
  <c r="AF1318" i="2" s="1"/>
  <c r="AD1318" i="2"/>
  <c r="Y1317" i="2"/>
  <c r="AF1317" i="2" s="1"/>
  <c r="AD1317" i="2"/>
  <c r="Y1316" i="2"/>
  <c r="AF1316" i="2" s="1"/>
  <c r="AD1316" i="2"/>
  <c r="Y1315" i="2"/>
  <c r="AF1315" i="2" s="1"/>
  <c r="AD1315" i="2"/>
  <c r="Y1314" i="2"/>
  <c r="AF1314" i="2" s="1"/>
  <c r="AD1314" i="2"/>
  <c r="Y1313" i="2"/>
  <c r="AF1313" i="2" s="1"/>
  <c r="AD1313" i="2"/>
  <c r="Y1312" i="2"/>
  <c r="AF1312" i="2" s="1"/>
  <c r="AD1312" i="2"/>
  <c r="Y1311" i="2"/>
  <c r="AF1311" i="2" s="1"/>
  <c r="AD1311" i="2"/>
  <c r="Y1310" i="2"/>
  <c r="AF1310" i="2" s="1"/>
  <c r="AD1310" i="2"/>
  <c r="Y1309" i="2"/>
  <c r="AF1309" i="2" s="1"/>
  <c r="AD1309" i="2"/>
  <c r="Y1308" i="2"/>
  <c r="AF1308" i="2" s="1"/>
  <c r="AD1308" i="2"/>
  <c r="Y1307" i="2"/>
  <c r="AF1307" i="2" s="1"/>
  <c r="AD1307" i="2"/>
  <c r="Y1306" i="2"/>
  <c r="AF1306" i="2" s="1"/>
  <c r="AD1306" i="2"/>
  <c r="Y1305" i="2"/>
  <c r="AF1305" i="2" s="1"/>
  <c r="AD1305" i="2"/>
  <c r="Y1304" i="2"/>
  <c r="AF1304" i="2" s="1"/>
  <c r="AD1304" i="2"/>
  <c r="Y1303" i="2"/>
  <c r="AF1303" i="2" s="1"/>
  <c r="AD1303" i="2"/>
  <c r="Y1302" i="2"/>
  <c r="AF1302" i="2" s="1"/>
  <c r="AD1302" i="2"/>
  <c r="Y1301" i="2"/>
  <c r="AF1301" i="2" s="1"/>
  <c r="AD1301" i="2"/>
  <c r="Y1300" i="2"/>
  <c r="AF1300" i="2" s="1"/>
  <c r="AD1300" i="2"/>
  <c r="Y1299" i="2"/>
  <c r="AF1299" i="2" s="1"/>
  <c r="AD1299" i="2"/>
  <c r="Y1298" i="2"/>
  <c r="AF1298" i="2" s="1"/>
  <c r="AD1298" i="2"/>
  <c r="Y1297" i="2"/>
  <c r="AF1297" i="2" s="1"/>
  <c r="AD1297" i="2"/>
  <c r="Y1296" i="2"/>
  <c r="AF1296" i="2" s="1"/>
  <c r="AD1296" i="2"/>
  <c r="Y1295" i="2"/>
  <c r="AF1295" i="2" s="1"/>
  <c r="AD1295" i="2"/>
  <c r="Y1294" i="2"/>
  <c r="AF1294" i="2" s="1"/>
  <c r="AD1294" i="2"/>
  <c r="Y1293" i="2"/>
  <c r="AF1293" i="2" s="1"/>
  <c r="AD1293" i="2"/>
  <c r="Y1292" i="2"/>
  <c r="AF1292" i="2" s="1"/>
  <c r="AD1292" i="2"/>
  <c r="Y1291" i="2"/>
  <c r="AF1291" i="2" s="1"/>
  <c r="AD1291" i="2"/>
  <c r="Y1290" i="2"/>
  <c r="AF1290" i="2" s="1"/>
  <c r="AD1290" i="2"/>
  <c r="Y1289" i="2"/>
  <c r="AF1289" i="2" s="1"/>
  <c r="AD1289" i="2"/>
  <c r="Y1288" i="2"/>
  <c r="AF1288" i="2" s="1"/>
  <c r="AD1288" i="2"/>
  <c r="Y1287" i="2"/>
  <c r="AF1287" i="2" s="1"/>
  <c r="AD1287" i="2"/>
  <c r="Y1286" i="2"/>
  <c r="AF1286" i="2" s="1"/>
  <c r="AD1286" i="2"/>
  <c r="Y1285" i="2"/>
  <c r="AF1285" i="2" s="1"/>
  <c r="AD1285" i="2"/>
  <c r="Y1284" i="2"/>
  <c r="AF1284" i="2" s="1"/>
  <c r="AD1284" i="2"/>
  <c r="Y1283" i="2"/>
  <c r="AF1283" i="2" s="1"/>
  <c r="AD1283" i="2"/>
  <c r="Y1282" i="2"/>
  <c r="AF1282" i="2" s="1"/>
  <c r="AD1282" i="2"/>
  <c r="Y1281" i="2"/>
  <c r="AF1281" i="2" s="1"/>
  <c r="AD1281" i="2"/>
  <c r="Y1280" i="2"/>
  <c r="AF1280" i="2" s="1"/>
  <c r="AD1280" i="2"/>
  <c r="Y1279" i="2"/>
  <c r="AF1279" i="2" s="1"/>
  <c r="AD1279" i="2"/>
  <c r="Y1278" i="2"/>
  <c r="AF1278" i="2" s="1"/>
  <c r="AD1278" i="2"/>
  <c r="Y1277" i="2"/>
  <c r="AF1277" i="2" s="1"/>
  <c r="AD1277" i="2"/>
  <c r="Y1276" i="2"/>
  <c r="AF1276" i="2" s="1"/>
  <c r="AD1276" i="2"/>
  <c r="Y1275" i="2"/>
  <c r="AF1275" i="2" s="1"/>
  <c r="AD1275" i="2"/>
  <c r="Y1274" i="2"/>
  <c r="AF1274" i="2" s="1"/>
  <c r="AD1274" i="2"/>
  <c r="Y1273" i="2"/>
  <c r="AF1273" i="2" s="1"/>
  <c r="AD1273" i="2"/>
  <c r="Y1272" i="2"/>
  <c r="AF1272" i="2" s="1"/>
  <c r="AD1272" i="2"/>
  <c r="Y1271" i="2"/>
  <c r="AF1271" i="2" s="1"/>
  <c r="AD1271" i="2"/>
  <c r="Y1270" i="2"/>
  <c r="AF1270" i="2" s="1"/>
  <c r="AD1270" i="2"/>
  <c r="Y1269" i="2"/>
  <c r="AF1269" i="2" s="1"/>
  <c r="AD1269" i="2"/>
  <c r="Y1268" i="2"/>
  <c r="AF1268" i="2" s="1"/>
  <c r="AD1268" i="2"/>
  <c r="Y1267" i="2"/>
  <c r="AF1267" i="2" s="1"/>
  <c r="AD1267" i="2"/>
  <c r="Y1266" i="2"/>
  <c r="AF1266" i="2" s="1"/>
  <c r="AD1266" i="2"/>
  <c r="Y1265" i="2"/>
  <c r="AF1265" i="2" s="1"/>
  <c r="AD1265" i="2"/>
  <c r="Y1264" i="2"/>
  <c r="AF1264" i="2" s="1"/>
  <c r="AD1264" i="2"/>
  <c r="Y1263" i="2"/>
  <c r="AF1263" i="2" s="1"/>
  <c r="AD1263" i="2"/>
  <c r="Y1262" i="2"/>
  <c r="AF1262" i="2" s="1"/>
  <c r="AD1262" i="2"/>
  <c r="Y1261" i="2"/>
  <c r="AF1261" i="2" s="1"/>
  <c r="AD1261" i="2"/>
  <c r="Y1260" i="2"/>
  <c r="AF1260" i="2" s="1"/>
  <c r="AD1260" i="2"/>
  <c r="Y1259" i="2"/>
  <c r="AF1259" i="2" s="1"/>
  <c r="AD1259" i="2"/>
  <c r="Y1258" i="2"/>
  <c r="AF1258" i="2" s="1"/>
  <c r="AD1258" i="2"/>
  <c r="Y1257" i="2"/>
  <c r="AF1257" i="2" s="1"/>
  <c r="AD1257" i="2"/>
  <c r="Y1256" i="2"/>
  <c r="AF1256" i="2" s="1"/>
  <c r="AD1256" i="2"/>
  <c r="Y1255" i="2"/>
  <c r="AF1255" i="2" s="1"/>
  <c r="AD1255" i="2"/>
  <c r="Y1254" i="2"/>
  <c r="AF1254" i="2" s="1"/>
  <c r="AD1254" i="2"/>
  <c r="Y1253" i="2"/>
  <c r="AF1253" i="2" s="1"/>
  <c r="AD1253" i="2"/>
  <c r="Y1252" i="2"/>
  <c r="AF1252" i="2" s="1"/>
  <c r="AD1252" i="2"/>
  <c r="Y1251" i="2"/>
  <c r="AF1251" i="2" s="1"/>
  <c r="AD1251" i="2"/>
  <c r="Y1250" i="2"/>
  <c r="AF1250" i="2" s="1"/>
  <c r="AD1250" i="2"/>
  <c r="Y1249" i="2"/>
  <c r="AF1249" i="2" s="1"/>
  <c r="AD1249" i="2"/>
  <c r="Y1248" i="2"/>
  <c r="AF1248" i="2" s="1"/>
  <c r="AD1248" i="2"/>
  <c r="Y1247" i="2"/>
  <c r="AF1247" i="2" s="1"/>
  <c r="AD1247" i="2"/>
  <c r="Y1246" i="2"/>
  <c r="AF1246" i="2" s="1"/>
  <c r="AD1246" i="2"/>
  <c r="Y1245" i="2"/>
  <c r="AF1245" i="2" s="1"/>
  <c r="AD1245" i="2"/>
  <c r="Y1244" i="2"/>
  <c r="AF1244" i="2" s="1"/>
  <c r="AD1244" i="2"/>
  <c r="Y1243" i="2"/>
  <c r="AF1243" i="2" s="1"/>
  <c r="AD1243" i="2"/>
  <c r="Y1242" i="2"/>
  <c r="AF1242" i="2" s="1"/>
  <c r="AD1242" i="2"/>
  <c r="Y1241" i="2"/>
  <c r="AF1241" i="2" s="1"/>
  <c r="AD1241" i="2"/>
  <c r="Y1240" i="2"/>
  <c r="AF1240" i="2" s="1"/>
  <c r="AD1240" i="2"/>
  <c r="Y1239" i="2"/>
  <c r="AF1239" i="2" s="1"/>
  <c r="AD1239" i="2"/>
  <c r="Y1238" i="2"/>
  <c r="AF1238" i="2" s="1"/>
  <c r="AD1238" i="2"/>
  <c r="Y1237" i="2"/>
  <c r="AF1237" i="2" s="1"/>
  <c r="AD1237" i="2"/>
  <c r="Y1236" i="2"/>
  <c r="AF1236" i="2" s="1"/>
  <c r="AD1236" i="2"/>
  <c r="Y1235" i="2"/>
  <c r="AF1235" i="2" s="1"/>
  <c r="AD1235" i="2"/>
  <c r="Y1234" i="2"/>
  <c r="AF1234" i="2" s="1"/>
  <c r="AD1234" i="2"/>
  <c r="Y1233" i="2"/>
  <c r="AF1233" i="2" s="1"/>
  <c r="AD1233" i="2"/>
  <c r="Y1232" i="2"/>
  <c r="AF1232" i="2" s="1"/>
  <c r="AD1232" i="2"/>
  <c r="Y1231" i="2"/>
  <c r="AF1231" i="2" s="1"/>
  <c r="AD1231" i="2"/>
  <c r="Y1230" i="2"/>
  <c r="AF1230" i="2" s="1"/>
  <c r="AD1230" i="2"/>
  <c r="Y1229" i="2"/>
  <c r="AF1229" i="2" s="1"/>
  <c r="AD1229" i="2"/>
  <c r="Y1228" i="2"/>
  <c r="AF1228" i="2" s="1"/>
  <c r="AD1228" i="2"/>
  <c r="Y1227" i="2"/>
  <c r="AF1227" i="2" s="1"/>
  <c r="AD1227" i="2"/>
  <c r="Y1226" i="2"/>
  <c r="AF1226" i="2" s="1"/>
  <c r="AD1226" i="2"/>
  <c r="Y1225" i="2"/>
  <c r="AF1225" i="2" s="1"/>
  <c r="AD1225" i="2"/>
  <c r="Y1224" i="2"/>
  <c r="AF1224" i="2" s="1"/>
  <c r="AD1224" i="2"/>
  <c r="Y1223" i="2"/>
  <c r="AF1223" i="2" s="1"/>
  <c r="AD1223" i="2"/>
  <c r="Y1222" i="2"/>
  <c r="AF1222" i="2" s="1"/>
  <c r="AD1222" i="2"/>
  <c r="Y1221" i="2"/>
  <c r="AF1221" i="2" s="1"/>
  <c r="AD1221" i="2"/>
  <c r="Y1220" i="2"/>
  <c r="AF1220" i="2" s="1"/>
  <c r="AD1220" i="2"/>
  <c r="Y1219" i="2"/>
  <c r="AF1219" i="2" s="1"/>
  <c r="AD1219" i="2"/>
  <c r="Y1218" i="2"/>
  <c r="AF1218" i="2" s="1"/>
  <c r="AD1218" i="2"/>
  <c r="Y1217" i="2"/>
  <c r="AF1217" i="2" s="1"/>
  <c r="AD1217" i="2"/>
  <c r="Y1216" i="2"/>
  <c r="AF1216" i="2" s="1"/>
  <c r="AD1216" i="2"/>
  <c r="Y1215" i="2"/>
  <c r="AF1215" i="2" s="1"/>
  <c r="AD1215" i="2"/>
  <c r="Y1214" i="2"/>
  <c r="AF1214" i="2" s="1"/>
  <c r="AD1214" i="2"/>
  <c r="Y1213" i="2"/>
  <c r="AF1213" i="2" s="1"/>
  <c r="AD1213" i="2"/>
  <c r="Y1212" i="2"/>
  <c r="AF1212" i="2" s="1"/>
  <c r="AD1212" i="2"/>
  <c r="Y1211" i="2"/>
  <c r="AF1211" i="2" s="1"/>
  <c r="AD1211" i="2"/>
  <c r="Y1210" i="2"/>
  <c r="AF1210" i="2" s="1"/>
  <c r="AD1210" i="2"/>
  <c r="Y1209" i="2"/>
  <c r="AF1209" i="2" s="1"/>
  <c r="AD1209" i="2"/>
  <c r="Y1208" i="2"/>
  <c r="AF1208" i="2" s="1"/>
  <c r="AD1208" i="2"/>
  <c r="Y1207" i="2"/>
  <c r="AF1207" i="2" s="1"/>
  <c r="AD1207" i="2"/>
  <c r="Y1206" i="2"/>
  <c r="AF1206" i="2" s="1"/>
  <c r="AD1206" i="2"/>
  <c r="Y1205" i="2"/>
  <c r="AF1205" i="2" s="1"/>
  <c r="AD1205" i="2"/>
  <c r="Y1204" i="2"/>
  <c r="AF1204" i="2" s="1"/>
  <c r="AD1204" i="2"/>
  <c r="Y1203" i="2"/>
  <c r="AF1203" i="2" s="1"/>
  <c r="AD1203" i="2"/>
  <c r="Y1202" i="2"/>
  <c r="AF1202" i="2" s="1"/>
  <c r="AD1202" i="2"/>
  <c r="Y801" i="2"/>
  <c r="AF801" i="2" s="1"/>
  <c r="AD801" i="2"/>
  <c r="Y800" i="2"/>
  <c r="AF800" i="2" s="1"/>
  <c r="AD800" i="2"/>
  <c r="Y799" i="2"/>
  <c r="AF799" i="2" s="1"/>
  <c r="AD799" i="2"/>
  <c r="Y798" i="2"/>
  <c r="AF798" i="2" s="1"/>
  <c r="AD798" i="2"/>
  <c r="Y797" i="2"/>
  <c r="AF797" i="2" s="1"/>
  <c r="AD797" i="2"/>
  <c r="Y796" i="2"/>
  <c r="AF796" i="2" s="1"/>
  <c r="AD796" i="2"/>
  <c r="Y795" i="2"/>
  <c r="AF795" i="2" s="1"/>
  <c r="AD795" i="2"/>
  <c r="Y794" i="2"/>
  <c r="AF794" i="2" s="1"/>
  <c r="AD794" i="2"/>
  <c r="Y793" i="2"/>
  <c r="AF793" i="2" s="1"/>
  <c r="AD793" i="2"/>
  <c r="Y792" i="2"/>
  <c r="AF792" i="2" s="1"/>
  <c r="AD792" i="2"/>
  <c r="Y791" i="2"/>
  <c r="AF791" i="2" s="1"/>
  <c r="AD791" i="2"/>
  <c r="Y790" i="2"/>
  <c r="AF790" i="2" s="1"/>
  <c r="AD790" i="2"/>
  <c r="Y789" i="2"/>
  <c r="AF789" i="2" s="1"/>
  <c r="AD789" i="2"/>
  <c r="Y788" i="2"/>
  <c r="AF788" i="2" s="1"/>
  <c r="AD788" i="2"/>
  <c r="Y787" i="2"/>
  <c r="AF787" i="2" s="1"/>
  <c r="AD787" i="2"/>
  <c r="Y786" i="2"/>
  <c r="AF786" i="2" s="1"/>
  <c r="AD786" i="2"/>
  <c r="Y785" i="2"/>
  <c r="AF785" i="2" s="1"/>
  <c r="AD785" i="2"/>
  <c r="Y784" i="2"/>
  <c r="AF784" i="2" s="1"/>
  <c r="AD784" i="2"/>
  <c r="Y783" i="2"/>
  <c r="AF783" i="2" s="1"/>
  <c r="AD783" i="2"/>
  <c r="Y782" i="2"/>
  <c r="AF782" i="2" s="1"/>
  <c r="AD782" i="2"/>
  <c r="Y781" i="2"/>
  <c r="AF781" i="2" s="1"/>
  <c r="AD781" i="2"/>
  <c r="Y780" i="2"/>
  <c r="AF780" i="2" s="1"/>
  <c r="AD780" i="2"/>
  <c r="Y779" i="2"/>
  <c r="AF779" i="2" s="1"/>
  <c r="AD779" i="2"/>
  <c r="Y778" i="2"/>
  <c r="AF778" i="2" s="1"/>
  <c r="AD778" i="2"/>
  <c r="Y777" i="2"/>
  <c r="AF777" i="2" s="1"/>
  <c r="AD777" i="2"/>
  <c r="Y776" i="2"/>
  <c r="AF776" i="2" s="1"/>
  <c r="AD776" i="2"/>
  <c r="Y775" i="2"/>
  <c r="AF775" i="2" s="1"/>
  <c r="AD775" i="2"/>
  <c r="Y774" i="2"/>
  <c r="AF774" i="2" s="1"/>
  <c r="AD774" i="2"/>
  <c r="Y773" i="2"/>
  <c r="AF773" i="2" s="1"/>
  <c r="AD773" i="2"/>
  <c r="Y772" i="2"/>
  <c r="AF772" i="2" s="1"/>
  <c r="AD772" i="2"/>
  <c r="Y771" i="2"/>
  <c r="AF771" i="2" s="1"/>
  <c r="AD771" i="2"/>
  <c r="Y770" i="2"/>
  <c r="AF770" i="2" s="1"/>
  <c r="AD770" i="2"/>
  <c r="Y769" i="2"/>
  <c r="AF769" i="2" s="1"/>
  <c r="AD769" i="2"/>
  <c r="Y768" i="2"/>
  <c r="AF768" i="2" s="1"/>
  <c r="AD768" i="2"/>
  <c r="Y767" i="2"/>
  <c r="AF767" i="2" s="1"/>
  <c r="AD767" i="2"/>
  <c r="Y766" i="2"/>
  <c r="AF766" i="2" s="1"/>
  <c r="AD766" i="2"/>
  <c r="Y765" i="2"/>
  <c r="AF765" i="2" s="1"/>
  <c r="AD765" i="2"/>
  <c r="Y764" i="2"/>
  <c r="AF764" i="2" s="1"/>
  <c r="AD764" i="2"/>
  <c r="Y763" i="2"/>
  <c r="AF763" i="2" s="1"/>
  <c r="AD763" i="2"/>
  <c r="Y762" i="2"/>
  <c r="AF762" i="2" s="1"/>
  <c r="AD762" i="2"/>
  <c r="Y761" i="2"/>
  <c r="AF761" i="2" s="1"/>
  <c r="AD761" i="2"/>
  <c r="Y760" i="2"/>
  <c r="AF760" i="2" s="1"/>
  <c r="AD760" i="2"/>
  <c r="Y759" i="2"/>
  <c r="AF759" i="2" s="1"/>
  <c r="AD759" i="2"/>
  <c r="Y758" i="2"/>
  <c r="AF758" i="2" s="1"/>
  <c r="AD758" i="2"/>
  <c r="Y757" i="2"/>
  <c r="AF757" i="2" s="1"/>
  <c r="AD757" i="2"/>
  <c r="Y756" i="2"/>
  <c r="AF756" i="2" s="1"/>
  <c r="AD756" i="2"/>
  <c r="Y755" i="2"/>
  <c r="AF755" i="2" s="1"/>
  <c r="AD755" i="2"/>
  <c r="Y754" i="2"/>
  <c r="AF754" i="2" s="1"/>
  <c r="AD754" i="2"/>
  <c r="Y753" i="2"/>
  <c r="AF753" i="2" s="1"/>
  <c r="AD753" i="2"/>
  <c r="Y752" i="2"/>
  <c r="AF752" i="2" s="1"/>
  <c r="AD752" i="2"/>
  <c r="Y751" i="2"/>
  <c r="AF751" i="2" s="1"/>
  <c r="AD751" i="2"/>
  <c r="Y750" i="2"/>
  <c r="AF750" i="2" s="1"/>
  <c r="AD750" i="2"/>
  <c r="Y749" i="2"/>
  <c r="AF749" i="2" s="1"/>
  <c r="AD749" i="2"/>
  <c r="Y748" i="2"/>
  <c r="AF748" i="2" s="1"/>
  <c r="AD748" i="2"/>
  <c r="Y747" i="2"/>
  <c r="AF747" i="2" s="1"/>
  <c r="AD747" i="2"/>
  <c r="Y746" i="2"/>
  <c r="AF746" i="2" s="1"/>
  <c r="AD746" i="2"/>
  <c r="Y745" i="2"/>
  <c r="AF745" i="2" s="1"/>
  <c r="AD745" i="2"/>
  <c r="Y744" i="2"/>
  <c r="AF744" i="2" s="1"/>
  <c r="AD744" i="2"/>
  <c r="Y743" i="2"/>
  <c r="AF743" i="2" s="1"/>
  <c r="AD743" i="2"/>
  <c r="Y742" i="2"/>
  <c r="AF742" i="2" s="1"/>
  <c r="AD742" i="2"/>
  <c r="Y741" i="2"/>
  <c r="AF741" i="2" s="1"/>
  <c r="AD741" i="2"/>
  <c r="Y740" i="2"/>
  <c r="AF740" i="2" s="1"/>
  <c r="AD740" i="2"/>
  <c r="Y739" i="2"/>
  <c r="AF739" i="2" s="1"/>
  <c r="AD739" i="2"/>
  <c r="Y738" i="2"/>
  <c r="AF738" i="2" s="1"/>
  <c r="AD738" i="2"/>
  <c r="Y737" i="2"/>
  <c r="AF737" i="2" s="1"/>
  <c r="AD737" i="2"/>
  <c r="Y736" i="2"/>
  <c r="AF736" i="2" s="1"/>
  <c r="AD736" i="2"/>
  <c r="Y735" i="2"/>
  <c r="AF735" i="2" s="1"/>
  <c r="AD735" i="2"/>
  <c r="Y734" i="2"/>
  <c r="AF734" i="2" s="1"/>
  <c r="AD734" i="2"/>
  <c r="Y733" i="2"/>
  <c r="AF733" i="2" s="1"/>
  <c r="AD733" i="2"/>
  <c r="Y732" i="2"/>
  <c r="AF732" i="2" s="1"/>
  <c r="AD732" i="2"/>
  <c r="Y731" i="2"/>
  <c r="AF731" i="2" s="1"/>
  <c r="AD731" i="2"/>
  <c r="Y730" i="2"/>
  <c r="AF730" i="2" s="1"/>
  <c r="AD730" i="2"/>
  <c r="Y729" i="2"/>
  <c r="AF729" i="2" s="1"/>
  <c r="AD729" i="2"/>
  <c r="Y728" i="2"/>
  <c r="AF728" i="2" s="1"/>
  <c r="AD728" i="2"/>
  <c r="Y727" i="2"/>
  <c r="AF727" i="2" s="1"/>
  <c r="AD727" i="2"/>
  <c r="Y726" i="2"/>
  <c r="AF726" i="2" s="1"/>
  <c r="AD726" i="2"/>
  <c r="Y725" i="2"/>
  <c r="AF725" i="2" s="1"/>
  <c r="AD725" i="2"/>
  <c r="Y724" i="2"/>
  <c r="AF724" i="2" s="1"/>
  <c r="AD724" i="2"/>
  <c r="Y723" i="2"/>
  <c r="AF723" i="2" s="1"/>
  <c r="AD723" i="2"/>
  <c r="Y722" i="2"/>
  <c r="AF722" i="2" s="1"/>
  <c r="AD722" i="2"/>
  <c r="Y721" i="2"/>
  <c r="AF721" i="2" s="1"/>
  <c r="AD721" i="2"/>
  <c r="Y720" i="2"/>
  <c r="AF720" i="2" s="1"/>
  <c r="AD720" i="2"/>
  <c r="Y719" i="2"/>
  <c r="AF719" i="2" s="1"/>
  <c r="AD719" i="2"/>
  <c r="Y718" i="2"/>
  <c r="AF718" i="2" s="1"/>
  <c r="AD718" i="2"/>
  <c r="Y717" i="2"/>
  <c r="AF717" i="2" s="1"/>
  <c r="AD717" i="2"/>
  <c r="Y716" i="2"/>
  <c r="AF716" i="2" s="1"/>
  <c r="AD716" i="2"/>
  <c r="Y715" i="2"/>
  <c r="AF715" i="2" s="1"/>
  <c r="AD715" i="2"/>
  <c r="Y714" i="2"/>
  <c r="AF714" i="2" s="1"/>
  <c r="AD714" i="2"/>
  <c r="Y713" i="2"/>
  <c r="AF713" i="2" s="1"/>
  <c r="AD713" i="2"/>
  <c r="Y712" i="2"/>
  <c r="AF712" i="2" s="1"/>
  <c r="AD712" i="2"/>
  <c r="Y711" i="2"/>
  <c r="AF711" i="2" s="1"/>
  <c r="AD711" i="2"/>
  <c r="Y710" i="2"/>
  <c r="AF710" i="2" s="1"/>
  <c r="AD710" i="2"/>
  <c r="Y709" i="2"/>
  <c r="AF709" i="2" s="1"/>
  <c r="AD709" i="2"/>
  <c r="Y708" i="2"/>
  <c r="AF708" i="2" s="1"/>
  <c r="AD708" i="2"/>
  <c r="Y707" i="2"/>
  <c r="AF707" i="2" s="1"/>
  <c r="AD707" i="2"/>
  <c r="Y706" i="2"/>
  <c r="AF706" i="2" s="1"/>
  <c r="AD706" i="2"/>
  <c r="Y705" i="2"/>
  <c r="AF705" i="2" s="1"/>
  <c r="AD705" i="2"/>
  <c r="Y704" i="2"/>
  <c r="AF704" i="2" s="1"/>
  <c r="AD704" i="2"/>
  <c r="Y703" i="2"/>
  <c r="AF703" i="2" s="1"/>
  <c r="AD703" i="2"/>
  <c r="Y702" i="2"/>
  <c r="AF702" i="2" s="1"/>
  <c r="AD702" i="2"/>
  <c r="Y701" i="2"/>
  <c r="AF701" i="2" s="1"/>
  <c r="AD701" i="2"/>
  <c r="Y700" i="2"/>
  <c r="AF700" i="2" s="1"/>
  <c r="AD700" i="2"/>
  <c r="Y699" i="2"/>
  <c r="AF699" i="2" s="1"/>
  <c r="AD699" i="2"/>
  <c r="Y698" i="2"/>
  <c r="AF698" i="2" s="1"/>
  <c r="AD698" i="2"/>
  <c r="Y697" i="2"/>
  <c r="AF697" i="2" s="1"/>
  <c r="AD697" i="2"/>
  <c r="Y696" i="2"/>
  <c r="AF696" i="2" s="1"/>
  <c r="AD696" i="2"/>
  <c r="Y695" i="2"/>
  <c r="AF695" i="2" s="1"/>
  <c r="AD695" i="2"/>
  <c r="Y694" i="2"/>
  <c r="AF694" i="2" s="1"/>
  <c r="AD694" i="2"/>
  <c r="Y693" i="2"/>
  <c r="AF693" i="2" s="1"/>
  <c r="AD693" i="2"/>
  <c r="Y692" i="2"/>
  <c r="AF692" i="2" s="1"/>
  <c r="AD692" i="2"/>
  <c r="Y691" i="2"/>
  <c r="AF691" i="2" s="1"/>
  <c r="AD691" i="2"/>
  <c r="Y690" i="2"/>
  <c r="AF690" i="2" s="1"/>
  <c r="AD690" i="2"/>
  <c r="Y689" i="2"/>
  <c r="AF689" i="2" s="1"/>
  <c r="AD689" i="2"/>
  <c r="Y688" i="2"/>
  <c r="AF688" i="2" s="1"/>
  <c r="AD688" i="2"/>
  <c r="Y687" i="2"/>
  <c r="AF687" i="2" s="1"/>
  <c r="AD687" i="2"/>
  <c r="Y686" i="2"/>
  <c r="AF686" i="2" s="1"/>
  <c r="AD686" i="2"/>
  <c r="Y685" i="2"/>
  <c r="AF685" i="2" s="1"/>
  <c r="AD685" i="2"/>
  <c r="Y684" i="2"/>
  <c r="AF684" i="2" s="1"/>
  <c r="AD684" i="2"/>
  <c r="Y683" i="2"/>
  <c r="AF683" i="2" s="1"/>
  <c r="AD683" i="2"/>
  <c r="Y682" i="2"/>
  <c r="AF682" i="2" s="1"/>
  <c r="AD682" i="2"/>
  <c r="Y681" i="2"/>
  <c r="AF681" i="2" s="1"/>
  <c r="AD681" i="2"/>
  <c r="Y680" i="2"/>
  <c r="AF680" i="2" s="1"/>
  <c r="AD680" i="2"/>
  <c r="Y679" i="2"/>
  <c r="AF679" i="2" s="1"/>
  <c r="AD679" i="2"/>
  <c r="Y678" i="2"/>
  <c r="AF678" i="2" s="1"/>
  <c r="AD678" i="2"/>
  <c r="Y677" i="2"/>
  <c r="AF677" i="2" s="1"/>
  <c r="AD677" i="2"/>
  <c r="Y676" i="2"/>
  <c r="AF676" i="2" s="1"/>
  <c r="AD676" i="2"/>
  <c r="Y675" i="2"/>
  <c r="AF675" i="2" s="1"/>
  <c r="AD675" i="2"/>
  <c r="Y674" i="2"/>
  <c r="AF674" i="2" s="1"/>
  <c r="AD674" i="2"/>
  <c r="Y673" i="2"/>
  <c r="AF673" i="2" s="1"/>
  <c r="AD673" i="2"/>
  <c r="Y672" i="2"/>
  <c r="AF672" i="2" s="1"/>
  <c r="AD672" i="2"/>
  <c r="Y671" i="2"/>
  <c r="AF671" i="2" s="1"/>
  <c r="AD671" i="2"/>
  <c r="Y670" i="2"/>
  <c r="AF670" i="2" s="1"/>
  <c r="AD670" i="2"/>
  <c r="Y669" i="2"/>
  <c r="AF669" i="2" s="1"/>
  <c r="AD669" i="2"/>
  <c r="Y668" i="2"/>
  <c r="AF668" i="2" s="1"/>
  <c r="AD668" i="2"/>
  <c r="Y667" i="2"/>
  <c r="AF667" i="2" s="1"/>
  <c r="AD667" i="2"/>
  <c r="Y666" i="2"/>
  <c r="AF666" i="2" s="1"/>
  <c r="AD666" i="2"/>
  <c r="Y665" i="2"/>
  <c r="AF665" i="2" s="1"/>
  <c r="AD665" i="2"/>
  <c r="Y664" i="2"/>
  <c r="AF664" i="2" s="1"/>
  <c r="AD664" i="2"/>
  <c r="Y663" i="2"/>
  <c r="AF663" i="2" s="1"/>
  <c r="AD663" i="2"/>
  <c r="Y662" i="2"/>
  <c r="AF662" i="2" s="1"/>
  <c r="AD662" i="2"/>
  <c r="Y661" i="2"/>
  <c r="AF661" i="2" s="1"/>
  <c r="AD661" i="2"/>
  <c r="Y660" i="2"/>
  <c r="AF660" i="2" s="1"/>
  <c r="AD660" i="2"/>
  <c r="Y659" i="2"/>
  <c r="AF659" i="2" s="1"/>
  <c r="AD659" i="2"/>
  <c r="Y658" i="2"/>
  <c r="AF658" i="2" s="1"/>
  <c r="AD658" i="2"/>
  <c r="Y657" i="2"/>
  <c r="AF657" i="2" s="1"/>
  <c r="AD657" i="2"/>
  <c r="Y656" i="2"/>
  <c r="AF656" i="2" s="1"/>
  <c r="AD656" i="2"/>
  <c r="Y655" i="2"/>
  <c r="AF655" i="2" s="1"/>
  <c r="AD655" i="2"/>
  <c r="Y654" i="2"/>
  <c r="AF654" i="2" s="1"/>
  <c r="AD654" i="2"/>
  <c r="Y653" i="2"/>
  <c r="AF653" i="2" s="1"/>
  <c r="AD653" i="2"/>
  <c r="Y652" i="2"/>
  <c r="AF652" i="2" s="1"/>
  <c r="AD652" i="2"/>
  <c r="Y651" i="2"/>
  <c r="AF651" i="2" s="1"/>
  <c r="AD651" i="2"/>
  <c r="Y650" i="2"/>
  <c r="AF650" i="2" s="1"/>
  <c r="AD650" i="2"/>
  <c r="Y649" i="2"/>
  <c r="AF649" i="2" s="1"/>
  <c r="AD649" i="2"/>
  <c r="Y648" i="2"/>
  <c r="AF648" i="2" s="1"/>
  <c r="AD648" i="2"/>
  <c r="Y647" i="2"/>
  <c r="AF647" i="2" s="1"/>
  <c r="AD647" i="2"/>
  <c r="Y646" i="2"/>
  <c r="AF646" i="2" s="1"/>
  <c r="AD646" i="2"/>
  <c r="Y645" i="2"/>
  <c r="AF645" i="2" s="1"/>
  <c r="AD645" i="2"/>
  <c r="Y644" i="2"/>
  <c r="AF644" i="2" s="1"/>
  <c r="AD644" i="2"/>
  <c r="Y643" i="2"/>
  <c r="AF643" i="2" s="1"/>
  <c r="AD643" i="2"/>
  <c r="Y642" i="2"/>
  <c r="AF642" i="2" s="1"/>
  <c r="AD642" i="2"/>
  <c r="Y641" i="2"/>
  <c r="AF641" i="2" s="1"/>
  <c r="AD641" i="2"/>
  <c r="Y640" i="2"/>
  <c r="AF640" i="2" s="1"/>
  <c r="AD640" i="2"/>
  <c r="Y639" i="2"/>
  <c r="AF639" i="2" s="1"/>
  <c r="AD639" i="2"/>
  <c r="Y638" i="2"/>
  <c r="AF638" i="2" s="1"/>
  <c r="AD638" i="2"/>
  <c r="Y637" i="2"/>
  <c r="AF637" i="2" s="1"/>
  <c r="AD637" i="2"/>
  <c r="Y636" i="2"/>
  <c r="AF636" i="2" s="1"/>
  <c r="AD636" i="2"/>
  <c r="Y635" i="2"/>
  <c r="AF635" i="2" s="1"/>
  <c r="AD635" i="2"/>
  <c r="Y634" i="2"/>
  <c r="AF634" i="2" s="1"/>
  <c r="AD634" i="2"/>
  <c r="Y633" i="2"/>
  <c r="AF633" i="2" s="1"/>
  <c r="AD633" i="2"/>
  <c r="Y632" i="2"/>
  <c r="AF632" i="2" s="1"/>
  <c r="AD632" i="2"/>
  <c r="Y631" i="2"/>
  <c r="AF631" i="2" s="1"/>
  <c r="AD631" i="2"/>
  <c r="Y630" i="2"/>
  <c r="AF630" i="2" s="1"/>
  <c r="AD630" i="2"/>
  <c r="Y629" i="2"/>
  <c r="AF629" i="2" s="1"/>
  <c r="AD629" i="2"/>
  <c r="Y628" i="2"/>
  <c r="AF628" i="2" s="1"/>
  <c r="AD628" i="2"/>
  <c r="Y627" i="2"/>
  <c r="AF627" i="2" s="1"/>
  <c r="AD627" i="2"/>
  <c r="Y626" i="2"/>
  <c r="AF626" i="2" s="1"/>
  <c r="AD626" i="2"/>
  <c r="Y625" i="2"/>
  <c r="AF625" i="2" s="1"/>
  <c r="AD625" i="2"/>
  <c r="Y624" i="2"/>
  <c r="AF624" i="2" s="1"/>
  <c r="AD624" i="2"/>
  <c r="Y623" i="2"/>
  <c r="AF623" i="2" s="1"/>
  <c r="AD623" i="2"/>
  <c r="Y622" i="2"/>
  <c r="AF622" i="2" s="1"/>
  <c r="AD622" i="2"/>
  <c r="Y621" i="2"/>
  <c r="AF621" i="2" s="1"/>
  <c r="AD621" i="2"/>
  <c r="Y620" i="2"/>
  <c r="AF620" i="2" s="1"/>
  <c r="AD620" i="2"/>
  <c r="Y619" i="2"/>
  <c r="AF619" i="2" s="1"/>
  <c r="AD619" i="2"/>
  <c r="Y618" i="2"/>
  <c r="AF618" i="2" s="1"/>
  <c r="AD618" i="2"/>
  <c r="Y617" i="2"/>
  <c r="AF617" i="2" s="1"/>
  <c r="AD617" i="2"/>
  <c r="Y616" i="2"/>
  <c r="AF616" i="2" s="1"/>
  <c r="AD616" i="2"/>
  <c r="Y615" i="2"/>
  <c r="AF615" i="2" s="1"/>
  <c r="AD615" i="2"/>
  <c r="Y614" i="2"/>
  <c r="AF614" i="2" s="1"/>
  <c r="AD614" i="2"/>
  <c r="Y613" i="2"/>
  <c r="AF613" i="2" s="1"/>
  <c r="AD613" i="2"/>
  <c r="Y612" i="2"/>
  <c r="AF612" i="2" s="1"/>
  <c r="AD612" i="2"/>
  <c r="Y611" i="2"/>
  <c r="AF611" i="2" s="1"/>
  <c r="AD611" i="2"/>
  <c r="Y610" i="2"/>
  <c r="AF610" i="2" s="1"/>
  <c r="AD610" i="2"/>
  <c r="Y609" i="2"/>
  <c r="AF609" i="2" s="1"/>
  <c r="AD609" i="2"/>
  <c r="Y608" i="2"/>
  <c r="AF608" i="2" s="1"/>
  <c r="AD608" i="2"/>
  <c r="Y607" i="2"/>
  <c r="AF607" i="2" s="1"/>
  <c r="AD607" i="2"/>
  <c r="Y606" i="2"/>
  <c r="AF606" i="2" s="1"/>
  <c r="AD606" i="2"/>
  <c r="Y605" i="2"/>
  <c r="AF605" i="2" s="1"/>
  <c r="AD605" i="2"/>
  <c r="Y604" i="2"/>
  <c r="AF604" i="2" s="1"/>
  <c r="AD604" i="2"/>
  <c r="Y603" i="2"/>
  <c r="AF603" i="2" s="1"/>
  <c r="AD603" i="2"/>
  <c r="Y602" i="2"/>
  <c r="AF602" i="2" s="1"/>
  <c r="AD602" i="2"/>
  <c r="Y601" i="2"/>
  <c r="AF601" i="2" s="1"/>
  <c r="AD601" i="2"/>
  <c r="Y600" i="2"/>
  <c r="AF600" i="2" s="1"/>
  <c r="AD600" i="2"/>
  <c r="Y599" i="2"/>
  <c r="AF599" i="2" s="1"/>
  <c r="AD599" i="2"/>
  <c r="Y598" i="2"/>
  <c r="AF598" i="2" s="1"/>
  <c r="AD598" i="2"/>
  <c r="Y597" i="2"/>
  <c r="AF597" i="2" s="1"/>
  <c r="AD597" i="2"/>
  <c r="Y596" i="2"/>
  <c r="AF596" i="2" s="1"/>
  <c r="AD596" i="2"/>
  <c r="Y595" i="2"/>
  <c r="AF595" i="2" s="1"/>
  <c r="AD595" i="2"/>
  <c r="Y594" i="2"/>
  <c r="AF594" i="2" s="1"/>
  <c r="AD594" i="2"/>
  <c r="Y593" i="2"/>
  <c r="AF593" i="2" s="1"/>
  <c r="AD593" i="2"/>
  <c r="Y592" i="2"/>
  <c r="AF592" i="2" s="1"/>
  <c r="AD592" i="2"/>
  <c r="Y591" i="2"/>
  <c r="AF591" i="2" s="1"/>
  <c r="AD591" i="2"/>
  <c r="Y590" i="2"/>
  <c r="AF590" i="2" s="1"/>
  <c r="AD590" i="2"/>
  <c r="Y589" i="2"/>
  <c r="AF589" i="2" s="1"/>
  <c r="AD589" i="2"/>
  <c r="Y588" i="2"/>
  <c r="AF588" i="2" s="1"/>
  <c r="AD588" i="2"/>
  <c r="Y587" i="2"/>
  <c r="AF587" i="2" s="1"/>
  <c r="AD587" i="2"/>
  <c r="Y586" i="2"/>
  <c r="AF586" i="2" s="1"/>
  <c r="AD586" i="2"/>
  <c r="Y585" i="2"/>
  <c r="AF585" i="2" s="1"/>
  <c r="AD585" i="2"/>
  <c r="Y584" i="2"/>
  <c r="AF584" i="2" s="1"/>
  <c r="AD584" i="2"/>
  <c r="Y583" i="2"/>
  <c r="AF583" i="2" s="1"/>
  <c r="AD583" i="2"/>
  <c r="Y582" i="2"/>
  <c r="AF582" i="2" s="1"/>
  <c r="AD582" i="2"/>
  <c r="Y581" i="2"/>
  <c r="AF581" i="2" s="1"/>
  <c r="AD581" i="2"/>
  <c r="Y580" i="2"/>
  <c r="AF580" i="2" s="1"/>
  <c r="AD580" i="2"/>
  <c r="Y579" i="2"/>
  <c r="AF579" i="2" s="1"/>
  <c r="AD579" i="2"/>
  <c r="Y578" i="2"/>
  <c r="AF578" i="2" s="1"/>
  <c r="AD578" i="2"/>
  <c r="Y577" i="2"/>
  <c r="AF577" i="2" s="1"/>
  <c r="AD577" i="2"/>
  <c r="Y576" i="2"/>
  <c r="AF576" i="2" s="1"/>
  <c r="AD576" i="2"/>
  <c r="Y575" i="2"/>
  <c r="AF575" i="2" s="1"/>
  <c r="AD575" i="2"/>
  <c r="Y574" i="2"/>
  <c r="AF574" i="2" s="1"/>
  <c r="AD574" i="2"/>
  <c r="Y573" i="2"/>
  <c r="AF573" i="2" s="1"/>
  <c r="AD573" i="2"/>
  <c r="Y572" i="2"/>
  <c r="AF572" i="2" s="1"/>
  <c r="AD572" i="2"/>
  <c r="Y571" i="2"/>
  <c r="AF571" i="2" s="1"/>
  <c r="AD571" i="2"/>
  <c r="Y570" i="2"/>
  <c r="AF570" i="2" s="1"/>
  <c r="AD570" i="2"/>
  <c r="Y569" i="2"/>
  <c r="AF569" i="2" s="1"/>
  <c r="AD569" i="2"/>
  <c r="Y568" i="2"/>
  <c r="AF568" i="2" s="1"/>
  <c r="AD568" i="2"/>
  <c r="Y567" i="2"/>
  <c r="AF567" i="2" s="1"/>
  <c r="AD567" i="2"/>
  <c r="Y566" i="2"/>
  <c r="AF566" i="2" s="1"/>
  <c r="AD566" i="2"/>
  <c r="Y565" i="2"/>
  <c r="AF565" i="2" s="1"/>
  <c r="AD565" i="2"/>
  <c r="Y564" i="2"/>
  <c r="AF564" i="2" s="1"/>
  <c r="AD564" i="2"/>
  <c r="Y563" i="2"/>
  <c r="AF563" i="2" s="1"/>
  <c r="AD563" i="2"/>
  <c r="Y562" i="2"/>
  <c r="AF562" i="2" s="1"/>
  <c r="AD562" i="2"/>
  <c r="Y561" i="2"/>
  <c r="AF561" i="2" s="1"/>
  <c r="AD561" i="2"/>
  <c r="Y560" i="2"/>
  <c r="AF560" i="2" s="1"/>
  <c r="AD560" i="2"/>
  <c r="Y559" i="2"/>
  <c r="AF559" i="2" s="1"/>
  <c r="AD559" i="2"/>
  <c r="Y558" i="2"/>
  <c r="AF558" i="2" s="1"/>
  <c r="AD558" i="2"/>
  <c r="Y557" i="2"/>
  <c r="AF557" i="2" s="1"/>
  <c r="AD557" i="2"/>
  <c r="Y556" i="2"/>
  <c r="AF556" i="2" s="1"/>
  <c r="AD556" i="2"/>
  <c r="Y555" i="2"/>
  <c r="AF555" i="2" s="1"/>
  <c r="AD555" i="2"/>
  <c r="Y554" i="2"/>
  <c r="AF554" i="2" s="1"/>
  <c r="AD554" i="2"/>
  <c r="Y553" i="2"/>
  <c r="AF553" i="2" s="1"/>
  <c r="AD553" i="2"/>
  <c r="Y552" i="2"/>
  <c r="AF552" i="2" s="1"/>
  <c r="AD552" i="2"/>
  <c r="Y551" i="2"/>
  <c r="AF551" i="2" s="1"/>
  <c r="AD551" i="2"/>
  <c r="Y550" i="2"/>
  <c r="AF550" i="2" s="1"/>
  <c r="AD550" i="2"/>
  <c r="Y549" i="2"/>
  <c r="AF549" i="2" s="1"/>
  <c r="AD549" i="2"/>
  <c r="Y548" i="2"/>
  <c r="AF548" i="2" s="1"/>
  <c r="AD548" i="2"/>
  <c r="Y547" i="2"/>
  <c r="AF547" i="2" s="1"/>
  <c r="AD547" i="2"/>
  <c r="Y546" i="2"/>
  <c r="AF546" i="2" s="1"/>
  <c r="AD546" i="2"/>
  <c r="Y545" i="2"/>
  <c r="AF545" i="2" s="1"/>
  <c r="AD545" i="2"/>
  <c r="Y544" i="2"/>
  <c r="AF544" i="2" s="1"/>
  <c r="AD544" i="2"/>
  <c r="Y543" i="2"/>
  <c r="AF543" i="2" s="1"/>
  <c r="AD543" i="2"/>
  <c r="Y542" i="2"/>
  <c r="AF542" i="2" s="1"/>
  <c r="AD542" i="2"/>
  <c r="Y541" i="2"/>
  <c r="AF541" i="2" s="1"/>
  <c r="AD541" i="2"/>
  <c r="Y540" i="2"/>
  <c r="AF540" i="2" s="1"/>
  <c r="AD540" i="2"/>
  <c r="Y539" i="2"/>
  <c r="AF539" i="2" s="1"/>
  <c r="AD539" i="2"/>
  <c r="Y538" i="2"/>
  <c r="AF538" i="2" s="1"/>
  <c r="AD538" i="2"/>
  <c r="Y537" i="2"/>
  <c r="AF537" i="2" s="1"/>
  <c r="AD537" i="2"/>
  <c r="Y536" i="2"/>
  <c r="AF536" i="2" s="1"/>
  <c r="AD536" i="2"/>
  <c r="Y535" i="2"/>
  <c r="AF535" i="2" s="1"/>
  <c r="AD535" i="2"/>
  <c r="Y534" i="2"/>
  <c r="AF534" i="2" s="1"/>
  <c r="AD534" i="2"/>
  <c r="Y533" i="2"/>
  <c r="AF533" i="2" s="1"/>
  <c r="AD533" i="2"/>
  <c r="Y532" i="2"/>
  <c r="AF532" i="2" s="1"/>
  <c r="AD532" i="2"/>
  <c r="Y531" i="2"/>
  <c r="AF531" i="2" s="1"/>
  <c r="AD531" i="2"/>
  <c r="Y530" i="2"/>
  <c r="AF530" i="2" s="1"/>
  <c r="AD530" i="2"/>
  <c r="Y529" i="2"/>
  <c r="AF529" i="2" s="1"/>
  <c r="AD529" i="2"/>
  <c r="Y528" i="2"/>
  <c r="AF528" i="2" s="1"/>
  <c r="AD528" i="2"/>
  <c r="Y527" i="2"/>
  <c r="AF527" i="2" s="1"/>
  <c r="AD527" i="2"/>
  <c r="Y526" i="2"/>
  <c r="AF526" i="2" s="1"/>
  <c r="AD526" i="2"/>
  <c r="Y525" i="2"/>
  <c r="AF525" i="2" s="1"/>
  <c r="AD525" i="2"/>
  <c r="Y524" i="2"/>
  <c r="AF524" i="2" s="1"/>
  <c r="AD524" i="2"/>
  <c r="Y523" i="2"/>
  <c r="AF523" i="2" s="1"/>
  <c r="AD523" i="2"/>
  <c r="Y522" i="2"/>
  <c r="AF522" i="2" s="1"/>
  <c r="AD522" i="2"/>
  <c r="Y521" i="2"/>
  <c r="AF521" i="2" s="1"/>
  <c r="AD521" i="2"/>
  <c r="Y520" i="2"/>
  <c r="AF520" i="2" s="1"/>
  <c r="AD520" i="2"/>
  <c r="Y519" i="2"/>
  <c r="AF519" i="2" s="1"/>
  <c r="AD519" i="2"/>
  <c r="Y518" i="2"/>
  <c r="AF518" i="2" s="1"/>
  <c r="AD518" i="2"/>
  <c r="Y517" i="2"/>
  <c r="AF517" i="2" s="1"/>
  <c r="AD517" i="2"/>
  <c r="Y516" i="2"/>
  <c r="AF516" i="2" s="1"/>
  <c r="AD516" i="2"/>
  <c r="Y515" i="2"/>
  <c r="AF515" i="2" s="1"/>
  <c r="AD515" i="2"/>
  <c r="Y514" i="2"/>
  <c r="AF514" i="2" s="1"/>
  <c r="AD514" i="2"/>
  <c r="Y513" i="2"/>
  <c r="AF513" i="2" s="1"/>
  <c r="AD513" i="2"/>
  <c r="Y512" i="2"/>
  <c r="AF512" i="2" s="1"/>
  <c r="AD512" i="2"/>
  <c r="Y511" i="2"/>
  <c r="AF511" i="2" s="1"/>
  <c r="AD511" i="2"/>
  <c r="Y510" i="2"/>
  <c r="AF510" i="2" s="1"/>
  <c r="AD510" i="2"/>
  <c r="Y509" i="2"/>
  <c r="AF509" i="2" s="1"/>
  <c r="AD509" i="2"/>
  <c r="Y508" i="2"/>
  <c r="AF508" i="2" s="1"/>
  <c r="AD508" i="2"/>
  <c r="Y507" i="2"/>
  <c r="AF507" i="2" s="1"/>
  <c r="AD507" i="2"/>
  <c r="Y506" i="2"/>
  <c r="AF506" i="2" s="1"/>
  <c r="AD506" i="2"/>
  <c r="Y505" i="2"/>
  <c r="AF505" i="2" s="1"/>
  <c r="AD505" i="2"/>
  <c r="Y504" i="2"/>
  <c r="AF504" i="2" s="1"/>
  <c r="AD504" i="2"/>
  <c r="Y503" i="2"/>
  <c r="AF503" i="2" s="1"/>
  <c r="AD503" i="2"/>
  <c r="Y502" i="2"/>
  <c r="AF502" i="2" s="1"/>
  <c r="AD502" i="2"/>
  <c r="Y501" i="2"/>
  <c r="AF501" i="2" s="1"/>
  <c r="AD501" i="2"/>
  <c r="Y500" i="2"/>
  <c r="AF500" i="2" s="1"/>
  <c r="AD500" i="2"/>
  <c r="Y499" i="2"/>
  <c r="AF499" i="2" s="1"/>
  <c r="AD499" i="2"/>
  <c r="Y498" i="2"/>
  <c r="AF498" i="2" s="1"/>
  <c r="AD498" i="2"/>
  <c r="Y497" i="2"/>
  <c r="AF497" i="2" s="1"/>
  <c r="AD497" i="2"/>
  <c r="Y496" i="2"/>
  <c r="AF496" i="2" s="1"/>
  <c r="AD496" i="2"/>
  <c r="Y495" i="2"/>
  <c r="AF495" i="2" s="1"/>
  <c r="AD495" i="2"/>
  <c r="Y494" i="2"/>
  <c r="AF494" i="2" s="1"/>
  <c r="AD494" i="2"/>
  <c r="Y493" i="2"/>
  <c r="AF493" i="2" s="1"/>
  <c r="AD493" i="2"/>
  <c r="Y492" i="2"/>
  <c r="AF492" i="2" s="1"/>
  <c r="AD492" i="2"/>
  <c r="Y491" i="2"/>
  <c r="AF491" i="2" s="1"/>
  <c r="AD491" i="2"/>
  <c r="Y490" i="2"/>
  <c r="AF490" i="2" s="1"/>
  <c r="AD490" i="2"/>
  <c r="Y489" i="2"/>
  <c r="AF489" i="2" s="1"/>
  <c r="AD489" i="2"/>
  <c r="Y488" i="2"/>
  <c r="AF488" i="2" s="1"/>
  <c r="AD488" i="2"/>
  <c r="Y487" i="2"/>
  <c r="AF487" i="2" s="1"/>
  <c r="AD487" i="2"/>
  <c r="Y486" i="2"/>
  <c r="AF486" i="2" s="1"/>
  <c r="AD486" i="2"/>
  <c r="Y485" i="2"/>
  <c r="AF485" i="2" s="1"/>
  <c r="AD485" i="2"/>
  <c r="Y484" i="2"/>
  <c r="AF484" i="2" s="1"/>
  <c r="AD484" i="2"/>
  <c r="Y483" i="2"/>
  <c r="AF483" i="2" s="1"/>
  <c r="AD483" i="2"/>
  <c r="Y482" i="2"/>
  <c r="AF482" i="2" s="1"/>
  <c r="AD482" i="2"/>
  <c r="Y481" i="2"/>
  <c r="AF481" i="2" s="1"/>
  <c r="AD481" i="2"/>
  <c r="Y480" i="2"/>
  <c r="AF480" i="2" s="1"/>
  <c r="AD480" i="2"/>
  <c r="Y479" i="2"/>
  <c r="AF479" i="2" s="1"/>
  <c r="AD479" i="2"/>
  <c r="Y478" i="2"/>
  <c r="AF478" i="2" s="1"/>
  <c r="AD478" i="2"/>
  <c r="Y477" i="2"/>
  <c r="AF477" i="2" s="1"/>
  <c r="AD477" i="2"/>
  <c r="Y476" i="2"/>
  <c r="AF476" i="2" s="1"/>
  <c r="AD476" i="2"/>
  <c r="Y475" i="2"/>
  <c r="AF475" i="2" s="1"/>
  <c r="AD475" i="2"/>
  <c r="Y474" i="2"/>
  <c r="AF474" i="2" s="1"/>
  <c r="AD474" i="2"/>
  <c r="Y473" i="2"/>
  <c r="AF473" i="2" s="1"/>
  <c r="AD473" i="2"/>
  <c r="Y472" i="2"/>
  <c r="AF472" i="2" s="1"/>
  <c r="AD472" i="2"/>
  <c r="Y471" i="2"/>
  <c r="AF471" i="2" s="1"/>
  <c r="AD471" i="2"/>
  <c r="Y470" i="2"/>
  <c r="AF470" i="2" s="1"/>
  <c r="AD470" i="2"/>
  <c r="Y469" i="2"/>
  <c r="AF469" i="2" s="1"/>
  <c r="AD469" i="2"/>
  <c r="Y468" i="2"/>
  <c r="AF468" i="2" s="1"/>
  <c r="AD468" i="2"/>
  <c r="Y467" i="2"/>
  <c r="AF467" i="2" s="1"/>
  <c r="AD467" i="2"/>
  <c r="Y466" i="2"/>
  <c r="AF466" i="2" s="1"/>
  <c r="AD466" i="2"/>
  <c r="Y465" i="2"/>
  <c r="AF465" i="2" s="1"/>
  <c r="AD465" i="2"/>
  <c r="Y464" i="2"/>
  <c r="AF464" i="2" s="1"/>
  <c r="AD464" i="2"/>
  <c r="Y463" i="2"/>
  <c r="AF463" i="2" s="1"/>
  <c r="AD463" i="2"/>
  <c r="Y462" i="2"/>
  <c r="AF462" i="2" s="1"/>
  <c r="AD462" i="2"/>
  <c r="Y461" i="2"/>
  <c r="AF461" i="2" s="1"/>
  <c r="AD461" i="2"/>
  <c r="AD446" i="2"/>
  <c r="Y446" i="2"/>
  <c r="AF446" i="2" s="1"/>
  <c r="Y445" i="2"/>
  <c r="AF445" i="2" s="1"/>
  <c r="AD445" i="2"/>
  <c r="AD444" i="2"/>
  <c r="Y444" i="2"/>
  <c r="AF444" i="2" s="1"/>
  <c r="AD443" i="2"/>
  <c r="Y443" i="2"/>
  <c r="AF443" i="2" s="1"/>
  <c r="AD442" i="2"/>
  <c r="Y442" i="2"/>
  <c r="AF442" i="2" s="1"/>
  <c r="Y441" i="2"/>
  <c r="AF441" i="2" s="1"/>
  <c r="AD441" i="2"/>
  <c r="Y440" i="2"/>
  <c r="AF440" i="2" s="1"/>
  <c r="AD440" i="2"/>
  <c r="AD439" i="2"/>
  <c r="Y439" i="2"/>
  <c r="AF439" i="2" s="1"/>
  <c r="AD438" i="2"/>
  <c r="Y438" i="2"/>
  <c r="AF438" i="2" s="1"/>
  <c r="Y437" i="2"/>
  <c r="AF437" i="2" s="1"/>
  <c r="AD437" i="2"/>
  <c r="AD436" i="2"/>
  <c r="Y436" i="2"/>
  <c r="AF436" i="2" s="1"/>
  <c r="AD435" i="2"/>
  <c r="Y435" i="2"/>
  <c r="AF435" i="2" s="1"/>
  <c r="AD434" i="2"/>
  <c r="Y434" i="2"/>
  <c r="AF434" i="2" s="1"/>
  <c r="Y433" i="2"/>
  <c r="AF433" i="2" s="1"/>
  <c r="AD433" i="2"/>
  <c r="AD432" i="2"/>
  <c r="Y432" i="2"/>
  <c r="AF432" i="2" s="1"/>
  <c r="Y431" i="2"/>
  <c r="AF431" i="2" s="1"/>
  <c r="AD431" i="2"/>
  <c r="AD430" i="2"/>
  <c r="Y430" i="2"/>
  <c r="AF430" i="2" s="1"/>
  <c r="AD429" i="2"/>
  <c r="Y429" i="2"/>
  <c r="AF429" i="2" s="1"/>
  <c r="Y428" i="2"/>
  <c r="AF428" i="2" s="1"/>
  <c r="AD428" i="2"/>
  <c r="AD427" i="2"/>
  <c r="Y427" i="2"/>
  <c r="AF427" i="2" s="1"/>
  <c r="Y426" i="2"/>
  <c r="AF426" i="2" s="1"/>
  <c r="AD426" i="2"/>
  <c r="AD425" i="2"/>
  <c r="Y425" i="2"/>
  <c r="AF425" i="2" s="1"/>
  <c r="Y424" i="2"/>
  <c r="AF424" i="2" s="1"/>
  <c r="AD424" i="2"/>
  <c r="Y423" i="2"/>
  <c r="AF423" i="2" s="1"/>
  <c r="AD423" i="2"/>
  <c r="AD422" i="2"/>
  <c r="Y422" i="2"/>
  <c r="AF422" i="2" s="1"/>
  <c r="Y421" i="2"/>
  <c r="AF421" i="2" s="1"/>
  <c r="AD421" i="2"/>
  <c r="Y420" i="2"/>
  <c r="AF420" i="2" s="1"/>
  <c r="AD420" i="2"/>
  <c r="AD419" i="2"/>
  <c r="Y419" i="2"/>
  <c r="AF419" i="2" s="1"/>
  <c r="AD418" i="2"/>
  <c r="Y418" i="2"/>
  <c r="AF418" i="2" s="1"/>
  <c r="Y417" i="2"/>
  <c r="AF417" i="2" s="1"/>
  <c r="AD417" i="2"/>
  <c r="AD416" i="2"/>
  <c r="Y416" i="2"/>
  <c r="AF416" i="2" s="1"/>
  <c r="AD415" i="2"/>
  <c r="Y415" i="2"/>
  <c r="AF415" i="2" s="1"/>
  <c r="Y414" i="2"/>
  <c r="AF414" i="2" s="1"/>
  <c r="AD414" i="2"/>
  <c r="AD413" i="2"/>
  <c r="Y413" i="2"/>
  <c r="AF413" i="2" s="1"/>
  <c r="Y412" i="2"/>
  <c r="AF412" i="2" s="1"/>
  <c r="AD412" i="2"/>
  <c r="Y411" i="2"/>
  <c r="AF411" i="2" s="1"/>
  <c r="AD411" i="2"/>
  <c r="AD410" i="2"/>
  <c r="Y410" i="2"/>
  <c r="AF410" i="2" s="1"/>
  <c r="AD409" i="2"/>
  <c r="Y409" i="2"/>
  <c r="AF409" i="2" s="1"/>
  <c r="Y408" i="2"/>
  <c r="AF408" i="2" s="1"/>
  <c r="AD408" i="2"/>
  <c r="Y407" i="2"/>
  <c r="AF407" i="2" s="1"/>
  <c r="AD407" i="2"/>
  <c r="AD406" i="2"/>
  <c r="Y406" i="2"/>
  <c r="AF406" i="2" s="1"/>
  <c r="Y405" i="2"/>
  <c r="AF405" i="2" s="1"/>
  <c r="AD405" i="2"/>
  <c r="AD404" i="2"/>
  <c r="Y404" i="2"/>
  <c r="AF404" i="2" s="1"/>
  <c r="Y403" i="2"/>
  <c r="AF403" i="2" s="1"/>
  <c r="AD403" i="2"/>
  <c r="AD402" i="2"/>
  <c r="Y402" i="2"/>
  <c r="AF402" i="2" s="1"/>
  <c r="Y401" i="2"/>
  <c r="AF401" i="2" s="1"/>
  <c r="AD401" i="2"/>
  <c r="AD400" i="2"/>
  <c r="Y400" i="2"/>
  <c r="AF400" i="2" s="1"/>
  <c r="AD399" i="2"/>
  <c r="Y399" i="2"/>
  <c r="AF399" i="2" s="1"/>
  <c r="AD398" i="2"/>
  <c r="Y398" i="2"/>
  <c r="AF398" i="2" s="1"/>
  <c r="Y397" i="2"/>
  <c r="AF397" i="2" s="1"/>
  <c r="AD397" i="2"/>
  <c r="AD396" i="2"/>
  <c r="Y396" i="2"/>
  <c r="AF396" i="2" s="1"/>
  <c r="AD395" i="2"/>
  <c r="Y395" i="2"/>
  <c r="AF395" i="2" s="1"/>
  <c r="AD394" i="2"/>
  <c r="Y394" i="2"/>
  <c r="AF394" i="2" s="1"/>
  <c r="Y393" i="2"/>
  <c r="AF393" i="2" s="1"/>
  <c r="AD393" i="2"/>
  <c r="AD392" i="2"/>
  <c r="Y392" i="2"/>
  <c r="AF392" i="2" s="1"/>
  <c r="AD391" i="2"/>
  <c r="Y391" i="2"/>
  <c r="AF391" i="2" s="1"/>
  <c r="Y390" i="2"/>
  <c r="AF390" i="2" s="1"/>
  <c r="AD390" i="2"/>
  <c r="AD389" i="2"/>
  <c r="Y389" i="2"/>
  <c r="AF389" i="2" s="1"/>
  <c r="Y388" i="2"/>
  <c r="AF388" i="2" s="1"/>
  <c r="AD388" i="2"/>
  <c r="AD387" i="2"/>
  <c r="Y387" i="2"/>
  <c r="AF387" i="2" s="1"/>
  <c r="AD386" i="2"/>
  <c r="Y386" i="2"/>
  <c r="AF386" i="2" s="1"/>
  <c r="AD385" i="2"/>
  <c r="Y385" i="2"/>
  <c r="AF385" i="2" s="1"/>
  <c r="AD384" i="2"/>
  <c r="Y384" i="2"/>
  <c r="AF384" i="2" s="1"/>
  <c r="AD383" i="2"/>
  <c r="Y383" i="2"/>
  <c r="AF383" i="2" s="1"/>
  <c r="Y382" i="2"/>
  <c r="AF382" i="2" s="1"/>
  <c r="AD382" i="2"/>
  <c r="AD381" i="2"/>
  <c r="Y381" i="2"/>
  <c r="AF381" i="2" s="1"/>
  <c r="Y380" i="2"/>
  <c r="AF380" i="2" s="1"/>
  <c r="AD380" i="2"/>
  <c r="AD379" i="2"/>
  <c r="Y379" i="2"/>
  <c r="AF379" i="2" s="1"/>
  <c r="AD378" i="2"/>
  <c r="Y378" i="2"/>
  <c r="AF378" i="2" s="1"/>
  <c r="AD377" i="2"/>
  <c r="Y377" i="2"/>
  <c r="AF377" i="2" s="1"/>
  <c r="Y376" i="2"/>
  <c r="AF376" i="2" s="1"/>
  <c r="AD376" i="2"/>
  <c r="AD375" i="2"/>
  <c r="Y375" i="2"/>
  <c r="AF375" i="2" s="1"/>
  <c r="AD374" i="2"/>
  <c r="Y374" i="2"/>
  <c r="AF374" i="2" s="1"/>
  <c r="Y373" i="2"/>
  <c r="AF373" i="2" s="1"/>
  <c r="AD373" i="2"/>
  <c r="AD372" i="2"/>
  <c r="Y372" i="2"/>
  <c r="AF372" i="2" s="1"/>
  <c r="AD371" i="2"/>
  <c r="Y371" i="2"/>
  <c r="AF371" i="2" s="1"/>
  <c r="AD370" i="2"/>
  <c r="Y370" i="2"/>
  <c r="AF370" i="2" s="1"/>
  <c r="AD369" i="2"/>
  <c r="Y369" i="2"/>
  <c r="AF369" i="2" s="1"/>
  <c r="AD368" i="2"/>
  <c r="Y368" i="2"/>
  <c r="AF368" i="2" s="1"/>
  <c r="AD367" i="2"/>
  <c r="Y367" i="2"/>
  <c r="AF367" i="2" s="1"/>
  <c r="Y366" i="2"/>
  <c r="AF366" i="2" s="1"/>
  <c r="AD366" i="2"/>
  <c r="AD365" i="2"/>
  <c r="Y365" i="2"/>
  <c r="AF365" i="2" s="1"/>
  <c r="Y364" i="2"/>
  <c r="AF364" i="2" s="1"/>
  <c r="AD364" i="2"/>
  <c r="AD363" i="2"/>
  <c r="Y363" i="2"/>
  <c r="AF363" i="2" s="1"/>
  <c r="AD362" i="2"/>
  <c r="Y362" i="2"/>
  <c r="AF362" i="2" s="1"/>
  <c r="AD361" i="2"/>
  <c r="Y361" i="2"/>
  <c r="AF361" i="2" s="1"/>
  <c r="AD360" i="2"/>
  <c r="Y360" i="2"/>
  <c r="AF360" i="2" s="1"/>
  <c r="AD359" i="2"/>
  <c r="Y359" i="2"/>
  <c r="AF359" i="2" s="1"/>
  <c r="AD358" i="2"/>
  <c r="Y358" i="2"/>
  <c r="AF358" i="2" s="1"/>
  <c r="AD357" i="2"/>
  <c r="Y357" i="2"/>
  <c r="AF357" i="2" s="1"/>
  <c r="Y356" i="2"/>
  <c r="AF356" i="2" s="1"/>
  <c r="AD356" i="2"/>
  <c r="AD355" i="2"/>
  <c r="Y355" i="2"/>
  <c r="AF355" i="2" s="1"/>
  <c r="AD354" i="2"/>
  <c r="Y354" i="2"/>
  <c r="AF354" i="2" s="1"/>
  <c r="AD353" i="2"/>
  <c r="Y353" i="2"/>
  <c r="AF353" i="2" s="1"/>
  <c r="Y352" i="2"/>
  <c r="AF352" i="2" s="1"/>
  <c r="AD352" i="2"/>
  <c r="AD351" i="2"/>
  <c r="Y351" i="2"/>
  <c r="AF351" i="2" s="1"/>
  <c r="Y350" i="2"/>
  <c r="AF350" i="2" s="1"/>
  <c r="AD350" i="2"/>
  <c r="AD349" i="2"/>
  <c r="Y349" i="2"/>
  <c r="AF349" i="2" s="1"/>
  <c r="Y348" i="2"/>
  <c r="AF348" i="2" s="1"/>
  <c r="AD348" i="2"/>
  <c r="AD347" i="2"/>
  <c r="Y347" i="2"/>
  <c r="AF347" i="2" s="1"/>
  <c r="AD346" i="2"/>
  <c r="Y346" i="2"/>
  <c r="AF346" i="2" s="1"/>
  <c r="Y345" i="2"/>
  <c r="AF345" i="2" s="1"/>
  <c r="AD345" i="2"/>
  <c r="AD344" i="2"/>
  <c r="Y344" i="2"/>
  <c r="AF344" i="2" s="1"/>
  <c r="AD343" i="2"/>
  <c r="Y343" i="2"/>
  <c r="AF343" i="2" s="1"/>
  <c r="Y342" i="2"/>
  <c r="AF342" i="2" s="1"/>
  <c r="AD342" i="2"/>
  <c r="AD341" i="2"/>
  <c r="Y341" i="2"/>
  <c r="AF341" i="2" s="1"/>
  <c r="Y340" i="2"/>
  <c r="AF340" i="2" s="1"/>
  <c r="AD340" i="2"/>
  <c r="AD339" i="2"/>
  <c r="Y339" i="2"/>
  <c r="AF339" i="2" s="1"/>
  <c r="AD338" i="2"/>
  <c r="Y338" i="2"/>
  <c r="AF338" i="2" s="1"/>
  <c r="Y337" i="2"/>
  <c r="AF337" i="2" s="1"/>
  <c r="AD337" i="2"/>
  <c r="AD336" i="2"/>
  <c r="Y336" i="2"/>
  <c r="AF336" i="2" s="1"/>
  <c r="AD335" i="2"/>
  <c r="Y335" i="2"/>
  <c r="AF335" i="2" s="1"/>
  <c r="Y334" i="2"/>
  <c r="AF334" i="2" s="1"/>
  <c r="AD334" i="2"/>
  <c r="AD333" i="2"/>
  <c r="Y333" i="2"/>
  <c r="AF333" i="2" s="1"/>
  <c r="AD332" i="2"/>
  <c r="Y332" i="2"/>
  <c r="AF332" i="2" s="1"/>
  <c r="AD331" i="2"/>
  <c r="Y331" i="2"/>
  <c r="AF331" i="2" s="1"/>
  <c r="AD330" i="2"/>
  <c r="Y330" i="2"/>
  <c r="AF330" i="2" s="1"/>
  <c r="AD329" i="2"/>
  <c r="Y329" i="2"/>
  <c r="AF329" i="2" s="1"/>
  <c r="Y328" i="2"/>
  <c r="AF328" i="2" s="1"/>
  <c r="AD328" i="2"/>
  <c r="AD327" i="2"/>
  <c r="Y327" i="2"/>
  <c r="AF327" i="2" s="1"/>
  <c r="AD326" i="2"/>
  <c r="Y326" i="2"/>
  <c r="AF326" i="2" s="1"/>
  <c r="Y325" i="2"/>
  <c r="AF325" i="2" s="1"/>
  <c r="AD325" i="2"/>
  <c r="AD324" i="2"/>
  <c r="Y324" i="2"/>
  <c r="AF324" i="2" s="1"/>
  <c r="Y323" i="2"/>
  <c r="AF323" i="2" s="1"/>
  <c r="AD323" i="2"/>
  <c r="AD322" i="2"/>
  <c r="Y322" i="2"/>
  <c r="AF322" i="2" s="1"/>
  <c r="AD321" i="2"/>
  <c r="Y321" i="2"/>
  <c r="AF321" i="2" s="1"/>
  <c r="Y320" i="2"/>
  <c r="AF320" i="2" s="1"/>
  <c r="AD320" i="2"/>
  <c r="AD319" i="2"/>
  <c r="Y319" i="2"/>
  <c r="AF319" i="2" s="1"/>
  <c r="Y318" i="2"/>
  <c r="AF318" i="2" s="1"/>
  <c r="AD318" i="2"/>
  <c r="AD317" i="2"/>
  <c r="Y317" i="2"/>
  <c r="AF317" i="2" s="1"/>
  <c r="AD316" i="2"/>
  <c r="Y316" i="2"/>
  <c r="AF316" i="2" s="1"/>
  <c r="AD315" i="2"/>
  <c r="Y315" i="2"/>
  <c r="AF315" i="2" s="1"/>
  <c r="AD314" i="2"/>
  <c r="Y314" i="2"/>
  <c r="AF314" i="2" s="1"/>
  <c r="AD313" i="2"/>
  <c r="Y313" i="2"/>
  <c r="AF313" i="2" s="1"/>
  <c r="AD312" i="2"/>
  <c r="Y312" i="2"/>
  <c r="AF312" i="2" s="1"/>
  <c r="AD311" i="2"/>
  <c r="Y311" i="2"/>
  <c r="AF311" i="2" s="1"/>
  <c r="AD310" i="2"/>
  <c r="Y310" i="2"/>
  <c r="AF310" i="2" s="1"/>
  <c r="AD309" i="2"/>
  <c r="Y309" i="2"/>
  <c r="AF309" i="2" s="1"/>
  <c r="AD308" i="2"/>
  <c r="Y308" i="2"/>
  <c r="AF308" i="2" s="1"/>
  <c r="AD307" i="2"/>
  <c r="Y307" i="2"/>
  <c r="AF307" i="2" s="1"/>
  <c r="AD306" i="2"/>
  <c r="Y306" i="2"/>
  <c r="AF306" i="2" s="1"/>
  <c r="AD305" i="2"/>
  <c r="Y305" i="2"/>
  <c r="AF305" i="2" s="1"/>
  <c r="Y304" i="2"/>
  <c r="AF304" i="2" s="1"/>
  <c r="AD304" i="2"/>
  <c r="AD303" i="2"/>
  <c r="Y303" i="2"/>
  <c r="AF303" i="2" s="1"/>
  <c r="AD302" i="2"/>
  <c r="Y302" i="2"/>
  <c r="AF302" i="2" s="1"/>
  <c r="AD301" i="2"/>
  <c r="Y301" i="2"/>
  <c r="AF301" i="2" s="1"/>
  <c r="Y300" i="2"/>
  <c r="AF300" i="2" s="1"/>
  <c r="AD300" i="2"/>
  <c r="AD299" i="2"/>
  <c r="Y299" i="2"/>
  <c r="AF299" i="2" s="1"/>
  <c r="Y298" i="2"/>
  <c r="AF298" i="2" s="1"/>
  <c r="AD298" i="2"/>
  <c r="AD297" i="2"/>
  <c r="Y297" i="2"/>
  <c r="AF297" i="2" s="1"/>
  <c r="AD296" i="2"/>
  <c r="Y296" i="2"/>
  <c r="AF296" i="2" s="1"/>
  <c r="AD295" i="2"/>
  <c r="Y295" i="2"/>
  <c r="AF295" i="2" s="1"/>
  <c r="AD294" i="2"/>
  <c r="Y294" i="2"/>
  <c r="AF294" i="2" s="1"/>
  <c r="AD293" i="2"/>
  <c r="Y293" i="2"/>
  <c r="AF293" i="2" s="1"/>
  <c r="AD292" i="2"/>
  <c r="Y292" i="2"/>
  <c r="AF292" i="2" s="1"/>
  <c r="AD291" i="2"/>
  <c r="Y291" i="2"/>
  <c r="AF291" i="2" s="1"/>
  <c r="Y290" i="2"/>
  <c r="AF290" i="2" s="1"/>
  <c r="AD290" i="2"/>
  <c r="AD289" i="2"/>
  <c r="Y289" i="2"/>
  <c r="AF289" i="2" s="1"/>
  <c r="AD288" i="2"/>
  <c r="Y288" i="2"/>
  <c r="AF288" i="2" s="1"/>
  <c r="Y287" i="2"/>
  <c r="AF287" i="2" s="1"/>
  <c r="AD287" i="2"/>
  <c r="AD286" i="2"/>
  <c r="Y286" i="2"/>
  <c r="AF286" i="2" s="1"/>
  <c r="AD285" i="2"/>
  <c r="Y285" i="2"/>
  <c r="AF285" i="2" s="1"/>
  <c r="Y284" i="2"/>
  <c r="AF284" i="2" s="1"/>
  <c r="AD284" i="2"/>
  <c r="AD283" i="2"/>
  <c r="Y283" i="2"/>
  <c r="AF283" i="2" s="1"/>
  <c r="Y282" i="2"/>
  <c r="AF282" i="2" s="1"/>
  <c r="AD282" i="2"/>
  <c r="AD281" i="2"/>
  <c r="Y281" i="2"/>
  <c r="AF281" i="2" s="1"/>
  <c r="Y280" i="2"/>
  <c r="AF280" i="2" s="1"/>
  <c r="AD280" i="2"/>
  <c r="AD279" i="2"/>
  <c r="Y279" i="2"/>
  <c r="AF279" i="2" s="1"/>
  <c r="Y278" i="2"/>
  <c r="AF278" i="2" s="1"/>
  <c r="AD278" i="2"/>
  <c r="AD277" i="2"/>
  <c r="Y277" i="2"/>
  <c r="AF277" i="2" s="1"/>
  <c r="Y276" i="2"/>
  <c r="AF276" i="2" s="1"/>
  <c r="AD276" i="2"/>
  <c r="AD275" i="2"/>
  <c r="Y275" i="2"/>
  <c r="AF275" i="2" s="1"/>
  <c r="Y274" i="2"/>
  <c r="AF274" i="2" s="1"/>
  <c r="AD274" i="2"/>
  <c r="AD273" i="2"/>
  <c r="Y273" i="2"/>
  <c r="AF273" i="2" s="1"/>
  <c r="AD272" i="2"/>
  <c r="Y272" i="2"/>
  <c r="AF272" i="2" s="1"/>
  <c r="Y271" i="2"/>
  <c r="AF271" i="2" s="1"/>
  <c r="AD271" i="2"/>
  <c r="AD270" i="2"/>
  <c r="Y270" i="2"/>
  <c r="AF270" i="2" s="1"/>
  <c r="Y269" i="2"/>
  <c r="AF269" i="2" s="1"/>
  <c r="AD269" i="2"/>
  <c r="Y268" i="2"/>
  <c r="AF268" i="2" s="1"/>
  <c r="AD268" i="2"/>
  <c r="AD267" i="2"/>
  <c r="Y267" i="2"/>
  <c r="AF267" i="2" s="1"/>
  <c r="AD266" i="2"/>
  <c r="Y266" i="2"/>
  <c r="AF266" i="2" s="1"/>
  <c r="AD265" i="2"/>
  <c r="Y265" i="2"/>
  <c r="AF265" i="2" s="1"/>
  <c r="AD264" i="2"/>
  <c r="Y264" i="2"/>
  <c r="AF264" i="2" s="1"/>
  <c r="AD263" i="2"/>
  <c r="Y263" i="2"/>
  <c r="AF263" i="2" s="1"/>
  <c r="AD262" i="2"/>
  <c r="Y262" i="2"/>
  <c r="AF262" i="2" s="1"/>
  <c r="AD261" i="2"/>
  <c r="Y261" i="2"/>
  <c r="AF261" i="2" s="1"/>
  <c r="Y260" i="2"/>
  <c r="AF260" i="2" s="1"/>
  <c r="AD260" i="2"/>
  <c r="AD259" i="2"/>
  <c r="Y259" i="2"/>
  <c r="AF259" i="2" s="1"/>
  <c r="Y258" i="2"/>
  <c r="AF258" i="2" s="1"/>
  <c r="AD258" i="2"/>
  <c r="AD257" i="2"/>
  <c r="Y257" i="2"/>
  <c r="AF257" i="2" s="1"/>
  <c r="AD256" i="2"/>
  <c r="Y256" i="2"/>
  <c r="AF256" i="2" s="1"/>
  <c r="AD255" i="2"/>
  <c r="Y255" i="2"/>
  <c r="AF255" i="2" s="1"/>
  <c r="Y254" i="2"/>
  <c r="AF254" i="2" s="1"/>
  <c r="AD254" i="2"/>
  <c r="AD253" i="2"/>
  <c r="Y253" i="2"/>
  <c r="AF253" i="2" s="1"/>
  <c r="AD252" i="2"/>
  <c r="Y252" i="2"/>
  <c r="AF252" i="2" s="1"/>
  <c r="Y251" i="2"/>
  <c r="AF251" i="2" s="1"/>
  <c r="AD251" i="2"/>
  <c r="AD250" i="2"/>
  <c r="Y250" i="2"/>
  <c r="AF250" i="2" s="1"/>
  <c r="AD249" i="2"/>
  <c r="Y249" i="2"/>
  <c r="AF249" i="2" s="1"/>
  <c r="Y248" i="2"/>
  <c r="AF248" i="2" s="1"/>
  <c r="AD248" i="2"/>
  <c r="AD247" i="2"/>
  <c r="Y247" i="2"/>
  <c r="AF247" i="2" s="1"/>
  <c r="AD246" i="2"/>
  <c r="Y246" i="2"/>
  <c r="AF246" i="2" s="1"/>
  <c r="Y245" i="2"/>
  <c r="AF245" i="2" s="1"/>
  <c r="AD245" i="2"/>
  <c r="AD244" i="2"/>
  <c r="Y244" i="2"/>
  <c r="AF244" i="2" s="1"/>
  <c r="Y243" i="2"/>
  <c r="AF243" i="2" s="1"/>
  <c r="AD243" i="2"/>
  <c r="AD242" i="2"/>
  <c r="Y242" i="2"/>
  <c r="AF242" i="2" s="1"/>
  <c r="AD241" i="2"/>
  <c r="Y241" i="2"/>
  <c r="AF241" i="2" s="1"/>
  <c r="AD240" i="2"/>
  <c r="Y240" i="2"/>
  <c r="AF240" i="2" s="1"/>
  <c r="Y239" i="2"/>
  <c r="AF239" i="2" s="1"/>
  <c r="AD239" i="2"/>
  <c r="AD238" i="2"/>
  <c r="Y238" i="2"/>
  <c r="AF238" i="2" s="1"/>
  <c r="AD237" i="2"/>
  <c r="Y237" i="2"/>
  <c r="AF237" i="2" s="1"/>
  <c r="AD236" i="2"/>
  <c r="Y236" i="2"/>
  <c r="AF236" i="2" s="1"/>
  <c r="AD235" i="2"/>
  <c r="Y235" i="2"/>
  <c r="AF235" i="2" s="1"/>
  <c r="AD234" i="2"/>
  <c r="Y234" i="2"/>
  <c r="AF234" i="2" s="1"/>
  <c r="Y233" i="2"/>
  <c r="AF233" i="2" s="1"/>
  <c r="AD233" i="2"/>
  <c r="AD232" i="2"/>
  <c r="Y232" i="2"/>
  <c r="AF232" i="2" s="1"/>
  <c r="Y231" i="2"/>
  <c r="AF231" i="2" s="1"/>
  <c r="AD231" i="2"/>
  <c r="AD230" i="2"/>
  <c r="Y230" i="2"/>
  <c r="AF230" i="2" s="1"/>
  <c r="AD229" i="2"/>
  <c r="Y229" i="2"/>
  <c r="AF229" i="2" s="1"/>
  <c r="Y228" i="2"/>
  <c r="AF228" i="2" s="1"/>
  <c r="AD228" i="2"/>
  <c r="AD227" i="2"/>
  <c r="Y227" i="2"/>
  <c r="AF227" i="2" s="1"/>
  <c r="AD226" i="2"/>
  <c r="Y226" i="2"/>
  <c r="AF226" i="2" s="1"/>
  <c r="AD225" i="2"/>
  <c r="Y225" i="2"/>
  <c r="AF225" i="2" s="1"/>
  <c r="AD224" i="2"/>
  <c r="Y224" i="2"/>
  <c r="AF224" i="2" s="1"/>
  <c r="AD223" i="2"/>
  <c r="Y223" i="2"/>
  <c r="AF223" i="2" s="1"/>
  <c r="AD222" i="2"/>
  <c r="Y222" i="2"/>
  <c r="AF222" i="2" s="1"/>
  <c r="AD221" i="2"/>
  <c r="Y221" i="2"/>
  <c r="AF221" i="2" s="1"/>
  <c r="Y220" i="2"/>
  <c r="AF220" i="2" s="1"/>
  <c r="AD220" i="2"/>
  <c r="AD219" i="2"/>
  <c r="Y219" i="2"/>
  <c r="AF219" i="2" s="1"/>
  <c r="AD218" i="2"/>
  <c r="Y218" i="2"/>
  <c r="AF218" i="2" s="1"/>
  <c r="AD217" i="2"/>
  <c r="Y217" i="2"/>
  <c r="AF217" i="2" s="1"/>
  <c r="AD216" i="2"/>
  <c r="Y216" i="2"/>
  <c r="AF216" i="2" s="1"/>
  <c r="Y215" i="2"/>
  <c r="AF215" i="2" s="1"/>
  <c r="AD215" i="2"/>
  <c r="AD214" i="2"/>
  <c r="Y214" i="2"/>
  <c r="AF214" i="2" s="1"/>
  <c r="Y213" i="2"/>
  <c r="AF213" i="2" s="1"/>
  <c r="AD213" i="2"/>
  <c r="AD212" i="2"/>
  <c r="Y212" i="2"/>
  <c r="AF212" i="2" s="1"/>
  <c r="AD211" i="2"/>
  <c r="Y211" i="2"/>
  <c r="AF211" i="2" s="1"/>
  <c r="AD210" i="2"/>
  <c r="Y210" i="2"/>
  <c r="AF210" i="2" s="1"/>
  <c r="AD209" i="2"/>
  <c r="Y209" i="2"/>
  <c r="AF209" i="2" s="1"/>
  <c r="AD208" i="2"/>
  <c r="Y208" i="2"/>
  <c r="AF208" i="2" s="1"/>
  <c r="AD207" i="2"/>
  <c r="Y207" i="2"/>
  <c r="AF207" i="2" s="1"/>
  <c r="AD206" i="2"/>
  <c r="Y206" i="2"/>
  <c r="AF206" i="2" s="1"/>
  <c r="AD205" i="2"/>
  <c r="Y205" i="2"/>
  <c r="AF205" i="2" s="1"/>
  <c r="AD204" i="2"/>
  <c r="Y204" i="2"/>
  <c r="AF204" i="2" s="1"/>
  <c r="Y203" i="2"/>
  <c r="AF203" i="2" s="1"/>
  <c r="AD203" i="2"/>
  <c r="AD202" i="2"/>
  <c r="Y202" i="2"/>
  <c r="AF202" i="2" s="1"/>
  <c r="AD201" i="2"/>
  <c r="Y201" i="2"/>
  <c r="AF201" i="2" s="1"/>
  <c r="AD200" i="2"/>
  <c r="Y200" i="2"/>
  <c r="AF200" i="2" s="1"/>
  <c r="AD199" i="2"/>
  <c r="Y199" i="2"/>
  <c r="AF199" i="2" s="1"/>
  <c r="AD198" i="2"/>
  <c r="Y198" i="2"/>
  <c r="AF198" i="2" s="1"/>
  <c r="AD197" i="2"/>
  <c r="Y197" i="2"/>
  <c r="AF197" i="2" s="1"/>
  <c r="AD196" i="2"/>
  <c r="Y196" i="2"/>
  <c r="AF196" i="2" s="1"/>
  <c r="AD195" i="2"/>
  <c r="Y195" i="2"/>
  <c r="AF195" i="2" s="1"/>
  <c r="AD194" i="2"/>
  <c r="Y194" i="2"/>
  <c r="AF194" i="2" s="1"/>
  <c r="AD193" i="2"/>
  <c r="Y193" i="2"/>
  <c r="AF193" i="2" s="1"/>
  <c r="AD192" i="2"/>
  <c r="Y192" i="2"/>
  <c r="AF192" i="2" s="1"/>
  <c r="AD191" i="2"/>
  <c r="Y191" i="2"/>
  <c r="AF191" i="2" s="1"/>
  <c r="AD190" i="2"/>
  <c r="Y190" i="2"/>
  <c r="AF190" i="2" s="1"/>
  <c r="AD189" i="2"/>
  <c r="Y189" i="2"/>
  <c r="AF189" i="2" s="1"/>
  <c r="AD188" i="2"/>
  <c r="Y188" i="2"/>
  <c r="AF188" i="2" s="1"/>
  <c r="AD187" i="2"/>
  <c r="Y187" i="2"/>
  <c r="AF187" i="2" s="1"/>
  <c r="AD186" i="2"/>
  <c r="Y186" i="2"/>
  <c r="AF186" i="2" s="1"/>
  <c r="AD185" i="2"/>
  <c r="Y185" i="2"/>
  <c r="AF185" i="2" s="1"/>
  <c r="AD184" i="2"/>
  <c r="Y184" i="2"/>
  <c r="AF184" i="2" s="1"/>
  <c r="AD183" i="2"/>
  <c r="Y183" i="2"/>
  <c r="AF183" i="2" s="1"/>
  <c r="AD182" i="2"/>
  <c r="Y182" i="2"/>
  <c r="AF182" i="2" s="1"/>
  <c r="AD181" i="2"/>
  <c r="Y181" i="2"/>
  <c r="AF181" i="2" s="1"/>
  <c r="AD180" i="2"/>
  <c r="Y180" i="2"/>
  <c r="AF180" i="2" s="1"/>
  <c r="Y179" i="2"/>
  <c r="AF179" i="2" s="1"/>
  <c r="AD179" i="2"/>
  <c r="AD178" i="2"/>
  <c r="Y178" i="2"/>
  <c r="AF178" i="2" s="1"/>
  <c r="AD177" i="2"/>
  <c r="Y177" i="2"/>
  <c r="AF177" i="2" s="1"/>
  <c r="Y176" i="2"/>
  <c r="AF176" i="2" s="1"/>
  <c r="AD176" i="2"/>
  <c r="AD175" i="2"/>
  <c r="Y175" i="2"/>
  <c r="AF175" i="2" s="1"/>
  <c r="Y174" i="2"/>
  <c r="AF174" i="2" s="1"/>
  <c r="AD174" i="2"/>
  <c r="AD173" i="2"/>
  <c r="Y173" i="2"/>
  <c r="AF173" i="2" s="1"/>
  <c r="AD172" i="2"/>
  <c r="Y172" i="2"/>
  <c r="AF172" i="2" s="1"/>
  <c r="AD171" i="2"/>
  <c r="Y171" i="2"/>
  <c r="AF171" i="2" s="1"/>
  <c r="AD170" i="2"/>
  <c r="Y170" i="2"/>
  <c r="AF170" i="2" s="1"/>
  <c r="AD169" i="2"/>
  <c r="Y169" i="2"/>
  <c r="AF169" i="2" s="1"/>
  <c r="AD168" i="2"/>
  <c r="Y168" i="2"/>
  <c r="AF168" i="2" s="1"/>
  <c r="Y167" i="2"/>
  <c r="AF167" i="2" s="1"/>
  <c r="AD167" i="2"/>
  <c r="AD166" i="2"/>
  <c r="Y166" i="2"/>
  <c r="AF166" i="2" s="1"/>
  <c r="AD165" i="2"/>
  <c r="Y165" i="2"/>
  <c r="AF165" i="2" s="1"/>
  <c r="AD164" i="2"/>
  <c r="Y164" i="2"/>
  <c r="AF164" i="2" s="1"/>
  <c r="AD163" i="2"/>
  <c r="Y163" i="2"/>
  <c r="AF163" i="2" s="1"/>
  <c r="AD162" i="2"/>
  <c r="Y162" i="2"/>
  <c r="AF162" i="2" s="1"/>
  <c r="Y161" i="2"/>
  <c r="AF161" i="2" s="1"/>
  <c r="AD161" i="2"/>
  <c r="AD160" i="2"/>
  <c r="Y160" i="2"/>
  <c r="AF160" i="2" s="1"/>
  <c r="AD159" i="2"/>
  <c r="Y159" i="2"/>
  <c r="AF159" i="2" s="1"/>
  <c r="AD158" i="2"/>
  <c r="Y158" i="2"/>
  <c r="AF158" i="2" s="1"/>
  <c r="AD157" i="2"/>
  <c r="Y157" i="2"/>
  <c r="AF157" i="2" s="1"/>
  <c r="AD156" i="2"/>
  <c r="Y156" i="2"/>
  <c r="AF156" i="2" s="1"/>
  <c r="AD155" i="2"/>
  <c r="Y155" i="2"/>
  <c r="AF155" i="2" s="1"/>
  <c r="AD154" i="2"/>
  <c r="Y154" i="2"/>
  <c r="AF154" i="2" s="1"/>
  <c r="AD153" i="2"/>
  <c r="Y153" i="2"/>
  <c r="AF153" i="2" s="1"/>
  <c r="AD152" i="2"/>
  <c r="Y152" i="2"/>
  <c r="AF152" i="2" s="1"/>
  <c r="AD151" i="2"/>
  <c r="Y151" i="2"/>
  <c r="AF151" i="2" s="1"/>
  <c r="AD150" i="2"/>
  <c r="Y150" i="2"/>
  <c r="AF150" i="2" s="1"/>
  <c r="AD149" i="2"/>
  <c r="Y149" i="2"/>
  <c r="AF149" i="2" s="1"/>
  <c r="AD148" i="2"/>
  <c r="Y148" i="2"/>
  <c r="AF148" i="2" s="1"/>
  <c r="Y147" i="2"/>
  <c r="AF147" i="2" s="1"/>
  <c r="AD147" i="2"/>
  <c r="AD146" i="2"/>
  <c r="Y146" i="2"/>
  <c r="AF146" i="2" s="1"/>
  <c r="AD145" i="2"/>
  <c r="Y145" i="2"/>
  <c r="AF145" i="2" s="1"/>
  <c r="AD144" i="2"/>
  <c r="Y144" i="2"/>
  <c r="AF144" i="2" s="1"/>
  <c r="Y143" i="2"/>
  <c r="AF143" i="2" s="1"/>
  <c r="AD143" i="2"/>
  <c r="AD142" i="2"/>
  <c r="Y142" i="2"/>
  <c r="AF142" i="2" s="1"/>
  <c r="AD141" i="2"/>
  <c r="Y141" i="2"/>
  <c r="AF141" i="2" s="1"/>
  <c r="Y140" i="2"/>
  <c r="AF140" i="2" s="1"/>
  <c r="AD140" i="2"/>
  <c r="AD139" i="2"/>
  <c r="Y139" i="2"/>
  <c r="AF139" i="2" s="1"/>
  <c r="AD138" i="2"/>
  <c r="Y138" i="2"/>
  <c r="AF138" i="2" s="1"/>
  <c r="Y137" i="2"/>
  <c r="AF137" i="2" s="1"/>
  <c r="AD137" i="2"/>
  <c r="AD136" i="2"/>
  <c r="Y136" i="2"/>
  <c r="AF136" i="2" s="1"/>
  <c r="AD135" i="2"/>
  <c r="Y135" i="2"/>
  <c r="AF135" i="2" s="1"/>
  <c r="AD134" i="2"/>
  <c r="Y134" i="2"/>
  <c r="AF134" i="2" s="1"/>
  <c r="AD133" i="2"/>
  <c r="Y133" i="2"/>
  <c r="AF133" i="2" s="1"/>
  <c r="Y132" i="2"/>
  <c r="AF132" i="2" s="1"/>
  <c r="AD132" i="2"/>
  <c r="AD131" i="2"/>
  <c r="Y131" i="2"/>
  <c r="AF131" i="2" s="1"/>
  <c r="AD130" i="2"/>
  <c r="Y130" i="2"/>
  <c r="AF130" i="2" s="1"/>
  <c r="AD129" i="2"/>
  <c r="Y129" i="2"/>
  <c r="AF129" i="2" s="1"/>
  <c r="AD128" i="2"/>
  <c r="Y128" i="2"/>
  <c r="AF128" i="2" s="1"/>
  <c r="Y127" i="2"/>
  <c r="AF127" i="2" s="1"/>
  <c r="AD127" i="2"/>
  <c r="AD126" i="2"/>
  <c r="Y126" i="2"/>
  <c r="AF126" i="2" s="1"/>
  <c r="AD125" i="2"/>
  <c r="Y125" i="2"/>
  <c r="AF125" i="2" s="1"/>
  <c r="AD124" i="2"/>
  <c r="Y124" i="2"/>
  <c r="AF124" i="2" s="1"/>
  <c r="Y123" i="2"/>
  <c r="AF123" i="2" s="1"/>
  <c r="AD123" i="2"/>
  <c r="AD122" i="2"/>
  <c r="Y122" i="2"/>
  <c r="AF122" i="2" s="1"/>
  <c r="Y121" i="2"/>
  <c r="AF121" i="2" s="1"/>
  <c r="AD121" i="2"/>
  <c r="AD120" i="2"/>
  <c r="Y120" i="2"/>
  <c r="AF120" i="2" s="1"/>
  <c r="AD119" i="2"/>
  <c r="Y119" i="2"/>
  <c r="AF119" i="2" s="1"/>
  <c r="AD118" i="2"/>
  <c r="Y118" i="2"/>
  <c r="AF118" i="2" s="1"/>
  <c r="AD117" i="2"/>
  <c r="Y117" i="2"/>
  <c r="AF117" i="2" s="1"/>
  <c r="Y116" i="2"/>
  <c r="AF116" i="2" s="1"/>
  <c r="AD116" i="2"/>
  <c r="AD115" i="2"/>
  <c r="Y115" i="2"/>
  <c r="AF115" i="2" s="1"/>
  <c r="AD114" i="2"/>
  <c r="Y114" i="2"/>
  <c r="AF114" i="2" s="1"/>
  <c r="AD113" i="2"/>
  <c r="Y113" i="2"/>
  <c r="AF113" i="2" s="1"/>
  <c r="Y112" i="2"/>
  <c r="AF112" i="2" s="1"/>
  <c r="AD112" i="2"/>
  <c r="AD111" i="2"/>
  <c r="Y111" i="2"/>
  <c r="AF111" i="2" s="1"/>
  <c r="AD110" i="2"/>
  <c r="Y110" i="2"/>
  <c r="AF110" i="2" s="1"/>
  <c r="Y109" i="2"/>
  <c r="AF109" i="2" s="1"/>
  <c r="AD109" i="2"/>
  <c r="Y108" i="2"/>
  <c r="AF108" i="2" s="1"/>
  <c r="AD108" i="2"/>
  <c r="AD107" i="2"/>
  <c r="Y107" i="2"/>
  <c r="AF107" i="2" s="1"/>
  <c r="AD106" i="2"/>
  <c r="Y106" i="2"/>
  <c r="AF106" i="2" s="1"/>
  <c r="AD105" i="2"/>
  <c r="Y105" i="2"/>
  <c r="AF105" i="2" s="1"/>
  <c r="AD104" i="2"/>
  <c r="Y104" i="2"/>
  <c r="AF104" i="2" s="1"/>
  <c r="AD103" i="2"/>
  <c r="Y103" i="2"/>
  <c r="AF103" i="2" s="1"/>
  <c r="AD102" i="2"/>
  <c r="Y102" i="2"/>
  <c r="AF102" i="2" s="1"/>
  <c r="AD101" i="2"/>
  <c r="Y101" i="2"/>
  <c r="AF101" i="2" s="1"/>
  <c r="Y100" i="2"/>
  <c r="AF100" i="2" s="1"/>
  <c r="AD100" i="2"/>
  <c r="AD99" i="2"/>
  <c r="Y99" i="2"/>
  <c r="AF99" i="2" s="1"/>
  <c r="AD98" i="2"/>
  <c r="Y98" i="2"/>
  <c r="AF98" i="2" s="1"/>
  <c r="Y97" i="2"/>
  <c r="AF97" i="2" s="1"/>
  <c r="AD97" i="2"/>
  <c r="AD96" i="2"/>
  <c r="Y96" i="2"/>
  <c r="AF96" i="2" s="1"/>
  <c r="AD95" i="2"/>
  <c r="Y95" i="2"/>
  <c r="AF95" i="2" s="1"/>
  <c r="AD94" i="2"/>
  <c r="Y94" i="2"/>
  <c r="AF94" i="2" s="1"/>
  <c r="AD93" i="2"/>
  <c r="Y93" i="2"/>
  <c r="AF93" i="2" s="1"/>
  <c r="AD92" i="2"/>
  <c r="Y92" i="2"/>
  <c r="AF92" i="2" s="1"/>
  <c r="AD91" i="2"/>
  <c r="Y91" i="2"/>
  <c r="AF91" i="2" s="1"/>
  <c r="AD90" i="2"/>
  <c r="Y90" i="2"/>
  <c r="AF90" i="2" s="1"/>
  <c r="Y89" i="2"/>
  <c r="AF89" i="2" s="1"/>
  <c r="AD89" i="2"/>
  <c r="AD88" i="2"/>
  <c r="Y88" i="2"/>
  <c r="AF88" i="2" s="1"/>
  <c r="AD87" i="2"/>
  <c r="Y87" i="2"/>
  <c r="AF87" i="2" s="1"/>
  <c r="Y86" i="2"/>
  <c r="AF86" i="2" s="1"/>
  <c r="AD86" i="2"/>
  <c r="AD85" i="2"/>
  <c r="Y85" i="2"/>
  <c r="AF85" i="2" s="1"/>
  <c r="AD84" i="2"/>
  <c r="Y84" i="2"/>
  <c r="AF84" i="2" s="1"/>
  <c r="Y83" i="2"/>
  <c r="AF83" i="2" s="1"/>
  <c r="AD83" i="2"/>
  <c r="AD82" i="2"/>
  <c r="Y82" i="2"/>
  <c r="AF82" i="2" s="1"/>
  <c r="Y81" i="2"/>
  <c r="AF81" i="2" s="1"/>
  <c r="AD81" i="2"/>
  <c r="AD80" i="2"/>
  <c r="Y80" i="2"/>
  <c r="AF80" i="2" s="1"/>
  <c r="Y79" i="2"/>
  <c r="AF79" i="2" s="1"/>
  <c r="AD79" i="2"/>
  <c r="AD78" i="2"/>
  <c r="Y78" i="2"/>
  <c r="AF78" i="2" s="1"/>
  <c r="AD77" i="2"/>
  <c r="Y77" i="2"/>
  <c r="AF77" i="2" s="1"/>
  <c r="Y76" i="2"/>
  <c r="AF76" i="2" s="1"/>
  <c r="AD76" i="2"/>
  <c r="AD75" i="2"/>
  <c r="Y75" i="2"/>
  <c r="AF75" i="2" s="1"/>
  <c r="Y74" i="2"/>
  <c r="AF74" i="2" s="1"/>
  <c r="AD74" i="2"/>
  <c r="AD73" i="2"/>
  <c r="Y73" i="2"/>
  <c r="AF73" i="2" s="1"/>
  <c r="AD72" i="2"/>
  <c r="Y72" i="2"/>
  <c r="AF72" i="2" s="1"/>
  <c r="Y71" i="2"/>
  <c r="AF71" i="2" s="1"/>
  <c r="AD71" i="2"/>
  <c r="AD70" i="2"/>
  <c r="Y70" i="2"/>
  <c r="AF70" i="2" s="1"/>
  <c r="AD69" i="2"/>
  <c r="Y69" i="2"/>
  <c r="AF69" i="2" s="1"/>
  <c r="AD68" i="2"/>
  <c r="Y68" i="2"/>
  <c r="AF68" i="2" s="1"/>
  <c r="AD67" i="2"/>
  <c r="Y67" i="2"/>
  <c r="AF67" i="2" s="1"/>
  <c r="AD66" i="2"/>
  <c r="Y66" i="2"/>
  <c r="AF66" i="2" s="1"/>
  <c r="Y65" i="2"/>
  <c r="AF65" i="2" s="1"/>
  <c r="AD65" i="2"/>
  <c r="AD64" i="2"/>
  <c r="Y64" i="2"/>
  <c r="AF64" i="2" s="1"/>
  <c r="AD63" i="2"/>
  <c r="Y63" i="2"/>
  <c r="AF63" i="2" s="1"/>
  <c r="Y62" i="2"/>
  <c r="AF62" i="2" s="1"/>
  <c r="AD62" i="2"/>
  <c r="AD61" i="2"/>
  <c r="Y61" i="2"/>
  <c r="AF61" i="2" s="1"/>
  <c r="Y60" i="2"/>
  <c r="AF60" i="2" s="1"/>
  <c r="AD60" i="2"/>
  <c r="AD59" i="2"/>
  <c r="Y59" i="2"/>
  <c r="AF59" i="2" s="1"/>
  <c r="AD58" i="2"/>
  <c r="Y58" i="2"/>
  <c r="AF58" i="2" s="1"/>
  <c r="Y57" i="2"/>
  <c r="AF57" i="2" s="1"/>
  <c r="AD57" i="2"/>
  <c r="AD56" i="2"/>
  <c r="Y56" i="2"/>
  <c r="AF56" i="2" s="1"/>
  <c r="AD55" i="2"/>
  <c r="Y55" i="2"/>
  <c r="AF55" i="2" s="1"/>
  <c r="Y54" i="2"/>
  <c r="AF54" i="2" s="1"/>
  <c r="AD54" i="2"/>
  <c r="AD53" i="2"/>
  <c r="Y53" i="2"/>
  <c r="AF53" i="2" s="1"/>
  <c r="Y52" i="2"/>
  <c r="AF52" i="2" s="1"/>
  <c r="AD52" i="2"/>
  <c r="AD51" i="2"/>
  <c r="Y51" i="2"/>
  <c r="AF51" i="2" s="1"/>
  <c r="Y50" i="2"/>
  <c r="AF50" i="2" s="1"/>
  <c r="AD50" i="2"/>
  <c r="AD49" i="2"/>
  <c r="Y49" i="2"/>
  <c r="AF49" i="2" s="1"/>
  <c r="AD48" i="2"/>
  <c r="Y48" i="2"/>
  <c r="AF48" i="2" s="1"/>
  <c r="Y47" i="2"/>
  <c r="AF47" i="2" s="1"/>
  <c r="AD47" i="2"/>
  <c r="AD46" i="2"/>
  <c r="Y46" i="2"/>
  <c r="AF46" i="2" s="1"/>
  <c r="AD45" i="2"/>
  <c r="Y45" i="2"/>
  <c r="AF45" i="2" s="1"/>
  <c r="AD44" i="2"/>
  <c r="Y44" i="2"/>
  <c r="AF44" i="2" s="1"/>
  <c r="Y43" i="2"/>
  <c r="AF43" i="2" s="1"/>
  <c r="AD43" i="2"/>
  <c r="AD42" i="2"/>
  <c r="Y42" i="2"/>
  <c r="AF42" i="2" s="1"/>
  <c r="AD41" i="2"/>
  <c r="Y41" i="2"/>
  <c r="AF41" i="2" s="1"/>
  <c r="AD40" i="2"/>
  <c r="Y40" i="2"/>
  <c r="AF40" i="2" s="1"/>
  <c r="Y39" i="2"/>
  <c r="AF39" i="2" s="1"/>
  <c r="AD39" i="2"/>
  <c r="AD38" i="2"/>
  <c r="Y38" i="2"/>
  <c r="AF38" i="2" s="1"/>
  <c r="Y37" i="2"/>
  <c r="AF37" i="2" s="1"/>
  <c r="AD37" i="2"/>
  <c r="AD36" i="2"/>
  <c r="Y36" i="2"/>
  <c r="AF36" i="2" s="1"/>
  <c r="AD35" i="2"/>
  <c r="Y35" i="2"/>
  <c r="AF35" i="2" s="1"/>
  <c r="Y34" i="2"/>
  <c r="AF34" i="2" s="1"/>
  <c r="AD34" i="2"/>
  <c r="AD33" i="2"/>
  <c r="Y33" i="2"/>
  <c r="AF33" i="2" s="1"/>
  <c r="Y32" i="2"/>
  <c r="AF32" i="2" s="1"/>
  <c r="AD32" i="2"/>
  <c r="AD31" i="2"/>
  <c r="Y31" i="2"/>
  <c r="AF31" i="2" s="1"/>
  <c r="AD30" i="2"/>
  <c r="Y30" i="2"/>
  <c r="AF30" i="2" s="1"/>
  <c r="AD29" i="2"/>
  <c r="Y29" i="2"/>
  <c r="AF29" i="2" s="1"/>
  <c r="AD28" i="2"/>
  <c r="Y28" i="2"/>
  <c r="AF28" i="2" s="1"/>
  <c r="AD27" i="2"/>
  <c r="Y27" i="2"/>
  <c r="AF27" i="2" s="1"/>
  <c r="AD26" i="2"/>
  <c r="Y26" i="2"/>
  <c r="AF26" i="2" s="1"/>
  <c r="AD25" i="2"/>
  <c r="Y25" i="2"/>
  <c r="AF25" i="2" s="1"/>
  <c r="AD24" i="2"/>
  <c r="Y24" i="2"/>
  <c r="AF24" i="2" s="1"/>
  <c r="AD23" i="2"/>
  <c r="Y23" i="2"/>
  <c r="AF23" i="2" s="1"/>
  <c r="AD22" i="2"/>
  <c r="Y22" i="2"/>
  <c r="AF22" i="2" s="1"/>
  <c r="AD21" i="2"/>
  <c r="Y21" i="2"/>
  <c r="AF21" i="2" s="1"/>
  <c r="Y20" i="2"/>
  <c r="AF20" i="2" s="1"/>
  <c r="AD20" i="2"/>
  <c r="AD19" i="2"/>
  <c r="Y19" i="2"/>
  <c r="AF19" i="2" s="1"/>
  <c r="AD18" i="2"/>
  <c r="Y18" i="2"/>
  <c r="AF18" i="2" s="1"/>
  <c r="AD17" i="2"/>
  <c r="Y17" i="2"/>
  <c r="AF17" i="2" s="1"/>
  <c r="AD16" i="2"/>
  <c r="Y16" i="2"/>
  <c r="AF16" i="2" s="1"/>
  <c r="AD15" i="2"/>
  <c r="Y15" i="2"/>
  <c r="AF15" i="2" s="1"/>
  <c r="Y14" i="2"/>
  <c r="AF14" i="2" s="1"/>
  <c r="AD14" i="2"/>
  <c r="AD13" i="2"/>
  <c r="Y13" i="2"/>
  <c r="AF13" i="2" s="1"/>
  <c r="AD12" i="2"/>
  <c r="Y12" i="2"/>
  <c r="AF12" i="2" s="1"/>
  <c r="AD11" i="2"/>
  <c r="Y11" i="2"/>
  <c r="AF11" i="2" s="1"/>
  <c r="AD10" i="2"/>
  <c r="Y10" i="2"/>
  <c r="AF10" i="2" s="1"/>
  <c r="Y9" i="2"/>
  <c r="AF9" i="2" s="1"/>
  <c r="AD9" i="2"/>
  <c r="AD8" i="2"/>
  <c r="Y8" i="2"/>
  <c r="AF8" i="2" s="1"/>
  <c r="AD7" i="2"/>
  <c r="Y7" i="2"/>
  <c r="AF7" i="2" s="1"/>
  <c r="AD6" i="2"/>
  <c r="Y6" i="2"/>
  <c r="AF6" i="2" s="1"/>
  <c r="AD5" i="2"/>
  <c r="Y5" i="2"/>
  <c r="AF5" i="2" s="1"/>
  <c r="Y4" i="2"/>
  <c r="AF4" i="2" s="1"/>
  <c r="AD4" i="2"/>
  <c r="AD3" i="2"/>
  <c r="Y3" i="2"/>
  <c r="AF3" i="2" s="1"/>
  <c r="Y2" i="2"/>
  <c r="AF2" i="2" s="1"/>
  <c r="AD2" i="2"/>
  <c r="P8" i="6" l="1"/>
</calcChain>
</file>

<file path=xl/sharedStrings.xml><?xml version="1.0" encoding="utf-8"?>
<sst xmlns="http://schemas.openxmlformats.org/spreadsheetml/2006/main" count="52365" uniqueCount="2411">
  <si>
    <t>Transaction_ID</t>
  </si>
  <si>
    <t>Date</t>
  </si>
  <si>
    <t>Time</t>
  </si>
  <si>
    <t>Customer_Name</t>
  </si>
  <si>
    <t>Customer_ID</t>
  </si>
  <si>
    <t>Customer_Type</t>
  </si>
  <si>
    <t>Product</t>
  </si>
  <si>
    <t>Category</t>
  </si>
  <si>
    <t>Temperature</t>
  </si>
  <si>
    <t>Size</t>
  </si>
  <si>
    <t>Quantity</t>
  </si>
  <si>
    <t>Unit_Price</t>
  </si>
  <si>
    <t>Discount</t>
  </si>
  <si>
    <t>Gross_Sales</t>
  </si>
  <si>
    <t>Net_Sales</t>
  </si>
  <si>
    <t>Payment_Method</t>
  </si>
  <si>
    <t>Sales_Channel</t>
  </si>
  <si>
    <t>Store_Location</t>
  </si>
  <si>
    <t>Staff_Name</t>
  </si>
  <si>
    <t>Order_Status</t>
  </si>
  <si>
    <t>Customer_Rating</t>
  </si>
  <si>
    <t>Loyalty_Points</t>
  </si>
  <si>
    <t>Delivery_Minutes</t>
  </si>
  <si>
    <t>Cost_Per_Item</t>
  </si>
  <si>
    <t>Profit</t>
  </si>
  <si>
    <t>Campaign</t>
  </si>
  <si>
    <t>Feedback</t>
  </si>
  <si>
    <t>Calculated_Gross_Sales</t>
  </si>
  <si>
    <t>Discount_Amount</t>
  </si>
  <si>
    <t>Calculated_Net_Sales</t>
  </si>
  <si>
    <t>Total_Cost</t>
  </si>
  <si>
    <t>Calculated_Profit</t>
  </si>
  <si>
    <t>Year</t>
  </si>
  <si>
    <t>Month_Number</t>
  </si>
  <si>
    <t>Month</t>
  </si>
  <si>
    <t>Day</t>
  </si>
  <si>
    <t>TXN-00001</t>
  </si>
  <si>
    <t>TXN-00002</t>
  </si>
  <si>
    <t>TXN-00003</t>
  </si>
  <si>
    <t>TXN-00004</t>
  </si>
  <si>
    <t>TXN-00005</t>
  </si>
  <si>
    <t>TXN-00006</t>
  </si>
  <si>
    <t>TXN-00007</t>
  </si>
  <si>
    <t>TXN-00008</t>
  </si>
  <si>
    <t>TXN-00009</t>
  </si>
  <si>
    <t>TXN-00010</t>
  </si>
  <si>
    <t>TXN-00011</t>
  </si>
  <si>
    <t>TXN-00012</t>
  </si>
  <si>
    <t>TXN-00013</t>
  </si>
  <si>
    <t>TXN-00014</t>
  </si>
  <si>
    <t>TXN-00015</t>
  </si>
  <si>
    <t>TXN-00016</t>
  </si>
  <si>
    <t>TXN-00017</t>
  </si>
  <si>
    <t>TXN-00018</t>
  </si>
  <si>
    <t>TXN-00019</t>
  </si>
  <si>
    <t>TXN-00020</t>
  </si>
  <si>
    <t>TXN-00021</t>
  </si>
  <si>
    <t>TXN-00022</t>
  </si>
  <si>
    <t>TXN-00023</t>
  </si>
  <si>
    <t>TXN-00024</t>
  </si>
  <si>
    <t>TXN-00025</t>
  </si>
  <si>
    <t>TXN-00026</t>
  </si>
  <si>
    <t>TXN-00027</t>
  </si>
  <si>
    <t>TXN-00028</t>
  </si>
  <si>
    <t>TXN-00029</t>
  </si>
  <si>
    <t>TXN-00030</t>
  </si>
  <si>
    <t>TXN-00031</t>
  </si>
  <si>
    <t>TXN-00032</t>
  </si>
  <si>
    <t>TXN-00033</t>
  </si>
  <si>
    <t>TXN-00034</t>
  </si>
  <si>
    <t>TXN-00035</t>
  </si>
  <si>
    <t>TXN-00036</t>
  </si>
  <si>
    <t>TXN-00037</t>
  </si>
  <si>
    <t>TXN-00038</t>
  </si>
  <si>
    <t>TXN-00039</t>
  </si>
  <si>
    <t>TXN-00040</t>
  </si>
  <si>
    <t>TXN-00041</t>
  </si>
  <si>
    <t>TXN-00042</t>
  </si>
  <si>
    <t>TXN-00043</t>
  </si>
  <si>
    <t>TXN-00044</t>
  </si>
  <si>
    <t>TXN-00045</t>
  </si>
  <si>
    <t>TXN-00046</t>
  </si>
  <si>
    <t>TXN-00047</t>
  </si>
  <si>
    <t>TXN-00048</t>
  </si>
  <si>
    <t>TXN-00049</t>
  </si>
  <si>
    <t>TXN-00050</t>
  </si>
  <si>
    <t>TXN-00051</t>
  </si>
  <si>
    <t>TXN-00052</t>
  </si>
  <si>
    <t>TXN-00053</t>
  </si>
  <si>
    <t>TXN-00054</t>
  </si>
  <si>
    <t>TXN-00055</t>
  </si>
  <si>
    <t>TXN-00056</t>
  </si>
  <si>
    <t>TXN-00057</t>
  </si>
  <si>
    <t>TXN-00058</t>
  </si>
  <si>
    <t>TXN-00059</t>
  </si>
  <si>
    <t>TXN-00060</t>
  </si>
  <si>
    <t>TXN-00061</t>
  </si>
  <si>
    <t>TXN-00062</t>
  </si>
  <si>
    <t>TXN-00063</t>
  </si>
  <si>
    <t>TXN-00064</t>
  </si>
  <si>
    <t>TXN-00065</t>
  </si>
  <si>
    <t>TXN-00066</t>
  </si>
  <si>
    <t>TXN-00067</t>
  </si>
  <si>
    <t>TXN-00068</t>
  </si>
  <si>
    <t>TXN-00069</t>
  </si>
  <si>
    <t>TXN-00070</t>
  </si>
  <si>
    <t>TXN-00071</t>
  </si>
  <si>
    <t>TXN-00072</t>
  </si>
  <si>
    <t>TXN-00073</t>
  </si>
  <si>
    <t>TXN-00074</t>
  </si>
  <si>
    <t>TXN-00075</t>
  </si>
  <si>
    <t>TXN-00076</t>
  </si>
  <si>
    <t>TXN-00077</t>
  </si>
  <si>
    <t>TXN-00078</t>
  </si>
  <si>
    <t>TXN-00079</t>
  </si>
  <si>
    <t>TXN-00080</t>
  </si>
  <si>
    <t>TXN-00081</t>
  </si>
  <si>
    <t>TXN-00082</t>
  </si>
  <si>
    <t>TXN-00083</t>
  </si>
  <si>
    <t>TXN-00084</t>
  </si>
  <si>
    <t>TXN-00085</t>
  </si>
  <si>
    <t>TXN-00086</t>
  </si>
  <si>
    <t>TXN-00087</t>
  </si>
  <si>
    <t>TXN-00088</t>
  </si>
  <si>
    <t>TXN-00089</t>
  </si>
  <si>
    <t>TXN-00090</t>
  </si>
  <si>
    <t>TXN-00091</t>
  </si>
  <si>
    <t>TXN-00092</t>
  </si>
  <si>
    <t>TXN-00093</t>
  </si>
  <si>
    <t>TXN-00094</t>
  </si>
  <si>
    <t>TXN-00095</t>
  </si>
  <si>
    <t>TXN-00096</t>
  </si>
  <si>
    <t>TXN-00097</t>
  </si>
  <si>
    <t>TXN-00098</t>
  </si>
  <si>
    <t>TXN-00099</t>
  </si>
  <si>
    <t>TXN-00100</t>
  </si>
  <si>
    <t>TXN-00101</t>
  </si>
  <si>
    <t>TXN-00102</t>
  </si>
  <si>
    <t>TXN-00103</t>
  </si>
  <si>
    <t>TXN-00104</t>
  </si>
  <si>
    <t>TXN-00105</t>
  </si>
  <si>
    <t>TXN-00106</t>
  </si>
  <si>
    <t>TXN-00107</t>
  </si>
  <si>
    <t>TXN-00108</t>
  </si>
  <si>
    <t>TXN-00109</t>
  </si>
  <si>
    <t>TXN-00110</t>
  </si>
  <si>
    <t>TXN-00111</t>
  </si>
  <si>
    <t>TXN-00112</t>
  </si>
  <si>
    <t>TXN-00113</t>
  </si>
  <si>
    <t>TXN-00114</t>
  </si>
  <si>
    <t>TXN-00115</t>
  </si>
  <si>
    <t>TXN-00116</t>
  </si>
  <si>
    <t>TXN-00117</t>
  </si>
  <si>
    <t>TXN-00118</t>
  </si>
  <si>
    <t>TXN-00119</t>
  </si>
  <si>
    <t>TXN-00120</t>
  </si>
  <si>
    <t>TXN-00121</t>
  </si>
  <si>
    <t>TXN-00122</t>
  </si>
  <si>
    <t>TXN-00123</t>
  </si>
  <si>
    <t>TXN-00124</t>
  </si>
  <si>
    <t>TXN-00125</t>
  </si>
  <si>
    <t>TXN-00126</t>
  </si>
  <si>
    <t>TXN-00127</t>
  </si>
  <si>
    <t>TXN-00128</t>
  </si>
  <si>
    <t>TXN-00129</t>
  </si>
  <si>
    <t>TXN-00130</t>
  </si>
  <si>
    <t>TXN-00131</t>
  </si>
  <si>
    <t>TXN-00132</t>
  </si>
  <si>
    <t>TXN-00133</t>
  </si>
  <si>
    <t>TXN-00134</t>
  </si>
  <si>
    <t>TXN-00135</t>
  </si>
  <si>
    <t>TXN-00136</t>
  </si>
  <si>
    <t>TXN-00137</t>
  </si>
  <si>
    <t>TXN-00138</t>
  </si>
  <si>
    <t>TXN-00139</t>
  </si>
  <si>
    <t>TXN-00140</t>
  </si>
  <si>
    <t>TXN-00141</t>
  </si>
  <si>
    <t>TXN-00142</t>
  </si>
  <si>
    <t>TXN-00143</t>
  </si>
  <si>
    <t>TXN-00144</t>
  </si>
  <si>
    <t>TXN-00145</t>
  </si>
  <si>
    <t>TXN-00146</t>
  </si>
  <si>
    <t>TXN-00147</t>
  </si>
  <si>
    <t>TXN-00148</t>
  </si>
  <si>
    <t>TXN-00149</t>
  </si>
  <si>
    <t>TXN-00150</t>
  </si>
  <si>
    <t>TXN-00151</t>
  </si>
  <si>
    <t>TXN-00152</t>
  </si>
  <si>
    <t>TXN-00153</t>
  </si>
  <si>
    <t>TXN-00154</t>
  </si>
  <si>
    <t>TXN-00155</t>
  </si>
  <si>
    <t>TXN-00156</t>
  </si>
  <si>
    <t>TXN-00157</t>
  </si>
  <si>
    <t>TXN-00158</t>
  </si>
  <si>
    <t>TXN-00159</t>
  </si>
  <si>
    <t>TXN-00160</t>
  </si>
  <si>
    <t>TXN-00161</t>
  </si>
  <si>
    <t>TXN-00162</t>
  </si>
  <si>
    <t>TXN-00163</t>
  </si>
  <si>
    <t>TXN-00164</t>
  </si>
  <si>
    <t>TXN-00165</t>
  </si>
  <si>
    <t>TXN-00166</t>
  </si>
  <si>
    <t>TXN-00167</t>
  </si>
  <si>
    <t>TXN-00168</t>
  </si>
  <si>
    <t>TXN-00169</t>
  </si>
  <si>
    <t>TXN-00170</t>
  </si>
  <si>
    <t>TXN-00171</t>
  </si>
  <si>
    <t>TXN-00172</t>
  </si>
  <si>
    <t>TXN-00173</t>
  </si>
  <si>
    <t>TXN-00174</t>
  </si>
  <si>
    <t>TXN-00175</t>
  </si>
  <si>
    <t>TXN-00176</t>
  </si>
  <si>
    <t>TXN-00177</t>
  </si>
  <si>
    <t>TXN-00178</t>
  </si>
  <si>
    <t>TXN-00179</t>
  </si>
  <si>
    <t>TXN-00180</t>
  </si>
  <si>
    <t>TXN-00181</t>
  </si>
  <si>
    <t>TXN-00182</t>
  </si>
  <si>
    <t>TXN-00183</t>
  </si>
  <si>
    <t>TXN-00184</t>
  </si>
  <si>
    <t>TXN-00185</t>
  </si>
  <si>
    <t>TXN-00186</t>
  </si>
  <si>
    <t>TXN-00187</t>
  </si>
  <si>
    <t>TXN-00188</t>
  </si>
  <si>
    <t>TXN-00189</t>
  </si>
  <si>
    <t>TXN-00190</t>
  </si>
  <si>
    <t>TXN-00191</t>
  </si>
  <si>
    <t>TXN-00192</t>
  </si>
  <si>
    <t>TXN-00193</t>
  </si>
  <si>
    <t>TXN-00194</t>
  </si>
  <si>
    <t>TXN-00195</t>
  </si>
  <si>
    <t>TXN-00196</t>
  </si>
  <si>
    <t>TXN-00197</t>
  </si>
  <si>
    <t>TXN-00198</t>
  </si>
  <si>
    <t>TXN-00199</t>
  </si>
  <si>
    <t>TXN-00200</t>
  </si>
  <si>
    <t>TXN-00201</t>
  </si>
  <si>
    <t>TXN-00202</t>
  </si>
  <si>
    <t>TXN-00203</t>
  </si>
  <si>
    <t>TXN-00204</t>
  </si>
  <si>
    <t>TXN-00205</t>
  </si>
  <si>
    <t>TXN-00206</t>
  </si>
  <si>
    <t>TXN-00207</t>
  </si>
  <si>
    <t>TXN-00208</t>
  </si>
  <si>
    <t>TXN-00209</t>
  </si>
  <si>
    <t>TXN-00210</t>
  </si>
  <si>
    <t>TXN-00211</t>
  </si>
  <si>
    <t>TXN-00212</t>
  </si>
  <si>
    <t>TXN-00213</t>
  </si>
  <si>
    <t>TXN-00214</t>
  </si>
  <si>
    <t>TXN-00215</t>
  </si>
  <si>
    <t>TXN-00216</t>
  </si>
  <si>
    <t>TXN-00217</t>
  </si>
  <si>
    <t>TXN-00218</t>
  </si>
  <si>
    <t>TXN-00219</t>
  </si>
  <si>
    <t>TXN-00220</t>
  </si>
  <si>
    <t>TXN-00221</t>
  </si>
  <si>
    <t>TXN-00222</t>
  </si>
  <si>
    <t>TXN-00223</t>
  </si>
  <si>
    <t>TXN-00224</t>
  </si>
  <si>
    <t>TXN-00225</t>
  </si>
  <si>
    <t>TXN-00226</t>
  </si>
  <si>
    <t>TXN-00227</t>
  </si>
  <si>
    <t>TXN-00228</t>
  </si>
  <si>
    <t>TXN-00229</t>
  </si>
  <si>
    <t>TXN-00230</t>
  </si>
  <si>
    <t>TXN-00231</t>
  </si>
  <si>
    <t>TXN-00232</t>
  </si>
  <si>
    <t>TXN-00233</t>
  </si>
  <si>
    <t>TXN-00234</t>
  </si>
  <si>
    <t>TXN-00235</t>
  </si>
  <si>
    <t>TXN-00236</t>
  </si>
  <si>
    <t>TXN-00237</t>
  </si>
  <si>
    <t>TXN-00238</t>
  </si>
  <si>
    <t>TXN-00239</t>
  </si>
  <si>
    <t>TXN-00240</t>
  </si>
  <si>
    <t>TXN-00241</t>
  </si>
  <si>
    <t>TXN-00242</t>
  </si>
  <si>
    <t>TXN-00243</t>
  </si>
  <si>
    <t>TXN-00244</t>
  </si>
  <si>
    <t>TXN-00245</t>
  </si>
  <si>
    <t>TXN-00246</t>
  </si>
  <si>
    <t>TXN-00247</t>
  </si>
  <si>
    <t>TXN-00248</t>
  </si>
  <si>
    <t>TXN-00249</t>
  </si>
  <si>
    <t>TXN-00250</t>
  </si>
  <si>
    <t>TXN-00251</t>
  </si>
  <si>
    <t>TXN-00252</t>
  </si>
  <si>
    <t>TXN-00253</t>
  </si>
  <si>
    <t>TXN-00254</t>
  </si>
  <si>
    <t>TXN-00255</t>
  </si>
  <si>
    <t>TXN-00256</t>
  </si>
  <si>
    <t>TXN-00257</t>
  </si>
  <si>
    <t>TXN-00258</t>
  </si>
  <si>
    <t>TXN-00259</t>
  </si>
  <si>
    <t>TXN-00260</t>
  </si>
  <si>
    <t>TXN-00261</t>
  </si>
  <si>
    <t>TXN-00262</t>
  </si>
  <si>
    <t>TXN-00263</t>
  </si>
  <si>
    <t>TXN-00264</t>
  </si>
  <si>
    <t>TXN-00265</t>
  </si>
  <si>
    <t>TXN-00266</t>
  </si>
  <si>
    <t>TXN-00267</t>
  </si>
  <si>
    <t>TXN-00268</t>
  </si>
  <si>
    <t>TXN-00269</t>
  </si>
  <si>
    <t>TXN-00270</t>
  </si>
  <si>
    <t>TXN-00271</t>
  </si>
  <si>
    <t>TXN-00272</t>
  </si>
  <si>
    <t>TXN-00273</t>
  </si>
  <si>
    <t>TXN-00274</t>
  </si>
  <si>
    <t>TXN-00275</t>
  </si>
  <si>
    <t>TXN-00276</t>
  </si>
  <si>
    <t>TXN-00277</t>
  </si>
  <si>
    <t>TXN-00278</t>
  </si>
  <si>
    <t>TXN-00279</t>
  </si>
  <si>
    <t>TXN-00280</t>
  </si>
  <si>
    <t>TXN-00281</t>
  </si>
  <si>
    <t>TXN-00282</t>
  </si>
  <si>
    <t>TXN-00283</t>
  </si>
  <si>
    <t>TXN-00284</t>
  </si>
  <si>
    <t>TXN-00285</t>
  </si>
  <si>
    <t>TXN-00286</t>
  </si>
  <si>
    <t>TXN-00287</t>
  </si>
  <si>
    <t>TXN-00288</t>
  </si>
  <si>
    <t>TXN-00289</t>
  </si>
  <si>
    <t>TXN-00290</t>
  </si>
  <si>
    <t>TXN-00291</t>
  </si>
  <si>
    <t>TXN-00292</t>
  </si>
  <si>
    <t>TXN-00293</t>
  </si>
  <si>
    <t>TXN-00294</t>
  </si>
  <si>
    <t>TXN-00295</t>
  </si>
  <si>
    <t>TXN-00296</t>
  </si>
  <si>
    <t>TXN-00297</t>
  </si>
  <si>
    <t>TXN-00298</t>
  </si>
  <si>
    <t>TXN-00299</t>
  </si>
  <si>
    <t>TXN-00300</t>
  </si>
  <si>
    <t>TXN-00301</t>
  </si>
  <si>
    <t>TXN-00302</t>
  </si>
  <si>
    <t>TXN-00303</t>
  </si>
  <si>
    <t>TXN-00304</t>
  </si>
  <si>
    <t>TXN-00305</t>
  </si>
  <si>
    <t>TXN-00306</t>
  </si>
  <si>
    <t>TXN-00307</t>
  </si>
  <si>
    <t>TXN-00308</t>
  </si>
  <si>
    <t>TXN-00309</t>
  </si>
  <si>
    <t>TXN-00310</t>
  </si>
  <si>
    <t>TXN-00311</t>
  </si>
  <si>
    <t>TXN-00312</t>
  </si>
  <si>
    <t>TXN-00313</t>
  </si>
  <si>
    <t>TXN-00314</t>
  </si>
  <si>
    <t>TXN-00315</t>
  </si>
  <si>
    <t>TXN-00316</t>
  </si>
  <si>
    <t>TXN-00317</t>
  </si>
  <si>
    <t>TXN-00318</t>
  </si>
  <si>
    <t>TXN-00319</t>
  </si>
  <si>
    <t>TXN-00320</t>
  </si>
  <si>
    <t>TXN-00321</t>
  </si>
  <si>
    <t>TXN-00322</t>
  </si>
  <si>
    <t>TXN-00323</t>
  </si>
  <si>
    <t>TXN-00324</t>
  </si>
  <si>
    <t>TXN-00325</t>
  </si>
  <si>
    <t>TXN-00326</t>
  </si>
  <si>
    <t>TXN-00327</t>
  </si>
  <si>
    <t>TXN-00328</t>
  </si>
  <si>
    <t>TXN-00329</t>
  </si>
  <si>
    <t>TXN-00330</t>
  </si>
  <si>
    <t>TXN-00331</t>
  </si>
  <si>
    <t>TXN-00332</t>
  </si>
  <si>
    <t>TXN-00333</t>
  </si>
  <si>
    <t>TXN-00334</t>
  </si>
  <si>
    <t>TXN-00335</t>
  </si>
  <si>
    <t>TXN-00336</t>
  </si>
  <si>
    <t>TXN-00337</t>
  </si>
  <si>
    <t>TXN-00338</t>
  </si>
  <si>
    <t>TXN-00339</t>
  </si>
  <si>
    <t>TXN-00340</t>
  </si>
  <si>
    <t>TXN-00341</t>
  </si>
  <si>
    <t>TXN-00342</t>
  </si>
  <si>
    <t>TXN-00343</t>
  </si>
  <si>
    <t>TXN-00344</t>
  </si>
  <si>
    <t>TXN-00345</t>
  </si>
  <si>
    <t>TXN-00346</t>
  </si>
  <si>
    <t>TXN-00347</t>
  </si>
  <si>
    <t>TXN-00348</t>
  </si>
  <si>
    <t>TXN-00349</t>
  </si>
  <si>
    <t>TXN-00350</t>
  </si>
  <si>
    <t>TXN-00351</t>
  </si>
  <si>
    <t>TXN-00352</t>
  </si>
  <si>
    <t>TXN-00353</t>
  </si>
  <si>
    <t>TXN-00354</t>
  </si>
  <si>
    <t>TXN-00355</t>
  </si>
  <si>
    <t>TXN-00356</t>
  </si>
  <si>
    <t>TXN-00357</t>
  </si>
  <si>
    <t>TXN-00358</t>
  </si>
  <si>
    <t>TXN-00359</t>
  </si>
  <si>
    <t>TXN-00360</t>
  </si>
  <si>
    <t>TXN-00361</t>
  </si>
  <si>
    <t>TXN-00362</t>
  </si>
  <si>
    <t>TXN-00363</t>
  </si>
  <si>
    <t>TXN-00364</t>
  </si>
  <si>
    <t>TXN-00365</t>
  </si>
  <si>
    <t>TXN-00366</t>
  </si>
  <si>
    <t>TXN-00367</t>
  </si>
  <si>
    <t>TXN-00368</t>
  </si>
  <si>
    <t>TXN-00369</t>
  </si>
  <si>
    <t>TXN-00370</t>
  </si>
  <si>
    <t>TXN-00371</t>
  </si>
  <si>
    <t>TXN-00372</t>
  </si>
  <si>
    <t>TXN-00373</t>
  </si>
  <si>
    <t>TXN-00374</t>
  </si>
  <si>
    <t>TXN-00375</t>
  </si>
  <si>
    <t>TXN-00376</t>
  </si>
  <si>
    <t>TXN-00377</t>
  </si>
  <si>
    <t>TXN-00378</t>
  </si>
  <si>
    <t>TXN-00379</t>
  </si>
  <si>
    <t>TXN-00380</t>
  </si>
  <si>
    <t>TXN-00381</t>
  </si>
  <si>
    <t>TXN-00382</t>
  </si>
  <si>
    <t>TXN-00383</t>
  </si>
  <si>
    <t>TXN-00384</t>
  </si>
  <si>
    <t>TXN-00385</t>
  </si>
  <si>
    <t>TXN-00386</t>
  </si>
  <si>
    <t>TXN-00387</t>
  </si>
  <si>
    <t>TXN-00388</t>
  </si>
  <si>
    <t>TXN-00389</t>
  </si>
  <si>
    <t>TXN-00390</t>
  </si>
  <si>
    <t>TXN-00391</t>
  </si>
  <si>
    <t>TXN-00392</t>
  </si>
  <si>
    <t>TXN-00393</t>
  </si>
  <si>
    <t>TXN-00394</t>
  </si>
  <si>
    <t>TXN-00395</t>
  </si>
  <si>
    <t>TXN-00396</t>
  </si>
  <si>
    <t>TXN-00397</t>
  </si>
  <si>
    <t>TXN-00398</t>
  </si>
  <si>
    <t>TXN-00399</t>
  </si>
  <si>
    <t>TXN-00400</t>
  </si>
  <si>
    <t>TXN-00401</t>
  </si>
  <si>
    <t>TXN-00402</t>
  </si>
  <si>
    <t>TXN-00403</t>
  </si>
  <si>
    <t>TXN-00404</t>
  </si>
  <si>
    <t>TXN-00405</t>
  </si>
  <si>
    <t>TXN-00406</t>
  </si>
  <si>
    <t>TXN-00407</t>
  </si>
  <si>
    <t>TXN-00408</t>
  </si>
  <si>
    <t>TXN-00409</t>
  </si>
  <si>
    <t>TXN-00410</t>
  </si>
  <si>
    <t>TXN-00411</t>
  </si>
  <si>
    <t>TXN-00412</t>
  </si>
  <si>
    <t>TXN-00413</t>
  </si>
  <si>
    <t>TXN-00414</t>
  </si>
  <si>
    <t>TXN-00415</t>
  </si>
  <si>
    <t>TXN-00416</t>
  </si>
  <si>
    <t>TXN-00417</t>
  </si>
  <si>
    <t>TXN-00418</t>
  </si>
  <si>
    <t>TXN-00419</t>
  </si>
  <si>
    <t>TXN-00420</t>
  </si>
  <si>
    <t>TXN-00421</t>
  </si>
  <si>
    <t>TXN-00422</t>
  </si>
  <si>
    <t>TXN-00423</t>
  </si>
  <si>
    <t>TXN-00424</t>
  </si>
  <si>
    <t>TXN-00425</t>
  </si>
  <si>
    <t>TXN-00426</t>
  </si>
  <si>
    <t>TXN-00427</t>
  </si>
  <si>
    <t>TXN-00428</t>
  </si>
  <si>
    <t>TXN-00429</t>
  </si>
  <si>
    <t>TXN-00430</t>
  </si>
  <si>
    <t>TXN-00431</t>
  </si>
  <si>
    <t>TXN-00432</t>
  </si>
  <si>
    <t>TXN-00433</t>
  </si>
  <si>
    <t>TXN-00434</t>
  </si>
  <si>
    <t>TXN-00435</t>
  </si>
  <si>
    <t>TXN-00436</t>
  </si>
  <si>
    <t>TXN-00437</t>
  </si>
  <si>
    <t>TXN-00438</t>
  </si>
  <si>
    <t>TXN-00439</t>
  </si>
  <si>
    <t>TXN-00440</t>
  </si>
  <si>
    <t>TXN-00441</t>
  </si>
  <si>
    <t>TXN-00442</t>
  </si>
  <si>
    <t>TXN-00443</t>
  </si>
  <si>
    <t>TXN-00444</t>
  </si>
  <si>
    <t>TXN-00445</t>
  </si>
  <si>
    <t>TXN-00446</t>
  </si>
  <si>
    <t>TXN-00447</t>
  </si>
  <si>
    <t>TXN-00448</t>
  </si>
  <si>
    <t>TXN-00449</t>
  </si>
  <si>
    <t>TXN-00450</t>
  </si>
  <si>
    <t>TXN-00451</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</si>
  <si>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</si>
  <si>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</si>
  <si>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</si>
  <si>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</si>
  <si>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</si>
  <si>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</si>
  <si>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</si>
  <si>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</si>
  <si>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</si>
  <si>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</si>
  <si>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</si>
  <si>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</si>
  <si>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</si>
  <si>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</si>
  <si>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</si>
  <si>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</si>
  <si>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</si>
  <si>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</si>
  <si>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</si>
  <si>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TXN-00471</t>
  </si>
  <si>
    <t>TXN-00472</t>
  </si>
  <si>
    <t>TXN-00473</t>
  </si>
  <si>
    <t>TXN-00474</t>
  </si>
  <si>
    <t>TXN-00475</t>
  </si>
  <si>
    <t>TXN-00476</t>
  </si>
  <si>
    <t>TXN-00477</t>
  </si>
  <si>
    <t>TXN-00478</t>
  </si>
  <si>
    <t>TXN-00479</t>
  </si>
  <si>
    <t>TXN-00480</t>
  </si>
  <si>
    <t>TXN-00481</t>
  </si>
  <si>
    <t>TXN-00482</t>
  </si>
  <si>
    <t>TXN-00483</t>
  </si>
  <si>
    <t>TXN-00484</t>
  </si>
  <si>
    <t>TXN-00485</t>
  </si>
  <si>
    <t>TXN-00486</t>
  </si>
  <si>
    <t>TXN-00487</t>
  </si>
  <si>
    <t>TXN-00488</t>
  </si>
  <si>
    <t>TXN-00489</t>
  </si>
  <si>
    <t>TXN-00490</t>
  </si>
  <si>
    <t>TXN-00491</t>
  </si>
  <si>
    <t>TXN-00492</t>
  </si>
  <si>
    <t>TXN-00493</t>
  </si>
  <si>
    <t>TXN-00494</t>
  </si>
  <si>
    <t>TXN-00495</t>
  </si>
  <si>
    <t>TXN-00496</t>
  </si>
  <si>
    <t>TXN-00497</t>
  </si>
  <si>
    <t>TXN-00498</t>
  </si>
  <si>
    <t>TXN-00499</t>
  </si>
  <si>
    <t>TXN-00500</t>
  </si>
  <si>
    <t>TXN-00501</t>
  </si>
  <si>
    <t>TXN-00502</t>
  </si>
  <si>
    <t>TXN-00503</t>
  </si>
  <si>
    <t>TXN-00504</t>
  </si>
  <si>
    <t>TXN-00505</t>
  </si>
  <si>
    <t>TXN-00506</t>
  </si>
  <si>
    <t>TXN-00507</t>
  </si>
  <si>
    <t>TXN-00508</t>
  </si>
  <si>
    <t>TXN-00509</t>
  </si>
  <si>
    <t>TXN-00510</t>
  </si>
  <si>
    <t>TXN-00511</t>
  </si>
  <si>
    <t>TXN-00512</t>
  </si>
  <si>
    <t>TXN-00513</t>
  </si>
  <si>
    <t>TXN-00514</t>
  </si>
  <si>
    <t>TXN-00515</t>
  </si>
  <si>
    <t>TXN-00516</t>
  </si>
  <si>
    <t>TXN-00517</t>
  </si>
  <si>
    <t>TXN-00518</t>
  </si>
  <si>
    <t>TXN-00519</t>
  </si>
  <si>
    <t>TXN-00520</t>
  </si>
  <si>
    <t>TXN-00521</t>
  </si>
  <si>
    <t>TXN-00522</t>
  </si>
  <si>
    <t>TXN-00523</t>
  </si>
  <si>
    <t>TXN-00524</t>
  </si>
  <si>
    <t>TXN-00525</t>
  </si>
  <si>
    <t>TXN-00526</t>
  </si>
  <si>
    <t>TXN-00527</t>
  </si>
  <si>
    <t>TXN-00528</t>
  </si>
  <si>
    <t>TXN-00529</t>
  </si>
  <si>
    <t>TXN-00530</t>
  </si>
  <si>
    <t>TXN-00531</t>
  </si>
  <si>
    <t>TXN-00532</t>
  </si>
  <si>
    <t>TXN-00533</t>
  </si>
  <si>
    <t>TXN-00534</t>
  </si>
  <si>
    <t>TXN-00535</t>
  </si>
  <si>
    <t>TXN-00536</t>
  </si>
  <si>
    <t>TXN-00537</t>
  </si>
  <si>
    <t>TXN-00538</t>
  </si>
  <si>
    <t>TXN-00539</t>
  </si>
  <si>
    <t>TXN-00540</t>
  </si>
  <si>
    <t>TXN-00541</t>
  </si>
  <si>
    <t>TXN-00542</t>
  </si>
  <si>
    <t>TXN-00543</t>
  </si>
  <si>
    <t>TXN-00544</t>
  </si>
  <si>
    <t>TXN-00545</t>
  </si>
  <si>
    <t>TXN-00546</t>
  </si>
  <si>
    <t>TXN-00547</t>
  </si>
  <si>
    <t>TXN-00548</t>
  </si>
  <si>
    <t>TXN-00549</t>
  </si>
  <si>
    <t>TXN-00550</t>
  </si>
  <si>
    <t>TXN-00551</t>
  </si>
  <si>
    <t>TXN-00552</t>
  </si>
  <si>
    <t>TXN-00553</t>
  </si>
  <si>
    <t>TXN-00554</t>
  </si>
  <si>
    <t>TXN-00555</t>
  </si>
  <si>
    <t>TXN-00556</t>
  </si>
  <si>
    <t>TXN-00557</t>
  </si>
  <si>
    <t>TXN-00558</t>
  </si>
  <si>
    <t>TXN-00559</t>
  </si>
  <si>
    <t>TXN-00560</t>
  </si>
  <si>
    <t>TXN-00561</t>
  </si>
  <si>
    <t>TXN-00562</t>
  </si>
  <si>
    <t>TXN-00563</t>
  </si>
  <si>
    <t>TXN-00564</t>
  </si>
  <si>
    <t>TXN-00565</t>
  </si>
  <si>
    <t>TXN-00566</t>
  </si>
  <si>
    <t>TXN-00567</t>
  </si>
  <si>
    <t>TXN-00568</t>
  </si>
  <si>
    <t>TXN-00569</t>
  </si>
  <si>
    <t>TXN-00570</t>
  </si>
  <si>
    <t>TXN-00571</t>
  </si>
  <si>
    <t>TXN-00572</t>
  </si>
  <si>
    <t>TXN-00573</t>
  </si>
  <si>
    <t>TXN-00574</t>
  </si>
  <si>
    <t>TXN-00575</t>
  </si>
  <si>
    <t>TXN-00576</t>
  </si>
  <si>
    <t>TXN-00577</t>
  </si>
  <si>
    <t>TXN-00578</t>
  </si>
  <si>
    <t>TXN-00579</t>
  </si>
  <si>
    <t>TXN-00580</t>
  </si>
  <si>
    <t>TXN-00581</t>
  </si>
  <si>
    <t>TXN-00582</t>
  </si>
  <si>
    <t>TXN-00583</t>
  </si>
  <si>
    <t>TXN-00584</t>
  </si>
  <si>
    <t>TXN-00585</t>
  </si>
  <si>
    <t>TXN-00586</t>
  </si>
  <si>
    <t>TXN-00587</t>
  </si>
  <si>
    <t>TXN-00588</t>
  </si>
  <si>
    <t>TXN-00589</t>
  </si>
  <si>
    <t>TXN-00590</t>
  </si>
  <si>
    <t>TXN-00591</t>
  </si>
  <si>
    <t>TXN-00592</t>
  </si>
  <si>
    <t>TXN-00593</t>
  </si>
  <si>
    <t>TXN-00594</t>
  </si>
  <si>
    <t>TXN-00595</t>
  </si>
  <si>
    <t>TXN-00596</t>
  </si>
  <si>
    <t>TXN-00597</t>
  </si>
  <si>
    <t>TXN-00598</t>
  </si>
  <si>
    <t>TXN-00599</t>
  </si>
  <si>
    <t>TXN-00600</t>
  </si>
  <si>
    <t>TXN-00601</t>
  </si>
  <si>
    <t>TXN-00602</t>
  </si>
  <si>
    <t>TXN-00603</t>
  </si>
  <si>
    <t>TXN-00604</t>
  </si>
  <si>
    <t>TXN-00605</t>
  </si>
  <si>
    <t>TXN-00606</t>
  </si>
  <si>
    <t>TXN-00607</t>
  </si>
  <si>
    <t>TXN-00608</t>
  </si>
  <si>
    <t>TXN-00609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</si>
  <si>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</si>
  <si>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</si>
  <si>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</si>
  <si>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</si>
  <si>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</si>
  <si>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</si>
  <si>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</si>
  <si>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</si>
  <si>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</si>
  <si>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</si>
  <si>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</si>
  <si>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</si>
  <si>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</si>
  <si>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</si>
  <si>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</si>
  <si>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</si>
  <si>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</si>
  <si>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</si>
  <si>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</si>
  <si>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</si>
  <si>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</si>
  <si>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</si>
  <si>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</si>
  <si>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</si>
  <si>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</si>
  <si>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</si>
  <si>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</si>
  <si>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</si>
  <si>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</si>
  <si>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</si>
  <si>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</si>
  <si>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</si>
  <si>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</si>
  <si>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</si>
  <si>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</si>
  <si>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</si>
  <si>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</si>
  <si>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</si>
  <si>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</si>
  <si>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</si>
  <si>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</si>
  <si>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</si>
  <si>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</si>
  <si>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</si>
  <si>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</si>
  <si>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</si>
  <si>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</si>
  <si>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</si>
  <si>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</si>
  <si>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</si>
  <si>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</si>
  <si>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</si>
  <si>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</si>
  <si>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</si>
  <si>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TXN-00664</t>
  </si>
  <si>
    <t>TXN-00665</t>
  </si>
  <si>
    <t>TXN-00666</t>
  </si>
  <si>
    <t>TXN-00667</t>
  </si>
  <si>
    <t>TXN-00668</t>
  </si>
  <si>
    <t>TXN-00669</t>
  </si>
  <si>
    <t>TXN-00670</t>
  </si>
  <si>
    <t>TXN-00671</t>
  </si>
  <si>
    <t>TXN-00672</t>
  </si>
  <si>
    <t>TXN-00673</t>
  </si>
  <si>
    <t>TXN-00674</t>
  </si>
  <si>
    <t>TXN-00675</t>
  </si>
  <si>
    <t>TXN-00676</t>
  </si>
  <si>
    <t>TXN-00677</t>
  </si>
  <si>
    <t>TXN-00678</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</si>
  <si>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</si>
  <si>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</si>
  <si>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</si>
  <si>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</si>
  <si>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</si>
  <si>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</si>
  <si>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</si>
  <si>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</si>
  <si>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</si>
  <si>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</si>
  <si>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</si>
  <si>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</si>
  <si>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</si>
  <si>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</si>
  <si>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</si>
  <si>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</si>
  <si>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</si>
  <si>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</si>
  <si>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</si>
  <si>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</si>
  <si>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</si>
  <si>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</si>
  <si>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</si>
  <si>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</si>
  <si>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</si>
  <si>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</si>
  <si>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</si>
  <si>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</si>
  <si>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</si>
  <si>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</si>
  <si>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</si>
  <si>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</si>
  <si>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</si>
  <si>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</si>
  <si>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</si>
  <si>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</si>
  <si>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</si>
  <si>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</si>
  <si>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</si>
  <si>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</si>
  <si>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</si>
  <si>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</si>
  <si>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</si>
  <si>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</si>
  <si>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</si>
  <si>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</si>
  <si>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</si>
  <si>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</si>
  <si>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</si>
  <si>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</si>
  <si>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</si>
  <si>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</si>
  <si>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</si>
  <si>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</si>
  <si>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</si>
  <si>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</si>
  <si>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</si>
  <si>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</si>
  <si>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</si>
  <si>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</si>
  <si>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</si>
  <si>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</si>
  <si>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</si>
  <si>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</si>
  <si>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</si>
  <si>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</si>
  <si>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</si>
  <si>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</si>
  <si>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</si>
  <si>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</si>
  <si>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</si>
  <si>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</si>
  <si>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</si>
  <si>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</si>
  <si>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</si>
  <si>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</si>
  <si>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</si>
  <si>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</si>
  <si>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</si>
  <si>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</si>
  <si>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</si>
  <si>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</si>
  <si>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</si>
  <si>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</si>
  <si>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</si>
  <si>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</si>
  <si>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</si>
  <si>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</si>
  <si>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</si>
  <si>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</si>
  <si>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</si>
  <si>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</si>
  <si>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</si>
  <si>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</si>
  <si>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</si>
  <si>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</si>
  <si>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</si>
  <si>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</si>
  <si>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</si>
  <si>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</si>
  <si>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</si>
  <si>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</si>
  <si>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</si>
  <si>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</si>
  <si>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</si>
  <si>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</si>
  <si>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</si>
  <si>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TXN-00786</t>
  </si>
  <si>
    <t>TXN-00787</t>
  </si>
  <si>
    <t>TXN-00788</t>
  </si>
  <si>
    <t>TXN-00789</t>
  </si>
  <si>
    <t>TXN-00790</t>
  </si>
  <si>
    <t>TXN-00791</t>
  </si>
  <si>
    <t>TXN-00792</t>
  </si>
  <si>
    <t>TXN-00793</t>
  </si>
  <si>
    <t>TXN-00794</t>
  </si>
  <si>
    <t>TXN-00795</t>
  </si>
  <si>
    <t>TXN-00796</t>
  </si>
  <si>
    <t>TXN-00797</t>
  </si>
  <si>
    <t>TXN-00798</t>
  </si>
  <si>
    <t>TXN-00799</t>
  </si>
  <si>
    <t>TXN-00800</t>
  </si>
  <si>
    <t>TXN-00801</t>
  </si>
  <si>
    <t>TXN-00802</t>
  </si>
  <si>
    <t>TXN-00803</t>
  </si>
  <si>
    <t>TXN-00804</t>
  </si>
  <si>
    <t>TXN-00805</t>
  </si>
  <si>
    <t>TXN-00806</t>
  </si>
  <si>
    <t>TXN-00807</t>
  </si>
  <si>
    <t>TXN-00808</t>
  </si>
  <si>
    <t>TXN-00809</t>
  </si>
  <si>
    <t>TXN-00810</t>
  </si>
  <si>
    <t>TXN-00811</t>
  </si>
  <si>
    <t>TXN-00812</t>
  </si>
  <si>
    <t>TXN-00813</t>
  </si>
  <si>
    <t>TXN-00814</t>
  </si>
  <si>
    <t>TXN-00815</t>
  </si>
  <si>
    <t>TXN-00816</t>
  </si>
  <si>
    <t>TXN-00817</t>
  </si>
  <si>
    <t>TXN-00818</t>
  </si>
  <si>
    <t>TXN-00819</t>
  </si>
  <si>
    <t>TXN-00820</t>
  </si>
  <si>
    <t>TXN-00821</t>
  </si>
  <si>
    <t>TXN-00822</t>
  </si>
  <si>
    <t>TXN-00823</t>
  </si>
  <si>
    <t>TXN-00824</t>
  </si>
  <si>
    <t>TXN-00825</t>
  </si>
  <si>
    <t>TXN-00826</t>
  </si>
  <si>
    <t>TXN-00827</t>
  </si>
  <si>
    <t>TXN-00828</t>
  </si>
  <si>
    <t>TXN-00829</t>
  </si>
  <si>
    <t>TXN-00830</t>
  </si>
  <si>
    <t>TXN-00831</t>
  </si>
  <si>
    <t>TXN-00832</t>
  </si>
  <si>
    <t>TXN-00833</t>
  </si>
  <si>
    <t>TXN-00834</t>
  </si>
  <si>
    <t>TXN-00835</t>
  </si>
  <si>
    <t>TXN-00836</t>
  </si>
  <si>
    <t>TXN-00837</t>
  </si>
  <si>
    <t>TXN-00838</t>
  </si>
  <si>
    <t>TXN-00839</t>
  </si>
  <si>
    <t>TXN-00840</t>
  </si>
  <si>
    <t>TXN-00841</t>
  </si>
  <si>
    <t>TXN-00842</t>
  </si>
  <si>
    <t>TXN-00843</t>
  </si>
  <si>
    <t>TXN-00844</t>
  </si>
  <si>
    <t>TXN-00845</t>
  </si>
  <si>
    <t>TXN-00846</t>
  </si>
  <si>
    <t>TXN-00847</t>
  </si>
  <si>
    <t>TXN-00848</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</si>
  <si>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</si>
  <si>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</si>
  <si>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</si>
  <si>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</si>
  <si>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</si>
  <si>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</si>
  <si>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</si>
  <si>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</si>
  <si>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</si>
  <si>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</si>
  <si>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</si>
  <si>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</si>
  <si>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</si>
  <si>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</si>
  <si>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</si>
  <si>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</si>
  <si>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</si>
  <si>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</si>
  <si>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</si>
  <si>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</si>
  <si>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TXN-00869</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</si>
  <si>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</si>
  <si>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</si>
  <si>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</si>
  <si>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</si>
  <si>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</si>
  <si>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</si>
  <si>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</si>
  <si>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</si>
  <si>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</si>
  <si>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</si>
  <si>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</si>
  <si>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</si>
  <si>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</si>
  <si>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</si>
  <si>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</si>
  <si>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</si>
  <si>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</si>
  <si>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</si>
  <si>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</si>
  <si>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</si>
  <si>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TXN-00890</t>
  </si>
  <si>
    <t>TXN-00891</t>
  </si>
  <si>
    <t>TXN-00892</t>
  </si>
  <si>
    <t>TXN-00893</t>
  </si>
  <si>
    <t>TXN-00894</t>
  </si>
  <si>
    <t>TXN-00895</t>
  </si>
  <si>
    <t>TXN-00896</t>
  </si>
  <si>
    <t>TXN-00897</t>
  </si>
  <si>
    <t>TXN-00898</t>
  </si>
  <si>
    <t>TXN-00899</t>
  </si>
  <si>
    <t>TXN-00900</t>
  </si>
  <si>
    <t>TXN-00901</t>
  </si>
  <si>
    <t>TXN-00902</t>
  </si>
  <si>
    <t>TXN-00903</t>
  </si>
  <si>
    <t>TXN-00904</t>
  </si>
  <si>
    <t>TXN-00905</t>
  </si>
  <si>
    <t>TXN-00906</t>
  </si>
  <si>
    <t>TXN-00907</t>
  </si>
  <si>
    <t>TXN-00908</t>
  </si>
  <si>
    <t>TXN-00909</t>
  </si>
  <si>
    <t>TXN-00910</t>
  </si>
  <si>
    <t>TXN-00911</t>
  </si>
  <si>
    <t>TXN-00912</t>
  </si>
  <si>
    <t>TXN-00913</t>
  </si>
  <si>
    <t>TXN-00914</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</si>
  <si>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</si>
  <si>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</si>
  <si>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</si>
  <si>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</si>
  <si>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</si>
  <si>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</si>
  <si>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</si>
  <si>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</si>
  <si>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</si>
  <si>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</si>
  <si>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</si>
  <si>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</si>
  <si>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</si>
  <si>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</si>
  <si>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</si>
  <si>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</si>
  <si>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</si>
  <si>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</si>
  <si>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</si>
  <si>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</si>
  <si>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</si>
  <si>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</si>
  <si>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</si>
  <si>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</si>
  <si>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</si>
  <si>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</si>
  <si>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</si>
  <si>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</si>
  <si>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</si>
  <si>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</si>
  <si>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</si>
  <si>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</si>
  <si>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</si>
  <si>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</si>
  <si>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</si>
  <si>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</si>
  <si>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</si>
  <si>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</si>
  <si>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</si>
  <si>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</si>
  <si>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</si>
  <si>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TXN-00956</t>
  </si>
  <si>
    <t>TXN-00957</t>
  </si>
  <si>
    <t>TXN-00958</t>
  </si>
  <si>
    <t>TXN-00959</t>
  </si>
  <si>
    <t>TXN-00960</t>
  </si>
  <si>
    <t>TXN-00961</t>
  </si>
  <si>
    <t>TXN-00962</t>
  </si>
  <si>
    <t>TXN-00963</t>
  </si>
  <si>
    <t>TXN-00964</t>
  </si>
  <si>
    <t>TXN-00965</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</si>
  <si>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</si>
  <si>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</si>
  <si>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</si>
  <si>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</si>
  <si>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</si>
  <si>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</si>
  <si>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</si>
  <si>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</si>
  <si>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</si>
  <si>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</si>
  <si>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</si>
  <si>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</si>
  <si>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</si>
  <si>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</si>
  <si>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</si>
  <si>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</si>
  <si>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</si>
  <si>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</si>
  <si>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</si>
  <si>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</si>
  <si>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</si>
  <si>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</si>
  <si>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</si>
  <si>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</si>
  <si>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</si>
  <si>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</si>
  <si>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</si>
  <si>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</si>
  <si>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</si>
  <si>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</si>
  <si>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</si>
  <si>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</si>
  <si>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</si>
  <si>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</si>
  <si>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</si>
  <si>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TXN-01001</t>
  </si>
  <si>
    <t>TXN-01002</t>
  </si>
  <si>
    <t>TXN-01003</t>
  </si>
  <si>
    <t>TXN-01004</t>
  </si>
  <si>
    <t>TXN-01005</t>
  </si>
  <si>
    <t>TXN-01006</t>
  </si>
  <si>
    <t>TXN-01007</t>
  </si>
  <si>
    <t>TXN-01008</t>
  </si>
  <si>
    <t>TXN-01009</t>
  </si>
  <si>
    <t>TXN-01010</t>
  </si>
  <si>
    <t>TXN-01011</t>
  </si>
  <si>
    <t>TXN-01012</t>
  </si>
  <si>
    <t>TXN-01013</t>
  </si>
  <si>
    <t>TXN-01014</t>
  </si>
  <si>
    <t>TXN-01015</t>
  </si>
  <si>
    <t>TXN-01016</t>
  </si>
  <si>
    <t>TXN-01017</t>
  </si>
  <si>
    <t>TXN-01018</t>
  </si>
  <si>
    <t>TXN-01019</t>
  </si>
  <si>
    <t>TXN-01020</t>
  </si>
  <si>
    <t>TXN-01021</t>
  </si>
  <si>
    <t>TXN-01022</t>
  </si>
  <si>
    <t>TXN-01023</t>
  </si>
  <si>
    <t>TXN-01024</t>
  </si>
  <si>
    <t>TXN-01025</t>
  </si>
  <si>
    <t>TXN-01026</t>
  </si>
  <si>
    <t>TXN-01027</t>
  </si>
  <si>
    <t>TXN-01028</t>
  </si>
  <si>
    <t>TXN-01029</t>
  </si>
  <si>
    <t>TXN-01030</t>
  </si>
  <si>
    <t>TXN-01031</t>
  </si>
  <si>
    <t>TXN-01032</t>
  </si>
  <si>
    <t>TXN-01033</t>
  </si>
  <si>
    <t>TXN-01034</t>
  </si>
  <si>
    <t>TXN-01035</t>
  </si>
  <si>
    <t>TXN-01036</t>
  </si>
  <si>
    <t>TXN-01037</t>
  </si>
  <si>
    <t>TXN-01038</t>
  </si>
  <si>
    <t>TXN-01039</t>
  </si>
  <si>
    <t>TXN-01040</t>
  </si>
  <si>
    <t>TXN-01041</t>
  </si>
  <si>
    <t>TXN-01042</t>
  </si>
  <si>
    <t>TXN-01043</t>
  </si>
  <si>
    <t>TXN-01044</t>
  </si>
  <si>
    <t>TXN-01045</t>
  </si>
  <si>
    <t>TXN-01046</t>
  </si>
  <si>
    <t>TXN-01047</t>
  </si>
  <si>
    <t>TXN-01048</t>
  </si>
  <si>
    <t>TXN-01049</t>
  </si>
  <si>
    <t>TXN-01050</t>
  </si>
  <si>
    <t>TXN-01051</t>
  </si>
  <si>
    <t>TXN-01052</t>
  </si>
  <si>
    <t>TXN-01053</t>
  </si>
  <si>
    <t>TXN-01054</t>
  </si>
  <si>
    <t>TXN-01055</t>
  </si>
  <si>
    <t>TXN-01056</t>
  </si>
  <si>
    <t>TXN-01057</t>
  </si>
  <si>
    <t>TXN-01058</t>
  </si>
  <si>
    <t>TXN-01059</t>
  </si>
  <si>
    <t>TXN-01060</t>
  </si>
  <si>
    <t>TXN-01061</t>
  </si>
  <si>
    <t>TXN-01062</t>
  </si>
  <si>
    <t>TXN-01063</t>
  </si>
  <si>
    <t>TXN-01064</t>
  </si>
  <si>
    <t>TXN-01065</t>
  </si>
  <si>
    <t>TXN-01066</t>
  </si>
  <si>
    <t>TXN-01067</t>
  </si>
  <si>
    <t>TXN-01068</t>
  </si>
  <si>
    <t>TXN-01069</t>
  </si>
  <si>
    <t>TXN-01070</t>
  </si>
  <si>
    <t>TXN-01071</t>
  </si>
  <si>
    <t>TXN-01072</t>
  </si>
  <si>
    <t>TXN-01073</t>
  </si>
  <si>
    <t>TXN-01074</t>
  </si>
  <si>
    <t>TXN-01075</t>
  </si>
  <si>
    <t>TXN-01076</t>
  </si>
  <si>
    <t>TXN-01077</t>
  </si>
  <si>
    <t>TXN-01078</t>
  </si>
  <si>
    <t>TXN-01079</t>
  </si>
  <si>
    <t>TXN-01080</t>
  </si>
  <si>
    <t>TXN-01081</t>
  </si>
  <si>
    <t>TXN-01082</t>
  </si>
  <si>
    <t>TXN-01083</t>
  </si>
  <si>
    <t>TXN-01084</t>
  </si>
  <si>
    <t>TXN-01085</t>
  </si>
  <si>
    <t>TXN-01086</t>
  </si>
  <si>
    <t>TXN-01087</t>
  </si>
  <si>
    <t>TXN-01088</t>
  </si>
  <si>
    <t>TXN-01089</t>
  </si>
  <si>
    <t>TXN-01090</t>
  </si>
  <si>
    <t>TXN-01091</t>
  </si>
  <si>
    <t>TXN-01092</t>
  </si>
  <si>
    <t>TXN-01093</t>
  </si>
  <si>
    <t>TXN-01094</t>
  </si>
  <si>
    <t>TXN-01095</t>
  </si>
  <si>
    <t>TXN-01096</t>
  </si>
  <si>
    <t>TXN-01097</t>
  </si>
  <si>
    <t>TXN-01098</t>
  </si>
  <si>
    <t>TXN-01099</t>
  </si>
  <si>
    <t>TXN-01100</t>
  </si>
  <si>
    <t>TXN-01101</t>
  </si>
  <si>
    <t>TXN-01102</t>
  </si>
  <si>
    <t>TXN-01103</t>
  </si>
  <si>
    <t>TXN-01104</t>
  </si>
  <si>
    <t>TXN-01105</t>
  </si>
  <si>
    <t>TXN-01106</t>
  </si>
  <si>
    <t>TXN-01107</t>
  </si>
  <si>
    <t>TXN-01108</t>
  </si>
  <si>
    <t>TXN-01109</t>
  </si>
  <si>
    <t>TXN-01110</t>
  </si>
  <si>
    <t>TXN-01111</t>
  </si>
  <si>
    <t>TXN-01112</t>
  </si>
  <si>
    <t>TXN-01113</t>
  </si>
  <si>
    <t>TXN-01114</t>
  </si>
  <si>
    <t>TXN-01115</t>
  </si>
  <si>
    <t>TXN-01116</t>
  </si>
  <si>
    <t>TXN-01117</t>
  </si>
  <si>
    <t>TXN-01118</t>
  </si>
  <si>
    <t>TXN-01119</t>
  </si>
  <si>
    <t>TXN-01120</t>
  </si>
  <si>
    <t>TXN-01121</t>
  </si>
  <si>
    <t>TXN-01122</t>
  </si>
  <si>
    <t>TXN-01123</t>
  </si>
  <si>
    <t>TXN-01124</t>
  </si>
  <si>
    <t>TXN-01125</t>
  </si>
  <si>
    <t>TXN-01126</t>
  </si>
  <si>
    <t>TXN-01127</t>
  </si>
  <si>
    <t>TXN-01128</t>
  </si>
  <si>
    <t>TXN-01129</t>
  </si>
  <si>
    <t>TXN-01130</t>
  </si>
  <si>
    <t>TXN-01131</t>
  </si>
  <si>
    <t>TXN-01132</t>
  </si>
  <si>
    <t>TXN-01133</t>
  </si>
  <si>
    <t>TXN-01134</t>
  </si>
  <si>
    <t>TXN-01135</t>
  </si>
  <si>
    <t>TXN-01136</t>
  </si>
  <si>
    <t>TXN-01137</t>
  </si>
  <si>
    <t>TXN-01138</t>
  </si>
  <si>
    <t>TXN-01139</t>
  </si>
  <si>
    <t>TXN-01140</t>
  </si>
  <si>
    <t>TXN-01141</t>
  </si>
  <si>
    <t>TXN-01142</t>
  </si>
  <si>
    <t>TXN-01143</t>
  </si>
  <si>
    <t>TXN-01144</t>
  </si>
  <si>
    <t>TXN-01145</t>
  </si>
  <si>
    <t>TXN-01146</t>
  </si>
  <si>
    <t>TXN-01147</t>
  </si>
  <si>
    <t>TXN-01148</t>
  </si>
  <si>
    <t>TXN-01149</t>
  </si>
  <si>
    <t>TXN-01150</t>
  </si>
  <si>
    <t>TXN-01151</t>
  </si>
  <si>
    <t>TXN-01152</t>
  </si>
  <si>
    <t>TXN-01153</t>
  </si>
  <si>
    <t>TXN-01154</t>
  </si>
  <si>
    <t>TXN-01155</t>
  </si>
  <si>
    <t>TXN-01156</t>
  </si>
  <si>
    <t>TXN-01157</t>
  </si>
  <si>
    <t>TXN-01158</t>
  </si>
  <si>
    <t>TXN-01159</t>
  </si>
  <si>
    <t>TXN-01160</t>
  </si>
  <si>
    <t>TXN-01161</t>
  </si>
  <si>
    <t>TXN-01162</t>
  </si>
  <si>
    <t>TXN-01163</t>
  </si>
  <si>
    <t>TXN-01164</t>
  </si>
  <si>
    <t>TXN-01165</t>
  </si>
  <si>
    <t>TXN-01166</t>
  </si>
  <si>
    <t>TXN-01167</t>
  </si>
  <si>
    <t>TXN-01168</t>
  </si>
  <si>
    <t>TXN-01169</t>
  </si>
  <si>
    <t>TXN-01170</t>
  </si>
  <si>
    <t>TXN-01171</t>
  </si>
  <si>
    <t>TXN-01172</t>
  </si>
  <si>
    <t>TXN-01173</t>
  </si>
  <si>
    <t>TXN-01174</t>
  </si>
  <si>
    <t>TXN-01175</t>
  </si>
  <si>
    <t>TXN-01176</t>
  </si>
  <si>
    <t>TXN-01177</t>
  </si>
  <si>
    <t>TXN-01178</t>
  </si>
  <si>
    <t>TXN-01179</t>
  </si>
  <si>
    <t>TXN-01180</t>
  </si>
  <si>
    <t>TXN-01181</t>
  </si>
  <si>
    <t>TXN-01182</t>
  </si>
  <si>
    <t>TXN-01183</t>
  </si>
  <si>
    <t>TXN-01184</t>
  </si>
  <si>
    <t>TXN-01185</t>
  </si>
  <si>
    <t>TXN-01186</t>
  </si>
  <si>
    <t>TXN-01187</t>
  </si>
  <si>
    <t>TXN-01188</t>
  </si>
  <si>
    <t>TXN-01189</t>
  </si>
  <si>
    <t>TXN-01190</t>
  </si>
  <si>
    <t>TXN-01191</t>
  </si>
  <si>
    <t>TXN-01192</t>
  </si>
  <si>
    <t>TXN-01193</t>
  </si>
  <si>
    <t>TXN-01194</t>
  </si>
  <si>
    <t>TXN-01195</t>
  </si>
  <si>
    <t>TXN-01196</t>
  </si>
  <si>
    <t>TXN-01197</t>
  </si>
  <si>
    <t>TXN-01198</t>
  </si>
  <si>
    <t>TXN-01199</t>
  </si>
  <si>
    <t>TXN-01200</t>
  </si>
  <si>
    <t>TXN-01201</t>
  </si>
  <si>
    <t>TXN-01202</t>
  </si>
  <si>
    <t>TXN-01203</t>
  </si>
  <si>
    <t>TXN-01204</t>
  </si>
  <si>
    <t>TXN-01205</t>
  </si>
  <si>
    <t>TXN-01206</t>
  </si>
  <si>
    <t>TXN-01207</t>
  </si>
  <si>
    <t>TXN-01208</t>
  </si>
  <si>
    <t>TXN-01209</t>
  </si>
  <si>
    <t>TXN-01210</t>
  </si>
  <si>
    <t>TXN-01211</t>
  </si>
  <si>
    <t>TXN-01212</t>
  </si>
  <si>
    <t>TXN-01213</t>
  </si>
  <si>
    <t>TXN-01214</t>
  </si>
  <si>
    <t>TXN-01215</t>
  </si>
  <si>
    <t>TXN-01216</t>
  </si>
  <si>
    <t>TXN-01217</t>
  </si>
  <si>
    <t>TXN-01218</t>
  </si>
  <si>
    <t>TXN-01219</t>
  </si>
  <si>
    <t>TXN-01220</t>
  </si>
  <si>
    <t>TXN-01221</t>
  </si>
  <si>
    <t>TXN-01222</t>
  </si>
  <si>
    <t>TXN-01223</t>
  </si>
  <si>
    <t>TXN-01224</t>
  </si>
  <si>
    <t>TXN-01225</t>
  </si>
  <si>
    <t>TXN-01226</t>
  </si>
  <si>
    <t>TXN-01227</t>
  </si>
  <si>
    <t>TXN-01228</t>
  </si>
  <si>
    <t>TXN-01229</t>
  </si>
  <si>
    <t>TXN-01230</t>
  </si>
  <si>
    <t>TXN-01231</t>
  </si>
  <si>
    <t>TXN-01232</t>
  </si>
  <si>
    <t>TXN-01233</t>
  </si>
  <si>
    <t>TXN-01234</t>
  </si>
  <si>
    <t>TXN-01235</t>
  </si>
  <si>
    <t>TXN-01236</t>
  </si>
  <si>
    <t>TXN-01237</t>
  </si>
  <si>
    <t>TXN-01238</t>
  </si>
  <si>
    <t>TXN-01239</t>
  </si>
  <si>
    <t>TXN-01240</t>
  </si>
  <si>
    <t>TXN-01241</t>
  </si>
  <si>
    <t>TXN-01242</t>
  </si>
  <si>
    <t>TXN-01243</t>
  </si>
  <si>
    <t>TXN-01244</t>
  </si>
  <si>
    <t>TXN-01245</t>
  </si>
  <si>
    <t>TXN-01246</t>
  </si>
  <si>
    <t>TXN-01247</t>
  </si>
  <si>
    <t>TXN-01248</t>
  </si>
  <si>
    <t>TXN-01249</t>
  </si>
  <si>
    <t>TXN-01250</t>
  </si>
  <si>
    <t>TXN-01251</t>
  </si>
  <si>
    <t>TXN-01252</t>
  </si>
  <si>
    <t>TXN-01253</t>
  </si>
  <si>
    <t>TXN-01254</t>
  </si>
  <si>
    <t>TXN-01255</t>
  </si>
  <si>
    <t>TXN-01256</t>
  </si>
  <si>
    <t>TXN-01257</t>
  </si>
  <si>
    <t>TXN-01258</t>
  </si>
  <si>
    <t>TXN-01259</t>
  </si>
  <si>
    <t>TXN-01260</t>
  </si>
  <si>
    <t>TXN-01261</t>
  </si>
  <si>
    <t>TXN-01262</t>
  </si>
  <si>
    <t>TXN-01263</t>
  </si>
  <si>
    <t>TXN-01264</t>
  </si>
  <si>
    <t>TXN-01265</t>
  </si>
  <si>
    <t>TXN-01266</t>
  </si>
  <si>
    <t>TXN-01267</t>
  </si>
  <si>
    <t>TXN-01268</t>
  </si>
  <si>
    <t>TXN-01269</t>
  </si>
  <si>
    <t>TXN-01270</t>
  </si>
  <si>
    <t>TXN-01271</t>
  </si>
  <si>
    <t>TXN-01272</t>
  </si>
  <si>
    <t>TXN-01273</t>
  </si>
  <si>
    <t>TXN-01274</t>
  </si>
  <si>
    <t>TXN-01275</t>
  </si>
  <si>
    <t>TXN-01276</t>
  </si>
  <si>
    <t>TXN-01277</t>
  </si>
  <si>
    <t>TXN-01278</t>
  </si>
  <si>
    <t>TXN-01279</t>
  </si>
  <si>
    <t>TXN-01280</t>
  </si>
  <si>
    <t>TXN-01281</t>
  </si>
  <si>
    <t>TXN-01282</t>
  </si>
  <si>
    <t>TXN-01283</t>
  </si>
  <si>
    <t>TXN-01284</t>
  </si>
  <si>
    <t>TXN-01285</t>
  </si>
  <si>
    <t>TXN-01286</t>
  </si>
  <si>
    <t>TXN-01287</t>
  </si>
  <si>
    <t>TXN-01288</t>
  </si>
  <si>
    <t>TXN-01289</t>
  </si>
  <si>
    <t>TXN-01290</t>
  </si>
  <si>
    <t>TXN-01291</t>
  </si>
  <si>
    <t>TXN-01292</t>
  </si>
  <si>
    <t>TXN-01293</t>
  </si>
  <si>
    <t>TXN-01294</t>
  </si>
  <si>
    <t>TXN-01295</t>
  </si>
  <si>
    <t>TXN-01296</t>
  </si>
  <si>
    <t>TXN-01297</t>
  </si>
  <si>
    <t>TXN-01298</t>
  </si>
  <si>
    <t>TXN-01299</t>
  </si>
  <si>
    <t>TXN-01300</t>
  </si>
  <si>
    <t>TXN-01301</t>
  </si>
  <si>
    <t>TXN-01302</t>
  </si>
  <si>
    <t>TXN-01303</t>
  </si>
  <si>
    <t>TXN-01304</t>
  </si>
  <si>
    <t>TXN-01305</t>
  </si>
  <si>
    <t>TXN-01306</t>
  </si>
  <si>
    <t>TXN-01307</t>
  </si>
  <si>
    <t>TXN-01308</t>
  </si>
  <si>
    <t>TXN-01309</t>
  </si>
  <si>
    <t>TXN-01310</t>
  </si>
  <si>
    <t>TXN-01311</t>
  </si>
  <si>
    <t>TXN-01312</t>
  </si>
  <si>
    <t>TXN-01313</t>
  </si>
  <si>
    <t>TXN-01314</t>
  </si>
  <si>
    <t>TXN-01315</t>
  </si>
  <si>
    <t>TXN-01316</t>
  </si>
  <si>
    <t>TXN-01317</t>
  </si>
  <si>
    <t>TXN-01318</t>
  </si>
  <si>
    <t>TXN-01319</t>
  </si>
  <si>
    <t>TXN-01320</t>
  </si>
  <si>
    <t>TXN-01321</t>
  </si>
  <si>
    <t>TXN-01322</t>
  </si>
  <si>
    <t>TXN-01323</t>
  </si>
  <si>
    <t>TXN-01324</t>
  </si>
  <si>
    <t>TXN-01325</t>
  </si>
  <si>
    <t>TXN-01326</t>
  </si>
  <si>
    <t>TXN-01327</t>
  </si>
  <si>
    <t>TXN-01328</t>
  </si>
  <si>
    <t>TXN-01329</t>
  </si>
  <si>
    <t>TXN-01330</t>
  </si>
  <si>
    <t>TXN-01331</t>
  </si>
  <si>
    <t>TXN-01332</t>
  </si>
  <si>
    <t>TXN-01333</t>
  </si>
  <si>
    <t>TXN-01334</t>
  </si>
  <si>
    <t>TXN-01335</t>
  </si>
  <si>
    <t>TXN-01336</t>
  </si>
  <si>
    <t>TXN-01337</t>
  </si>
  <si>
    <t>TXN-01338</t>
  </si>
  <si>
    <t>TXN-01339</t>
  </si>
  <si>
    <t>TXN-01340</t>
  </si>
  <si>
    <t>TXN-01341</t>
  </si>
  <si>
    <t>TXN-01342</t>
  </si>
  <si>
    <t>TXN-01343</t>
  </si>
  <si>
    <t>TXN-01344</t>
  </si>
  <si>
    <t>TXN-01345</t>
  </si>
  <si>
    <t>TXN-01346</t>
  </si>
  <si>
    <t>TXN-01347</t>
  </si>
  <si>
    <t>TXN-01348</t>
  </si>
  <si>
    <t>TXN-01349</t>
  </si>
  <si>
    <t>TXN-01350</t>
  </si>
  <si>
    <t>TXN-01351</t>
  </si>
  <si>
    <t>TXN-01352</t>
  </si>
  <si>
    <t>TXN-01353</t>
  </si>
  <si>
    <t>TXN-01354</t>
  </si>
  <si>
    <t>TXN-01355</t>
  </si>
  <si>
    <t>TXN-01356</t>
  </si>
  <si>
    <t>TXN-01357</t>
  </si>
  <si>
    <t>TXN-01358</t>
  </si>
  <si>
    <t>TXN-01359</t>
  </si>
  <si>
    <t>TXN-01360</t>
  </si>
  <si>
    <t>TXN-01361</t>
  </si>
  <si>
    <t>TXN-01362</t>
  </si>
  <si>
    <t>TXN-01363</t>
  </si>
  <si>
    <t>TXN-01364</t>
  </si>
  <si>
    <t>TXN-01365</t>
  </si>
  <si>
    <t>TXN-01366</t>
  </si>
  <si>
    <t>TXN-01367</t>
  </si>
  <si>
    <t>TXN-01368</t>
  </si>
  <si>
    <t>TXN-01369</t>
  </si>
  <si>
    <t>TXN-01370</t>
  </si>
  <si>
    <t>TXN-01371</t>
  </si>
  <si>
    <t>TXN-01372</t>
  </si>
  <si>
    <t>TXN-01373</t>
  </si>
  <si>
    <t>TXN-01374</t>
  </si>
  <si>
    <t>TXN-01375</t>
  </si>
  <si>
    <t>TXN-01376</t>
  </si>
  <si>
    <t>TXN-01377</t>
  </si>
  <si>
    <t>TXN-01378</t>
  </si>
  <si>
    <t>TXN-01379</t>
  </si>
  <si>
    <t>TXN-01380</t>
  </si>
  <si>
    <t>TXN-01381</t>
  </si>
  <si>
    <t>TXN-01382</t>
  </si>
  <si>
    <t>TXN-01383</t>
  </si>
  <si>
    <t>TXN-01384</t>
  </si>
  <si>
    <t>TXN-01385</t>
  </si>
  <si>
    <t>TXN-01386</t>
  </si>
  <si>
    <t>TXN-01387</t>
  </si>
  <si>
    <t>TXN-01388</t>
  </si>
  <si>
    <t>TXN-01389</t>
  </si>
  <si>
    <t>TXN-01390</t>
  </si>
  <si>
    <t>TXN-01391</t>
  </si>
  <si>
    <t>TXN-01392</t>
  </si>
  <si>
    <t>TXN-01393</t>
  </si>
  <si>
    <t>TXN-01394</t>
  </si>
  <si>
    <t>TXN-01395</t>
  </si>
  <si>
    <t>TXN-01396</t>
  </si>
  <si>
    <t>TXN-01397</t>
  </si>
  <si>
    <t>TXN-01398</t>
  </si>
  <si>
    <t>TXN-01399</t>
  </si>
  <si>
    <t>TXN-01400</t>
  </si>
  <si>
    <t>TXN-01401</t>
  </si>
  <si>
    <t>TXN-01402</t>
  </si>
  <si>
    <t>TXN-01403</t>
  </si>
  <si>
    <t>TXN-01404</t>
  </si>
  <si>
    <t>TXN-01405</t>
  </si>
  <si>
    <t>TXN-01406</t>
  </si>
  <si>
    <t>TXN-01407</t>
  </si>
  <si>
    <t>TXN-01408</t>
  </si>
  <si>
    <t>TXN-01409</t>
  </si>
  <si>
    <t>TXN-01410</t>
  </si>
  <si>
    <t>TXN-01411</t>
  </si>
  <si>
    <t>TXN-01412</t>
  </si>
  <si>
    <t>TXN-01413</t>
  </si>
  <si>
    <t>TXN-01414</t>
  </si>
  <si>
    <t>TXN-01415</t>
  </si>
  <si>
    <t>TXN-01416</t>
  </si>
  <si>
    <t>TXN-01417</t>
  </si>
  <si>
    <t>TXN-01418</t>
  </si>
  <si>
    <t>TXN-01419</t>
  </si>
  <si>
    <t>TXN-01420</t>
  </si>
  <si>
    <t>TXN-01421</t>
  </si>
  <si>
    <t>TXN-01422</t>
  </si>
  <si>
    <t>TXN-01423</t>
  </si>
  <si>
    <t>TXN-01424</t>
  </si>
  <si>
    <t>TXN-01425</t>
  </si>
  <si>
    <t>TXN-01426</t>
  </si>
  <si>
    <t>TXN-01427</t>
  </si>
  <si>
    <t>TXN-01428</t>
  </si>
  <si>
    <t>TXN-01429</t>
  </si>
  <si>
    <t>TXN-01430</t>
  </si>
  <si>
    <t>TXN-01431</t>
  </si>
  <si>
    <t>TXN-01432</t>
  </si>
  <si>
    <t>TXN-01433</t>
  </si>
  <si>
    <t>TXN-01434</t>
  </si>
  <si>
    <t>TXN-01435</t>
  </si>
  <si>
    <t>TXN-01436</t>
  </si>
  <si>
    <t>TXN-01437</t>
  </si>
  <si>
    <t>TXN-01438</t>
  </si>
  <si>
    <t>TXN-01439</t>
  </si>
  <si>
    <t>TXN-01440</t>
  </si>
  <si>
    <t>TXN-01441</t>
  </si>
  <si>
    <t>TXN-01442</t>
  </si>
  <si>
    <t>TXN-01443</t>
  </si>
  <si>
    <t>TXN-01444</t>
  </si>
  <si>
    <t>TXN-01445</t>
  </si>
  <si>
    <t>TXN-01446</t>
  </si>
  <si>
    <t>TXN-01447</t>
  </si>
  <si>
    <t>TXN-01448</t>
  </si>
  <si>
    <t>TXN-01449</t>
  </si>
  <si>
    <t>TXN-01450</t>
  </si>
  <si>
    <t>TXN-01451</t>
  </si>
  <si>
    <t>TXN-01452</t>
  </si>
  <si>
    <t>TXN-01453</t>
  </si>
  <si>
    <t>TXN-01454</t>
  </si>
  <si>
    <t>TXN-01455</t>
  </si>
  <si>
    <t>TXN-01456</t>
  </si>
  <si>
    <t>TXN-01457</t>
  </si>
  <si>
    <t>TXN-01458</t>
  </si>
  <si>
    <t>TXN-01459</t>
  </si>
  <si>
    <t>TXN-01460</t>
  </si>
  <si>
    <t>TXN-01461</t>
  </si>
  <si>
    <t>TXN-01462</t>
  </si>
  <si>
    <t>TXN-01463</t>
  </si>
  <si>
    <t>TXN-01464</t>
  </si>
  <si>
    <t>TXN-01465</t>
  </si>
  <si>
    <t>TXN-01466</t>
  </si>
  <si>
    <t>TXN-01467</t>
  </si>
  <si>
    <t>TXN-01468</t>
  </si>
  <si>
    <t>TXN-01469</t>
  </si>
  <si>
    <t>TXN-01470</t>
  </si>
  <si>
    <t>TXN-01471</t>
  </si>
  <si>
    <t>TXN-01472</t>
  </si>
  <si>
    <t>TXN-01473</t>
  </si>
  <si>
    <t>TXN-01474</t>
  </si>
  <si>
    <t>TXN-01475</t>
  </si>
  <si>
    <t>TXN-01476</t>
  </si>
  <si>
    <t>TXN-01477</t>
  </si>
  <si>
    <t>TXN-01478</t>
  </si>
  <si>
    <t>TXN-01479</t>
  </si>
  <si>
    <t>TXN-01480</t>
  </si>
  <si>
    <t>TXN-01481</t>
  </si>
  <si>
    <t>TXN-01482</t>
  </si>
  <si>
    <t>TXN-01483</t>
  </si>
  <si>
    <t>TXN-01484</t>
  </si>
  <si>
    <t>TXN-01485</t>
  </si>
  <si>
    <t>TXN-01486</t>
  </si>
  <si>
    <t>TXN-01487</t>
  </si>
  <si>
    <t>TXN-01488</t>
  </si>
  <si>
    <t>TXN-01489</t>
  </si>
  <si>
    <t>TXN-01490</t>
  </si>
  <si>
    <t>TXN-01491</t>
  </si>
  <si>
    <t>TXN-01492</t>
  </si>
  <si>
    <t>TXN-01493</t>
  </si>
  <si>
    <t>TXN-01494</t>
  </si>
  <si>
    <t>TXN-01495</t>
  </si>
  <si>
    <t>TXN-01496</t>
  </si>
  <si>
    <t>TXN-01497</t>
  </si>
  <si>
    <t>TXN-01498</t>
  </si>
  <si>
    <t>TXN-01499</t>
  </si>
  <si>
    <t>TXN-01500</t>
  </si>
  <si>
    <t>TXN-01501</t>
  </si>
  <si>
    <t>TXN-01502</t>
  </si>
  <si>
    <t>TXN-01503</t>
  </si>
  <si>
    <t>TXN-01504</t>
  </si>
  <si>
    <t>TXN-01505</t>
  </si>
  <si>
    <t>TXN-01506</t>
  </si>
  <si>
    <t>TXN-01507</t>
  </si>
  <si>
    <t>TXN-01508</t>
  </si>
  <si>
    <t>TXN-01509</t>
  </si>
  <si>
    <t>TXN-01510</t>
  </si>
  <si>
    <t>TXN-01511</t>
  </si>
  <si>
    <t>TXN-01512</t>
  </si>
  <si>
    <t>TXN-01513</t>
  </si>
  <si>
    <t>TXN-01514</t>
  </si>
  <si>
    <t>TXN-01515</t>
  </si>
  <si>
    <t>TXN-01516</t>
  </si>
  <si>
    <t>TXN-01517</t>
  </si>
  <si>
    <t>TXN-01518</t>
  </si>
  <si>
    <t>TXN-01519</t>
  </si>
  <si>
    <t>TXN-01520</t>
  </si>
  <si>
    <t>TXN-01521</t>
  </si>
  <si>
    <t>TXN-01522</t>
  </si>
  <si>
    <t>TXN-01523</t>
  </si>
  <si>
    <t>TXN-01524</t>
  </si>
  <si>
    <t>TXN-01525</t>
  </si>
  <si>
    <t>TXN-01526</t>
  </si>
  <si>
    <t>TXN-01527</t>
  </si>
  <si>
    <t>TXN-01528</t>
  </si>
  <si>
    <t>TXN-01529</t>
  </si>
  <si>
    <t>TXN-01530</t>
  </si>
  <si>
    <t>TXN-01531</t>
  </si>
  <si>
    <t>TXN-01532</t>
  </si>
  <si>
    <t>TXN-01533</t>
  </si>
  <si>
    <t>TXN-01534</t>
  </si>
  <si>
    <t>TXN-01535</t>
  </si>
  <si>
    <t>TXN-01536</t>
  </si>
  <si>
    <t>TXN-01537</t>
  </si>
  <si>
    <t>TXN-01538</t>
  </si>
  <si>
    <t>TXN-01539</t>
  </si>
  <si>
    <t>TXN-01540</t>
  </si>
  <si>
    <t>TXN-01541</t>
  </si>
  <si>
    <t>TXN-01542</t>
  </si>
  <si>
    <t>TXN-01543</t>
  </si>
  <si>
    <t>TXN-01544</t>
  </si>
  <si>
    <t>TXN-01545</t>
  </si>
  <si>
    <t>TXN-01546</t>
  </si>
  <si>
    <t>TXN-01547</t>
  </si>
  <si>
    <t>TXN-01548</t>
  </si>
  <si>
    <t>TXN-01549</t>
  </si>
  <si>
    <t>TXN-01550</t>
  </si>
  <si>
    <t>TXN-01551</t>
  </si>
  <si>
    <t>TXN-01552</t>
  </si>
  <si>
    <t>TXN-01553</t>
  </si>
  <si>
    <t>TXN-01554</t>
  </si>
  <si>
    <t>TXN-01555</t>
  </si>
  <si>
    <t>TXN-01556</t>
  </si>
  <si>
    <t>TXN-01557</t>
  </si>
  <si>
    <t>TXN-01558</t>
  </si>
  <si>
    <t>TXN-01559</t>
  </si>
  <si>
    <t>TXN-01560</t>
  </si>
  <si>
    <t>TXN-01561</t>
  </si>
  <si>
    <t>TXN-01562</t>
  </si>
  <si>
    <t>TXN-01563</t>
  </si>
  <si>
    <t>TXN-01564</t>
  </si>
  <si>
    <t>TXN-01565</t>
  </si>
  <si>
    <t>TXN-01566</t>
  </si>
  <si>
    <t>TXN-01567</t>
  </si>
  <si>
    <t>TXN-01568</t>
  </si>
  <si>
    <t>TXN-01569</t>
  </si>
  <si>
    <t>TXN-01570</t>
  </si>
  <si>
    <t>TXN-01571</t>
  </si>
  <si>
    <t>TXN-01572</t>
  </si>
  <si>
    <t>TXN-01573</t>
  </si>
  <si>
    <t>TXN-01574</t>
  </si>
  <si>
    <t>TXN-01575</t>
  </si>
  <si>
    <t>TXN-01576</t>
  </si>
  <si>
    <t>TXN-01577</t>
  </si>
  <si>
    <t>TXN-01578</t>
  </si>
  <si>
    <t>TXN-01579</t>
  </si>
  <si>
    <t>TXN-01580</t>
  </si>
  <si>
    <t>TXN-01581</t>
  </si>
  <si>
    <t>TXN-01582</t>
  </si>
  <si>
    <t>TXN-01583</t>
  </si>
  <si>
    <t>TXN-01584</t>
  </si>
  <si>
    <t>TXN-01585</t>
  </si>
  <si>
    <t>TXN-01586</t>
  </si>
  <si>
    <t>TXN-01587</t>
  </si>
  <si>
    <t>TXN-01588</t>
  </si>
  <si>
    <t>TXN-01589</t>
  </si>
  <si>
    <t>TXN-01590</t>
  </si>
  <si>
    <t>TXN-01591</t>
  </si>
  <si>
    <t>TXN-01592</t>
  </si>
  <si>
    <t>TXN-01593</t>
  </si>
  <si>
    <t>TXN-01594</t>
  </si>
  <si>
    <t>TXN-01595</t>
  </si>
  <si>
    <t>TXN-01596</t>
  </si>
  <si>
    <t>TXN-01597</t>
  </si>
  <si>
    <t>TXN-01598</t>
  </si>
  <si>
    <t>TXN-01599</t>
  </si>
  <si>
    <t>TXN-01600</t>
  </si>
  <si>
    <t>10:20</t>
  </si>
  <si>
    <t>17:15</t>
  </si>
  <si>
    <t>10:00</t>
  </si>
  <si>
    <t>09:10</t>
  </si>
  <si>
    <t>19:30</t>
  </si>
  <si>
    <t>12:10</t>
  </si>
  <si>
    <t>16:30</t>
  </si>
  <si>
    <t>14:30</t>
  </si>
  <si>
    <t>14:10</t>
  </si>
  <si>
    <t>16:50</t>
  </si>
  <si>
    <t>21:10</t>
  </si>
  <si>
    <t>08:50</t>
  </si>
  <si>
    <t>18:45</t>
  </si>
  <si>
    <t>10:50</t>
  </si>
  <si>
    <t>16:20</t>
  </si>
  <si>
    <t>10:15</t>
  </si>
  <si>
    <t>20:50</t>
  </si>
  <si>
    <t>11:15</t>
  </si>
  <si>
    <t>18:30</t>
  </si>
  <si>
    <t>07:20</t>
  </si>
  <si>
    <t>09:00</t>
  </si>
  <si>
    <t>10:30</t>
  </si>
  <si>
    <t>20:45</t>
  </si>
  <si>
    <t>21:30</t>
  </si>
  <si>
    <t>18:15</t>
  </si>
  <si>
    <t>12:20</t>
  </si>
  <si>
    <t>12:45</t>
  </si>
  <si>
    <t>08:00</t>
  </si>
  <si>
    <t>16:15</t>
  </si>
  <si>
    <t>15:30</t>
  </si>
  <si>
    <t>17:10</t>
  </si>
  <si>
    <t>20:10</t>
  </si>
  <si>
    <t>13:00</t>
  </si>
  <si>
    <t>13:30</t>
  </si>
  <si>
    <t>11:10</t>
  </si>
  <si>
    <t>17:20</t>
  </si>
  <si>
    <t>21:15</t>
  </si>
  <si>
    <t>19:45</t>
  </si>
  <si>
    <t>18:50</t>
  </si>
  <si>
    <t>17:00</t>
  </si>
  <si>
    <t>08:15</t>
  </si>
  <si>
    <t>21:20</t>
  </si>
  <si>
    <t>17:50</t>
  </si>
  <si>
    <t>08:30</t>
  </si>
  <si>
    <t>08:45</t>
  </si>
  <si>
    <t>21:45</t>
  </si>
  <si>
    <t>15:50</t>
  </si>
  <si>
    <t>11:20</t>
  </si>
  <si>
    <t>09:30</t>
  </si>
  <si>
    <t>20:00</t>
  </si>
  <si>
    <t>07:15</t>
  </si>
  <si>
    <t>12:30</t>
  </si>
  <si>
    <t>16:00</t>
  </si>
  <si>
    <t>12:15</t>
  </si>
  <si>
    <t>16:10</t>
  </si>
  <si>
    <t>12:50</t>
  </si>
  <si>
    <t>20:20</t>
  </si>
  <si>
    <t>13:10</t>
  </si>
  <si>
    <t>12:00</t>
  </si>
  <si>
    <t>19:10</t>
  </si>
  <si>
    <t>07:45</t>
  </si>
  <si>
    <t>20:15</t>
  </si>
  <si>
    <t>19:00</t>
  </si>
  <si>
    <t>09:15</t>
  </si>
  <si>
    <t>20:30</t>
  </si>
  <si>
    <t>18:00</t>
  </si>
  <si>
    <t>17:30</t>
  </si>
  <si>
    <t>09:45</t>
  </si>
  <si>
    <t>15:10</t>
  </si>
  <si>
    <t>18:10</t>
  </si>
  <si>
    <t>07:10</t>
  </si>
  <si>
    <t>11:00</t>
  </si>
  <si>
    <t>15:45</t>
  </si>
  <si>
    <t>09:50</t>
  </si>
  <si>
    <t>13:20</t>
  </si>
  <si>
    <t>13:45</t>
  </si>
  <si>
    <t>16:45</t>
  </si>
  <si>
    <t>17:45</t>
  </si>
  <si>
    <t>13:15</t>
  </si>
  <si>
    <t>15:00</t>
  </si>
  <si>
    <t>19:50</t>
  </si>
  <si>
    <t>11:30</t>
  </si>
  <si>
    <t>08:10</t>
  </si>
  <si>
    <t>21:00</t>
  </si>
  <si>
    <t>14:50</t>
  </si>
  <si>
    <t>07:50</t>
  </si>
  <si>
    <t>19:20</t>
  </si>
  <si>
    <t>08:20</t>
  </si>
  <si>
    <t>13:50</t>
  </si>
  <si>
    <t>14:45</t>
  </si>
  <si>
    <t>10:45</t>
  </si>
  <si>
    <t>07:00</t>
  </si>
  <si>
    <t>14:20</t>
  </si>
  <si>
    <t>14:15</t>
  </si>
  <si>
    <t>11:45</t>
  </si>
  <si>
    <t>18:20</t>
  </si>
  <si>
    <t>15:15</t>
  </si>
  <si>
    <t>14:00</t>
  </si>
  <si>
    <t>21:50</t>
  </si>
  <si>
    <t>15:20</t>
  </si>
  <si>
    <t>11:50</t>
  </si>
  <si>
    <t>19:15</t>
  </si>
  <si>
    <t>10:10</t>
  </si>
  <si>
    <t>07:30</t>
  </si>
  <si>
    <t>09:20</t>
  </si>
  <si>
    <t>Simran Gupta</t>
  </si>
  <si>
    <t>Sneha Kaur</t>
  </si>
  <si>
    <t>Sahil Singh</t>
  </si>
  <si>
    <t>Rahul Bansal</t>
  </si>
  <si>
    <t>Sahil Chopra</t>
  </si>
  <si>
    <t>Arjun Chopra</t>
  </si>
  <si>
    <t>Rohan Bansal</t>
  </si>
  <si>
    <t>Meera Malhotra</t>
  </si>
  <si>
    <t>Neha Malhotra</t>
  </si>
  <si>
    <t>Nikhil Gupta</t>
  </si>
  <si>
    <t>Kavya Verma</t>
  </si>
  <si>
    <t>Isha Chopra</t>
  </si>
  <si>
    <t>Riya Sharma</t>
  </si>
  <si>
    <t>Rohan Malhotra</t>
  </si>
  <si>
    <t>Pooja Kaur</t>
  </si>
  <si>
    <t>Riya Kapoor</t>
  </si>
  <si>
    <t>Arjun Gupta</t>
  </si>
  <si>
    <t>Isha Malhotra</t>
  </si>
  <si>
    <t>Nikhil Kaur</t>
  </si>
  <si>
    <t>Kavya Kaur</t>
  </si>
  <si>
    <t>Unknown</t>
  </si>
  <si>
    <t>Kavya Mehta</t>
  </si>
  <si>
    <t>Kavya Singh</t>
  </si>
  <si>
    <t>Meera Verma</t>
  </si>
  <si>
    <t>Isha Singh</t>
  </si>
  <si>
    <t>Rahul Sharma</t>
  </si>
  <si>
    <t>Riya Singh</t>
  </si>
  <si>
    <t>Meera Kaur</t>
  </si>
  <si>
    <t>Aditya Kapoor</t>
  </si>
  <si>
    <t>Aditya Malhotra</t>
  </si>
  <si>
    <t>Karan Malhotra</t>
  </si>
  <si>
    <t>Kavya Malhotra</t>
  </si>
  <si>
    <t>Rohan Kapoor</t>
  </si>
  <si>
    <t>Karan Gupta</t>
  </si>
  <si>
    <t>Sneha Mehta</t>
  </si>
  <si>
    <t>Arjun Singh</t>
  </si>
  <si>
    <t>Rahul Gupta</t>
  </si>
  <si>
    <t>Neha Gupta</t>
  </si>
  <si>
    <t>Meera Chopra</t>
  </si>
  <si>
    <t>Pooja Sharma</t>
  </si>
  <si>
    <t>Aarav Bansal</t>
  </si>
  <si>
    <t>Manish Bansal</t>
  </si>
  <si>
    <t>Rohan Chopra</t>
  </si>
  <si>
    <t>Rahul Kapoor</t>
  </si>
  <si>
    <t>Pooja Mehta</t>
  </si>
  <si>
    <t>Aarav Kaur</t>
  </si>
  <si>
    <t>Sneha Gupta</t>
  </si>
  <si>
    <t>Karan Chopra</t>
  </si>
  <si>
    <t>Manish Sharma</t>
  </si>
  <si>
    <t>Karan Kaur</t>
  </si>
  <si>
    <t>Rahul Mehta</t>
  </si>
  <si>
    <t>Pooja Kapoor</t>
  </si>
  <si>
    <t>Karan Mehta</t>
  </si>
  <si>
    <t>Vivaan Singh</t>
  </si>
  <si>
    <t>Priya Kapoor</t>
  </si>
  <si>
    <t>Rohan Kaur</t>
  </si>
  <si>
    <t>Aarav Kapoor</t>
  </si>
  <si>
    <t>Sneha Kapoor</t>
  </si>
  <si>
    <t>Pooja Verma</t>
  </si>
  <si>
    <t>Simran Malhotra</t>
  </si>
  <si>
    <t>Rahul Kaur</t>
  </si>
  <si>
    <t>Arjun Mehta</t>
  </si>
  <si>
    <t>Riya Mehta</t>
  </si>
  <si>
    <t>Priya Kaur</t>
  </si>
  <si>
    <t>Manish Singh</t>
  </si>
  <si>
    <t>Sahil Kaur</t>
  </si>
  <si>
    <t>Riya Bansal</t>
  </si>
  <si>
    <t>Karan Kapoor</t>
  </si>
  <si>
    <t>Vivaan Bansal</t>
  </si>
  <si>
    <t>Nikhil Chopra</t>
  </si>
  <si>
    <t>Kavya Sharma</t>
  </si>
  <si>
    <t>Aarav Malhotra</t>
  </si>
  <si>
    <t>Pooja Singh</t>
  </si>
  <si>
    <t>Ananya Kaur</t>
  </si>
  <si>
    <t>Priya Mehta</t>
  </si>
  <si>
    <t>Vivaan Malhotra</t>
  </si>
  <si>
    <t>Isha Kapoor</t>
  </si>
  <si>
    <t>Priya Chopra</t>
  </si>
  <si>
    <t>Isha Kaur</t>
  </si>
  <si>
    <t>Aditya Kaur</t>
  </si>
  <si>
    <t>Simran Singh</t>
  </si>
  <si>
    <t>Ananya Kapoor</t>
  </si>
  <si>
    <t>Meera Kapoor</t>
  </si>
  <si>
    <t>Ananya Chopra</t>
  </si>
  <si>
    <t>Ananya Sharma</t>
  </si>
  <si>
    <t>Priya Singh</t>
  </si>
  <si>
    <t>Kavya Gupta</t>
  </si>
  <si>
    <t>Isha Verma</t>
  </si>
  <si>
    <t>Arjun Malhotra</t>
  </si>
  <si>
    <t>Arjun Verma</t>
  </si>
  <si>
    <t>Riya Malhotra</t>
  </si>
  <si>
    <t>Rahul Chopra</t>
  </si>
  <si>
    <t>Isha Mehta</t>
  </si>
  <si>
    <t>Nikhil Mehta</t>
  </si>
  <si>
    <t>Kavya Chopra</t>
  </si>
  <si>
    <t>Arjun Kapoor</t>
  </si>
  <si>
    <t>Meera Sharma</t>
  </si>
  <si>
    <t>Aarav Sharma</t>
  </si>
  <si>
    <t>Aditya Mehta</t>
  </si>
  <si>
    <t>Rohan Gupta</t>
  </si>
  <si>
    <t>Neha Bansal</t>
  </si>
  <si>
    <t>Rohan Verma</t>
  </si>
  <si>
    <t>Karan Verma</t>
  </si>
  <si>
    <t>Arjun Bansal</t>
  </si>
  <si>
    <t>Vivaan Sharma</t>
  </si>
  <si>
    <t>Nikhil Singh</t>
  </si>
  <si>
    <t>Kavya Kapoor</t>
  </si>
  <si>
    <t>Meera Singh</t>
  </si>
  <si>
    <t>Simran Kaur</t>
  </si>
  <si>
    <t>Vivaan Gupta</t>
  </si>
  <si>
    <t>Karan Sharma</t>
  </si>
  <si>
    <t>Vivaan Verma</t>
  </si>
  <si>
    <t>Arjun Sharma</t>
  </si>
  <si>
    <t>Simran Verma</t>
  </si>
  <si>
    <t>Aarav Chopra</t>
  </si>
  <si>
    <t>Rahul Verma</t>
  </si>
  <si>
    <t>Vivaan Kaur</t>
  </si>
  <si>
    <t>Riya Gupta</t>
  </si>
  <si>
    <t>Sahil Verma</t>
  </si>
  <si>
    <t>Rohan Singh</t>
  </si>
  <si>
    <t>Arjun Kaur</t>
  </si>
  <si>
    <t>Pooja Bansal</t>
  </si>
  <si>
    <t>Nikhil Bansal</t>
  </si>
  <si>
    <t>Simran Sharma</t>
  </si>
  <si>
    <t>Neha Kaur</t>
  </si>
  <si>
    <t>Sneha Chopra</t>
  </si>
  <si>
    <t>Aarav Gupta</t>
  </si>
  <si>
    <t>Manish Verma</t>
  </si>
  <si>
    <t>Aditya Verma</t>
  </si>
  <si>
    <t>Neha Mehta</t>
  </si>
  <si>
    <t>Rohan Mehta</t>
  </si>
  <si>
    <t>Sneha Verma</t>
  </si>
  <si>
    <t>Kavya Bansal</t>
  </si>
  <si>
    <t>Riya Verma</t>
  </si>
  <si>
    <t>Pooja Gupta</t>
  </si>
  <si>
    <t>Vivaan Mehta</t>
  </si>
  <si>
    <t>Meera Bansal</t>
  </si>
  <si>
    <t>Aarav Singh</t>
  </si>
  <si>
    <t>Neha Sharma</t>
  </si>
  <si>
    <t>Riya Chopra</t>
  </si>
  <si>
    <t>Rohan Sharma</t>
  </si>
  <si>
    <t>Isha Gupta</t>
  </si>
  <si>
    <t>Aarav Mehta</t>
  </si>
  <si>
    <t>Sahil Kapoor</t>
  </si>
  <si>
    <t>Nikhil Malhotra</t>
  </si>
  <si>
    <t>Manish Gupta</t>
  </si>
  <si>
    <t>Manish Kaur</t>
  </si>
  <si>
    <t>Rahul Malhotra</t>
  </si>
  <si>
    <t>Priya Bansal</t>
  </si>
  <si>
    <t>Nikhil Kapoor</t>
  </si>
  <si>
    <t>Simran Kapoor</t>
  </si>
  <si>
    <t>Sahil Gupta</t>
  </si>
  <si>
    <t>Neha Chopra</t>
  </si>
  <si>
    <t>Aditya Chopra</t>
  </si>
  <si>
    <t>Ananya Singh</t>
  </si>
  <si>
    <t>Aditya Sharma</t>
  </si>
  <si>
    <t>Neha Verma</t>
  </si>
  <si>
    <t>Manish Kapoor</t>
  </si>
  <si>
    <t>Meera Gupta</t>
  </si>
  <si>
    <t>Ananya Gupta</t>
  </si>
  <si>
    <t>Isha Bansal</t>
  </si>
  <si>
    <t>Sneha Sharma</t>
  </si>
  <si>
    <t>Sneha Malhotra</t>
  </si>
  <si>
    <t>Vivaan Chopra</t>
  </si>
  <si>
    <t>Neha Singh</t>
  </si>
  <si>
    <t>Manish Chopra</t>
  </si>
  <si>
    <t>Karan Singh</t>
  </si>
  <si>
    <t>Isha Sharma</t>
  </si>
  <si>
    <t>Rahul Singh</t>
  </si>
  <si>
    <t>Pooja Malhotra</t>
  </si>
  <si>
    <t>Vivaan Kapoor</t>
  </si>
  <si>
    <t>Nikhil Verma</t>
  </si>
  <si>
    <t>Priya Sharma</t>
  </si>
  <si>
    <t>Ananya Mehta</t>
  </si>
  <si>
    <t>Sahil Bansal</t>
  </si>
  <si>
    <t>Karan Bansal</t>
  </si>
  <si>
    <t>Simran Mehta</t>
  </si>
  <si>
    <t>Nikhil Sharma</t>
  </si>
  <si>
    <t>Ananya Malhotra</t>
  </si>
  <si>
    <t>Manish Mehta</t>
  </si>
  <si>
    <t>Sahil Sharma</t>
  </si>
  <si>
    <t>Ananya Bansal</t>
  </si>
  <si>
    <t>Manish Malhotra</t>
  </si>
  <si>
    <t>Aarav Verma</t>
  </si>
  <si>
    <t>Aditya Gupta</t>
  </si>
  <si>
    <t>Simran Chopra</t>
  </si>
  <si>
    <t>Sneha Bansal</t>
  </si>
  <si>
    <t>Sahil Mehta</t>
  </si>
  <si>
    <t>Riya Kaur</t>
  </si>
  <si>
    <t>Sahil Malhotra</t>
  </si>
  <si>
    <t>Neha Kapoor</t>
  </si>
  <si>
    <t>Simran Bansal</t>
  </si>
  <si>
    <t>Ananya Verma</t>
  </si>
  <si>
    <t>Priya Verma</t>
  </si>
  <si>
    <t>Pooja Chopra</t>
  </si>
  <si>
    <t>Aditya Bansal</t>
  </si>
  <si>
    <t>Meera Mehta</t>
  </si>
  <si>
    <t>Sneha Singh</t>
  </si>
  <si>
    <t>Priya Malhotra</t>
  </si>
  <si>
    <t>Aditya Singh</t>
  </si>
  <si>
    <t>Priya Gupta</t>
  </si>
  <si>
    <t>CUST0310</t>
  </si>
  <si>
    <t>CUST0395</t>
  </si>
  <si>
    <t>CUST0330</t>
  </si>
  <si>
    <t>CUST0134</t>
  </si>
  <si>
    <t>CUST0256</t>
  </si>
  <si>
    <t>CUST0120</t>
  </si>
  <si>
    <t>CUST0377</t>
  </si>
  <si>
    <t>CUST0197</t>
  </si>
  <si>
    <t>CUST0136</t>
  </si>
  <si>
    <t>CUST0394</t>
  </si>
  <si>
    <t>CUST0312</t>
  </si>
  <si>
    <t>CUST0328</t>
  </si>
  <si>
    <t>CUST0155</t>
  </si>
  <si>
    <t>CUST0192</t>
  </si>
  <si>
    <t>CUST0114</t>
  </si>
  <si>
    <t>CUST0286</t>
  </si>
  <si>
    <t>CUST0320</t>
  </si>
  <si>
    <t>CUST0107</t>
  </si>
  <si>
    <t>CUST0307</t>
  </si>
  <si>
    <t>CUST0253</t>
  </si>
  <si>
    <t>CUST0127</t>
  </si>
  <si>
    <t>CUST0355</t>
  </si>
  <si>
    <t>CUST0250</t>
  </si>
  <si>
    <t>CUST0167</t>
  </si>
  <si>
    <t>CUST0251</t>
  </si>
  <si>
    <t>CUST0279</t>
  </si>
  <si>
    <t>CUST0332</t>
  </si>
  <si>
    <t>CUST0293</t>
  </si>
  <si>
    <t>CUST0213</t>
  </si>
  <si>
    <t>CUST0200</t>
  </si>
  <si>
    <t>CUST0178</t>
  </si>
  <si>
    <t>CUST0292</t>
  </si>
  <si>
    <t>CUST0170</t>
  </si>
  <si>
    <t>CUST0222</t>
  </si>
  <si>
    <t>CUST0194</t>
  </si>
  <si>
    <t>CUST0172</t>
  </si>
  <si>
    <t>CUST0171</t>
  </si>
  <si>
    <t>CUST0362</t>
  </si>
  <si>
    <t>CUST0368</t>
  </si>
  <si>
    <t>CUST0344</t>
  </si>
  <si>
    <t>CUST0232</t>
  </si>
  <si>
    <t>CUST0234</t>
  </si>
  <si>
    <t>CUST0397</t>
  </si>
  <si>
    <t>CUST0139</t>
  </si>
  <si>
    <t>CUST0325</t>
  </si>
  <si>
    <t>CUST0319</t>
  </si>
  <si>
    <t>CUST0198</t>
  </si>
  <si>
    <t>CUST0338</t>
  </si>
  <si>
    <t>CUST0311</t>
  </si>
  <si>
    <t>CUST0180</t>
  </si>
  <si>
    <t>CUST0313</t>
  </si>
  <si>
    <t>CUST0384</t>
  </si>
  <si>
    <t>CUST0296</t>
  </si>
  <si>
    <t>CUST0128</t>
  </si>
  <si>
    <t>CUST0289</t>
  </si>
  <si>
    <t>CUST0223</t>
  </si>
  <si>
    <t>CUST0195</t>
  </si>
  <si>
    <t>CUST0205</t>
  </si>
  <si>
    <t>CUST0182</t>
  </si>
  <si>
    <t>CUST0246</t>
  </si>
  <si>
    <t>CUST0235</t>
  </si>
  <si>
    <t>CUST0143</t>
  </si>
  <si>
    <t>CUST0337</t>
  </si>
  <si>
    <t>CUST0365</t>
  </si>
  <si>
    <t>CUST0376</t>
  </si>
  <si>
    <t>CUST0218</t>
  </si>
  <si>
    <t>CUST0129</t>
  </si>
  <si>
    <t>CUST0125</t>
  </si>
  <si>
    <t>CUST0166</t>
  </si>
  <si>
    <t>CUST0398</t>
  </si>
  <si>
    <t>CUST0244</t>
  </si>
  <si>
    <t>CUST0247</t>
  </si>
  <si>
    <t>CUST0231</t>
  </si>
  <si>
    <t>CUST0108</t>
  </si>
  <si>
    <t>CUST0196</t>
  </si>
  <si>
    <t>CUST0343</t>
  </si>
  <si>
    <t>CUST0280</t>
  </si>
  <si>
    <t>CUST0207</t>
  </si>
  <si>
    <t>CUST0281</t>
  </si>
  <si>
    <t>CUST0301</t>
  </si>
  <si>
    <t>CUST0268</t>
  </si>
  <si>
    <t>CUST0225</t>
  </si>
  <si>
    <t>CUST0154</t>
  </si>
  <si>
    <t>CUST0144</t>
  </si>
  <si>
    <t>CUST0209</t>
  </si>
  <si>
    <t>CUST0331</t>
  </si>
  <si>
    <t>CUST0326</t>
  </si>
  <si>
    <t>CUST0297</t>
  </si>
  <si>
    <t>CUST0221</t>
  </si>
  <si>
    <t>CUST0277</t>
  </si>
  <si>
    <t>CUST0216</t>
  </si>
  <si>
    <t>CUST0274</t>
  </si>
  <si>
    <t>CUST0269</t>
  </si>
  <si>
    <t>CUST0336</t>
  </si>
  <si>
    <t>CUST0261</t>
  </si>
  <si>
    <t>CUST0145</t>
  </si>
  <si>
    <t>CUST0124</t>
  </si>
  <si>
    <t>CUST0348</t>
  </si>
  <si>
    <t>CUST0359</t>
  </si>
  <si>
    <t>CUST0111</t>
  </si>
  <si>
    <t>CUST0299</t>
  </si>
  <si>
    <t>CUST0254</t>
  </si>
  <si>
    <t>CUST0140</t>
  </si>
  <si>
    <t>CUST0131</t>
  </si>
  <si>
    <t>CUST0109</t>
  </si>
  <si>
    <t>CUST0160</t>
  </si>
  <si>
    <t>CUST0159</t>
  </si>
  <si>
    <t>CUST0242</t>
  </si>
  <si>
    <t>CUST0288</t>
  </si>
  <si>
    <t>CUST0267</t>
  </si>
  <si>
    <t>CUST0121</t>
  </si>
  <si>
    <t>CUST0168</t>
  </si>
  <si>
    <t>CUST0271</t>
  </si>
  <si>
    <t>CUST0138</t>
  </si>
  <si>
    <t>CUST0240</t>
  </si>
  <si>
    <t>CUST0315</t>
  </si>
  <si>
    <t>CUST0226</t>
  </si>
  <si>
    <t>CUST0243</t>
  </si>
  <si>
    <t>CUST0103</t>
  </si>
  <si>
    <t>CUST0100</t>
  </si>
  <si>
    <t>CUST0358</t>
  </si>
  <si>
    <t>CUST0208</t>
  </si>
  <si>
    <t>CUST0149</t>
  </si>
  <si>
    <t>CUST0379</t>
  </si>
  <si>
    <t>CUST0146</t>
  </si>
  <si>
    <t>CUST0148</t>
  </si>
  <si>
    <t>CUST0341</t>
  </si>
  <si>
    <t>CUST0177</t>
  </si>
  <si>
    <t>CUST0356</t>
  </si>
  <si>
    <t>CUST0340</t>
  </si>
  <si>
    <t>CUST0217</t>
  </si>
  <si>
    <t>CUST0272</t>
  </si>
  <si>
    <t>CUST0282</t>
  </si>
  <si>
    <t>CUST0199</t>
  </si>
  <si>
    <t>CUST0364</t>
  </si>
  <si>
    <t>CUST0241</t>
  </si>
  <si>
    <t>CUST0190</t>
  </si>
  <si>
    <t>CUST0347</t>
  </si>
  <si>
    <t>CUST0164</t>
  </si>
  <si>
    <t>CUST0262</t>
  </si>
  <si>
    <t>CUST0333</t>
  </si>
  <si>
    <t>CUST0367</t>
  </si>
  <si>
    <t>CUST0188</t>
  </si>
  <si>
    <t>CUST0273</t>
  </si>
  <si>
    <t>CUST0201</t>
  </si>
  <si>
    <t>CUST0371</t>
  </si>
  <si>
    <t>CUST0284</t>
  </si>
  <si>
    <t>CUST0374</t>
  </si>
  <si>
    <t>CUST0179</t>
  </si>
  <si>
    <t>CUST0151</t>
  </si>
  <si>
    <t>CUST0156</t>
  </si>
  <si>
    <t>CUST0132</t>
  </si>
  <si>
    <t>CUST0321</t>
  </si>
  <si>
    <t>CUST0370</t>
  </si>
  <si>
    <t>CUST0249</t>
  </si>
  <si>
    <t>CUST0357</t>
  </si>
  <si>
    <t>CUST0193</t>
  </si>
  <si>
    <t>CUST0238</t>
  </si>
  <si>
    <t>CUST0265</t>
  </si>
  <si>
    <t>CUST0236</t>
  </si>
  <si>
    <t>CUST0263</t>
  </si>
  <si>
    <t>CUST0298</t>
  </si>
  <si>
    <t>CUST0210</t>
  </si>
  <si>
    <t>CUST0391</t>
  </si>
  <si>
    <t>CUST0351</t>
  </si>
  <si>
    <t>CUST0122</t>
  </si>
  <si>
    <t>CUST0142</t>
  </si>
  <si>
    <t>CUST0353</t>
  </si>
  <si>
    <t>CUST0112</t>
  </si>
  <si>
    <t>CUST0153</t>
  </si>
  <si>
    <t>CUST0387</t>
  </si>
  <si>
    <t>CUST0386</t>
  </si>
  <si>
    <t>CUST0372</t>
  </si>
  <si>
    <t>CUST0346</t>
  </si>
  <si>
    <t>CUST0152</t>
  </si>
  <si>
    <t>CUST0141</t>
  </si>
  <si>
    <t>CUST0245</t>
  </si>
  <si>
    <t>CUST0393</t>
  </si>
  <si>
    <t>CUST0115</t>
  </si>
  <si>
    <t>CUST0317</t>
  </si>
  <si>
    <t>CUST0239</t>
  </si>
  <si>
    <t>CUST0380</t>
  </si>
  <si>
    <t>CUST0203</t>
  </si>
  <si>
    <t>CUST0383</t>
  </si>
  <si>
    <t>CUST0175</t>
  </si>
  <si>
    <t>CUST0354</t>
  </si>
  <si>
    <t>CUST0228</t>
  </si>
  <si>
    <t>CUST0309</t>
  </si>
  <si>
    <t>CUST0308</t>
  </si>
  <si>
    <t>CUST0334</t>
  </si>
  <si>
    <t>CUST0130</t>
  </si>
  <si>
    <t>CUST0158</t>
  </si>
  <si>
    <t>CUST0399</t>
  </si>
  <si>
    <t>CUST0135</t>
  </si>
  <si>
    <t>CUST0173</t>
  </si>
  <si>
    <t>CUST0322</t>
  </si>
  <si>
    <t>CUST0161</t>
  </si>
  <si>
    <t>CUST0339</t>
  </si>
  <si>
    <t>CUST0266</t>
  </si>
  <si>
    <t>CUST0389</t>
  </si>
  <si>
    <t>CUST0295</t>
  </si>
  <si>
    <t>CUST0290</t>
  </si>
  <si>
    <t>CUST0300</t>
  </si>
  <si>
    <t>CUST0392</t>
  </si>
  <si>
    <t>CUST0214</t>
  </si>
  <si>
    <t>CUST0165</t>
  </si>
  <si>
    <t>CUST0237</t>
  </si>
  <si>
    <t>CUST0186</t>
  </si>
  <si>
    <t>CUST0229</t>
  </si>
  <si>
    <t>CUST0275</t>
  </si>
  <si>
    <t>CUST0350</t>
  </si>
  <si>
    <t>CUST0369</t>
  </si>
  <si>
    <t>CUST0185</t>
  </si>
  <si>
    <t>CUST0349</t>
  </si>
  <si>
    <t>CUST0215</t>
  </si>
  <si>
    <t>CUST0324</t>
  </si>
  <si>
    <t>CUST0157</t>
  </si>
  <si>
    <t>CUST0106</t>
  </si>
  <si>
    <t>CUST0113</t>
  </si>
  <si>
    <t>CUST0303</t>
  </si>
  <si>
    <t>CUST0291</t>
  </si>
  <si>
    <t>CUST0105</t>
  </si>
  <si>
    <t>CUST0258</t>
  </si>
  <si>
    <t>CUST0230</t>
  </si>
  <si>
    <t>CUST0396</t>
  </si>
  <si>
    <t>CUST0259</t>
  </si>
  <si>
    <t>CUST0335</t>
  </si>
  <si>
    <t>CUST0176</t>
  </si>
  <si>
    <t>CUST0117</t>
  </si>
  <si>
    <t>CUST0388</t>
  </si>
  <si>
    <t>CUST0257</t>
  </si>
  <si>
    <t>CUST0276</t>
  </si>
  <si>
    <t>CUST0116</t>
  </si>
  <si>
    <t>CUST0101</t>
  </si>
  <si>
    <t>CUST0102</t>
  </si>
  <si>
    <t>CUST0202</t>
  </si>
  <si>
    <t>CUST0375</t>
  </si>
  <si>
    <t>CUST0189</t>
  </si>
  <si>
    <t>CUST0233</t>
  </si>
  <si>
    <t>CUST0163</t>
  </si>
  <si>
    <t>CUST0366</t>
  </si>
  <si>
    <t>CUST0305</t>
  </si>
  <si>
    <t>CUST0381</t>
  </si>
  <si>
    <t>CUST0264</t>
  </si>
  <si>
    <t>CUST0352</t>
  </si>
  <si>
    <t>CUST0373</t>
  </si>
  <si>
    <t>CUST0169</t>
  </si>
  <si>
    <t>CUST0306</t>
  </si>
  <si>
    <t>CUST0104</t>
  </si>
  <si>
    <t>CUST0345</t>
  </si>
  <si>
    <t>CUST0329</t>
  </si>
  <si>
    <t>CUST0302</t>
  </si>
  <si>
    <t>CUST0119</t>
  </si>
  <si>
    <t>CUST0206</t>
  </si>
  <si>
    <t>CUST0255</t>
  </si>
  <si>
    <t>CUST0147</t>
  </si>
  <si>
    <t>CUST0133</t>
  </si>
  <si>
    <t>CUST0361</t>
  </si>
  <si>
    <t>CUST0318</t>
  </si>
  <si>
    <t>CUST0150</t>
  </si>
  <si>
    <t>CUST0137</t>
  </si>
  <si>
    <t>CUST0294</t>
  </si>
  <si>
    <t>CUST0174</t>
  </si>
  <si>
    <t>CUST0260</t>
  </si>
  <si>
    <t>CUST0248</t>
  </si>
  <si>
    <t>CUST0219</t>
  </si>
  <si>
    <t>CUST0378</t>
  </si>
  <si>
    <t>CUST0285</t>
  </si>
  <si>
    <t>CUST0363</t>
  </si>
  <si>
    <t>CUST0382</t>
  </si>
  <si>
    <t>CUST0224</t>
  </si>
  <si>
    <t>CUST0316</t>
  </si>
  <si>
    <t>CUST0191</t>
  </si>
  <si>
    <t>CUST0323</t>
  </si>
  <si>
    <t>CUST0187</t>
  </si>
  <si>
    <t>CUST0342</t>
  </si>
  <si>
    <t>CUST0385</t>
  </si>
  <si>
    <t>CUST0211</t>
  </si>
  <si>
    <t>CUST0118</t>
  </si>
  <si>
    <t>CUST0360</t>
  </si>
  <si>
    <t>CUST0278</t>
  </si>
  <si>
    <t>CUST0314</t>
  </si>
  <si>
    <t>CUST0270</t>
  </si>
  <si>
    <t>CUST0184</t>
  </si>
  <si>
    <t>CUST0327</t>
  </si>
  <si>
    <t>CUST0110</t>
  </si>
  <si>
    <t>CUST0181</t>
  </si>
  <si>
    <t>CUST0283</t>
  </si>
  <si>
    <t>CUST0123</t>
  </si>
  <si>
    <t>CUST0183</t>
  </si>
  <si>
    <t>CUST0220</t>
  </si>
  <si>
    <t>CUST0162</t>
  </si>
  <si>
    <t>CUST0204</t>
  </si>
  <si>
    <t>CUST0212</t>
  </si>
  <si>
    <t>CUST0287</t>
  </si>
  <si>
    <t>CUST0304</t>
  </si>
  <si>
    <t>New Customer</t>
  </si>
  <si>
    <t>Member</t>
  </si>
  <si>
    <t>Regular</t>
  </si>
  <si>
    <t>Cappuccino</t>
  </si>
  <si>
    <t>Brownie</t>
  </si>
  <si>
    <t>Cookies</t>
  </si>
  <si>
    <t>Latte</t>
  </si>
  <si>
    <t>Iced Latte</t>
  </si>
  <si>
    <t>Green Tea</t>
  </si>
  <si>
    <t>Americano</t>
  </si>
  <si>
    <t>Mocha</t>
  </si>
  <si>
    <t>Cold Brew</t>
  </si>
  <si>
    <t>Masala Chai</t>
  </si>
  <si>
    <t>Croissant</t>
  </si>
  <si>
    <t>Espresso</t>
  </si>
  <si>
    <t>Muffin</t>
  </si>
  <si>
    <t>Iced Tea</t>
  </si>
  <si>
    <t>Sandwich</t>
  </si>
  <si>
    <t>Cheesecake</t>
  </si>
  <si>
    <t>Coffee</t>
  </si>
  <si>
    <t>Bakery</t>
  </si>
  <si>
    <t>Tea</t>
  </si>
  <si>
    <t>Food</t>
  </si>
  <si>
    <t>Dessert</t>
  </si>
  <si>
    <t>Hot</t>
  </si>
  <si>
    <t>Cold</t>
  </si>
  <si>
    <t>Medium</t>
  </si>
  <si>
    <t>Large</t>
  </si>
  <si>
    <t>Small</t>
  </si>
  <si>
    <t>Card</t>
  </si>
  <si>
    <t>Cash</t>
  </si>
  <si>
    <t>UPI</t>
  </si>
  <si>
    <t>Walk-in</t>
  </si>
  <si>
    <t>Delivery App</t>
  </si>
  <si>
    <t>Online</t>
  </si>
  <si>
    <t>Bengaluru</t>
  </si>
  <si>
    <t>Mohali</t>
  </si>
  <si>
    <t>Ludhiana</t>
  </si>
  <si>
    <t>Chandigarh</t>
  </si>
  <si>
    <t>Delhi</t>
  </si>
  <si>
    <t>Gurugram</t>
  </si>
  <si>
    <t>Pune</t>
  </si>
  <si>
    <t>Neha</t>
  </si>
  <si>
    <t>Rahul</t>
  </si>
  <si>
    <t>Karan</t>
  </si>
  <si>
    <t>Priya</t>
  </si>
  <si>
    <t>Ananya</t>
  </si>
  <si>
    <t>Simran</t>
  </si>
  <si>
    <t>Rohan</t>
  </si>
  <si>
    <t>Aarav</t>
  </si>
  <si>
    <t>Completed</t>
  </si>
  <si>
    <t>Cancelled</t>
  </si>
  <si>
    <t>Pending</t>
  </si>
  <si>
    <t>Student Offer</t>
  </si>
  <si>
    <t>Weekend Offer</t>
  </si>
  <si>
    <t>Instagram</t>
  </si>
  <si>
    <t>Festive Offer</t>
  </si>
  <si>
    <t>None</t>
  </si>
  <si>
    <t>Excellent</t>
  </si>
  <si>
    <t>Poor</t>
  </si>
  <si>
    <t>Average</t>
  </si>
  <si>
    <t>Good</t>
  </si>
  <si>
    <t>Sep</t>
  </si>
  <si>
    <t>Aug</t>
  </si>
  <si>
    <t>Jan</t>
  </si>
  <si>
    <t>Feb</t>
  </si>
  <si>
    <t>Jun</t>
  </si>
  <si>
    <t>Mar</t>
  </si>
  <si>
    <t>May</t>
  </si>
  <si>
    <t>Jul</t>
  </si>
  <si>
    <t>Apr</t>
  </si>
  <si>
    <t>Dec</t>
  </si>
  <si>
    <t>Oct</t>
  </si>
  <si>
    <t>Nov</t>
  </si>
  <si>
    <t>Wednesday</t>
  </si>
  <si>
    <t>Tuesday</t>
  </si>
  <si>
    <t>Monday</t>
  </si>
  <si>
    <t>Friday</t>
  </si>
  <si>
    <t>Thursday</t>
  </si>
  <si>
    <t>Saturday</t>
  </si>
  <si>
    <t>Sunday</t>
  </si>
  <si>
    <t>Transaction ID</t>
  </si>
  <si>
    <t>Customer Name</t>
  </si>
  <si>
    <t>Customer ID</t>
  </si>
  <si>
    <t>Customer Type</t>
  </si>
  <si>
    <t>Unit Price</t>
  </si>
  <si>
    <t>Gross Sales</t>
  </si>
  <si>
    <t>Net Sales</t>
  </si>
  <si>
    <t>Payment Method</t>
  </si>
  <si>
    <t>Sales Channel</t>
  </si>
  <si>
    <t>Store Location</t>
  </si>
  <si>
    <t>Staff Name</t>
  </si>
  <si>
    <t>Order Status</t>
  </si>
  <si>
    <t>Customer Rating</t>
  </si>
  <si>
    <t>Loyalty Points</t>
  </si>
  <si>
    <t>Delivery Minutes</t>
  </si>
  <si>
    <t>Cost Per Item</t>
  </si>
  <si>
    <t>Calculated Gross Sales</t>
  </si>
  <si>
    <t>Discount Amount</t>
  </si>
  <si>
    <t>Calculated Net Sales</t>
  </si>
  <si>
    <t>Total Cost</t>
  </si>
  <si>
    <t>Calculated Profit</t>
  </si>
  <si>
    <t>Month Number</t>
  </si>
  <si>
    <t>DATA CLEANING REPORT</t>
  </si>
  <si>
    <t>Source</t>
  </si>
  <si>
    <t>Sheet1</t>
  </si>
  <si>
    <t>Rows reviewed</t>
  </si>
  <si>
    <t>Rows in cleaned table</t>
  </si>
  <si>
    <t>Exact duplicate rows removed</t>
  </si>
  <si>
    <t>Conflicting duplicate IDs retained</t>
  </si>
  <si>
    <t>Missing dates retained as blank</t>
  </si>
  <si>
    <t>Quantities safely inferred</t>
  </si>
  <si>
    <t>Blank categorical cells set to Unknown</t>
  </si>
  <si>
    <t>Financial formula columns rebuilt</t>
  </si>
  <si>
    <t>Date-derived columns rebuilt</t>
  </si>
  <si>
    <t>CLEANING RULE</t>
  </si>
  <si>
    <t>ACTION</t>
  </si>
  <si>
    <t>Original data</t>
  </si>
  <si>
    <t>Preserved unchanged on Sheet1</t>
  </si>
  <si>
    <t>Text</t>
  </si>
  <si>
    <t>Trimmed and repeated spaces removed</t>
  </si>
  <si>
    <t>Missing categories</t>
  </si>
  <si>
    <t>Standardized to Unknown</t>
  </si>
  <si>
    <t>Missing discount</t>
  </si>
  <si>
    <t>Standardized to 0%</t>
  </si>
  <si>
    <t>Inferred only when gross sales / unit price is an exact positive integer</t>
  </si>
  <si>
    <t>Financial fields</t>
  </si>
  <si>
    <t>Recalculated with live formulas</t>
  </si>
  <si>
    <t>Date fields</t>
  </si>
  <si>
    <t>Year, month, and day recalculated from Date</t>
  </si>
  <si>
    <t>Unrecoverable values</t>
  </si>
  <si>
    <t>Left blank rather than guessed</t>
  </si>
  <si>
    <t>IMPUTATION SUMMARY</t>
  </si>
  <si>
    <t>Field</t>
  </si>
  <si>
    <t>Replacement rule</t>
  </si>
  <si>
    <t>Dependent fields</t>
  </si>
  <si>
    <t>54 blanks → dataset median date (25-Jun-2024)</t>
  </si>
  <si>
    <t>224 blanks → dataset median (3)</t>
  </si>
  <si>
    <t>131 blanks → dataset median (244)</t>
  </si>
  <si>
    <t>409 blanks → channel median: Walk-in 34, Online 35, Delivery App 37, Unknown 36</t>
  </si>
  <si>
    <t>Visual marker</t>
  </si>
  <si>
    <t>55 originally missing: 50 exactly inferred from gross sales ÷ unit price; final 5 → product mode (1 item)</t>
  </si>
  <si>
    <t>231 dependent gaps recalculated automatically in gross/net sales, cost, profit, year, month, and day</t>
  </si>
  <si>
    <t>Pale yellow cells in Cleaned Data identify values reconstructed from originally blank source fields</t>
  </si>
  <si>
    <t>Total Net Sales</t>
  </si>
  <si>
    <t>Total Profit</t>
  </si>
  <si>
    <t>Orders</t>
  </si>
  <si>
    <t>Units</t>
  </si>
  <si>
    <t>Average of Customer Rating</t>
  </si>
  <si>
    <t>Average of Delivery Minutes</t>
  </si>
  <si>
    <t>BUSINESS PERFORMANCE — PIVOT ANALYSIS</t>
  </si>
  <si>
    <t>MONTHLY PERFORMANCE</t>
  </si>
  <si>
    <t>CATEGORY PERFORMANCE</t>
  </si>
  <si>
    <t>PRODUCT PERFORMANCE</t>
  </si>
  <si>
    <t>LOCATION PERFORMANCE</t>
  </si>
  <si>
    <t>CHANNEL PERFORMANCE</t>
  </si>
  <si>
    <t>PAYMENT MIX</t>
  </si>
  <si>
    <t>CAMPAIGN PERFORMANCE</t>
  </si>
  <si>
    <t>STAFF PERFORMANCE</t>
  </si>
  <si>
    <t>CUSTOMER SEGMENTS</t>
  </si>
  <si>
    <t>ORDER STATUS</t>
  </si>
  <si>
    <t>RATING DISTRIBUTION</t>
  </si>
  <si>
    <t>FEEDBACK ANALYSIS</t>
  </si>
  <si>
    <t>NET SALES KpIs</t>
  </si>
  <si>
    <t>NET Gross KpIs</t>
  </si>
  <si>
    <t>Loyalty Point KpIs</t>
  </si>
  <si>
    <t>NET Profit KpIs</t>
  </si>
  <si>
    <t>Total Cost KpIs</t>
  </si>
  <si>
    <t>Sum of Net Sales</t>
  </si>
  <si>
    <t>Row Labels</t>
  </si>
  <si>
    <t>Grand Total</t>
  </si>
  <si>
    <t>DashBoard</t>
  </si>
  <si>
    <t>Performance Overview 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</si>
</sst>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hh:mm:ss"/>
    <numFmt numFmtId="165" formatCode="dd/mmm/yyyy"/>
    <numFmt numFmtId="166" formatCode="\₹#,##0.00"/>
    <numFmt numFmtId="167" formatCode="&quot;₹&quot;#,##0"/>
    <numFmt numFmtId="168" formatCode="0.0"/>
  </numFmts>
  <fonts count="14" x14ac:knownFonts="1">
    <font>
      <sz val="11"/>
      <color theme="1"/>
      <name val="Trebuchet MS"/>
      <family val="2"/>
      <scheme val="minor"/>
    </font>
    <font>
      <b/>
      <sz val="11"/>
      <color theme="1"/>
      <name val="Trebuchet MS"/>
      <family val="2"/>
      <scheme val="minor"/>
    </font>
    <font>
      <sz val="11"/>
      <color theme="0"/>
      <name val="Trebuchet MS"/>
      <family val="2"/>
      <scheme val="minor"/>
    </font>
    <font>
      <sz val="11"/>
      <color theme="1"/>
      <name val="Aptos"/>
    </font>
    <font>
      <sz val="10"/>
      <color theme="1"/>
      <name val="Aptos"/>
    </font>
    <font>
      <b/>
      <sz val="10"/>
      <color rgb="FFFFFFFF"/>
      <name val="Aptos"/>
    </font>
    <font>
      <b/>
      <sz val="11"/>
      <color rgb="FFFFFFFF"/>
      <name val="Trebuchet MS"/>
      <family val="2"/>
      <scheme val="minor"/>
    </font>
    <font>
      <b/>
      <sz val="16"/>
      <color rgb="FFFFFFFF"/>
      <name val="Aptos"/>
    </font>
    <font>
      <b/>
      <sz val="11"/>
      <color theme="1"/>
      <name val="Aptos"/>
    </font>
    <font>
      <sz val="10"/>
      <color rgb="FF7F6000"/>
      <name val="Aptos"/>
    </font>
    <font>
      <b/>
      <sz val="10"/>
      <color rgb="FF17365D"/>
      <name val="Aptos"/>
    </font>
    <font>
      <sz val="18"/>
      <color theme="1"/>
      <name val="Algerian"/>
      <family val="5"/>
    </font>
    <font>
      <b/>
      <i/>
      <sz val="22"/>
      <color theme="1"/>
      <name val="Algerian"/>
      <family val="5"/>
    </font>
    <font>
      <sz val="10"/>
      <color theme="1"/>
      <name val="Aptos"/>
      <family val="2"/>
    </font>
  </fonts>
  <fills count="9">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FFF2CC"/>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9E2F3"/>
      </bottom>
      <diagonal/>
    </border>
  </borders>
  <cellStyleXfs count="1">
    <xf numFmtId="0" fontId="0" fillId="0" borderId="0"/>
  </cellStyleXfs>
  <cellXfs count="47">
    <xf numFmtId="0" fontId="0" fillId="0" borderId="0" xfId="0"/>
    <xf numFmtId="0" fontId="1" fillId="0" borderId="1" xfId="0" applyFont="1" applyBorder="1" applyAlignment="1">
      <alignment horizontal="center" vertical="top"/>
    </xf>
    <xf numFmtId="164" fontId="0" fillId="0" borderId="0" xfId="0" applyNumberFormat="1"/>
    <xf numFmtId="0" fontId="4" fillId="0" borderId="0" xfId="0" applyFont="1"/>
    <xf numFmtId="0" fontId="5" fillId="2" borderId="0" xfId="0" applyFont="1" applyFill="1" applyAlignment="1">
      <alignment vertical="center" wrapText="1"/>
    </xf>
    <xf numFmtId="0" fontId="4" fillId="0" borderId="0" xfId="0" applyFont="1" applyAlignment="1">
      <alignment vertical="center"/>
    </xf>
    <xf numFmtId="165" fontId="4" fillId="0" borderId="0" xfId="0" applyNumberFormat="1" applyFont="1" applyAlignment="1">
      <alignment vertical="center"/>
    </xf>
    <xf numFmtId="20" fontId="4" fillId="0" borderId="0" xfId="0" applyNumberFormat="1" applyFont="1" applyAlignment="1">
      <alignment vertical="center"/>
    </xf>
    <xf numFmtId="1" fontId="4" fillId="0" borderId="0" xfId="0" applyNumberFormat="1" applyFont="1" applyAlignment="1">
      <alignment vertical="center"/>
    </xf>
    <xf numFmtId="166" fontId="4" fillId="0" borderId="0" xfId="0" applyNumberFormat="1" applyFont="1" applyAlignment="1">
      <alignment vertical="center"/>
    </xf>
    <xf numFmtId="9" fontId="4" fillId="0" borderId="0" xfId="0" applyNumberFormat="1" applyFont="1" applyAlignment="1">
      <alignment vertical="center"/>
    </xf>
    <xf numFmtId="0" fontId="0" fillId="0" borderId="0" xfId="0" applyAlignment="1">
      <alignment vertical="center"/>
    </xf>
    <xf numFmtId="0" fontId="1" fillId="3" borderId="0" xfId="0" applyFont="1" applyFill="1"/>
    <xf numFmtId="0" fontId="3" fillId="0" borderId="0" xfId="0" applyFont="1" applyAlignment="1">
      <alignment vertical="center"/>
    </xf>
    <xf numFmtId="0" fontId="8" fillId="3" borderId="0" xfId="0" applyFont="1" applyFill="1" applyAlignment="1">
      <alignment vertical="center"/>
    </xf>
    <xf numFmtId="0" fontId="3" fillId="0" borderId="0" xfId="0" applyFont="1" applyAlignment="1">
      <alignment vertical="center" wrapText="1"/>
    </xf>
    <xf numFmtId="0" fontId="3" fillId="0" borderId="2" xfId="0" applyFont="1" applyBorder="1" applyAlignment="1">
      <alignment vertical="center"/>
    </xf>
    <xf numFmtId="0" fontId="0" fillId="0" borderId="0" xfId="0" applyAlignment="1">
      <alignment wrapText="1"/>
    </xf>
    <xf numFmtId="165" fontId="9" fillId="4" borderId="0" xfId="0" applyNumberFormat="1" applyFont="1" applyFill="1" applyAlignment="1">
      <alignment vertical="center"/>
    </xf>
    <xf numFmtId="1" fontId="9" fillId="4" borderId="0" xfId="0" applyNumberFormat="1" applyFont="1" applyFill="1" applyAlignment="1">
      <alignment vertical="center"/>
    </xf>
    <xf numFmtId="0" fontId="2"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7" fillId="2" borderId="0" xfId="0" applyFont="1" applyFill="1" applyAlignment="1">
      <alignment vertical="center"/>
    </xf>
    <xf numFmtId="0" fontId="6" fillId="2" borderId="0" xfId="0" applyFont="1" applyFill="1"/>
    <xf numFmtId="0" fontId="10" fillId="3" borderId="0" xfId="0" applyFont="1" applyFill="1"/>
    <xf numFmtId="0" fontId="5" fillId="2" borderId="0" xfId="0" applyFont="1" applyFill="1"/>
    <xf numFmtId="0" fontId="0" fillId="0" borderId="0" xfId="0" applyAlignment="1">
      <alignment horizontal="center"/>
    </xf>
    <xf numFmtId="0" fontId="2" fillId="0" borderId="0" xfId="0" applyFont="1" applyAlignment="1">
      <alignment horizontal="center"/>
    </xf>
    <xf numFmtId="0" fontId="11" fillId="5" borderId="0" xfId="0" applyFont="1" applyFill="1" applyAlignment="1">
      <alignment horizontal="center" vertical="center" wrapText="1"/>
    </xf>
    <xf numFmtId="0" fontId="11" fillId="5" borderId="0" xfId="0" applyFont="1" applyFill="1" applyAlignment="1">
      <alignment horizontal="center"/>
    </xf>
    <xf numFmtId="0" fontId="2" fillId="0" borderId="0" xfId="0" applyFont="1" applyAlignment="1"/>
    <xf numFmtId="0" fontId="0" fillId="6" borderId="0" xfId="0" applyFill="1" applyAlignment="1">
      <alignment horizontal="center"/>
    </xf>
    <xf numFmtId="0" fontId="12" fillId="6" borderId="0" xfId="0" applyFont="1" applyFill="1" applyAlignment="1"/>
    <xf numFmtId="0" fontId="0" fillId="6" borderId="0" xfId="0" applyFill="1"/>
    <xf numFmtId="0" fontId="12" fillId="6" borderId="0" xfId="0" applyFont="1" applyFill="1" applyAlignment="1">
      <alignment horizontal="center"/>
    </xf>
    <xf numFmtId="0" fontId="12" fillId="6" borderId="0" xfId="0" applyFont="1" applyFill="1" applyAlignment="1">
      <alignment horizontal="center"/>
    </xf>
    <xf numFmtId="0" fontId="12" fillId="7" borderId="0" xfId="0" applyFont="1" applyFill="1" applyAlignment="1">
      <alignment horizontal="center"/>
    </xf>
    <xf numFmtId="0" fontId="12" fillId="8" borderId="0" xfId="0" applyFont="1" applyFill="1" applyAlignment="1">
      <alignment horizontal="center"/>
    </xf>
    <xf numFmtId="0" fontId="13" fillId="0" borderId="0" xfId="0" pivotButton="1" applyFont="1"/>
    <xf numFmtId="0" fontId="13" fillId="0" borderId="0" xfId="0" applyFont="1"/>
    <xf numFmtId="167" fontId="13" fillId="0" borderId="0" xfId="0" applyNumberFormat="1" applyFont="1"/>
    <xf numFmtId="3" fontId="13" fillId="0" borderId="0" xfId="0" applyNumberFormat="1" applyFont="1"/>
    <xf numFmtId="168" fontId="13" fillId="0" borderId="0" xfId="0" applyNumberFormat="1" applyFont="1"/>
    <xf numFmtId="1" fontId="13" fillId="0" borderId="0" xfId="0" applyNumberFormat="1" applyFont="1"/>
  </cellXfs>
  <cellStyles count="1">
    <cellStyle name="Normal" xfId="0" builtinId="0"/>
  </cellStyles>
  <dxfs count="1721">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color rgb="FF9C0006"/>
      </font>
      <fill>
        <patternFill patternType="solid">
          <fgColor indexed="64"/>
          <bgColor rgb="FFFCE4D6"/>
        </patternFill>
      </fill>
    </dxf>
    <dxf>
      <font>
        <color rgb="FF7F6000"/>
      </font>
      <fill>
        <patternFill patternType="solid">
          <fgColor indexed="64"/>
          <bgColor rgb="FFFFF2CC"/>
        </patternFill>
      </fill>
    </dxf>
    <dxf>
      <font>
        <color rgb="FF375623"/>
      </font>
      <fill>
        <patternFill patternType="solid">
          <fgColor indexed="64"/>
          <bgColor rgb="FFE2F0D9"/>
        </patternFill>
      </fill>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sz val="10"/>
        <name val="Aptos"/>
      </font>
      <alignment vertical="center"/>
    </dxf>
    <dxf>
      <font>
        <sz val="10"/>
        <name val="Aptos"/>
      </font>
      <alignment vertical="center"/>
    </dxf>
    <dxf>
      <font>
        <sz val="10"/>
        <name val="Aptos"/>
      </font>
      <numFmt numFmtId="1" formatCode="0"/>
      <alignment vertical="center"/>
    </dxf>
    <dxf>
      <font>
        <sz val="10"/>
        <name val="Aptos"/>
      </font>
      <numFmt numFmtId="1" formatCode="0"/>
      <alignment vertical="center"/>
    </dxf>
    <dxf>
      <font>
        <sz val="10"/>
        <name val="Aptos"/>
      </font>
      <numFmt numFmtId="166" formatCode="\₹#,##0.00"/>
      <alignment vertical="center"/>
    </dxf>
    <dxf>
      <font>
        <sz val="10"/>
        <name val="Aptos"/>
      </font>
      <numFmt numFmtId="166" formatCode="\₹#,##0.00"/>
      <alignment vertical="center"/>
    </dxf>
    <dxf>
      <font>
        <sz val="10"/>
        <name val="Aptos"/>
      </font>
      <numFmt numFmtId="166" formatCode="\₹#,##0.00"/>
      <alignment vertical="center"/>
    </dxf>
    <dxf>
      <font>
        <sz val="10"/>
        <name val="Aptos"/>
      </font>
      <numFmt numFmtId="166" formatCode="\₹#,##0.00"/>
      <alignment vertical="center"/>
    </dxf>
    <dxf>
      <font>
        <sz val="10"/>
        <name val="Aptos"/>
      </font>
      <numFmt numFmtId="166" formatCode="\₹#,##0.00"/>
      <alignment vertical="center"/>
    </dxf>
    <dxf>
      <font>
        <sz val="10"/>
        <name val="Aptos"/>
      </font>
      <alignment vertical="center"/>
    </dxf>
    <dxf>
      <font>
        <sz val="10"/>
        <name val="Aptos"/>
      </font>
      <alignment vertical="center"/>
    </dxf>
    <dxf>
      <font>
        <sz val="10"/>
        <name val="Aptos"/>
      </font>
      <numFmt numFmtId="166" formatCode="\₹#,##0.00"/>
      <alignment vertical="center"/>
    </dxf>
    <dxf>
      <font>
        <sz val="10"/>
        <name val="Aptos"/>
      </font>
      <numFmt numFmtId="166" formatCode="\₹#,##0.00"/>
      <alignment vertical="center"/>
    </dxf>
    <dxf>
      <font>
        <sz val="10"/>
        <name val="Aptos"/>
      </font>
      <numFmt numFmtId="1" formatCode="0"/>
      <alignment vertical="center"/>
    </dxf>
    <dxf>
      <font>
        <sz val="10"/>
        <name val="Aptos"/>
      </font>
      <numFmt numFmtId="1" formatCode="0"/>
      <alignment vertical="center"/>
    </dxf>
    <dxf>
      <font>
        <sz val="10"/>
        <name val="Aptos"/>
      </font>
      <numFmt numFmtId="1" formatCode="0"/>
      <alignment vertical="center"/>
    </dxf>
    <dxf>
      <font>
        <sz val="10"/>
        <name val="Aptos"/>
      </font>
      <alignment vertical="center"/>
    </dxf>
    <dxf>
      <font>
        <sz val="10"/>
        <name val="Aptos"/>
      </font>
      <alignment vertical="center"/>
    </dxf>
    <dxf>
      <font>
        <sz val="10"/>
        <name val="Aptos"/>
      </font>
      <alignment vertical="center"/>
    </dxf>
    <dxf>
      <font>
        <sz val="10"/>
        <name val="Aptos"/>
      </font>
      <alignment vertical="center"/>
    </dxf>
    <dxf>
      <font>
        <sz val="10"/>
        <name val="Aptos"/>
      </font>
      <alignment vertical="center"/>
    </dxf>
    <dxf>
      <font>
        <sz val="10"/>
        <name val="Aptos"/>
        <scheme val="none"/>
      </font>
      <numFmt numFmtId="166" formatCode="\₹#,##0.00"/>
      <alignment horizontal="general" vertical="center" textRotation="0" wrapText="0" indent="0" justifyLastLine="0" shrinkToFit="0" readingOrder="0"/>
    </dxf>
    <dxf>
      <font>
        <sz val="10"/>
        <name val="Aptos"/>
      </font>
      <numFmt numFmtId="166" formatCode="\₹#,##0.00"/>
      <alignment vertical="center"/>
    </dxf>
    <dxf>
      <font>
        <sz val="10"/>
        <name val="Aptos"/>
      </font>
      <numFmt numFmtId="13" formatCode="0%"/>
      <alignment vertical="center"/>
    </dxf>
    <dxf>
      <font>
        <sz val="10"/>
        <name val="Aptos"/>
      </font>
      <numFmt numFmtId="166" formatCode="\₹#,##0.00"/>
      <alignment vertical="center"/>
    </dxf>
    <dxf>
      <font>
        <sz val="10"/>
        <name val="Aptos"/>
      </font>
      <numFmt numFmtId="1" formatCode="0"/>
      <alignment vertical="center"/>
    </dxf>
    <dxf>
      <font>
        <sz val="10"/>
        <name val="Aptos"/>
      </font>
      <alignment vertical="center"/>
    </dxf>
    <dxf>
      <font>
        <sz val="10"/>
        <name val="Aptos"/>
      </font>
      <alignment vertical="center"/>
    </dxf>
    <dxf>
      <font>
        <sz val="10"/>
        <name val="Aptos"/>
      </font>
      <alignment vertical="center"/>
    </dxf>
    <dxf>
      <font>
        <sz val="10"/>
        <name val="Aptos"/>
      </font>
      <alignment vertical="center"/>
    </dxf>
    <dxf>
      <font>
        <sz val="10"/>
        <name val="Aptos"/>
      </font>
      <alignment vertical="center"/>
    </dxf>
    <dxf>
      <font>
        <sz val="10"/>
        <name val="Aptos"/>
      </font>
      <alignment vertical="center"/>
    </dxf>
    <dxf>
      <font>
        <sz val="10"/>
        <name val="Aptos"/>
      </font>
      <alignment vertical="center"/>
    </dxf>
    <dxf>
      <font>
        <sz val="10"/>
        <name val="Aptos"/>
      </font>
      <numFmt numFmtId="25" formatCode="hh:mm"/>
      <alignment vertical="center"/>
    </dxf>
    <dxf>
      <font>
        <sz val="10"/>
        <name val="Aptos"/>
      </font>
      <numFmt numFmtId="165" formatCode="dd/mmm/yyyy"/>
      <alignment vertical="center"/>
    </dxf>
    <dxf>
      <font>
        <sz val="10"/>
        <name val="Aptos"/>
      </font>
      <alignment vertical="center"/>
    </dxf>
    <dxf>
      <font>
        <sz val="10"/>
        <name val="Aptos"/>
      </font>
      <alignment vertical="center"/>
    </dxf>
    <dxf>
      <font>
        <b/>
        <sz val="10"/>
        <color rgb="FFFFFFFF"/>
        <name val="Aptos"/>
      </font>
      <fill>
        <patternFill patternType="solid">
          <fgColor indexed="64"/>
          <bgColor rgb="FF17365D"/>
        </patternFill>
      </fill>
      <alignment vertical="center" wrapTex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[Coffee_Shop_Sales_Cleaned.xlsx]Pivot Analysis!ptMonthly</c:name>
    <c:fmtId val="1"/>
  </c:pivotSource>
  <c:chart>
    <c:title>
      <c:tx>
        <c:rich>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r>
              <a:rPr lang="en-US" b="1" i="1">
                <a:solidFill>
                  <a:sysClr val="windowText" lastClr="000000"/>
                </a:solidFill>
              </a:rPr>
              <a:t>Month Performance</a:t>
            </a:r>
          </a:p>
        </c:rich>
      </c:tx>
      <c:overlay val="0"/>
      <c:spPr>
        <a:noFill/>
        <a:ln>
          <a:noFill/>
        </a:ln>
        <a:effectLst/>
      </c:spPr>
      <c:txPr>
        <a:bodyPr rot="0" spcFirstLastPara="1" vertOverflow="ellipsis" vert="horz" wrap="square" anchor="ctr" anchorCtr="1"/>
        <a:lstStyle/>
        <a:p>
          <a:pPr>
            <a:defRPr sz="1400" b="1" i="1"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Analysis'!$B$5</c:f>
              <c:strCache>
                <c:ptCount val="1"/>
                <c:pt idx="0">
                  <c:v>Total Net Sales</c:v>
                </c:pt>
              </c:strCache>
            </c:strRef>
          </c:tx>
          <c:spPr>
            <a:solidFill>
              <a:schemeClr val="accent1"/>
            </a:solidFill>
            <a:ln>
              <a:noFill/>
            </a:ln>
            <a:effectLst/>
          </c:spPr>
          <c:invertIfNegative val="0"/>
          <c:cat>
            <c:strRef>
              <c:f>'Pivot Analysis'!$A$6:$A$17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Analysis'!$B$6:$B$17</c:f>
              <c:numCache>
                <c:formatCode>"₹"#,##0</c:formatCode>
                <c:ptCount val="12"/>
                <c:pt idx="0">
                  <c:v>26205.75</c:v>
                </c:pt>
                <c:pt idx="1">
                  <c:v>23017.5</c:v>
                </c:pt>
                <c:pt idx="2">
                  <c:v>28172.75</c:v>
                </c:pt>
                <c:pt idx="3">
                  <c:v>24501.25</c:v>
                </c:pt>
                <c:pt idx="4">
                  <c:v>26799</c:v>
                </c:pt>
                <c:pt idx="5">
                  <c:v>39701</c:v>
                </c:pt>
                <c:pt idx="6">
                  <c:v>20692.75</c:v>
                </c:pt>
                <c:pt idx="7">
                  <c:v>26761.75</c:v>
                </c:pt>
                <c:pt idx="8">
                  <c:v>22288</c:v>
                </c:pt>
                <c:pt idx="9">
                  <c:v>21279.5</c:v>
                </c:pt>
                <c:pt idx="10">
                  <c:v>23978</c:v>
                </c:pt>
                <c:pt idx="11">
                  <c:v>27695.25</c:v>
                </c:pt>
              </c:numCache>
            </c:numRef>
          </c:val>
          <c:extLst>
            <c:ext xmlns:c16="http://schemas.microsoft.com/office/drawing/2014/chart" uri="{C3380CC4-5D6E-409C-BE32-E72D297353CC}">
              <c16:uniqueId val="{00000000-1B40-4782-A3D9-B7FE18145595}"/>
            </c:ext>
          </c:extLst>
        </c:ser>
        <c:ser>
          <c:idx val="1"/>
          <c:order val="1"/>
          <c:tx>
            <c:strRef>
              <c:f>'Pivot Analysis'!$C$5</c:f>
              <c:strCache>
                <c:ptCount val="1"/>
                <c:pt idx="0">
                  <c:v>Total Profit</c:v>
                </c:pt>
              </c:strCache>
            </c:strRef>
          </c:tx>
          <c:spPr>
            <a:solidFill>
              <a:schemeClr val="accent2"/>
            </a:solidFill>
            <a:ln>
              <a:noFill/>
            </a:ln>
            <a:effectLst/>
          </c:spPr>
          <c:invertIfNegative val="0"/>
          <c:cat>
            <c:strRef>
              <c:f>'Pivot Analysis'!$A$6:$A$17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Analysis'!$C$6:$C$17</c:f>
              <c:numCache>
                <c:formatCode>"₹"#,##0</c:formatCode>
                <c:ptCount val="12"/>
                <c:pt idx="0">
                  <c:v>13644.089999999997</c:v>
                </c:pt>
                <c:pt idx="1">
                  <c:v>11738.309999999998</c:v>
                </c:pt>
                <c:pt idx="2">
                  <c:v>13916.569999999994</c:v>
                </c:pt>
                <c:pt idx="3">
                  <c:v>12577.569999999992</c:v>
                </c:pt>
                <c:pt idx="4">
                  <c:v>13484.019999999999</c:v>
                </c:pt>
                <c:pt idx="5">
                  <c:v>19924.86</c:v>
                </c:pt>
                <c:pt idx="6">
                  <c:v>10424.420000000004</c:v>
                </c:pt>
                <c:pt idx="7">
                  <c:v>13688.300000000001</c:v>
                </c:pt>
                <c:pt idx="8">
                  <c:v>11174.919999999998</c:v>
                </c:pt>
                <c:pt idx="9">
                  <c:v>11025.97</c:v>
                </c:pt>
                <c:pt idx="10">
                  <c:v>12458.099999999999</c:v>
                </c:pt>
                <c:pt idx="11">
                  <c:v>13960.679999999998</c:v>
                </c:pt>
              </c:numCache>
            </c:numRef>
          </c:val>
          <c:extLst>
            <c:ext xmlns:c16="http://schemas.microsoft.com/office/drawing/2014/chart" uri="{C3380CC4-5D6E-409C-BE32-E72D297353CC}">
              <c16:uniqueId val="{00000001-1B40-4782-A3D9-B7FE18145595}"/>
            </c:ext>
          </c:extLst>
        </c:ser>
        <c:ser>
          <c:idx val="2"/>
          <c:order val="2"/>
          <c:tx>
            <c:strRef>
              <c:f>'Pivot Analysis'!$D$5</c:f>
              <c:strCache>
                <c:ptCount val="1"/>
                <c:pt idx="0">
                  <c:v>Orders</c:v>
                </c:pt>
              </c:strCache>
            </c:strRef>
          </c:tx>
          <c:spPr>
            <a:solidFill>
              <a:schemeClr val="accent3"/>
            </a:solidFill>
            <a:ln>
              <a:noFill/>
            </a:ln>
            <a:effectLst/>
          </c:spPr>
          <c:invertIfNegative val="0"/>
          <c:cat>
            <c:strRef>
              <c:f>'Pivot Analysis'!$A$6:$A$17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Analysis'!$D$6:$D$17</c:f>
              <c:numCache>
                <c:formatCode>#,##0</c:formatCode>
                <c:ptCount val="12"/>
                <c:pt idx="0">
                  <c:v>140</c:v>
                </c:pt>
                <c:pt idx="1">
                  <c:v>116</c:v>
                </c:pt>
                <c:pt idx="2">
                  <c:v>141</c:v>
                </c:pt>
                <c:pt idx="3">
                  <c:v>126</c:v>
                </c:pt>
                <c:pt idx="4">
                  <c:v>145</c:v>
                </c:pt>
                <c:pt idx="5">
                  <c:v>190</c:v>
                </c:pt>
                <c:pt idx="6">
                  <c:v>108</c:v>
                </c:pt>
                <c:pt idx="7">
                  <c:v>131</c:v>
                </c:pt>
                <c:pt idx="8">
                  <c:v>116</c:v>
                </c:pt>
                <c:pt idx="9">
                  <c:v>114</c:v>
                </c:pt>
                <c:pt idx="10">
                  <c:v>126</c:v>
                </c:pt>
                <c:pt idx="11">
                  <c:v>147</c:v>
                </c:pt>
              </c:numCache>
            </c:numRef>
          </c:val>
          <c:extLst>
            <c:ext xmlns:c16="http://schemas.microsoft.com/office/drawing/2014/chart" uri="{C3380CC4-5D6E-409C-BE32-E72D297353CC}">
              <c16:uniqueId val="{00000002-1B40-4782-A3D9-B7FE18145595}"/>
            </c:ext>
          </c:extLst>
        </c:ser>
        <c:ser>
          <c:idx val="3"/>
          <c:order val="3"/>
          <c:tx>
            <c:strRef>
              <c:f>'Pivot Analysis'!$E$5</c:f>
              <c:strCache>
                <c:ptCount val="1"/>
                <c:pt idx="0">
                  <c:v>Units</c:v>
                </c:pt>
              </c:strCache>
            </c:strRef>
          </c:tx>
          <c:spPr>
            <a:solidFill>
              <a:schemeClr val="accent4"/>
            </a:solidFill>
            <a:ln>
              <a:noFill/>
            </a:ln>
            <a:effectLst/>
          </c:spPr>
          <c:invertIfNegative val="0"/>
          <c:cat>
            <c:strRef>
              <c:f>'Pivot Analysis'!$A$6:$A$17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Analysis'!$E$6:$E$17</c:f>
              <c:numCache>
                <c:formatCode>#,##0</c:formatCode>
                <c:ptCount val="12"/>
                <c:pt idx="0">
                  <c:v>224</c:v>
                </c:pt>
                <c:pt idx="1">
                  <c:v>200</c:v>
                </c:pt>
                <c:pt idx="2">
                  <c:v>246</c:v>
                </c:pt>
                <c:pt idx="3">
                  <c:v>199</c:v>
                </c:pt>
                <c:pt idx="4">
                  <c:v>240</c:v>
                </c:pt>
                <c:pt idx="5">
                  <c:v>343</c:v>
                </c:pt>
                <c:pt idx="6">
                  <c:v>177</c:v>
                </c:pt>
                <c:pt idx="7">
                  <c:v>231</c:v>
                </c:pt>
                <c:pt idx="8">
                  <c:v>198</c:v>
                </c:pt>
                <c:pt idx="9">
                  <c:v>183</c:v>
                </c:pt>
                <c:pt idx="10">
                  <c:v>212</c:v>
                </c:pt>
                <c:pt idx="11">
                  <c:v>240</c:v>
                </c:pt>
              </c:numCache>
            </c:numRef>
          </c:val>
          <c:extLst>
            <c:ext xmlns:c16="http://schemas.microsoft.com/office/drawing/2014/chart" uri="{C3380CC4-5D6E-409C-BE32-E72D297353CC}">
              <c16:uniqueId val="{00000003-1B40-4782-A3D9-B7FE18145595}"/>
            </c:ext>
          </c:extLst>
        </c:ser>
        <c:dLbls>
          <c:showLegendKey val="0"/>
          <c:showVal val="0"/>
          <c:showCatName val="0"/>
          <c:showSerName val="0"/>
          <c:showPercent val="0"/>
          <c:showBubbleSize val="0"/>
        </c:dLbls>
        <c:gapWidth val="219"/>
        <c:overlap val="-27"/>
        <c:axId val="471073775"/>
        <c:axId val="535527471"/>
      </c:barChart>
      <c:catAx>
        <c:axId val="4710737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5527471"/>
        <c:crosses val="autoZero"/>
        <c:auto val="1"/>
        <c:lblAlgn val="ctr"/>
        <c:lblOffset val="100"/>
        <c:noMultiLvlLbl val="0"/>
      </c:catAx>
      <c:valAx>
        <c:axId val="535527471"/>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7107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[Coffee_Shop_Sales_Cleaned.xlsx]Pivot Analysis!ptCategory</c:name>
    <c:fmtId val="1"/>
  </c:pivotSource>
  <c:chart>
    <c:title>
      <c:tx>
        <c:rich>
          <a:bodyPr rot="0" spcFirstLastPara="1" vertOverflow="ellipsis" vert="horz" wrap="square" anchor="ctr" anchorCtr="1"/>
          <a:lstStyle/>
          <a:p>
            <a:pPr>
              <a:defRPr sz="1600" b="1" i="1"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1" i="1" baseline="0"/>
              <a:t>Category Performance</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7273494437043"/>
          <c:y val="0.26455245528696936"/>
          <c:w val="0.27750083937916903"/>
          <c:h val="0.53591868201590176"/>
        </c:manualLayout>
      </c:layout>
      <c:barChart>
        <c:barDir val="col"/>
        <c:grouping val="clustered"/>
        <c:varyColors val="0"/>
        <c:ser>
          <c:idx val="0"/>
          <c:order val="0"/>
          <c:tx>
            <c:strRef>
              <c:f>'Pivot Analysis'!$I$5</c:f>
              <c:strCache>
                <c:ptCount val="1"/>
                <c:pt idx="0">
                  <c:v>Total Net Sales</c:v>
                </c:pt>
              </c:strCache>
            </c:strRef>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'Pivot Analysis'!$H$6:$H$10</c:f>
              <c:strCache>
                <c:ptCount val="5"/>
                <c:pt idx="0">
                  <c:v>Bakery</c:v>
                </c:pt>
                <c:pt idx="1">
                  <c:v>Coffee</c:v>
                </c:pt>
                <c:pt idx="2">
                  <c:v>Dessert</c:v>
                </c:pt>
                <c:pt idx="3">
                  <c:v>Food</c:v>
                </c:pt>
                <c:pt idx="4">
                  <c:v>Tea</c:v>
                </c:pt>
              </c:strCache>
            </c:strRef>
          </c:cat>
          <c:val>
            <c:numRef>
              <c:f>'Pivot Analysis'!$I$6:$I$10</c:f>
              <c:numCache>
                <c:formatCode>"₹"#,##0</c:formatCode>
                <c:ptCount val="5"/>
                <c:pt idx="0">
                  <c:v>64160.75</c:v>
                </c:pt>
                <c:pt idx="1">
                  <c:v>148718.75</c:v>
                </c:pt>
                <c:pt idx="2">
                  <c:v>25950.5</c:v>
                </c:pt>
                <c:pt idx="3">
                  <c:v>28758</c:v>
                </c:pt>
                <c:pt idx="4">
                  <c:v>43504.5</c:v>
                </c:pt>
              </c:numCache>
            </c:numRef>
          </c:val>
          <c:extLst>
            <c:ext xmlns:c16="http://schemas.microsoft.com/office/drawing/2014/chart" uri="{C3380CC4-5D6E-409C-BE32-E72D297353CC}">
              <c16:uniqueId val="{00000000-33D5-40CB-A130-C3F026231749}"/>
            </c:ext>
          </c:extLst>
        </c:ser>
        <c:ser>
          <c:idx val="1"/>
          <c:order val="1"/>
          <c:tx>
            <c:strRef>
              <c:f>'Pivot Analysis'!$J$5</c:f>
              <c:strCache>
                <c:ptCount val="1"/>
                <c:pt idx="0">
                  <c:v>Total Profit</c:v>
                </c:pt>
              </c:strCache>
            </c:strRef>
          </c:tx>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'Pivot Analysis'!$H$6:$H$10</c:f>
              <c:strCache>
                <c:ptCount val="5"/>
                <c:pt idx="0">
                  <c:v>Bakery</c:v>
                </c:pt>
                <c:pt idx="1">
                  <c:v>Coffee</c:v>
                </c:pt>
                <c:pt idx="2">
                  <c:v>Dessert</c:v>
                </c:pt>
                <c:pt idx="3">
                  <c:v>Food</c:v>
                </c:pt>
                <c:pt idx="4">
                  <c:v>Tea</c:v>
                </c:pt>
              </c:strCache>
            </c:strRef>
          </c:cat>
          <c:val>
            <c:numRef>
              <c:f>'Pivot Analysis'!$J$6:$J$10</c:f>
              <c:numCache>
                <c:formatCode>"₹"#,##0</c:formatCode>
                <c:ptCount val="5"/>
                <c:pt idx="0">
                  <c:v>32524.93999999997</c:v>
                </c:pt>
                <c:pt idx="1">
                  <c:v>75411.850000000049</c:v>
                </c:pt>
                <c:pt idx="2">
                  <c:v>13291.75</c:v>
                </c:pt>
                <c:pt idx="3">
                  <c:v>14302.589999999998</c:v>
                </c:pt>
                <c:pt idx="4">
                  <c:v>22486.679999999997</c:v>
                </c:pt>
              </c:numCache>
            </c:numRef>
          </c:val>
          <c:extLst>
            <c:ext xmlns:c16="http://schemas.microsoft.com/office/drawing/2014/chart" uri="{C3380CC4-5D6E-409C-BE32-E72D297353CC}">
              <c16:uniqueId val="{00000001-33D5-40CB-A130-C3F026231749}"/>
            </c:ext>
          </c:extLst>
        </c:ser>
        <c:ser>
          <c:idx val="2"/>
          <c:order val="2"/>
          <c:tx>
            <c:strRef>
              <c:f>'Pivot Analysis'!$K$5</c:f>
              <c:strCache>
                <c:ptCount val="1"/>
                <c:pt idx="0">
                  <c:v>Units</c:v>
                </c:pt>
              </c:strCache>
            </c:strRef>
          </c:tx>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'Pivot Analysis'!$H$6:$H$10</c:f>
              <c:strCache>
                <c:ptCount val="5"/>
                <c:pt idx="0">
                  <c:v>Bakery</c:v>
                </c:pt>
                <c:pt idx="1">
                  <c:v>Coffee</c:v>
                </c:pt>
                <c:pt idx="2">
                  <c:v>Dessert</c:v>
                </c:pt>
                <c:pt idx="3">
                  <c:v>Food</c:v>
                </c:pt>
                <c:pt idx="4">
                  <c:v>Tea</c:v>
                </c:pt>
              </c:strCache>
            </c:strRef>
          </c:cat>
          <c:val>
            <c:numRef>
              <c:f>'Pivot Analysis'!$K$6:$K$10</c:f>
              <c:numCache>
                <c:formatCode>#,##0</c:formatCode>
                <c:ptCount val="5"/>
                <c:pt idx="0">
                  <c:v>705</c:v>
                </c:pt>
                <c:pt idx="1">
                  <c:v>1207</c:v>
                </c:pt>
                <c:pt idx="2">
                  <c:v>143</c:v>
                </c:pt>
                <c:pt idx="3">
                  <c:v>166</c:v>
                </c:pt>
                <c:pt idx="4">
                  <c:v>472</c:v>
                </c:pt>
              </c:numCache>
            </c:numRef>
          </c:val>
          <c:extLst>
            <c:ext xmlns:c16="http://schemas.microsoft.com/office/drawing/2014/chart" uri="{C3380CC4-5D6E-409C-BE32-E72D297353CC}">
              <c16:uniqueId val="{00000002-33D5-40CB-A130-C3F026231749}"/>
            </c:ext>
          </c:extLst>
        </c:ser>
        <c:ser>
          <c:idx val="3"/>
          <c:order val="3"/>
          <c:tx>
            <c:strRef>
              <c:f>'Pivot Analysis'!$L$5</c:f>
              <c:strCache>
                <c:ptCount val="1"/>
                <c:pt idx="0">
                  <c:v>Average of Customer Rating</c:v>
                </c:pt>
              </c:strCache>
            </c:strRef>
          </c:tx>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cat>
            <c:strRef>
              <c:f>'Pivot Analysis'!$H$6:$H$10</c:f>
              <c:strCache>
                <c:ptCount val="5"/>
                <c:pt idx="0">
                  <c:v>Bakery</c:v>
                </c:pt>
                <c:pt idx="1">
                  <c:v>Coffee</c:v>
                </c:pt>
                <c:pt idx="2">
                  <c:v>Dessert</c:v>
                </c:pt>
                <c:pt idx="3">
                  <c:v>Food</c:v>
                </c:pt>
                <c:pt idx="4">
                  <c:v>Tea</c:v>
                </c:pt>
              </c:strCache>
            </c:strRef>
          </c:cat>
          <c:val>
            <c:numRef>
              <c:f>'Pivot Analysis'!$L$6:$L$10</c:f>
              <c:numCache>
                <c:formatCode>0.0</c:formatCode>
                <c:ptCount val="5"/>
                <c:pt idx="0">
                  <c:v>3.4133016627078385</c:v>
                </c:pt>
                <c:pt idx="1">
                  <c:v>3.2582025677603426</c:v>
                </c:pt>
                <c:pt idx="2">
                  <c:v>2.9450549450549453</c:v>
                </c:pt>
                <c:pt idx="3">
                  <c:v>3.1770833333333335</c:v>
                </c:pt>
                <c:pt idx="4">
                  <c:v>3.3745704467353952</c:v>
                </c:pt>
              </c:numCache>
            </c:numRef>
          </c:val>
          <c:extLst>
            <c:ext xmlns:c16="http://schemas.microsoft.com/office/drawing/2014/chart" uri="{C3380CC4-5D6E-409C-BE32-E72D297353CC}">
              <c16:uniqueId val="{00000003-33D5-40CB-A130-C3F026231749}"/>
            </c:ext>
          </c:extLst>
        </c:ser>
        <c:dLbls>
          <c:showLegendKey val="0"/>
          <c:showVal val="0"/>
          <c:showCatName val="0"/>
          <c:showSerName val="0"/>
          <c:showPercent val="0"/>
          <c:showBubbleSize val="0"/>
        </c:dLbls>
        <c:gapWidth val="150"/>
        <c:axId val="531398703"/>
        <c:axId val="535456431"/>
      </c:barChart>
      <c:catAx>
        <c:axId val="53139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5456431"/>
        <c:crosses val="autoZero"/>
        <c:auto val="1"/>
        <c:lblAlgn val="ctr"/>
        <c:lblOffset val="100"/>
        <c:noMultiLvlLbl val="0"/>
      </c:catAx>
      <c:valAx>
        <c:axId val="535456431"/>
        <c:scaling>
          <c:orientation val="minMax"/>
        </c:scaling>
        <c:delete val="0"/>
        <c:axPos val="l"/>
        <c:majorGridlines>
          <c:spPr>
            <a:ln w="9525" cap="flat" cmpd="sng" algn="ctr">
              <a:solidFill>
                <a:schemeClr val="dk1">
                  <a:lumMod val="50000"/>
                  <a:lumOff val="50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139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[Coffee_Shop_Sales_Cleaned.xlsx]Pivot Analysis!ptProduct</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i="1"/>
              <a:t>Product</a:t>
            </a:r>
            <a:r>
              <a:rPr lang="en-US" b="1" i="1" baseline="0"/>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Analysis'!$O$5</c:f>
              <c:strCache>
                <c:ptCount val="1"/>
                <c:pt idx="0">
                  <c:v>Total Net Sales</c:v>
                </c:pt>
              </c:strCache>
            </c:strRef>
          </c:tx>
          <c:spPr>
            <a:solidFill>
              <a:schemeClr val="accent1"/>
            </a:solidFill>
            <a:ln>
              <a:noFill/>
            </a:ln>
            <a:effectLst/>
          </c:spPr>
          <c:invertIfNegative val="0"/>
          <c:cat>
            <c:strRef>
              <c:f>'Pivot Analysis'!$N$6:$N$21</c:f>
              <c:strCache>
                <c:ptCount val="16"/>
                <c:pt idx="0">
                  <c:v>Americano</c:v>
                </c:pt>
                <c:pt idx="1">
                  <c:v>Brownie</c:v>
                </c:pt>
                <c:pt idx="2">
                  <c:v>Cappuccino</c:v>
                </c:pt>
                <c:pt idx="3">
                  <c:v>Cheesecake</c:v>
                </c:pt>
                <c:pt idx="4">
                  <c:v>Cold Brew</c:v>
                </c:pt>
                <c:pt idx="5">
                  <c:v>Cookies</c:v>
                </c:pt>
                <c:pt idx="6">
                  <c:v>Croissant</c:v>
                </c:pt>
                <c:pt idx="7">
                  <c:v>Espresso</c:v>
                </c:pt>
                <c:pt idx="8">
                  <c:v>Green Tea</c:v>
                </c:pt>
                <c:pt idx="9">
                  <c:v>Iced Latte</c:v>
                </c:pt>
                <c:pt idx="10">
                  <c:v>Iced Tea</c:v>
                </c:pt>
                <c:pt idx="11">
                  <c:v>Latte</c:v>
                </c:pt>
                <c:pt idx="12">
                  <c:v>Masala Chai</c:v>
                </c:pt>
                <c:pt idx="13">
                  <c:v>Mocha</c:v>
                </c:pt>
                <c:pt idx="14">
                  <c:v>Muffin</c:v>
                </c:pt>
                <c:pt idx="15">
                  <c:v>Sandwich</c:v>
                </c:pt>
              </c:strCache>
            </c:strRef>
          </c:cat>
          <c:val>
            <c:numRef>
              <c:f>'Pivot Analysis'!$O$6:$O$21</c:f>
              <c:numCache>
                <c:formatCode>"₹"#,##0</c:formatCode>
                <c:ptCount val="16"/>
                <c:pt idx="0">
                  <c:v>15288.25</c:v>
                </c:pt>
                <c:pt idx="1">
                  <c:v>19715.5</c:v>
                </c:pt>
                <c:pt idx="2">
                  <c:v>22526.5</c:v>
                </c:pt>
                <c:pt idx="3">
                  <c:v>25950.5</c:v>
                </c:pt>
                <c:pt idx="4">
                  <c:v>27844.5</c:v>
                </c:pt>
                <c:pt idx="5">
                  <c:v>13444.5</c:v>
                </c:pt>
                <c:pt idx="6">
                  <c:v>15309</c:v>
                </c:pt>
                <c:pt idx="7">
                  <c:v>15349.75</c:v>
                </c:pt>
                <c:pt idx="8">
                  <c:v>12956.25</c:v>
                </c:pt>
                <c:pt idx="9">
                  <c:v>21165.25</c:v>
                </c:pt>
                <c:pt idx="10">
                  <c:v>17533</c:v>
                </c:pt>
                <c:pt idx="11">
                  <c:v>19876</c:v>
                </c:pt>
                <c:pt idx="12">
                  <c:v>13015.25</c:v>
                </c:pt>
                <c:pt idx="13">
                  <c:v>26668.5</c:v>
                </c:pt>
                <c:pt idx="14">
                  <c:v>15691.75</c:v>
                </c:pt>
                <c:pt idx="15">
                  <c:v>28758</c:v>
                </c:pt>
              </c:numCache>
            </c:numRef>
          </c:val>
          <c:extLst>
            <c:ext xmlns:c16="http://schemas.microsoft.com/office/drawing/2014/chart" uri="{C3380CC4-5D6E-409C-BE32-E72D297353CC}">
              <c16:uniqueId val="{00000000-2873-4FD0-8D39-FFB9F0EC7EE1}"/>
            </c:ext>
          </c:extLst>
        </c:ser>
        <c:ser>
          <c:idx val="1"/>
          <c:order val="1"/>
          <c:tx>
            <c:strRef>
              <c:f>'Pivot Analysis'!$P$5</c:f>
              <c:strCache>
                <c:ptCount val="1"/>
                <c:pt idx="0">
                  <c:v>Total Profit</c:v>
                </c:pt>
              </c:strCache>
            </c:strRef>
          </c:tx>
          <c:spPr>
            <a:solidFill>
              <a:schemeClr val="accent2"/>
            </a:solidFill>
            <a:ln>
              <a:noFill/>
            </a:ln>
            <a:effectLst/>
          </c:spPr>
          <c:invertIfNegative val="0"/>
          <c:cat>
            <c:strRef>
              <c:f>'Pivot Analysis'!$N$6:$N$21</c:f>
              <c:strCache>
                <c:ptCount val="16"/>
                <c:pt idx="0">
                  <c:v>Americano</c:v>
                </c:pt>
                <c:pt idx="1">
                  <c:v>Brownie</c:v>
                </c:pt>
                <c:pt idx="2">
                  <c:v>Cappuccino</c:v>
                </c:pt>
                <c:pt idx="3">
                  <c:v>Cheesecake</c:v>
                </c:pt>
                <c:pt idx="4">
                  <c:v>Cold Brew</c:v>
                </c:pt>
                <c:pt idx="5">
                  <c:v>Cookies</c:v>
                </c:pt>
                <c:pt idx="6">
                  <c:v>Croissant</c:v>
                </c:pt>
                <c:pt idx="7">
                  <c:v>Espresso</c:v>
                </c:pt>
                <c:pt idx="8">
                  <c:v>Green Tea</c:v>
                </c:pt>
                <c:pt idx="9">
                  <c:v>Iced Latte</c:v>
                </c:pt>
                <c:pt idx="10">
                  <c:v>Iced Tea</c:v>
                </c:pt>
                <c:pt idx="11">
                  <c:v>Latte</c:v>
                </c:pt>
                <c:pt idx="12">
                  <c:v>Masala Chai</c:v>
                </c:pt>
                <c:pt idx="13">
                  <c:v>Mocha</c:v>
                </c:pt>
                <c:pt idx="14">
                  <c:v>Muffin</c:v>
                </c:pt>
                <c:pt idx="15">
                  <c:v>Sandwich</c:v>
                </c:pt>
              </c:strCache>
            </c:strRef>
          </c:cat>
          <c:val>
            <c:numRef>
              <c:f>'Pivot Analysis'!$P$6:$P$21</c:f>
              <c:numCache>
                <c:formatCode>"₹"#,##0</c:formatCode>
                <c:ptCount val="16"/>
                <c:pt idx="0">
                  <c:v>7716.1099999999969</c:v>
                </c:pt>
                <c:pt idx="1">
                  <c:v>9828.5899999999983</c:v>
                </c:pt>
                <c:pt idx="2">
                  <c:v>11688.689999999999</c:v>
                </c:pt>
                <c:pt idx="3">
                  <c:v>13291.75</c:v>
                </c:pt>
                <c:pt idx="4">
                  <c:v>13683.159999999998</c:v>
                </c:pt>
                <c:pt idx="5">
                  <c:v>7009.0099999999984</c:v>
                </c:pt>
                <c:pt idx="6">
                  <c:v>7662.9</c:v>
                </c:pt>
                <c:pt idx="7">
                  <c:v>7896.7999999999993</c:v>
                </c:pt>
                <c:pt idx="8">
                  <c:v>6819.1899999999978</c:v>
                </c:pt>
                <c:pt idx="9">
                  <c:v>10789.359999999999</c:v>
                </c:pt>
                <c:pt idx="10">
                  <c:v>8908.5200000000041</c:v>
                </c:pt>
                <c:pt idx="11">
                  <c:v>10091.219999999998</c:v>
                </c:pt>
                <c:pt idx="12">
                  <c:v>6758.9699999999993</c:v>
                </c:pt>
                <c:pt idx="13">
                  <c:v>13546.509999999998</c:v>
                </c:pt>
                <c:pt idx="14">
                  <c:v>8024.4400000000005</c:v>
                </c:pt>
                <c:pt idx="15">
                  <c:v>14302.589999999998</c:v>
                </c:pt>
              </c:numCache>
            </c:numRef>
          </c:val>
          <c:extLst>
            <c:ext xmlns:c16="http://schemas.microsoft.com/office/drawing/2014/chart" uri="{C3380CC4-5D6E-409C-BE32-E72D297353CC}">
              <c16:uniqueId val="{00000001-2873-4FD0-8D39-FFB9F0EC7EE1}"/>
            </c:ext>
          </c:extLst>
        </c:ser>
        <c:ser>
          <c:idx val="2"/>
          <c:order val="2"/>
          <c:tx>
            <c:strRef>
              <c:f>'Pivot Analysis'!$Q$5</c:f>
              <c:strCache>
                <c:ptCount val="1"/>
                <c:pt idx="0">
                  <c:v>Orders</c:v>
                </c:pt>
              </c:strCache>
            </c:strRef>
          </c:tx>
          <c:spPr>
            <a:solidFill>
              <a:schemeClr val="accent3"/>
            </a:solidFill>
            <a:ln>
              <a:noFill/>
            </a:ln>
            <a:effectLst/>
          </c:spPr>
          <c:invertIfNegative val="0"/>
          <c:cat>
            <c:strRef>
              <c:f>'Pivot Analysis'!$N$6:$N$21</c:f>
              <c:strCache>
                <c:ptCount val="16"/>
                <c:pt idx="0">
                  <c:v>Americano</c:v>
                </c:pt>
                <c:pt idx="1">
                  <c:v>Brownie</c:v>
                </c:pt>
                <c:pt idx="2">
                  <c:v>Cappuccino</c:v>
                </c:pt>
                <c:pt idx="3">
                  <c:v>Cheesecake</c:v>
                </c:pt>
                <c:pt idx="4">
                  <c:v>Cold Brew</c:v>
                </c:pt>
                <c:pt idx="5">
                  <c:v>Cookies</c:v>
                </c:pt>
                <c:pt idx="6">
                  <c:v>Croissant</c:v>
                </c:pt>
                <c:pt idx="7">
                  <c:v>Espresso</c:v>
                </c:pt>
                <c:pt idx="8">
                  <c:v>Green Tea</c:v>
                </c:pt>
                <c:pt idx="9">
                  <c:v>Iced Latte</c:v>
                </c:pt>
                <c:pt idx="10">
                  <c:v>Iced Tea</c:v>
                </c:pt>
                <c:pt idx="11">
                  <c:v>Latte</c:v>
                </c:pt>
                <c:pt idx="12">
                  <c:v>Masala Chai</c:v>
                </c:pt>
                <c:pt idx="13">
                  <c:v>Mocha</c:v>
                </c:pt>
                <c:pt idx="14">
                  <c:v>Muffin</c:v>
                </c:pt>
                <c:pt idx="15">
                  <c:v>Sandwich</c:v>
                </c:pt>
              </c:strCache>
            </c:strRef>
          </c:cat>
          <c:val>
            <c:numRef>
              <c:f>'Pivot Analysis'!$Q$6:$Q$21</c:f>
              <c:numCache>
                <c:formatCode>#,##0</c:formatCode>
                <c:ptCount val="16"/>
                <c:pt idx="0">
                  <c:v>91</c:v>
                </c:pt>
                <c:pt idx="1">
                  <c:v>100</c:v>
                </c:pt>
                <c:pt idx="2">
                  <c:v>98</c:v>
                </c:pt>
                <c:pt idx="3">
                  <c:v>91</c:v>
                </c:pt>
                <c:pt idx="4">
                  <c:v>108</c:v>
                </c:pt>
                <c:pt idx="5">
                  <c:v>114</c:v>
                </c:pt>
                <c:pt idx="6">
                  <c:v>96</c:v>
                </c:pt>
                <c:pt idx="7">
                  <c:v>103</c:v>
                </c:pt>
                <c:pt idx="8">
                  <c:v>90</c:v>
                </c:pt>
                <c:pt idx="9">
                  <c:v>93</c:v>
                </c:pt>
                <c:pt idx="10">
                  <c:v>102</c:v>
                </c:pt>
                <c:pt idx="11">
                  <c:v>102</c:v>
                </c:pt>
                <c:pt idx="12">
                  <c:v>99</c:v>
                </c:pt>
                <c:pt idx="13">
                  <c:v>106</c:v>
                </c:pt>
                <c:pt idx="14">
                  <c:v>111</c:v>
                </c:pt>
                <c:pt idx="15">
                  <c:v>96</c:v>
                </c:pt>
              </c:numCache>
            </c:numRef>
          </c:val>
          <c:extLst>
            <c:ext xmlns:c16="http://schemas.microsoft.com/office/drawing/2014/chart" uri="{C3380CC4-5D6E-409C-BE32-E72D297353CC}">
              <c16:uniqueId val="{00000002-2873-4FD0-8D39-FFB9F0EC7EE1}"/>
            </c:ext>
          </c:extLst>
        </c:ser>
        <c:ser>
          <c:idx val="3"/>
          <c:order val="3"/>
          <c:tx>
            <c:strRef>
              <c:f>'Pivot Analysis'!$R$5</c:f>
              <c:strCache>
                <c:ptCount val="1"/>
                <c:pt idx="0">
                  <c:v>Units</c:v>
                </c:pt>
              </c:strCache>
            </c:strRef>
          </c:tx>
          <c:spPr>
            <a:solidFill>
              <a:schemeClr val="accent4"/>
            </a:solidFill>
            <a:ln>
              <a:noFill/>
            </a:ln>
            <a:effectLst/>
          </c:spPr>
          <c:invertIfNegative val="0"/>
          <c:cat>
            <c:strRef>
              <c:f>'Pivot Analysis'!$N$6:$N$21</c:f>
              <c:strCache>
                <c:ptCount val="16"/>
                <c:pt idx="0">
                  <c:v>Americano</c:v>
                </c:pt>
                <c:pt idx="1">
                  <c:v>Brownie</c:v>
                </c:pt>
                <c:pt idx="2">
                  <c:v>Cappuccino</c:v>
                </c:pt>
                <c:pt idx="3">
                  <c:v>Cheesecake</c:v>
                </c:pt>
                <c:pt idx="4">
                  <c:v>Cold Brew</c:v>
                </c:pt>
                <c:pt idx="5">
                  <c:v>Cookies</c:v>
                </c:pt>
                <c:pt idx="6">
                  <c:v>Croissant</c:v>
                </c:pt>
                <c:pt idx="7">
                  <c:v>Espresso</c:v>
                </c:pt>
                <c:pt idx="8">
                  <c:v>Green Tea</c:v>
                </c:pt>
                <c:pt idx="9">
                  <c:v>Iced Latte</c:v>
                </c:pt>
                <c:pt idx="10">
                  <c:v>Iced Tea</c:v>
                </c:pt>
                <c:pt idx="11">
                  <c:v>Latte</c:v>
                </c:pt>
                <c:pt idx="12">
                  <c:v>Masala Chai</c:v>
                </c:pt>
                <c:pt idx="13">
                  <c:v>Mocha</c:v>
                </c:pt>
                <c:pt idx="14">
                  <c:v>Muffin</c:v>
                </c:pt>
                <c:pt idx="15">
                  <c:v>Sandwich</c:v>
                </c:pt>
              </c:strCache>
            </c:strRef>
          </c:cat>
          <c:val>
            <c:numRef>
              <c:f>'Pivot Analysis'!$R$6:$R$21</c:f>
              <c:numCache>
                <c:formatCode>#,##0</c:formatCode>
                <c:ptCount val="16"/>
                <c:pt idx="0">
                  <c:v>158</c:v>
                </c:pt>
                <c:pt idx="1">
                  <c:v>171</c:v>
                </c:pt>
                <c:pt idx="2">
                  <c:v>178</c:v>
                </c:pt>
                <c:pt idx="3">
                  <c:v>143</c:v>
                </c:pt>
                <c:pt idx="4">
                  <c:v>182</c:v>
                </c:pt>
                <c:pt idx="5">
                  <c:v>197</c:v>
                </c:pt>
                <c:pt idx="6">
                  <c:v>157</c:v>
                </c:pt>
                <c:pt idx="7">
                  <c:v>179</c:v>
                </c:pt>
                <c:pt idx="8">
                  <c:v>139</c:v>
                </c:pt>
                <c:pt idx="9">
                  <c:v>148</c:v>
                </c:pt>
                <c:pt idx="10">
                  <c:v>166</c:v>
                </c:pt>
                <c:pt idx="11">
                  <c:v>171</c:v>
                </c:pt>
                <c:pt idx="12">
                  <c:v>167</c:v>
                </c:pt>
                <c:pt idx="13">
                  <c:v>191</c:v>
                </c:pt>
                <c:pt idx="14">
                  <c:v>180</c:v>
                </c:pt>
                <c:pt idx="15">
                  <c:v>166</c:v>
                </c:pt>
              </c:numCache>
            </c:numRef>
          </c:val>
          <c:extLst>
            <c:ext xmlns:c16="http://schemas.microsoft.com/office/drawing/2014/chart" uri="{C3380CC4-5D6E-409C-BE32-E72D297353CC}">
              <c16:uniqueId val="{00000003-2873-4FD0-8D39-FFB9F0EC7EE1}"/>
            </c:ext>
          </c:extLst>
        </c:ser>
        <c:dLbls>
          <c:showLegendKey val="0"/>
          <c:showVal val="0"/>
          <c:showCatName val="0"/>
          <c:showSerName val="0"/>
          <c:showPercent val="0"/>
          <c:showBubbleSize val="0"/>
        </c:dLbls>
        <c:gapWidth val="219"/>
        <c:overlap val="-27"/>
        <c:axId val="1869869967"/>
        <c:axId val="535464591"/>
      </c:barChart>
      <c:catAx>
        <c:axId val="1869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5464591"/>
        <c:crosses val="autoZero"/>
        <c:auto val="1"/>
        <c:lblAlgn val="ctr"/>
        <c:lblOffset val="100"/>
        <c:noMultiLvlLbl val="0"/>
      </c:catAx>
      <c:valAx>
        <c:axId val="535464591"/>
        <c:scaling>
          <c:orientation val="minMax"/>
        </c:scaling>
        <c:delete val="0"/>
        <c:axPos val="l"/>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6986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[Coffee_Shop_Sales_Cleaned.xlsx]Pivot Analysis!PivotTable2</c:name>
    <c:fmtId val="2"/>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Location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lumMod val="50000"/>
                  <a:shade val="51000"/>
                  <a:satMod val="130000"/>
                </a:schemeClr>
              </a:gs>
              <a:gs pos="80000">
                <a:schemeClr val="accent6">
                  <a:lumMod val="50000"/>
                  <a:shade val="93000"/>
                  <a:satMod val="130000"/>
                </a:schemeClr>
              </a:gs>
              <a:gs pos="100000">
                <a:schemeClr val="accent6">
                  <a:lumMod val="50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lumMod val="70000"/>
                  <a:shade val="51000"/>
                  <a:satMod val="130000"/>
                </a:schemeClr>
              </a:gs>
              <a:gs pos="80000">
                <a:schemeClr val="accent6">
                  <a:lumMod val="70000"/>
                  <a:shade val="93000"/>
                  <a:satMod val="130000"/>
                </a:schemeClr>
              </a:gs>
              <a:gs pos="100000">
                <a:schemeClr val="accent6">
                  <a:lumMod val="70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lumMod val="60000"/>
                  <a:lumOff val="40000"/>
                  <a:shade val="51000"/>
                  <a:satMod val="130000"/>
                </a:schemeClr>
              </a:gs>
              <a:gs pos="80000">
                <a:schemeClr val="accent6">
                  <a:lumMod val="60000"/>
                  <a:lumOff val="40000"/>
                  <a:shade val="93000"/>
                  <a:satMod val="130000"/>
                </a:schemeClr>
              </a:gs>
              <a:gs pos="100000">
                <a:schemeClr val="accent6">
                  <a:lumMod val="60000"/>
                  <a:lumOff val="40000"/>
                  <a:shade val="94000"/>
                  <a:satMod val="135000"/>
                </a:schemeClr>
              </a:gs>
            </a:gsLst>
            <a:lin ang="5400000" scaled="0"/>
          </a:gradFill>
          <a:ln>
            <a:noFill/>
          </a:ln>
          <a:effectLst>
            <a:outerShdw blurRad="57150" dist="19050" dir="5400000" algn="ctr" rotWithShape="0">
              <a:srgbClr val="000000">
                <a:alpha val="63000"/>
              </a:srgbClr>
            </a:outerShdw>
          </a:effectLst>
        </c:spPr>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Analysis'!$B$53</c:f>
              <c:strCache>
                <c:ptCount val="1"/>
                <c:pt idx="0">
                  <c:v>Total</c:v>
                </c:pt>
              </c:strCache>
            </c:strRef>
          </c:tx>
          <c:dPt>
            <c:idx val="0"/>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6A0-49AA-88C6-16D5AFB34035}"/>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6A0-49AA-88C6-16D5AFB34035}"/>
              </c:ext>
            </c:extLst>
          </c:dPt>
          <c:dPt>
            <c:idx val="2"/>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6A0-49AA-88C6-16D5AFB34035}"/>
              </c:ext>
            </c:extLst>
          </c:dPt>
          <c:dPt>
            <c:idx val="3"/>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6A0-49AA-88C6-16D5AFB34035}"/>
              </c:ext>
            </c:extLst>
          </c:dPt>
          <c:dPt>
            <c:idx val="4"/>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6A0-49AA-88C6-16D5AFB34035}"/>
              </c:ext>
            </c:extLst>
          </c:dPt>
          <c:dPt>
            <c:idx val="5"/>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6A0-49AA-88C6-16D5AFB34035}"/>
              </c:ext>
            </c:extLst>
          </c:dPt>
          <c:dPt>
            <c:idx val="6"/>
            <c:bubble3D val="0"/>
            <c:spPr>
              <a:gradFill rotWithShape="1">
                <a:gsLst>
                  <a:gs pos="0">
                    <a:schemeClr val="accent1">
                      <a:lumMod val="60000"/>
                      <a:tint val="94000"/>
                      <a:satMod val="103000"/>
                      <a:lumMod val="102000"/>
                    </a:schemeClr>
                  </a:gs>
                  <a:gs pos="50000">
                    <a:schemeClr val="accent1">
                      <a:lumMod val="60000"/>
                      <a:shade val="100000"/>
                      <a:satMod val="110000"/>
                      <a:lumMod val="100000"/>
                    </a:schemeClr>
                  </a:gs>
                  <a:gs pos="100000">
                    <a:schemeClr val="accent1">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6A0-49AA-88C6-16D5AFB34035}"/>
              </c:ext>
            </c:extLst>
          </c:dPt>
          <c:dPt>
            <c:idx val="7"/>
            <c:bubble3D val="0"/>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0B5-4775-8601-80B58586B3EC}"/>
              </c:ext>
            </c:extLst>
          </c:dPt>
          <c:dPt>
            <c:idx val="8"/>
            <c:bubble3D val="0"/>
            <c:spPr>
              <a:gradFill rotWithShape="1">
                <a:gsLst>
                  <a:gs pos="0">
                    <a:schemeClr val="accent3">
                      <a:lumMod val="60000"/>
                      <a:tint val="94000"/>
                      <a:satMod val="103000"/>
                      <a:lumMod val="102000"/>
                    </a:schemeClr>
                  </a:gs>
                  <a:gs pos="50000">
                    <a:schemeClr val="accent3">
                      <a:lumMod val="60000"/>
                      <a:shade val="100000"/>
                      <a:satMod val="110000"/>
                      <a:lumMod val="100000"/>
                    </a:schemeClr>
                  </a:gs>
                  <a:gs pos="100000">
                    <a:schemeClr val="accent3">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0B5-4775-8601-80B58586B3EC}"/>
              </c:ext>
            </c:extLst>
          </c:dPt>
          <c:dPt>
            <c:idx val="9"/>
            <c:bubble3D val="0"/>
            <c:spPr>
              <a:gradFill rotWithShape="1">
                <a:gsLst>
                  <a:gs pos="0">
                    <a:schemeClr val="accent4">
                      <a:lumMod val="60000"/>
                      <a:tint val="94000"/>
                      <a:satMod val="103000"/>
                      <a:lumMod val="102000"/>
                    </a:schemeClr>
                  </a:gs>
                  <a:gs pos="50000">
                    <a:schemeClr val="accent4">
                      <a:lumMod val="60000"/>
                      <a:shade val="100000"/>
                      <a:satMod val="110000"/>
                      <a:lumMod val="100000"/>
                    </a:schemeClr>
                  </a:gs>
                  <a:gs pos="100000">
                    <a:schemeClr val="accent4">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0B5-4775-8601-80B58586B3EC}"/>
              </c:ext>
            </c:extLst>
          </c:dPt>
          <c:dPt>
            <c:idx val="10"/>
            <c:bubble3D val="0"/>
            <c:spPr>
              <a:gradFill rotWithShape="1">
                <a:gsLst>
                  <a:gs pos="0">
                    <a:schemeClr val="accent5">
                      <a:lumMod val="60000"/>
                      <a:tint val="94000"/>
                      <a:satMod val="103000"/>
                      <a:lumMod val="102000"/>
                    </a:schemeClr>
                  </a:gs>
                  <a:gs pos="50000">
                    <a:schemeClr val="accent5">
                      <a:lumMod val="60000"/>
                      <a:shade val="100000"/>
                      <a:satMod val="110000"/>
                      <a:lumMod val="100000"/>
                    </a:schemeClr>
                  </a:gs>
                  <a:gs pos="100000">
                    <a:schemeClr val="accent5">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0B5-4775-8601-80B58586B3EC}"/>
              </c:ext>
            </c:extLst>
          </c:dPt>
          <c:dPt>
            <c:idx val="11"/>
            <c:bubble3D val="0"/>
            <c:spPr>
              <a:gradFill rotWithShape="1">
                <a:gsLst>
                  <a:gs pos="0">
                    <a:schemeClr val="accent6">
                      <a:lumMod val="60000"/>
                      <a:tint val="94000"/>
                      <a:satMod val="103000"/>
                      <a:lumMod val="102000"/>
                    </a:schemeClr>
                  </a:gs>
                  <a:gs pos="50000">
                    <a:schemeClr val="accent6">
                      <a:lumMod val="60000"/>
                      <a:shade val="100000"/>
                      <a:satMod val="110000"/>
                      <a:lumMod val="100000"/>
                    </a:schemeClr>
                  </a:gs>
                  <a:gs pos="100000">
                    <a:schemeClr val="accent6">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0B5-4775-8601-80B58586B3EC}"/>
              </c:ext>
            </c:extLst>
          </c:dPt>
          <c:dPt>
            <c:idx val="12"/>
            <c:bubble3D val="0"/>
            <c:spPr>
              <a:gradFill rotWithShape="1">
                <a:gsLst>
                  <a:gs pos="0">
                    <a:schemeClr val="accent1">
                      <a:lumMod val="80000"/>
                      <a:lumOff val="20000"/>
                      <a:tint val="94000"/>
                      <a:satMod val="103000"/>
                      <a:lumMod val="102000"/>
                    </a:schemeClr>
                  </a:gs>
                  <a:gs pos="50000">
                    <a:schemeClr val="accent1">
                      <a:lumMod val="80000"/>
                      <a:lumOff val="20000"/>
                      <a:shade val="100000"/>
                      <a:satMod val="110000"/>
                      <a:lumMod val="100000"/>
                    </a:schemeClr>
                  </a:gs>
                  <a:gs pos="100000">
                    <a:schemeClr val="accent1">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50B5-4775-8601-80B58586B3EC}"/>
              </c:ext>
            </c:extLst>
          </c:dPt>
          <c:dPt>
            <c:idx val="13"/>
            <c:bubble3D val="0"/>
            <c:spPr>
              <a:gradFill rotWithShape="1">
                <a:gsLst>
                  <a:gs pos="0">
                    <a:schemeClr val="accent2">
                      <a:lumMod val="80000"/>
                      <a:lumOff val="20000"/>
                      <a:tint val="94000"/>
                      <a:satMod val="103000"/>
                      <a:lumMod val="102000"/>
                    </a:schemeClr>
                  </a:gs>
                  <a:gs pos="50000">
                    <a:schemeClr val="accent2">
                      <a:lumMod val="80000"/>
                      <a:lumOff val="20000"/>
                      <a:shade val="100000"/>
                      <a:satMod val="110000"/>
                      <a:lumMod val="100000"/>
                    </a:schemeClr>
                  </a:gs>
                  <a:gs pos="100000">
                    <a:schemeClr val="accent2">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50B5-4775-8601-80B58586B3EC}"/>
              </c:ext>
            </c:extLst>
          </c:dPt>
          <c:dPt>
            <c:idx val="14"/>
            <c:bubble3D val="0"/>
            <c:spPr>
              <a:gradFill rotWithShape="1">
                <a:gsLst>
                  <a:gs pos="0">
                    <a:schemeClr val="accent3">
                      <a:lumMod val="80000"/>
                      <a:lumOff val="20000"/>
                      <a:tint val="94000"/>
                      <a:satMod val="103000"/>
                      <a:lumMod val="102000"/>
                    </a:schemeClr>
                  </a:gs>
                  <a:gs pos="50000">
                    <a:schemeClr val="accent3">
                      <a:lumMod val="80000"/>
                      <a:lumOff val="20000"/>
                      <a:shade val="100000"/>
                      <a:satMod val="110000"/>
                      <a:lumMod val="100000"/>
                    </a:schemeClr>
                  </a:gs>
                  <a:gs pos="100000">
                    <a:schemeClr val="accent3">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50B5-4775-8601-80B58586B3EC}"/>
              </c:ext>
            </c:extLst>
          </c:dPt>
          <c:dPt>
            <c:idx val="15"/>
            <c:bubble3D val="0"/>
            <c:spPr>
              <a:gradFill rotWithShape="1">
                <a:gsLst>
                  <a:gs pos="0">
                    <a:schemeClr val="accent4">
                      <a:lumMod val="80000"/>
                      <a:lumOff val="20000"/>
                      <a:tint val="94000"/>
                      <a:satMod val="103000"/>
                      <a:lumMod val="102000"/>
                    </a:schemeClr>
                  </a:gs>
                  <a:gs pos="50000">
                    <a:schemeClr val="accent4">
                      <a:lumMod val="80000"/>
                      <a:lumOff val="20000"/>
                      <a:shade val="100000"/>
                      <a:satMod val="110000"/>
                      <a:lumMod val="100000"/>
                    </a:schemeClr>
                  </a:gs>
                  <a:gs pos="100000">
                    <a:schemeClr val="accent4">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0B5-4775-8601-80B58586B3EC}"/>
              </c:ext>
            </c:extLst>
          </c:dPt>
          <c:dPt>
            <c:idx val="16"/>
            <c:bubble3D val="0"/>
            <c:spPr>
              <a:gradFill rotWithShape="1">
                <a:gsLst>
                  <a:gs pos="0">
                    <a:schemeClr val="accent5">
                      <a:lumMod val="80000"/>
                      <a:lumOff val="20000"/>
                      <a:tint val="94000"/>
                      <a:satMod val="103000"/>
                      <a:lumMod val="102000"/>
                    </a:schemeClr>
                  </a:gs>
                  <a:gs pos="50000">
                    <a:schemeClr val="accent5">
                      <a:lumMod val="80000"/>
                      <a:lumOff val="20000"/>
                      <a:shade val="100000"/>
                      <a:satMod val="110000"/>
                      <a:lumMod val="100000"/>
                    </a:schemeClr>
                  </a:gs>
                  <a:gs pos="100000">
                    <a:schemeClr val="accent5">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0B5-4775-8601-80B58586B3EC}"/>
              </c:ext>
            </c:extLst>
          </c:dPt>
          <c:dPt>
            <c:idx val="17"/>
            <c:bubble3D val="0"/>
            <c:spPr>
              <a:gradFill rotWithShape="1">
                <a:gsLst>
                  <a:gs pos="0">
                    <a:schemeClr val="accent6">
                      <a:lumMod val="80000"/>
                      <a:lumOff val="20000"/>
                      <a:tint val="94000"/>
                      <a:satMod val="103000"/>
                      <a:lumMod val="102000"/>
                    </a:schemeClr>
                  </a:gs>
                  <a:gs pos="50000">
                    <a:schemeClr val="accent6">
                      <a:lumMod val="80000"/>
                      <a:lumOff val="20000"/>
                      <a:shade val="100000"/>
                      <a:satMod val="110000"/>
                      <a:lumMod val="100000"/>
                    </a:schemeClr>
                  </a:gs>
                  <a:gs pos="100000">
                    <a:schemeClr val="accent6">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0B5-4775-8601-80B58586B3EC}"/>
              </c:ext>
            </c:extLst>
          </c:dPt>
          <c:dPt>
            <c:idx val="18"/>
            <c:bubble3D val="0"/>
            <c:spPr>
              <a:gradFill rotWithShape="1">
                <a:gsLst>
                  <a:gs pos="0">
                    <a:schemeClr val="accent1">
                      <a:lumMod val="80000"/>
                      <a:tint val="94000"/>
                      <a:satMod val="103000"/>
                      <a:lumMod val="102000"/>
                    </a:schemeClr>
                  </a:gs>
                  <a:gs pos="50000">
                    <a:schemeClr val="accent1">
                      <a:lumMod val="80000"/>
                      <a:shade val="100000"/>
                      <a:satMod val="110000"/>
                      <a:lumMod val="100000"/>
                    </a:schemeClr>
                  </a:gs>
                  <a:gs pos="100000">
                    <a:schemeClr val="accent1">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50B5-4775-8601-80B58586B3EC}"/>
              </c:ext>
            </c:extLst>
          </c:dPt>
          <c:dPt>
            <c:idx val="19"/>
            <c:bubble3D val="0"/>
            <c:spPr>
              <a:gradFill rotWithShape="1">
                <a:gsLst>
                  <a:gs pos="0">
                    <a:schemeClr val="accent2">
                      <a:lumMod val="80000"/>
                      <a:tint val="94000"/>
                      <a:satMod val="103000"/>
                      <a:lumMod val="102000"/>
                    </a:schemeClr>
                  </a:gs>
                  <a:gs pos="50000">
                    <a:schemeClr val="accent2">
                      <a:lumMod val="80000"/>
                      <a:shade val="100000"/>
                      <a:satMod val="110000"/>
                      <a:lumMod val="100000"/>
                    </a:schemeClr>
                  </a:gs>
                  <a:gs pos="100000">
                    <a:schemeClr val="accent2">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50B5-4775-8601-80B58586B3EC}"/>
              </c:ext>
            </c:extLst>
          </c:dPt>
          <c:dPt>
            <c:idx val="20"/>
            <c:bubble3D val="0"/>
            <c:spPr>
              <a:gradFill rotWithShape="1">
                <a:gsLst>
                  <a:gs pos="0">
                    <a:schemeClr val="accent3">
                      <a:lumMod val="80000"/>
                      <a:tint val="94000"/>
                      <a:satMod val="103000"/>
                      <a:lumMod val="102000"/>
                    </a:schemeClr>
                  </a:gs>
                  <a:gs pos="50000">
                    <a:schemeClr val="accent3">
                      <a:lumMod val="80000"/>
                      <a:shade val="100000"/>
                      <a:satMod val="110000"/>
                      <a:lumMod val="100000"/>
                    </a:schemeClr>
                  </a:gs>
                  <a:gs pos="100000">
                    <a:schemeClr val="accent3">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50B5-4775-8601-80B58586B3EC}"/>
              </c:ext>
            </c:extLst>
          </c:dPt>
          <c:dPt>
            <c:idx val="21"/>
            <c:bubble3D val="0"/>
            <c:spPr>
              <a:gradFill rotWithShape="1">
                <a:gsLst>
                  <a:gs pos="0">
                    <a:schemeClr val="accent4">
                      <a:lumMod val="80000"/>
                      <a:tint val="94000"/>
                      <a:satMod val="103000"/>
                      <a:lumMod val="102000"/>
                    </a:schemeClr>
                  </a:gs>
                  <a:gs pos="50000">
                    <a:schemeClr val="accent4">
                      <a:lumMod val="80000"/>
                      <a:shade val="100000"/>
                      <a:satMod val="110000"/>
                      <a:lumMod val="100000"/>
                    </a:schemeClr>
                  </a:gs>
                  <a:gs pos="100000">
                    <a:schemeClr val="accent4">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0B5-4775-8601-80B58586B3EC}"/>
              </c:ext>
            </c:extLst>
          </c:dPt>
          <c:dPt>
            <c:idx val="22"/>
            <c:bubble3D val="0"/>
            <c:spPr>
              <a:gradFill rotWithShape="1">
                <a:gsLst>
                  <a:gs pos="0">
                    <a:schemeClr val="accent5">
                      <a:lumMod val="80000"/>
                      <a:tint val="94000"/>
                      <a:satMod val="103000"/>
                      <a:lumMod val="102000"/>
                    </a:schemeClr>
                  </a:gs>
                  <a:gs pos="50000">
                    <a:schemeClr val="accent5">
                      <a:lumMod val="80000"/>
                      <a:shade val="100000"/>
                      <a:satMod val="110000"/>
                      <a:lumMod val="100000"/>
                    </a:schemeClr>
                  </a:gs>
                  <a:gs pos="100000">
                    <a:schemeClr val="accent5">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0B5-4775-8601-80B58586B3EC}"/>
              </c:ext>
            </c:extLst>
          </c:dPt>
          <c:dPt>
            <c:idx val="23"/>
            <c:bubble3D val="0"/>
            <c:spPr>
              <a:gradFill rotWithShape="1">
                <a:gsLst>
                  <a:gs pos="0">
                    <a:schemeClr val="accent6">
                      <a:lumMod val="80000"/>
                      <a:tint val="94000"/>
                      <a:satMod val="103000"/>
                      <a:lumMod val="102000"/>
                    </a:schemeClr>
                  </a:gs>
                  <a:gs pos="50000">
                    <a:schemeClr val="accent6">
                      <a:lumMod val="80000"/>
                      <a:shade val="100000"/>
                      <a:satMod val="110000"/>
                      <a:lumMod val="100000"/>
                    </a:schemeClr>
                  </a:gs>
                  <a:gs pos="100000">
                    <a:schemeClr val="accent6">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0B5-4775-8601-80B58586B3EC}"/>
              </c:ext>
            </c:extLst>
          </c:dPt>
          <c:dPt>
            <c:idx val="24"/>
            <c:bubble3D val="0"/>
            <c:spPr>
              <a:gradFill rotWithShape="1">
                <a:gsLst>
                  <a:gs pos="0">
                    <a:schemeClr val="accent1">
                      <a:lumMod val="60000"/>
                      <a:lumOff val="40000"/>
                      <a:tint val="94000"/>
                      <a:satMod val="103000"/>
                      <a:lumMod val="102000"/>
                    </a:schemeClr>
                  </a:gs>
                  <a:gs pos="50000">
                    <a:schemeClr val="accent1">
                      <a:lumMod val="60000"/>
                      <a:lumOff val="40000"/>
                      <a:shade val="100000"/>
                      <a:satMod val="110000"/>
                      <a:lumMod val="100000"/>
                    </a:schemeClr>
                  </a:gs>
                  <a:gs pos="100000">
                    <a:schemeClr val="accent1">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50B5-4775-8601-80B58586B3EC}"/>
              </c:ext>
            </c:extLst>
          </c:dPt>
          <c:dPt>
            <c:idx val="25"/>
            <c:bubble3D val="0"/>
            <c:spPr>
              <a:gradFill rotWithShape="1">
                <a:gsLst>
                  <a:gs pos="0">
                    <a:schemeClr val="accent2">
                      <a:lumMod val="60000"/>
                      <a:lumOff val="40000"/>
                      <a:tint val="94000"/>
                      <a:satMod val="103000"/>
                      <a:lumMod val="102000"/>
                    </a:schemeClr>
                  </a:gs>
                  <a:gs pos="50000">
                    <a:schemeClr val="accent2">
                      <a:lumMod val="60000"/>
                      <a:lumOff val="40000"/>
                      <a:shade val="100000"/>
                      <a:satMod val="110000"/>
                      <a:lumMod val="100000"/>
                    </a:schemeClr>
                  </a:gs>
                  <a:gs pos="100000">
                    <a:schemeClr val="accent2">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50B5-4775-8601-80B58586B3EC}"/>
              </c:ext>
            </c:extLst>
          </c:dPt>
          <c:dPt>
            <c:idx val="26"/>
            <c:bubble3D val="0"/>
            <c:spPr>
              <a:gradFill rotWithShape="1">
                <a:gsLst>
                  <a:gs pos="0">
                    <a:schemeClr val="accent3">
                      <a:lumMod val="60000"/>
                      <a:lumOff val="40000"/>
                      <a:tint val="94000"/>
                      <a:satMod val="103000"/>
                      <a:lumMod val="102000"/>
                    </a:schemeClr>
                  </a:gs>
                  <a:gs pos="50000">
                    <a:schemeClr val="accent3">
                      <a:lumMod val="60000"/>
                      <a:lumOff val="40000"/>
                      <a:shade val="100000"/>
                      <a:satMod val="110000"/>
                      <a:lumMod val="100000"/>
                    </a:schemeClr>
                  </a:gs>
                  <a:gs pos="100000">
                    <a:schemeClr val="accent3">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50B5-4775-8601-80B58586B3EC}"/>
              </c:ext>
            </c:extLst>
          </c:dPt>
          <c:dPt>
            <c:idx val="27"/>
            <c:bubble3D val="0"/>
            <c:spPr>
              <a:gradFill rotWithShape="1">
                <a:gsLst>
                  <a:gs pos="0">
                    <a:schemeClr val="accent4">
                      <a:lumMod val="60000"/>
                      <a:lumOff val="40000"/>
                      <a:tint val="94000"/>
                      <a:satMod val="103000"/>
                      <a:lumMod val="102000"/>
                    </a:schemeClr>
                  </a:gs>
                  <a:gs pos="50000">
                    <a:schemeClr val="accent4">
                      <a:lumMod val="60000"/>
                      <a:lumOff val="40000"/>
                      <a:shade val="100000"/>
                      <a:satMod val="110000"/>
                      <a:lumMod val="100000"/>
                    </a:schemeClr>
                  </a:gs>
                  <a:gs pos="100000">
                    <a:schemeClr val="accent4">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50B5-4775-8601-80B58586B3EC}"/>
              </c:ext>
            </c:extLst>
          </c:dPt>
          <c:dPt>
            <c:idx val="28"/>
            <c:bubble3D val="0"/>
            <c:spPr>
              <a:gradFill rotWithShape="1">
                <a:gsLst>
                  <a:gs pos="0">
                    <a:schemeClr val="accent5">
                      <a:lumMod val="60000"/>
                      <a:lumOff val="40000"/>
                      <a:tint val="94000"/>
                      <a:satMod val="103000"/>
                      <a:lumMod val="102000"/>
                    </a:schemeClr>
                  </a:gs>
                  <a:gs pos="50000">
                    <a:schemeClr val="accent5">
                      <a:lumMod val="60000"/>
                      <a:lumOff val="40000"/>
                      <a:shade val="100000"/>
                      <a:satMod val="110000"/>
                      <a:lumMod val="100000"/>
                    </a:schemeClr>
                  </a:gs>
                  <a:gs pos="100000">
                    <a:schemeClr val="accent5">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50B5-4775-8601-80B58586B3EC}"/>
              </c:ext>
            </c:extLst>
          </c:dPt>
          <c:dPt>
            <c:idx val="29"/>
            <c:bubble3D val="0"/>
            <c:spPr>
              <a:gradFill rotWithShape="1">
                <a:gsLst>
                  <a:gs pos="0">
                    <a:schemeClr val="accent6">
                      <a:lumMod val="60000"/>
                      <a:lumOff val="40000"/>
                      <a:tint val="94000"/>
                      <a:satMod val="103000"/>
                      <a:lumMod val="102000"/>
                    </a:schemeClr>
                  </a:gs>
                  <a:gs pos="50000">
                    <a:schemeClr val="accent6">
                      <a:lumMod val="60000"/>
                      <a:lumOff val="40000"/>
                      <a:shade val="100000"/>
                      <a:satMod val="110000"/>
                      <a:lumMod val="100000"/>
                    </a:schemeClr>
                  </a:gs>
                  <a:gs pos="100000">
                    <a:schemeClr val="accent6">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50B5-4775-8601-80B58586B3EC}"/>
              </c:ext>
            </c:extLst>
          </c:dPt>
          <c:dPt>
            <c:idx val="30"/>
            <c:bubble3D val="0"/>
            <c:spPr>
              <a:gradFill rotWithShape="1">
                <a:gsLst>
                  <a:gs pos="0">
                    <a:schemeClr val="accent1">
                      <a:lumMod val="50000"/>
                      <a:tint val="94000"/>
                      <a:satMod val="103000"/>
                      <a:lumMod val="102000"/>
                    </a:schemeClr>
                  </a:gs>
                  <a:gs pos="50000">
                    <a:schemeClr val="accent1">
                      <a:lumMod val="50000"/>
                      <a:shade val="100000"/>
                      <a:satMod val="110000"/>
                      <a:lumMod val="100000"/>
                    </a:schemeClr>
                  </a:gs>
                  <a:gs pos="100000">
                    <a:schemeClr val="accent1">
                      <a:lumMod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50B5-4775-8601-80B58586B3EC}"/>
              </c:ext>
            </c:extLst>
          </c:dPt>
          <c:dPt>
            <c:idx val="31"/>
            <c:bubble3D val="0"/>
            <c:spPr>
              <a:gradFill rotWithShape="1">
                <a:gsLst>
                  <a:gs pos="0">
                    <a:schemeClr val="accent2">
                      <a:lumMod val="50000"/>
                      <a:tint val="94000"/>
                      <a:satMod val="103000"/>
                      <a:lumMod val="102000"/>
                    </a:schemeClr>
                  </a:gs>
                  <a:gs pos="50000">
                    <a:schemeClr val="accent2">
                      <a:lumMod val="50000"/>
                      <a:shade val="100000"/>
                      <a:satMod val="110000"/>
                      <a:lumMod val="100000"/>
                    </a:schemeClr>
                  </a:gs>
                  <a:gs pos="100000">
                    <a:schemeClr val="accent2">
                      <a:lumMod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50B5-4775-8601-80B58586B3EC}"/>
              </c:ext>
            </c:extLst>
          </c:dPt>
          <c:dPt>
            <c:idx val="32"/>
            <c:bubble3D val="0"/>
            <c:spPr>
              <a:gradFill rotWithShape="1">
                <a:gsLst>
                  <a:gs pos="0">
                    <a:schemeClr val="accent3">
                      <a:lumMod val="50000"/>
                      <a:tint val="94000"/>
                      <a:satMod val="103000"/>
                      <a:lumMod val="102000"/>
                    </a:schemeClr>
                  </a:gs>
                  <a:gs pos="50000">
                    <a:schemeClr val="accent3">
                      <a:lumMod val="50000"/>
                      <a:shade val="100000"/>
                      <a:satMod val="110000"/>
                      <a:lumMod val="100000"/>
                    </a:schemeClr>
                  </a:gs>
                  <a:gs pos="100000">
                    <a:schemeClr val="accent3">
                      <a:lumMod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50B5-4775-8601-80B58586B3EC}"/>
              </c:ext>
            </c:extLst>
          </c:dPt>
          <c:dPt>
            <c:idx val="33"/>
            <c:bubble3D val="0"/>
            <c:spPr>
              <a:gradFill rotWithShape="1">
                <a:gsLst>
                  <a:gs pos="0">
                    <a:schemeClr val="accent4">
                      <a:lumMod val="50000"/>
                      <a:tint val="94000"/>
                      <a:satMod val="103000"/>
                      <a:lumMod val="102000"/>
                    </a:schemeClr>
                  </a:gs>
                  <a:gs pos="50000">
                    <a:schemeClr val="accent4">
                      <a:lumMod val="50000"/>
                      <a:shade val="100000"/>
                      <a:satMod val="110000"/>
                      <a:lumMod val="100000"/>
                    </a:schemeClr>
                  </a:gs>
                  <a:gs pos="100000">
                    <a:schemeClr val="accent4">
                      <a:lumMod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50B5-4775-8601-80B58586B3EC}"/>
              </c:ext>
            </c:extLst>
          </c:dPt>
          <c:dPt>
            <c:idx val="34"/>
            <c:bubble3D val="0"/>
            <c:spPr>
              <a:gradFill rotWithShape="1">
                <a:gsLst>
                  <a:gs pos="0">
                    <a:schemeClr val="accent5">
                      <a:lumMod val="50000"/>
                      <a:tint val="94000"/>
                      <a:satMod val="103000"/>
                      <a:lumMod val="102000"/>
                    </a:schemeClr>
                  </a:gs>
                  <a:gs pos="50000">
                    <a:schemeClr val="accent5">
                      <a:lumMod val="50000"/>
                      <a:shade val="100000"/>
                      <a:satMod val="110000"/>
                      <a:lumMod val="100000"/>
                    </a:schemeClr>
                  </a:gs>
                  <a:gs pos="100000">
                    <a:schemeClr val="accent5">
                      <a:lumMod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50B5-4775-8601-80B58586B3EC}"/>
              </c:ext>
            </c:extLst>
          </c:dPt>
          <c:dPt>
            <c:idx val="35"/>
            <c:bubble3D val="0"/>
            <c:spPr>
              <a:gradFill rotWithShape="1">
                <a:gsLst>
                  <a:gs pos="0">
                    <a:schemeClr val="accent6">
                      <a:lumMod val="50000"/>
                      <a:tint val="94000"/>
                      <a:satMod val="103000"/>
                      <a:lumMod val="102000"/>
                    </a:schemeClr>
                  </a:gs>
                  <a:gs pos="50000">
                    <a:schemeClr val="accent6">
                      <a:lumMod val="50000"/>
                      <a:shade val="100000"/>
                      <a:satMod val="110000"/>
                      <a:lumMod val="100000"/>
                    </a:schemeClr>
                  </a:gs>
                  <a:gs pos="100000">
                    <a:schemeClr val="accent6">
                      <a:lumMod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50B5-4775-8601-80B58586B3EC}"/>
              </c:ext>
            </c:extLst>
          </c:dPt>
          <c:dPt>
            <c:idx val="36"/>
            <c:bubble3D val="0"/>
            <c:spPr>
              <a:gradFill rotWithShape="1">
                <a:gsLst>
                  <a:gs pos="0">
                    <a:schemeClr val="accent1">
                      <a:lumMod val="70000"/>
                      <a:lumOff val="30000"/>
                      <a:tint val="94000"/>
                      <a:satMod val="103000"/>
                      <a:lumMod val="102000"/>
                    </a:schemeClr>
                  </a:gs>
                  <a:gs pos="50000">
                    <a:schemeClr val="accent1">
                      <a:lumMod val="70000"/>
                      <a:lumOff val="30000"/>
                      <a:shade val="100000"/>
                      <a:satMod val="110000"/>
                      <a:lumMod val="100000"/>
                    </a:schemeClr>
                  </a:gs>
                  <a:gs pos="100000">
                    <a:schemeClr val="accent1">
                      <a:lumMod val="70000"/>
                      <a:lumOff val="3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50B5-4775-8601-80B58586B3EC}"/>
              </c:ext>
            </c:extLst>
          </c:dPt>
          <c:dPt>
            <c:idx val="37"/>
            <c:bubble3D val="0"/>
            <c:spPr>
              <a:gradFill rotWithShape="1">
                <a:gsLst>
                  <a:gs pos="0">
                    <a:schemeClr val="accent2">
                      <a:lumMod val="70000"/>
                      <a:lumOff val="30000"/>
                      <a:tint val="94000"/>
                      <a:satMod val="103000"/>
                      <a:lumMod val="102000"/>
                    </a:schemeClr>
                  </a:gs>
                  <a:gs pos="50000">
                    <a:schemeClr val="accent2">
                      <a:lumMod val="70000"/>
                      <a:lumOff val="30000"/>
                      <a:shade val="100000"/>
                      <a:satMod val="110000"/>
                      <a:lumMod val="100000"/>
                    </a:schemeClr>
                  </a:gs>
                  <a:gs pos="100000">
                    <a:schemeClr val="accent2">
                      <a:lumMod val="70000"/>
                      <a:lumOff val="3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50B5-4775-8601-80B58586B3EC}"/>
              </c:ext>
            </c:extLst>
          </c:dPt>
          <c:dPt>
            <c:idx val="38"/>
            <c:bubble3D val="0"/>
            <c:spPr>
              <a:gradFill rotWithShape="1">
                <a:gsLst>
                  <a:gs pos="0">
                    <a:schemeClr val="accent3">
                      <a:lumMod val="70000"/>
                      <a:lumOff val="30000"/>
                      <a:tint val="94000"/>
                      <a:satMod val="103000"/>
                      <a:lumMod val="102000"/>
                    </a:schemeClr>
                  </a:gs>
                  <a:gs pos="50000">
                    <a:schemeClr val="accent3">
                      <a:lumMod val="70000"/>
                      <a:lumOff val="30000"/>
                      <a:shade val="100000"/>
                      <a:satMod val="110000"/>
                      <a:lumMod val="100000"/>
                    </a:schemeClr>
                  </a:gs>
                  <a:gs pos="100000">
                    <a:schemeClr val="accent3">
                      <a:lumMod val="70000"/>
                      <a:lumOff val="3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50B5-4775-8601-80B58586B3EC}"/>
              </c:ext>
            </c:extLst>
          </c:dPt>
          <c:dPt>
            <c:idx val="39"/>
            <c:bubble3D val="0"/>
            <c:spPr>
              <a:gradFill rotWithShape="1">
                <a:gsLst>
                  <a:gs pos="0">
                    <a:schemeClr val="accent4">
                      <a:lumMod val="70000"/>
                      <a:lumOff val="30000"/>
                      <a:tint val="94000"/>
                      <a:satMod val="103000"/>
                      <a:lumMod val="102000"/>
                    </a:schemeClr>
                  </a:gs>
                  <a:gs pos="50000">
                    <a:schemeClr val="accent4">
                      <a:lumMod val="70000"/>
                      <a:lumOff val="30000"/>
                      <a:shade val="100000"/>
                      <a:satMod val="110000"/>
                      <a:lumMod val="100000"/>
                    </a:schemeClr>
                  </a:gs>
                  <a:gs pos="100000">
                    <a:schemeClr val="accent4">
                      <a:lumMod val="70000"/>
                      <a:lumOff val="3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50B5-4775-8601-80B58586B3EC}"/>
              </c:ext>
            </c:extLst>
          </c:dPt>
          <c:dPt>
            <c:idx val="40"/>
            <c:bubble3D val="0"/>
            <c:spPr>
              <a:gradFill rotWithShape="1">
                <a:gsLst>
                  <a:gs pos="0">
                    <a:schemeClr val="accent5">
                      <a:lumMod val="70000"/>
                      <a:lumOff val="30000"/>
                      <a:tint val="94000"/>
                      <a:satMod val="103000"/>
                      <a:lumMod val="102000"/>
                    </a:schemeClr>
                  </a:gs>
                  <a:gs pos="50000">
                    <a:schemeClr val="accent5">
                      <a:lumMod val="70000"/>
                      <a:lumOff val="30000"/>
                      <a:shade val="100000"/>
                      <a:satMod val="110000"/>
                      <a:lumMod val="100000"/>
                    </a:schemeClr>
                  </a:gs>
                  <a:gs pos="100000">
                    <a:schemeClr val="accent5">
                      <a:lumMod val="70000"/>
                      <a:lumOff val="3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50B5-4775-8601-80B58586B3EC}"/>
              </c:ext>
            </c:extLst>
          </c:dPt>
          <c:dPt>
            <c:idx val="41"/>
            <c:bubble3D val="0"/>
            <c:spPr>
              <a:gradFill rotWithShape="1">
                <a:gsLst>
                  <a:gs pos="0">
                    <a:schemeClr val="accent6">
                      <a:lumMod val="70000"/>
                      <a:lumOff val="30000"/>
                      <a:tint val="94000"/>
                      <a:satMod val="103000"/>
                      <a:lumMod val="102000"/>
                    </a:schemeClr>
                  </a:gs>
                  <a:gs pos="50000">
                    <a:schemeClr val="accent6">
                      <a:lumMod val="70000"/>
                      <a:lumOff val="30000"/>
                      <a:shade val="100000"/>
                      <a:satMod val="110000"/>
                      <a:lumMod val="100000"/>
                    </a:schemeClr>
                  </a:gs>
                  <a:gs pos="100000">
                    <a:schemeClr val="accent6">
                      <a:lumMod val="70000"/>
                      <a:lumOff val="3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50B5-4775-8601-80B58586B3EC}"/>
              </c:ext>
            </c:extLst>
          </c:dPt>
          <c:dPt>
            <c:idx val="42"/>
            <c:bubble3D val="0"/>
            <c:spPr>
              <a:gradFill rotWithShape="1">
                <a:gsLst>
                  <a:gs pos="0">
                    <a:schemeClr val="accent1">
                      <a:lumMod val="70000"/>
                      <a:tint val="94000"/>
                      <a:satMod val="103000"/>
                      <a:lumMod val="102000"/>
                    </a:schemeClr>
                  </a:gs>
                  <a:gs pos="50000">
                    <a:schemeClr val="accent1">
                      <a:lumMod val="70000"/>
                      <a:shade val="100000"/>
                      <a:satMod val="110000"/>
                      <a:lumMod val="100000"/>
                    </a:schemeClr>
                  </a:gs>
                  <a:gs pos="100000">
                    <a:schemeClr val="accent1">
                      <a:lumMod val="7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50B5-4775-8601-80B58586B3EC}"/>
              </c:ext>
            </c:extLst>
          </c:dPt>
          <c:dPt>
            <c:idx val="43"/>
            <c:bubble3D val="0"/>
            <c:spPr>
              <a:gradFill rotWithShape="1">
                <a:gsLst>
                  <a:gs pos="0">
                    <a:schemeClr val="accent2">
                      <a:lumMod val="70000"/>
                      <a:tint val="94000"/>
                      <a:satMod val="103000"/>
                      <a:lumMod val="102000"/>
                    </a:schemeClr>
                  </a:gs>
                  <a:gs pos="50000">
                    <a:schemeClr val="accent2">
                      <a:lumMod val="70000"/>
                      <a:shade val="100000"/>
                      <a:satMod val="110000"/>
                      <a:lumMod val="100000"/>
                    </a:schemeClr>
                  </a:gs>
                  <a:gs pos="100000">
                    <a:schemeClr val="accent2">
                      <a:lumMod val="7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50B5-4775-8601-80B58586B3EC}"/>
              </c:ext>
            </c:extLst>
          </c:dPt>
          <c:dPt>
            <c:idx val="44"/>
            <c:bubble3D val="0"/>
            <c:spPr>
              <a:gradFill rotWithShape="1">
                <a:gsLst>
                  <a:gs pos="0">
                    <a:schemeClr val="accent3">
                      <a:lumMod val="70000"/>
                      <a:tint val="94000"/>
                      <a:satMod val="103000"/>
                      <a:lumMod val="102000"/>
                    </a:schemeClr>
                  </a:gs>
                  <a:gs pos="50000">
                    <a:schemeClr val="accent3">
                      <a:lumMod val="70000"/>
                      <a:shade val="100000"/>
                      <a:satMod val="110000"/>
                      <a:lumMod val="100000"/>
                    </a:schemeClr>
                  </a:gs>
                  <a:gs pos="100000">
                    <a:schemeClr val="accent3">
                      <a:lumMod val="7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50B5-4775-8601-80B58586B3EC}"/>
              </c:ext>
            </c:extLst>
          </c:dPt>
          <c:dPt>
            <c:idx val="45"/>
            <c:bubble3D val="0"/>
            <c:spPr>
              <a:gradFill rotWithShape="1">
                <a:gsLst>
                  <a:gs pos="0">
                    <a:schemeClr val="accent4">
                      <a:lumMod val="70000"/>
                      <a:tint val="94000"/>
                      <a:satMod val="103000"/>
                      <a:lumMod val="102000"/>
                    </a:schemeClr>
                  </a:gs>
                  <a:gs pos="50000">
                    <a:schemeClr val="accent4">
                      <a:lumMod val="70000"/>
                      <a:shade val="100000"/>
                      <a:satMod val="110000"/>
                      <a:lumMod val="100000"/>
                    </a:schemeClr>
                  </a:gs>
                  <a:gs pos="100000">
                    <a:schemeClr val="accent4">
                      <a:lumMod val="7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50B5-4775-8601-80B58586B3EC}"/>
              </c:ext>
            </c:extLst>
          </c:dPt>
          <c:dPt>
            <c:idx val="46"/>
            <c:bubble3D val="0"/>
            <c:spPr>
              <a:gradFill rotWithShape="1">
                <a:gsLst>
                  <a:gs pos="0">
                    <a:schemeClr val="accent5">
                      <a:lumMod val="70000"/>
                      <a:tint val="94000"/>
                      <a:satMod val="103000"/>
                      <a:lumMod val="102000"/>
                    </a:schemeClr>
                  </a:gs>
                  <a:gs pos="50000">
                    <a:schemeClr val="accent5">
                      <a:lumMod val="70000"/>
                      <a:shade val="100000"/>
                      <a:satMod val="110000"/>
                      <a:lumMod val="100000"/>
                    </a:schemeClr>
                  </a:gs>
                  <a:gs pos="100000">
                    <a:schemeClr val="accent5">
                      <a:lumMod val="7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50B5-4775-8601-80B58586B3EC}"/>
              </c:ext>
            </c:extLst>
          </c:dPt>
          <c:dPt>
            <c:idx val="47"/>
            <c:bubble3D val="0"/>
            <c:spPr>
              <a:gradFill rotWithShape="1">
                <a:gsLst>
                  <a:gs pos="0">
                    <a:schemeClr val="accent6">
                      <a:lumMod val="70000"/>
                      <a:tint val="94000"/>
                      <a:satMod val="103000"/>
                      <a:lumMod val="102000"/>
                    </a:schemeClr>
                  </a:gs>
                  <a:gs pos="50000">
                    <a:schemeClr val="accent6">
                      <a:lumMod val="70000"/>
                      <a:shade val="100000"/>
                      <a:satMod val="110000"/>
                      <a:lumMod val="100000"/>
                    </a:schemeClr>
                  </a:gs>
                  <a:gs pos="100000">
                    <a:schemeClr val="accent6">
                      <a:lumMod val="7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50B5-4775-8601-80B58586B3EC}"/>
              </c:ext>
            </c:extLst>
          </c:dPt>
          <c:dPt>
            <c:idx val="48"/>
            <c:bubble3D val="0"/>
            <c:spPr>
              <a:gradFill rotWithShape="1">
                <a:gsLst>
                  <a:gs pos="0">
                    <a:schemeClr val="accent1">
                      <a:lumMod val="50000"/>
                      <a:lumOff val="50000"/>
                      <a:tint val="94000"/>
                      <a:satMod val="103000"/>
                      <a:lumMod val="102000"/>
                    </a:schemeClr>
                  </a:gs>
                  <a:gs pos="50000">
                    <a:schemeClr val="accent1">
                      <a:lumMod val="50000"/>
                      <a:lumOff val="50000"/>
                      <a:shade val="100000"/>
                      <a:satMod val="110000"/>
                      <a:lumMod val="100000"/>
                    </a:schemeClr>
                  </a:gs>
                  <a:gs pos="100000">
                    <a:schemeClr val="accent1">
                      <a:lumMod val="50000"/>
                      <a:lumOff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50B5-4775-8601-80B58586B3EC}"/>
              </c:ext>
            </c:extLst>
          </c:dPt>
          <c:dPt>
            <c:idx val="49"/>
            <c:bubble3D val="0"/>
            <c:spPr>
              <a:gradFill rotWithShape="1">
                <a:gsLst>
                  <a:gs pos="0">
                    <a:schemeClr val="accent2">
                      <a:lumMod val="50000"/>
                      <a:lumOff val="50000"/>
                      <a:tint val="94000"/>
                      <a:satMod val="103000"/>
                      <a:lumMod val="102000"/>
                    </a:schemeClr>
                  </a:gs>
                  <a:gs pos="50000">
                    <a:schemeClr val="accent2">
                      <a:lumMod val="50000"/>
                      <a:lumOff val="50000"/>
                      <a:shade val="100000"/>
                      <a:satMod val="110000"/>
                      <a:lumMod val="100000"/>
                    </a:schemeClr>
                  </a:gs>
                  <a:gs pos="100000">
                    <a:schemeClr val="accent2">
                      <a:lumMod val="50000"/>
                      <a:lumOff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50B5-4775-8601-80B58586B3EC}"/>
              </c:ext>
            </c:extLst>
          </c:dPt>
          <c:dPt>
            <c:idx val="50"/>
            <c:bubble3D val="0"/>
            <c:spPr>
              <a:gradFill rotWithShape="1">
                <a:gsLst>
                  <a:gs pos="0">
                    <a:schemeClr val="accent3">
                      <a:lumMod val="50000"/>
                      <a:lumOff val="50000"/>
                      <a:tint val="94000"/>
                      <a:satMod val="103000"/>
                      <a:lumMod val="102000"/>
                    </a:schemeClr>
                  </a:gs>
                  <a:gs pos="50000">
                    <a:schemeClr val="accent3">
                      <a:lumMod val="50000"/>
                      <a:lumOff val="50000"/>
                      <a:shade val="100000"/>
                      <a:satMod val="110000"/>
                      <a:lumMod val="100000"/>
                    </a:schemeClr>
                  </a:gs>
                  <a:gs pos="100000">
                    <a:schemeClr val="accent3">
                      <a:lumMod val="50000"/>
                      <a:lumOff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50B5-4775-8601-80B58586B3EC}"/>
              </c:ext>
            </c:extLst>
          </c:dPt>
          <c:dPt>
            <c:idx val="51"/>
            <c:bubble3D val="0"/>
            <c:spPr>
              <a:gradFill rotWithShape="1">
                <a:gsLst>
                  <a:gs pos="0">
                    <a:schemeClr val="accent4">
                      <a:lumMod val="50000"/>
                      <a:lumOff val="50000"/>
                      <a:tint val="94000"/>
                      <a:satMod val="103000"/>
                      <a:lumMod val="102000"/>
                    </a:schemeClr>
                  </a:gs>
                  <a:gs pos="50000">
                    <a:schemeClr val="accent4">
                      <a:lumMod val="50000"/>
                      <a:lumOff val="50000"/>
                      <a:shade val="100000"/>
                      <a:satMod val="110000"/>
                      <a:lumMod val="100000"/>
                    </a:schemeClr>
                  </a:gs>
                  <a:gs pos="100000">
                    <a:schemeClr val="accent4">
                      <a:lumMod val="50000"/>
                      <a:lumOff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50B5-4775-8601-80B58586B3EC}"/>
              </c:ext>
            </c:extLst>
          </c:dPt>
          <c:dPt>
            <c:idx val="52"/>
            <c:bubble3D val="0"/>
            <c:spPr>
              <a:gradFill rotWithShape="1">
                <a:gsLst>
                  <a:gs pos="0">
                    <a:schemeClr val="accent5">
                      <a:lumMod val="50000"/>
                      <a:lumOff val="50000"/>
                      <a:tint val="94000"/>
                      <a:satMod val="103000"/>
                      <a:lumMod val="102000"/>
                    </a:schemeClr>
                  </a:gs>
                  <a:gs pos="50000">
                    <a:schemeClr val="accent5">
                      <a:lumMod val="50000"/>
                      <a:lumOff val="50000"/>
                      <a:shade val="100000"/>
                      <a:satMod val="110000"/>
                      <a:lumMod val="100000"/>
                    </a:schemeClr>
                  </a:gs>
                  <a:gs pos="100000">
                    <a:schemeClr val="accent5">
                      <a:lumMod val="50000"/>
                      <a:lumOff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50B5-4775-8601-80B58586B3EC}"/>
              </c:ext>
            </c:extLst>
          </c:dPt>
          <c:dPt>
            <c:idx val="53"/>
            <c:bubble3D val="0"/>
            <c:spPr>
              <a:gradFill rotWithShape="1">
                <a:gsLst>
                  <a:gs pos="0">
                    <a:schemeClr val="accent6">
                      <a:lumMod val="50000"/>
                      <a:lumOff val="50000"/>
                      <a:tint val="94000"/>
                      <a:satMod val="103000"/>
                      <a:lumMod val="102000"/>
                    </a:schemeClr>
                  </a:gs>
                  <a:gs pos="50000">
                    <a:schemeClr val="accent6">
                      <a:lumMod val="50000"/>
                      <a:lumOff val="50000"/>
                      <a:shade val="100000"/>
                      <a:satMod val="110000"/>
                      <a:lumMod val="100000"/>
                    </a:schemeClr>
                  </a:gs>
                  <a:gs pos="100000">
                    <a:schemeClr val="accent6">
                      <a:lumMod val="50000"/>
                      <a:lumOff val="5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50B5-4775-8601-80B58586B3EC}"/>
              </c:ext>
            </c:extLst>
          </c:dPt>
          <c:dPt>
            <c:idx val="54"/>
            <c:bubble3D val="0"/>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50B5-4775-8601-80B58586B3EC}"/>
              </c:ext>
            </c:extLst>
          </c:dPt>
          <c:dPt>
            <c:idx val="55"/>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50B5-4775-8601-80B58586B3EC}"/>
              </c:ext>
            </c:extLst>
          </c:dPt>
          <c:dPt>
            <c:idx val="56"/>
            <c:bubble3D val="0"/>
            <c:spPr>
              <a:gradFill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50B5-4775-8601-80B58586B3EC}"/>
              </c:ext>
            </c:extLst>
          </c:dPt>
          <c:dPt>
            <c:idx val="57"/>
            <c:bubble3D val="0"/>
            <c:spPr>
              <a:gradFill rotWithShape="1">
                <a:gsLst>
                  <a:gs pos="0">
                    <a:schemeClr val="accent4">
                      <a:tint val="94000"/>
                      <a:satMod val="103000"/>
                      <a:lumMod val="102000"/>
                    </a:schemeClr>
                  </a:gs>
                  <a:gs pos="50000">
                    <a:schemeClr val="accent4">
                      <a:shade val="100000"/>
                      <a:satMod val="110000"/>
                      <a:lumMod val="100000"/>
                    </a:schemeClr>
                  </a:gs>
                  <a:gs pos="100000">
                    <a:schemeClr val="accent4">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50B5-4775-8601-80B58586B3EC}"/>
              </c:ext>
            </c:extLst>
          </c:dPt>
          <c:dPt>
            <c:idx val="58"/>
            <c:bubble3D val="0"/>
            <c:spPr>
              <a:gradFill rotWithShape="1">
                <a:gsLst>
                  <a:gs pos="0">
                    <a:schemeClr val="accent5">
                      <a:tint val="94000"/>
                      <a:satMod val="103000"/>
                      <a:lumMod val="102000"/>
                    </a:schemeClr>
                  </a:gs>
                  <a:gs pos="50000">
                    <a:schemeClr val="accent5">
                      <a:shade val="100000"/>
                      <a:satMod val="110000"/>
                      <a:lumMod val="100000"/>
                    </a:schemeClr>
                  </a:gs>
                  <a:gs pos="100000">
                    <a:schemeClr val="accent5">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50B5-4775-8601-80B58586B3EC}"/>
              </c:ext>
            </c:extLst>
          </c:dPt>
          <c:dPt>
            <c:idx val="59"/>
            <c:bubble3D val="0"/>
            <c:spPr>
              <a:gradFill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50B5-4775-8601-80B58586B3EC}"/>
              </c:ext>
            </c:extLst>
          </c:dPt>
          <c:dPt>
            <c:idx val="60"/>
            <c:bubble3D val="0"/>
            <c:spPr>
              <a:gradFill rotWithShape="1">
                <a:gsLst>
                  <a:gs pos="0">
                    <a:schemeClr val="accent1">
                      <a:lumMod val="60000"/>
                      <a:tint val="94000"/>
                      <a:satMod val="103000"/>
                      <a:lumMod val="102000"/>
                    </a:schemeClr>
                  </a:gs>
                  <a:gs pos="50000">
                    <a:schemeClr val="accent1">
                      <a:lumMod val="60000"/>
                      <a:shade val="100000"/>
                      <a:satMod val="110000"/>
                      <a:lumMod val="100000"/>
                    </a:schemeClr>
                  </a:gs>
                  <a:gs pos="100000">
                    <a:schemeClr val="accent1">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50B5-4775-8601-80B58586B3EC}"/>
              </c:ext>
            </c:extLst>
          </c:dPt>
          <c:dPt>
            <c:idx val="61"/>
            <c:bubble3D val="0"/>
            <c:spPr>
              <a:gradFill rotWithShape="1">
                <a:gsLst>
                  <a:gs pos="0">
                    <a:schemeClr val="accent2">
                      <a:lumMod val="60000"/>
                      <a:tint val="94000"/>
                      <a:satMod val="103000"/>
                      <a:lumMod val="102000"/>
                    </a:schemeClr>
                  </a:gs>
                  <a:gs pos="50000">
                    <a:schemeClr val="accent2">
                      <a:lumMod val="60000"/>
                      <a:shade val="100000"/>
                      <a:satMod val="110000"/>
                      <a:lumMod val="100000"/>
                    </a:schemeClr>
                  </a:gs>
                  <a:gs pos="100000">
                    <a:schemeClr val="accent2">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50B5-4775-8601-80B58586B3EC}"/>
              </c:ext>
            </c:extLst>
          </c:dPt>
          <c:dPt>
            <c:idx val="62"/>
            <c:bubble3D val="0"/>
            <c:spPr>
              <a:gradFill rotWithShape="1">
                <a:gsLst>
                  <a:gs pos="0">
                    <a:schemeClr val="accent3">
                      <a:lumMod val="60000"/>
                      <a:tint val="94000"/>
                      <a:satMod val="103000"/>
                      <a:lumMod val="102000"/>
                    </a:schemeClr>
                  </a:gs>
                  <a:gs pos="50000">
                    <a:schemeClr val="accent3">
                      <a:lumMod val="60000"/>
                      <a:shade val="100000"/>
                      <a:satMod val="110000"/>
                      <a:lumMod val="100000"/>
                    </a:schemeClr>
                  </a:gs>
                  <a:gs pos="100000">
                    <a:schemeClr val="accent3">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50B5-4775-8601-80B58586B3EC}"/>
              </c:ext>
            </c:extLst>
          </c:dPt>
          <c:dPt>
            <c:idx val="63"/>
            <c:bubble3D val="0"/>
            <c:spPr>
              <a:gradFill rotWithShape="1">
                <a:gsLst>
                  <a:gs pos="0">
                    <a:schemeClr val="accent4">
                      <a:lumMod val="60000"/>
                      <a:tint val="94000"/>
                      <a:satMod val="103000"/>
                      <a:lumMod val="102000"/>
                    </a:schemeClr>
                  </a:gs>
                  <a:gs pos="50000">
                    <a:schemeClr val="accent4">
                      <a:lumMod val="60000"/>
                      <a:shade val="100000"/>
                      <a:satMod val="110000"/>
                      <a:lumMod val="100000"/>
                    </a:schemeClr>
                  </a:gs>
                  <a:gs pos="100000">
                    <a:schemeClr val="accent4">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50B5-4775-8601-80B58586B3EC}"/>
              </c:ext>
            </c:extLst>
          </c:dPt>
          <c:dPt>
            <c:idx val="64"/>
            <c:bubble3D val="0"/>
            <c:spPr>
              <a:gradFill rotWithShape="1">
                <a:gsLst>
                  <a:gs pos="0">
                    <a:schemeClr val="accent5">
                      <a:lumMod val="60000"/>
                      <a:tint val="94000"/>
                      <a:satMod val="103000"/>
                      <a:lumMod val="102000"/>
                    </a:schemeClr>
                  </a:gs>
                  <a:gs pos="50000">
                    <a:schemeClr val="accent5">
                      <a:lumMod val="60000"/>
                      <a:shade val="100000"/>
                      <a:satMod val="110000"/>
                      <a:lumMod val="100000"/>
                    </a:schemeClr>
                  </a:gs>
                  <a:gs pos="100000">
                    <a:schemeClr val="accent5">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50B5-4775-8601-80B58586B3EC}"/>
              </c:ext>
            </c:extLst>
          </c:dPt>
          <c:dPt>
            <c:idx val="65"/>
            <c:bubble3D val="0"/>
            <c:spPr>
              <a:gradFill rotWithShape="1">
                <a:gsLst>
                  <a:gs pos="0">
                    <a:schemeClr val="accent6">
                      <a:lumMod val="60000"/>
                      <a:tint val="94000"/>
                      <a:satMod val="103000"/>
                      <a:lumMod val="102000"/>
                    </a:schemeClr>
                  </a:gs>
                  <a:gs pos="50000">
                    <a:schemeClr val="accent6">
                      <a:lumMod val="60000"/>
                      <a:shade val="100000"/>
                      <a:satMod val="110000"/>
                      <a:lumMod val="100000"/>
                    </a:schemeClr>
                  </a:gs>
                  <a:gs pos="100000">
                    <a:schemeClr val="accent6">
                      <a:lumMod val="6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50B5-4775-8601-80B58586B3EC}"/>
              </c:ext>
            </c:extLst>
          </c:dPt>
          <c:dPt>
            <c:idx val="66"/>
            <c:bubble3D val="0"/>
            <c:spPr>
              <a:gradFill rotWithShape="1">
                <a:gsLst>
                  <a:gs pos="0">
                    <a:schemeClr val="accent1">
                      <a:lumMod val="80000"/>
                      <a:lumOff val="20000"/>
                      <a:tint val="94000"/>
                      <a:satMod val="103000"/>
                      <a:lumMod val="102000"/>
                    </a:schemeClr>
                  </a:gs>
                  <a:gs pos="50000">
                    <a:schemeClr val="accent1">
                      <a:lumMod val="80000"/>
                      <a:lumOff val="20000"/>
                      <a:shade val="100000"/>
                      <a:satMod val="110000"/>
                      <a:lumMod val="100000"/>
                    </a:schemeClr>
                  </a:gs>
                  <a:gs pos="100000">
                    <a:schemeClr val="accent1">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50B5-4775-8601-80B58586B3EC}"/>
              </c:ext>
            </c:extLst>
          </c:dPt>
          <c:dPt>
            <c:idx val="67"/>
            <c:bubble3D val="0"/>
            <c:spPr>
              <a:gradFill rotWithShape="1">
                <a:gsLst>
                  <a:gs pos="0">
                    <a:schemeClr val="accent2">
                      <a:lumMod val="80000"/>
                      <a:lumOff val="20000"/>
                      <a:tint val="94000"/>
                      <a:satMod val="103000"/>
                      <a:lumMod val="102000"/>
                    </a:schemeClr>
                  </a:gs>
                  <a:gs pos="50000">
                    <a:schemeClr val="accent2">
                      <a:lumMod val="80000"/>
                      <a:lumOff val="20000"/>
                      <a:shade val="100000"/>
                      <a:satMod val="110000"/>
                      <a:lumMod val="100000"/>
                    </a:schemeClr>
                  </a:gs>
                  <a:gs pos="100000">
                    <a:schemeClr val="accent2">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50B5-4775-8601-80B58586B3EC}"/>
              </c:ext>
            </c:extLst>
          </c:dPt>
          <c:dPt>
            <c:idx val="68"/>
            <c:bubble3D val="0"/>
            <c:spPr>
              <a:gradFill rotWithShape="1">
                <a:gsLst>
                  <a:gs pos="0">
                    <a:schemeClr val="accent3">
                      <a:lumMod val="80000"/>
                      <a:lumOff val="20000"/>
                      <a:tint val="94000"/>
                      <a:satMod val="103000"/>
                      <a:lumMod val="102000"/>
                    </a:schemeClr>
                  </a:gs>
                  <a:gs pos="50000">
                    <a:schemeClr val="accent3">
                      <a:lumMod val="80000"/>
                      <a:lumOff val="20000"/>
                      <a:shade val="100000"/>
                      <a:satMod val="110000"/>
                      <a:lumMod val="100000"/>
                    </a:schemeClr>
                  </a:gs>
                  <a:gs pos="100000">
                    <a:schemeClr val="accent3">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50B5-4775-8601-80B58586B3EC}"/>
              </c:ext>
            </c:extLst>
          </c:dPt>
          <c:dPt>
            <c:idx val="69"/>
            <c:bubble3D val="0"/>
            <c:spPr>
              <a:gradFill rotWithShape="1">
                <a:gsLst>
                  <a:gs pos="0">
                    <a:schemeClr val="accent4">
                      <a:lumMod val="80000"/>
                      <a:lumOff val="20000"/>
                      <a:tint val="94000"/>
                      <a:satMod val="103000"/>
                      <a:lumMod val="102000"/>
                    </a:schemeClr>
                  </a:gs>
                  <a:gs pos="50000">
                    <a:schemeClr val="accent4">
                      <a:lumMod val="80000"/>
                      <a:lumOff val="20000"/>
                      <a:shade val="100000"/>
                      <a:satMod val="110000"/>
                      <a:lumMod val="100000"/>
                    </a:schemeClr>
                  </a:gs>
                  <a:gs pos="100000">
                    <a:schemeClr val="accent4">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50B5-4775-8601-80B58586B3EC}"/>
              </c:ext>
            </c:extLst>
          </c:dPt>
          <c:dPt>
            <c:idx val="70"/>
            <c:bubble3D val="0"/>
            <c:spPr>
              <a:gradFill rotWithShape="1">
                <a:gsLst>
                  <a:gs pos="0">
                    <a:schemeClr val="accent5">
                      <a:lumMod val="80000"/>
                      <a:lumOff val="20000"/>
                      <a:tint val="94000"/>
                      <a:satMod val="103000"/>
                      <a:lumMod val="102000"/>
                    </a:schemeClr>
                  </a:gs>
                  <a:gs pos="50000">
                    <a:schemeClr val="accent5">
                      <a:lumMod val="80000"/>
                      <a:lumOff val="20000"/>
                      <a:shade val="100000"/>
                      <a:satMod val="110000"/>
                      <a:lumMod val="100000"/>
                    </a:schemeClr>
                  </a:gs>
                  <a:gs pos="100000">
                    <a:schemeClr val="accent5">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D-50B5-4775-8601-80B58586B3EC}"/>
              </c:ext>
            </c:extLst>
          </c:dPt>
          <c:dPt>
            <c:idx val="71"/>
            <c:bubble3D val="0"/>
            <c:spPr>
              <a:gradFill rotWithShape="1">
                <a:gsLst>
                  <a:gs pos="0">
                    <a:schemeClr val="accent6">
                      <a:lumMod val="80000"/>
                      <a:lumOff val="20000"/>
                      <a:tint val="94000"/>
                      <a:satMod val="103000"/>
                      <a:lumMod val="102000"/>
                    </a:schemeClr>
                  </a:gs>
                  <a:gs pos="50000">
                    <a:schemeClr val="accent6">
                      <a:lumMod val="80000"/>
                      <a:lumOff val="20000"/>
                      <a:shade val="100000"/>
                      <a:satMod val="110000"/>
                      <a:lumMod val="100000"/>
                    </a:schemeClr>
                  </a:gs>
                  <a:gs pos="100000">
                    <a:schemeClr val="accent6">
                      <a:lumMod val="80000"/>
                      <a:lumOff val="2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F-50B5-4775-8601-80B58586B3EC}"/>
              </c:ext>
            </c:extLst>
          </c:dPt>
          <c:dPt>
            <c:idx val="72"/>
            <c:bubble3D val="0"/>
            <c:spPr>
              <a:gradFill rotWithShape="1">
                <a:gsLst>
                  <a:gs pos="0">
                    <a:schemeClr val="accent1">
                      <a:lumMod val="80000"/>
                      <a:tint val="94000"/>
                      <a:satMod val="103000"/>
                      <a:lumMod val="102000"/>
                    </a:schemeClr>
                  </a:gs>
                  <a:gs pos="50000">
                    <a:schemeClr val="accent1">
                      <a:lumMod val="80000"/>
                      <a:shade val="100000"/>
                      <a:satMod val="110000"/>
                      <a:lumMod val="100000"/>
                    </a:schemeClr>
                  </a:gs>
                  <a:gs pos="100000">
                    <a:schemeClr val="accent1">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1-50B5-4775-8601-80B58586B3EC}"/>
              </c:ext>
            </c:extLst>
          </c:dPt>
          <c:dPt>
            <c:idx val="73"/>
            <c:bubble3D val="0"/>
            <c:spPr>
              <a:gradFill rotWithShape="1">
                <a:gsLst>
                  <a:gs pos="0">
                    <a:schemeClr val="accent2">
                      <a:lumMod val="80000"/>
                      <a:tint val="94000"/>
                      <a:satMod val="103000"/>
                      <a:lumMod val="102000"/>
                    </a:schemeClr>
                  </a:gs>
                  <a:gs pos="50000">
                    <a:schemeClr val="accent2">
                      <a:lumMod val="80000"/>
                      <a:shade val="100000"/>
                      <a:satMod val="110000"/>
                      <a:lumMod val="100000"/>
                    </a:schemeClr>
                  </a:gs>
                  <a:gs pos="100000">
                    <a:schemeClr val="accent2">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3-50B5-4775-8601-80B58586B3EC}"/>
              </c:ext>
            </c:extLst>
          </c:dPt>
          <c:dPt>
            <c:idx val="74"/>
            <c:bubble3D val="0"/>
            <c:spPr>
              <a:gradFill rotWithShape="1">
                <a:gsLst>
                  <a:gs pos="0">
                    <a:schemeClr val="accent3">
                      <a:lumMod val="80000"/>
                      <a:tint val="94000"/>
                      <a:satMod val="103000"/>
                      <a:lumMod val="102000"/>
                    </a:schemeClr>
                  </a:gs>
                  <a:gs pos="50000">
                    <a:schemeClr val="accent3">
                      <a:lumMod val="80000"/>
                      <a:shade val="100000"/>
                      <a:satMod val="110000"/>
                      <a:lumMod val="100000"/>
                    </a:schemeClr>
                  </a:gs>
                  <a:gs pos="100000">
                    <a:schemeClr val="accent3">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5-50B5-4775-8601-80B58586B3EC}"/>
              </c:ext>
            </c:extLst>
          </c:dPt>
          <c:dPt>
            <c:idx val="75"/>
            <c:bubble3D val="0"/>
            <c:spPr>
              <a:gradFill rotWithShape="1">
                <a:gsLst>
                  <a:gs pos="0">
                    <a:schemeClr val="accent4">
                      <a:lumMod val="80000"/>
                      <a:tint val="94000"/>
                      <a:satMod val="103000"/>
                      <a:lumMod val="102000"/>
                    </a:schemeClr>
                  </a:gs>
                  <a:gs pos="50000">
                    <a:schemeClr val="accent4">
                      <a:lumMod val="80000"/>
                      <a:shade val="100000"/>
                      <a:satMod val="110000"/>
                      <a:lumMod val="100000"/>
                    </a:schemeClr>
                  </a:gs>
                  <a:gs pos="100000">
                    <a:schemeClr val="accent4">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7-50B5-4775-8601-80B58586B3EC}"/>
              </c:ext>
            </c:extLst>
          </c:dPt>
          <c:dPt>
            <c:idx val="76"/>
            <c:bubble3D val="0"/>
            <c:spPr>
              <a:gradFill rotWithShape="1">
                <a:gsLst>
                  <a:gs pos="0">
                    <a:schemeClr val="accent5">
                      <a:lumMod val="80000"/>
                      <a:tint val="94000"/>
                      <a:satMod val="103000"/>
                      <a:lumMod val="102000"/>
                    </a:schemeClr>
                  </a:gs>
                  <a:gs pos="50000">
                    <a:schemeClr val="accent5">
                      <a:lumMod val="80000"/>
                      <a:shade val="100000"/>
                      <a:satMod val="110000"/>
                      <a:lumMod val="100000"/>
                    </a:schemeClr>
                  </a:gs>
                  <a:gs pos="100000">
                    <a:schemeClr val="accent5">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9-50B5-4775-8601-80B58586B3EC}"/>
              </c:ext>
            </c:extLst>
          </c:dPt>
          <c:dPt>
            <c:idx val="77"/>
            <c:bubble3D val="0"/>
            <c:spPr>
              <a:gradFill rotWithShape="1">
                <a:gsLst>
                  <a:gs pos="0">
                    <a:schemeClr val="accent6">
                      <a:lumMod val="80000"/>
                      <a:tint val="94000"/>
                      <a:satMod val="103000"/>
                      <a:lumMod val="102000"/>
                    </a:schemeClr>
                  </a:gs>
                  <a:gs pos="50000">
                    <a:schemeClr val="accent6">
                      <a:lumMod val="80000"/>
                      <a:shade val="100000"/>
                      <a:satMod val="110000"/>
                      <a:lumMod val="100000"/>
                    </a:schemeClr>
                  </a:gs>
                  <a:gs pos="100000">
                    <a:schemeClr val="accent6">
                      <a:lumMod val="8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B-50B5-4775-8601-80B58586B3EC}"/>
              </c:ext>
            </c:extLst>
          </c:dPt>
          <c:dPt>
            <c:idx val="78"/>
            <c:bubble3D val="0"/>
            <c:spPr>
              <a:gradFill rotWithShape="1">
                <a:gsLst>
                  <a:gs pos="0">
                    <a:schemeClr val="accent1">
                      <a:lumMod val="60000"/>
                      <a:lumOff val="40000"/>
                      <a:tint val="94000"/>
                      <a:satMod val="103000"/>
                      <a:lumMod val="102000"/>
                    </a:schemeClr>
                  </a:gs>
                  <a:gs pos="50000">
                    <a:schemeClr val="accent1">
                      <a:lumMod val="60000"/>
                      <a:lumOff val="40000"/>
                      <a:shade val="100000"/>
                      <a:satMod val="110000"/>
                      <a:lumMod val="100000"/>
                    </a:schemeClr>
                  </a:gs>
                  <a:gs pos="100000">
                    <a:schemeClr val="accent1">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D-50B5-4775-8601-80B58586B3EC}"/>
              </c:ext>
            </c:extLst>
          </c:dPt>
          <c:dPt>
            <c:idx val="79"/>
            <c:bubble3D val="0"/>
            <c:spPr>
              <a:gradFill rotWithShape="1">
                <a:gsLst>
                  <a:gs pos="0">
                    <a:schemeClr val="accent2">
                      <a:lumMod val="60000"/>
                      <a:lumOff val="40000"/>
                      <a:tint val="94000"/>
                      <a:satMod val="103000"/>
                      <a:lumMod val="102000"/>
                    </a:schemeClr>
                  </a:gs>
                  <a:gs pos="50000">
                    <a:schemeClr val="accent2">
                      <a:lumMod val="60000"/>
                      <a:lumOff val="40000"/>
                      <a:shade val="100000"/>
                      <a:satMod val="110000"/>
                      <a:lumMod val="100000"/>
                    </a:schemeClr>
                  </a:gs>
                  <a:gs pos="100000">
                    <a:schemeClr val="accent2">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9F-50B5-4775-8601-80B58586B3EC}"/>
              </c:ext>
            </c:extLst>
          </c:dPt>
          <c:dPt>
            <c:idx val="80"/>
            <c:bubble3D val="0"/>
            <c:spPr>
              <a:gradFill rotWithShape="1">
                <a:gsLst>
                  <a:gs pos="0">
                    <a:schemeClr val="accent3">
                      <a:lumMod val="60000"/>
                      <a:lumOff val="40000"/>
                      <a:tint val="94000"/>
                      <a:satMod val="103000"/>
                      <a:lumMod val="102000"/>
                    </a:schemeClr>
                  </a:gs>
                  <a:gs pos="50000">
                    <a:schemeClr val="accent3">
                      <a:lumMod val="60000"/>
                      <a:lumOff val="40000"/>
                      <a:shade val="100000"/>
                      <a:satMod val="110000"/>
                      <a:lumMod val="100000"/>
                    </a:schemeClr>
                  </a:gs>
                  <a:gs pos="100000">
                    <a:schemeClr val="accent3">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1-50B5-4775-8601-80B58586B3EC}"/>
              </c:ext>
            </c:extLst>
          </c:dPt>
          <c:dPt>
            <c:idx val="81"/>
            <c:bubble3D val="0"/>
            <c:spPr>
              <a:gradFill rotWithShape="1">
                <a:gsLst>
                  <a:gs pos="0">
                    <a:schemeClr val="accent4">
                      <a:lumMod val="60000"/>
                      <a:lumOff val="40000"/>
                      <a:tint val="94000"/>
                      <a:satMod val="103000"/>
                      <a:lumMod val="102000"/>
                    </a:schemeClr>
                  </a:gs>
                  <a:gs pos="50000">
                    <a:schemeClr val="accent4">
                      <a:lumMod val="60000"/>
                      <a:lumOff val="40000"/>
                      <a:shade val="100000"/>
                      <a:satMod val="110000"/>
                      <a:lumMod val="100000"/>
                    </a:schemeClr>
                  </a:gs>
                  <a:gs pos="100000">
                    <a:schemeClr val="accent4">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3-50B5-4775-8601-80B58586B3EC}"/>
              </c:ext>
            </c:extLst>
          </c:dPt>
          <c:dPt>
            <c:idx val="82"/>
            <c:bubble3D val="0"/>
            <c:spPr>
              <a:gradFill rotWithShape="1">
                <a:gsLst>
                  <a:gs pos="0">
                    <a:schemeClr val="accent5">
                      <a:lumMod val="60000"/>
                      <a:lumOff val="40000"/>
                      <a:tint val="94000"/>
                      <a:satMod val="103000"/>
                      <a:lumMod val="102000"/>
                    </a:schemeClr>
                  </a:gs>
                  <a:gs pos="50000">
                    <a:schemeClr val="accent5">
                      <a:lumMod val="60000"/>
                      <a:lumOff val="40000"/>
                      <a:shade val="100000"/>
                      <a:satMod val="110000"/>
                      <a:lumMod val="100000"/>
                    </a:schemeClr>
                  </a:gs>
                  <a:gs pos="100000">
                    <a:schemeClr val="accent5">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5-50B5-4775-8601-80B58586B3EC}"/>
              </c:ext>
            </c:extLst>
          </c:dPt>
          <c:dPt>
            <c:idx val="83"/>
            <c:bubble3D val="0"/>
            <c:spPr>
              <a:gradFill rotWithShape="1">
                <a:gsLst>
                  <a:gs pos="0">
                    <a:schemeClr val="accent6">
                      <a:lumMod val="60000"/>
                      <a:lumOff val="40000"/>
                      <a:tint val="94000"/>
                      <a:satMod val="103000"/>
                      <a:lumMod val="102000"/>
                    </a:schemeClr>
                  </a:gs>
                  <a:gs pos="50000">
                    <a:schemeClr val="accent6">
                      <a:lumMod val="60000"/>
                      <a:lumOff val="40000"/>
                      <a:shade val="100000"/>
                      <a:satMod val="110000"/>
                      <a:lumMod val="100000"/>
                    </a:schemeClr>
                  </a:gs>
                  <a:gs pos="100000">
                    <a:schemeClr val="accent6">
                      <a:lumMod val="60000"/>
                      <a:lumOff val="40000"/>
                      <a:shade val="78000"/>
                      <a:satMod val="120000"/>
                      <a:lumMod val="99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A7-50B5-4775-8601-80B58586B3E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'Pivot Analysis'!$A$54:$A$145</c:f>
              <c:multiLvlStrCache>
                <c:ptCount val="8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pt idx="60">
                    <c:v>Jan</c:v>
                  </c:pt>
                  <c:pt idx="61">
                    <c:v>Feb</c:v>
                  </c:pt>
                  <c:pt idx="62">
                    <c:v>Mar</c:v>
                  </c:pt>
                  <c:pt idx="63">
                    <c:v>Apr</c:v>
                  </c:pt>
                  <c:pt idx="64">
                    <c:v>May</c:v>
                  </c:pt>
                  <c:pt idx="65">
                    <c:v>Jun</c:v>
                  </c:pt>
                  <c:pt idx="66">
                    <c:v>Jul</c:v>
                  </c:pt>
                  <c:pt idx="67">
                    <c:v>Aug</c:v>
                  </c:pt>
                  <c:pt idx="68">
                    <c:v>Sep</c:v>
                  </c:pt>
                  <c:pt idx="69">
                    <c:v>Oct</c:v>
                  </c:pt>
                  <c:pt idx="70">
                    <c:v>Nov</c:v>
                  </c:pt>
                  <c:pt idx="71">
                    <c:v>Dec</c:v>
                  </c:pt>
                  <c:pt idx="72">
                    <c:v>Jan</c:v>
                  </c:pt>
                  <c:pt idx="73">
                    <c:v>Feb</c:v>
                  </c:pt>
                  <c:pt idx="74">
                    <c:v>Mar</c:v>
                  </c:pt>
                  <c:pt idx="75">
                    <c:v>Apr</c:v>
                  </c:pt>
                  <c:pt idx="76">
                    <c:v>May</c:v>
                  </c:pt>
                  <c:pt idx="77">
                    <c:v>Jun</c:v>
                  </c:pt>
                  <c:pt idx="78">
                    <c:v>Jul</c:v>
                  </c:pt>
                  <c:pt idx="79">
                    <c:v>Aug</c:v>
                  </c:pt>
                  <c:pt idx="80">
                    <c:v>Sep</c:v>
                  </c:pt>
                  <c:pt idx="81">
                    <c:v>Oct</c:v>
                  </c:pt>
                  <c:pt idx="82">
                    <c:v>Nov</c:v>
                  </c:pt>
                  <c:pt idx="83">
                    <c:v>Dec</c:v>
                  </c:pt>
                </c:lvl>
                <c:lvl>
                  <c:pt idx="0">
                    <c:v>Bengaluru</c:v>
                  </c:pt>
                  <c:pt idx="12">
                    <c:v>Chandigarh</c:v>
                  </c:pt>
                  <c:pt idx="24">
                    <c:v>Delhi</c:v>
                  </c:pt>
                  <c:pt idx="36">
                    <c:v>Gurugram</c:v>
                  </c:pt>
                  <c:pt idx="48">
                    <c:v>Ludhiana</c:v>
                  </c:pt>
                  <c:pt idx="60">
                    <c:v>Mohali</c:v>
                  </c:pt>
                  <c:pt idx="72">
                    <c:v>Pune</c:v>
                  </c:pt>
                </c:lvl>
              </c:multiLvlStrCache>
            </c:multiLvlStrRef>
          </c:cat>
          <c:val>
            <c:numRef>
              <c:f>'Pivot Analysis'!$B$54:$B$145</c:f>
              <c:numCache>
                <c:formatCode>\₹#,##0.00</c:formatCode>
                <c:ptCount val="84"/>
                <c:pt idx="0">
                  <c:v>4493</c:v>
                </c:pt>
                <c:pt idx="1">
                  <c:v>2102.5</c:v>
                </c:pt>
                <c:pt idx="2">
                  <c:v>3707.5</c:v>
                </c:pt>
                <c:pt idx="3">
                  <c:v>3521.75</c:v>
                </c:pt>
                <c:pt idx="4">
                  <c:v>4670.25</c:v>
                </c:pt>
                <c:pt idx="5">
                  <c:v>6919.5</c:v>
                </c:pt>
                <c:pt idx="6">
                  <c:v>3456.5</c:v>
                </c:pt>
                <c:pt idx="7">
                  <c:v>3450.5</c:v>
                </c:pt>
                <c:pt idx="8">
                  <c:v>2137.5</c:v>
                </c:pt>
                <c:pt idx="9">
                  <c:v>1522.5</c:v>
                </c:pt>
                <c:pt idx="10">
                  <c:v>3996.75</c:v>
                </c:pt>
                <c:pt idx="11">
                  <c:v>3725.25</c:v>
                </c:pt>
                <c:pt idx="12">
                  <c:v>3735.25</c:v>
                </c:pt>
                <c:pt idx="13">
                  <c:v>2911.25</c:v>
                </c:pt>
                <c:pt idx="14">
                  <c:v>2468.25</c:v>
                </c:pt>
                <c:pt idx="15">
                  <c:v>3489.75</c:v>
                </c:pt>
                <c:pt idx="16">
                  <c:v>5016.5</c:v>
                </c:pt>
                <c:pt idx="17">
                  <c:v>4738</c:v>
                </c:pt>
                <c:pt idx="18">
                  <c:v>2341.75</c:v>
                </c:pt>
                <c:pt idx="19">
                  <c:v>4741</c:v>
                </c:pt>
                <c:pt idx="20">
                  <c:v>3961.75</c:v>
                </c:pt>
                <c:pt idx="21">
                  <c:v>4227</c:v>
                </c:pt>
                <c:pt idx="22">
                  <c:v>5413.75</c:v>
                </c:pt>
                <c:pt idx="23">
                  <c:v>6076.5</c:v>
                </c:pt>
                <c:pt idx="24">
                  <c:v>4504.25</c:v>
                </c:pt>
                <c:pt idx="25">
                  <c:v>1941</c:v>
                </c:pt>
                <c:pt idx="26">
                  <c:v>4208</c:v>
                </c:pt>
                <c:pt idx="27">
                  <c:v>2371</c:v>
                </c:pt>
                <c:pt idx="28">
                  <c:v>2152.5</c:v>
                </c:pt>
                <c:pt idx="29">
                  <c:v>5252</c:v>
                </c:pt>
                <c:pt idx="30">
                  <c:v>3955.75</c:v>
                </c:pt>
                <c:pt idx="31">
                  <c:v>3401.75</c:v>
                </c:pt>
                <c:pt idx="32">
                  <c:v>3398.75</c:v>
                </c:pt>
                <c:pt idx="33">
                  <c:v>4253.75</c:v>
                </c:pt>
                <c:pt idx="34">
                  <c:v>2351.75</c:v>
                </c:pt>
                <c:pt idx="35">
                  <c:v>3989.25</c:v>
                </c:pt>
                <c:pt idx="36">
                  <c:v>4044.5</c:v>
                </c:pt>
                <c:pt idx="37">
                  <c:v>4702.5</c:v>
                </c:pt>
                <c:pt idx="38">
                  <c:v>5201.5</c:v>
                </c:pt>
                <c:pt idx="39">
                  <c:v>3233.5</c:v>
                </c:pt>
                <c:pt idx="40">
                  <c:v>3628.5</c:v>
                </c:pt>
                <c:pt idx="41">
                  <c:v>4372</c:v>
                </c:pt>
                <c:pt idx="42">
                  <c:v>2076</c:v>
                </c:pt>
                <c:pt idx="43">
                  <c:v>3475.75</c:v>
                </c:pt>
                <c:pt idx="44">
                  <c:v>3140.5</c:v>
                </c:pt>
                <c:pt idx="45">
                  <c:v>3449.75</c:v>
                </c:pt>
                <c:pt idx="46">
                  <c:v>2992.75</c:v>
                </c:pt>
                <c:pt idx="47">
                  <c:v>3787.5</c:v>
                </c:pt>
                <c:pt idx="48">
                  <c:v>3511.5</c:v>
                </c:pt>
                <c:pt idx="49">
                  <c:v>3269</c:v>
                </c:pt>
                <c:pt idx="50">
                  <c:v>3913.25</c:v>
                </c:pt>
                <c:pt idx="51">
                  <c:v>3362.25</c:v>
                </c:pt>
                <c:pt idx="52">
                  <c:v>3979.5</c:v>
                </c:pt>
                <c:pt idx="53">
                  <c:v>5501.5</c:v>
                </c:pt>
                <c:pt idx="54">
                  <c:v>3414</c:v>
                </c:pt>
                <c:pt idx="55">
                  <c:v>3546.5</c:v>
                </c:pt>
                <c:pt idx="56">
                  <c:v>2834</c:v>
                </c:pt>
                <c:pt idx="57">
                  <c:v>2387</c:v>
                </c:pt>
                <c:pt idx="58">
                  <c:v>2697</c:v>
                </c:pt>
                <c:pt idx="59">
                  <c:v>3186</c:v>
                </c:pt>
                <c:pt idx="60">
                  <c:v>2239.5</c:v>
                </c:pt>
                <c:pt idx="61">
                  <c:v>3447.75</c:v>
                </c:pt>
                <c:pt idx="62">
                  <c:v>4909.5</c:v>
                </c:pt>
                <c:pt idx="63">
                  <c:v>3353</c:v>
                </c:pt>
                <c:pt idx="64">
                  <c:v>4649</c:v>
                </c:pt>
                <c:pt idx="65">
                  <c:v>6354.5</c:v>
                </c:pt>
                <c:pt idx="66">
                  <c:v>1765.75</c:v>
                </c:pt>
                <c:pt idx="67">
                  <c:v>3856.75</c:v>
                </c:pt>
                <c:pt idx="68">
                  <c:v>3723.5</c:v>
                </c:pt>
                <c:pt idx="69">
                  <c:v>1655.5</c:v>
                </c:pt>
                <c:pt idx="70">
                  <c:v>2947.75</c:v>
                </c:pt>
                <c:pt idx="71">
                  <c:v>3007.75</c:v>
                </c:pt>
                <c:pt idx="72">
                  <c:v>3677.75</c:v>
                </c:pt>
                <c:pt idx="73">
                  <c:v>4643.5</c:v>
                </c:pt>
                <c:pt idx="74">
                  <c:v>3764.75</c:v>
                </c:pt>
                <c:pt idx="75">
                  <c:v>5170</c:v>
                </c:pt>
                <c:pt idx="76">
                  <c:v>2702.75</c:v>
                </c:pt>
                <c:pt idx="77">
                  <c:v>6563.5</c:v>
                </c:pt>
                <c:pt idx="78">
                  <c:v>3683</c:v>
                </c:pt>
                <c:pt idx="79">
                  <c:v>4289.5</c:v>
                </c:pt>
                <c:pt idx="80">
                  <c:v>3092</c:v>
                </c:pt>
                <c:pt idx="81">
                  <c:v>3784</c:v>
                </c:pt>
                <c:pt idx="82">
                  <c:v>3578.25</c:v>
                </c:pt>
                <c:pt idx="83">
                  <c:v>3923</c:v>
                </c:pt>
              </c:numCache>
            </c:numRef>
          </c:val>
          <c:extLst>
            <c:ext xmlns:c16="http://schemas.microsoft.com/office/drawing/2014/chart" uri="{C3380CC4-5D6E-409C-BE32-E72D297353CC}">
              <c16:uniqueId val="{0000000E-66A0-49AA-88C6-16D5AFB3403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37</xdr:col>
      <xdr:colOff>213360</xdr:colOff>
      <xdr:row>1</xdr:row>
      <xdr:rowOff>106680</xdr:rowOff>
    </xdr:from>
    <xdr:to>
      <xdr:col>40</xdr:col>
      <xdr:colOff>213360</xdr:colOff>
      <xdr:row>15</xdr:row>
      <xdr:rowOff>0</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D4007D62-C47A-A15D-9D8B-3C3C85DD840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9160027" y="286597"/>
              <a:ext cx="1841500" cy="241215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220791</xdr:colOff>
      <xdr:row>11</xdr:row>
      <xdr:rowOff>149222</xdr:rowOff>
    </xdr:from>
    <xdr:to>
      <xdr:col>7</xdr:col>
      <xdr:colOff>804333</xdr:colOff>
      <xdr:row>28</xdr:row>
      <xdr:rowOff>19573</xdr:rowOff>
    </xdr:to>
    <xdr:graphicFrame macro="">
      <xdr:nvGraphicFramePr>
        <xdr:cNvPr id="2" name="Chart 2">
          <a:extLst>
            <a:ext uri="{FF2B5EF4-FFF2-40B4-BE49-F238E27FC236}">
              <a16:creationId xmlns:a16="http://schemas.microsoft.com/office/drawing/2014/main" id="{0D1734CA-937A-8E8D-691A-392218AA3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485334</xdr:colOff>
      <xdr:row>31</xdr:row>
      <xdr:rowOff>93777</xdr:rowOff>
    </xdr:from>
    <xdr:to>
      <xdr:col>22</xdr:col>
      <xdr:colOff>332685</xdr:colOff>
      <xdr:row>46</xdr:row>
      <xdr:rowOff>5945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4E73F1C4-186F-5E10-9593-E72FE646414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4480734" y="6253277"/>
              <a:ext cx="2057151" cy="2579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465329</xdr:colOff>
      <xdr:row>11</xdr:row>
      <xdr:rowOff>81622</xdr:rowOff>
    </xdr:from>
    <xdr:to>
      <xdr:col>15</xdr:col>
      <xdr:colOff>263103</xdr:colOff>
      <xdr:row>27</xdr:row>
      <xdr:rowOff>95137</xdr:rowOff>
    </xdr:to>
    <xdr:graphicFrame macro="">
      <xdr:nvGraphicFramePr>
        <xdr:cNvPr id="5" name="Chart 3">
          <a:extLst>
            <a:ext uri="{FF2B5EF4-FFF2-40B4-BE49-F238E27FC236}">
              <a16:creationId xmlns:a16="http://schemas.microsoft.com/office/drawing/2014/main" id="{57E28EE0-C941-A9E4-227E-96F89C616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54218</xdr:colOff>
      <xdr:row>31</xdr:row>
      <xdr:rowOff>115728</xdr:rowOff>
    </xdr:from>
    <xdr:to>
      <xdr:col>19</xdr:col>
      <xdr:colOff>379473</xdr:colOff>
      <xdr:row>46</xdr:row>
      <xdr:rowOff>34166</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68F59DC-785E-0D58-5F9F-7A2FE40CFC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576418" y="6275228"/>
              <a:ext cx="1798455" cy="2585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564065</xdr:colOff>
      <xdr:row>29</xdr:row>
      <xdr:rowOff>77895</xdr:rowOff>
    </xdr:from>
    <xdr:to>
      <xdr:col>15</xdr:col>
      <xdr:colOff>331839</xdr:colOff>
      <xdr:row>47</xdr:row>
      <xdr:rowOff>76017</xdr:rowOff>
    </xdr:to>
    <xdr:graphicFrame macro="">
      <xdr:nvGraphicFramePr>
        <xdr:cNvPr id="8" name="Chart 4">
          <a:extLst>
            <a:ext uri="{FF2B5EF4-FFF2-40B4-BE49-F238E27FC236}">
              <a16:creationId xmlns:a16="http://schemas.microsoft.com/office/drawing/2014/main" id="{1B32D081-FA2A-FFD6-D261-49F7D0CAA9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484564</xdr:colOff>
      <xdr:row>11</xdr:row>
      <xdr:rowOff>120773</xdr:rowOff>
    </xdr:from>
    <xdr:to>
      <xdr:col>22</xdr:col>
      <xdr:colOff>320803</xdr:colOff>
      <xdr:row>26</xdr:row>
      <xdr:rowOff>49760</xdr:rowOff>
    </xdr:to>
    <mc:AlternateContent xmlns:mc="http://schemas.openxmlformats.org/markup-compatibility/2006">
      <mc:Choice xmlns:a14="http://schemas.microsoft.com/office/drawing/2010/main" Requires="a14">
        <xdr:graphicFrame macro="">
          <xdr:nvGraphicFramePr>
            <xdr:cNvPr id="9" name="Product 1">
              <a:extLst>
                <a:ext uri="{FF2B5EF4-FFF2-40B4-BE49-F238E27FC236}">
                  <a16:creationId xmlns:a16="http://schemas.microsoft.com/office/drawing/2014/main" id="{B95FC9C4-1C8B-14B6-7E22-37438E931B7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4479964" y="2724273"/>
              <a:ext cx="2046039" cy="25959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234807</xdr:colOff>
      <xdr:row>28</xdr:row>
      <xdr:rowOff>75314</xdr:rowOff>
    </xdr:from>
    <xdr:to>
      <xdr:col>7</xdr:col>
      <xdr:colOff>680248</xdr:colOff>
      <xdr:row>45</xdr:row>
      <xdr:rowOff>168878</xdr:rowOff>
    </xdr:to>
    <xdr:graphicFrame macro="">
      <xdr:nvGraphicFramePr>
        <xdr:cNvPr id="3" name="Chart 2">
          <a:extLst>
            <a:ext uri="{FF2B5EF4-FFF2-40B4-BE49-F238E27FC236}">
              <a16:creationId xmlns:a16="http://schemas.microsoft.com/office/drawing/2014/main" id="{F91AFFDA-FC63-8E2A-41DA-C2EDD68F7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709255</xdr:colOff>
      <xdr:row>11</xdr:row>
      <xdr:rowOff>130441</xdr:rowOff>
    </xdr:from>
    <xdr:to>
      <xdr:col>19</xdr:col>
      <xdr:colOff>311912</xdr:colOff>
      <xdr:row>26</xdr:row>
      <xdr:rowOff>57417</xdr:rowOff>
    </xdr:to>
    <mc:AlternateContent xmlns:mc="http://schemas.openxmlformats.org/markup-compatibility/2006">
      <mc:Choice xmlns:a14="http://schemas.microsoft.com/office/drawing/2010/main" Requires="a14">
        <xdr:graphicFrame macro="">
          <xdr:nvGraphicFramePr>
            <xdr:cNvPr id="6" name="Store Location">
              <a:extLst>
                <a:ext uri="{FF2B5EF4-FFF2-40B4-BE49-F238E27FC236}">
                  <a16:creationId xmlns:a16="http://schemas.microsoft.com/office/drawing/2014/main" id="{39293F2A-9426-2930-CE62-E0467D6ED811}"/>
                </a:ext>
              </a:extLst>
            </xdr:cNvPr>
            <xdr:cNvGraphicFramePr/>
          </xdr:nvGraphicFramePr>
          <xdr:xfrm>
            <a:off x="0" y="0"/>
            <a:ext cx="0" cy="0"/>
          </xdr:xfrm>
          <a:graphic>
            <a:graphicData uri="http://schemas.microsoft.com/office/drawing/2010/slicer">
              <sle:slicer xmlns:sle="http://schemas.microsoft.com/office/drawing/2010/slicer" name="Store Location"/>
            </a:graphicData>
          </a:graphic>
        </xdr:graphicFrame>
      </mc:Choice>
      <mc:Fallback>
        <xdr:sp macro="" textlink="">
          <xdr:nvSpPr>
            <xdr:cNvPr id="0" name=""/>
            <xdr:cNvSpPr>
              <a:spLocks noTextEdit="1"/>
            </xdr:cNvSpPr>
          </xdr:nvSpPr>
          <xdr:spPr>
            <a:xfrm>
              <a:off x="12494855" y="2733941"/>
              <a:ext cx="1812457" cy="2593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k mittal" refreshedDate="46297.410585995371" createdVersion="8" refreshedVersion="8" minRefreshableVersion="3" recordCount="1600" xr:uid="{A605F4AF-444E-465C-B337-C76942648A97}">
  <cacheSource type="worksheet">
    <worksheetSource name="CleanTransactions"/>
  </cacheSource>
  <cacheFields count="36">
    <cacheField name="Transaction ID" numFmtId="0">
      <sharedItems/>
    </cacheField>
    <cacheField name="Date" numFmtId="165">
      <sharedItems containsSemiMixedTypes="0" containsNonDate="0" containsDate="1" containsString="0" minDate="2024-01-01T00:00:00" maxDate="2025-01-01T00:00:00"/>
    </cacheField>
    <cacheField name="Time" numFmtId="20">
      <sharedItems containsSemiMixedTypes="0" containsNonDate="0" containsDate="1" containsString="0" minDate="1899-12-30T07:00:00" maxDate="1899-12-30T21:50:00"/>
    </cacheField>
    <cacheField name="Customer Name" numFmtId="0">
      <sharedItems/>
    </cacheField>
    <cacheField name="Customer ID" numFmtId="0">
      <sharedItems/>
    </cacheField>
    <cacheField name="Customer Type" numFmtId="0">
      <sharedItems count="4">
        <s v="New Customer"/>
        <s v="Unknown"/>
        <s v="Member"/>
        <s v="Regular"/>
      </sharedItems>
    </cacheField>
    <cacheField name="Product" numFmtId="0">
      <sharedItems count="16">
        <s v="Cappuccino"/>
        <s v="Brownie"/>
        <s v="Cookies"/>
        <s v="Latte"/>
        <s v="Iced Latte"/>
        <s v="Green Tea"/>
        <s v="Americano"/>
        <s v="Mocha"/>
        <s v="Cold Brew"/>
        <s v="Masala Chai"/>
        <s v="Croissant"/>
        <s v="Espresso"/>
        <s v="Muffin"/>
        <s v="Iced Tea"/>
        <s v="Sandwich"/>
        <s v="Cheesecake"/>
      </sharedItems>
    </cacheField>
    <cacheField name="Category" numFmtId="0">
      <sharedItems count="5">
        <s v="Coffee"/>
        <s v="Bakery"/>
        <s v="Tea"/>
        <s v="Food"/>
        <s v="Dessert"/>
      </sharedItems>
    </cacheField>
    <cacheField name="Temperature" numFmtId="0">
      <sharedItems/>
    </cacheField>
    <cacheField name="Size" numFmtId="0">
      <sharedItems/>
    </cacheField>
    <cacheField name="Quantity" numFmtId="1">
      <sharedItems containsSemiMixedTypes="0" containsString="0" containsNumber="1" containsInteger="1" minValue="1" maxValue="5"/>
    </cacheField>
    <cacheField name="Unit Price" numFmtId="166">
      <sharedItems containsSemiMixedTypes="0" containsString="0" containsNumber="1" containsInteger="1" minValue="65" maxValue="200"/>
    </cacheField>
    <cacheField name="Discount" numFmtId="9">
      <sharedItems containsSemiMixedTypes="0" containsString="0" containsNumber="1" minValue="0" maxValue="0.15"/>
    </cacheField>
    <cacheField name="Gross Sales" numFmtId="166">
      <sharedItems containsSemiMixedTypes="0" containsString="0" containsNumber="1" containsInteger="1" minValue="65" maxValue="1000"/>
    </cacheField>
    <cacheField name="Net Sales" numFmtId="166">
      <sharedItems containsSemiMixedTypes="0" containsString="0" containsNumber="1" minValue="58.5" maxValue="1000"/>
    </cacheField>
    <cacheField name="Payment Method" numFmtId="0">
      <sharedItems count="4">
        <s v="Card"/>
        <s v="Cash"/>
        <s v="UPI"/>
        <s v="Unknown"/>
      </sharedItems>
    </cacheField>
    <cacheField name="Sales Channel" numFmtId="0">
      <sharedItems count="4">
        <s v="Walk-in"/>
        <s v="Unknown"/>
        <s v="Delivery App"/>
        <s v="Online"/>
      </sharedItems>
    </cacheField>
    <cacheField name="Store Location" numFmtId="0">
      <sharedItems count="7">
        <s v="Bengaluru"/>
        <s v="Mohali"/>
        <s v="Ludhiana"/>
        <s v="Chandigarh"/>
        <s v="Delhi"/>
        <s v="Gurugram"/>
        <s v="Pune"/>
      </sharedItems>
    </cacheField>
    <cacheField name="Staff Name" numFmtId="0">
      <sharedItems count="8">
        <s v="Neha"/>
        <s v="Rahul"/>
        <s v="Karan"/>
        <s v="Priya"/>
        <s v="Ananya"/>
        <s v="Simran"/>
        <s v="Rohan"/>
        <s v="Aarav"/>
      </sharedItems>
    </cacheField>
    <cacheField name="Order Status" numFmtId="0">
      <sharedItems count="3">
        <s v="Completed"/>
        <s v="Cancelled"/>
        <s v="Pending"/>
      </sharedItems>
    </cacheField>
    <cacheField name="Customer Rating" numFmtId="1">
      <sharedItems containsSemiMixedTypes="0" containsString="0" containsNumber="1" containsInteger="1" minValue="1" maxValue="5" count="5">
        <n v="2"/>
        <n v="4"/>
        <n v="3"/>
        <n v="1"/>
        <n v="5"/>
      </sharedItems>
    </cacheField>
    <cacheField name="Loyalty Points" numFmtId="1">
      <sharedItems containsSemiMixedTypes="0" containsString="0" containsNumber="1" containsInteger="1" minValue="0" maxValue="500"/>
    </cacheField>
    <cacheField name="Delivery Minutes" numFmtId="1">
      <sharedItems containsSemiMixedTypes="0" containsString="0" containsNumber="1" containsInteger="1" minValue="10" maxValue="60"/>
    </cacheField>
    <cacheField name="Cost Per Item" numFmtId="166">
      <sharedItems containsSemiMixedTypes="0" containsString="0" containsNumber="1" minValue="24.54" maxValue="113.89" count="1387">
        <n v="56.78"/>
        <n v="59.12"/>
        <n v="24.95"/>
        <n v="54.9"/>
        <n v="57.6"/>
        <n v="43.82"/>
        <n v="26.09"/>
        <n v="40.53"/>
        <n v="63.46"/>
        <n v="86.8"/>
        <n v="54.97"/>
        <n v="93.45"/>
        <n v="45.93"/>
        <n v="48.6"/>
        <n v="58.59"/>
        <n v="34.9"/>
        <n v="46.65"/>
        <n v="66.17"/>
        <n v="41.86"/>
        <n v="78.33"/>
        <n v="82.51"/>
        <n v="61.6"/>
        <n v="38.36"/>
        <n v="39.28"/>
        <n v="34.99"/>
        <n v="68.91"/>
        <n v="48.74"/>
        <n v="55.43"/>
        <n v="57.9"/>
        <n v="52.33"/>
        <n v="49.46"/>
        <n v="42.47"/>
        <n v="57.83"/>
        <n v="50"/>
        <n v="51.81"/>
        <n v="46.02"/>
        <n v="55.9"/>
        <n v="65.650000000000006"/>
        <n v="29.02"/>
        <n v="106.83"/>
        <n v="51.74"/>
        <n v="95"/>
        <n v="49.11"/>
        <n v="61.87"/>
        <n v="30.56"/>
        <n v="72.13"/>
        <n v="34.54"/>
        <n v="71.42"/>
        <n v="53.75"/>
        <n v="62.11"/>
        <n v="47.93"/>
        <n v="45.72"/>
        <n v="67.63"/>
        <n v="68.28"/>
        <n v="72.86"/>
        <n v="69.97"/>
        <n v="39.6"/>
        <n v="43.61"/>
        <n v="66.66"/>
        <n v="89.18"/>
        <n v="38.840000000000003"/>
        <n v="85.63"/>
        <n v="36.869999999999997"/>
        <n v="44.61"/>
        <n v="48.18"/>
        <n v="81.260000000000005"/>
        <n v="52.2"/>
        <n v="43.29"/>
        <n v="102.32"/>
        <n v="103.06"/>
        <n v="71.25"/>
        <n v="67.81"/>
        <n v="84.73"/>
        <n v="47.31"/>
        <n v="44.76"/>
        <n v="27.34"/>
        <n v="24.64"/>
        <n v="51.54"/>
        <n v="49.66"/>
        <n v="40.9"/>
        <n v="75.8"/>
        <n v="42.74"/>
        <n v="31.78"/>
        <n v="36.479999999999997"/>
        <n v="36.799999999999997"/>
        <n v="62.6"/>
        <n v="33.369999999999997"/>
        <n v="37.81"/>
        <n v="40.81"/>
        <n v="48.1"/>
        <n v="51.33"/>
        <n v="45.27"/>
        <n v="52.39"/>
        <n v="36.840000000000003"/>
        <n v="101.49"/>
        <n v="53.46"/>
        <n v="44.91"/>
        <n v="64.28"/>
        <n v="34.28"/>
        <n v="52.5"/>
        <n v="36.08"/>
        <n v="32.01"/>
        <n v="35.14"/>
        <n v="37.6"/>
        <n v="39.36"/>
        <n v="31.45"/>
        <n v="33.51"/>
        <n v="45.31"/>
        <n v="36.22"/>
        <n v="98.7"/>
        <n v="57.67"/>
        <n v="68.59"/>
        <n v="66.83"/>
        <n v="68.64"/>
        <n v="42.29"/>
        <n v="77.02"/>
        <n v="50.91"/>
        <n v="47.12"/>
        <n v="26.66"/>
        <n v="47.99"/>
        <n v="41.34"/>
        <n v="50.85"/>
        <n v="70.849999999999994"/>
        <n v="60.85"/>
        <n v="102.09"/>
        <n v="75.58"/>
        <n v="51.98"/>
        <n v="47.17"/>
        <n v="49.06"/>
        <n v="42.28"/>
        <n v="49.05"/>
        <n v="50.02"/>
        <n v="67.12"/>
        <n v="95.58"/>
        <n v="50.16"/>
        <n v="53.11"/>
        <n v="57.62"/>
        <n v="55.19"/>
        <n v="91.94"/>
        <n v="90.9"/>
        <n v="59.31"/>
        <n v="65.39"/>
        <n v="47.14"/>
        <n v="54.23"/>
        <n v="79.209999999999994"/>
        <n v="53.95"/>
        <n v="58.58"/>
        <n v="43.93"/>
        <n v="59.37"/>
        <n v="32.14"/>
        <n v="46.01"/>
        <n v="91.57"/>
        <n v="89.57"/>
        <n v="71.900000000000006"/>
        <n v="72.55"/>
        <n v="63.85"/>
        <n v="93.01"/>
        <n v="34.630000000000003"/>
        <n v="39.32"/>
        <n v="113.89"/>
        <n v="60.51"/>
        <n v="40.58"/>
        <n v="49.29"/>
        <n v="63.62"/>
        <n v="38.96"/>
        <n v="76.47"/>
        <n v="45.37"/>
        <n v="58.23"/>
        <n v="43.85"/>
        <n v="64.91"/>
        <n v="109.28"/>
        <n v="35.770000000000003"/>
        <n v="83.55"/>
        <n v="53.02"/>
        <n v="90.12"/>
        <n v="84.21"/>
        <n v="27.78"/>
        <n v="51.88"/>
        <n v="71.8"/>
        <n v="78.400000000000006"/>
        <n v="73.08"/>
        <n v="33.659999999999997"/>
        <n v="33.47"/>
        <n v="93.42"/>
        <n v="60.64"/>
        <n v="64.59"/>
        <n v="95.54"/>
        <n v="82.6"/>
        <n v="40.65"/>
        <n v="68.44"/>
        <n v="40.98"/>
        <n v="68.599999999999994"/>
        <n v="52.12"/>
        <n v="52.35"/>
        <n v="57.93"/>
        <n v="51.14"/>
        <n v="56.19"/>
        <n v="63.39"/>
        <n v="34.79"/>
        <n v="68.88"/>
        <n v="53.41"/>
        <n v="43.3"/>
        <n v="44.71"/>
        <n v="36.25"/>
        <n v="64.88"/>
        <n v="51.44"/>
        <n v="65.540000000000006"/>
        <n v="70.510000000000005"/>
        <n v="37.86"/>
        <n v="78.62"/>
        <n v="49.91"/>
        <n v="68.81"/>
        <n v="88.08"/>
        <n v="48.83"/>
        <n v="82.2"/>
        <n v="71.3"/>
        <n v="46.39"/>
        <n v="50.9"/>
        <n v="67.42"/>
        <n v="63.87"/>
        <n v="24.7"/>
        <n v="38.6"/>
        <n v="39.78"/>
        <n v="53.49"/>
        <n v="46"/>
        <n v="42.53"/>
        <n v="95.17"/>
        <n v="54.56"/>
        <n v="46.71"/>
        <n v="56.26"/>
        <n v="47.68"/>
        <n v="51.2"/>
        <n v="41.35"/>
        <n v="25.16"/>
        <n v="77.48"/>
        <n v="59.2"/>
        <n v="70.78"/>
        <n v="72.739999999999995"/>
        <n v="98.83"/>
        <n v="33.520000000000003"/>
        <n v="106.64"/>
        <n v="60.49"/>
        <n v="32.450000000000003"/>
        <n v="56.77"/>
        <n v="35.909999999999997"/>
        <n v="41.71"/>
        <n v="68.38"/>
        <n v="30.58"/>
        <n v="31.89"/>
        <n v="73.33"/>
        <n v="34.950000000000003"/>
        <n v="45.81"/>
        <n v="41.07"/>
        <n v="104.64"/>
        <n v="38.340000000000003"/>
        <n v="57.07"/>
        <n v="28.92"/>
        <n v="41.55"/>
        <n v="34.619999999999997"/>
        <n v="48.85"/>
        <n v="70.989999999999995"/>
        <n v="42.56"/>
        <n v="59.32"/>
        <n v="89.6"/>
        <n v="43.87"/>
        <n v="42.11"/>
        <n v="47.96"/>
        <n v="35.94"/>
        <n v="57.06"/>
        <n v="42.3"/>
        <n v="52.19"/>
        <n v="28.44"/>
        <n v="105.6"/>
        <n v="76.099999999999994"/>
        <n v="52.15"/>
        <n v="59.4"/>
        <n v="86.34"/>
        <n v="66.260000000000005"/>
        <n v="67.16"/>
        <n v="56.56"/>
        <n v="94.5"/>
        <n v="76.91"/>
        <n v="44.94"/>
        <n v="75.28"/>
        <n v="44.73"/>
        <n v="70.41"/>
        <n v="31.81"/>
        <n v="51.06"/>
        <n v="79.73"/>
        <n v="83.97"/>
        <n v="102.28"/>
        <n v="55.57"/>
        <n v="63.29"/>
        <n v="84.86"/>
        <n v="35.29"/>
        <n v="33.979999999999997"/>
        <n v="68.290000000000006"/>
        <n v="105.66"/>
        <n v="56.7"/>
        <n v="47.41"/>
        <n v="32.18"/>
        <n v="95.35"/>
        <n v="62.45"/>
        <n v="98.59"/>
        <n v="47.46"/>
        <n v="46.31"/>
        <n v="27.55"/>
        <n v="69.790000000000006"/>
        <n v="86.83"/>
        <n v="50.74"/>
        <n v="60.43"/>
        <n v="34.83"/>
        <n v="48.36"/>
        <n v="82.47"/>
        <n v="86.44"/>
        <n v="42.43"/>
        <n v="90.53"/>
        <n v="44"/>
        <n v="72.349999999999994"/>
        <n v="42.75"/>
        <n v="105.3"/>
        <n v="58.83"/>
        <n v="78.459999999999994"/>
        <n v="70.760000000000005"/>
        <n v="79.92"/>
        <n v="38.020000000000003"/>
        <n v="72.37"/>
        <n v="43.39"/>
        <n v="50.39"/>
        <n v="49.5"/>
        <n v="57.91"/>
        <n v="60.55"/>
        <n v="71.92"/>
        <n v="108.12"/>
        <n v="35.090000000000003"/>
        <n v="58.19"/>
        <n v="53.7"/>
        <n v="61.9"/>
        <n v="79.8"/>
        <n v="61.41"/>
        <n v="68.98"/>
        <n v="51.56"/>
        <n v="87.43"/>
        <n v="96.06"/>
        <n v="41.63"/>
        <n v="53.96"/>
        <n v="40.86"/>
        <n v="84.92"/>
        <n v="38.78"/>
        <n v="31.46"/>
        <n v="71.099999999999994"/>
        <n v="65.040000000000006"/>
        <n v="31.79"/>
        <n v="46.7"/>
        <n v="98.23"/>
        <n v="50.13"/>
        <n v="35.18"/>
        <n v="45.02"/>
        <n v="81.569999999999993"/>
        <n v="42.23"/>
        <n v="76.69"/>
        <n v="29.28"/>
        <n v="56.6"/>
        <n v="75.010000000000005"/>
        <n v="94.78"/>
        <n v="52.06"/>
        <n v="56.51"/>
        <n v="75.819999999999993"/>
        <n v="51.29"/>
        <n v="60.73"/>
        <n v="27.47"/>
        <n v="43.32"/>
        <n v="47.77"/>
        <n v="80.66"/>
        <n v="62.08"/>
        <n v="54.94"/>
        <n v="56.85"/>
        <n v="85.18"/>
        <n v="42.05"/>
        <n v="77.900000000000006"/>
        <n v="92.77"/>
        <n v="40.57"/>
        <n v="67.72"/>
        <n v="28.98"/>
        <n v="64.37"/>
        <n v="49.74"/>
        <n v="55.77"/>
        <n v="47.89"/>
        <n v="38.200000000000003"/>
        <n v="59.51"/>
        <n v="36.47"/>
        <n v="51.41"/>
        <n v="54.06"/>
        <n v="101.9"/>
        <n v="59.86"/>
        <n v="68.89"/>
        <n v="69.25"/>
        <n v="34.869999999999997"/>
        <n v="106.47"/>
        <n v="103.79"/>
        <n v="49.08"/>
        <n v="34.03"/>
        <n v="27.49"/>
        <n v="75.5"/>
        <n v="50.63"/>
        <n v="45.88"/>
        <n v="48.14"/>
        <n v="50.8"/>
        <n v="35.75"/>
        <n v="52.31"/>
        <n v="40.64"/>
        <n v="42.87"/>
        <n v="71.91"/>
        <n v="49.86"/>
        <n v="57.27"/>
        <n v="40.01"/>
        <n v="78.72"/>
        <n v="51.72"/>
        <n v="39.020000000000003"/>
        <n v="77.95"/>
        <n v="58.95"/>
        <n v="101.5"/>
        <n v="53.88"/>
        <n v="62.09"/>
        <n v="56.83"/>
        <n v="72.91"/>
        <n v="55.78"/>
        <n v="44.26"/>
        <n v="75.069999999999993"/>
        <n v="47.55"/>
        <n v="52.28"/>
        <n v="66.44"/>
        <n v="38.549999999999997"/>
        <n v="79.959999999999994"/>
        <n v="94.31"/>
        <n v="85.99"/>
        <n v="44.06"/>
        <n v="38.090000000000003"/>
        <n v="39.049999999999997"/>
        <n v="49.36"/>
        <n v="82.72"/>
        <n v="42.92"/>
        <n v="79.19"/>
        <n v="26.2"/>
        <n v="89.62"/>
        <n v="51.3"/>
        <n v="50.33"/>
        <n v="46.84"/>
        <n v="91.36"/>
        <n v="43.88"/>
        <n v="81.69"/>
        <n v="88.11"/>
        <n v="27.95"/>
        <n v="37.94"/>
        <n v="66.31"/>
        <n v="63.59"/>
        <n v="44.51"/>
        <n v="47.33"/>
        <n v="31.85"/>
        <n v="47.76"/>
        <n v="48.31"/>
        <n v="33.76"/>
        <n v="51.86"/>
        <n v="35.270000000000003"/>
        <n v="53.8"/>
        <n v="48.41"/>
        <n v="32.76"/>
        <n v="37.43"/>
        <n v="75.89"/>
        <n v="80.42"/>
        <n v="64.36"/>
        <n v="53.82"/>
        <n v="101.62"/>
        <n v="52.18"/>
        <n v="56"/>
        <n v="33.92"/>
        <n v="104.48"/>
        <n v="34.270000000000003"/>
        <n v="99.26"/>
        <n v="57.28"/>
        <n v="55.34"/>
        <n v="34.71"/>
        <n v="54.52"/>
        <n v="109.4"/>
        <n v="83.06"/>
        <n v="42.68"/>
        <n v="63.51"/>
        <n v="65.599999999999994"/>
        <n v="89.46"/>
        <n v="83.41"/>
        <n v="81.239999999999995"/>
        <n v="51.38"/>
        <n v="52.72"/>
        <n v="91.85"/>
        <n v="44.03"/>
        <n v="34.46"/>
        <n v="44.72"/>
        <n v="36.57"/>
        <n v="68.22"/>
        <n v="27.13"/>
        <n v="36.119999999999997"/>
        <n v="69.010000000000005"/>
        <n v="53.29"/>
        <n v="50.06"/>
        <n v="66.510000000000005"/>
        <n v="74.77"/>
        <n v="103.47"/>
        <n v="43.9"/>
        <n v="42.76"/>
        <n v="51.16"/>
        <n v="64"/>
        <n v="48.89"/>
        <n v="59.26"/>
        <n v="60.8"/>
        <n v="48.43"/>
        <n v="70.37"/>
        <n v="63.06"/>
        <n v="26.97"/>
        <n v="36.01"/>
        <n v="35.51"/>
        <n v="51.95"/>
        <n v="52.9"/>
        <n v="47.88"/>
        <n v="73.97"/>
        <n v="73.739999999999995"/>
        <n v="88.59"/>
        <n v="45.89"/>
        <n v="73.489999999999995"/>
        <n v="52.58"/>
        <n v="69.27"/>
        <n v="50.1"/>
        <n v="47.49"/>
        <n v="42.82"/>
        <n v="68.959999999999994"/>
        <n v="49.02"/>
        <n v="27.45"/>
        <n v="52.76"/>
        <n v="90.62"/>
        <n v="47.63"/>
        <n v="55.99"/>
        <n v="50.2"/>
        <n v="66.56"/>
        <n v="63.56"/>
        <n v="82.54"/>
        <n v="38.01"/>
        <n v="107.54"/>
        <n v="41.53"/>
        <n v="44.59"/>
        <n v="52.55"/>
        <n v="103.13"/>
        <n v="63.34"/>
        <n v="82.88"/>
        <n v="32.049999999999997"/>
        <n v="74.790000000000006"/>
        <n v="40.1"/>
        <n v="55.27"/>
        <n v="38.81"/>
        <n v="95.25"/>
        <n v="51.28"/>
        <n v="41.45"/>
        <n v="63.19"/>
        <n v="70.67"/>
        <n v="77.319999999999993"/>
        <n v="62.57"/>
        <n v="55.8"/>
        <n v="68.2"/>
        <n v="52.99"/>
        <n v="37.11"/>
        <n v="86.54"/>
        <n v="53.26"/>
        <n v="57.8"/>
        <n v="98.57"/>
        <n v="37.520000000000003"/>
        <n v="40.89"/>
        <n v="79.02"/>
        <n v="65.239999999999995"/>
        <n v="38.5"/>
        <n v="61.93"/>
        <n v="70.459999999999994"/>
        <n v="65.27"/>
        <n v="28.73"/>
        <n v="46.35"/>
        <n v="56.42"/>
        <n v="92.04"/>
        <n v="46.45"/>
        <n v="39.56"/>
        <n v="62.84"/>
        <n v="36.549999999999997"/>
        <n v="63.97"/>
        <n v="39.01"/>
        <n v="53.67"/>
        <n v="55.4"/>
        <n v="30.82"/>
        <n v="86.45"/>
        <n v="40.479999999999997"/>
        <n v="39.130000000000003"/>
        <n v="53.16"/>
        <n v="54.76"/>
        <n v="45.64"/>
        <n v="47.11"/>
        <n v="91.04"/>
        <n v="55.63"/>
        <n v="64.11"/>
        <n v="32.1"/>
        <n v="52.69"/>
        <n v="64.510000000000005"/>
        <n v="53.24"/>
        <n v="55.33"/>
        <n v="29.45"/>
        <n v="32.5"/>
        <n v="36.76"/>
        <n v="32.57"/>
        <n v="33.799999999999997"/>
        <n v="96.02"/>
        <n v="53.99"/>
        <n v="38.97"/>
        <n v="75.78"/>
        <n v="47.13"/>
        <n v="59.74"/>
        <n v="63.16"/>
        <n v="64.75"/>
        <n v="44.56"/>
        <n v="47.44"/>
        <n v="40.28"/>
        <n v="53.76"/>
        <n v="53.44"/>
        <n v="33.61"/>
        <n v="54.18"/>
        <n v="51.02"/>
        <n v="96.44"/>
        <n v="47.51"/>
        <n v="58.71"/>
        <n v="58.24"/>
        <n v="93.85"/>
        <n v="107.86"/>
        <n v="55.74"/>
        <n v="44.31"/>
        <n v="57.61"/>
        <n v="83.18"/>
        <n v="57.66"/>
        <n v="71.86"/>
        <n v="40.75"/>
        <n v="73.709999999999994"/>
        <n v="38.33"/>
        <n v="82.53"/>
        <n v="38.07"/>
        <n v="30.2"/>
        <n v="35.15"/>
        <n v="58.48"/>
        <n v="67.66"/>
        <n v="34.36"/>
        <n v="58.39"/>
        <n v="46.78"/>
        <n v="37.32"/>
        <n v="66.989999999999995"/>
        <n v="65.72"/>
        <n v="35.32"/>
        <n v="48.82"/>
        <n v="112.85"/>
        <n v="46.37"/>
        <n v="24.69"/>
        <n v="79.62"/>
        <n v="56.3"/>
        <n v="63.92"/>
        <n v="84.56"/>
        <n v="67.84"/>
        <n v="63.36"/>
        <n v="35.049999999999997"/>
        <n v="59.1"/>
        <n v="46.58"/>
        <n v="24.99"/>
        <n v="79.63"/>
        <n v="42.89"/>
        <n v="70.680000000000007"/>
        <n v="73.680000000000007"/>
        <n v="47.27"/>
        <n v="78.180000000000007"/>
        <n v="87.87"/>
        <n v="42.97"/>
        <n v="49.03"/>
        <n v="38.909999999999997"/>
        <n v="66.069999999999993"/>
        <n v="87.24"/>
        <n v="61.55"/>
        <n v="85.07"/>
        <n v="37.49"/>
        <n v="64.47"/>
        <n v="45.53"/>
        <n v="105.59"/>
        <n v="35.26"/>
        <n v="62.48"/>
        <n v="26.15"/>
        <n v="51.83"/>
        <n v="82.15"/>
        <n v="45.7"/>
        <n v="55.31"/>
        <n v="98.89"/>
        <n v="58.57"/>
        <n v="52.08"/>
        <n v="40.799999999999997"/>
        <n v="103.83"/>
        <n v="73.22"/>
        <n v="47.75"/>
        <n v="49.22"/>
        <n v="48.91"/>
        <n v="59.29"/>
        <n v="73.760000000000005"/>
        <n v="46.75"/>
        <n v="88.81"/>
        <n v="45.92"/>
        <n v="52.89"/>
        <n v="28.29"/>
        <n v="37.46"/>
        <n v="68.77"/>
        <n v="72.14"/>
        <n v="56.43"/>
        <n v="46.6"/>
        <n v="33.130000000000003"/>
        <n v="45.06"/>
        <n v="111.02"/>
        <n v="53.66"/>
        <n v="65.87"/>
        <n v="77.88"/>
        <n v="85.46"/>
        <n v="50.68"/>
        <n v="34.409999999999997"/>
        <n v="47.84"/>
        <n v="63.54"/>
        <n v="40.18"/>
        <n v="40.94"/>
        <n v="32.39"/>
        <n v="28.62"/>
        <n v="74.23"/>
        <n v="57.02"/>
        <n v="80.38"/>
        <n v="36.53"/>
        <n v="67.599999999999994"/>
        <n v="31.64"/>
        <n v="46.34"/>
        <n v="71.11"/>
        <n v="52.02"/>
        <n v="43.4"/>
        <n v="81.17"/>
        <n v="61.3"/>
        <n v="73.42"/>
        <n v="46.3"/>
        <n v="77.09"/>
        <n v="57.1"/>
        <n v="36.229999999999997"/>
        <n v="53.73"/>
        <n v="51.22"/>
        <n v="52.6"/>
        <n v="46.09"/>
        <n v="65.349999999999994"/>
        <n v="61.24"/>
        <n v="76.02"/>
        <n v="53.19"/>
        <n v="42"/>
        <n v="51.1"/>
        <n v="53.06"/>
        <n v="41.29"/>
        <n v="37.67"/>
        <n v="39.22"/>
        <n v="83.45"/>
        <n v="55.69"/>
        <n v="69.680000000000007"/>
        <n v="76.42"/>
        <n v="45.99"/>
        <n v="82.68"/>
        <n v="37.979999999999997"/>
        <n v="49.27"/>
        <n v="50.87"/>
        <n v="49.81"/>
        <n v="62.33"/>
        <n v="37.049999999999997"/>
        <n v="110.19"/>
        <n v="43.37"/>
        <n v="60.86"/>
        <n v="46.11"/>
        <n v="43.48"/>
        <n v="70.55"/>
        <n v="59.69"/>
        <n v="70"/>
        <n v="49.35"/>
        <n v="39.68"/>
        <n v="54.45"/>
        <n v="55.76"/>
        <n v="86.06"/>
        <n v="44.79"/>
        <n v="45.25"/>
        <n v="57.43"/>
        <n v="40.159999999999997"/>
        <n v="73.599999999999994"/>
        <n v="45.19"/>
        <n v="39.659999999999997"/>
        <n v="88.93"/>
        <n v="56.64"/>
        <n v="66.62"/>
        <n v="43.2"/>
        <n v="31.74"/>
        <n v="27.09"/>
        <n v="59.99"/>
        <n v="52.17"/>
        <n v="54.01"/>
        <n v="36.299999999999997"/>
        <n v="37.24"/>
        <n v="68.33"/>
        <n v="30.93"/>
        <n v="52.07"/>
        <n v="76.52"/>
        <n v="65.489999999999995"/>
        <n v="39.24"/>
        <n v="31.55"/>
        <n v="45.05"/>
        <n v="40.549999999999997"/>
        <n v="26.75"/>
        <n v="68.849999999999994"/>
        <n v="78.31"/>
        <n v="79.78"/>
        <n v="67.83"/>
        <n v="47.09"/>
        <n v="28.09"/>
        <n v="29.96"/>
        <n v="84.49"/>
        <n v="52.37"/>
        <n v="67.25"/>
        <n v="86.7"/>
        <n v="33.33"/>
        <n v="24.84"/>
        <n v="48.03"/>
        <n v="46.77"/>
        <n v="33.07"/>
        <n v="42.03"/>
        <n v="73.39"/>
        <n v="83.58"/>
        <n v="107.08"/>
        <n v="69.92"/>
        <n v="29.39"/>
        <n v="65.84"/>
        <n v="59.02"/>
        <n v="79.55"/>
        <n v="42.79"/>
        <n v="71.7"/>
        <n v="74.12"/>
        <n v="87.78"/>
        <n v="60.6"/>
        <n v="58.34"/>
        <n v="101.47"/>
        <n v="44.49"/>
        <n v="96.62"/>
        <n v="34.53"/>
        <n v="37.03"/>
        <n v="53.18"/>
        <n v="82.34"/>
        <n v="58.03"/>
        <n v="42.62"/>
        <n v="53.2"/>
        <n v="93.08"/>
        <n v="63.2"/>
        <n v="35.549999999999997"/>
        <n v="33.39"/>
        <n v="71.819999999999993"/>
        <n v="68.14"/>
        <n v="65.7"/>
        <n v="35.619999999999997"/>
        <n v="46.68"/>
        <n v="65.66"/>
        <n v="44.58"/>
        <n v="29.44"/>
        <n v="65.760000000000005"/>
        <n v="56.45"/>
        <n v="46.12"/>
        <n v="74.510000000000005"/>
        <n v="72.599999999999994"/>
        <n v="65.38"/>
        <n v="105.78"/>
        <n v="67.31"/>
        <n v="36.090000000000003"/>
        <n v="89"/>
        <n v="38.72"/>
        <n v="53.27"/>
        <n v="71.400000000000006"/>
        <n v="75.55"/>
        <n v="32.96"/>
        <n v="54.49"/>
        <n v="71.849999999999994"/>
        <n v="44.08"/>
        <n v="35.380000000000003"/>
        <n v="33.5"/>
        <n v="42.16"/>
        <n v="51.62"/>
        <n v="27.15"/>
        <n v="58.81"/>
        <n v="46.89"/>
        <n v="40.6"/>
        <n v="36.380000000000003"/>
        <n v="36.67"/>
        <n v="59.65"/>
        <n v="107.05"/>
        <n v="28.18"/>
        <n v="49.26"/>
        <n v="74.09"/>
        <n v="37.479999999999997"/>
        <n v="36.15"/>
        <n v="40.72"/>
        <n v="80.97"/>
        <n v="32.590000000000003"/>
        <n v="43.19"/>
        <n v="39.03"/>
        <n v="40.78"/>
        <n v="41.85"/>
        <n v="74.88"/>
        <n v="48.32"/>
        <n v="60.57"/>
        <n v="52.34"/>
        <n v="77.89"/>
        <n v="47.29"/>
        <n v="32.74"/>
        <n v="61.78"/>
        <n v="37.15"/>
        <n v="64.290000000000006"/>
        <n v="51.61"/>
        <n v="71.459999999999994"/>
        <n v="78.66"/>
        <n v="48.11"/>
        <n v="45.17"/>
        <n v="97.23"/>
        <n v="66.459999999999994"/>
        <n v="67.77"/>
        <n v="45.63"/>
        <n v="41.58"/>
        <n v="33.82"/>
        <n v="43.18"/>
        <n v="50.09"/>
        <n v="57.5"/>
        <n v="57.76"/>
        <n v="89.49"/>
        <n v="59.82"/>
        <n v="40.68"/>
        <n v="67.95"/>
        <n v="52.05"/>
        <n v="34.56"/>
        <n v="48.09"/>
        <n v="55.46"/>
        <n v="78.83"/>
        <n v="106.81"/>
        <n v="55.48"/>
        <n v="64.13"/>
        <n v="86.74"/>
        <n v="31.37"/>
        <n v="59.88"/>
        <n v="66.55"/>
        <n v="47.69"/>
        <n v="53.52"/>
        <n v="50.84"/>
        <n v="45.62"/>
        <n v="49.16"/>
        <n v="91.48"/>
        <n v="105"/>
        <n v="44.82"/>
        <n v="62.49"/>
        <n v="37.19"/>
        <n v="58.92"/>
        <n v="104.58"/>
        <n v="58.6"/>
        <n v="38.04"/>
        <n v="57.34"/>
        <n v="31.13"/>
        <n v="68.05"/>
        <n v="39.770000000000003"/>
        <n v="52.29"/>
        <n v="52.92"/>
        <n v="31.54"/>
        <n v="45.01"/>
        <n v="40.03"/>
        <n v="39.65"/>
        <n v="25.1"/>
        <n v="39.99"/>
        <n v="33.86"/>
        <n v="48.37"/>
        <n v="84.52"/>
        <n v="78.75"/>
        <n v="52.32"/>
        <n v="36.29"/>
        <n v="51.94"/>
        <n v="43.55"/>
        <n v="30.83"/>
        <n v="28.49"/>
        <n v="97.09"/>
        <n v="63.86"/>
        <n v="40.71"/>
        <n v="46.97"/>
        <n v="66.2"/>
        <n v="70.3"/>
        <n v="85.38"/>
        <n v="46.79"/>
        <n v="95.99"/>
        <n v="32.299999999999997"/>
        <n v="54.16"/>
        <n v="41.96"/>
        <n v="44.24"/>
        <n v="57.47"/>
        <n v="93.19"/>
        <n v="73.069999999999993"/>
        <n v="39.49"/>
        <n v="61"/>
        <n v="48.51"/>
        <n v="63.43"/>
        <n v="76.23"/>
        <n v="47.04"/>
        <n v="32.619999999999997"/>
        <n v="53.34"/>
        <n v="41.08"/>
        <n v="41.75"/>
        <n v="55.53"/>
        <n v="81.66"/>
        <n v="51.69"/>
        <n v="44.75"/>
        <n v="65.47"/>
        <n v="84.34"/>
        <n v="103.42"/>
        <n v="113.05"/>
        <n v="47.9"/>
        <n v="38.299999999999997"/>
        <n v="57.97"/>
        <n v="47.35"/>
        <n v="50.78"/>
        <n v="59.89"/>
        <n v="93.07"/>
        <n v="57.79"/>
        <n v="58.22"/>
        <n v="40.700000000000003"/>
        <n v="37.29"/>
        <n v="54"/>
        <n v="92.49"/>
        <n v="38.4"/>
        <n v="46.86"/>
        <n v="54.15"/>
        <n v="37.21"/>
        <n v="60.11"/>
        <n v="72.59"/>
        <n v="35.03"/>
        <n v="57.92"/>
        <n v="45.69"/>
        <n v="67.56"/>
        <n v="72.92"/>
        <n v="40.770000000000003"/>
        <n v="83.99"/>
        <n v="76.66"/>
        <n v="80.12"/>
        <n v="61.19"/>
        <n v="38.29"/>
        <n v="90.4"/>
        <n v="67.47"/>
        <n v="53.37"/>
        <n v="78.77"/>
        <n v="59.07"/>
        <n v="65.209999999999994"/>
        <n v="40.04"/>
        <n v="34.42"/>
        <n v="75.16"/>
        <n v="94.81"/>
        <n v="71.87"/>
        <n v="52.52"/>
        <n v="57.29"/>
        <n v="33.44"/>
        <n v="55.14"/>
        <n v="32.49"/>
        <n v="76.540000000000006"/>
        <n v="31.07"/>
        <n v="50.93"/>
        <n v="61.47"/>
        <n v="47.42"/>
        <n v="105.99"/>
        <n v="34.97"/>
        <n v="56.2"/>
        <n v="37.950000000000003"/>
        <n v="70.52"/>
        <n v="57.41"/>
        <n v="72.69"/>
        <n v="39.61"/>
        <n v="70.569999999999993"/>
        <n v="64.67"/>
        <n v="57.86"/>
        <n v="31.7"/>
        <n v="84.94"/>
        <n v="83.77"/>
        <n v="93.15"/>
        <n v="67.319999999999993"/>
        <n v="64.83"/>
        <n v="44.3"/>
        <n v="59.14"/>
        <n v="79.75"/>
        <n v="52.63"/>
        <n v="58.63"/>
        <n v="103.69"/>
        <n v="83.34"/>
        <n v="33.96"/>
        <n v="68.56"/>
        <n v="48.59"/>
        <n v="46.24"/>
        <n v="26.57"/>
        <n v="54.34"/>
        <n v="36.58"/>
        <n v="40.729999999999997"/>
        <n v="68.25"/>
        <n v="35.99"/>
        <n v="39.090000000000003"/>
        <n v="42.58"/>
        <n v="55.29"/>
        <n v="101.27"/>
        <n v="58.44"/>
        <n v="52.62"/>
        <n v="54.14"/>
        <n v="60.09"/>
        <n v="71.78"/>
        <n v="36.4"/>
        <n v="40.25"/>
        <n v="41.37"/>
        <n v="28.16"/>
        <n v="84.8"/>
        <n v="47.86"/>
        <n v="63.47"/>
        <n v="35.64"/>
        <n v="42.21"/>
        <n v="56.98"/>
        <n v="50.57"/>
        <n v="36.69"/>
        <n v="50.7"/>
        <n v="94.95"/>
        <n v="62.97"/>
        <n v="43.8"/>
        <n v="65.98"/>
        <n v="61.45"/>
        <n v="43"/>
        <n v="34.85"/>
        <n v="82.11"/>
        <n v="39.119999999999997"/>
        <n v="53.56"/>
        <n v="31.91"/>
        <n v="100.6"/>
        <n v="76.77"/>
        <n v="53.54"/>
        <n v="39.479999999999997"/>
        <n v="54.96"/>
        <n v="34.92"/>
        <n v="49.98"/>
        <n v="60.13"/>
        <n v="58.29"/>
        <n v="93.17"/>
        <n v="27.76"/>
        <n v="74.37"/>
        <n v="44.74"/>
        <n v="37.64"/>
        <n v="70.040000000000006"/>
        <n v="34.840000000000003"/>
        <n v="50.71"/>
        <n v="33.35"/>
        <n v="30.71"/>
        <n v="64.62"/>
        <n v="43.63"/>
        <n v="43.04"/>
        <n v="78.95"/>
        <n v="51.65"/>
        <n v="31.31"/>
        <n v="58.56"/>
        <n v="42.1"/>
        <n v="86.99"/>
        <n v="87.59"/>
        <n v="75.510000000000005"/>
        <n v="32.56"/>
        <n v="52.47"/>
        <n v="51.73"/>
        <n v="49.53"/>
        <n v="52.1"/>
        <n v="37.14"/>
        <n v="51.17"/>
        <n v="27.24"/>
        <n v="52.82"/>
        <n v="81.64"/>
        <n v="86.37"/>
        <n v="37.18"/>
        <n v="92.74"/>
        <n v="55.12"/>
        <n v="59.05"/>
        <n v="90.86"/>
        <n v="60.28"/>
        <n v="43.03"/>
        <n v="50.5"/>
        <n v="86.05"/>
        <n v="36.5"/>
        <n v="84.29"/>
        <n v="55.89"/>
        <n v="51.35"/>
        <n v="26.18"/>
        <n v="40.44"/>
        <n v="36.71"/>
        <n v="50.47"/>
        <n v="105.86"/>
        <n v="35.68"/>
        <n v="63.52"/>
        <n v="41.38"/>
        <n v="46.47"/>
        <n v="56.01"/>
        <n v="77.400000000000006"/>
        <n v="68.66"/>
        <n v="38.93"/>
        <n v="45.12"/>
        <n v="68.58"/>
        <n v="103.62"/>
        <n v="63.23"/>
        <n v="55.45"/>
        <n v="82.02"/>
        <n v="50.72"/>
        <n v="79.69"/>
        <n v="27.75"/>
        <n v="67.290000000000006"/>
        <n v="58.16"/>
        <n v="83.09"/>
        <n v="61.66"/>
        <n v="90.47"/>
        <n v="72.5"/>
        <n v="60.68"/>
        <n v="43.66"/>
        <n v="45.18"/>
        <n v="44.16"/>
        <n v="46.44"/>
        <n v="51.49"/>
        <n v="54.72"/>
        <n v="43.53"/>
        <n v="36.04"/>
        <n v="52.09"/>
        <n v="63.53"/>
        <n v="40.200000000000003"/>
        <n v="53.28"/>
        <n v="89.05"/>
        <n v="92.03"/>
        <n v="29.32"/>
        <n v="57.95"/>
        <n v="93.99"/>
        <n v="35.96"/>
        <n v="60.19"/>
        <n v="50.59"/>
        <n v="53.92"/>
        <n v="59.68"/>
        <n v="32.380000000000003"/>
        <n v="53.81"/>
        <n v="39.81"/>
        <n v="56.52"/>
        <n v="56.88"/>
        <n v="51.92"/>
        <n v="45.86"/>
        <n v="62.52"/>
        <n v="40.82"/>
        <n v="77.13"/>
        <n v="75.650000000000006"/>
        <n v="38.76"/>
        <n v="43.86"/>
        <n v="52.67"/>
        <n v="89.1"/>
        <n v="58.31"/>
        <n v="32.42"/>
        <n v="38.83"/>
        <n v="29.46"/>
        <n v="51.31"/>
        <n v="65.09"/>
        <n v="43.24"/>
        <n v="46.05"/>
        <n v="33.619999999999997"/>
        <n v="56.8"/>
        <n v="59.83"/>
        <n v="37.39"/>
        <n v="68.099999999999994"/>
        <n v="85.87"/>
        <n v="84.04"/>
        <n v="44.63"/>
        <n v="90.99"/>
        <n v="55.65"/>
        <n v="24.54"/>
        <n v="41.64"/>
        <n v="84.41"/>
        <n v="96.12"/>
        <n v="45.43"/>
        <n v="63.73"/>
        <n v="40.43"/>
        <n v="39.200000000000003"/>
        <n v="64.069999999999993"/>
        <n v="38.46"/>
        <n v="36.83"/>
        <n v="79.7"/>
        <n v="41.91"/>
        <n v="37.840000000000003"/>
        <n v="89.8"/>
        <n v="56.23"/>
        <n v="33.89"/>
        <n v="45.3"/>
        <n v="36.9"/>
        <n v="57.68"/>
        <n v="81.5"/>
        <n v="28.83"/>
        <n v="107.41"/>
        <n v="61.96"/>
        <n v="40.659999999999997"/>
        <n v="49.73"/>
        <n v="84.7"/>
        <n v="32.409999999999997"/>
        <n v="40.51"/>
        <n v="61.32"/>
        <n v="34.799999999999997"/>
        <n v="41.24"/>
        <n v="71.98"/>
        <n v="37.54"/>
        <n v="48.26"/>
        <n v="98.04"/>
        <n v="26.68"/>
        <n v="79.989999999999995"/>
        <n v="87.85"/>
        <n v="54.17"/>
        <n v="35.79"/>
        <n v="32.64"/>
        <n v="95.04"/>
        <n v="67.540000000000006"/>
        <n v="26.28"/>
        <n v="60.75"/>
        <n v="64.739999999999995"/>
        <n v="75.73"/>
        <n v="73.349999999999994"/>
        <n v="96.16"/>
        <n v="64.540000000000006"/>
        <n v="60.01"/>
        <n v="40.14"/>
        <n v="70.11"/>
        <n v="67"/>
        <n v="91.82"/>
        <n v="52.91"/>
        <n v="33.26"/>
        <n v="30.27"/>
        <n v="48.86"/>
        <n v="32.51"/>
        <n v="69.72"/>
        <n v="74.47"/>
        <n v="58.84"/>
        <n v="39.979999999999997"/>
        <n v="60.44"/>
        <n v="87.28"/>
        <n v="82.03"/>
        <n v="100.02"/>
        <n v="66.14"/>
        <n v="50.35"/>
        <n v="44.15"/>
        <n v="54.57"/>
        <n v="33.25"/>
        <n v="35.590000000000003"/>
        <n v="51.87"/>
        <n v="83.88"/>
        <n v="24.61"/>
        <n v="42.81"/>
        <n v="42.59"/>
        <n v="54.13"/>
        <n v="52.59"/>
        <n v="41.67"/>
        <n v="55.68"/>
        <n v="54.62"/>
        <n v="32.950000000000003"/>
        <n v="80.75"/>
        <n v="47.71"/>
        <n v="37.83"/>
        <n v="43.11"/>
        <n v="66.72"/>
        <n v="90.57"/>
        <n v="44.47"/>
        <n v="73.58"/>
        <n v="73.31"/>
        <n v="60.4"/>
        <n v="89.69"/>
        <n v="55.51"/>
        <n v="93.11"/>
        <n v="38.22"/>
        <n v="37.72"/>
        <n v="72.760000000000005"/>
        <n v="60.59"/>
        <n v="59.85"/>
        <n v="44.09"/>
        <n v="31.97"/>
        <n v="48.07"/>
        <n v="38.14"/>
        <n v="60.22"/>
      </sharedItems>
    </cacheField>
    <cacheField name="Profit" numFmtId="166">
      <sharedItems containsSemiMixedTypes="0" containsString="0" containsNumber="1" minValue="18.86" maxValue="496" count="1517">
        <n v="146.44"/>
        <n v="50.13"/>
        <n v="45.05"/>
        <n v="53.1"/>
        <n v="86.4"/>
        <n v="102.36"/>
        <n v="87.82"/>
        <n v="98.94"/>
        <n v="113.08"/>
        <n v="50.95"/>
        <n v="90.03"/>
        <n v="58.55"/>
        <n v="75.960000000000008"/>
        <n v="168.8"/>
        <n v="26.909999999999997"/>
        <n v="91.7"/>
        <n v="34.1"/>
        <n v="266.49"/>
        <n v="39.14"/>
        <n v="137.84"/>
        <n v="309.95999999999998"/>
        <n v="131.80000000000001"/>
        <n v="31.64"/>
        <n v="60.72"/>
        <n v="70.02"/>
        <n v="61.09"/>
        <n v="89.52"/>
        <n v="49.57"/>
        <n v="59.1"/>
        <n v="37.67"/>
        <n v="54.08"/>
        <n v="21.28"/>
        <n v="57.17"/>
        <n v="53.5"/>
        <n v="24.689999999999998"/>
        <n v="212.94"/>
        <n v="52.1"/>
        <n v="296.75"/>
        <n v="33.980000000000004"/>
        <n v="128.34"/>
        <n v="37.51"/>
        <n v="75"/>
        <n v="91.78"/>
        <n v="93.13"/>
        <n v="109.88"/>
        <n v="135.74"/>
        <n v="24.96"/>
        <n v="118.16"/>
        <n v="108.5"/>
        <n v="125.78"/>
        <n v="103.64"/>
        <n v="54.28"/>
        <n v="247.11"/>
        <n v="173.16"/>
        <n v="98.14"/>
        <n v="120.03"/>
        <n v="45.4"/>
        <n v="46.39"/>
        <n v="175.02"/>
        <n v="116.13999999999999"/>
        <n v="60.16"/>
        <n v="178.74"/>
        <n v="48.63"/>
        <n v="45.39"/>
        <n v="46.82"/>
        <n v="221.21999999999997"/>
        <n v="49.8"/>
        <n v="51.71"/>
        <n v="175.36"/>
        <n v="96.94"/>
        <n v="72.75"/>
        <n v="52.19"/>
        <n v="86.27"/>
        <n v="101.07"/>
        <n v="45.49"/>
        <n v="39.159999999999997"/>
        <n v="39.11"/>
        <n v="43.46"/>
        <n v="31.090000000000003"/>
        <n v="270.5"/>
        <n v="76.2"/>
        <n v="154.51999999999998"/>
        <n v="33.22"/>
        <n v="48.52"/>
        <n v="119.10000000000001"/>
        <n v="94.15"/>
        <n v="104.26"/>
        <n v="61.94"/>
        <n v="54.19"/>
        <n v="133.80000000000001"/>
        <n v="72.17"/>
        <n v="29.729999999999997"/>
        <n v="42.61"/>
        <n v="22.659999999999997"/>
        <n v="83.51"/>
        <n v="40.04"/>
        <n v="130.18"/>
        <n v="181.44"/>
        <n v="48.44"/>
        <n v="148.5"/>
        <n v="31.92"/>
        <n v="53.49"/>
        <n v="219.44"/>
        <n v="104.8"/>
        <n v="92.28"/>
        <n v="121.65"/>
        <n v="185.96"/>
        <n v="134.38"/>
        <n v="53.78"/>
        <n v="81.3"/>
        <n v="89.58"/>
        <n v="73.91"/>
        <n v="86.17"/>
        <n v="265.44"/>
        <n v="105.42"/>
        <n v="71.48"/>
        <n v="39.090000000000003"/>
        <n v="105.76"/>
        <n v="86.68"/>
        <n v="125.02"/>
        <n v="35.159999999999997"/>
        <n v="39.15"/>
        <n v="59.650000000000006"/>
        <n v="85.3"/>
        <n v="166.23000000000002"/>
        <n v="59.42"/>
        <n v="58.52"/>
        <n v="43.08"/>
        <n v="101.88"/>
        <n v="146.25"/>
        <n v="43.22"/>
        <n v="57.98"/>
        <n v="165.76"/>
        <n v="178.26"/>
        <n v="34.840000000000003"/>
        <n v="86.89"/>
        <n v="46.88"/>
        <n v="134.43"/>
        <n v="309.18"/>
        <n v="71.099999999999994"/>
        <n v="40.69"/>
        <n v="34.36"/>
        <n v="47.86"/>
        <n v="50.27"/>
        <n v="72.790000000000006"/>
        <n v="63.099999999999994"/>
        <n v="26.92"/>
        <n v="160.26"/>
        <n v="79.72"/>
        <n v="38.99"/>
        <n v="70.430000000000007"/>
        <n v="162.86000000000001"/>
        <n v="72.099999999999994"/>
        <n v="54.95"/>
        <n v="102.65"/>
        <n v="54.239999999999995"/>
        <n v="41.87"/>
        <n v="92.36"/>
        <n v="123.72"/>
        <n v="85.98"/>
        <n v="269.60000000000002"/>
        <n v="75.710000000000008"/>
        <n v="133.76"/>
        <n v="32.29"/>
        <n v="104.03"/>
        <n v="93.390000000000015"/>
        <n v="127.08000000000001"/>
        <n v="50.65"/>
        <n v="38.590000000000003"/>
        <n v="75.72"/>
        <n v="49.23"/>
        <n v="78.45"/>
        <n v="124.44"/>
        <n v="175.89"/>
        <n v="263.16000000000003"/>
        <n v="168.88"/>
        <n v="38.119999999999997"/>
        <n v="85.45"/>
        <n v="149.19999999999999"/>
        <n v="56.92"/>
        <n v="98.52000000000001"/>
        <n v="95.06"/>
        <n v="53.83"/>
        <n v="69.36"/>
        <n v="214.23"/>
        <n v="65.959999999999994"/>
        <n v="55.150000000000006"/>
        <n v="179.4"/>
        <n v="364.68"/>
        <n v="98.04"/>
        <n v="219.60000000000002"/>
        <n v="120.76"/>
        <n v="95.3"/>
        <n v="92.07"/>
        <n v="289.44"/>
        <n v="38.81"/>
        <n v="228.32999999999998"/>
        <n v="140.42000000000002"/>
        <n v="258.36"/>
        <n v="107.52000000000001"/>
        <n v="103.4"/>
        <n v="31.79"/>
        <n v="233"/>
        <n v="70.12"/>
        <n v="86.12"/>
        <n v="69.459999999999994"/>
        <n v="31.489999999999995"/>
        <n v="64.92"/>
        <n v="60.879999999999995"/>
        <n v="62.180000000000007"/>
        <n v="69.38"/>
        <n v="50.89"/>
        <n v="305.76"/>
        <n v="36.67"/>
        <n v="166.64999999999998"/>
        <n v="100.4"/>
        <n v="78.22"/>
        <n v="48.85"/>
        <n v="36.08"/>
        <n v="136.14000000000001"/>
        <n v="167.2"/>
        <n v="149.6"/>
        <n v="55.22"/>
        <n v="34.020000000000003"/>
        <n v="93.02"/>
        <n v="33.630000000000003"/>
        <n v="57.5"/>
        <n v="76.44"/>
        <n v="424.15"/>
        <n v="72.94"/>
        <n v="38.79"/>
        <n v="90.990000000000009"/>
        <n v="28.82"/>
        <n v="43.8"/>
        <n v="60.65"/>
        <n v="79.680000000000007"/>
        <n v="190.07999999999998"/>
        <n v="57.8"/>
        <n v="143.91"/>
        <n v="158.52000000000001"/>
        <n v="81.17"/>
        <n v="103.96"/>
        <n v="129.01999999999998"/>
        <n v="44.05"/>
        <n v="192.45999999999998"/>
        <n v="44.84"/>
        <n v="87.58"/>
        <n v="88.240000000000009"/>
        <n v="37.42"/>
        <n v="66.22"/>
        <n v="173.34"/>
        <n v="30.049999999999997"/>
        <n v="39.69"/>
        <n v="58.93"/>
        <n v="80.36"/>
        <n v="112.32"/>
        <n v="52.93"/>
        <n v="86.16"/>
        <n v="192.25"/>
        <n v="50.88"/>
        <n v="158.80000000000001"/>
        <n v="74.010000000000005"/>
        <n v="46.69"/>
        <n v="42.68"/>
        <n v="62.400000000000006"/>
        <n v="23.630000000000003"/>
        <n v="192.84"/>
        <n v="203.67000000000002"/>
        <n v="52.04"/>
        <n v="36.06"/>
        <n v="338.82"/>
        <n v="263.5"/>
        <n v="66.62"/>
        <n v="73.12"/>
        <n v="112.80000000000001"/>
        <n v="108.80000000000001"/>
        <n v="32.85"/>
        <n v="101.2"/>
        <n v="146"/>
        <n v="207.32"/>
        <n v="55.239999999999995"/>
        <n v="117.84"/>
        <n v="113.44"/>
        <n v="121"/>
        <n v="207.18"/>
        <n v="65.06"/>
        <n v="224.16"/>
        <n v="120.54"/>
        <n v="69.09"/>
        <n v="53.69"/>
        <n v="48.69"/>
        <n v="50.769999999999996"/>
        <n v="39.28"/>
        <n v="73.47"/>
        <n v="84.36"/>
        <n v="83.960000000000008"/>
        <n v="60.14"/>
        <n v="63.71"/>
        <n v="68.040000000000006"/>
        <n v="143.41999999999999"/>
        <n v="138.68"/>
        <n v="63.3"/>
        <n v="77.59"/>
        <n v="31.57"/>
        <n v="223.95000000000005"/>
        <n v="36.549999999999997"/>
        <n v="289.64"/>
        <n v="66.58"/>
        <n v="128.38"/>
        <n v="44.45"/>
        <n v="82.8"/>
        <n v="51.41"/>
        <n v="222.63"/>
        <n v="98.42"/>
        <n v="54.26"/>
        <n v="53.57"/>
        <n v="55.17"/>
        <n v="101.28"/>
        <n v="79.53"/>
        <n v="178.62"/>
        <n v="42.57"/>
        <n v="69.47"/>
        <n v="92"/>
        <n v="65.400000000000006"/>
        <n v="209.25"/>
        <n v="56.2"/>
        <n v="51.17"/>
        <n v="244.62"/>
        <n v="206.21999999999997"/>
        <n v="163.16"/>
        <n v="46.98"/>
        <n v="38.67"/>
        <n v="155.26"/>
        <n v="173.22"/>
        <n v="34.61"/>
        <n v="64.5"/>
        <n v="36.590000000000003"/>
        <n v="125.9"/>
        <n v="108.58"/>
        <n v="163.76"/>
        <n v="32.409999999999997"/>
        <n v="91.81"/>
        <n v="162.89999999999998"/>
        <n v="42.6"/>
        <n v="86.7"/>
        <n v="105.18"/>
        <n v="116.02"/>
        <n v="143.38"/>
        <n v="92.57"/>
        <n v="335.76"/>
        <n v="83.18"/>
        <n v="43.37"/>
        <n v="186.57999999999998"/>
        <n v="54.14"/>
        <n v="60.08"/>
        <n v="65.72"/>
        <n v="77.08"/>
        <n v="114.15"/>
        <n v="54.39"/>
        <n v="72.709999999999994"/>
        <n v="53.42"/>
        <n v="85.1"/>
        <n v="72.77"/>
        <n v="59.12"/>
        <n v="129.63999999999999"/>
        <n v="54.98"/>
        <n v="53.430000000000007"/>
        <n v="104.54"/>
        <n v="58.31"/>
        <n v="141.66"/>
        <n v="75.150000000000006"/>
        <n v="48.489999999999995"/>
        <n v="120.44"/>
        <n v="82.94"/>
        <n v="33.49"/>
        <n v="61.930000000000007"/>
        <n v="131.13"/>
        <n v="421.35"/>
        <n v="85.06"/>
        <n v="123.36"/>
        <n v="111.69"/>
        <n v="49.84"/>
        <n v="239.60000000000002"/>
        <n v="35.06"/>
        <n v="51.15"/>
        <n v="94.82"/>
        <n v="42.95"/>
        <n v="102.1"/>
        <n v="145.96"/>
        <n v="58.43"/>
        <n v="124.56"/>
        <n v="183.06"/>
        <n v="348.39"/>
        <n v="85.259999999999991"/>
        <n v="74.22999999999999"/>
        <n v="82.11"/>
        <n v="58.599999999999994"/>
        <n v="281.96000000000004"/>
        <n v="97.06"/>
        <n v="38.840000000000003"/>
        <n v="151.88"/>
        <n v="166.7"/>
        <n v="63.39"/>
        <n v="67.11"/>
        <n v="41.25"/>
        <n v="30.130000000000003"/>
        <n v="138.56"/>
        <n v="96.21"/>
        <n v="55.92"/>
        <n v="65.97"/>
        <n v="42.510000000000005"/>
        <n v="173.84"/>
        <n v="49.5"/>
        <n v="68.12"/>
        <n v="44.12"/>
        <n v="136.98000000000002"/>
        <n v="50.86"/>
        <n v="75.2"/>
        <n v="52"/>
        <n v="47.69"/>
        <n v="18.86"/>
        <n v="62.13"/>
        <n v="226.68"/>
        <n v="80.28"/>
        <n v="105.46"/>
        <n v="199.96"/>
        <n v="192.56"/>
        <n v="227.34"/>
        <n v="64.22999999999999"/>
        <n v="121.96"/>
        <n v="97.55"/>
        <n v="41.05"/>
        <n v="88.5"/>
        <n v="41.12"/>
        <n v="45.91"/>
        <n v="133.34"/>
        <n v="184.18"/>
        <n v="124.85000000000002"/>
        <n v="60.74"/>
        <n v="69.930000000000007"/>
        <n v="37.950000000000003"/>
        <n v="99.44"/>
        <n v="50.56"/>
        <n v="150.28"/>
        <n v="42.2"/>
        <n v="342.70000000000005"/>
        <n v="149.07"/>
        <n v="109.01"/>
        <n v="45.94"/>
        <n v="61.91"/>
        <n v="41.7"/>
        <n v="36.14"/>
        <n v="52.28"/>
        <n v="94.16"/>
        <n v="105.81"/>
        <n v="70.38"/>
        <n v="103.7"/>
        <n v="39.67"/>
        <n v="86.32"/>
        <n v="78.64"/>
        <n v="280.48"/>
        <n v="48.81"/>
        <n v="66.89"/>
        <n v="37.049999999999997"/>
        <n v="34.479999999999997"/>
        <n v="64.12"/>
        <n v="171.38"/>
        <n v="138.82"/>
        <n v="90.98"/>
        <n v="47.67"/>
        <n v="38.15"/>
        <n v="51.99"/>
        <n v="101.38"/>
        <n v="51.74"/>
        <n v="69.64"/>
        <n v="64.47999999999999"/>
        <n v="182.4"/>
        <n v="154.77000000000001"/>
        <n v="47.24"/>
        <n v="96.14"/>
        <n v="42.86"/>
        <n v="250.39999999999998"/>
        <n v="161.9"/>
        <n v="43.64"/>
        <n v="36.43"/>
        <n v="55.629999999999995"/>
        <n v="128.46"/>
        <n v="108"/>
        <n v="51.58"/>
        <n v="70.52"/>
        <n v="167.19"/>
        <n v="76.489999999999995"/>
        <n v="270.88"/>
        <n v="47.38"/>
        <n v="57.16"/>
        <n v="80.58"/>
        <n v="94.96"/>
        <n v="74.710000000000008"/>
        <n v="80.599999999999994"/>
        <n v="109.38"/>
        <n v="121.64"/>
        <n v="62.49"/>
        <n v="169.60000000000002"/>
        <n v="161.08000000000001"/>
        <n v="51.59"/>
        <n v="137.52000000000001"/>
        <n v="38.619999999999997"/>
        <n v="51.78"/>
        <n v="190.60000000000002"/>
        <n v="118.94"/>
        <n v="32.04"/>
        <n v="90.56"/>
        <n v="107.36"/>
        <n v="50.53"/>
        <n v="47.870000000000005"/>
        <n v="49.38"/>
        <n v="116.96999999999997"/>
        <n v="40.21"/>
        <n v="64.94"/>
        <n v="90.74"/>
        <n v="140.46"/>
        <n v="86.53"/>
        <n v="46.35"/>
        <n v="94.72"/>
        <n v="141.72"/>
        <n v="95.68"/>
        <n v="44"/>
        <n v="51.11"/>
        <n v="49.99"/>
        <n v="106.4"/>
        <n v="36.57"/>
        <n v="239.26"/>
        <n v="86.94"/>
        <n v="53.03"/>
        <n v="62.99"/>
        <n v="54.74"/>
        <n v="103.05"/>
        <n v="67.099999999999994"/>
        <n v="64.239999999999995"/>
        <n v="116.03"/>
        <n v="132.52000000000001"/>
        <n v="96.41"/>
        <n v="87.11"/>
        <n v="266.04000000000002"/>
        <n v="36.6"/>
        <n v="184.46"/>
        <n v="44.4"/>
        <n v="95.02"/>
        <n v="87.18"/>
        <n v="116.04"/>
        <n v="91.96"/>
        <n v="64.099999999999994"/>
        <n v="184.48000000000002"/>
        <n v="298.14"/>
        <n v="57.37"/>
        <n v="236.88"/>
        <n v="62.44"/>
        <n v="72.459999999999994"/>
        <n v="42.74"/>
        <n v="45.459999999999994"/>
        <n v="50.91"/>
        <n v="67.91"/>
        <n v="77.45"/>
        <n v="71.87"/>
        <n v="89.66"/>
        <n v="92.12"/>
        <n v="213.8"/>
        <n v="49.9"/>
        <n v="89.72999999999999"/>
        <n v="122.38"/>
        <n v="169.5"/>
        <n v="206.16"/>
        <n v="38.549999999999997"/>
        <n v="317.24"/>
        <n v="218.66"/>
        <n v="57.680000000000007"/>
        <n v="338.72"/>
        <n v="38.700000000000003"/>
        <n v="243.6"/>
        <n v="74.02"/>
        <n v="95.78"/>
        <n v="78.459999999999994"/>
        <n v="41.24"/>
        <n v="50.2"/>
        <n v="126.86000000000001"/>
        <n v="57.48"/>
        <n v="108.22"/>
        <n v="65.98"/>
        <n v="267.55"/>
        <n v="66.5"/>
        <n v="159.21"/>
        <n v="239.08"/>
        <n v="174.69"/>
        <n v="46.269999999999996"/>
        <n v="48.65"/>
        <n v="93.58"/>
        <n v="78.959999999999994"/>
        <n v="127.1"/>
        <n v="162.32"/>
        <n v="195.8"/>
        <n v="78.53"/>
        <n v="54.49"/>
        <n v="56.33"/>
        <n v="193.8"/>
        <n v="39.18"/>
        <n v="207.1"/>
        <n v="63.040000000000006"/>
        <n v="65.87"/>
        <n v="63.84"/>
        <n v="55.74"/>
        <n v="148.72"/>
        <n v="32.89"/>
        <n v="65.709999999999994"/>
        <n v="88.37"/>
        <n v="181.78"/>
        <n v="317.12"/>
        <n v="79.8"/>
        <n v="94.62"/>
        <n v="40.489999999999995"/>
        <n v="72.759999999999991"/>
        <n v="57.49"/>
        <n v="44.67"/>
        <n v="56.05"/>
        <n v="67.5"/>
        <n v="82.55"/>
        <n v="63.24"/>
        <n v="38.68"/>
        <n v="496"/>
        <n v="155.10000000000002"/>
        <n v="46.4"/>
        <n v="375.92"/>
        <n v="59.35"/>
        <n v="41.01"/>
        <n v="102.98"/>
        <n v="82.06"/>
        <n v="98.44"/>
        <n v="52.87"/>
        <n v="179.04"/>
        <n v="51.84"/>
        <n v="160.5"/>
        <n v="64.69"/>
        <n v="143.12"/>
        <n v="52.2"/>
        <n v="48.97"/>
        <n v="66.240000000000009"/>
        <n v="140.45999999999998"/>
        <n v="76.56"/>
        <n v="281.95"/>
        <n v="65.819999999999993"/>
        <n v="78.97999999999999"/>
        <n v="167.12"/>
        <n v="42.49"/>
        <n v="41.76"/>
        <n v="72.400000000000006"/>
        <n v="72.14"/>
        <n v="52.26"/>
        <n v="45.69"/>
        <n v="69.89"/>
        <n v="173.64"/>
        <n v="70"/>
        <n v="37.340000000000003"/>
        <n v="76.64"/>
        <n v="44.75"/>
        <n v="36.790000000000006"/>
        <n v="106.30000000000001"/>
        <n v="42.42"/>
        <n v="88.47"/>
        <n v="61.93"/>
        <n v="57.38"/>
        <n v="45.8"/>
        <n v="59.85"/>
        <n v="63.540000000000006"/>
        <n v="35.44"/>
        <n v="62.34"/>
        <n v="28.64"/>
        <n v="123.12"/>
        <n v="84.11"/>
        <n v="89.16"/>
        <n v="115.36"/>
        <n v="70.760000000000005"/>
        <n v="40.68"/>
        <n v="86.18"/>
        <n v="51.91"/>
        <n v="97.26"/>
        <n v="92.68"/>
        <n v="41.81"/>
        <n v="81.88"/>
        <n v="138.45999999999998"/>
        <n v="87.7"/>
        <n v="38.08"/>
        <n v="28.33"/>
        <n v="92.16"/>
        <n v="286.56"/>
        <n v="36.950000000000003"/>
        <n v="73.64"/>
        <n v="143.6"/>
        <n v="102.02000000000001"/>
        <n v="72.37"/>
        <n v="52.11"/>
        <n v="59.319999999999993"/>
        <n v="77.639999999999986"/>
        <n v="37.729999999999997"/>
        <n v="53.569999999999993"/>
        <n v="114.25999999999999"/>
        <n v="42.03"/>
        <n v="88.94"/>
        <n v="42.73"/>
        <n v="57.180000000000007"/>
        <n v="64.430000000000007"/>
        <n v="64.760000000000005"/>
        <n v="136.9"/>
        <n v="76.430000000000007"/>
        <n v="62.26"/>
        <n v="136.59"/>
        <n v="190.5"/>
        <n v="108.94"/>
        <n v="140.32"/>
        <n v="52.55"/>
        <n v="44.74"/>
        <n v="165.04000000000002"/>
        <n v="45.1"/>
        <n v="130.34"/>
        <n v="62.849999999999994"/>
        <n v="146.39999999999998"/>
        <n v="94.69"/>
        <n v="63.11"/>
        <n v="122.86"/>
        <n v="66.67"/>
        <n v="69.2"/>
        <n v="107.34"/>
        <n v="116.78"/>
        <n v="42.5"/>
        <n v="46.06"/>
        <n v="73.180000000000007"/>
        <n v="388.96"/>
        <n v="156.5"/>
        <n v="50.69"/>
        <n v="70.16"/>
        <n v="115.22"/>
        <n v="169.66"/>
        <n v="39.71"/>
        <n v="43.54"/>
        <n v="46.24"/>
        <n v="266.19"/>
        <n v="67.36"/>
        <n v="85.14"/>
        <n v="48.4"/>
        <n v="31.869999999999997"/>
        <n v="39.94"/>
        <n v="83.98"/>
        <n v="31.840000000000003"/>
        <n v="70.61"/>
        <n v="67.759999999999991"/>
        <n v="67.12"/>
        <n v="119.08000000000001"/>
        <n v="49.07"/>
        <n v="50.59"/>
        <n v="80.41"/>
        <n v="161.92000000000002"/>
        <n v="45.32"/>
        <n v="117.62"/>
        <n v="61.22"/>
        <n v="130.13999999999999"/>
        <n v="44.519999999999996"/>
        <n v="47.48"/>
        <n v="44.47"/>
        <n v="122.4"/>
        <n v="71.72"/>
        <n v="55.39"/>
        <n v="46.95"/>
        <n v="265.98"/>
        <n v="34.22"/>
        <n v="63.89"/>
        <n v="40.53"/>
        <n v="56.6"/>
        <n v="49.33"/>
        <n v="63.7"/>
        <n v="40.78"/>
        <n v="350.34000000000003"/>
        <n v="62.58"/>
        <n v="39.200000000000003"/>
        <n v="158.72999999999999"/>
        <n v="72.900000000000006"/>
        <n v="48.77"/>
        <n v="109.72"/>
        <n v="144.81"/>
        <n v="68.78"/>
        <n v="164.8"/>
        <n v="294.54999999999995"/>
        <n v="121.30000000000001"/>
        <n v="48.01"/>
        <n v="179.94"/>
        <n v="81.81"/>
        <n v="39"/>
        <n v="88.4"/>
        <n v="133.88"/>
        <n v="116.13"/>
        <n v="38.83"/>
        <n v="51.03"/>
        <n v="101.55"/>
        <n v="54.31"/>
        <n v="51.87"/>
        <n v="90.32"/>
        <n v="63.08"/>
        <n v="72.08"/>
        <n v="44.01"/>
        <n v="47.819999999999993"/>
        <n v="188.08"/>
        <n v="67.72999999999999"/>
        <n v="51.13"/>
        <n v="64.19"/>
        <n v="135.34"/>
        <n v="70.209999999999994"/>
        <n v="47.95"/>
        <n v="121.62"/>
        <n v="60.13"/>
        <n v="82.28"/>
        <n v="43.14"/>
        <n v="50.239999999999995"/>
        <n v="94.56"/>
        <n v="79.45"/>
        <n v="162.93"/>
        <n v="39.25"/>
        <n v="176.16"/>
        <n v="59.9"/>
        <n v="38.46"/>
        <n v="145.28"/>
        <n v="70.55"/>
        <n v="38.74"/>
        <n v="32.94"/>
        <n v="54.21"/>
        <n v="54"/>
        <n v="32.57"/>
        <n v="72.680000000000007"/>
        <n v="142.80000000000001"/>
        <n v="35.56"/>
        <n v="64.84"/>
        <n v="192.14"/>
        <n v="56.72"/>
        <n v="109.13"/>
        <n v="63.5"/>
        <n v="61.43"/>
        <n v="42.3"/>
        <n v="64.02000000000001"/>
        <n v="95.82"/>
        <n v="101.02"/>
        <n v="47.83"/>
        <n v="112.98"/>
        <n v="49.2"/>
        <n v="114.52"/>
        <n v="123.34"/>
        <n v="39.07"/>
        <n v="360.55"/>
        <n v="75.86"/>
        <n v="283.44"/>
        <n v="197.34"/>
        <n v="253.53000000000003"/>
        <n v="46.26"/>
        <n v="58.7"/>
        <n v="71.400000000000006"/>
        <n v="69.45"/>
        <n v="163"/>
        <n v="51.150000000000006"/>
        <n v="191.94"/>
        <n v="50.92"/>
        <n v="47.41"/>
        <n v="188.32"/>
        <n v="78.819999999999993"/>
        <n v="139.62"/>
        <n v="432.55"/>
        <n v="32.630000000000003"/>
        <n v="188.5"/>
        <n v="81.599999999999994"/>
        <n v="46.67"/>
        <n v="45.16"/>
        <n v="75.47"/>
        <n v="76.459999999999994"/>
        <n v="43.43"/>
        <n v="133.22"/>
        <n v="116.42"/>
        <n v="67.92"/>
        <n v="220.32"/>
        <n v="121.22"/>
        <n v="53.55"/>
        <n v="34.630000000000003"/>
        <n v="192.68"/>
        <n v="49.16"/>
        <n v="157.45999999999998"/>
        <n v="70.45"/>
        <n v="33.71"/>
        <n v="90.3"/>
        <n v="86.9"/>
        <n v="58.879999999999995"/>
        <n v="102.22"/>
        <n v="198.8"/>
        <n v="81.66"/>
        <n v="86.210000000000008"/>
        <n v="297.12"/>
        <n v="165.78"/>
        <n v="93.38"/>
        <n v="240.09"/>
        <n v="46.22"/>
        <n v="34.049999999999997"/>
        <n v="52.97"/>
        <n v="56.52"/>
        <n v="185.46"/>
        <n v="78.430000000000007"/>
        <n v="145.32"/>
        <n v="159.42000000000002"/>
        <n v="86.97"/>
        <n v="336.9"/>
        <n v="81.8"/>
        <n v="193.84"/>
        <n v="133.44"/>
        <n v="116.8"/>
        <n v="81.900000000000006"/>
        <n v="138.34"/>
        <n v="47.36"/>
        <n v="68.430000000000007"/>
        <n v="153.6"/>
        <n v="118.76"/>
        <n v="38.82"/>
        <n v="74.900000000000006"/>
        <n v="102.93"/>
        <n v="54.34"/>
        <n v="136.26"/>
        <n v="74.12"/>
        <n v="153.71999999999997"/>
        <n v="52.8"/>
        <n v="43.88"/>
        <n v="55.489999999999995"/>
        <n v="202.20000000000002"/>
        <n v="109.24000000000001"/>
        <n v="130.44"/>
        <n v="49.69"/>
        <n v="63.91"/>
        <n v="256"/>
        <n v="56.28"/>
        <n v="36.729999999999997"/>
        <n v="118.6"/>
        <n v="90.7"/>
        <n v="142.19999999999999"/>
        <n v="130.62"/>
        <n v="264.02999999999997"/>
        <n v="80.150000000000006"/>
        <n v="52.24"/>
        <n v="99.24"/>
        <n v="61.56"/>
        <n v="154.02000000000001"/>
        <n v="211.52"/>
        <n v="42.85"/>
        <n v="56.19"/>
        <n v="43.36"/>
        <n v="107.8"/>
        <n v="63.62"/>
        <n v="44.33"/>
        <n v="140.69999999999999"/>
        <n v="42.58"/>
        <n v="82.95"/>
        <n v="61.82"/>
        <n v="276.20000000000005"/>
        <n v="212.82"/>
        <n v="38.520000000000003"/>
        <n v="53.85"/>
        <n v="179.12"/>
        <n v="284.34000000000003"/>
        <n v="125.1"/>
        <n v="48.41"/>
        <n v="42.31"/>
        <n v="45.97"/>
        <n v="65.180000000000007"/>
        <n v="45.82"/>
        <n v="40.22"/>
        <n v="76.3"/>
        <n v="195.36"/>
        <n v="46.18"/>
        <n v="106.86"/>
        <n v="232.98"/>
        <n v="148.22"/>
        <n v="45.66"/>
        <n v="71.460000000000008"/>
        <n v="42.26"/>
        <n v="166.44"/>
        <n v="141.41999999999999"/>
        <n v="214.92000000000002"/>
        <n v="69.180000000000007"/>
        <n v="258.95000000000005"/>
        <n v="96.34"/>
        <n v="41.14"/>
        <n v="129.66"/>
        <n v="97.77"/>
        <n v="38.909999999999997"/>
        <n v="117.08000000000001"/>
        <n v="225.46"/>
        <n v="202"/>
        <n v="56.37"/>
        <n v="180.75"/>
        <n v="51.18"/>
        <n v="49"/>
        <n v="145.08000000000001"/>
        <n v="83.64"/>
        <n v="119.72999999999999"/>
        <n v="128.96"/>
        <n v="161.02000000000001"/>
        <n v="51.64"/>
        <n v="67.05"/>
        <n v="65.900000000000006"/>
        <n v="277.2"/>
        <n v="197.73"/>
        <n v="132.07999999999998"/>
        <n v="222.34"/>
        <n v="58.94"/>
        <n v="38.020000000000003"/>
        <n v="60.870000000000005"/>
        <n v="49.260000000000005"/>
        <n v="171.28"/>
        <n v="58.629999999999995"/>
        <n v="180.35999999999999"/>
        <n v="322.8"/>
        <n v="28.810000000000002"/>
        <n v="105.49"/>
        <n v="66.47999999999999"/>
        <n v="34.659999999999997"/>
        <n v="128.76"/>
        <n v="203.36"/>
        <n v="170"/>
        <n v="35.18"/>
        <n v="47.51"/>
        <n v="48.31"/>
        <n v="65.12"/>
        <n v="86.08"/>
        <n v="75.92"/>
        <n v="51.4"/>
        <n v="56.96"/>
        <n v="175.32"/>
        <n v="67.740000000000009"/>
        <n v="307.8"/>
        <n v="67.86"/>
        <n v="109.46"/>
        <n v="67.710000000000008"/>
        <n v="122.16"/>
        <n v="58.46"/>
        <n v="59.49"/>
        <n v="124.05000000000001"/>
        <n v="73.3"/>
        <n v="120.02"/>
        <n v="33.58"/>
        <n v="51.14"/>
        <n v="74.81"/>
        <n v="116.62"/>
        <n v="47.43"/>
        <n v="130.52000000000001"/>
        <n v="105.54"/>
        <n v="72.23"/>
        <n v="56.25"/>
        <n v="41.2"/>
        <n v="167.04"/>
        <n v="60.42"/>
        <n v="43.06"/>
        <n v="182.85000000000002"/>
        <n v="74.34"/>
        <n v="123.02000000000001"/>
        <n v="92.91"/>
        <n v="46.14"/>
        <n v="59.29"/>
        <n v="38.53"/>
        <n v="68.8"/>
        <n v="110.2"/>
        <n v="30.159999999999997"/>
        <n v="69.62"/>
        <n v="67.960000000000008"/>
        <n v="69.010000000000005"/>
        <n v="44.2"/>
        <n v="26.840000000000003"/>
        <n v="55.76"/>
        <n v="198.09"/>
        <n v="50.81"/>
        <n v="85.12"/>
        <n v="70.930000000000007"/>
        <n v="39.619999999999997"/>
        <n v="220.04"/>
        <n v="182"/>
        <n v="41.49"/>
        <n v="76.069999999999993"/>
        <n v="395.08"/>
        <n v="62.96"/>
        <n v="91.140000000000015"/>
        <n v="66.66"/>
        <n v="53.92"/>
        <n v="20"/>
        <n v="64.47"/>
        <n v="48.84"/>
        <n v="214.05"/>
        <n v="55.25"/>
        <n v="229.06"/>
        <n v="67.58"/>
        <n v="86.95"/>
        <n v="28.6"/>
        <n v="141.60000000000002"/>
        <n v="43.55"/>
        <n v="74.22"/>
        <n v="220.22"/>
        <n v="91.93"/>
        <n v="54.71"/>
        <n v="38.93"/>
        <n v="108.6"/>
        <n v="33.96"/>
        <n v="172"/>
        <n v="78.510000000000005"/>
        <n v="47.1"/>
        <n v="136.28"/>
        <n v="112.44"/>
        <n v="71.7"/>
        <n v="47.79"/>
        <n v="49.89"/>
        <n v="59.97"/>
        <n v="62.08"/>
        <n v="84.31"/>
        <n v="49.78"/>
        <n v="103.44"/>
        <n v="348.32"/>
        <n v="44.73"/>
        <n v="215.04000000000002"/>
        <n v="179.76"/>
        <n v="24.21"/>
        <n v="53.94"/>
        <n v="136.68"/>
        <n v="124.75999999999999"/>
        <n v="107.62"/>
        <n v="76.61"/>
        <n v="41.71"/>
        <n v="68.94"/>
        <n v="129.19999999999999"/>
        <n v="207.06"/>
        <n v="41.63"/>
        <n v="127.46000000000001"/>
        <n v="89.43"/>
        <n v="54.790000000000006"/>
        <n v="68.88"/>
        <n v="166.74"/>
        <n v="39.590000000000003"/>
        <n v="65.19"/>
        <n v="116.25999999999999"/>
        <n v="142.39999999999998"/>
        <n v="210.75"/>
        <n v="128.13"/>
        <n v="133.12"/>
        <n v="70.22"/>
        <n v="39.51"/>
        <n v="215.28"/>
        <n v="220.38"/>
        <n v="187.96"/>
        <n v="41.96"/>
        <n v="145.72"/>
        <n v="37.58"/>
        <n v="130.02000000000001"/>
        <n v="60.03"/>
        <n v="85.6"/>
        <n v="40.99"/>
        <n v="42.05"/>
        <n v="60.23"/>
        <n v="89.48"/>
        <n v="72.59"/>
        <n v="73.22"/>
        <n v="189.93"/>
        <n v="64.78"/>
        <n v="43.430000000000007"/>
        <n v="43.33"/>
        <n v="87.14"/>
        <n v="39.549999999999997"/>
        <n v="308.24"/>
        <n v="78.960000000000008"/>
        <n v="91.85"/>
        <n v="243.72000000000003"/>
        <n v="225.51"/>
        <n v="287.58"/>
        <n v="90.25"/>
        <n v="47.62"/>
        <n v="67.31"/>
        <n v="127.82"/>
        <n v="94.08"/>
        <n v="185.76"/>
        <n v="83.32"/>
        <n v="34.76"/>
        <n v="166.98"/>
        <n v="76.84"/>
        <n v="89.54"/>
        <n v="89"/>
        <n v="55.98"/>
        <n v="64.009999999999991"/>
        <n v="71.819999999999993"/>
        <n v="52.42"/>
        <n v="147.63"/>
        <n v="223.44"/>
        <n v="43.56"/>
        <n v="51.88"/>
        <n v="95.86"/>
        <n v="44.91"/>
        <n v="135.66"/>
        <n v="97.2"/>
        <n v="71.5"/>
        <n v="68.63"/>
        <n v="38.340000000000003"/>
        <n v="59.2"/>
        <n v="52.14"/>
        <n v="44.53"/>
        <n v="54.61"/>
        <n v="30.04"/>
        <n v="166.8"/>
        <n v="135.94"/>
        <n v="86.04"/>
        <n v="136.36000000000001"/>
        <n v="38.31"/>
        <n v="72.8"/>
        <n v="153.12"/>
        <n v="44.55"/>
        <n v="48.7"/>
        <n v="98.4"/>
        <n v="55.78"/>
        <n v="73.900000000000006"/>
        <n v="190.62"/>
        <n v="132.06"/>
        <n v="137.95999999999998"/>
        <n v="81.05"/>
        <n v="94.5"/>
        <n v="65.150000000000006"/>
        <n v="177.78"/>
        <n v="71.760000000000005"/>
        <n v="152.88"/>
        <n v="232.36"/>
        <n v="78.23"/>
        <n v="203.84"/>
        <n v="36.520000000000003"/>
        <n v="220.16"/>
        <n v="41.08"/>
        <n v="152.04000000000002"/>
        <n v="42.91"/>
        <n v="56.87"/>
        <n v="90.42"/>
        <n v="96.83"/>
        <n v="19.729999999999997"/>
        <n v="39.739999999999995"/>
        <n v="85.35"/>
        <n v="121.25999999999999"/>
        <n v="120.14"/>
        <n v="90.52"/>
        <n v="51.56"/>
        <n v="32.36"/>
        <n v="93.919999999999987"/>
        <n v="152.4"/>
        <n v="271.88"/>
        <n v="117.08"/>
        <n v="52.15"/>
        <n v="41.29"/>
        <n v="190.76"/>
        <n v="46.37"/>
        <n v="103.92"/>
        <n v="242.2"/>
        <n v="76.7"/>
        <n v="128.67000000000002"/>
        <n v="33.69"/>
        <n v="41.44"/>
        <n v="47.9"/>
        <n v="223.8"/>
        <n v="61.16"/>
        <n v="104.99"/>
        <n v="104.88"/>
        <n v="37.78"/>
        <n v="56.27"/>
        <n v="50.22"/>
        <n v="75.8"/>
        <n v="211.44"/>
        <n v="62.83"/>
        <n v="37.760000000000005"/>
        <n v="104.36"/>
        <n v="216.72"/>
        <n v="184.56"/>
        <n v="107.25999999999999"/>
        <n v="53.07"/>
        <n v="194.52"/>
        <n v="69.400000000000006"/>
        <n v="84.95"/>
        <n v="104.14"/>
        <n v="44.72"/>
        <n v="56.97"/>
        <n v="51.5"/>
        <n v="88.95"/>
        <n v="127"/>
        <n v="132.18"/>
        <n v="119.46000000000001"/>
        <n v="82.21"/>
        <n v="109.22"/>
        <n v="157.30000000000001"/>
        <n v="32.32"/>
        <n v="90.12"/>
        <n v="53.29"/>
        <n v="35.03"/>
        <n v="470.70000000000005"/>
        <n v="32.1"/>
        <n v="128.63999999999999"/>
        <n v="85.46"/>
        <n v="23.619999999999997"/>
        <n v="63.53"/>
        <n v="97.98"/>
        <n v="209.54999999999998"/>
        <n v="101.34"/>
        <n v="59.24"/>
        <n v="152.30000000000001"/>
        <n v="122.14"/>
        <n v="91.49"/>
        <n v="99.76"/>
        <n v="152.84"/>
        <n v="81.38"/>
        <n v="173.54000000000002"/>
        <n v="258.2"/>
        <n v="266.94"/>
        <n v="73.92"/>
        <n v="54.02"/>
        <n v="232.68"/>
        <n v="96.5"/>
        <n v="72.209999999999994"/>
        <n v="71.84"/>
        <n v="287.64"/>
        <n v="80.680000000000007"/>
        <n v="84.64"/>
        <n v="112.5"/>
        <n v="149.46"/>
        <n v="82.64"/>
        <n v="41.84"/>
        <n v="44.82"/>
        <n v="139.68"/>
        <n v="130.53"/>
        <n v="40.28"/>
        <n v="184.41"/>
        <n v="107.98"/>
        <n v="53.84"/>
        <n v="58.96"/>
        <n v="265.88"/>
        <n v="45.3"/>
        <n v="91.72"/>
        <n v="72.760000000000005"/>
        <n v="125.94"/>
        <n v="91.36"/>
        <n v="188.2"/>
        <n v="86.01"/>
        <n v="108.08"/>
        <n v="209.05"/>
        <n v="222.04999999999998"/>
        <n v="55.33"/>
        <n v="90.64"/>
        <n v="76.69"/>
        <n v="110.07"/>
        <n v="83.47999999999999"/>
        <n v="161.74"/>
        <n v="68.08"/>
        <n v="356.56"/>
        <n v="26.729999999999997"/>
        <n v="62.86"/>
        <n v="261.48"/>
        <n v="60.349999999999994"/>
        <n v="108.72"/>
        <n v="216.99"/>
        <n v="54.900000000000006"/>
        <n v="187.89999999999998"/>
        <n v="66.34"/>
        <n v="148.16"/>
        <n v="146.07"/>
        <n v="54.91"/>
        <n v="110.25"/>
        <n v="34.950000000000003"/>
        <n v="58.2"/>
        <n v="88.67"/>
        <n v="62.61"/>
        <n v="61.900000000000006"/>
        <n v="188.26"/>
        <n v="55.459999999999994"/>
        <n v="50.37"/>
        <n v="158.02000000000001"/>
        <n v="94.35"/>
        <n v="135.06"/>
        <n v="20.11"/>
        <n v="79.63"/>
        <n v="63.82"/>
        <n v="129.04000000000002"/>
        <n v="41.31"/>
        <n v="90.14"/>
        <n v="119.6"/>
        <n v="60.25"/>
        <n v="65.930000000000007"/>
        <n v="41.59"/>
        <n v="47.04"/>
        <n v="48.17"/>
        <n v="174.93"/>
        <n v="109.18"/>
        <n v="91.3"/>
        <n v="271.24"/>
        <n v="57.09"/>
        <n v="142.97999999999999"/>
        <n v="63"/>
        <n v="162.4"/>
        <n v="100.04"/>
        <n v="61.11"/>
        <n v="44.400000000000006"/>
        <n v="219.87"/>
        <n v="75.88"/>
        <n v="39.93"/>
        <n v="63.1"/>
        <n v="65.569999999999993"/>
        <n v="89.5"/>
        <n v="82.34"/>
        <n v="42.07"/>
        <n v="51.24"/>
        <n v="61.54"/>
        <n v="36.25"/>
        <n v="60.27"/>
        <n v="100.6"/>
        <n v="52.59"/>
        <n v="44.49"/>
        <n v="55.68"/>
        <n v="101.4"/>
        <n v="58.51"/>
        <n v="56.38"/>
        <n v="98.02"/>
        <n v="124.92"/>
        <n v="56.24"/>
        <n v="77.459999999999994"/>
        <n v="36.32"/>
        <n v="463.64"/>
        <n v="45.44"/>
        <n v="90.01"/>
        <n v="185.3"/>
        <n v="96.460000000000008"/>
        <n v="151.66"/>
        <n v="57.36"/>
        <n v="45.209999999999994"/>
        <n v="65.459999999999994"/>
        <n v="86.91"/>
        <n v="170.52"/>
        <n v="50.66"/>
        <n v="109.53999999999999"/>
        <n v="43.63"/>
        <n v="59.15"/>
        <n v="225.95000000000002"/>
        <n v="88.15"/>
        <n v="89.09"/>
        <n v="110.91999999999999"/>
        <n v="126.98"/>
        <n v="45.36"/>
        <n v="83.9"/>
        <n v="77.31"/>
        <n v="37.89"/>
        <n v="75.5"/>
        <n v="60.180000000000007"/>
        <n v="156.27000000000001"/>
        <n v="94.98"/>
        <n v="49.730000000000004"/>
        <n v="76.849999999999994"/>
        <n v="48.67"/>
        <n v="61.14"/>
        <n v="47.49"/>
        <n v="100.28"/>
        <n v="53.58"/>
        <n v="139.06"/>
        <n v="102.32"/>
        <n v="176.76"/>
        <n v="48.35"/>
        <n v="32.020000000000003"/>
        <n v="71.38"/>
        <n v="89.12"/>
        <n v="97.44"/>
        <n v="169.84"/>
        <n v="67.97"/>
        <n v="70.98"/>
        <n v="39.65"/>
        <n v="101.7"/>
        <n v="196.29"/>
        <n v="141"/>
        <n v="116.55000000000001"/>
        <n v="47.75"/>
        <n v="54.41"/>
        <n v="60.93"/>
        <n v="50.97"/>
        <n v="46.28"/>
        <n v="53.13"/>
        <n v="91.87"/>
        <n v="60.69"/>
        <n v="67.41"/>
        <n v="128.82"/>
        <n v="72.33"/>
        <n v="74.819999999999993"/>
        <n v="59.38"/>
        <n v="94.1"/>
        <n v="57"/>
        <n v="52.29"/>
        <n v="68.34"/>
        <n v="41.89"/>
        <n v="47.28"/>
        <n v="128.86000000000001"/>
        <n v="121.59"/>
        <n v="200.07"/>
        <n v="58.35"/>
        <n v="95.539999999999992"/>
        <n v="90.81"/>
        <n v="161.22"/>
        <n v="377.84"/>
        <n v="76.89"/>
        <n v="138.01999999999998"/>
        <n v="58.1"/>
        <n v="120.94"/>
        <n v="64.989999999999995"/>
        <n v="255.45"/>
        <n v="152.72999999999999"/>
        <n v="63.03"/>
        <n v="59.93"/>
        <n v="149.5"/>
        <n v="31.86"/>
        <n v="59.78"/>
      </sharedItems>
    </cacheField>
    <cacheField name="Campaign" numFmtId="0">
      <sharedItems count="6">
        <s v="Unknown"/>
        <s v="Student Offer"/>
        <s v="Weekend Offer"/>
        <s v="Instagram"/>
        <s v="Festive Offer"/>
        <s v="None"/>
      </sharedItems>
    </cacheField>
    <cacheField name="Feedback" numFmtId="0">
      <sharedItems count="5">
        <s v="Excellent"/>
        <s v="Unknown"/>
        <s v="Poor"/>
        <s v="Average"/>
        <s v="Good"/>
      </sharedItems>
    </cacheField>
    <cacheField name="Calculated Gross Sales" numFmtId="166">
      <sharedItems containsSemiMixedTypes="0" containsString="0" containsNumber="1" containsInteger="1" minValue="65" maxValue="1000"/>
    </cacheField>
    <cacheField name="Discount Amount" numFmtId="166">
      <sharedItems containsSemiMixedTypes="0" containsString="0" containsNumber="1" minValue="0" maxValue="116.25" count="119">
        <n v="0"/>
        <n v="5.75"/>
        <n v="12"/>
        <n v="16"/>
        <n v="10"/>
        <n v="20"/>
        <n v="7.25"/>
        <n v="8"/>
        <n v="11.25"/>
        <n v="14"/>
        <n v="9.5"/>
        <n v="28.5"/>
        <n v="4.25"/>
        <n v="9"/>
        <n v="15.5"/>
        <n v="45"/>
        <n v="33"/>
        <n v="13"/>
        <n v="17"/>
        <n v="11.5"/>
        <n v="8.5"/>
        <n v="39"/>
        <n v="7"/>
        <n v="18"/>
        <n v="15.75"/>
        <n v="10.5"/>
        <n v="29"/>
        <n v="24"/>
        <n v="42"/>
        <n v="19"/>
        <n v="11"/>
        <n v="4.5"/>
        <n v="5"/>
        <n v="27"/>
        <n v="4.75"/>
        <n v="3.5"/>
        <n v="14.25"/>
        <n v="25"/>
        <n v="25.5"/>
        <n v="8.25"/>
        <n v="5.25"/>
        <n v="6.5"/>
        <n v="16.5"/>
        <n v="54"/>
        <n v="7.75"/>
        <n v="7.5"/>
        <n v="13.5"/>
        <n v="14.5"/>
        <n v="23"/>
        <n v="52.5"/>
        <n v="19.5"/>
        <n v="15"/>
        <n v="5.5"/>
        <n v="31"/>
        <n v="38"/>
        <n v="22.5"/>
        <n v="18.5"/>
        <n v="3.75"/>
        <n v="40"/>
        <n v="31.5"/>
        <n v="78.75"/>
        <n v="27.75"/>
        <n v="72"/>
        <n v="26"/>
        <n v="46.5"/>
        <n v="47.25"/>
        <n v="21"/>
        <n v="21.75"/>
        <n v="17.25"/>
        <n v="18.75"/>
        <n v="114"/>
        <n v="34"/>
        <n v="36"/>
        <n v="9.25"/>
        <n v="34.5"/>
        <n v="48"/>
        <n v="9.75"/>
        <n v="6"/>
        <n v="22"/>
        <n v="37.5"/>
        <n v="57"/>
        <n v="43.5"/>
        <n v="80"/>
        <n v="23.25"/>
        <n v="58.5"/>
        <n v="6.25"/>
        <n v="67.5"/>
        <n v="71.25"/>
        <n v="82.5"/>
        <n v="30"/>
        <n v="72.5"/>
        <n v="12.5"/>
        <n v="62"/>
        <n v="31.25"/>
        <n v="32"/>
        <n v="8.75"/>
        <n v="4"/>
        <n v="51"/>
        <n v="35"/>
        <n v="6.75"/>
        <n v="28"/>
        <n v="37"/>
        <n v="24.75"/>
        <n v="68"/>
        <n v="47.5"/>
        <n v="40.5"/>
        <n v="49.5"/>
        <n v="27.5"/>
        <n v="65.25"/>
        <n v="108.75"/>
        <n v="60"/>
        <n v="29.25"/>
        <n v="20.25"/>
        <n v="3.25"/>
        <n v="12.75"/>
        <n v="116.25"/>
        <n v="26.25"/>
        <n v="83.25"/>
        <n v="90"/>
      </sharedItems>
    </cacheField>
    <cacheField name="Calculated Net Sales" numFmtId="166">
      <sharedItems containsSemiMixedTypes="0" containsString="0" containsNumber="1" minValue="58.5" maxValue="1000"/>
    </cacheField>
    <cacheField name="Total Cost" numFmtId="166">
      <sharedItems containsSemiMixedTypes="0" containsString="0" containsNumber="1" minValue="24.61" maxValue="529.29999999999995" count="1504">
        <n v="113.56"/>
        <n v="59.12"/>
        <n v="24.95"/>
        <n v="54.9"/>
        <n v="57.6"/>
        <n v="87.64"/>
        <n v="52.18"/>
        <n v="81.06"/>
        <n v="126.92"/>
        <n v="86.8"/>
        <n v="54.97"/>
        <n v="93.45"/>
        <n v="137.79"/>
        <n v="97.2"/>
        <n v="58.59"/>
        <n v="69.8"/>
        <n v="46.65"/>
        <n v="198.51"/>
        <n v="41.86"/>
        <n v="156.66"/>
        <n v="330.04"/>
        <n v="123.2"/>
        <n v="38.36"/>
        <n v="39.28"/>
        <n v="69.98"/>
        <n v="68.91"/>
        <n v="97.48"/>
        <n v="55.43"/>
        <n v="57.9"/>
        <n v="52.33"/>
        <n v="98.92"/>
        <n v="42.47"/>
        <n v="57.83"/>
        <n v="50"/>
        <n v="51.81"/>
        <n v="138.06"/>
        <n v="55.9"/>
        <n v="328.25"/>
        <n v="29.02"/>
        <n v="213.66"/>
        <n v="51.74"/>
        <n v="95"/>
        <n v="98.22"/>
        <n v="61.87"/>
        <n v="61.12"/>
        <n v="144.26"/>
        <n v="34.54"/>
        <n v="142.84"/>
        <n v="107.5"/>
        <n v="124.22"/>
        <n v="95.86"/>
        <n v="45.72"/>
        <n v="202.89"/>
        <n v="204.84"/>
        <n v="72.86"/>
        <n v="69.97"/>
        <n v="39.6"/>
        <n v="43.61"/>
        <n v="199.98"/>
        <n v="178.36"/>
        <n v="38.840000000000003"/>
        <n v="171.26"/>
        <n v="36.869999999999997"/>
        <n v="44.61"/>
        <n v="48.18"/>
        <n v="243.78000000000003"/>
        <n v="52.2"/>
        <n v="43.29"/>
        <n v="204.64"/>
        <n v="103.06"/>
        <n v="71.25"/>
        <n v="67.81"/>
        <n v="84.73"/>
        <n v="141.93"/>
        <n v="44.76"/>
        <n v="27.34"/>
        <n v="24.64"/>
        <n v="51.54"/>
        <n v="49.66"/>
        <n v="204.5"/>
        <n v="75.8"/>
        <n v="85.48"/>
        <n v="31.78"/>
        <n v="36.479999999999997"/>
        <n v="110.39999999999999"/>
        <n v="62.6"/>
        <n v="66.739999999999995"/>
        <n v="37.81"/>
        <n v="40.81"/>
        <n v="96.2"/>
        <n v="51.33"/>
        <n v="45.27"/>
        <n v="52.39"/>
        <n v="36.840000000000003"/>
        <n v="101.49"/>
        <n v="53.46"/>
        <n v="89.82"/>
        <n v="128.56"/>
        <n v="68.56"/>
        <n v="157.5"/>
        <n v="36.08"/>
        <n v="32.01"/>
        <n v="140.56"/>
        <n v="75.2"/>
        <n v="78.72"/>
        <n v="94.35"/>
        <n v="134.04"/>
        <n v="90.62"/>
        <n v="36.22"/>
        <n v="98.7"/>
        <n v="57.67"/>
        <n v="68.59"/>
        <n v="66.83"/>
        <n v="274.56"/>
        <n v="84.58"/>
        <n v="77.02"/>
        <n v="50.91"/>
        <n v="94.24"/>
        <n v="53.32"/>
        <n v="95.98"/>
        <n v="41.34"/>
        <n v="50.85"/>
        <n v="70.849999999999994"/>
        <n v="121.7"/>
        <n v="306.27"/>
        <n v="75.58"/>
        <n v="51.98"/>
        <n v="47.17"/>
        <n v="98.12"/>
        <n v="213.75"/>
        <n v="42.28"/>
        <n v="49.05"/>
        <n v="50.02"/>
        <n v="134.24"/>
        <n v="286.74"/>
        <n v="50.16"/>
        <n v="53.11"/>
        <n v="57.62"/>
        <n v="165.57"/>
        <n v="275.82"/>
        <n v="90.9"/>
        <n v="59.31"/>
        <n v="65.39"/>
        <n v="47.14"/>
        <n v="54.23"/>
        <n v="79.209999999999994"/>
        <n v="107.9"/>
        <n v="58.58"/>
        <n v="43.93"/>
        <n v="118.74"/>
        <n v="64.28"/>
        <n v="46.01"/>
        <n v="91.57"/>
        <n v="179.14"/>
        <n v="71.900000000000006"/>
        <n v="72.55"/>
        <n v="63.85"/>
        <n v="93.01"/>
        <n v="34.630000000000003"/>
        <n v="78.64"/>
        <n v="227.78"/>
        <n v="121.02"/>
        <n v="202.89999999999998"/>
        <n v="49.29"/>
        <n v="127.24"/>
        <n v="38.96"/>
        <n v="76.47"/>
        <n v="136.10999999999999"/>
        <n v="232.92"/>
        <n v="43.85"/>
        <n v="64.91"/>
        <n v="109.28"/>
        <n v="35.770000000000003"/>
        <n v="83.55"/>
        <n v="159.06"/>
        <n v="270.36"/>
        <n v="336.84"/>
        <n v="111.12"/>
        <n v="51.88"/>
        <n v="71.8"/>
        <n v="156.80000000000001"/>
        <n v="73.08"/>
        <n v="100.97999999999999"/>
        <n v="66.94"/>
        <n v="93.42"/>
        <n v="60.64"/>
        <n v="193.77"/>
        <n v="95.54"/>
        <n v="82.6"/>
        <n v="162.6"/>
        <n v="205.32"/>
        <n v="81.96"/>
        <n v="274.39999999999998"/>
        <n v="104.24"/>
        <n v="104.7"/>
        <n v="57.93"/>
        <n v="204.56"/>
        <n v="56.19"/>
        <n v="190.17000000000002"/>
        <n v="69.58"/>
        <n v="206.64"/>
        <n v="160.22999999999999"/>
        <n v="86.6"/>
        <n v="44.71"/>
        <n v="145"/>
        <n v="64.88"/>
        <n v="102.88"/>
        <n v="65.540000000000006"/>
        <n v="70.510000000000005"/>
        <n v="113.58"/>
        <n v="78.62"/>
        <n v="99.82"/>
        <n v="137.62"/>
        <n v="264.24"/>
        <n v="48.83"/>
        <n v="246.60000000000002"/>
        <n v="142.6"/>
        <n v="92.78"/>
        <n v="50.9"/>
        <n v="67.42"/>
        <n v="191.60999999999999"/>
        <n v="98.8"/>
        <n v="154.4"/>
        <n v="39.78"/>
        <n v="40.98"/>
        <n v="106.98"/>
        <n v="47.12"/>
        <n v="46"/>
        <n v="85.06"/>
        <n v="475.85"/>
        <n v="54.56"/>
        <n v="46.71"/>
        <n v="56.26"/>
        <n v="47.68"/>
        <n v="51.2"/>
        <n v="41.35"/>
        <n v="50.32"/>
        <n v="309.92"/>
        <n v="59.2"/>
        <n v="212.34"/>
        <n v="145.47999999999999"/>
        <n v="98.83"/>
        <n v="67.040000000000006"/>
        <n v="426.56"/>
        <n v="120.98"/>
        <n v="32.450000000000003"/>
        <n v="113.54"/>
        <n v="35.909999999999997"/>
        <n v="83.42"/>
        <n v="136.76"/>
        <n v="30.58"/>
        <n v="63.78"/>
        <n v="146.66"/>
        <n v="34.950000000000003"/>
        <n v="45.81"/>
        <n v="41.07"/>
        <n v="104.64"/>
        <n v="76.680000000000007"/>
        <n v="57.07"/>
        <n v="57.84"/>
        <n v="207.75"/>
        <n v="34.619999999999997"/>
        <n v="97.7"/>
        <n v="70.989999999999995"/>
        <n v="42.56"/>
        <n v="59.32"/>
        <n v="89.6"/>
        <n v="43.87"/>
        <n v="137.16"/>
        <n v="126.33"/>
        <n v="47.96"/>
        <n v="35.94"/>
        <n v="171.18"/>
        <n v="211.5"/>
        <n v="104.38"/>
        <n v="56.88"/>
        <n v="211.2"/>
        <n v="152.19999999999999"/>
        <n v="59.37"/>
        <n v="52.15"/>
        <n v="118.8"/>
        <n v="215"/>
        <n v="172.68"/>
        <n v="66.260000000000005"/>
        <n v="67.16"/>
        <n v="56.56"/>
        <n v="189"/>
        <n v="153.82"/>
        <n v="44.94"/>
        <n v="225.84"/>
        <n v="89.46"/>
        <n v="70.41"/>
        <n v="31.81"/>
        <n v="51.06"/>
        <n v="79.73"/>
        <n v="83.97"/>
        <n v="102.28"/>
        <n v="111.14"/>
        <n v="63.29"/>
        <n v="84.86"/>
        <n v="35.29"/>
        <n v="67.959999999999994"/>
        <n v="136.58000000000001"/>
        <n v="211.32"/>
        <n v="56.7"/>
        <n v="47.41"/>
        <n v="32.18"/>
        <n v="286.04999999999995"/>
        <n v="62.45"/>
        <n v="394.36"/>
        <n v="94.92"/>
        <n v="92.62"/>
        <n v="27.55"/>
        <n v="82.2"/>
        <n v="209.37"/>
        <n v="86.83"/>
        <n v="50.74"/>
        <n v="60.43"/>
        <n v="34.83"/>
        <n v="96.72"/>
        <n v="82.47"/>
        <n v="172.88"/>
        <n v="42.43"/>
        <n v="90.53"/>
        <n v="88"/>
        <n v="72.349999999999994"/>
        <n v="128.25"/>
        <n v="105.3"/>
        <n v="58.83"/>
        <n v="235.38"/>
        <n v="212.28000000000003"/>
        <n v="159.84"/>
        <n v="38.020000000000003"/>
        <n v="144.74"/>
        <n v="86.78"/>
        <n v="50.39"/>
        <n v="49.5"/>
        <n v="57.91"/>
        <n v="121.1"/>
        <n v="71.92"/>
        <n v="216.24"/>
        <n v="35.090000000000003"/>
        <n v="58.19"/>
        <n v="161.10000000000002"/>
        <n v="61.9"/>
        <n v="79.8"/>
        <n v="122.82"/>
        <n v="68.98"/>
        <n v="103.12"/>
        <n v="87.43"/>
        <n v="384.24"/>
        <n v="41.63"/>
        <n v="107.92"/>
        <n v="40.86"/>
        <n v="84.92"/>
        <n v="38.78"/>
        <n v="62.92"/>
        <n v="71.099999999999994"/>
        <n v="65.040000000000006"/>
        <n v="63.58"/>
        <n v="93.4"/>
        <n v="98.23"/>
        <n v="50.13"/>
        <n v="70.36"/>
        <n v="45.02"/>
        <n v="81.569999999999993"/>
        <n v="84.46"/>
        <n v="76.69"/>
        <n v="87.84"/>
        <n v="56.6"/>
        <n v="75.010000000000005"/>
        <n v="189.56"/>
        <n v="52.06"/>
        <n v="56.51"/>
        <n v="75.819999999999993"/>
        <n v="153.87"/>
        <n v="303.64999999999998"/>
        <n v="54.94"/>
        <n v="86.64"/>
        <n v="143.31"/>
        <n v="80.66"/>
        <n v="310.39999999999998"/>
        <n v="56.85"/>
        <n v="85.18"/>
        <n v="42.05"/>
        <n v="77.900000000000006"/>
        <n v="185.54"/>
        <n v="40.57"/>
        <n v="135.44"/>
        <n v="86.94"/>
        <n v="193.11"/>
        <n v="49.74"/>
        <n v="55.77"/>
        <n v="47.89"/>
        <n v="76.400000000000006"/>
        <n v="238.04"/>
        <n v="72.94"/>
        <n v="51.41"/>
        <n v="108.12"/>
        <n v="203.8"/>
        <n v="59.86"/>
        <n v="68.89"/>
        <n v="69.25"/>
        <n v="34.869999999999997"/>
        <n v="212.94"/>
        <n v="103.79"/>
        <n v="49.08"/>
        <n v="34.03"/>
        <n v="27.49"/>
        <n v="206.16"/>
        <n v="75.5"/>
        <n v="50.63"/>
        <n v="45.88"/>
        <n v="113.02"/>
        <n v="48.14"/>
        <n v="50.8"/>
        <n v="71.5"/>
        <n v="52.31"/>
        <n v="40.64"/>
        <n v="42.87"/>
        <n v="143.82"/>
        <n v="99.72"/>
        <n v="114.54"/>
        <n v="160.04"/>
        <n v="157.44"/>
        <n v="155.16"/>
        <n v="78.040000000000006"/>
        <n v="77.95"/>
        <n v="58.95"/>
        <n v="101.5"/>
        <n v="53.88"/>
        <n v="62.09"/>
        <n v="113.66"/>
        <n v="145.82"/>
        <n v="278.89999999999998"/>
        <n v="44.26"/>
        <n v="75.069999999999993"/>
        <n v="47.55"/>
        <n v="104.56"/>
        <n v="66.44"/>
        <n v="169.72"/>
        <n v="38.549999999999997"/>
        <n v="399.79999999999995"/>
        <n v="282.93"/>
        <n v="85.99"/>
        <n v="44.06"/>
        <n v="38.090000000000003"/>
        <n v="39.049999999999997"/>
        <n v="49.36"/>
        <n v="82.72"/>
        <n v="85.84"/>
        <n v="79.19"/>
        <n v="52.4"/>
        <n v="89.62"/>
        <n v="51.3"/>
        <n v="50.33"/>
        <n v="93.68"/>
        <n v="91.36"/>
        <n v="175.52"/>
        <n v="81.69"/>
        <n v="88.11"/>
        <n v="27.95"/>
        <n v="75.88"/>
        <n v="132.62"/>
        <n v="127.18"/>
        <n v="89.02"/>
        <n v="47.33"/>
        <n v="31.85"/>
        <n v="47.76"/>
        <n v="96.62"/>
        <n v="33.76"/>
        <n v="51.86"/>
        <n v="35.270000000000003"/>
        <n v="107.6"/>
        <n v="145.22999999999999"/>
        <n v="32.76"/>
        <n v="74.86"/>
        <n v="75.89"/>
        <n v="402.1"/>
        <n v="98.1"/>
        <n v="64.36"/>
        <n v="53.82"/>
        <n v="101.62"/>
        <n v="156.54"/>
        <n v="112"/>
        <n v="33.92"/>
        <n v="104.48"/>
        <n v="102.81"/>
        <n v="99.26"/>
        <n v="229.12"/>
        <n v="55.34"/>
        <n v="69.42"/>
        <n v="109.04"/>
        <n v="42.29"/>
        <n v="109.4"/>
        <n v="166.12"/>
        <n v="85.36"/>
        <n v="63.51"/>
        <n v="262.39999999999998"/>
        <n v="178.92"/>
        <n v="83.41"/>
        <n v="162.47999999999999"/>
        <n v="51.38"/>
        <n v="52.72"/>
        <n v="367.4"/>
        <n v="88.06"/>
        <n v="34.46"/>
        <n v="89.44"/>
        <n v="73.14"/>
        <n v="68.22"/>
        <n v="27.13"/>
        <n v="36.119999999999997"/>
        <n v="207.03000000000003"/>
        <n v="53.29"/>
        <n v="50.06"/>
        <n v="66.510000000000005"/>
        <n v="149.54"/>
        <n v="103.47"/>
        <n v="43.9"/>
        <n v="104.78"/>
        <n v="128.28"/>
        <n v="102.32"/>
        <n v="64"/>
        <n v="48.89"/>
        <n v="59.26"/>
        <n v="121.6"/>
        <n v="48.43"/>
        <n v="140.74"/>
        <n v="63.06"/>
        <n v="26.97"/>
        <n v="36.01"/>
        <n v="35.51"/>
        <n v="51.95"/>
        <n v="52.9"/>
        <n v="95.76"/>
        <n v="73.97"/>
        <n v="147.47999999999999"/>
        <n v="88.59"/>
        <n v="45.89"/>
        <n v="293.95999999999998"/>
        <n v="52.58"/>
        <n v="138.54"/>
        <n v="50.1"/>
        <n v="94.98"/>
        <n v="42.82"/>
        <n v="68.959999999999994"/>
        <n v="98.04"/>
        <n v="105.52"/>
        <n v="271.86"/>
        <n v="47.63"/>
        <n v="111.98"/>
        <n v="100.4"/>
        <n v="133.12"/>
        <n v="63.56"/>
        <n v="82.54"/>
        <n v="38.01"/>
        <n v="107.54"/>
        <n v="124.59"/>
        <n v="44.59"/>
        <n v="52.55"/>
        <n v="103.13"/>
        <n v="63.34"/>
        <n v="82.88"/>
        <n v="128.19999999999999"/>
        <n v="74.790000000000006"/>
        <n v="40.1"/>
        <n v="55.27"/>
        <n v="77.62"/>
        <n v="190.5"/>
        <n v="153.84"/>
        <n v="41.45"/>
        <n v="252.76"/>
        <n v="141.34"/>
        <n v="77.319999999999993"/>
        <n v="250.28"/>
        <n v="55.8"/>
        <n v="136.4"/>
        <n v="105.98"/>
        <n v="74.22"/>
        <n v="86.54"/>
        <n v="53.26"/>
        <n v="57.8"/>
        <n v="197.14"/>
        <n v="37.520000000000003"/>
        <n v="81.78"/>
        <n v="79.02"/>
        <n v="326.2"/>
        <n v="38.5"/>
        <n v="185.79"/>
        <n v="140.91999999999999"/>
        <n v="195.81"/>
        <n v="28.73"/>
        <n v="46.35"/>
        <n v="56.42"/>
        <n v="92.04"/>
        <n v="92.9"/>
        <n v="39.56"/>
        <n v="125.68"/>
        <n v="146.19999999999999"/>
        <n v="63.97"/>
        <n v="39.01"/>
        <n v="53.67"/>
        <n v="166.2"/>
        <n v="30.82"/>
        <n v="172.9"/>
        <n v="80.959999999999994"/>
        <n v="39.130000000000003"/>
        <n v="53.16"/>
        <n v="54.76"/>
        <n v="91.28"/>
        <n v="47.11"/>
        <n v="91.04"/>
        <n v="55.63"/>
        <n v="128.22"/>
        <n v="182.88"/>
        <n v="64.2"/>
        <n v="105.38"/>
        <n v="64.510000000000005"/>
        <n v="53.24"/>
        <n v="55.33"/>
        <n v="29.45"/>
        <n v="32.5"/>
        <n v="36.76"/>
        <n v="32.57"/>
        <n v="279"/>
        <n v="101.39999999999999"/>
        <n v="38.6"/>
        <n v="384.08"/>
        <n v="40.65"/>
        <n v="53.99"/>
        <n v="127.02"/>
        <n v="77.94"/>
        <n v="151.56"/>
        <n v="47.13"/>
        <n v="238.96"/>
        <n v="63.16"/>
        <n v="129.5"/>
        <n v="44.56"/>
        <n v="94.88"/>
        <n v="40.28"/>
        <n v="53.76"/>
        <n v="267.54000000000002"/>
        <n v="53.44"/>
        <n v="168.05"/>
        <n v="54.18"/>
        <n v="51.02"/>
        <n v="192.88"/>
        <n v="47.51"/>
        <n v="117.42"/>
        <n v="58.24"/>
        <n v="93.85"/>
        <n v="107.86"/>
        <n v="55.74"/>
        <n v="44.31"/>
        <n v="57.61"/>
        <n v="166.36"/>
        <n v="92"/>
        <n v="57.66"/>
        <n v="71.86"/>
        <n v="40.75"/>
        <n v="73.709999999999994"/>
        <n v="131.19999999999999"/>
        <n v="38.33"/>
        <n v="82.53"/>
        <n v="38.07"/>
        <n v="30.2"/>
        <n v="35.15"/>
        <n v="116.96"/>
        <n v="66.56"/>
        <n v="67.66"/>
        <n v="34.36"/>
        <n v="106.88"/>
        <n v="58.39"/>
        <n v="140.34"/>
        <n v="74.64"/>
        <n v="66.989999999999995"/>
        <n v="65.72"/>
        <n v="35.32"/>
        <n v="48.82"/>
        <n v="112.85"/>
        <n v="92.74"/>
        <n v="196.32"/>
        <n v="24.69"/>
        <n v="79.62"/>
        <n v="111.54"/>
        <n v="56.3"/>
        <n v="63.92"/>
        <n v="169.12"/>
        <n v="42.92"/>
        <n v="67.84"/>
        <n v="253.44"/>
        <n v="35.049999999999997"/>
        <n v="96.36"/>
        <n v="236.4"/>
        <n v="46.58"/>
        <n v="49.98"/>
        <n v="79.63"/>
        <n v="42.89"/>
        <n v="70.680000000000007"/>
        <n v="147.36000000000001"/>
        <n v="47.27"/>
        <n v="78.180000000000007"/>
        <n v="175.74"/>
        <n v="42.97"/>
        <n v="98.06"/>
        <n v="77.819999999999993"/>
        <n v="66.069999999999993"/>
        <n v="87.24"/>
        <n v="123.1"/>
        <n v="85.07"/>
        <n v="37.49"/>
        <n v="193.41"/>
        <n v="192"/>
        <n v="91.06"/>
        <n v="211.18"/>
        <n v="35.26"/>
        <n v="124.96"/>
        <n v="26.15"/>
        <n v="103.66"/>
        <n v="82.15"/>
        <n v="137.10000000000002"/>
        <n v="55.31"/>
        <n v="98.89"/>
        <n v="117.14"/>
        <n v="52.08"/>
        <n v="40.799999999999997"/>
        <n v="207.66"/>
        <n v="73.22"/>
        <n v="47.75"/>
        <n v="98.44"/>
        <n v="97.82"/>
        <n v="59.29"/>
        <n v="295.04000000000002"/>
        <n v="93.5"/>
        <n v="88.81"/>
        <n v="91.84"/>
        <n v="105.78"/>
        <n v="115.34"/>
        <n v="28.29"/>
        <n v="37.46"/>
        <n v="206.31"/>
        <n v="72.14"/>
        <n v="107.64"/>
        <n v="112.86"/>
        <n v="46.6"/>
        <n v="33.130000000000003"/>
        <n v="45.06"/>
        <n v="111.02"/>
        <n v="53.66"/>
        <n v="131.74"/>
        <n v="77.88"/>
        <n v="170.92"/>
        <n v="50.68"/>
        <n v="34.409999999999997"/>
        <n v="47.84"/>
        <n v="127.08"/>
        <n v="40.18"/>
        <n v="81.88"/>
        <n v="64.78"/>
        <n v="85.86"/>
        <n v="74.23"/>
        <n v="57.02"/>
        <n v="80.38"/>
        <n v="36.53"/>
        <n v="67.599999999999994"/>
        <n v="63.28"/>
        <n v="139.02000000000001"/>
        <n v="51.28"/>
        <n v="71.11"/>
        <n v="104.04"/>
        <n v="43.4"/>
        <n v="81.17"/>
        <n v="61.3"/>
        <n v="103.72"/>
        <n v="204.66"/>
        <n v="73.42"/>
        <n v="46.3"/>
        <n v="231.27"/>
        <n v="57.1"/>
        <n v="36.229999999999997"/>
        <n v="175.28"/>
        <n v="161.19"/>
        <n v="51.22"/>
        <n v="105.2"/>
        <n v="230.45000000000002"/>
        <n v="130.69999999999999"/>
        <n v="61.24"/>
        <n v="228.06"/>
        <n v="53.19"/>
        <n v="42"/>
        <n v="51.1"/>
        <n v="106.12"/>
        <n v="123.87"/>
        <n v="37.67"/>
        <n v="39.22"/>
        <n v="83.45"/>
        <n v="55.69"/>
        <n v="47.88"/>
        <n v="69.680000000000007"/>
        <n v="76.42"/>
        <n v="45.99"/>
        <n v="82.68"/>
        <n v="151.91999999999999"/>
        <n v="49.27"/>
        <n v="50.87"/>
        <n v="49.81"/>
        <n v="124.66"/>
        <n v="37.049999999999997"/>
        <n v="220.38"/>
        <n v="43.37"/>
        <n v="121.72"/>
        <n v="46.11"/>
        <n v="94.26"/>
        <n v="130.44"/>
        <n v="70.55"/>
        <n v="179.07"/>
        <n v="70"/>
        <n v="146.84"/>
        <n v="49.35"/>
        <n v="158.72"/>
        <n v="54.45"/>
        <n v="55.76"/>
        <n v="86.06"/>
        <n v="44.79"/>
        <n v="90.5"/>
        <n v="57.43"/>
        <n v="80.319999999999993"/>
        <n v="147.19999999999999"/>
        <n v="45.19"/>
        <n v="39.659999999999997"/>
        <n v="177.86"/>
        <n v="113.28"/>
        <n v="66.62"/>
        <n v="55.57"/>
        <n v="43.2"/>
        <n v="63.48"/>
        <n v="119.98"/>
        <n v="52.17"/>
        <n v="108.02"/>
        <n v="36.299999999999997"/>
        <n v="74.48"/>
        <n v="136.66"/>
        <n v="30.93"/>
        <n v="239.45"/>
        <n v="104.14"/>
        <n v="229.56"/>
        <n v="102.66"/>
        <n v="196.46999999999997"/>
        <n v="39.24"/>
        <n v="31.55"/>
        <n v="90.1"/>
        <n v="40.549999999999997"/>
        <n v="107"/>
        <n v="68.849999999999994"/>
        <n v="156.62"/>
        <n v="159.56"/>
        <n v="67.83"/>
        <n v="47.09"/>
        <n v="135.68"/>
        <n v="56.18"/>
        <n v="89.88"/>
        <n v="422.45"/>
        <n v="52.37"/>
        <n v="134.5"/>
        <n v="173.4"/>
        <n v="33.33"/>
        <n v="24.84"/>
        <n v="48.03"/>
        <n v="93.54"/>
        <n v="33.07"/>
        <n v="84.06"/>
        <n v="146.78"/>
        <n v="83.58"/>
        <n v="107.08"/>
        <n v="279.68"/>
        <n v="58.78"/>
        <n v="46.37"/>
        <n v="107.32"/>
        <n v="65.84"/>
        <n v="118.04"/>
        <n v="79.55"/>
        <n v="42.79"/>
        <n v="71.7"/>
        <n v="159.6"/>
        <n v="74.12"/>
        <n v="87.78"/>
        <n v="121.2"/>
        <n v="58.34"/>
        <n v="405.88"/>
        <n v="133.47"/>
        <n v="191.91"/>
        <n v="34.53"/>
        <n v="46.7"/>
        <n v="37.03"/>
        <n v="62.48"/>
        <n v="159.54"/>
        <n v="164.68"/>
        <n v="125.58"/>
        <n v="58.03"/>
        <n v="213.1"/>
        <n v="53.2"/>
        <n v="186.16"/>
        <n v="177.06"/>
        <n v="63.2"/>
        <n v="33.39"/>
        <n v="71.819999999999993"/>
        <n v="136.28"/>
        <n v="131.4"/>
        <n v="71.239999999999995"/>
        <n v="46.68"/>
        <n v="65.66"/>
        <n v="133.74"/>
        <n v="58.88"/>
        <n v="197.28000000000003"/>
        <n v="56.45"/>
        <n v="46.12"/>
        <n v="74.510000000000005"/>
        <n v="217.79999999999998"/>
        <n v="130.76"/>
        <n v="211.56"/>
        <n v="67.31"/>
        <n v="36.090000000000003"/>
        <n v="356"/>
        <n v="38.72"/>
        <n v="53.27"/>
        <n v="71.400000000000006"/>
        <n v="75.55"/>
        <n v="285.3"/>
        <n v="98.88"/>
        <n v="163.47"/>
        <n v="71.849999999999994"/>
        <n v="44.08"/>
        <n v="42.76"/>
        <n v="70.760000000000005"/>
        <n v="33.5"/>
        <n v="68.44"/>
        <n v="126.47999999999999"/>
        <n v="206.48"/>
        <n v="27.15"/>
        <n v="58.81"/>
        <n v="46.89"/>
        <n v="81.2"/>
        <n v="36.380000000000003"/>
        <n v="36.67"/>
        <n v="119.3"/>
        <n v="107.05"/>
        <n v="28.18"/>
        <n v="246.29999999999998"/>
        <n v="148.18"/>
        <n v="37.479999999999997"/>
        <n v="36.15"/>
        <n v="162.88"/>
        <n v="242.91"/>
        <n v="124.9"/>
        <n v="32.590000000000003"/>
        <n v="43.19"/>
        <n v="39.03"/>
        <n v="39.68"/>
        <n v="40.78"/>
        <n v="83.7"/>
        <n v="224.64"/>
        <n v="48.32"/>
        <n v="121.14"/>
        <n v="157.02000000000001"/>
        <n v="155.78"/>
        <n v="47.29"/>
        <n v="32.74"/>
        <n v="123.56"/>
        <n v="37.15"/>
        <n v="128.58000000000001"/>
        <n v="154.82999999999998"/>
        <n v="101.82"/>
        <n v="357.29999999999995"/>
        <n v="78.66"/>
        <n v="48.11"/>
        <n v="90.34"/>
        <n v="97.23"/>
        <n v="46.09"/>
        <n v="132.91999999999999"/>
        <n v="135.54"/>
        <n v="140"/>
        <n v="45.63"/>
        <n v="41.58"/>
        <n v="159.25"/>
        <n v="33.82"/>
        <n v="86.36"/>
        <n v="150.27000000000001"/>
        <n v="57.5"/>
        <n v="231.04"/>
        <n v="178.98"/>
        <n v="119.64"/>
        <n v="81.36"/>
        <n v="67.95"/>
        <n v="104.1"/>
        <n v="172.8"/>
        <n v="144.27000000000001"/>
        <n v="110.92"/>
        <n v="157.66"/>
        <n v="106.81"/>
        <n v="55.48"/>
        <n v="64.13"/>
        <n v="86.74"/>
        <n v="128.72"/>
        <n v="31.37"/>
        <n v="179.64000000000001"/>
        <n v="266.2"/>
        <n v="47.69"/>
        <n v="53.52"/>
        <n v="50.84"/>
        <n v="91.24"/>
        <n v="196.64"/>
        <n v="91.48"/>
        <n v="210"/>
        <n v="44.82"/>
        <n v="62.49"/>
        <n v="37.19"/>
        <n v="58.92"/>
        <n v="104.58"/>
        <n v="58.6"/>
        <n v="38.04"/>
        <n v="114.68"/>
        <n v="62.26"/>
        <n v="272.2"/>
        <n v="32.14"/>
        <n v="79.540000000000006"/>
        <n v="52.29"/>
        <n v="105.84"/>
        <n v="31.54"/>
        <n v="45.01"/>
        <n v="80.06"/>
        <n v="118.94999999999999"/>
        <n v="50.2"/>
        <n v="79.98"/>
        <n v="33.86"/>
        <n v="55.19"/>
        <n v="126.38"/>
        <n v="60.57"/>
        <n v="193.48"/>
        <n v="84.52"/>
        <n v="78.75"/>
        <n v="33.799999999999997"/>
        <n v="156.96"/>
        <n v="72.58"/>
        <n v="51.94"/>
        <n v="130.64999999999998"/>
        <n v="61.66"/>
        <n v="56.98"/>
        <n v="97.09"/>
        <n v="63.86"/>
        <n v="40.71"/>
        <n v="46.97"/>
        <n v="66.2"/>
        <n v="70.3"/>
        <n v="46.34"/>
        <n v="85.38"/>
        <n v="46.79"/>
        <n v="95.99"/>
        <n v="32.299999999999997"/>
        <n v="54.16"/>
        <n v="83.92"/>
        <n v="44.24"/>
        <n v="172.41"/>
        <n v="100.78"/>
        <n v="93.19"/>
        <n v="73.069999999999993"/>
        <n v="35.380000000000003"/>
        <n v="157.96"/>
        <n v="122"/>
        <n v="48.51"/>
        <n v="63.43"/>
        <n v="304.92"/>
        <n v="47.04"/>
        <n v="97.859999999999985"/>
        <n v="53.34"/>
        <n v="41.08"/>
        <n v="41.75"/>
        <n v="55.53"/>
        <n v="81.66"/>
        <n v="258.45"/>
        <n v="44.75"/>
        <n v="130.94"/>
        <n v="84.34"/>
        <n v="103.42"/>
        <n v="113.05"/>
        <n v="47.9"/>
        <n v="114.89999999999999"/>
        <n v="57.97"/>
        <n v="94.7"/>
        <n v="50.78"/>
        <n v="119.78"/>
        <n v="93.07"/>
        <n v="57.79"/>
        <n v="58.22"/>
        <n v="81.400000000000006"/>
        <n v="37.29"/>
        <n v="108"/>
        <n v="92.49"/>
        <n v="38.4"/>
        <n v="93.72"/>
        <n v="175.56"/>
        <n v="108.3"/>
        <n v="37.21"/>
        <n v="60.11"/>
        <n v="72.59"/>
        <n v="35.03"/>
        <n v="57.92"/>
        <n v="45.69"/>
        <n v="67.22"/>
        <n v="67.56"/>
        <n v="291.68"/>
        <n v="40.770000000000003"/>
        <n v="335.96"/>
        <n v="252.24"/>
        <n v="54.06"/>
        <n v="153.32"/>
        <n v="160.24"/>
        <n v="122.38"/>
        <n v="43.39"/>
        <n v="38.29"/>
        <n v="58.56"/>
        <n v="180.8"/>
        <n v="134.94"/>
        <n v="53.37"/>
        <n v="157.54"/>
        <n v="59.07"/>
        <n v="65.209999999999994"/>
        <n v="120.12"/>
        <n v="103.26"/>
        <n v="75.16"/>
        <n v="94.81"/>
        <n v="143.74"/>
        <n v="262.60000000000002"/>
        <n v="140.25"/>
        <n v="171.87"/>
        <n v="66.88"/>
        <n v="110.28"/>
        <n v="32.49"/>
        <n v="183.72"/>
        <n v="229.62"/>
        <n v="152.04"/>
        <n v="124.28"/>
        <n v="50.93"/>
        <n v="61.47"/>
        <n v="47.42"/>
        <n v="211.98"/>
        <n v="34.97"/>
        <n v="112.4"/>
        <n v="40.01"/>
        <n v="37.950000000000003"/>
        <n v="56.77"/>
        <n v="70.52"/>
        <n v="57.41"/>
        <n v="46.78"/>
        <n v="218.07"/>
        <n v="79.22"/>
        <n v="70.569999999999993"/>
        <n v="64.67"/>
        <n v="57.86"/>
        <n v="31.7"/>
        <n v="339.76"/>
        <n v="167.54"/>
        <n v="93.15"/>
        <n v="269.27999999999997"/>
        <n v="194.49"/>
        <n v="44.3"/>
        <n v="177.42000000000002"/>
        <n v="79.75"/>
        <n v="52.63"/>
        <n v="58.63"/>
        <n v="103.69"/>
        <n v="166.68"/>
        <n v="67.92"/>
        <n v="274.24"/>
        <n v="97.18"/>
        <n v="46.24"/>
        <n v="26.57"/>
        <n v="163.02000000000001"/>
        <n v="94.28"/>
        <n v="73.16"/>
        <n v="81.459999999999994"/>
        <n v="68.25"/>
        <n v="39.020000000000003"/>
        <n v="35.99"/>
        <n v="42.58"/>
        <n v="165.87"/>
        <n v="303.81"/>
        <n v="58.44"/>
        <n v="52.62"/>
        <n v="54.14"/>
        <n v="60.09"/>
        <n v="215.34"/>
        <n v="72.8"/>
        <n v="80.5"/>
        <n v="41.37"/>
        <n v="28.16"/>
        <n v="84.8"/>
        <n v="47.86"/>
        <n v="63.47"/>
        <n v="35.64"/>
        <n v="42.21"/>
        <n v="101.56"/>
        <n v="113.96"/>
        <n v="101.14"/>
        <n v="36.69"/>
        <n v="50.7"/>
        <n v="169.88"/>
        <n v="94.95"/>
        <n v="111.6"/>
        <n v="62.97"/>
        <n v="87.6"/>
        <n v="119.38"/>
        <n v="197.94"/>
        <n v="61.45"/>
        <n v="86"/>
        <n v="34.85"/>
        <n v="164.22"/>
        <n v="78.239999999999995"/>
        <n v="107.12"/>
        <n v="127.64"/>
        <n v="100.6"/>
        <n v="76.77"/>
        <n v="214.16"/>
        <n v="39.479999999999997"/>
        <n v="219.84"/>
        <n v="34.92"/>
        <n v="99.96"/>
        <n v="27.09"/>
        <n v="60.13"/>
        <n v="116.58"/>
        <n v="93.17"/>
        <n v="52.52"/>
        <n v="27.76"/>
        <n v="59.65"/>
        <n v="148.74"/>
        <n v="89.48"/>
        <n v="33.44"/>
        <n v="37.64"/>
        <n v="140.08000000000001"/>
        <n v="102.6"/>
        <n v="34.840000000000003"/>
        <n v="168.12"/>
        <n v="101.42"/>
        <n v="33.35"/>
        <n v="30.71"/>
        <n v="129.24"/>
        <n v="43.63"/>
        <n v="86.08"/>
        <n v="315.8"/>
        <n v="103.3"/>
        <n v="100.83"/>
        <n v="31.31"/>
        <n v="42.1"/>
        <n v="434.95"/>
        <n v="87.59"/>
        <n v="75.510000000000005"/>
        <n v="65.12"/>
        <n v="52.47"/>
        <n v="51.73"/>
        <n v="49.53"/>
        <n v="104.2"/>
        <n v="148.56"/>
        <n v="51.17"/>
        <n v="27.24"/>
        <n v="105.64"/>
        <n v="163.28"/>
        <n v="193.44"/>
        <n v="172.74"/>
        <n v="37.18"/>
        <n v="185.48"/>
        <n v="55.12"/>
        <n v="40.6"/>
        <n v="59.05"/>
        <n v="90.86"/>
        <n v="60.28"/>
        <n v="43.03"/>
        <n v="50.5"/>
        <n v="86.05"/>
        <n v="73"/>
        <n v="120.53999999999999"/>
        <n v="84.29"/>
        <n v="111.78"/>
        <n v="102.7"/>
        <n v="26.18"/>
        <n v="80.88"/>
        <n v="36.71"/>
        <n v="50.47"/>
        <n v="529.29999999999995"/>
        <n v="71.36"/>
        <n v="127.04"/>
        <n v="41.38"/>
        <n v="46.47"/>
        <n v="112.02"/>
        <n v="232.20000000000002"/>
        <n v="68.66"/>
        <n v="187.7"/>
        <n v="65.599999999999994"/>
        <n v="77.86"/>
        <n v="90.24"/>
        <n v="103.62"/>
        <n v="126.46"/>
        <n v="221.8"/>
        <n v="246.06"/>
        <n v="50.72"/>
        <n v="239.07"/>
        <n v="55.5"/>
        <n v="67.290000000000006"/>
        <n v="58.16"/>
        <n v="332.36"/>
        <n v="123.32"/>
        <n v="104.36"/>
        <n v="90.47"/>
        <n v="72.5"/>
        <n v="164.04"/>
        <n v="121.36"/>
        <n v="43.66"/>
        <n v="45.18"/>
        <n v="88.32"/>
        <n v="46.44"/>
        <n v="154.47"/>
        <n v="54.72"/>
        <n v="130.59"/>
        <n v="72.02"/>
        <n v="36.04"/>
        <n v="52.09"/>
        <n v="254.12"/>
        <n v="40.200000000000003"/>
        <n v="53.28"/>
        <n v="89.05"/>
        <n v="184.06"/>
        <n v="58.64"/>
        <n v="231.8"/>
        <n v="93.99"/>
        <n v="300.95"/>
        <n v="252.95000000000002"/>
        <n v="53.92"/>
        <n v="119.36"/>
        <n v="32.380000000000003"/>
        <n v="53.81"/>
        <n v="119.43"/>
        <n v="56.52"/>
        <n v="113.76"/>
        <n v="51.92"/>
        <n v="183.44"/>
        <n v="62.52"/>
        <n v="81.64"/>
        <n v="308.52"/>
        <n v="95.38"/>
        <n v="75.650000000000006"/>
        <n v="116.28"/>
        <n v="43.86"/>
        <n v="158.01"/>
        <n v="89.1"/>
        <n v="116.62"/>
        <n v="162.10000000000002"/>
        <n v="77.66"/>
        <n v="117.84"/>
        <n v="153.93"/>
        <n v="65.09"/>
        <n v="64.75"/>
        <n v="43.24"/>
        <n v="46.05"/>
        <n v="33.619999999999997"/>
        <n v="56.8"/>
        <n v="59.83"/>
        <n v="37.39"/>
        <n v="68.099999999999994"/>
        <n v="171.74"/>
        <n v="84.04"/>
        <n v="44.63"/>
        <n v="181.98"/>
        <n v="55.65"/>
        <n v="170.94"/>
        <n v="41.64"/>
        <n v="84.41"/>
        <n v="96.12"/>
        <n v="45.43"/>
        <n v="127.46"/>
        <n v="80.86"/>
        <n v="78.400000000000006"/>
        <n v="64.069999999999993"/>
        <n v="53.41"/>
        <n v="38.46"/>
        <n v="36.83"/>
        <n v="110.07"/>
        <n v="115.82"/>
        <n v="79.7"/>
        <n v="146.76"/>
        <n v="41.91"/>
        <n v="113.52000000000001"/>
        <n v="54"/>
        <n v="179.6"/>
        <n v="112.46"/>
        <n v="33.89"/>
        <n v="90.6"/>
        <n v="140.13"/>
        <n v="113.12"/>
        <n v="59.69"/>
        <n v="36.9"/>
        <n v="57.68"/>
        <n v="81.5"/>
        <n v="107.41"/>
        <n v="61.96"/>
        <n v="40.659999999999997"/>
        <n v="49.73"/>
        <n v="169.4"/>
        <n v="32.409999999999997"/>
        <n v="40.51"/>
        <n v="61.32"/>
        <n v="69.599999999999994"/>
        <n v="41.24"/>
        <n v="63.62"/>
        <n v="71.98"/>
        <n v="75.08"/>
        <n v="48.26"/>
        <n v="26.68"/>
        <n v="296.36"/>
        <n v="30.56"/>
        <n v="79.989999999999995"/>
        <n v="175.7"/>
        <n v="137.54"/>
        <n v="108.34"/>
        <n v="35.79"/>
        <n v="32.64"/>
        <n v="95.04"/>
        <n v="67.540000000000006"/>
        <n v="78.84"/>
        <n v="121.5"/>
        <n v="129.47999999999999"/>
        <n v="151.46"/>
        <n v="52.89"/>
        <n v="45.62"/>
        <n v="48.85"/>
        <n v="156.54999999999998"/>
        <n v="73.349999999999994"/>
        <n v="96.16"/>
        <n v="129.08000000000001"/>
        <n v="120.02"/>
        <n v="40.14"/>
        <n v="70.11"/>
        <n v="67"/>
        <n v="91.82"/>
        <n v="158.72999999999999"/>
        <n v="66.52"/>
        <n v="30.27"/>
        <n v="48.86"/>
        <n v="32.51"/>
        <n v="69.72"/>
        <n v="81.42"/>
        <n v="148.94"/>
        <n v="117.68"/>
        <n v="123.24"/>
        <n v="40.9"/>
        <n v="39.979999999999997"/>
        <n v="88.62"/>
        <n v="120.88"/>
        <n v="174.56"/>
        <n v="172.16"/>
        <n v="82.03"/>
        <n v="100.02"/>
        <n v="132.28"/>
        <n v="50.35"/>
        <n v="88.3"/>
        <n v="163.71"/>
        <n v="129"/>
        <n v="139.94999999999999"/>
        <n v="33.25"/>
        <n v="35.590000000000003"/>
        <n v="51.87"/>
        <n v="83.88"/>
        <n v="24.61"/>
        <n v="42.81"/>
        <n v="42.59"/>
        <n v="54.13"/>
        <n v="105.18"/>
        <n v="41.67"/>
        <n v="55.68"/>
        <n v="54.62"/>
        <n v="65.900000000000006"/>
        <n v="80.75"/>
        <n v="47.71"/>
        <n v="75.66"/>
        <n v="43.11"/>
        <n v="66.72"/>
        <n v="181.14"/>
        <n v="133.41"/>
        <n v="73.58"/>
        <n v="219.93"/>
        <n v="60.4"/>
        <n v="89.69"/>
        <n v="166.53"/>
        <n v="382.16"/>
        <n v="93.11"/>
        <n v="38.22"/>
        <n v="108.98"/>
        <n v="37.72"/>
        <n v="99.06"/>
        <n v="72.760000000000005"/>
        <n v="60.59"/>
        <n v="179.55"/>
        <n v="132.27000000000001"/>
        <n v="31.97"/>
        <n v="48.07"/>
        <n v="38.14"/>
        <n v="60.22"/>
      </sharedItems>
    </cacheField>
    <cacheField name="Calculated Profit" numFmtId="166">
      <sharedItems containsSemiMixedTypes="0" containsString="0" containsNumber="1" minValue="18.86" maxValue="496" count="1517">
        <n v="146.44"/>
        <n v="50.13"/>
        <n v="45.05"/>
        <n v="53.1"/>
        <n v="86.4"/>
        <n v="102.36"/>
        <n v="87.82"/>
        <n v="98.94"/>
        <n v="113.08"/>
        <n v="50.95"/>
        <n v="90.03"/>
        <n v="58.55"/>
        <n v="75.960000000000008"/>
        <n v="168.8"/>
        <n v="26.909999999999997"/>
        <n v="91.7"/>
        <n v="34.1"/>
        <n v="266.49"/>
        <n v="39.14"/>
        <n v="137.84"/>
        <n v="309.95999999999998"/>
        <n v="131.80000000000001"/>
        <n v="31.64"/>
        <n v="60.72"/>
        <n v="70.02"/>
        <n v="61.09"/>
        <n v="89.52"/>
        <n v="49.57"/>
        <n v="59.1"/>
        <n v="37.67"/>
        <n v="54.08"/>
        <n v="21.28"/>
        <n v="57.17"/>
        <n v="53.5"/>
        <n v="24.689999999999998"/>
        <n v="212.94"/>
        <n v="52.1"/>
        <n v="296.75"/>
        <n v="33.980000000000004"/>
        <n v="128.34"/>
        <n v="37.51"/>
        <n v="75"/>
        <n v="91.78"/>
        <n v="93.13"/>
        <n v="109.88"/>
        <n v="135.74"/>
        <n v="24.96"/>
        <n v="118.16"/>
        <n v="108.5"/>
        <n v="125.78"/>
        <n v="103.64"/>
        <n v="54.28"/>
        <n v="247.11"/>
        <n v="173.16"/>
        <n v="98.14"/>
        <n v="120.03"/>
        <n v="45.4"/>
        <n v="46.39"/>
        <n v="175.02"/>
        <n v="116.13999999999999"/>
        <n v="60.16"/>
        <n v="178.74"/>
        <n v="48.63"/>
        <n v="45.39"/>
        <n v="46.82"/>
        <n v="221.21999999999997"/>
        <n v="49.8"/>
        <n v="51.71"/>
        <n v="175.36"/>
        <n v="96.94"/>
        <n v="72.75"/>
        <n v="52.19"/>
        <n v="86.27"/>
        <n v="101.07"/>
        <n v="45.49"/>
        <n v="39.159999999999997"/>
        <n v="39.11"/>
        <n v="43.46"/>
        <n v="31.090000000000003"/>
        <n v="270.5"/>
        <n v="76.2"/>
        <n v="154.51999999999998"/>
        <n v="33.22"/>
        <n v="48.52"/>
        <n v="119.10000000000001"/>
        <n v="94.15"/>
        <n v="104.26"/>
        <n v="61.94"/>
        <n v="54.19"/>
        <n v="133.80000000000001"/>
        <n v="72.17"/>
        <n v="29.729999999999997"/>
        <n v="42.61"/>
        <n v="22.659999999999997"/>
        <n v="83.51"/>
        <n v="40.04"/>
        <n v="130.18"/>
        <n v="181.44"/>
        <n v="48.44"/>
        <n v="148.5"/>
        <n v="31.92"/>
        <n v="53.49"/>
        <n v="219.44"/>
        <n v="104.8"/>
        <n v="92.28"/>
        <n v="121.65"/>
        <n v="185.96"/>
        <n v="134.38"/>
        <n v="53.78"/>
        <n v="81.3"/>
        <n v="89.58"/>
        <n v="73.91"/>
        <n v="86.17"/>
        <n v="265.44"/>
        <n v="105.42"/>
        <n v="71.48"/>
        <n v="39.090000000000003"/>
        <n v="105.76"/>
        <n v="86.68"/>
        <n v="125.02"/>
        <n v="35.159999999999997"/>
        <n v="39.15"/>
        <n v="59.650000000000006"/>
        <n v="85.3"/>
        <n v="166.23000000000002"/>
        <n v="59.42"/>
        <n v="58.52"/>
        <n v="43.08"/>
        <n v="101.88"/>
        <n v="146.25"/>
        <n v="43.22"/>
        <n v="57.98"/>
        <n v="165.76"/>
        <n v="178.26"/>
        <n v="34.840000000000003"/>
        <n v="86.89"/>
        <n v="46.88"/>
        <n v="134.43"/>
        <n v="309.18"/>
        <n v="71.099999999999994"/>
        <n v="40.69"/>
        <n v="34.36"/>
        <n v="47.86"/>
        <n v="50.27"/>
        <n v="72.790000000000006"/>
        <n v="63.099999999999994"/>
        <n v="26.92"/>
        <n v="160.26"/>
        <n v="79.72"/>
        <n v="38.99"/>
        <n v="70.430000000000007"/>
        <n v="162.86000000000001"/>
        <n v="72.099999999999994"/>
        <n v="54.95"/>
        <n v="102.65"/>
        <n v="54.239999999999995"/>
        <n v="41.87"/>
        <n v="92.36"/>
        <n v="123.72"/>
        <n v="85.98"/>
        <n v="269.60000000000002"/>
        <n v="75.710000000000008"/>
        <n v="133.76"/>
        <n v="32.29"/>
        <n v="104.03"/>
        <n v="93.390000000000015"/>
        <n v="127.08000000000001"/>
        <n v="50.65"/>
        <n v="38.590000000000003"/>
        <n v="75.72"/>
        <n v="49.23"/>
        <n v="78.45"/>
        <n v="124.44"/>
        <n v="175.89"/>
        <n v="263.16000000000003"/>
        <n v="168.88"/>
        <n v="38.119999999999997"/>
        <n v="85.45"/>
        <n v="149.19999999999999"/>
        <n v="56.92"/>
        <n v="98.52000000000001"/>
        <n v="95.06"/>
        <n v="53.83"/>
        <n v="69.36"/>
        <n v="214.23"/>
        <n v="65.959999999999994"/>
        <n v="55.150000000000006"/>
        <n v="179.4"/>
        <n v="364.68"/>
        <n v="98.04"/>
        <n v="219.60000000000002"/>
        <n v="120.76"/>
        <n v="95.3"/>
        <n v="92.07"/>
        <n v="289.44"/>
        <n v="38.81"/>
        <n v="228.32999999999998"/>
        <n v="140.42000000000002"/>
        <n v="258.36"/>
        <n v="107.52000000000001"/>
        <n v="103.4"/>
        <n v="31.79"/>
        <n v="233"/>
        <n v="70.12"/>
        <n v="86.12"/>
        <n v="69.459999999999994"/>
        <n v="31.489999999999995"/>
        <n v="64.92"/>
        <n v="60.879999999999995"/>
        <n v="62.180000000000007"/>
        <n v="69.38"/>
        <n v="50.89"/>
        <n v="305.76"/>
        <n v="36.67"/>
        <n v="166.64999999999998"/>
        <n v="100.4"/>
        <n v="78.22"/>
        <n v="48.85"/>
        <n v="36.08"/>
        <n v="136.14000000000001"/>
        <n v="167.2"/>
        <n v="149.6"/>
        <n v="55.22"/>
        <n v="34.020000000000003"/>
        <n v="93.02"/>
        <n v="33.630000000000003"/>
        <n v="57.5"/>
        <n v="76.44"/>
        <n v="424.15"/>
        <n v="72.94"/>
        <n v="38.79"/>
        <n v="90.990000000000009"/>
        <n v="28.82"/>
        <n v="43.8"/>
        <n v="60.65"/>
        <n v="79.680000000000007"/>
        <n v="190.07999999999998"/>
        <n v="57.8"/>
        <n v="143.91"/>
        <n v="158.52000000000001"/>
        <n v="81.17"/>
        <n v="103.96"/>
        <n v="129.01999999999998"/>
        <n v="44.05"/>
        <n v="192.45999999999998"/>
        <n v="44.84"/>
        <n v="87.58"/>
        <n v="88.240000000000009"/>
        <n v="37.42"/>
        <n v="66.22"/>
        <n v="173.34"/>
        <n v="30.049999999999997"/>
        <n v="39.69"/>
        <n v="58.93"/>
        <n v="80.36"/>
        <n v="112.32"/>
        <n v="52.93"/>
        <n v="86.16"/>
        <n v="192.25"/>
        <n v="50.88"/>
        <n v="158.80000000000001"/>
        <n v="74.010000000000005"/>
        <n v="46.69"/>
        <n v="42.68"/>
        <n v="62.400000000000006"/>
        <n v="23.630000000000003"/>
        <n v="192.84"/>
        <n v="203.67000000000002"/>
        <n v="52.04"/>
        <n v="36.06"/>
        <n v="338.82"/>
        <n v="263.5"/>
        <n v="66.62"/>
        <n v="73.12"/>
        <n v="112.80000000000001"/>
        <n v="108.80000000000001"/>
        <n v="32.85"/>
        <n v="101.2"/>
        <n v="146"/>
        <n v="207.32"/>
        <n v="55.239999999999995"/>
        <n v="117.84"/>
        <n v="113.44"/>
        <n v="121"/>
        <n v="207.18"/>
        <n v="65.06"/>
        <n v="224.16"/>
        <n v="120.54"/>
        <n v="69.09"/>
        <n v="53.69"/>
        <n v="48.69"/>
        <n v="50.769999999999996"/>
        <n v="39.28"/>
        <n v="73.47"/>
        <n v="84.36"/>
        <n v="83.960000000000008"/>
        <n v="60.14"/>
        <n v="63.71"/>
        <n v="68.040000000000006"/>
        <n v="143.41999999999999"/>
        <n v="138.68"/>
        <n v="63.3"/>
        <n v="77.59"/>
        <n v="31.57"/>
        <n v="223.95000000000005"/>
        <n v="36.549999999999997"/>
        <n v="289.64"/>
        <n v="66.58"/>
        <n v="128.38"/>
        <n v="44.45"/>
        <n v="82.8"/>
        <n v="51.41"/>
        <n v="222.63"/>
        <n v="98.42"/>
        <n v="54.26"/>
        <n v="53.57"/>
        <n v="55.17"/>
        <n v="101.28"/>
        <n v="79.53"/>
        <n v="178.62"/>
        <n v="42.57"/>
        <n v="69.47"/>
        <n v="92"/>
        <n v="65.400000000000006"/>
        <n v="209.25"/>
        <n v="56.2"/>
        <n v="51.17"/>
        <n v="244.62"/>
        <n v="206.21999999999997"/>
        <n v="163.16"/>
        <n v="46.98"/>
        <n v="38.67"/>
        <n v="155.26"/>
        <n v="173.22"/>
        <n v="34.61"/>
        <n v="64.5"/>
        <n v="36.590000000000003"/>
        <n v="125.9"/>
        <n v="108.58"/>
        <n v="163.76"/>
        <n v="32.409999999999997"/>
        <n v="91.81"/>
        <n v="162.89999999999998"/>
        <n v="42.6"/>
        <n v="86.7"/>
        <n v="105.18"/>
        <n v="116.02"/>
        <n v="143.38"/>
        <n v="92.57"/>
        <n v="335.76"/>
        <n v="83.18"/>
        <n v="43.37"/>
        <n v="186.57999999999998"/>
        <n v="54.14"/>
        <n v="60.08"/>
        <n v="65.72"/>
        <n v="77.08"/>
        <n v="114.15"/>
        <n v="54.39"/>
        <n v="72.709999999999994"/>
        <n v="53.42"/>
        <n v="85.1"/>
        <n v="72.77"/>
        <n v="59.12"/>
        <n v="129.63999999999999"/>
        <n v="54.98"/>
        <n v="53.430000000000007"/>
        <n v="104.54"/>
        <n v="58.31"/>
        <n v="141.66"/>
        <n v="75.150000000000006"/>
        <n v="48.489999999999995"/>
        <n v="120.44"/>
        <n v="82.94"/>
        <n v="33.49"/>
        <n v="61.930000000000007"/>
        <n v="131.13"/>
        <n v="421.35"/>
        <n v="85.06"/>
        <n v="123.36"/>
        <n v="111.69"/>
        <n v="49.84"/>
        <n v="239.60000000000002"/>
        <n v="35.06"/>
        <n v="51.15"/>
        <n v="94.82"/>
        <n v="42.95"/>
        <n v="102.1"/>
        <n v="145.96"/>
        <n v="58.43"/>
        <n v="124.56"/>
        <n v="183.06"/>
        <n v="348.39"/>
        <n v="85.259999999999991"/>
        <n v="74.22999999999999"/>
        <n v="82.11"/>
        <n v="58.599999999999994"/>
        <n v="281.96000000000004"/>
        <n v="97.06"/>
        <n v="38.840000000000003"/>
        <n v="151.88"/>
        <n v="166.7"/>
        <n v="63.39"/>
        <n v="67.11"/>
        <n v="41.25"/>
        <n v="30.130000000000003"/>
        <n v="138.56"/>
        <n v="96.21"/>
        <n v="55.92"/>
        <n v="65.97"/>
        <n v="42.510000000000005"/>
        <n v="173.84"/>
        <n v="49.5"/>
        <n v="68.12"/>
        <n v="44.12"/>
        <n v="136.98000000000002"/>
        <n v="50.86"/>
        <n v="75.2"/>
        <n v="52"/>
        <n v="47.69"/>
        <n v="18.86"/>
        <n v="62.13"/>
        <n v="226.68"/>
        <n v="80.28"/>
        <n v="105.46"/>
        <n v="199.96"/>
        <n v="192.56"/>
        <n v="227.34"/>
        <n v="64.22999999999999"/>
        <n v="121.96"/>
        <n v="97.55"/>
        <n v="41.05"/>
        <n v="88.5"/>
        <n v="41.12"/>
        <n v="45.91"/>
        <n v="133.34"/>
        <n v="184.18"/>
        <n v="124.85000000000002"/>
        <n v="60.74"/>
        <n v="69.930000000000007"/>
        <n v="37.950000000000003"/>
        <n v="99.44"/>
        <n v="50.56"/>
        <n v="150.28"/>
        <n v="42.2"/>
        <n v="342.70000000000005"/>
        <n v="149.07"/>
        <n v="109.01"/>
        <n v="45.94"/>
        <n v="61.91"/>
        <n v="41.7"/>
        <n v="36.14"/>
        <n v="52.28"/>
        <n v="94.16"/>
        <n v="105.81"/>
        <n v="70.38"/>
        <n v="103.7"/>
        <n v="39.67"/>
        <n v="86.32"/>
        <n v="78.64"/>
        <n v="280.48"/>
        <n v="48.81"/>
        <n v="66.89"/>
        <n v="37.049999999999997"/>
        <n v="34.479999999999997"/>
        <n v="64.12"/>
        <n v="171.38"/>
        <n v="138.82"/>
        <n v="90.98"/>
        <n v="47.67"/>
        <n v="38.15"/>
        <n v="51.99"/>
        <n v="101.38"/>
        <n v="51.74"/>
        <n v="69.64"/>
        <n v="64.47999999999999"/>
        <n v="182.4"/>
        <n v="154.77000000000001"/>
        <n v="47.24"/>
        <n v="96.14"/>
        <n v="42.86"/>
        <n v="250.39999999999998"/>
        <n v="161.9"/>
        <n v="43.64"/>
        <n v="36.43"/>
        <n v="55.629999999999995"/>
        <n v="128.46"/>
        <n v="108"/>
        <n v="51.58"/>
        <n v="70.52"/>
        <n v="167.19"/>
        <n v="76.489999999999995"/>
        <n v="270.88"/>
        <n v="47.38"/>
        <n v="57.16"/>
        <n v="80.58"/>
        <n v="94.96"/>
        <n v="74.710000000000008"/>
        <n v="80.599999999999994"/>
        <n v="109.38"/>
        <n v="121.64"/>
        <n v="62.49"/>
        <n v="169.60000000000002"/>
        <n v="161.08000000000001"/>
        <n v="51.59"/>
        <n v="137.52000000000001"/>
        <n v="38.619999999999997"/>
        <n v="51.78"/>
        <n v="190.60000000000002"/>
        <n v="118.94"/>
        <n v="32.04"/>
        <n v="90.56"/>
        <n v="107.36"/>
        <n v="50.53"/>
        <n v="47.870000000000005"/>
        <n v="49.38"/>
        <n v="116.96999999999997"/>
        <n v="40.21"/>
        <n v="64.94"/>
        <n v="90.74"/>
        <n v="140.46"/>
        <n v="86.53"/>
        <n v="46.35"/>
        <n v="94.72"/>
        <n v="141.72"/>
        <n v="95.68"/>
        <n v="44"/>
        <n v="51.11"/>
        <n v="49.99"/>
        <n v="106.4"/>
        <n v="36.57"/>
        <n v="239.26"/>
        <n v="86.94"/>
        <n v="53.03"/>
        <n v="62.99"/>
        <n v="54.74"/>
        <n v="103.05"/>
        <n v="67.099999999999994"/>
        <n v="64.239999999999995"/>
        <n v="116.03"/>
        <n v="132.52000000000001"/>
        <n v="96.41"/>
        <n v="87.11"/>
        <n v="266.04000000000002"/>
        <n v="36.6"/>
        <n v="184.46"/>
        <n v="44.4"/>
        <n v="95.02"/>
        <n v="87.18"/>
        <n v="116.04"/>
        <n v="91.96"/>
        <n v="64.099999999999994"/>
        <n v="184.48000000000002"/>
        <n v="298.14"/>
        <n v="57.37"/>
        <n v="236.88"/>
        <n v="62.44"/>
        <n v="72.459999999999994"/>
        <n v="42.74"/>
        <n v="45.459999999999994"/>
        <n v="50.91"/>
        <n v="67.91"/>
        <n v="77.45"/>
        <n v="71.87"/>
        <n v="89.66"/>
        <n v="92.12"/>
        <n v="213.8"/>
        <n v="49.9"/>
        <n v="89.72999999999999"/>
        <n v="122.38"/>
        <n v="169.5"/>
        <n v="206.16"/>
        <n v="38.549999999999997"/>
        <n v="317.24"/>
        <n v="218.66"/>
        <n v="57.680000000000007"/>
        <n v="338.72"/>
        <n v="38.700000000000003"/>
        <n v="243.6"/>
        <n v="74.02"/>
        <n v="95.78"/>
        <n v="78.459999999999994"/>
        <n v="41.24"/>
        <n v="50.2"/>
        <n v="126.86000000000001"/>
        <n v="57.48"/>
        <n v="108.22"/>
        <n v="65.98"/>
        <n v="267.55"/>
        <n v="66.5"/>
        <n v="159.21"/>
        <n v="239.08"/>
        <n v="174.69"/>
        <n v="46.269999999999996"/>
        <n v="48.65"/>
        <n v="93.58"/>
        <n v="78.959999999999994"/>
        <n v="127.1"/>
        <n v="162.32"/>
        <n v="195.8"/>
        <n v="78.53"/>
        <n v="54.49"/>
        <n v="56.33"/>
        <n v="193.8"/>
        <n v="39.18"/>
        <n v="207.1"/>
        <n v="63.040000000000006"/>
        <n v="65.87"/>
        <n v="63.84"/>
        <n v="55.74"/>
        <n v="148.72"/>
        <n v="32.89"/>
        <n v="65.709999999999994"/>
        <n v="88.37"/>
        <n v="181.78"/>
        <n v="317.12"/>
        <n v="79.8"/>
        <n v="94.62"/>
        <n v="40.489999999999995"/>
        <n v="72.759999999999991"/>
        <n v="57.49"/>
        <n v="44.67"/>
        <n v="56.05"/>
        <n v="67.5"/>
        <n v="82.55"/>
        <n v="63.24"/>
        <n v="38.68"/>
        <n v="496"/>
        <n v="155.10000000000002"/>
        <n v="46.4"/>
        <n v="375.92"/>
        <n v="59.35"/>
        <n v="41.01"/>
        <n v="102.98"/>
        <n v="82.06"/>
        <n v="98.44"/>
        <n v="52.87"/>
        <n v="179.04"/>
        <n v="51.84"/>
        <n v="160.5"/>
        <n v="64.69"/>
        <n v="143.12"/>
        <n v="52.2"/>
        <n v="48.97"/>
        <n v="66.240000000000009"/>
        <n v="140.45999999999998"/>
        <n v="76.56"/>
        <n v="281.95"/>
        <n v="65.819999999999993"/>
        <n v="78.97999999999999"/>
        <n v="167.12"/>
        <n v="42.49"/>
        <n v="41.76"/>
        <n v="72.400000000000006"/>
        <n v="72.14"/>
        <n v="52.26"/>
        <n v="45.69"/>
        <n v="69.89"/>
        <n v="173.64"/>
        <n v="70"/>
        <n v="37.340000000000003"/>
        <n v="76.64"/>
        <n v="44.75"/>
        <n v="36.790000000000006"/>
        <n v="106.30000000000001"/>
        <n v="42.42"/>
        <n v="88.47"/>
        <n v="61.93"/>
        <n v="57.38"/>
        <n v="45.8"/>
        <n v="59.85"/>
        <n v="63.540000000000006"/>
        <n v="35.44"/>
        <n v="62.34"/>
        <n v="28.64"/>
        <n v="123.12"/>
        <n v="84.11"/>
        <n v="89.16"/>
        <n v="115.36"/>
        <n v="70.760000000000005"/>
        <n v="40.68"/>
        <n v="86.18"/>
        <n v="51.91"/>
        <n v="97.26"/>
        <n v="92.68"/>
        <n v="41.81"/>
        <n v="81.88"/>
        <n v="138.45999999999998"/>
        <n v="87.7"/>
        <n v="38.08"/>
        <n v="28.33"/>
        <n v="92.16"/>
        <n v="286.56"/>
        <n v="36.950000000000003"/>
        <n v="73.64"/>
        <n v="143.6"/>
        <n v="102.02000000000001"/>
        <n v="72.37"/>
        <n v="52.11"/>
        <n v="59.319999999999993"/>
        <n v="77.639999999999986"/>
        <n v="37.729999999999997"/>
        <n v="53.569999999999993"/>
        <n v="114.25999999999999"/>
        <n v="42.03"/>
        <n v="88.94"/>
        <n v="42.73"/>
        <n v="57.180000000000007"/>
        <n v="64.430000000000007"/>
        <n v="64.760000000000005"/>
        <n v="136.9"/>
        <n v="76.430000000000007"/>
        <n v="62.26"/>
        <n v="136.59"/>
        <n v="190.5"/>
        <n v="108.94"/>
        <n v="140.32"/>
        <n v="52.55"/>
        <n v="44.74"/>
        <n v="165.04000000000002"/>
        <n v="45.1"/>
        <n v="130.34"/>
        <n v="62.849999999999994"/>
        <n v="146.39999999999998"/>
        <n v="94.69"/>
        <n v="63.11"/>
        <n v="122.86"/>
        <n v="66.67"/>
        <n v="69.2"/>
        <n v="107.34"/>
        <n v="116.78"/>
        <n v="42.5"/>
        <n v="46.06"/>
        <n v="73.180000000000007"/>
        <n v="388.96"/>
        <n v="156.5"/>
        <n v="50.69"/>
        <n v="70.16"/>
        <n v="115.22"/>
        <n v="169.66"/>
        <n v="39.71"/>
        <n v="43.54"/>
        <n v="46.24"/>
        <n v="266.19"/>
        <n v="67.36"/>
        <n v="85.14"/>
        <n v="48.4"/>
        <n v="31.869999999999997"/>
        <n v="39.94"/>
        <n v="83.98"/>
        <n v="31.840000000000003"/>
        <n v="70.61"/>
        <n v="67.759999999999991"/>
        <n v="67.12"/>
        <n v="119.08000000000001"/>
        <n v="49.07"/>
        <n v="50.59"/>
        <n v="80.41"/>
        <n v="161.92000000000002"/>
        <n v="45.32"/>
        <n v="117.62"/>
        <n v="61.22"/>
        <n v="130.13999999999999"/>
        <n v="44.519999999999996"/>
        <n v="47.48"/>
        <n v="44.47"/>
        <n v="122.4"/>
        <n v="71.72"/>
        <n v="55.39"/>
        <n v="46.95"/>
        <n v="265.98"/>
        <n v="34.22"/>
        <n v="63.89"/>
        <n v="40.53"/>
        <n v="56.6"/>
        <n v="49.33"/>
        <n v="63.7"/>
        <n v="40.78"/>
        <n v="350.34000000000003"/>
        <n v="62.58"/>
        <n v="39.200000000000003"/>
        <n v="158.72999999999999"/>
        <n v="72.900000000000006"/>
        <n v="48.77"/>
        <n v="109.72"/>
        <n v="144.81"/>
        <n v="68.78"/>
        <n v="164.8"/>
        <n v="294.54999999999995"/>
        <n v="121.30000000000001"/>
        <n v="48.01"/>
        <n v="179.94"/>
        <n v="81.81"/>
        <n v="39"/>
        <n v="88.4"/>
        <n v="133.88"/>
        <n v="116.13"/>
        <n v="38.83"/>
        <n v="51.03"/>
        <n v="101.55"/>
        <n v="54.31"/>
        <n v="51.87"/>
        <n v="90.32"/>
        <n v="63.08"/>
        <n v="72.08"/>
        <n v="44.01"/>
        <n v="47.819999999999993"/>
        <n v="188.08"/>
        <n v="67.72999999999999"/>
        <n v="51.13"/>
        <n v="64.19"/>
        <n v="135.34"/>
        <n v="70.209999999999994"/>
        <n v="47.95"/>
        <n v="121.62"/>
        <n v="60.13"/>
        <n v="82.28"/>
        <n v="43.14"/>
        <n v="50.239999999999995"/>
        <n v="94.56"/>
        <n v="79.45"/>
        <n v="162.93"/>
        <n v="39.25"/>
        <n v="176.16"/>
        <n v="59.9"/>
        <n v="38.46"/>
        <n v="145.28"/>
        <n v="70.55"/>
        <n v="38.74"/>
        <n v="32.94"/>
        <n v="54.21"/>
        <n v="54"/>
        <n v="32.57"/>
        <n v="72.680000000000007"/>
        <n v="142.80000000000001"/>
        <n v="35.56"/>
        <n v="64.84"/>
        <n v="192.14"/>
        <n v="56.72"/>
        <n v="109.13"/>
        <n v="63.5"/>
        <n v="61.43"/>
        <n v="42.3"/>
        <n v="64.02000000000001"/>
        <n v="95.82"/>
        <n v="101.02"/>
        <n v="47.83"/>
        <n v="112.98"/>
        <n v="49.2"/>
        <n v="114.52"/>
        <n v="123.34"/>
        <n v="39.07"/>
        <n v="360.55"/>
        <n v="75.86"/>
        <n v="283.44"/>
        <n v="197.34"/>
        <n v="253.53000000000003"/>
        <n v="46.26"/>
        <n v="58.7"/>
        <n v="71.400000000000006"/>
        <n v="69.45"/>
        <n v="163"/>
        <n v="51.150000000000006"/>
        <n v="191.94"/>
        <n v="50.92"/>
        <n v="47.41"/>
        <n v="188.32"/>
        <n v="78.819999999999993"/>
        <n v="139.62"/>
        <n v="432.55"/>
        <n v="32.630000000000003"/>
        <n v="188.5"/>
        <n v="81.599999999999994"/>
        <n v="46.67"/>
        <n v="45.16"/>
        <n v="75.47"/>
        <n v="76.459999999999994"/>
        <n v="43.43"/>
        <n v="133.22"/>
        <n v="116.42"/>
        <n v="67.92"/>
        <n v="220.32"/>
        <n v="121.22"/>
        <n v="53.55"/>
        <n v="34.630000000000003"/>
        <n v="192.68"/>
        <n v="49.16"/>
        <n v="157.45999999999998"/>
        <n v="70.45"/>
        <n v="33.71"/>
        <n v="90.3"/>
        <n v="86.9"/>
        <n v="58.879999999999995"/>
        <n v="102.22"/>
        <n v="198.8"/>
        <n v="81.66"/>
        <n v="86.210000000000008"/>
        <n v="297.12"/>
        <n v="165.78"/>
        <n v="93.38"/>
        <n v="240.09"/>
        <n v="46.22"/>
        <n v="34.049999999999997"/>
        <n v="52.97"/>
        <n v="56.52"/>
        <n v="185.46"/>
        <n v="78.430000000000007"/>
        <n v="145.32"/>
        <n v="159.42000000000002"/>
        <n v="86.97"/>
        <n v="336.9"/>
        <n v="81.8"/>
        <n v="193.84"/>
        <n v="133.44"/>
        <n v="116.8"/>
        <n v="81.900000000000006"/>
        <n v="138.34"/>
        <n v="47.36"/>
        <n v="68.430000000000007"/>
        <n v="153.6"/>
        <n v="118.76"/>
        <n v="38.82"/>
        <n v="74.900000000000006"/>
        <n v="102.93"/>
        <n v="54.34"/>
        <n v="136.26"/>
        <n v="74.12"/>
        <n v="153.71999999999997"/>
        <n v="52.8"/>
        <n v="43.88"/>
        <n v="55.489999999999995"/>
        <n v="202.20000000000002"/>
        <n v="109.24000000000001"/>
        <n v="130.44"/>
        <n v="49.69"/>
        <n v="63.91"/>
        <n v="256"/>
        <n v="56.28"/>
        <n v="36.729999999999997"/>
        <n v="118.6"/>
        <n v="90.7"/>
        <n v="142.19999999999999"/>
        <n v="130.62"/>
        <n v="264.02999999999997"/>
        <n v="80.150000000000006"/>
        <n v="52.24"/>
        <n v="99.24"/>
        <n v="61.56"/>
        <n v="154.02000000000001"/>
        <n v="211.52"/>
        <n v="42.85"/>
        <n v="56.19"/>
        <n v="43.36"/>
        <n v="107.8"/>
        <n v="63.62"/>
        <n v="44.33"/>
        <n v="140.69999999999999"/>
        <n v="42.58"/>
        <n v="82.95"/>
        <n v="61.82"/>
        <n v="276.20000000000005"/>
        <n v="212.82"/>
        <n v="38.520000000000003"/>
        <n v="53.85"/>
        <n v="179.12"/>
        <n v="284.34000000000003"/>
        <n v="125.1"/>
        <n v="48.41"/>
        <n v="42.31"/>
        <n v="45.97"/>
        <n v="65.180000000000007"/>
        <n v="45.82"/>
        <n v="40.22"/>
        <n v="76.3"/>
        <n v="195.36"/>
        <n v="46.18"/>
        <n v="106.86"/>
        <n v="232.98"/>
        <n v="148.22"/>
        <n v="45.66"/>
        <n v="71.460000000000008"/>
        <n v="42.26"/>
        <n v="166.44"/>
        <n v="141.41999999999999"/>
        <n v="214.92000000000002"/>
        <n v="69.180000000000007"/>
        <n v="258.95000000000005"/>
        <n v="96.34"/>
        <n v="41.14"/>
        <n v="129.66"/>
        <n v="97.77"/>
        <n v="38.909999999999997"/>
        <n v="117.08000000000001"/>
        <n v="225.46"/>
        <n v="202"/>
        <n v="56.37"/>
        <n v="180.75"/>
        <n v="51.18"/>
        <n v="49"/>
        <n v="145.08000000000001"/>
        <n v="83.64"/>
        <n v="119.72999999999999"/>
        <n v="128.96"/>
        <n v="161.02000000000001"/>
        <n v="51.64"/>
        <n v="67.05"/>
        <n v="65.900000000000006"/>
        <n v="277.2"/>
        <n v="197.73"/>
        <n v="132.07999999999998"/>
        <n v="222.34"/>
        <n v="58.94"/>
        <n v="38.020000000000003"/>
        <n v="60.870000000000005"/>
        <n v="49.260000000000005"/>
        <n v="171.28"/>
        <n v="58.629999999999995"/>
        <n v="180.35999999999999"/>
        <n v="322.8"/>
        <n v="28.810000000000002"/>
        <n v="105.49"/>
        <n v="66.47999999999999"/>
        <n v="34.659999999999997"/>
        <n v="128.76"/>
        <n v="203.36"/>
        <n v="170"/>
        <n v="35.18"/>
        <n v="47.51"/>
        <n v="48.31"/>
        <n v="65.12"/>
        <n v="86.08"/>
        <n v="75.92"/>
        <n v="51.4"/>
        <n v="56.96"/>
        <n v="175.32"/>
        <n v="67.740000000000009"/>
        <n v="307.8"/>
        <n v="67.86"/>
        <n v="109.46"/>
        <n v="67.710000000000008"/>
        <n v="122.16"/>
        <n v="58.46"/>
        <n v="59.49"/>
        <n v="124.05000000000001"/>
        <n v="73.3"/>
        <n v="120.02"/>
        <n v="33.58"/>
        <n v="51.14"/>
        <n v="74.81"/>
        <n v="116.62"/>
        <n v="47.43"/>
        <n v="130.52000000000001"/>
        <n v="105.54"/>
        <n v="72.23"/>
        <n v="56.25"/>
        <n v="41.2"/>
        <n v="167.04"/>
        <n v="60.42"/>
        <n v="43.06"/>
        <n v="182.85000000000002"/>
        <n v="74.34"/>
        <n v="123.02000000000001"/>
        <n v="92.91"/>
        <n v="46.14"/>
        <n v="59.29"/>
        <n v="38.53"/>
        <n v="68.8"/>
        <n v="110.2"/>
        <n v="30.159999999999997"/>
        <n v="69.62"/>
        <n v="67.960000000000008"/>
        <n v="69.010000000000005"/>
        <n v="44.2"/>
        <n v="26.840000000000003"/>
        <n v="55.76"/>
        <n v="198.09"/>
        <n v="50.81"/>
        <n v="85.12"/>
        <n v="70.930000000000007"/>
        <n v="39.619999999999997"/>
        <n v="220.04"/>
        <n v="182"/>
        <n v="41.49"/>
        <n v="76.069999999999993"/>
        <n v="395.08"/>
        <n v="62.96"/>
        <n v="91.140000000000015"/>
        <n v="66.66"/>
        <n v="53.92"/>
        <n v="20"/>
        <n v="64.47"/>
        <n v="48.84"/>
        <n v="214.05"/>
        <n v="55.25"/>
        <n v="229.06"/>
        <n v="67.58"/>
        <n v="86.95"/>
        <n v="28.6"/>
        <n v="141.60000000000002"/>
        <n v="43.55"/>
        <n v="74.22"/>
        <n v="220.22"/>
        <n v="91.93"/>
        <n v="54.71"/>
        <n v="38.93"/>
        <n v="108.6"/>
        <n v="33.96"/>
        <n v="172"/>
        <n v="78.510000000000005"/>
        <n v="47.1"/>
        <n v="136.28"/>
        <n v="112.44"/>
        <n v="71.7"/>
        <n v="47.79"/>
        <n v="49.89"/>
        <n v="59.97"/>
        <n v="62.08"/>
        <n v="84.31"/>
        <n v="49.78"/>
        <n v="103.44"/>
        <n v="348.32"/>
        <n v="44.73"/>
        <n v="215.04000000000002"/>
        <n v="179.76"/>
        <n v="24.21"/>
        <n v="53.94"/>
        <n v="136.68"/>
        <n v="124.75999999999999"/>
        <n v="107.62"/>
        <n v="76.61"/>
        <n v="41.71"/>
        <n v="68.94"/>
        <n v="129.19999999999999"/>
        <n v="207.06"/>
        <n v="41.63"/>
        <n v="127.46000000000001"/>
        <n v="89.43"/>
        <n v="54.790000000000006"/>
        <n v="68.88"/>
        <n v="166.74"/>
        <n v="39.590000000000003"/>
        <n v="65.19"/>
        <n v="116.25999999999999"/>
        <n v="142.39999999999998"/>
        <n v="210.75"/>
        <n v="128.13"/>
        <n v="133.12"/>
        <n v="70.22"/>
        <n v="39.51"/>
        <n v="215.28"/>
        <n v="220.38"/>
        <n v="187.96"/>
        <n v="41.96"/>
        <n v="145.72"/>
        <n v="37.58"/>
        <n v="130.02000000000001"/>
        <n v="60.03"/>
        <n v="85.6"/>
        <n v="40.99"/>
        <n v="42.05"/>
        <n v="60.23"/>
        <n v="89.48"/>
        <n v="72.59"/>
        <n v="73.22"/>
        <n v="189.93"/>
        <n v="64.78"/>
        <n v="43.430000000000007"/>
        <n v="43.33"/>
        <n v="87.14"/>
        <n v="39.549999999999997"/>
        <n v="308.24"/>
        <n v="78.960000000000008"/>
        <n v="91.85"/>
        <n v="243.72000000000003"/>
        <n v="225.51"/>
        <n v="287.58"/>
        <n v="90.25"/>
        <n v="47.62"/>
        <n v="67.31"/>
        <n v="127.82"/>
        <n v="94.08"/>
        <n v="185.76"/>
        <n v="83.32"/>
        <n v="34.76"/>
        <n v="166.98"/>
        <n v="76.84"/>
        <n v="89.54"/>
        <n v="89"/>
        <n v="55.98"/>
        <n v="64.009999999999991"/>
        <n v="71.819999999999993"/>
        <n v="52.42"/>
        <n v="147.63"/>
        <n v="223.44"/>
        <n v="43.56"/>
        <n v="51.88"/>
        <n v="95.86"/>
        <n v="44.91"/>
        <n v="135.66"/>
        <n v="97.2"/>
        <n v="71.5"/>
        <n v="68.63"/>
        <n v="38.340000000000003"/>
        <n v="59.2"/>
        <n v="52.14"/>
        <n v="44.53"/>
        <n v="54.61"/>
        <n v="30.04"/>
        <n v="166.8"/>
        <n v="135.94"/>
        <n v="86.04"/>
        <n v="136.36000000000001"/>
        <n v="38.31"/>
        <n v="72.8"/>
        <n v="153.12"/>
        <n v="44.55"/>
        <n v="48.7"/>
        <n v="98.4"/>
        <n v="55.78"/>
        <n v="73.900000000000006"/>
        <n v="190.62"/>
        <n v="132.06"/>
        <n v="137.95999999999998"/>
        <n v="81.05"/>
        <n v="94.5"/>
        <n v="65.150000000000006"/>
        <n v="177.78"/>
        <n v="71.760000000000005"/>
        <n v="152.88"/>
        <n v="232.36"/>
        <n v="78.23"/>
        <n v="203.84"/>
        <n v="36.520000000000003"/>
        <n v="220.16"/>
        <n v="41.08"/>
        <n v="152.04000000000002"/>
        <n v="42.91"/>
        <n v="56.87"/>
        <n v="90.42"/>
        <n v="96.83"/>
        <n v="19.729999999999997"/>
        <n v="39.739999999999995"/>
        <n v="85.35"/>
        <n v="121.25999999999999"/>
        <n v="120.14"/>
        <n v="90.52"/>
        <n v="51.56"/>
        <n v="32.36"/>
        <n v="93.919999999999987"/>
        <n v="152.4"/>
        <n v="271.88"/>
        <n v="117.08"/>
        <n v="52.15"/>
        <n v="41.29"/>
        <n v="190.76"/>
        <n v="46.37"/>
        <n v="103.92"/>
        <n v="242.2"/>
        <n v="76.7"/>
        <n v="128.67000000000002"/>
        <n v="33.69"/>
        <n v="41.44"/>
        <n v="47.9"/>
        <n v="223.8"/>
        <n v="61.16"/>
        <n v="104.99"/>
        <n v="104.88"/>
        <n v="37.78"/>
        <n v="56.27"/>
        <n v="50.22"/>
        <n v="75.8"/>
        <n v="211.44"/>
        <n v="62.83"/>
        <n v="37.760000000000005"/>
        <n v="104.36"/>
        <n v="216.72"/>
        <n v="184.56"/>
        <n v="107.25999999999999"/>
        <n v="53.07"/>
        <n v="194.52"/>
        <n v="69.400000000000006"/>
        <n v="84.95"/>
        <n v="104.14"/>
        <n v="44.72"/>
        <n v="56.97"/>
        <n v="51.5"/>
        <n v="88.95"/>
        <n v="127"/>
        <n v="132.18"/>
        <n v="119.46000000000001"/>
        <n v="82.21"/>
        <n v="109.22"/>
        <n v="157.30000000000001"/>
        <n v="32.32"/>
        <n v="90.12"/>
        <n v="53.29"/>
        <n v="35.03"/>
        <n v="470.70000000000005"/>
        <n v="32.1"/>
        <n v="128.63999999999999"/>
        <n v="85.46"/>
        <n v="23.619999999999997"/>
        <n v="63.53"/>
        <n v="97.98"/>
        <n v="209.54999999999998"/>
        <n v="101.34"/>
        <n v="59.24"/>
        <n v="152.30000000000001"/>
        <n v="122.14"/>
        <n v="91.49"/>
        <n v="99.76"/>
        <n v="152.84"/>
        <n v="81.38"/>
        <n v="173.54000000000002"/>
        <n v="258.2"/>
        <n v="266.94"/>
        <n v="73.92"/>
        <n v="54.02"/>
        <n v="232.68"/>
        <n v="96.5"/>
        <n v="72.209999999999994"/>
        <n v="71.84"/>
        <n v="287.64"/>
        <n v="80.680000000000007"/>
        <n v="84.64"/>
        <n v="112.5"/>
        <n v="149.46"/>
        <n v="82.64"/>
        <n v="41.84"/>
        <n v="44.82"/>
        <n v="139.68"/>
        <n v="130.53"/>
        <n v="40.28"/>
        <n v="184.41"/>
        <n v="107.98"/>
        <n v="53.84"/>
        <n v="58.96"/>
        <n v="265.88"/>
        <n v="45.3"/>
        <n v="91.72"/>
        <n v="72.760000000000005"/>
        <n v="125.94"/>
        <n v="91.36"/>
        <n v="188.2"/>
        <n v="86.01"/>
        <n v="108.08"/>
        <n v="209.05"/>
        <n v="222.04999999999998"/>
        <n v="55.33"/>
        <n v="90.64"/>
        <n v="76.69"/>
        <n v="110.07"/>
        <n v="83.47999999999999"/>
        <n v="161.74"/>
        <n v="68.08"/>
        <n v="356.56"/>
        <n v="26.729999999999997"/>
        <n v="62.86"/>
        <n v="261.48"/>
        <n v="60.349999999999994"/>
        <n v="108.72"/>
        <n v="216.99"/>
        <n v="54.900000000000006"/>
        <n v="187.89999999999998"/>
        <n v="66.34"/>
        <n v="148.16"/>
        <n v="146.07"/>
        <n v="54.91"/>
        <n v="110.25"/>
        <n v="34.950000000000003"/>
        <n v="58.2"/>
        <n v="88.67"/>
        <n v="62.61"/>
        <n v="61.900000000000006"/>
        <n v="188.26"/>
        <n v="55.459999999999994"/>
        <n v="50.37"/>
        <n v="158.02000000000001"/>
        <n v="94.35"/>
        <n v="135.06"/>
        <n v="20.11"/>
        <n v="79.63"/>
        <n v="63.82"/>
        <n v="129.04000000000002"/>
        <n v="41.31"/>
        <n v="90.14"/>
        <n v="119.6"/>
        <n v="60.25"/>
        <n v="65.930000000000007"/>
        <n v="41.59"/>
        <n v="47.04"/>
        <n v="48.17"/>
        <n v="174.93"/>
        <n v="109.18"/>
        <n v="91.3"/>
        <n v="271.24"/>
        <n v="57.09"/>
        <n v="142.97999999999999"/>
        <n v="63"/>
        <n v="162.4"/>
        <n v="100.04"/>
        <n v="61.11"/>
        <n v="44.400000000000006"/>
        <n v="219.87"/>
        <n v="75.88"/>
        <n v="39.93"/>
        <n v="63.1"/>
        <n v="65.569999999999993"/>
        <n v="89.5"/>
        <n v="82.34"/>
        <n v="42.07"/>
        <n v="51.24"/>
        <n v="61.54"/>
        <n v="36.25"/>
        <n v="60.27"/>
        <n v="100.6"/>
        <n v="52.59"/>
        <n v="44.49"/>
        <n v="55.68"/>
        <n v="101.4"/>
        <n v="58.51"/>
        <n v="56.38"/>
        <n v="98.02"/>
        <n v="124.92"/>
        <n v="56.24"/>
        <n v="77.459999999999994"/>
        <n v="36.32"/>
        <n v="463.64"/>
        <n v="45.44"/>
        <n v="90.01"/>
        <n v="185.3"/>
        <n v="96.460000000000008"/>
        <n v="151.66"/>
        <n v="57.36"/>
        <n v="45.209999999999994"/>
        <n v="65.459999999999994"/>
        <n v="86.91"/>
        <n v="170.52"/>
        <n v="50.66"/>
        <n v="109.53999999999999"/>
        <n v="43.63"/>
        <n v="59.15"/>
        <n v="225.95000000000002"/>
        <n v="88.15"/>
        <n v="89.09"/>
        <n v="110.91999999999999"/>
        <n v="126.98"/>
        <n v="45.36"/>
        <n v="83.9"/>
        <n v="77.31"/>
        <n v="37.89"/>
        <n v="75.5"/>
        <n v="60.180000000000007"/>
        <n v="156.27000000000001"/>
        <n v="94.98"/>
        <n v="49.730000000000004"/>
        <n v="76.849999999999994"/>
        <n v="48.67"/>
        <n v="61.14"/>
        <n v="47.49"/>
        <n v="100.28"/>
        <n v="53.58"/>
        <n v="139.06"/>
        <n v="102.32"/>
        <n v="176.76"/>
        <n v="48.35"/>
        <n v="32.020000000000003"/>
        <n v="71.38"/>
        <n v="89.12"/>
        <n v="97.44"/>
        <n v="169.84"/>
        <n v="67.97"/>
        <n v="70.98"/>
        <n v="39.65"/>
        <n v="101.7"/>
        <n v="196.29"/>
        <n v="141"/>
        <n v="116.55000000000001"/>
        <n v="47.75"/>
        <n v="54.41"/>
        <n v="60.93"/>
        <n v="50.97"/>
        <n v="46.28"/>
        <n v="53.13"/>
        <n v="91.87"/>
        <n v="60.69"/>
        <n v="67.41"/>
        <n v="128.82"/>
        <n v="72.33"/>
        <n v="74.819999999999993"/>
        <n v="59.38"/>
        <n v="94.1"/>
        <n v="57"/>
        <n v="52.29"/>
        <n v="68.34"/>
        <n v="41.89"/>
        <n v="47.28"/>
        <n v="128.86000000000001"/>
        <n v="121.59"/>
        <n v="200.07"/>
        <n v="58.35"/>
        <n v="95.539999999999992"/>
        <n v="90.81"/>
        <n v="161.22"/>
        <n v="377.84"/>
        <n v="76.89"/>
        <n v="138.01999999999998"/>
        <n v="58.1"/>
        <n v="120.94"/>
        <n v="64.989999999999995"/>
        <n v="255.45"/>
        <n v="152.72999999999999"/>
        <n v="63.03"/>
        <n v="59.93"/>
        <n v="149.5"/>
        <n v="31.86"/>
        <n v="59.78"/>
      </sharedItems>
    </cacheField>
    <cacheField name="Year" numFmtId="1">
      <sharedItems containsSemiMixedTypes="0" containsString="0" containsNumber="1" containsInteger="1" minValue="2024" maxValue="2024" count="1">
        <n v="2024"/>
      </sharedItems>
    </cacheField>
    <cacheField name="Month Number" numFmtId="1">
      <sharedItems containsSemiMixedTypes="0" containsString="0" containsNumber="1" containsInteger="1" minValue="1" maxValue="12" count="12">
        <n v="9"/>
        <n v="8"/>
        <n v="1"/>
        <n v="2"/>
        <n v="6"/>
        <n v="3"/>
        <n v="5"/>
        <n v="7"/>
        <n v="4"/>
        <n v="12"/>
        <n v="10"/>
        <n v="11"/>
      </sharedItems>
    </cacheField>
    <cacheField name="Month" numFmtId="0">
      <sharedItems count="12">
        <s v="Sep"/>
        <s v="Aug"/>
        <s v="Jan"/>
        <s v="Feb"/>
        <s v="Jun"/>
        <s v="Mar"/>
        <s v="May"/>
        <s v="Jul"/>
        <s v="Apr"/>
        <s v="Dec"/>
        <s v="Oct"/>
        <s v="Nov"/>
      </sharedItems>
    </cacheField>
    <cacheField name="Day" numFmtId="0">
      <sharedItems/>
    </cacheField>
  </cacheFields>
  <extLst>
    <ext xmlns:x14="http://schemas.microsoft.com/office/spreadsheetml/2009/9/main" uri="{725AE2AE-9491-48be-B2B4-4EB974FC3084}">
      <x14:pivotCacheDefinition pivotCacheId="182089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s v="TXN-00001"/>
    <d v="2024-09-18T00:00:00"/>
    <d v="1899-12-30T10:20:00"/>
    <s v="Simran Gupta"/>
    <s v="CUST0310"/>
    <x v="0"/>
    <x v="0"/>
    <x v="0"/>
    <s v="Hot"/>
    <s v="Unknown"/>
    <n v="2"/>
    <n v="130"/>
    <n v="0"/>
    <n v="260"/>
    <n v="260"/>
    <x v="0"/>
    <x v="0"/>
    <x v="0"/>
    <x v="0"/>
    <x v="0"/>
    <x v="0"/>
    <n v="233"/>
    <n v="56"/>
    <x v="0"/>
    <x v="0"/>
    <x v="0"/>
    <x v="0"/>
    <n v="260"/>
    <x v="0"/>
    <n v="260"/>
    <x v="0"/>
    <x v="0"/>
    <x v="0"/>
    <x v="0"/>
    <x v="0"/>
    <s v="Wednesday"/>
  </r>
  <r>
    <s v="TXN-00002"/>
    <d v="2024-08-13T00:00:00"/>
    <d v="1899-12-30T17:15:00"/>
    <s v="Sneha Kaur"/>
    <s v="CUST0395"/>
    <x v="1"/>
    <x v="1"/>
    <x v="1"/>
    <s v="Food"/>
    <s v="Medium"/>
    <n v="1"/>
    <n v="115"/>
    <n v="0.05"/>
    <n v="115"/>
    <n v="109.25"/>
    <x v="0"/>
    <x v="0"/>
    <x v="0"/>
    <x v="1"/>
    <x v="0"/>
    <x v="1"/>
    <n v="304"/>
    <n v="34"/>
    <x v="1"/>
    <x v="1"/>
    <x v="1"/>
    <x v="1"/>
    <n v="115"/>
    <x v="1"/>
    <n v="109.25"/>
    <x v="1"/>
    <x v="1"/>
    <x v="0"/>
    <x v="1"/>
    <x v="1"/>
    <s v="Tuesday"/>
  </r>
  <r>
    <s v="TXN-00003"/>
    <d v="2024-01-02T00:00:00"/>
    <d v="1899-12-30T10:00:00"/>
    <s v="Sahil Singh"/>
    <s v="CUST0330"/>
    <x v="2"/>
    <x v="2"/>
    <x v="1"/>
    <s v="Food"/>
    <s v="Medium"/>
    <n v="1"/>
    <n v="70"/>
    <n v="0"/>
    <n v="70"/>
    <n v="70"/>
    <x v="1"/>
    <x v="0"/>
    <x v="1"/>
    <x v="2"/>
    <x v="0"/>
    <x v="2"/>
    <n v="237"/>
    <n v="34"/>
    <x v="2"/>
    <x v="2"/>
    <x v="2"/>
    <x v="2"/>
    <n v="70"/>
    <x v="0"/>
    <n v="70"/>
    <x v="2"/>
    <x v="2"/>
    <x v="0"/>
    <x v="2"/>
    <x v="2"/>
    <s v="Tuesday"/>
  </r>
  <r>
    <s v="TXN-00004"/>
    <d v="2024-02-13T00:00:00"/>
    <d v="1899-12-30T09:10:00"/>
    <s v="Rahul Bansal"/>
    <s v="CUST0134"/>
    <x v="2"/>
    <x v="3"/>
    <x v="0"/>
    <s v="Hot"/>
    <s v="Large"/>
    <n v="1"/>
    <n v="120"/>
    <n v="0.1"/>
    <n v="120"/>
    <n v="108"/>
    <x v="0"/>
    <x v="1"/>
    <x v="2"/>
    <x v="3"/>
    <x v="0"/>
    <x v="0"/>
    <n v="162"/>
    <n v="36"/>
    <x v="3"/>
    <x v="3"/>
    <x v="0"/>
    <x v="3"/>
    <n v="120"/>
    <x v="2"/>
    <n v="108"/>
    <x v="3"/>
    <x v="3"/>
    <x v="0"/>
    <x v="3"/>
    <x v="3"/>
    <s v="Tuesday"/>
  </r>
  <r>
    <s v="TXN-00005"/>
    <d v="2024-08-26T00:00:00"/>
    <d v="1899-12-30T19:30:00"/>
    <s v="Sahil Chopra"/>
    <s v="CUST0256"/>
    <x v="1"/>
    <x v="4"/>
    <x v="0"/>
    <s v="Cold"/>
    <s v="Medium"/>
    <n v="1"/>
    <n v="160"/>
    <n v="0.1"/>
    <n v="160"/>
    <n v="144"/>
    <x v="2"/>
    <x v="0"/>
    <x v="2"/>
    <x v="0"/>
    <x v="0"/>
    <x v="3"/>
    <n v="476"/>
    <n v="34"/>
    <x v="4"/>
    <x v="4"/>
    <x v="2"/>
    <x v="0"/>
    <n v="160"/>
    <x v="3"/>
    <n v="144"/>
    <x v="4"/>
    <x v="4"/>
    <x v="0"/>
    <x v="1"/>
    <x v="1"/>
    <s v="Monday"/>
  </r>
  <r>
    <s v="TXN-00006"/>
    <d v="2024-06-17T00:00:00"/>
    <d v="1899-12-30T12:10:00"/>
    <s v="Arjun Chopra"/>
    <s v="CUST0120"/>
    <x v="0"/>
    <x v="5"/>
    <x v="2"/>
    <s v="Hot"/>
    <s v="Small"/>
    <n v="2"/>
    <n v="100"/>
    <n v="0.05"/>
    <n v="200"/>
    <n v="190"/>
    <x v="1"/>
    <x v="0"/>
    <x v="3"/>
    <x v="2"/>
    <x v="0"/>
    <x v="3"/>
    <n v="200"/>
    <n v="34"/>
    <x v="5"/>
    <x v="5"/>
    <x v="3"/>
    <x v="4"/>
    <n v="200"/>
    <x v="4"/>
    <n v="190"/>
    <x v="5"/>
    <x v="5"/>
    <x v="0"/>
    <x v="4"/>
    <x v="4"/>
    <s v="Monday"/>
  </r>
  <r>
    <s v="TXN-00007"/>
    <d v="2024-06-25T00:00:00"/>
    <d v="1899-12-30T16:30:00"/>
    <s v="Rohan Bansal"/>
    <s v="CUST0377"/>
    <x v="1"/>
    <x v="2"/>
    <x v="1"/>
    <s v="Food"/>
    <s v="Small"/>
    <n v="2"/>
    <n v="70"/>
    <n v="0"/>
    <n v="140"/>
    <n v="140"/>
    <x v="0"/>
    <x v="0"/>
    <x v="0"/>
    <x v="1"/>
    <x v="0"/>
    <x v="3"/>
    <n v="159"/>
    <n v="47"/>
    <x v="6"/>
    <x v="6"/>
    <x v="3"/>
    <x v="3"/>
    <n v="140"/>
    <x v="0"/>
    <n v="140"/>
    <x v="6"/>
    <x v="6"/>
    <x v="0"/>
    <x v="4"/>
    <x v="4"/>
    <s v="Tuesday"/>
  </r>
  <r>
    <s v="TXN-00008"/>
    <d v="2024-06-26T00:00:00"/>
    <d v="1899-12-30T14:30:00"/>
    <s v="Meera Malhotra"/>
    <s v="CUST0197"/>
    <x v="3"/>
    <x v="6"/>
    <x v="0"/>
    <s v="Hot"/>
    <s v="Medium"/>
    <n v="2"/>
    <n v="100"/>
    <n v="0.1"/>
    <n v="200"/>
    <n v="180"/>
    <x v="1"/>
    <x v="0"/>
    <x v="2"/>
    <x v="4"/>
    <x v="0"/>
    <x v="4"/>
    <n v="158"/>
    <n v="16"/>
    <x v="7"/>
    <x v="7"/>
    <x v="0"/>
    <x v="2"/>
    <n v="200"/>
    <x v="5"/>
    <n v="180"/>
    <x v="7"/>
    <x v="7"/>
    <x v="0"/>
    <x v="4"/>
    <x v="4"/>
    <s v="Wednesday"/>
  </r>
  <r>
    <s v="TXN-00009"/>
    <d v="2024-03-20T00:00:00"/>
    <d v="1899-12-30T14:10:00"/>
    <s v="Neha Malhotra"/>
    <s v="CUST0395"/>
    <x v="1"/>
    <x v="1"/>
    <x v="1"/>
    <s v="Food"/>
    <s v="Small"/>
    <n v="2"/>
    <n v="120"/>
    <n v="0"/>
    <n v="240"/>
    <n v="240"/>
    <x v="0"/>
    <x v="2"/>
    <x v="1"/>
    <x v="1"/>
    <x v="0"/>
    <x v="4"/>
    <n v="134"/>
    <n v="37"/>
    <x v="8"/>
    <x v="8"/>
    <x v="0"/>
    <x v="0"/>
    <n v="240"/>
    <x v="0"/>
    <n v="240"/>
    <x v="8"/>
    <x v="8"/>
    <x v="0"/>
    <x v="5"/>
    <x v="5"/>
    <s v="Wednesday"/>
  </r>
  <r>
    <s v="TXN-00010"/>
    <d v="2024-05-17T00:00:00"/>
    <d v="1899-12-30T16:50:00"/>
    <s v="Nikhil Gupta"/>
    <s v="CUST0136"/>
    <x v="3"/>
    <x v="7"/>
    <x v="0"/>
    <s v="Hot"/>
    <s v="Small"/>
    <n v="1"/>
    <n v="145"/>
    <n v="0.05"/>
    <n v="145"/>
    <n v="137.75"/>
    <x v="0"/>
    <x v="3"/>
    <x v="4"/>
    <x v="5"/>
    <x v="0"/>
    <x v="3"/>
    <n v="352"/>
    <n v="33"/>
    <x v="9"/>
    <x v="9"/>
    <x v="4"/>
    <x v="3"/>
    <n v="145"/>
    <x v="6"/>
    <n v="137.75"/>
    <x v="9"/>
    <x v="9"/>
    <x v="0"/>
    <x v="6"/>
    <x v="6"/>
    <s v="Friday"/>
  </r>
  <r>
    <s v="TXN-00011"/>
    <d v="2024-07-04T00:00:00"/>
    <d v="1899-12-30T21:10:00"/>
    <s v="Kavya Verma"/>
    <s v="CUST0394"/>
    <x v="3"/>
    <x v="7"/>
    <x v="0"/>
    <s v="Hot"/>
    <s v="Medium"/>
    <n v="1"/>
    <n v="145"/>
    <n v="0"/>
    <n v="145"/>
    <n v="145"/>
    <x v="1"/>
    <x v="0"/>
    <x v="1"/>
    <x v="1"/>
    <x v="0"/>
    <x v="3"/>
    <n v="403"/>
    <n v="52"/>
    <x v="10"/>
    <x v="10"/>
    <x v="2"/>
    <x v="4"/>
    <n v="145"/>
    <x v="0"/>
    <n v="145"/>
    <x v="10"/>
    <x v="10"/>
    <x v="0"/>
    <x v="7"/>
    <x v="7"/>
    <s v="Thursday"/>
  </r>
  <r>
    <s v="TXN-00012"/>
    <d v="2024-09-30T00:00:00"/>
    <d v="1899-12-30T08:50:00"/>
    <s v="Isha Chopra"/>
    <s v="CUST0312"/>
    <x v="3"/>
    <x v="8"/>
    <x v="0"/>
    <s v="Cold"/>
    <s v="Medium"/>
    <n v="1"/>
    <n v="160"/>
    <n v="0.05"/>
    <n v="160"/>
    <n v="152"/>
    <x v="2"/>
    <x v="2"/>
    <x v="0"/>
    <x v="6"/>
    <x v="0"/>
    <x v="4"/>
    <n v="99"/>
    <n v="12"/>
    <x v="11"/>
    <x v="11"/>
    <x v="3"/>
    <x v="3"/>
    <n v="160"/>
    <x v="7"/>
    <n v="152"/>
    <x v="11"/>
    <x v="11"/>
    <x v="0"/>
    <x v="0"/>
    <x v="0"/>
    <s v="Monday"/>
  </r>
  <r>
    <s v="TXN-00013"/>
    <d v="2024-04-05T00:00:00"/>
    <d v="1899-12-30T18:45:00"/>
    <s v="Riya Sharma"/>
    <s v="CUST0328"/>
    <x v="3"/>
    <x v="9"/>
    <x v="2"/>
    <s v="Hot"/>
    <s v="Large"/>
    <n v="3"/>
    <n v="75"/>
    <n v="0.05"/>
    <n v="225"/>
    <n v="213.75"/>
    <x v="0"/>
    <x v="0"/>
    <x v="5"/>
    <x v="3"/>
    <x v="0"/>
    <x v="1"/>
    <n v="435"/>
    <n v="44"/>
    <x v="12"/>
    <x v="12"/>
    <x v="1"/>
    <x v="4"/>
    <n v="225"/>
    <x v="8"/>
    <n v="213.75"/>
    <x v="12"/>
    <x v="12"/>
    <x v="0"/>
    <x v="8"/>
    <x v="8"/>
    <s v="Friday"/>
  </r>
  <r>
    <s v="TXN-00014"/>
    <d v="2024-04-20T00:00:00"/>
    <d v="1899-12-30T10:50:00"/>
    <s v="Rohan Malhotra"/>
    <s v="CUST0155"/>
    <x v="3"/>
    <x v="0"/>
    <x v="0"/>
    <s v="Hot"/>
    <s v="Small"/>
    <n v="2"/>
    <n v="140"/>
    <n v="0.05"/>
    <n v="280"/>
    <n v="266"/>
    <x v="1"/>
    <x v="1"/>
    <x v="4"/>
    <x v="6"/>
    <x v="0"/>
    <x v="1"/>
    <n v="77"/>
    <n v="18"/>
    <x v="13"/>
    <x v="13"/>
    <x v="0"/>
    <x v="3"/>
    <n v="280"/>
    <x v="9"/>
    <n v="266"/>
    <x v="13"/>
    <x v="13"/>
    <x v="0"/>
    <x v="8"/>
    <x v="8"/>
    <s v="Saturday"/>
  </r>
  <r>
    <s v="TXN-00015"/>
    <d v="2024-05-29T00:00:00"/>
    <d v="1899-12-30T16:20:00"/>
    <s v="Pooja Kaur"/>
    <s v="CUST0197"/>
    <x v="2"/>
    <x v="10"/>
    <x v="1"/>
    <s v="Food"/>
    <s v="Large"/>
    <n v="1"/>
    <n v="95"/>
    <n v="0.1"/>
    <n v="95"/>
    <n v="85.5"/>
    <x v="0"/>
    <x v="2"/>
    <x v="0"/>
    <x v="3"/>
    <x v="1"/>
    <x v="4"/>
    <n v="206"/>
    <n v="40"/>
    <x v="14"/>
    <x v="14"/>
    <x v="0"/>
    <x v="0"/>
    <n v="95"/>
    <x v="10"/>
    <n v="85.5"/>
    <x v="14"/>
    <x v="14"/>
    <x v="0"/>
    <x v="6"/>
    <x v="6"/>
    <s v="Wednesday"/>
  </r>
  <r>
    <s v="TXN-00016"/>
    <d v="2024-03-20T00:00:00"/>
    <d v="1899-12-30T10:15:00"/>
    <s v="Riya Kapoor"/>
    <s v="CUST0192"/>
    <x v="0"/>
    <x v="11"/>
    <x v="0"/>
    <s v="Hot"/>
    <s v="Medium"/>
    <n v="2"/>
    <n v="95"/>
    <n v="0.15"/>
    <n v="190"/>
    <n v="161.5"/>
    <x v="0"/>
    <x v="1"/>
    <x v="0"/>
    <x v="5"/>
    <x v="1"/>
    <x v="3"/>
    <n v="17"/>
    <n v="49"/>
    <x v="15"/>
    <x v="15"/>
    <x v="2"/>
    <x v="4"/>
    <n v="190"/>
    <x v="11"/>
    <n v="161.5"/>
    <x v="15"/>
    <x v="15"/>
    <x v="0"/>
    <x v="5"/>
    <x v="5"/>
    <s v="Wednesday"/>
  </r>
  <r>
    <s v="TXN-00017"/>
    <d v="2024-05-14T00:00:00"/>
    <d v="1899-12-30T20:50:00"/>
    <s v="Pooja Kaur"/>
    <s v="CUST0114"/>
    <x v="3"/>
    <x v="12"/>
    <x v="1"/>
    <s v="Food"/>
    <s v="Large"/>
    <n v="1"/>
    <n v="85"/>
    <n v="0.05"/>
    <n v="85"/>
    <n v="80.75"/>
    <x v="1"/>
    <x v="2"/>
    <x v="5"/>
    <x v="2"/>
    <x v="0"/>
    <x v="2"/>
    <n v="162"/>
    <n v="43"/>
    <x v="16"/>
    <x v="16"/>
    <x v="3"/>
    <x v="0"/>
    <n v="85"/>
    <x v="12"/>
    <n v="80.75"/>
    <x v="16"/>
    <x v="16"/>
    <x v="0"/>
    <x v="6"/>
    <x v="6"/>
    <s v="Tuesday"/>
  </r>
  <r>
    <s v="TXN-00018"/>
    <d v="2024-01-18T00:00:00"/>
    <d v="1899-12-30T11:15:00"/>
    <s v="Sahil Singh"/>
    <s v="CUST0286"/>
    <x v="3"/>
    <x v="8"/>
    <x v="0"/>
    <s v="Cold"/>
    <s v="Unknown"/>
    <n v="3"/>
    <n v="155"/>
    <n v="0"/>
    <n v="465"/>
    <n v="465"/>
    <x v="0"/>
    <x v="2"/>
    <x v="4"/>
    <x v="6"/>
    <x v="1"/>
    <x v="1"/>
    <n v="255"/>
    <n v="43"/>
    <x v="17"/>
    <x v="17"/>
    <x v="0"/>
    <x v="4"/>
    <n v="465"/>
    <x v="0"/>
    <n v="465"/>
    <x v="17"/>
    <x v="17"/>
    <x v="0"/>
    <x v="2"/>
    <x v="2"/>
    <s v="Thursday"/>
  </r>
  <r>
    <s v="TXN-00019"/>
    <d v="2024-12-17T00:00:00"/>
    <d v="1899-12-30T10:20:00"/>
    <s v="Arjun Gupta"/>
    <s v="CUST0320"/>
    <x v="2"/>
    <x v="12"/>
    <x v="1"/>
    <s v="Food"/>
    <s v="Large"/>
    <n v="1"/>
    <n v="90"/>
    <n v="0.1"/>
    <n v="90"/>
    <n v="81"/>
    <x v="0"/>
    <x v="0"/>
    <x v="3"/>
    <x v="5"/>
    <x v="0"/>
    <x v="2"/>
    <n v="269"/>
    <n v="34"/>
    <x v="18"/>
    <x v="18"/>
    <x v="0"/>
    <x v="0"/>
    <n v="90"/>
    <x v="13"/>
    <n v="81"/>
    <x v="18"/>
    <x v="18"/>
    <x v="0"/>
    <x v="9"/>
    <x v="9"/>
    <s v="Tuesday"/>
  </r>
  <r>
    <s v="TXN-00020"/>
    <d v="2024-09-09T00:00:00"/>
    <d v="1899-12-30T11:15:00"/>
    <s v="Isha Malhotra"/>
    <s v="CUST0107"/>
    <x v="3"/>
    <x v="7"/>
    <x v="0"/>
    <s v="Hot"/>
    <s v="Medium"/>
    <n v="2"/>
    <n v="155"/>
    <n v="0.05"/>
    <n v="310"/>
    <n v="294.5"/>
    <x v="2"/>
    <x v="1"/>
    <x v="5"/>
    <x v="4"/>
    <x v="2"/>
    <x v="3"/>
    <n v="468"/>
    <n v="36"/>
    <x v="19"/>
    <x v="19"/>
    <x v="2"/>
    <x v="0"/>
    <n v="310"/>
    <x v="14"/>
    <n v="294.5"/>
    <x v="19"/>
    <x v="19"/>
    <x v="0"/>
    <x v="0"/>
    <x v="0"/>
    <s v="Monday"/>
  </r>
  <r>
    <s v="TXN-00021"/>
    <d v="2024-06-17T00:00:00"/>
    <d v="1899-12-30T18:30:00"/>
    <s v="Nikhil Kaur"/>
    <s v="CUST0307"/>
    <x v="3"/>
    <x v="4"/>
    <x v="0"/>
    <s v="Cold"/>
    <s v="Unknown"/>
    <n v="4"/>
    <n v="160"/>
    <n v="0"/>
    <n v="640"/>
    <n v="640"/>
    <x v="0"/>
    <x v="0"/>
    <x v="4"/>
    <x v="0"/>
    <x v="0"/>
    <x v="1"/>
    <n v="13"/>
    <n v="51"/>
    <x v="20"/>
    <x v="20"/>
    <x v="3"/>
    <x v="1"/>
    <n v="640"/>
    <x v="0"/>
    <n v="640"/>
    <x v="20"/>
    <x v="20"/>
    <x v="0"/>
    <x v="4"/>
    <x v="4"/>
    <s v="Monday"/>
  </r>
  <r>
    <s v="TXN-00022"/>
    <d v="2024-07-02T00:00:00"/>
    <d v="1899-12-30T07:20:00"/>
    <s v="Kavya Kaur"/>
    <s v="CUST0253"/>
    <x v="2"/>
    <x v="7"/>
    <x v="0"/>
    <s v="Hot"/>
    <s v="Medium"/>
    <n v="2"/>
    <n v="150"/>
    <n v="0.15"/>
    <n v="300"/>
    <n v="255"/>
    <x v="3"/>
    <x v="3"/>
    <x v="4"/>
    <x v="3"/>
    <x v="0"/>
    <x v="2"/>
    <n v="271"/>
    <n v="49"/>
    <x v="21"/>
    <x v="21"/>
    <x v="1"/>
    <x v="4"/>
    <n v="300"/>
    <x v="15"/>
    <n v="255"/>
    <x v="21"/>
    <x v="21"/>
    <x v="0"/>
    <x v="7"/>
    <x v="7"/>
    <s v="Tuesday"/>
  </r>
  <r>
    <s v="TXN-00023"/>
    <d v="2024-10-20T00:00:00"/>
    <d v="1899-12-30T10:00:00"/>
    <s v="Unknown"/>
    <s v="CUST0127"/>
    <x v="0"/>
    <x v="2"/>
    <x v="1"/>
    <s v="Food"/>
    <s v="Medium"/>
    <n v="1"/>
    <n v="70"/>
    <n v="0"/>
    <n v="70"/>
    <n v="70"/>
    <x v="1"/>
    <x v="3"/>
    <x v="5"/>
    <x v="5"/>
    <x v="0"/>
    <x v="0"/>
    <n v="436"/>
    <n v="11"/>
    <x v="22"/>
    <x v="22"/>
    <x v="3"/>
    <x v="2"/>
    <n v="70"/>
    <x v="0"/>
    <n v="70"/>
    <x v="22"/>
    <x v="22"/>
    <x v="0"/>
    <x v="10"/>
    <x v="10"/>
    <s v="Sunday"/>
  </r>
  <r>
    <s v="TXN-00024"/>
    <d v="2024-06-03T00:00:00"/>
    <d v="1899-12-30T09:00:00"/>
    <s v="Arjun Chopra"/>
    <s v="CUST0355"/>
    <x v="0"/>
    <x v="5"/>
    <x v="2"/>
    <s v="Hot"/>
    <s v="Large"/>
    <n v="1"/>
    <n v="100"/>
    <n v="0"/>
    <n v="100"/>
    <n v="100"/>
    <x v="0"/>
    <x v="0"/>
    <x v="2"/>
    <x v="2"/>
    <x v="0"/>
    <x v="0"/>
    <n v="397"/>
    <n v="50"/>
    <x v="23"/>
    <x v="23"/>
    <x v="4"/>
    <x v="2"/>
    <n v="100"/>
    <x v="0"/>
    <n v="100"/>
    <x v="23"/>
    <x v="23"/>
    <x v="0"/>
    <x v="4"/>
    <x v="4"/>
    <s v="Monday"/>
  </r>
  <r>
    <s v="TXN-00025"/>
    <d v="2024-01-08T00:00:00"/>
    <d v="1899-12-30T10:30:00"/>
    <s v="Kavya Mehta"/>
    <s v="CUST0250"/>
    <x v="0"/>
    <x v="2"/>
    <x v="1"/>
    <s v="Food"/>
    <s v="Small"/>
    <n v="2"/>
    <n v="70"/>
    <n v="0"/>
    <n v="140"/>
    <n v="140"/>
    <x v="2"/>
    <x v="1"/>
    <x v="1"/>
    <x v="5"/>
    <x v="0"/>
    <x v="4"/>
    <n v="99"/>
    <n v="17"/>
    <x v="24"/>
    <x v="24"/>
    <x v="2"/>
    <x v="3"/>
    <n v="140"/>
    <x v="0"/>
    <n v="140"/>
    <x v="24"/>
    <x v="24"/>
    <x v="0"/>
    <x v="2"/>
    <x v="2"/>
    <s v="Monday"/>
  </r>
  <r>
    <s v="TXN-00026"/>
    <d v="2024-06-03T00:00:00"/>
    <d v="1899-12-30T09:00:00"/>
    <s v="Kavya Singh"/>
    <s v="CUST0167"/>
    <x v="3"/>
    <x v="3"/>
    <x v="0"/>
    <s v="Hot"/>
    <s v="Small"/>
    <n v="1"/>
    <n v="130"/>
    <n v="0"/>
    <n v="130"/>
    <n v="130"/>
    <x v="0"/>
    <x v="2"/>
    <x v="6"/>
    <x v="3"/>
    <x v="0"/>
    <x v="4"/>
    <n v="113"/>
    <n v="50"/>
    <x v="25"/>
    <x v="25"/>
    <x v="0"/>
    <x v="2"/>
    <n v="130"/>
    <x v="0"/>
    <n v="130"/>
    <x v="25"/>
    <x v="25"/>
    <x v="0"/>
    <x v="4"/>
    <x v="4"/>
    <s v="Monday"/>
  </r>
  <r>
    <s v="TXN-00027"/>
    <d v="2024-06-14T00:00:00"/>
    <d v="1899-12-30T20:45:00"/>
    <s v="Meera Verma"/>
    <s v="CUST0251"/>
    <x v="3"/>
    <x v="13"/>
    <x v="2"/>
    <s v="Cold"/>
    <s v="Large"/>
    <n v="2"/>
    <n v="110"/>
    <n v="0.15"/>
    <n v="220"/>
    <n v="187"/>
    <x v="2"/>
    <x v="0"/>
    <x v="0"/>
    <x v="0"/>
    <x v="0"/>
    <x v="4"/>
    <n v="353"/>
    <n v="23"/>
    <x v="26"/>
    <x v="26"/>
    <x v="0"/>
    <x v="1"/>
    <n v="220"/>
    <x v="16"/>
    <n v="187"/>
    <x v="26"/>
    <x v="26"/>
    <x v="0"/>
    <x v="4"/>
    <x v="4"/>
    <s v="Friday"/>
  </r>
  <r>
    <s v="TXN-00028"/>
    <d v="2024-10-02T00:00:00"/>
    <d v="1899-12-30T21:30:00"/>
    <s v="Isha Singh"/>
    <s v="CUST0279"/>
    <x v="2"/>
    <x v="10"/>
    <x v="1"/>
    <s v="Food"/>
    <s v="Small"/>
    <n v="1"/>
    <n v="105"/>
    <n v="0"/>
    <n v="105"/>
    <n v="105"/>
    <x v="1"/>
    <x v="1"/>
    <x v="1"/>
    <x v="2"/>
    <x v="0"/>
    <x v="1"/>
    <n v="177"/>
    <n v="18"/>
    <x v="27"/>
    <x v="27"/>
    <x v="0"/>
    <x v="2"/>
    <n v="105"/>
    <x v="0"/>
    <n v="105"/>
    <x v="27"/>
    <x v="27"/>
    <x v="0"/>
    <x v="10"/>
    <x v="10"/>
    <s v="Wednesday"/>
  </r>
  <r>
    <s v="TXN-00029"/>
    <d v="2024-11-02T00:00:00"/>
    <d v="1899-12-30T18:15:00"/>
    <s v="Rahul Sharma"/>
    <s v="CUST0332"/>
    <x v="3"/>
    <x v="1"/>
    <x v="1"/>
    <s v="Food"/>
    <s v="Large"/>
    <n v="1"/>
    <n v="130"/>
    <n v="0.1"/>
    <n v="130"/>
    <n v="117"/>
    <x v="2"/>
    <x v="3"/>
    <x v="3"/>
    <x v="4"/>
    <x v="2"/>
    <x v="4"/>
    <n v="174"/>
    <n v="14"/>
    <x v="28"/>
    <x v="28"/>
    <x v="3"/>
    <x v="0"/>
    <n v="130"/>
    <x v="17"/>
    <n v="117"/>
    <x v="28"/>
    <x v="28"/>
    <x v="0"/>
    <x v="11"/>
    <x v="11"/>
    <s v="Saturday"/>
  </r>
  <r>
    <s v="TXN-00030"/>
    <d v="2024-12-10T00:00:00"/>
    <d v="1899-12-30T10:20:00"/>
    <s v="Riya Singh"/>
    <s v="CUST0293"/>
    <x v="1"/>
    <x v="11"/>
    <x v="0"/>
    <s v="Hot"/>
    <s v="Medium"/>
    <n v="1"/>
    <n v="100"/>
    <n v="0.1"/>
    <n v="100"/>
    <n v="90"/>
    <x v="0"/>
    <x v="3"/>
    <x v="1"/>
    <x v="0"/>
    <x v="0"/>
    <x v="2"/>
    <n v="138"/>
    <n v="18"/>
    <x v="29"/>
    <x v="29"/>
    <x v="1"/>
    <x v="3"/>
    <n v="100"/>
    <x v="4"/>
    <n v="90"/>
    <x v="29"/>
    <x v="29"/>
    <x v="0"/>
    <x v="9"/>
    <x v="9"/>
    <s v="Tuesday"/>
  </r>
  <r>
    <s v="TXN-00031"/>
    <d v="2024-09-19T00:00:00"/>
    <d v="1899-12-30T12:20:00"/>
    <s v="Meera Kaur"/>
    <s v="CUST0213"/>
    <x v="3"/>
    <x v="11"/>
    <x v="0"/>
    <s v="Hot"/>
    <s v="Unknown"/>
    <n v="2"/>
    <n v="85"/>
    <n v="0.1"/>
    <n v="170"/>
    <n v="153"/>
    <x v="2"/>
    <x v="3"/>
    <x v="6"/>
    <x v="6"/>
    <x v="0"/>
    <x v="0"/>
    <n v="349"/>
    <n v="27"/>
    <x v="30"/>
    <x v="30"/>
    <x v="3"/>
    <x v="3"/>
    <n v="170"/>
    <x v="18"/>
    <n v="153"/>
    <x v="30"/>
    <x v="30"/>
    <x v="0"/>
    <x v="0"/>
    <x v="0"/>
    <s v="Thursday"/>
  </r>
  <r>
    <s v="TXN-00032"/>
    <d v="2024-08-12T00:00:00"/>
    <d v="1899-12-30T09:10:00"/>
    <s v="Aditya Kapoor"/>
    <s v="CUST0200"/>
    <x v="3"/>
    <x v="9"/>
    <x v="2"/>
    <s v="Hot"/>
    <s v="Large"/>
    <n v="1"/>
    <n v="75"/>
    <n v="0.15"/>
    <n v="75"/>
    <n v="63.75"/>
    <x v="2"/>
    <x v="1"/>
    <x v="2"/>
    <x v="7"/>
    <x v="0"/>
    <x v="1"/>
    <n v="400"/>
    <n v="12"/>
    <x v="31"/>
    <x v="31"/>
    <x v="3"/>
    <x v="3"/>
    <n v="75"/>
    <x v="8"/>
    <n v="63.75"/>
    <x v="31"/>
    <x v="31"/>
    <x v="0"/>
    <x v="1"/>
    <x v="1"/>
    <s v="Monday"/>
  </r>
  <r>
    <s v="TXN-00033"/>
    <d v="2024-08-08T00:00:00"/>
    <d v="1899-12-30T12:45:00"/>
    <s v="Unknown"/>
    <s v="CUST0178"/>
    <x v="0"/>
    <x v="1"/>
    <x v="1"/>
    <s v="Food"/>
    <s v="Large"/>
    <n v="1"/>
    <n v="115"/>
    <n v="0"/>
    <n v="115"/>
    <n v="115"/>
    <x v="0"/>
    <x v="0"/>
    <x v="1"/>
    <x v="6"/>
    <x v="0"/>
    <x v="3"/>
    <n v="115"/>
    <n v="23"/>
    <x v="32"/>
    <x v="32"/>
    <x v="1"/>
    <x v="0"/>
    <n v="115"/>
    <x v="0"/>
    <n v="115"/>
    <x v="32"/>
    <x v="32"/>
    <x v="0"/>
    <x v="1"/>
    <x v="1"/>
    <s v="Thursday"/>
  </r>
  <r>
    <s v="TXN-00034"/>
    <d v="2024-07-12T00:00:00"/>
    <d v="1899-12-30T08:00:00"/>
    <s v="Aditya Malhotra"/>
    <s v="CUST0136"/>
    <x v="0"/>
    <x v="3"/>
    <x v="0"/>
    <s v="Hot"/>
    <s v="Large"/>
    <n v="1"/>
    <n v="115"/>
    <n v="0.1"/>
    <n v="115"/>
    <n v="103.5"/>
    <x v="2"/>
    <x v="3"/>
    <x v="5"/>
    <x v="1"/>
    <x v="0"/>
    <x v="0"/>
    <n v="472"/>
    <n v="51"/>
    <x v="33"/>
    <x v="33"/>
    <x v="3"/>
    <x v="0"/>
    <n v="115"/>
    <x v="19"/>
    <n v="103.5"/>
    <x v="33"/>
    <x v="33"/>
    <x v="0"/>
    <x v="7"/>
    <x v="7"/>
    <s v="Friday"/>
  </r>
  <r>
    <s v="TXN-00035"/>
    <d v="2024-05-28T00:00:00"/>
    <d v="1899-12-30T16:15:00"/>
    <s v="Karan Malhotra"/>
    <s v="CUST0292"/>
    <x v="3"/>
    <x v="12"/>
    <x v="1"/>
    <s v="Food"/>
    <s v="Medium"/>
    <n v="1"/>
    <n v="85"/>
    <n v="0.1"/>
    <n v="85"/>
    <n v="76.5"/>
    <x v="1"/>
    <x v="0"/>
    <x v="4"/>
    <x v="1"/>
    <x v="0"/>
    <x v="0"/>
    <n v="316"/>
    <n v="15"/>
    <x v="34"/>
    <x v="34"/>
    <x v="2"/>
    <x v="0"/>
    <n v="85"/>
    <x v="20"/>
    <n v="76.5"/>
    <x v="34"/>
    <x v="34"/>
    <x v="0"/>
    <x v="6"/>
    <x v="6"/>
    <s v="Tuesday"/>
  </r>
  <r>
    <s v="TXN-00036"/>
    <d v="2024-07-09T00:00:00"/>
    <d v="1899-12-30T15:30:00"/>
    <s v="Kavya Malhotra"/>
    <s v="CUST0170"/>
    <x v="0"/>
    <x v="0"/>
    <x v="0"/>
    <s v="Hot"/>
    <s v="Large"/>
    <n v="3"/>
    <n v="130"/>
    <n v="0.1"/>
    <n v="390"/>
    <n v="351"/>
    <x v="2"/>
    <x v="2"/>
    <x v="3"/>
    <x v="6"/>
    <x v="0"/>
    <x v="1"/>
    <n v="257"/>
    <n v="24"/>
    <x v="35"/>
    <x v="35"/>
    <x v="0"/>
    <x v="3"/>
    <n v="390"/>
    <x v="21"/>
    <n v="351"/>
    <x v="35"/>
    <x v="35"/>
    <x v="0"/>
    <x v="7"/>
    <x v="7"/>
    <s v="Tuesday"/>
  </r>
  <r>
    <s v="TXN-00037"/>
    <d v="2024-05-26T00:00:00"/>
    <d v="1899-12-30T07:20:00"/>
    <s v="Rohan Kapoor"/>
    <s v="CUST0222"/>
    <x v="0"/>
    <x v="3"/>
    <x v="0"/>
    <s v="Hot"/>
    <s v="Medium"/>
    <n v="1"/>
    <n v="120"/>
    <n v="0.1"/>
    <n v="120"/>
    <n v="108"/>
    <x v="1"/>
    <x v="0"/>
    <x v="4"/>
    <x v="7"/>
    <x v="1"/>
    <x v="4"/>
    <n v="385"/>
    <n v="34"/>
    <x v="36"/>
    <x v="36"/>
    <x v="3"/>
    <x v="0"/>
    <n v="120"/>
    <x v="2"/>
    <n v="108"/>
    <x v="36"/>
    <x v="36"/>
    <x v="0"/>
    <x v="6"/>
    <x v="6"/>
    <s v="Sunday"/>
  </r>
  <r>
    <s v="TXN-00038"/>
    <d v="2024-10-22T00:00:00"/>
    <d v="1899-12-30T17:10:00"/>
    <s v="Karan Gupta"/>
    <s v="CUST0194"/>
    <x v="1"/>
    <x v="0"/>
    <x v="0"/>
    <s v="Hot"/>
    <s v="Medium"/>
    <n v="5"/>
    <n v="125"/>
    <n v="0"/>
    <n v="625"/>
    <n v="625"/>
    <x v="2"/>
    <x v="0"/>
    <x v="3"/>
    <x v="1"/>
    <x v="0"/>
    <x v="0"/>
    <n v="271"/>
    <n v="34"/>
    <x v="37"/>
    <x v="37"/>
    <x v="0"/>
    <x v="1"/>
    <n v="625"/>
    <x v="0"/>
    <n v="625"/>
    <x v="37"/>
    <x v="37"/>
    <x v="0"/>
    <x v="10"/>
    <x v="10"/>
    <s v="Tuesday"/>
  </r>
  <r>
    <s v="TXN-00039"/>
    <d v="2024-03-27T00:00:00"/>
    <d v="1899-12-30T20:10:00"/>
    <s v="Sneha Mehta"/>
    <s v="CUST0172"/>
    <x v="3"/>
    <x v="2"/>
    <x v="1"/>
    <s v="Food"/>
    <s v="Unknown"/>
    <n v="1"/>
    <n v="70"/>
    <n v="0.1"/>
    <n v="70"/>
    <n v="63"/>
    <x v="2"/>
    <x v="2"/>
    <x v="4"/>
    <x v="3"/>
    <x v="0"/>
    <x v="4"/>
    <n v="112"/>
    <n v="52"/>
    <x v="38"/>
    <x v="38"/>
    <x v="2"/>
    <x v="3"/>
    <n v="70"/>
    <x v="22"/>
    <n v="63"/>
    <x v="38"/>
    <x v="38"/>
    <x v="0"/>
    <x v="5"/>
    <x v="5"/>
    <s v="Wednesday"/>
  </r>
  <r>
    <s v="TXN-00040"/>
    <d v="2024-12-05T00:00:00"/>
    <d v="1899-12-30T13:00:00"/>
    <s v="Arjun Singh"/>
    <s v="CUST0171"/>
    <x v="3"/>
    <x v="14"/>
    <x v="3"/>
    <s v="Food"/>
    <s v="Large"/>
    <n v="2"/>
    <n v="180"/>
    <n v="0.05"/>
    <n v="360"/>
    <n v="342"/>
    <x v="0"/>
    <x v="3"/>
    <x v="0"/>
    <x v="1"/>
    <x v="0"/>
    <x v="0"/>
    <n v="268"/>
    <n v="35"/>
    <x v="39"/>
    <x v="39"/>
    <x v="3"/>
    <x v="0"/>
    <n v="360"/>
    <x v="23"/>
    <n v="342"/>
    <x v="39"/>
    <x v="39"/>
    <x v="0"/>
    <x v="9"/>
    <x v="9"/>
    <s v="Thursday"/>
  </r>
  <r>
    <s v="TXN-00041"/>
    <d v="2024-05-12T00:00:00"/>
    <d v="1899-12-30T19:30:00"/>
    <s v="Rahul Gupta"/>
    <s v="CUST0362"/>
    <x v="0"/>
    <x v="5"/>
    <x v="2"/>
    <s v="Hot"/>
    <s v="Small"/>
    <n v="1"/>
    <n v="105"/>
    <n v="0.15"/>
    <n v="105"/>
    <n v="89.25"/>
    <x v="0"/>
    <x v="3"/>
    <x v="0"/>
    <x v="2"/>
    <x v="1"/>
    <x v="2"/>
    <n v="153"/>
    <n v="55"/>
    <x v="40"/>
    <x v="40"/>
    <x v="1"/>
    <x v="2"/>
    <n v="105"/>
    <x v="24"/>
    <n v="89.25"/>
    <x v="40"/>
    <x v="40"/>
    <x v="0"/>
    <x v="6"/>
    <x v="6"/>
    <s v="Sunday"/>
  </r>
  <r>
    <s v="TXN-00042"/>
    <d v="2024-01-01T00:00:00"/>
    <d v="1899-12-30T10:30:00"/>
    <s v="Kavya Verma"/>
    <s v="CUST0167"/>
    <x v="3"/>
    <x v="8"/>
    <x v="0"/>
    <s v="Cold"/>
    <s v="Large"/>
    <n v="1"/>
    <n v="170"/>
    <n v="0"/>
    <n v="170"/>
    <n v="170"/>
    <x v="2"/>
    <x v="3"/>
    <x v="6"/>
    <x v="3"/>
    <x v="1"/>
    <x v="3"/>
    <n v="482"/>
    <n v="27"/>
    <x v="41"/>
    <x v="41"/>
    <x v="4"/>
    <x v="4"/>
    <n v="170"/>
    <x v="0"/>
    <n v="170"/>
    <x v="41"/>
    <x v="41"/>
    <x v="0"/>
    <x v="2"/>
    <x v="2"/>
    <s v="Monday"/>
  </r>
  <r>
    <s v="TXN-00043"/>
    <d v="2024-05-14T00:00:00"/>
    <d v="1899-12-30T13:30:00"/>
    <s v="Neha Gupta"/>
    <s v="CUST0368"/>
    <x v="2"/>
    <x v="10"/>
    <x v="1"/>
    <s v="Food"/>
    <s v="Large"/>
    <n v="2"/>
    <n v="95"/>
    <n v="0"/>
    <n v="190"/>
    <n v="190"/>
    <x v="2"/>
    <x v="3"/>
    <x v="0"/>
    <x v="7"/>
    <x v="1"/>
    <x v="1"/>
    <n v="109"/>
    <n v="49"/>
    <x v="42"/>
    <x v="42"/>
    <x v="4"/>
    <x v="0"/>
    <n v="190"/>
    <x v="0"/>
    <n v="190"/>
    <x v="42"/>
    <x v="42"/>
    <x v="0"/>
    <x v="6"/>
    <x v="6"/>
    <s v="Tuesday"/>
  </r>
  <r>
    <s v="TXN-00044"/>
    <d v="2024-11-28T00:00:00"/>
    <d v="1899-12-30T11:10:00"/>
    <s v="Meera Malhotra"/>
    <s v="CUST0344"/>
    <x v="3"/>
    <x v="8"/>
    <x v="0"/>
    <s v="Cold"/>
    <s v="Medium"/>
    <n v="1"/>
    <n v="155"/>
    <n v="0"/>
    <n v="155"/>
    <n v="155"/>
    <x v="1"/>
    <x v="2"/>
    <x v="5"/>
    <x v="1"/>
    <x v="0"/>
    <x v="2"/>
    <n v="324"/>
    <n v="24"/>
    <x v="43"/>
    <x v="43"/>
    <x v="3"/>
    <x v="1"/>
    <n v="155"/>
    <x v="0"/>
    <n v="155"/>
    <x v="43"/>
    <x v="43"/>
    <x v="0"/>
    <x v="11"/>
    <x v="11"/>
    <s v="Thursday"/>
  </r>
  <r>
    <s v="TXN-00045"/>
    <d v="2024-06-25T00:00:00"/>
    <d v="1899-12-30T17:20:00"/>
    <s v="Meera Chopra"/>
    <s v="CUST0232"/>
    <x v="1"/>
    <x v="9"/>
    <x v="2"/>
    <s v="Hot"/>
    <s v="Large"/>
    <n v="2"/>
    <n v="90"/>
    <n v="0.05"/>
    <n v="180"/>
    <n v="171"/>
    <x v="2"/>
    <x v="0"/>
    <x v="6"/>
    <x v="4"/>
    <x v="0"/>
    <x v="0"/>
    <n v="7"/>
    <n v="34"/>
    <x v="44"/>
    <x v="44"/>
    <x v="0"/>
    <x v="2"/>
    <n v="180"/>
    <x v="13"/>
    <n v="171"/>
    <x v="44"/>
    <x v="44"/>
    <x v="0"/>
    <x v="4"/>
    <x v="4"/>
    <s v="Tuesday"/>
  </r>
  <r>
    <s v="TXN-00046"/>
    <d v="2024-10-08T00:00:00"/>
    <d v="1899-12-30T20:10:00"/>
    <s v="Pooja Sharma"/>
    <s v="CUST0234"/>
    <x v="3"/>
    <x v="7"/>
    <x v="0"/>
    <s v="Hot"/>
    <s v="Large"/>
    <n v="2"/>
    <n v="140"/>
    <n v="0"/>
    <n v="280"/>
    <n v="280"/>
    <x v="2"/>
    <x v="3"/>
    <x v="4"/>
    <x v="1"/>
    <x v="0"/>
    <x v="2"/>
    <n v="495"/>
    <n v="35"/>
    <x v="45"/>
    <x v="45"/>
    <x v="1"/>
    <x v="0"/>
    <n v="280"/>
    <x v="0"/>
    <n v="280"/>
    <x v="45"/>
    <x v="45"/>
    <x v="0"/>
    <x v="10"/>
    <x v="10"/>
    <s v="Tuesday"/>
  </r>
  <r>
    <s v="TXN-00047"/>
    <d v="2024-08-06T00:00:00"/>
    <d v="1899-12-30T15:30:00"/>
    <s v="Aarav Bansal"/>
    <s v="CUST0397"/>
    <x v="3"/>
    <x v="2"/>
    <x v="1"/>
    <s v="Food"/>
    <s v="Unknown"/>
    <n v="1"/>
    <n v="70"/>
    <n v="0.15"/>
    <n v="70"/>
    <n v="59.5"/>
    <x v="1"/>
    <x v="0"/>
    <x v="6"/>
    <x v="6"/>
    <x v="0"/>
    <x v="1"/>
    <n v="292"/>
    <n v="34"/>
    <x v="46"/>
    <x v="46"/>
    <x v="0"/>
    <x v="0"/>
    <n v="70"/>
    <x v="25"/>
    <n v="59.5"/>
    <x v="46"/>
    <x v="46"/>
    <x v="0"/>
    <x v="1"/>
    <x v="1"/>
    <s v="Tuesday"/>
  </r>
  <r>
    <s v="TXN-00048"/>
    <d v="2024-03-01T00:00:00"/>
    <d v="1899-12-30T21:15:00"/>
    <s v="Manish Bansal"/>
    <s v="CUST0139"/>
    <x v="3"/>
    <x v="7"/>
    <x v="0"/>
    <s v="Hot"/>
    <s v="Large"/>
    <n v="2"/>
    <n v="145"/>
    <n v="0.1"/>
    <n v="290"/>
    <n v="261"/>
    <x v="2"/>
    <x v="2"/>
    <x v="2"/>
    <x v="3"/>
    <x v="2"/>
    <x v="2"/>
    <n v="101"/>
    <n v="37"/>
    <x v="47"/>
    <x v="47"/>
    <x v="0"/>
    <x v="1"/>
    <n v="290"/>
    <x v="26"/>
    <n v="261"/>
    <x v="47"/>
    <x v="47"/>
    <x v="0"/>
    <x v="5"/>
    <x v="5"/>
    <s v="Friday"/>
  </r>
  <r>
    <s v="TXN-00049"/>
    <d v="2024-08-03T00:00:00"/>
    <d v="1899-12-30T19:45:00"/>
    <s v="Rohan Chopra"/>
    <s v="Unknown"/>
    <x v="0"/>
    <x v="3"/>
    <x v="0"/>
    <s v="Hot"/>
    <s v="Small"/>
    <n v="2"/>
    <n v="120"/>
    <n v="0.1"/>
    <n v="240"/>
    <n v="216"/>
    <x v="2"/>
    <x v="2"/>
    <x v="5"/>
    <x v="0"/>
    <x v="1"/>
    <x v="2"/>
    <n v="244"/>
    <n v="20"/>
    <x v="48"/>
    <x v="48"/>
    <x v="2"/>
    <x v="0"/>
    <n v="240"/>
    <x v="27"/>
    <n v="216"/>
    <x v="48"/>
    <x v="48"/>
    <x v="0"/>
    <x v="1"/>
    <x v="1"/>
    <s v="Saturday"/>
  </r>
  <r>
    <s v="TXN-00050"/>
    <d v="2024-03-26T00:00:00"/>
    <d v="1899-12-30T12:45:00"/>
    <s v="Rahul Kapoor"/>
    <s v="CUST0325"/>
    <x v="2"/>
    <x v="0"/>
    <x v="0"/>
    <s v="Hot"/>
    <s v="Large"/>
    <n v="2"/>
    <n v="125"/>
    <n v="0"/>
    <n v="250"/>
    <n v="250"/>
    <x v="2"/>
    <x v="1"/>
    <x v="4"/>
    <x v="1"/>
    <x v="1"/>
    <x v="3"/>
    <n v="397"/>
    <n v="28"/>
    <x v="49"/>
    <x v="49"/>
    <x v="3"/>
    <x v="0"/>
    <n v="250"/>
    <x v="0"/>
    <n v="250"/>
    <x v="49"/>
    <x v="49"/>
    <x v="0"/>
    <x v="5"/>
    <x v="5"/>
    <s v="Tuesday"/>
  </r>
  <r>
    <s v="TXN-00051"/>
    <d v="2024-01-18T00:00:00"/>
    <d v="1899-12-30T18:50:00"/>
    <s v="Rahul Gupta"/>
    <s v="CUST0319"/>
    <x v="2"/>
    <x v="5"/>
    <x v="2"/>
    <s v="Hot"/>
    <s v="Small"/>
    <n v="2"/>
    <n v="105"/>
    <n v="0.05"/>
    <n v="210"/>
    <n v="199.5"/>
    <x v="1"/>
    <x v="0"/>
    <x v="5"/>
    <x v="4"/>
    <x v="0"/>
    <x v="2"/>
    <n v="207"/>
    <n v="11"/>
    <x v="50"/>
    <x v="50"/>
    <x v="0"/>
    <x v="1"/>
    <n v="210"/>
    <x v="25"/>
    <n v="199.5"/>
    <x v="50"/>
    <x v="50"/>
    <x v="0"/>
    <x v="2"/>
    <x v="2"/>
    <s v="Thursday"/>
  </r>
  <r>
    <s v="TXN-00052"/>
    <d v="2024-12-18T00:00:00"/>
    <d v="1899-12-30T17:00:00"/>
    <s v="Kavya Verma"/>
    <s v="CUST0328"/>
    <x v="2"/>
    <x v="11"/>
    <x v="0"/>
    <s v="Hot"/>
    <s v="Medium"/>
    <n v="1"/>
    <n v="100"/>
    <n v="0"/>
    <n v="100"/>
    <n v="100"/>
    <x v="2"/>
    <x v="0"/>
    <x v="3"/>
    <x v="3"/>
    <x v="1"/>
    <x v="2"/>
    <n v="381"/>
    <n v="34"/>
    <x v="51"/>
    <x v="51"/>
    <x v="1"/>
    <x v="4"/>
    <n v="100"/>
    <x v="0"/>
    <n v="100"/>
    <x v="51"/>
    <x v="51"/>
    <x v="0"/>
    <x v="9"/>
    <x v="9"/>
    <s v="Wednesday"/>
  </r>
  <r>
    <s v="TXN-00053"/>
    <d v="2024-09-06T00:00:00"/>
    <d v="1899-12-30T08:50:00"/>
    <s v="Isha Malhotra"/>
    <s v="CUST0198"/>
    <x v="3"/>
    <x v="7"/>
    <x v="0"/>
    <s v="Hot"/>
    <s v="Medium"/>
    <n v="3"/>
    <n v="150"/>
    <n v="0"/>
    <n v="450"/>
    <n v="450"/>
    <x v="2"/>
    <x v="0"/>
    <x v="2"/>
    <x v="6"/>
    <x v="0"/>
    <x v="2"/>
    <n v="490"/>
    <n v="29"/>
    <x v="52"/>
    <x v="52"/>
    <x v="3"/>
    <x v="4"/>
    <n v="450"/>
    <x v="0"/>
    <n v="450"/>
    <x v="52"/>
    <x v="52"/>
    <x v="0"/>
    <x v="0"/>
    <x v="0"/>
    <s v="Friday"/>
  </r>
  <r>
    <s v="TXN-00054"/>
    <d v="2024-02-26T00:00:00"/>
    <d v="1899-12-30T19:45:00"/>
    <s v="Pooja Mehta"/>
    <s v="CUST0222"/>
    <x v="0"/>
    <x v="0"/>
    <x v="0"/>
    <s v="Hot"/>
    <s v="Unknown"/>
    <n v="3"/>
    <n v="140"/>
    <n v="0.1"/>
    <n v="420"/>
    <n v="378"/>
    <x v="2"/>
    <x v="0"/>
    <x v="5"/>
    <x v="5"/>
    <x v="0"/>
    <x v="0"/>
    <n v="385"/>
    <n v="54"/>
    <x v="53"/>
    <x v="53"/>
    <x v="0"/>
    <x v="4"/>
    <n v="420"/>
    <x v="28"/>
    <n v="378"/>
    <x v="53"/>
    <x v="53"/>
    <x v="0"/>
    <x v="3"/>
    <x v="3"/>
    <s v="Monday"/>
  </r>
  <r>
    <s v="TXN-00055"/>
    <d v="2024-04-06T00:00:00"/>
    <d v="1899-12-30T08:15:00"/>
    <s v="Aarav Kaur"/>
    <s v="CUST0338"/>
    <x v="1"/>
    <x v="15"/>
    <x v="4"/>
    <s v="Food"/>
    <s v="Large"/>
    <n v="1"/>
    <n v="190"/>
    <n v="0.1"/>
    <n v="190"/>
    <n v="171"/>
    <x v="1"/>
    <x v="3"/>
    <x v="6"/>
    <x v="6"/>
    <x v="0"/>
    <x v="4"/>
    <n v="379"/>
    <n v="43"/>
    <x v="54"/>
    <x v="54"/>
    <x v="0"/>
    <x v="2"/>
    <n v="190"/>
    <x v="29"/>
    <n v="171"/>
    <x v="54"/>
    <x v="54"/>
    <x v="0"/>
    <x v="8"/>
    <x v="8"/>
    <s v="Saturday"/>
  </r>
  <r>
    <s v="TXN-00056"/>
    <d v="2024-04-25T00:00:00"/>
    <d v="1899-12-30T08:00:00"/>
    <s v="Rohan Bansal"/>
    <s v="CUST0311"/>
    <x v="1"/>
    <x v="15"/>
    <x v="4"/>
    <s v="Food"/>
    <s v="Unknown"/>
    <n v="1"/>
    <n v="190"/>
    <n v="0"/>
    <n v="190"/>
    <n v="190"/>
    <x v="2"/>
    <x v="2"/>
    <x v="6"/>
    <x v="4"/>
    <x v="0"/>
    <x v="0"/>
    <n v="114"/>
    <n v="52"/>
    <x v="55"/>
    <x v="55"/>
    <x v="3"/>
    <x v="4"/>
    <n v="190"/>
    <x v="0"/>
    <n v="190"/>
    <x v="55"/>
    <x v="55"/>
    <x v="0"/>
    <x v="8"/>
    <x v="8"/>
    <s v="Thursday"/>
  </r>
  <r>
    <s v="TXN-00057"/>
    <d v="2024-02-15T00:00:00"/>
    <d v="1899-12-30T21:20:00"/>
    <s v="Neha Malhotra"/>
    <s v="CUST0180"/>
    <x v="1"/>
    <x v="11"/>
    <x v="0"/>
    <s v="Hot"/>
    <s v="Small"/>
    <n v="1"/>
    <n v="85"/>
    <n v="0"/>
    <n v="85"/>
    <n v="85"/>
    <x v="2"/>
    <x v="3"/>
    <x v="1"/>
    <x v="3"/>
    <x v="1"/>
    <x v="2"/>
    <n v="382"/>
    <n v="12"/>
    <x v="56"/>
    <x v="56"/>
    <x v="3"/>
    <x v="4"/>
    <n v="85"/>
    <x v="0"/>
    <n v="85"/>
    <x v="56"/>
    <x v="56"/>
    <x v="0"/>
    <x v="3"/>
    <x v="3"/>
    <s v="Thursday"/>
  </r>
  <r>
    <s v="TXN-00058"/>
    <d v="2024-03-21T00:00:00"/>
    <d v="1899-12-30T17:50:00"/>
    <s v="Sneha Gupta"/>
    <s v="CUST0313"/>
    <x v="1"/>
    <x v="11"/>
    <x v="0"/>
    <s v="Hot"/>
    <s v="Medium"/>
    <n v="1"/>
    <n v="100"/>
    <n v="0.1"/>
    <n v="100"/>
    <n v="90"/>
    <x v="2"/>
    <x v="0"/>
    <x v="1"/>
    <x v="5"/>
    <x v="0"/>
    <x v="0"/>
    <n v="477"/>
    <n v="37"/>
    <x v="57"/>
    <x v="57"/>
    <x v="0"/>
    <x v="3"/>
    <n v="100"/>
    <x v="4"/>
    <n v="90"/>
    <x v="57"/>
    <x v="57"/>
    <x v="0"/>
    <x v="5"/>
    <x v="5"/>
    <s v="Thursday"/>
  </r>
  <r>
    <s v="TXN-00059"/>
    <d v="2024-05-16T00:00:00"/>
    <d v="1899-12-30T10:00:00"/>
    <s v="Karan Chopra"/>
    <s v="CUST0384"/>
    <x v="0"/>
    <x v="3"/>
    <x v="0"/>
    <s v="Hot"/>
    <s v="Large"/>
    <n v="3"/>
    <n v="125"/>
    <n v="0"/>
    <n v="375"/>
    <n v="375"/>
    <x v="0"/>
    <x v="3"/>
    <x v="5"/>
    <x v="7"/>
    <x v="2"/>
    <x v="2"/>
    <n v="42"/>
    <n v="35"/>
    <x v="58"/>
    <x v="58"/>
    <x v="0"/>
    <x v="1"/>
    <n v="375"/>
    <x v="0"/>
    <n v="375"/>
    <x v="58"/>
    <x v="58"/>
    <x v="0"/>
    <x v="6"/>
    <x v="6"/>
    <s v="Thursday"/>
  </r>
  <r>
    <s v="TXN-00060"/>
    <d v="2024-06-19T00:00:00"/>
    <d v="1899-12-30T08:30:00"/>
    <s v="Manish Sharma"/>
    <s v="CUST0296"/>
    <x v="2"/>
    <x v="8"/>
    <x v="0"/>
    <s v="Cold"/>
    <s v="Medium"/>
    <n v="2"/>
    <n v="155"/>
    <n v="0.05"/>
    <n v="310"/>
    <n v="294.5"/>
    <x v="0"/>
    <x v="1"/>
    <x v="4"/>
    <x v="5"/>
    <x v="1"/>
    <x v="1"/>
    <n v="295"/>
    <n v="46"/>
    <x v="59"/>
    <x v="59"/>
    <x v="4"/>
    <x v="4"/>
    <n v="310"/>
    <x v="14"/>
    <n v="294.5"/>
    <x v="59"/>
    <x v="59"/>
    <x v="0"/>
    <x v="4"/>
    <x v="4"/>
    <s v="Wednesday"/>
  </r>
  <r>
    <s v="TXN-00061"/>
    <d v="2024-05-26T00:00:00"/>
    <d v="1899-12-30T08:45:00"/>
    <s v="Sahil Singh"/>
    <s v="CUST0128"/>
    <x v="3"/>
    <x v="13"/>
    <x v="2"/>
    <s v="Cold"/>
    <s v="Large"/>
    <n v="1"/>
    <n v="110"/>
    <n v="0.1"/>
    <n v="110"/>
    <n v="99"/>
    <x v="2"/>
    <x v="1"/>
    <x v="1"/>
    <x v="4"/>
    <x v="0"/>
    <x v="0"/>
    <n v="54"/>
    <n v="39"/>
    <x v="60"/>
    <x v="60"/>
    <x v="3"/>
    <x v="2"/>
    <n v="110"/>
    <x v="30"/>
    <n v="99"/>
    <x v="60"/>
    <x v="60"/>
    <x v="0"/>
    <x v="6"/>
    <x v="6"/>
    <s v="Sunday"/>
  </r>
  <r>
    <s v="TXN-00062"/>
    <d v="2024-09-29T00:00:00"/>
    <d v="1899-12-30T09:10:00"/>
    <s v="Karan Kaur"/>
    <s v="CUST0289"/>
    <x v="2"/>
    <x v="14"/>
    <x v="3"/>
    <s v="Food"/>
    <s v="Medium"/>
    <n v="2"/>
    <n v="175"/>
    <n v="0"/>
    <n v="350"/>
    <n v="350"/>
    <x v="1"/>
    <x v="1"/>
    <x v="6"/>
    <x v="0"/>
    <x v="1"/>
    <x v="2"/>
    <n v="155"/>
    <n v="25"/>
    <x v="61"/>
    <x v="61"/>
    <x v="0"/>
    <x v="1"/>
    <n v="350"/>
    <x v="0"/>
    <n v="350"/>
    <x v="61"/>
    <x v="61"/>
    <x v="0"/>
    <x v="0"/>
    <x v="0"/>
    <s v="Sunday"/>
  </r>
  <r>
    <s v="TXN-00063"/>
    <d v="2024-10-09T00:00:00"/>
    <d v="1899-12-30T17:15:00"/>
    <s v="Rahul Mehta"/>
    <s v="Unknown"/>
    <x v="3"/>
    <x v="5"/>
    <x v="2"/>
    <s v="Hot"/>
    <s v="Medium"/>
    <n v="1"/>
    <n v="90"/>
    <n v="0.05"/>
    <n v="90"/>
    <n v="85.5"/>
    <x v="0"/>
    <x v="0"/>
    <x v="6"/>
    <x v="4"/>
    <x v="0"/>
    <x v="2"/>
    <n v="54"/>
    <n v="34"/>
    <x v="62"/>
    <x v="62"/>
    <x v="1"/>
    <x v="0"/>
    <n v="90"/>
    <x v="31"/>
    <n v="85.5"/>
    <x v="62"/>
    <x v="62"/>
    <x v="0"/>
    <x v="10"/>
    <x v="10"/>
    <s v="Wednesday"/>
  </r>
  <r>
    <s v="TXN-00064"/>
    <d v="2024-08-06T00:00:00"/>
    <d v="1899-12-30T21:45:00"/>
    <s v="Pooja Kapoor"/>
    <s v="CUST0223"/>
    <x v="0"/>
    <x v="11"/>
    <x v="0"/>
    <s v="Hot"/>
    <s v="Medium"/>
    <n v="1"/>
    <n v="90"/>
    <n v="0"/>
    <n v="90"/>
    <n v="90"/>
    <x v="2"/>
    <x v="2"/>
    <x v="5"/>
    <x v="6"/>
    <x v="0"/>
    <x v="2"/>
    <n v="133"/>
    <n v="37"/>
    <x v="63"/>
    <x v="63"/>
    <x v="3"/>
    <x v="3"/>
    <n v="90"/>
    <x v="0"/>
    <n v="90"/>
    <x v="63"/>
    <x v="63"/>
    <x v="0"/>
    <x v="1"/>
    <x v="1"/>
    <s v="Tuesday"/>
  </r>
  <r>
    <s v="TXN-00065"/>
    <d v="2024-02-17T00:00:00"/>
    <d v="1899-12-30T15:50:00"/>
    <s v="Karan Mehta"/>
    <s v="CUST0195"/>
    <x v="3"/>
    <x v="10"/>
    <x v="1"/>
    <s v="Food"/>
    <s v="Large"/>
    <n v="1"/>
    <n v="100"/>
    <n v="0.05"/>
    <n v="100"/>
    <n v="95"/>
    <x v="2"/>
    <x v="2"/>
    <x v="6"/>
    <x v="7"/>
    <x v="0"/>
    <x v="4"/>
    <n v="100"/>
    <n v="37"/>
    <x v="64"/>
    <x v="64"/>
    <x v="3"/>
    <x v="3"/>
    <n v="100"/>
    <x v="32"/>
    <n v="95"/>
    <x v="64"/>
    <x v="64"/>
    <x v="0"/>
    <x v="3"/>
    <x v="3"/>
    <s v="Saturday"/>
  </r>
  <r>
    <s v="TXN-00066"/>
    <d v="2024-05-09T00:00:00"/>
    <d v="1899-12-30T11:20:00"/>
    <s v="Vivaan Singh"/>
    <s v="CUST0170"/>
    <x v="3"/>
    <x v="4"/>
    <x v="0"/>
    <s v="Cold"/>
    <s v="Small"/>
    <n v="3"/>
    <n v="155"/>
    <n v="0"/>
    <n v="465"/>
    <n v="465"/>
    <x v="2"/>
    <x v="2"/>
    <x v="3"/>
    <x v="7"/>
    <x v="1"/>
    <x v="2"/>
    <n v="497"/>
    <n v="53"/>
    <x v="65"/>
    <x v="65"/>
    <x v="4"/>
    <x v="3"/>
    <n v="465"/>
    <x v="0"/>
    <n v="465"/>
    <x v="65"/>
    <x v="65"/>
    <x v="0"/>
    <x v="6"/>
    <x v="6"/>
    <s v="Thursday"/>
  </r>
  <r>
    <s v="TXN-00067"/>
    <d v="2024-05-01T00:00:00"/>
    <d v="1899-12-30T09:30:00"/>
    <s v="Karan Malhotra"/>
    <s v="CUST0355"/>
    <x v="0"/>
    <x v="1"/>
    <x v="1"/>
    <s v="Food"/>
    <s v="Large"/>
    <n v="1"/>
    <n v="120"/>
    <n v="0.15"/>
    <n v="120"/>
    <n v="102"/>
    <x v="3"/>
    <x v="2"/>
    <x v="0"/>
    <x v="4"/>
    <x v="1"/>
    <x v="1"/>
    <n v="244"/>
    <n v="17"/>
    <x v="66"/>
    <x v="66"/>
    <x v="0"/>
    <x v="2"/>
    <n v="120"/>
    <x v="23"/>
    <n v="102"/>
    <x v="66"/>
    <x v="66"/>
    <x v="0"/>
    <x v="6"/>
    <x v="6"/>
    <s v="Wednesday"/>
  </r>
  <r>
    <s v="TXN-00068"/>
    <d v="2024-01-17T00:00:00"/>
    <d v="1899-12-30T20:00:00"/>
    <s v="Priya Kapoor"/>
    <s v="CUST0205"/>
    <x v="3"/>
    <x v="5"/>
    <x v="2"/>
    <s v="Hot"/>
    <s v="Unknown"/>
    <n v="1"/>
    <n v="95"/>
    <n v="0"/>
    <n v="95"/>
    <n v="95"/>
    <x v="0"/>
    <x v="3"/>
    <x v="6"/>
    <x v="1"/>
    <x v="2"/>
    <x v="2"/>
    <n v="499"/>
    <n v="35"/>
    <x v="67"/>
    <x v="67"/>
    <x v="4"/>
    <x v="3"/>
    <n v="95"/>
    <x v="0"/>
    <n v="95"/>
    <x v="67"/>
    <x v="67"/>
    <x v="0"/>
    <x v="2"/>
    <x v="2"/>
    <s v="Wednesday"/>
  </r>
  <r>
    <s v="TXN-00069"/>
    <d v="2024-04-13T00:00:00"/>
    <d v="1899-12-30T07:15:00"/>
    <s v="Rohan Kaur"/>
    <s v="CUST0182"/>
    <x v="0"/>
    <x v="14"/>
    <x v="3"/>
    <s v="Food"/>
    <s v="Large"/>
    <n v="2"/>
    <n v="190"/>
    <n v="0"/>
    <n v="380"/>
    <n v="380"/>
    <x v="2"/>
    <x v="3"/>
    <x v="3"/>
    <x v="1"/>
    <x v="2"/>
    <x v="0"/>
    <n v="264"/>
    <n v="36"/>
    <x v="68"/>
    <x v="68"/>
    <x v="3"/>
    <x v="0"/>
    <n v="380"/>
    <x v="0"/>
    <n v="380"/>
    <x v="68"/>
    <x v="68"/>
    <x v="0"/>
    <x v="8"/>
    <x v="8"/>
    <s v="Saturday"/>
  </r>
  <r>
    <s v="TXN-00070"/>
    <d v="2024-05-27T00:00:00"/>
    <d v="1899-12-30T12:30:00"/>
    <s v="Aarav Kapoor"/>
    <s v="CUST0246"/>
    <x v="2"/>
    <x v="15"/>
    <x v="4"/>
    <s v="Food"/>
    <s v="Medium"/>
    <n v="1"/>
    <n v="200"/>
    <n v="0"/>
    <n v="200"/>
    <n v="200"/>
    <x v="2"/>
    <x v="1"/>
    <x v="0"/>
    <x v="1"/>
    <x v="0"/>
    <x v="1"/>
    <n v="144"/>
    <n v="14"/>
    <x v="69"/>
    <x v="69"/>
    <x v="3"/>
    <x v="0"/>
    <n v="200"/>
    <x v="0"/>
    <n v="200"/>
    <x v="69"/>
    <x v="69"/>
    <x v="0"/>
    <x v="6"/>
    <x v="6"/>
    <s v="Monday"/>
  </r>
  <r>
    <s v="TXN-00071"/>
    <d v="2024-11-01T00:00:00"/>
    <d v="1899-12-30T16:00:00"/>
    <s v="Sneha Kapoor"/>
    <s v="CUST0235"/>
    <x v="3"/>
    <x v="4"/>
    <x v="0"/>
    <s v="Cold"/>
    <s v="Small"/>
    <n v="1"/>
    <n v="160"/>
    <n v="0.1"/>
    <n v="160"/>
    <n v="144"/>
    <x v="2"/>
    <x v="3"/>
    <x v="4"/>
    <x v="2"/>
    <x v="0"/>
    <x v="0"/>
    <n v="111"/>
    <n v="12"/>
    <x v="70"/>
    <x v="70"/>
    <x v="3"/>
    <x v="0"/>
    <n v="160"/>
    <x v="3"/>
    <n v="144"/>
    <x v="70"/>
    <x v="70"/>
    <x v="0"/>
    <x v="11"/>
    <x v="11"/>
    <s v="Friday"/>
  </r>
  <r>
    <s v="TXN-00072"/>
    <d v="2024-05-26T00:00:00"/>
    <d v="1899-12-30T12:15:00"/>
    <s v="Pooja Verma"/>
    <s v="CUST0143"/>
    <x v="3"/>
    <x v="1"/>
    <x v="1"/>
    <s v="Food"/>
    <s v="Large"/>
    <n v="1"/>
    <n v="120"/>
    <n v="0"/>
    <n v="120"/>
    <n v="120"/>
    <x v="2"/>
    <x v="0"/>
    <x v="1"/>
    <x v="6"/>
    <x v="2"/>
    <x v="0"/>
    <n v="216"/>
    <n v="34"/>
    <x v="71"/>
    <x v="71"/>
    <x v="3"/>
    <x v="1"/>
    <n v="120"/>
    <x v="0"/>
    <n v="120"/>
    <x v="71"/>
    <x v="71"/>
    <x v="0"/>
    <x v="6"/>
    <x v="6"/>
    <s v="Sunday"/>
  </r>
  <r>
    <s v="TXN-00073"/>
    <d v="2024-01-17T00:00:00"/>
    <d v="1899-12-30T11:15:00"/>
    <s v="Simran Malhotra"/>
    <s v="CUST0337"/>
    <x v="2"/>
    <x v="15"/>
    <x v="4"/>
    <s v="Food"/>
    <s v="Unknown"/>
    <n v="1"/>
    <n v="190"/>
    <n v="0.1"/>
    <n v="190"/>
    <n v="171"/>
    <x v="1"/>
    <x v="1"/>
    <x v="3"/>
    <x v="1"/>
    <x v="0"/>
    <x v="4"/>
    <n v="166"/>
    <n v="21"/>
    <x v="72"/>
    <x v="72"/>
    <x v="1"/>
    <x v="3"/>
    <n v="190"/>
    <x v="29"/>
    <n v="171"/>
    <x v="72"/>
    <x v="72"/>
    <x v="0"/>
    <x v="2"/>
    <x v="2"/>
    <s v="Wednesday"/>
  </r>
  <r>
    <s v="TXN-00074"/>
    <d v="2024-07-31T00:00:00"/>
    <d v="1899-12-30T15:30:00"/>
    <s v="Rahul Kaur"/>
    <s v="CUST0365"/>
    <x v="1"/>
    <x v="11"/>
    <x v="0"/>
    <s v="Hot"/>
    <s v="Large"/>
    <n v="3"/>
    <n v="90"/>
    <n v="0.1"/>
    <n v="270"/>
    <n v="243"/>
    <x v="1"/>
    <x v="1"/>
    <x v="2"/>
    <x v="5"/>
    <x v="0"/>
    <x v="4"/>
    <n v="25"/>
    <n v="42"/>
    <x v="73"/>
    <x v="73"/>
    <x v="0"/>
    <x v="0"/>
    <n v="270"/>
    <x v="33"/>
    <n v="243"/>
    <x v="73"/>
    <x v="73"/>
    <x v="0"/>
    <x v="7"/>
    <x v="7"/>
    <s v="Wednesday"/>
  </r>
  <r>
    <s v="TXN-00075"/>
    <d v="2024-03-21T00:00:00"/>
    <d v="1899-12-30T16:10:00"/>
    <s v="Arjun Mehta"/>
    <s v="CUST0292"/>
    <x v="0"/>
    <x v="12"/>
    <x v="1"/>
    <s v="Food"/>
    <s v="Large"/>
    <n v="1"/>
    <n v="95"/>
    <n v="0.05"/>
    <n v="95"/>
    <n v="90.25"/>
    <x v="3"/>
    <x v="0"/>
    <x v="3"/>
    <x v="5"/>
    <x v="2"/>
    <x v="0"/>
    <n v="333"/>
    <n v="34"/>
    <x v="74"/>
    <x v="74"/>
    <x v="4"/>
    <x v="3"/>
    <n v="95"/>
    <x v="34"/>
    <n v="90.25"/>
    <x v="74"/>
    <x v="74"/>
    <x v="0"/>
    <x v="5"/>
    <x v="5"/>
    <s v="Thursday"/>
  </r>
  <r>
    <s v="TXN-00076"/>
    <d v="2024-07-26T00:00:00"/>
    <d v="1899-12-30T18:45:00"/>
    <s v="Riya Mehta"/>
    <s v="CUST0376"/>
    <x v="2"/>
    <x v="2"/>
    <x v="1"/>
    <s v="Food"/>
    <s v="Large"/>
    <n v="1"/>
    <n v="70"/>
    <n v="0.05"/>
    <n v="70"/>
    <n v="66.5"/>
    <x v="1"/>
    <x v="3"/>
    <x v="2"/>
    <x v="6"/>
    <x v="0"/>
    <x v="4"/>
    <n v="75"/>
    <n v="21"/>
    <x v="75"/>
    <x v="75"/>
    <x v="3"/>
    <x v="1"/>
    <n v="70"/>
    <x v="35"/>
    <n v="66.5"/>
    <x v="75"/>
    <x v="75"/>
    <x v="0"/>
    <x v="7"/>
    <x v="7"/>
    <s v="Friday"/>
  </r>
  <r>
    <s v="TXN-00077"/>
    <d v="2024-04-19T00:00:00"/>
    <d v="1899-12-30T12:50:00"/>
    <s v="Priya Kaur"/>
    <s v="CUST0218"/>
    <x v="3"/>
    <x v="2"/>
    <x v="1"/>
    <s v="Food"/>
    <s v="Small"/>
    <n v="1"/>
    <n v="75"/>
    <n v="0.15"/>
    <n v="75"/>
    <n v="63.75"/>
    <x v="2"/>
    <x v="3"/>
    <x v="5"/>
    <x v="4"/>
    <x v="0"/>
    <x v="4"/>
    <n v="144"/>
    <n v="60"/>
    <x v="76"/>
    <x v="76"/>
    <x v="4"/>
    <x v="3"/>
    <n v="75"/>
    <x v="8"/>
    <n v="63.75"/>
    <x v="76"/>
    <x v="76"/>
    <x v="0"/>
    <x v="8"/>
    <x v="8"/>
    <s v="Friday"/>
  </r>
  <r>
    <s v="TXN-00078"/>
    <d v="2024-10-04T00:00:00"/>
    <d v="1899-12-30T20:20:00"/>
    <s v="Manish Singh"/>
    <s v="CUST0198"/>
    <x v="0"/>
    <x v="11"/>
    <x v="0"/>
    <s v="Hot"/>
    <s v="Medium"/>
    <n v="1"/>
    <n v="100"/>
    <n v="0.05"/>
    <n v="100"/>
    <n v="95"/>
    <x v="3"/>
    <x v="0"/>
    <x v="3"/>
    <x v="6"/>
    <x v="0"/>
    <x v="2"/>
    <n v="166"/>
    <n v="55"/>
    <x v="77"/>
    <x v="77"/>
    <x v="0"/>
    <x v="2"/>
    <n v="100"/>
    <x v="32"/>
    <n v="95"/>
    <x v="77"/>
    <x v="77"/>
    <x v="0"/>
    <x v="10"/>
    <x v="10"/>
    <s v="Friday"/>
  </r>
  <r>
    <s v="TXN-00079"/>
    <d v="2024-07-26T00:00:00"/>
    <d v="1899-12-30T13:10:00"/>
    <s v="Sahil Kaur"/>
    <s v="CUST0136"/>
    <x v="3"/>
    <x v="5"/>
    <x v="2"/>
    <s v="Hot"/>
    <s v="Medium"/>
    <n v="1"/>
    <n v="95"/>
    <n v="0.15"/>
    <n v="95"/>
    <n v="80.75"/>
    <x v="2"/>
    <x v="2"/>
    <x v="4"/>
    <x v="3"/>
    <x v="0"/>
    <x v="2"/>
    <n v="123"/>
    <n v="22"/>
    <x v="78"/>
    <x v="78"/>
    <x v="3"/>
    <x v="0"/>
    <n v="95"/>
    <x v="36"/>
    <n v="80.75"/>
    <x v="78"/>
    <x v="78"/>
    <x v="0"/>
    <x v="7"/>
    <x v="7"/>
    <s v="Friday"/>
  </r>
  <r>
    <s v="TXN-00080"/>
    <d v="2024-10-11T00:00:00"/>
    <d v="1899-12-30T12:00:00"/>
    <s v="Riya Bansal"/>
    <s v="Unknown"/>
    <x v="1"/>
    <x v="6"/>
    <x v="0"/>
    <s v="Hot"/>
    <s v="Small"/>
    <n v="5"/>
    <n v="100"/>
    <n v="0.05"/>
    <n v="500"/>
    <n v="475"/>
    <x v="1"/>
    <x v="0"/>
    <x v="3"/>
    <x v="1"/>
    <x v="1"/>
    <x v="4"/>
    <n v="237"/>
    <n v="34"/>
    <x v="79"/>
    <x v="79"/>
    <x v="2"/>
    <x v="0"/>
    <n v="500"/>
    <x v="37"/>
    <n v="475"/>
    <x v="79"/>
    <x v="79"/>
    <x v="0"/>
    <x v="10"/>
    <x v="10"/>
    <s v="Friday"/>
  </r>
  <r>
    <s v="TXN-00081"/>
    <d v="2024-10-24T00:00:00"/>
    <d v="1899-12-30T19:10:00"/>
    <s v="Pooja Sharma"/>
    <s v="CUST0129"/>
    <x v="3"/>
    <x v="8"/>
    <x v="0"/>
    <s v="Cold"/>
    <s v="Small"/>
    <n v="1"/>
    <n v="160"/>
    <n v="0.05"/>
    <n v="160"/>
    <n v="152"/>
    <x v="2"/>
    <x v="0"/>
    <x v="6"/>
    <x v="5"/>
    <x v="0"/>
    <x v="4"/>
    <n v="436"/>
    <n v="17"/>
    <x v="80"/>
    <x v="80"/>
    <x v="1"/>
    <x v="1"/>
    <n v="160"/>
    <x v="7"/>
    <n v="152"/>
    <x v="80"/>
    <x v="80"/>
    <x v="0"/>
    <x v="10"/>
    <x v="10"/>
    <s v="Thursday"/>
  </r>
  <r>
    <s v="TXN-00082"/>
    <d v="2024-09-18T00:00:00"/>
    <d v="1899-12-30T07:20:00"/>
    <s v="Karan Kapoor"/>
    <s v="CUST0125"/>
    <x v="2"/>
    <x v="3"/>
    <x v="0"/>
    <s v="Hot"/>
    <s v="Medium"/>
    <n v="2"/>
    <n v="120"/>
    <n v="0"/>
    <n v="240"/>
    <n v="240"/>
    <x v="2"/>
    <x v="1"/>
    <x v="2"/>
    <x v="2"/>
    <x v="1"/>
    <x v="2"/>
    <n v="379"/>
    <n v="16"/>
    <x v="81"/>
    <x v="81"/>
    <x v="3"/>
    <x v="0"/>
    <n v="240"/>
    <x v="0"/>
    <n v="240"/>
    <x v="81"/>
    <x v="81"/>
    <x v="0"/>
    <x v="0"/>
    <x v="0"/>
    <s v="Wednesday"/>
  </r>
  <r>
    <s v="TXN-00083"/>
    <d v="2024-02-15T00:00:00"/>
    <d v="1899-12-30T07:45:00"/>
    <s v="Unknown"/>
    <s v="CUST0166"/>
    <x v="2"/>
    <x v="2"/>
    <x v="1"/>
    <s v="Food"/>
    <s v="Medium"/>
    <n v="1"/>
    <n v="65"/>
    <n v="0"/>
    <n v="65"/>
    <n v="65"/>
    <x v="0"/>
    <x v="1"/>
    <x v="3"/>
    <x v="6"/>
    <x v="0"/>
    <x v="2"/>
    <n v="484"/>
    <n v="21"/>
    <x v="82"/>
    <x v="82"/>
    <x v="1"/>
    <x v="0"/>
    <n v="65"/>
    <x v="0"/>
    <n v="65"/>
    <x v="82"/>
    <x v="82"/>
    <x v="0"/>
    <x v="3"/>
    <x v="3"/>
    <s v="Thursday"/>
  </r>
  <r>
    <s v="TXN-00084"/>
    <d v="2024-12-26T00:00:00"/>
    <d v="1899-12-30T20:00:00"/>
    <s v="Priya Kapoor"/>
    <s v="Unknown"/>
    <x v="2"/>
    <x v="11"/>
    <x v="0"/>
    <s v="Hot"/>
    <s v="Large"/>
    <n v="1"/>
    <n v="85"/>
    <n v="0"/>
    <n v="85"/>
    <n v="85"/>
    <x v="1"/>
    <x v="3"/>
    <x v="3"/>
    <x v="2"/>
    <x v="0"/>
    <x v="4"/>
    <n v="244"/>
    <n v="55"/>
    <x v="83"/>
    <x v="83"/>
    <x v="2"/>
    <x v="2"/>
    <n v="85"/>
    <x v="0"/>
    <n v="85"/>
    <x v="83"/>
    <x v="83"/>
    <x v="0"/>
    <x v="9"/>
    <x v="9"/>
    <s v="Thursday"/>
  </r>
  <r>
    <s v="TXN-00085"/>
    <d v="2024-06-25T00:00:00"/>
    <d v="1899-12-30T20:45:00"/>
    <s v="Vivaan Bansal"/>
    <s v="CUST0337"/>
    <x v="3"/>
    <x v="12"/>
    <x v="1"/>
    <s v="Food"/>
    <s v="Small"/>
    <n v="3"/>
    <n v="85"/>
    <n v="0.1"/>
    <n v="255"/>
    <n v="229.5"/>
    <x v="0"/>
    <x v="3"/>
    <x v="2"/>
    <x v="0"/>
    <x v="0"/>
    <x v="2"/>
    <n v="52"/>
    <n v="35"/>
    <x v="84"/>
    <x v="84"/>
    <x v="1"/>
    <x v="2"/>
    <n v="255"/>
    <x v="38"/>
    <n v="229.5"/>
    <x v="84"/>
    <x v="84"/>
    <x v="0"/>
    <x v="4"/>
    <x v="4"/>
    <s v="Tuesday"/>
  </r>
  <r>
    <s v="TXN-00086"/>
    <d v="2024-01-23T00:00:00"/>
    <d v="1899-12-30T21:15:00"/>
    <s v="Nikhil Chopra"/>
    <s v="CUST0398"/>
    <x v="2"/>
    <x v="8"/>
    <x v="0"/>
    <s v="Cold"/>
    <s v="Small"/>
    <n v="1"/>
    <n v="165"/>
    <n v="0.05"/>
    <n v="165"/>
    <n v="156.75"/>
    <x v="0"/>
    <x v="3"/>
    <x v="6"/>
    <x v="5"/>
    <x v="0"/>
    <x v="1"/>
    <n v="258"/>
    <n v="45"/>
    <x v="85"/>
    <x v="85"/>
    <x v="0"/>
    <x v="0"/>
    <n v="165"/>
    <x v="39"/>
    <n v="156.75"/>
    <x v="85"/>
    <x v="85"/>
    <x v="0"/>
    <x v="2"/>
    <x v="2"/>
    <s v="Tuesday"/>
  </r>
  <r>
    <s v="TXN-00087"/>
    <d v="2024-06-19T00:00:00"/>
    <d v="1899-12-30T20:15:00"/>
    <s v="Kavya Sharma"/>
    <s v="CUST0244"/>
    <x v="3"/>
    <x v="11"/>
    <x v="0"/>
    <s v="Hot"/>
    <s v="Small"/>
    <n v="2"/>
    <n v="90"/>
    <n v="0.05"/>
    <n v="180"/>
    <n v="171"/>
    <x v="0"/>
    <x v="0"/>
    <x v="2"/>
    <x v="2"/>
    <x v="0"/>
    <x v="1"/>
    <n v="460"/>
    <n v="58"/>
    <x v="86"/>
    <x v="86"/>
    <x v="4"/>
    <x v="1"/>
    <n v="180"/>
    <x v="13"/>
    <n v="171"/>
    <x v="86"/>
    <x v="86"/>
    <x v="0"/>
    <x v="4"/>
    <x v="4"/>
    <s v="Wednesday"/>
  </r>
  <r>
    <s v="TXN-00088"/>
    <d v="2024-02-10T00:00:00"/>
    <d v="1899-12-30T16:50:00"/>
    <s v="Aarav Malhotra"/>
    <s v="Unknown"/>
    <x v="3"/>
    <x v="6"/>
    <x v="0"/>
    <s v="Hot"/>
    <s v="Small"/>
    <n v="1"/>
    <n v="105"/>
    <n v="0.05"/>
    <n v="105"/>
    <n v="99.75"/>
    <x v="3"/>
    <x v="1"/>
    <x v="5"/>
    <x v="5"/>
    <x v="0"/>
    <x v="4"/>
    <n v="112"/>
    <n v="21"/>
    <x v="87"/>
    <x v="87"/>
    <x v="4"/>
    <x v="2"/>
    <n v="105"/>
    <x v="40"/>
    <n v="99.75"/>
    <x v="87"/>
    <x v="87"/>
    <x v="0"/>
    <x v="3"/>
    <x v="3"/>
    <s v="Saturday"/>
  </r>
  <r>
    <s v="TXN-00089"/>
    <d v="2024-12-27T00:00:00"/>
    <d v="1899-12-30T19:00:00"/>
    <s v="Riya Mehta"/>
    <s v="CUST0247"/>
    <x v="3"/>
    <x v="5"/>
    <x v="2"/>
    <s v="Hot"/>
    <s v="Large"/>
    <n v="1"/>
    <n v="95"/>
    <n v="0"/>
    <n v="95"/>
    <n v="95"/>
    <x v="1"/>
    <x v="2"/>
    <x v="6"/>
    <x v="3"/>
    <x v="0"/>
    <x v="4"/>
    <n v="133"/>
    <n v="55"/>
    <x v="88"/>
    <x v="88"/>
    <x v="0"/>
    <x v="4"/>
    <n v="95"/>
    <x v="0"/>
    <n v="95"/>
    <x v="88"/>
    <x v="88"/>
    <x v="0"/>
    <x v="9"/>
    <x v="9"/>
    <s v="Friday"/>
  </r>
  <r>
    <s v="TXN-00090"/>
    <d v="2024-05-20T00:00:00"/>
    <d v="1899-12-30T20:50:00"/>
    <s v="Pooja Singh"/>
    <s v="CUST0328"/>
    <x v="2"/>
    <x v="13"/>
    <x v="2"/>
    <s v="Cold"/>
    <s v="Medium"/>
    <n v="2"/>
    <n v="115"/>
    <n v="0"/>
    <n v="230"/>
    <n v="230"/>
    <x v="2"/>
    <x v="0"/>
    <x v="1"/>
    <x v="5"/>
    <x v="0"/>
    <x v="2"/>
    <n v="300"/>
    <n v="34"/>
    <x v="89"/>
    <x v="89"/>
    <x v="3"/>
    <x v="1"/>
    <n v="230"/>
    <x v="0"/>
    <n v="230"/>
    <x v="89"/>
    <x v="89"/>
    <x v="0"/>
    <x v="6"/>
    <x v="6"/>
    <s v="Monday"/>
  </r>
  <r>
    <s v="TXN-00091"/>
    <d v="2024-02-02T00:00:00"/>
    <d v="1899-12-30T09:10:00"/>
    <s v="Ananya Kaur"/>
    <s v="CUST0231"/>
    <x v="1"/>
    <x v="3"/>
    <x v="0"/>
    <s v="Hot"/>
    <s v="Large"/>
    <n v="1"/>
    <n v="130"/>
    <n v="0.05"/>
    <n v="130"/>
    <n v="123.5"/>
    <x v="1"/>
    <x v="3"/>
    <x v="1"/>
    <x v="2"/>
    <x v="0"/>
    <x v="2"/>
    <n v="275"/>
    <n v="54"/>
    <x v="90"/>
    <x v="90"/>
    <x v="2"/>
    <x v="1"/>
    <n v="130"/>
    <x v="41"/>
    <n v="123.5"/>
    <x v="90"/>
    <x v="90"/>
    <x v="0"/>
    <x v="3"/>
    <x v="3"/>
    <s v="Friday"/>
  </r>
  <r>
    <s v="TXN-00092"/>
    <d v="2024-11-16T00:00:00"/>
    <d v="1899-12-30T21:20:00"/>
    <s v="Priya Mehta"/>
    <s v="CUST0108"/>
    <x v="0"/>
    <x v="9"/>
    <x v="2"/>
    <s v="Hot"/>
    <s v="Medium"/>
    <n v="1"/>
    <n v="75"/>
    <n v="0"/>
    <n v="75"/>
    <n v="75"/>
    <x v="3"/>
    <x v="2"/>
    <x v="5"/>
    <x v="6"/>
    <x v="1"/>
    <x v="2"/>
    <n v="244"/>
    <n v="17"/>
    <x v="91"/>
    <x v="91"/>
    <x v="4"/>
    <x v="4"/>
    <n v="75"/>
    <x v="0"/>
    <n v="75"/>
    <x v="91"/>
    <x v="91"/>
    <x v="0"/>
    <x v="11"/>
    <x v="11"/>
    <s v="Saturday"/>
  </r>
  <r>
    <s v="TXN-00093"/>
    <d v="2024-04-23T00:00:00"/>
    <d v="1899-12-30T09:15:00"/>
    <s v="Vivaan Malhotra"/>
    <s v="CUST0196"/>
    <x v="1"/>
    <x v="6"/>
    <x v="0"/>
    <s v="Hot"/>
    <s v="Unknown"/>
    <n v="1"/>
    <n v="95"/>
    <n v="0"/>
    <n v="95"/>
    <n v="95"/>
    <x v="0"/>
    <x v="3"/>
    <x v="5"/>
    <x v="6"/>
    <x v="0"/>
    <x v="3"/>
    <n v="336"/>
    <n v="22"/>
    <x v="92"/>
    <x v="92"/>
    <x v="4"/>
    <x v="0"/>
    <n v="95"/>
    <x v="0"/>
    <n v="95"/>
    <x v="92"/>
    <x v="92"/>
    <x v="0"/>
    <x v="8"/>
    <x v="8"/>
    <s v="Tuesday"/>
  </r>
  <r>
    <s v="TXN-00094"/>
    <d v="2024-04-16T00:00:00"/>
    <d v="1899-12-30T20:30:00"/>
    <s v="Isha Kapoor"/>
    <s v="CUST0343"/>
    <x v="1"/>
    <x v="2"/>
    <x v="1"/>
    <s v="Food"/>
    <s v="Small"/>
    <n v="1"/>
    <n v="70"/>
    <n v="0.15"/>
    <n v="70"/>
    <n v="59.5"/>
    <x v="2"/>
    <x v="3"/>
    <x v="5"/>
    <x v="6"/>
    <x v="0"/>
    <x v="4"/>
    <n v="247"/>
    <n v="38"/>
    <x v="93"/>
    <x v="93"/>
    <x v="4"/>
    <x v="0"/>
    <n v="70"/>
    <x v="25"/>
    <n v="59.5"/>
    <x v="93"/>
    <x v="93"/>
    <x v="0"/>
    <x v="8"/>
    <x v="8"/>
    <s v="Tuesday"/>
  </r>
  <r>
    <s v="TXN-00095"/>
    <d v="2024-12-03T00:00:00"/>
    <d v="1899-12-30T12:30:00"/>
    <s v="Priya Chopra"/>
    <s v="CUST0280"/>
    <x v="1"/>
    <x v="15"/>
    <x v="4"/>
    <s v="Food"/>
    <s v="Small"/>
    <n v="1"/>
    <n v="185"/>
    <n v="0"/>
    <n v="185"/>
    <n v="185"/>
    <x v="0"/>
    <x v="0"/>
    <x v="0"/>
    <x v="0"/>
    <x v="2"/>
    <x v="4"/>
    <n v="244"/>
    <n v="33"/>
    <x v="94"/>
    <x v="94"/>
    <x v="1"/>
    <x v="3"/>
    <n v="185"/>
    <x v="0"/>
    <n v="185"/>
    <x v="94"/>
    <x v="94"/>
    <x v="0"/>
    <x v="9"/>
    <x v="9"/>
    <s v="Tuesday"/>
  </r>
  <r>
    <s v="TXN-00096"/>
    <d v="2024-05-28T00:00:00"/>
    <d v="1899-12-30T16:20:00"/>
    <s v="Isha Kaur"/>
    <s v="CUST0256"/>
    <x v="3"/>
    <x v="6"/>
    <x v="0"/>
    <s v="Hot"/>
    <s v="Small"/>
    <n v="1"/>
    <n v="110"/>
    <n v="0.15"/>
    <n v="110"/>
    <n v="93.5"/>
    <x v="2"/>
    <x v="3"/>
    <x v="6"/>
    <x v="4"/>
    <x v="0"/>
    <x v="4"/>
    <n v="244"/>
    <n v="51"/>
    <x v="95"/>
    <x v="95"/>
    <x v="0"/>
    <x v="0"/>
    <n v="110"/>
    <x v="42"/>
    <n v="93.5"/>
    <x v="95"/>
    <x v="95"/>
    <x v="0"/>
    <x v="6"/>
    <x v="6"/>
    <s v="Tuesday"/>
  </r>
  <r>
    <s v="TXN-00097"/>
    <d v="2024-06-17T00:00:00"/>
    <d v="1899-12-30T08:45:00"/>
    <s v="Aditya Kaur"/>
    <s v="CUST0207"/>
    <x v="3"/>
    <x v="13"/>
    <x v="2"/>
    <s v="Cold"/>
    <s v="Small"/>
    <n v="2"/>
    <n v="110"/>
    <n v="0"/>
    <n v="220"/>
    <n v="220"/>
    <x v="2"/>
    <x v="3"/>
    <x v="2"/>
    <x v="3"/>
    <x v="0"/>
    <x v="2"/>
    <n v="168"/>
    <n v="50"/>
    <x v="96"/>
    <x v="96"/>
    <x v="3"/>
    <x v="4"/>
    <n v="220"/>
    <x v="0"/>
    <n v="220"/>
    <x v="96"/>
    <x v="96"/>
    <x v="0"/>
    <x v="4"/>
    <x v="4"/>
    <s v="Monday"/>
  </r>
  <r>
    <s v="TXN-00098"/>
    <d v="2024-06-25T00:00:00"/>
    <d v="1899-12-30T14:10:00"/>
    <s v="Sneha Gupta"/>
    <s v="CUST0281"/>
    <x v="2"/>
    <x v="7"/>
    <x v="0"/>
    <s v="Hot"/>
    <s v="Large"/>
    <n v="2"/>
    <n v="155"/>
    <n v="0"/>
    <n v="310"/>
    <n v="310"/>
    <x v="0"/>
    <x v="2"/>
    <x v="3"/>
    <x v="2"/>
    <x v="2"/>
    <x v="2"/>
    <n v="131"/>
    <n v="19"/>
    <x v="97"/>
    <x v="97"/>
    <x v="0"/>
    <x v="2"/>
    <n v="310"/>
    <x v="0"/>
    <n v="310"/>
    <x v="97"/>
    <x v="97"/>
    <x v="0"/>
    <x v="4"/>
    <x v="4"/>
    <s v="Tuesday"/>
  </r>
  <r>
    <s v="TXN-00099"/>
    <d v="2024-11-07T00:00:00"/>
    <d v="1899-12-30T09:30:00"/>
    <s v="Simran Singh"/>
    <s v="CUST0301"/>
    <x v="2"/>
    <x v="2"/>
    <x v="1"/>
    <s v="Food"/>
    <s v="Medium"/>
    <n v="2"/>
    <n v="65"/>
    <n v="0.1"/>
    <n v="130"/>
    <n v="117"/>
    <x v="3"/>
    <x v="0"/>
    <x v="6"/>
    <x v="6"/>
    <x v="1"/>
    <x v="1"/>
    <n v="31"/>
    <n v="34"/>
    <x v="98"/>
    <x v="98"/>
    <x v="3"/>
    <x v="2"/>
    <n v="130"/>
    <x v="17"/>
    <n v="117"/>
    <x v="98"/>
    <x v="98"/>
    <x v="0"/>
    <x v="11"/>
    <x v="11"/>
    <s v="Thursday"/>
  </r>
  <r>
    <s v="TXN-00100"/>
    <d v="2024-02-21T00:00:00"/>
    <d v="1899-12-30T18:15:00"/>
    <s v="Ananya Kapoor"/>
    <s v="CUST0268"/>
    <x v="2"/>
    <x v="3"/>
    <x v="0"/>
    <s v="Hot"/>
    <s v="Large"/>
    <n v="3"/>
    <n v="120"/>
    <n v="0.15"/>
    <n v="360"/>
    <n v="306"/>
    <x v="2"/>
    <x v="0"/>
    <x v="5"/>
    <x v="6"/>
    <x v="0"/>
    <x v="4"/>
    <n v="244"/>
    <n v="43"/>
    <x v="99"/>
    <x v="99"/>
    <x v="0"/>
    <x v="1"/>
    <n v="360"/>
    <x v="43"/>
    <n v="306"/>
    <x v="99"/>
    <x v="99"/>
    <x v="0"/>
    <x v="3"/>
    <x v="3"/>
    <s v="Wednesday"/>
  </r>
  <r>
    <s v="TXN-00101"/>
    <d v="2024-02-07T00:00:00"/>
    <d v="1899-12-30T08:45:00"/>
    <s v="Meera Kapoor"/>
    <s v="CUST0225"/>
    <x v="1"/>
    <x v="9"/>
    <x v="2"/>
    <s v="Hot"/>
    <s v="Large"/>
    <n v="1"/>
    <n v="80"/>
    <n v="0.15"/>
    <n v="80"/>
    <n v="68"/>
    <x v="1"/>
    <x v="3"/>
    <x v="0"/>
    <x v="2"/>
    <x v="0"/>
    <x v="4"/>
    <n v="128"/>
    <n v="44"/>
    <x v="100"/>
    <x v="100"/>
    <x v="1"/>
    <x v="3"/>
    <n v="80"/>
    <x v="2"/>
    <n v="68"/>
    <x v="100"/>
    <x v="100"/>
    <x v="0"/>
    <x v="3"/>
    <x v="3"/>
    <s v="Wednesday"/>
  </r>
  <r>
    <s v="TXN-00102"/>
    <d v="2024-06-13T00:00:00"/>
    <d v="1899-12-30T18:00:00"/>
    <s v="Ananya Chopra"/>
    <s v="CUST0154"/>
    <x v="3"/>
    <x v="11"/>
    <x v="0"/>
    <s v="Hot"/>
    <s v="Medium"/>
    <n v="1"/>
    <n v="90"/>
    <n v="0.05"/>
    <n v="90"/>
    <n v="85.5"/>
    <x v="2"/>
    <x v="3"/>
    <x v="5"/>
    <x v="5"/>
    <x v="0"/>
    <x v="0"/>
    <n v="341"/>
    <n v="35"/>
    <x v="101"/>
    <x v="101"/>
    <x v="4"/>
    <x v="2"/>
    <n v="90"/>
    <x v="31"/>
    <n v="85.5"/>
    <x v="101"/>
    <x v="101"/>
    <x v="0"/>
    <x v="4"/>
    <x v="4"/>
    <s v="Thursday"/>
  </r>
  <r>
    <s v="TXN-00103"/>
    <d v="2024-08-12T00:00:00"/>
    <d v="1899-12-30T11:15:00"/>
    <s v="Ananya Sharma"/>
    <s v="CUST0312"/>
    <x v="2"/>
    <x v="11"/>
    <x v="0"/>
    <s v="Hot"/>
    <s v="Medium"/>
    <n v="4"/>
    <n v="90"/>
    <n v="0"/>
    <n v="360"/>
    <n v="360"/>
    <x v="2"/>
    <x v="3"/>
    <x v="3"/>
    <x v="2"/>
    <x v="0"/>
    <x v="2"/>
    <n v="459"/>
    <n v="35"/>
    <x v="102"/>
    <x v="102"/>
    <x v="1"/>
    <x v="4"/>
    <n v="360"/>
    <x v="0"/>
    <n v="360"/>
    <x v="102"/>
    <x v="102"/>
    <x v="0"/>
    <x v="1"/>
    <x v="1"/>
    <s v="Monday"/>
  </r>
  <r>
    <s v="TXN-00104"/>
    <d v="2024-05-13T00:00:00"/>
    <d v="1899-12-30T20:50:00"/>
    <s v="Unknown"/>
    <s v="CUST0223"/>
    <x v="1"/>
    <x v="11"/>
    <x v="0"/>
    <s v="Hot"/>
    <s v="Large"/>
    <n v="2"/>
    <n v="90"/>
    <n v="0"/>
    <n v="180"/>
    <n v="180"/>
    <x v="0"/>
    <x v="2"/>
    <x v="1"/>
    <x v="0"/>
    <x v="1"/>
    <x v="0"/>
    <n v="194"/>
    <n v="58"/>
    <x v="103"/>
    <x v="103"/>
    <x v="3"/>
    <x v="4"/>
    <n v="180"/>
    <x v="0"/>
    <n v="180"/>
    <x v="103"/>
    <x v="103"/>
    <x v="0"/>
    <x v="6"/>
    <x v="6"/>
    <s v="Monday"/>
  </r>
  <r>
    <s v="TXN-00105"/>
    <d v="2024-08-05T00:00:00"/>
    <d v="1899-12-30T17:30:00"/>
    <s v="Priya Singh"/>
    <s v="CUST0144"/>
    <x v="0"/>
    <x v="12"/>
    <x v="1"/>
    <s v="Food"/>
    <s v="Unknown"/>
    <n v="2"/>
    <n v="90"/>
    <n v="0.05"/>
    <n v="180"/>
    <n v="171"/>
    <x v="1"/>
    <x v="0"/>
    <x v="6"/>
    <x v="4"/>
    <x v="0"/>
    <x v="4"/>
    <n v="2"/>
    <n v="15"/>
    <x v="104"/>
    <x v="104"/>
    <x v="0"/>
    <x v="4"/>
    <n v="180"/>
    <x v="13"/>
    <n v="171"/>
    <x v="104"/>
    <x v="104"/>
    <x v="0"/>
    <x v="1"/>
    <x v="1"/>
    <s v="Monday"/>
  </r>
  <r>
    <s v="TXN-00106"/>
    <d v="2024-01-13T00:00:00"/>
    <d v="1899-12-30T20:20:00"/>
    <s v="Kavya Gupta"/>
    <s v="CUST0209"/>
    <x v="3"/>
    <x v="9"/>
    <x v="2"/>
    <s v="Hot"/>
    <s v="Small"/>
    <n v="3"/>
    <n v="80"/>
    <n v="0.1"/>
    <n v="240"/>
    <n v="216"/>
    <x v="1"/>
    <x v="0"/>
    <x v="0"/>
    <x v="3"/>
    <x v="2"/>
    <x v="0"/>
    <n v="435"/>
    <n v="14"/>
    <x v="105"/>
    <x v="105"/>
    <x v="4"/>
    <x v="1"/>
    <n v="240"/>
    <x v="27"/>
    <n v="216"/>
    <x v="105"/>
    <x v="105"/>
    <x v="0"/>
    <x v="2"/>
    <x v="2"/>
    <s v="Saturday"/>
  </r>
  <r>
    <s v="TXN-00107"/>
    <d v="2024-02-22T00:00:00"/>
    <d v="1899-12-30T12:50:00"/>
    <s v="Arjun Mehta"/>
    <s v="CUST0331"/>
    <x v="1"/>
    <x v="9"/>
    <x v="2"/>
    <s v="Hot"/>
    <s v="Large"/>
    <n v="4"/>
    <n v="80"/>
    <n v="0"/>
    <n v="320"/>
    <n v="320"/>
    <x v="2"/>
    <x v="1"/>
    <x v="5"/>
    <x v="4"/>
    <x v="0"/>
    <x v="4"/>
    <n v="248"/>
    <n v="46"/>
    <x v="106"/>
    <x v="106"/>
    <x v="0"/>
    <x v="2"/>
    <n v="320"/>
    <x v="0"/>
    <n v="320"/>
    <x v="106"/>
    <x v="106"/>
    <x v="0"/>
    <x v="3"/>
    <x v="3"/>
    <s v="Thursday"/>
  </r>
  <r>
    <s v="TXN-00108"/>
    <d v="2024-03-31T00:00:00"/>
    <d v="1899-12-30T13:10:00"/>
    <s v="Rahul Gupta"/>
    <s v="CUST0337"/>
    <x v="2"/>
    <x v="3"/>
    <x v="0"/>
    <s v="Hot"/>
    <s v="Large"/>
    <n v="2"/>
    <n v="125"/>
    <n v="0.1"/>
    <n v="250"/>
    <n v="225"/>
    <x v="0"/>
    <x v="0"/>
    <x v="2"/>
    <x v="5"/>
    <x v="0"/>
    <x v="1"/>
    <n v="82"/>
    <n v="24"/>
    <x v="107"/>
    <x v="107"/>
    <x v="3"/>
    <x v="0"/>
    <n v="250"/>
    <x v="37"/>
    <n v="225"/>
    <x v="107"/>
    <x v="107"/>
    <x v="0"/>
    <x v="5"/>
    <x v="5"/>
    <s v="Sunday"/>
  </r>
  <r>
    <s v="TXN-00109"/>
    <d v="2024-12-15T00:00:00"/>
    <d v="1899-12-30T17:30:00"/>
    <s v="Rohan Malhotra"/>
    <s v="CUST0326"/>
    <x v="2"/>
    <x v="5"/>
    <x v="2"/>
    <s v="Hot"/>
    <s v="Medium"/>
    <n v="1"/>
    <n v="90"/>
    <n v="0"/>
    <n v="90"/>
    <n v="90"/>
    <x v="2"/>
    <x v="0"/>
    <x v="2"/>
    <x v="3"/>
    <x v="2"/>
    <x v="2"/>
    <n v="192"/>
    <n v="24"/>
    <x v="108"/>
    <x v="108"/>
    <x v="3"/>
    <x v="0"/>
    <n v="90"/>
    <x v="0"/>
    <n v="90"/>
    <x v="108"/>
    <x v="108"/>
    <x v="0"/>
    <x v="9"/>
    <x v="9"/>
    <s v="Sunday"/>
  </r>
  <r>
    <s v="TXN-00110"/>
    <d v="2024-01-09T00:00:00"/>
    <d v="1899-12-30T11:10:00"/>
    <s v="Simran Singh"/>
    <s v="CUST0144"/>
    <x v="2"/>
    <x v="14"/>
    <x v="3"/>
    <s v="Food"/>
    <s v="Large"/>
    <n v="1"/>
    <n v="180"/>
    <n v="0"/>
    <n v="180"/>
    <n v="180"/>
    <x v="0"/>
    <x v="3"/>
    <x v="0"/>
    <x v="5"/>
    <x v="0"/>
    <x v="2"/>
    <n v="79"/>
    <n v="24"/>
    <x v="109"/>
    <x v="109"/>
    <x v="0"/>
    <x v="0"/>
    <n v="180"/>
    <x v="0"/>
    <n v="180"/>
    <x v="109"/>
    <x v="109"/>
    <x v="0"/>
    <x v="2"/>
    <x v="2"/>
    <s v="Tuesday"/>
  </r>
  <r>
    <s v="TXN-00111"/>
    <d v="2024-09-10T00:00:00"/>
    <d v="1899-12-30T09:45:00"/>
    <s v="Isha Verma"/>
    <s v="Unknown"/>
    <x v="2"/>
    <x v="8"/>
    <x v="0"/>
    <s v="Cold"/>
    <s v="Medium"/>
    <n v="1"/>
    <n v="155"/>
    <n v="0.05"/>
    <n v="155"/>
    <n v="147.25"/>
    <x v="2"/>
    <x v="1"/>
    <x v="6"/>
    <x v="3"/>
    <x v="0"/>
    <x v="0"/>
    <n v="185"/>
    <n v="40"/>
    <x v="110"/>
    <x v="110"/>
    <x v="2"/>
    <x v="0"/>
    <n v="155"/>
    <x v="44"/>
    <n v="147.25"/>
    <x v="110"/>
    <x v="110"/>
    <x v="0"/>
    <x v="0"/>
    <x v="0"/>
    <s v="Tuesday"/>
  </r>
  <r>
    <s v="TXN-00112"/>
    <d v="2024-02-29T00:00:00"/>
    <d v="1899-12-30T09:45:00"/>
    <s v="Arjun Malhotra"/>
    <s v="Unknown"/>
    <x v="0"/>
    <x v="4"/>
    <x v="0"/>
    <s v="Cold"/>
    <s v="Small"/>
    <n v="1"/>
    <n v="150"/>
    <n v="0.05"/>
    <n v="150"/>
    <n v="142.5"/>
    <x v="0"/>
    <x v="0"/>
    <x v="5"/>
    <x v="3"/>
    <x v="0"/>
    <x v="2"/>
    <n v="32"/>
    <n v="49"/>
    <x v="111"/>
    <x v="111"/>
    <x v="3"/>
    <x v="3"/>
    <n v="150"/>
    <x v="45"/>
    <n v="142.5"/>
    <x v="111"/>
    <x v="111"/>
    <x v="0"/>
    <x v="3"/>
    <x v="3"/>
    <s v="Thursday"/>
  </r>
  <r>
    <s v="TXN-00113"/>
    <d v="2024-02-27T00:00:00"/>
    <d v="1899-12-30T15:10:00"/>
    <s v="Sneha Kaur"/>
    <s v="CUST0297"/>
    <x v="2"/>
    <x v="8"/>
    <x v="0"/>
    <s v="Cold"/>
    <s v="Small"/>
    <n v="1"/>
    <n v="170"/>
    <n v="0.1"/>
    <n v="170"/>
    <n v="153"/>
    <x v="0"/>
    <x v="3"/>
    <x v="1"/>
    <x v="7"/>
    <x v="0"/>
    <x v="1"/>
    <n v="100"/>
    <n v="53"/>
    <x v="112"/>
    <x v="112"/>
    <x v="0"/>
    <x v="0"/>
    <n v="170"/>
    <x v="18"/>
    <n v="153"/>
    <x v="112"/>
    <x v="112"/>
    <x v="0"/>
    <x v="3"/>
    <x v="3"/>
    <s v="Tuesday"/>
  </r>
  <r>
    <s v="TXN-00114"/>
    <d v="2024-06-28T00:00:00"/>
    <d v="1899-12-30T18:10:00"/>
    <s v="Arjun Gupta"/>
    <s v="CUST0221"/>
    <x v="3"/>
    <x v="0"/>
    <x v="0"/>
    <s v="Hot"/>
    <s v="Small"/>
    <n v="4"/>
    <n v="135"/>
    <n v="0"/>
    <n v="540"/>
    <n v="540"/>
    <x v="2"/>
    <x v="2"/>
    <x v="0"/>
    <x v="2"/>
    <x v="0"/>
    <x v="4"/>
    <n v="244"/>
    <n v="28"/>
    <x v="113"/>
    <x v="113"/>
    <x v="0"/>
    <x v="2"/>
    <n v="540"/>
    <x v="0"/>
    <n v="540"/>
    <x v="113"/>
    <x v="113"/>
    <x v="0"/>
    <x v="4"/>
    <x v="4"/>
    <s v="Friday"/>
  </r>
  <r>
    <s v="TXN-00115"/>
    <d v="2024-06-05T00:00:00"/>
    <d v="1899-12-30T07:10:00"/>
    <s v="Kavya Mehta"/>
    <s v="CUST0307"/>
    <x v="3"/>
    <x v="10"/>
    <x v="1"/>
    <s v="Food"/>
    <s v="Large"/>
    <n v="2"/>
    <n v="95"/>
    <n v="0"/>
    <n v="190"/>
    <n v="190"/>
    <x v="2"/>
    <x v="3"/>
    <x v="5"/>
    <x v="7"/>
    <x v="0"/>
    <x v="2"/>
    <n v="132"/>
    <n v="49"/>
    <x v="114"/>
    <x v="114"/>
    <x v="4"/>
    <x v="0"/>
    <n v="190"/>
    <x v="0"/>
    <n v="190"/>
    <x v="114"/>
    <x v="114"/>
    <x v="0"/>
    <x v="4"/>
    <x v="4"/>
    <s v="Wednesday"/>
  </r>
  <r>
    <s v="TXN-00116"/>
    <d v="2024-02-29T00:00:00"/>
    <d v="1899-12-30T08:00:00"/>
    <s v="Unknown"/>
    <s v="CUST0277"/>
    <x v="0"/>
    <x v="8"/>
    <x v="0"/>
    <s v="Cold"/>
    <s v="Large"/>
    <n v="1"/>
    <n v="165"/>
    <n v="0.1"/>
    <n v="165"/>
    <n v="148.5"/>
    <x v="1"/>
    <x v="3"/>
    <x v="6"/>
    <x v="3"/>
    <x v="0"/>
    <x v="3"/>
    <n v="499"/>
    <n v="29"/>
    <x v="115"/>
    <x v="115"/>
    <x v="1"/>
    <x v="4"/>
    <n v="165"/>
    <x v="42"/>
    <n v="148.5"/>
    <x v="115"/>
    <x v="115"/>
    <x v="0"/>
    <x v="3"/>
    <x v="3"/>
    <s v="Thursday"/>
  </r>
  <r>
    <s v="TXN-00117"/>
    <d v="2024-12-30T00:00:00"/>
    <d v="1899-12-30T20:30:00"/>
    <s v="Rahul Kapoor"/>
    <s v="Unknown"/>
    <x v="2"/>
    <x v="12"/>
    <x v="1"/>
    <s v="Food"/>
    <s v="Small"/>
    <n v="1"/>
    <n v="90"/>
    <n v="0"/>
    <n v="90"/>
    <n v="90"/>
    <x v="1"/>
    <x v="0"/>
    <x v="3"/>
    <x v="1"/>
    <x v="0"/>
    <x v="4"/>
    <n v="170"/>
    <n v="38"/>
    <x v="116"/>
    <x v="116"/>
    <x v="1"/>
    <x v="4"/>
    <n v="90"/>
    <x v="0"/>
    <n v="90"/>
    <x v="116"/>
    <x v="116"/>
    <x v="0"/>
    <x v="9"/>
    <x v="9"/>
    <s v="Monday"/>
  </r>
  <r>
    <s v="TXN-00118"/>
    <d v="2024-01-06T00:00:00"/>
    <d v="1899-12-30T11:00:00"/>
    <s v="Arjun Verma"/>
    <s v="CUST0216"/>
    <x v="2"/>
    <x v="5"/>
    <x v="2"/>
    <s v="Hot"/>
    <s v="Large"/>
    <n v="2"/>
    <n v="100"/>
    <n v="0"/>
    <n v="200"/>
    <n v="200"/>
    <x v="0"/>
    <x v="0"/>
    <x v="0"/>
    <x v="7"/>
    <x v="0"/>
    <x v="2"/>
    <n v="66"/>
    <n v="31"/>
    <x v="117"/>
    <x v="117"/>
    <x v="3"/>
    <x v="2"/>
    <n v="200"/>
    <x v="0"/>
    <n v="200"/>
    <x v="117"/>
    <x v="117"/>
    <x v="0"/>
    <x v="2"/>
    <x v="2"/>
    <s v="Saturday"/>
  </r>
  <r>
    <s v="TXN-00119"/>
    <d v="2024-10-25T00:00:00"/>
    <d v="1899-12-30T19:00:00"/>
    <s v="Karan Malhotra"/>
    <s v="CUST0274"/>
    <x v="3"/>
    <x v="2"/>
    <x v="1"/>
    <s v="Food"/>
    <s v="Medium"/>
    <n v="2"/>
    <n v="70"/>
    <n v="0"/>
    <n v="140"/>
    <n v="140"/>
    <x v="3"/>
    <x v="3"/>
    <x v="6"/>
    <x v="1"/>
    <x v="0"/>
    <x v="3"/>
    <n v="280"/>
    <n v="50"/>
    <x v="118"/>
    <x v="118"/>
    <x v="0"/>
    <x v="3"/>
    <n v="140"/>
    <x v="0"/>
    <n v="140"/>
    <x v="118"/>
    <x v="118"/>
    <x v="0"/>
    <x v="10"/>
    <x v="10"/>
    <s v="Friday"/>
  </r>
  <r>
    <s v="TXN-00120"/>
    <d v="2024-08-13T00:00:00"/>
    <d v="1899-12-30T08:15:00"/>
    <s v="Vivaan Bansal"/>
    <s v="CUST0269"/>
    <x v="1"/>
    <x v="0"/>
    <x v="0"/>
    <s v="Hot"/>
    <s v="Large"/>
    <n v="2"/>
    <n v="130"/>
    <n v="0.15"/>
    <n v="260"/>
    <n v="221"/>
    <x v="2"/>
    <x v="3"/>
    <x v="6"/>
    <x v="7"/>
    <x v="0"/>
    <x v="0"/>
    <n v="304"/>
    <n v="35"/>
    <x v="119"/>
    <x v="119"/>
    <x v="3"/>
    <x v="0"/>
    <n v="260"/>
    <x v="21"/>
    <n v="221"/>
    <x v="119"/>
    <x v="119"/>
    <x v="0"/>
    <x v="1"/>
    <x v="1"/>
    <s v="Tuesday"/>
  </r>
  <r>
    <s v="TXN-00121"/>
    <d v="2024-06-24T00:00:00"/>
    <d v="1899-12-30T15:45:00"/>
    <s v="Riya Kapoor"/>
    <s v="CUST0336"/>
    <x v="2"/>
    <x v="12"/>
    <x v="1"/>
    <s v="Food"/>
    <s v="Large"/>
    <n v="1"/>
    <n v="90"/>
    <n v="0.15"/>
    <n v="90"/>
    <n v="76.5"/>
    <x v="2"/>
    <x v="0"/>
    <x v="5"/>
    <x v="0"/>
    <x v="1"/>
    <x v="4"/>
    <n v="148"/>
    <n v="34"/>
    <x v="120"/>
    <x v="120"/>
    <x v="3"/>
    <x v="4"/>
    <n v="90"/>
    <x v="46"/>
    <n v="76.5"/>
    <x v="120"/>
    <x v="120"/>
    <x v="0"/>
    <x v="4"/>
    <x v="4"/>
    <s v="Monday"/>
  </r>
  <r>
    <s v="TXN-00122"/>
    <d v="2024-02-09T00:00:00"/>
    <d v="1899-12-30T15:30:00"/>
    <s v="Riya Malhotra"/>
    <s v="CUST0261"/>
    <x v="2"/>
    <x v="11"/>
    <x v="0"/>
    <s v="Hot"/>
    <s v="Large"/>
    <n v="1"/>
    <n v="90"/>
    <n v="0"/>
    <n v="90"/>
    <n v="90"/>
    <x v="0"/>
    <x v="3"/>
    <x v="2"/>
    <x v="4"/>
    <x v="2"/>
    <x v="2"/>
    <n v="124"/>
    <n v="59"/>
    <x v="121"/>
    <x v="121"/>
    <x v="3"/>
    <x v="0"/>
    <n v="90"/>
    <x v="0"/>
    <n v="90"/>
    <x v="121"/>
    <x v="121"/>
    <x v="0"/>
    <x v="3"/>
    <x v="3"/>
    <s v="Friday"/>
  </r>
  <r>
    <s v="TXN-00123"/>
    <d v="2024-01-06T00:00:00"/>
    <d v="1899-12-30T10:00:00"/>
    <s v="Riya Kapoor"/>
    <s v="CUST0145"/>
    <x v="0"/>
    <x v="4"/>
    <x v="0"/>
    <s v="Cold"/>
    <s v="Medium"/>
    <n v="1"/>
    <n v="145"/>
    <n v="0.1"/>
    <n v="145"/>
    <n v="130.5"/>
    <x v="0"/>
    <x v="0"/>
    <x v="4"/>
    <x v="5"/>
    <x v="0"/>
    <x v="4"/>
    <n v="143"/>
    <n v="51"/>
    <x v="122"/>
    <x v="122"/>
    <x v="3"/>
    <x v="0"/>
    <n v="145"/>
    <x v="47"/>
    <n v="130.5"/>
    <x v="122"/>
    <x v="122"/>
    <x v="0"/>
    <x v="2"/>
    <x v="2"/>
    <s v="Saturday"/>
  </r>
  <r>
    <s v="TXN-00124"/>
    <d v="2024-09-11T00:00:00"/>
    <d v="1899-12-30T10:30:00"/>
    <s v="Sneha Mehta"/>
    <s v="CUST0124"/>
    <x v="0"/>
    <x v="3"/>
    <x v="0"/>
    <s v="Hot"/>
    <s v="Large"/>
    <n v="2"/>
    <n v="115"/>
    <n v="0.1"/>
    <n v="230"/>
    <n v="207"/>
    <x v="2"/>
    <x v="3"/>
    <x v="1"/>
    <x v="1"/>
    <x v="2"/>
    <x v="2"/>
    <n v="241"/>
    <n v="35"/>
    <x v="123"/>
    <x v="123"/>
    <x v="1"/>
    <x v="3"/>
    <n v="230"/>
    <x v="48"/>
    <n v="207"/>
    <x v="123"/>
    <x v="123"/>
    <x v="0"/>
    <x v="0"/>
    <x v="0"/>
    <s v="Wednesday"/>
  </r>
  <r>
    <s v="TXN-00125"/>
    <d v="2024-04-19T00:00:00"/>
    <d v="1899-12-30T09:00:00"/>
    <s v="Vivaan Malhotra"/>
    <s v="CUST0328"/>
    <x v="0"/>
    <x v="14"/>
    <x v="3"/>
    <s v="Food"/>
    <s v="Large"/>
    <n v="3"/>
    <n v="175"/>
    <n v="0.1"/>
    <n v="525"/>
    <n v="472.5"/>
    <x v="2"/>
    <x v="3"/>
    <x v="0"/>
    <x v="4"/>
    <x v="0"/>
    <x v="2"/>
    <n v="258"/>
    <n v="35"/>
    <x v="124"/>
    <x v="124"/>
    <x v="3"/>
    <x v="0"/>
    <n v="525"/>
    <x v="49"/>
    <n v="472.5"/>
    <x v="124"/>
    <x v="124"/>
    <x v="0"/>
    <x v="8"/>
    <x v="8"/>
    <s v="Friday"/>
  </r>
  <r>
    <s v="TXN-00126"/>
    <d v="2024-04-09T00:00:00"/>
    <d v="1899-12-30T18:00:00"/>
    <s v="Rahul Chopra"/>
    <s v="CUST0196"/>
    <x v="2"/>
    <x v="0"/>
    <x v="0"/>
    <s v="Hot"/>
    <s v="Small"/>
    <n v="1"/>
    <n v="135"/>
    <n v="0"/>
    <n v="135"/>
    <n v="135"/>
    <x v="0"/>
    <x v="1"/>
    <x v="2"/>
    <x v="2"/>
    <x v="2"/>
    <x v="0"/>
    <n v="364"/>
    <n v="54"/>
    <x v="125"/>
    <x v="125"/>
    <x v="3"/>
    <x v="3"/>
    <n v="135"/>
    <x v="0"/>
    <n v="135"/>
    <x v="125"/>
    <x v="125"/>
    <x v="0"/>
    <x v="8"/>
    <x v="8"/>
    <s v="Tuesday"/>
  </r>
  <r>
    <s v="TXN-00127"/>
    <d v="2024-06-30T00:00:00"/>
    <d v="1899-12-30T17:50:00"/>
    <s v="Karan Kaur"/>
    <s v="CUST0348"/>
    <x v="2"/>
    <x v="1"/>
    <x v="1"/>
    <s v="Food"/>
    <s v="Small"/>
    <n v="1"/>
    <n v="130"/>
    <n v="0.15"/>
    <n v="130"/>
    <n v="110.5"/>
    <x v="0"/>
    <x v="0"/>
    <x v="3"/>
    <x v="5"/>
    <x v="1"/>
    <x v="4"/>
    <n v="150"/>
    <n v="26"/>
    <x v="126"/>
    <x v="126"/>
    <x v="3"/>
    <x v="4"/>
    <n v="130"/>
    <x v="50"/>
    <n v="110.5"/>
    <x v="126"/>
    <x v="126"/>
    <x v="0"/>
    <x v="4"/>
    <x v="4"/>
    <s v="Sunday"/>
  </r>
  <r>
    <s v="TXN-00128"/>
    <d v="2024-11-06T00:00:00"/>
    <d v="1899-12-30T10:30:00"/>
    <s v="Isha Mehta"/>
    <s v="CUST0359"/>
    <x v="2"/>
    <x v="12"/>
    <x v="1"/>
    <s v="Food"/>
    <s v="Small"/>
    <n v="1"/>
    <n v="95"/>
    <n v="0.05"/>
    <n v="95"/>
    <n v="90.25"/>
    <x v="2"/>
    <x v="0"/>
    <x v="5"/>
    <x v="6"/>
    <x v="0"/>
    <x v="1"/>
    <n v="166"/>
    <n v="36"/>
    <x v="127"/>
    <x v="127"/>
    <x v="4"/>
    <x v="4"/>
    <n v="95"/>
    <x v="34"/>
    <n v="90.25"/>
    <x v="127"/>
    <x v="127"/>
    <x v="0"/>
    <x v="11"/>
    <x v="11"/>
    <s v="Wednesday"/>
  </r>
  <r>
    <s v="TXN-00129"/>
    <d v="2024-01-14T00:00:00"/>
    <d v="1899-12-30T08:30:00"/>
    <s v="Nikhil Mehta"/>
    <s v="CUST0111"/>
    <x v="2"/>
    <x v="12"/>
    <x v="1"/>
    <s v="Food"/>
    <s v="Small"/>
    <n v="2"/>
    <n v="100"/>
    <n v="0"/>
    <n v="200"/>
    <n v="200"/>
    <x v="0"/>
    <x v="0"/>
    <x v="6"/>
    <x v="4"/>
    <x v="2"/>
    <x v="1"/>
    <n v="6"/>
    <n v="24"/>
    <x v="128"/>
    <x v="128"/>
    <x v="1"/>
    <x v="0"/>
    <n v="200"/>
    <x v="0"/>
    <n v="200"/>
    <x v="128"/>
    <x v="128"/>
    <x v="0"/>
    <x v="2"/>
    <x v="2"/>
    <s v="Sunday"/>
  </r>
  <r>
    <s v="TXN-00130"/>
    <d v="2024-06-25T00:00:00"/>
    <d v="1899-12-30T10:50:00"/>
    <s v="Meera Kaur"/>
    <s v="CUST0299"/>
    <x v="2"/>
    <x v="1"/>
    <x v="1"/>
    <s v="Food"/>
    <s v="Medium"/>
    <n v="3"/>
    <n v="120"/>
    <n v="0"/>
    <n v="360"/>
    <n v="360"/>
    <x v="0"/>
    <x v="3"/>
    <x v="5"/>
    <x v="2"/>
    <x v="0"/>
    <x v="2"/>
    <n v="444"/>
    <n v="20"/>
    <x v="70"/>
    <x v="129"/>
    <x v="1"/>
    <x v="2"/>
    <n v="360"/>
    <x v="0"/>
    <n v="360"/>
    <x v="129"/>
    <x v="129"/>
    <x v="0"/>
    <x v="4"/>
    <x v="4"/>
    <s v="Tuesday"/>
  </r>
  <r>
    <s v="TXN-00131"/>
    <d v="2024-07-20T00:00:00"/>
    <d v="1899-12-30T09:50:00"/>
    <s v="Kavya Chopra"/>
    <s v="CUST0253"/>
    <x v="1"/>
    <x v="5"/>
    <x v="2"/>
    <s v="Hot"/>
    <s v="Unknown"/>
    <n v="1"/>
    <n v="95"/>
    <n v="0.1"/>
    <n v="95"/>
    <n v="85.5"/>
    <x v="0"/>
    <x v="0"/>
    <x v="4"/>
    <x v="3"/>
    <x v="2"/>
    <x v="3"/>
    <n v="487"/>
    <n v="52"/>
    <x v="129"/>
    <x v="130"/>
    <x v="3"/>
    <x v="0"/>
    <n v="95"/>
    <x v="10"/>
    <n v="85.5"/>
    <x v="130"/>
    <x v="130"/>
    <x v="0"/>
    <x v="7"/>
    <x v="7"/>
    <s v="Saturday"/>
  </r>
  <r>
    <s v="TXN-00132"/>
    <d v="2024-12-31T00:00:00"/>
    <d v="1899-12-30T08:45:00"/>
    <s v="Arjun Gupta"/>
    <s v="Unknown"/>
    <x v="2"/>
    <x v="6"/>
    <x v="0"/>
    <s v="Hot"/>
    <s v="Medium"/>
    <n v="1"/>
    <n v="100"/>
    <n v="0"/>
    <n v="100"/>
    <n v="100"/>
    <x v="1"/>
    <x v="2"/>
    <x v="4"/>
    <x v="0"/>
    <x v="1"/>
    <x v="0"/>
    <n v="490"/>
    <n v="37"/>
    <x v="130"/>
    <x v="9"/>
    <x v="0"/>
    <x v="0"/>
    <n v="100"/>
    <x v="0"/>
    <n v="100"/>
    <x v="131"/>
    <x v="9"/>
    <x v="0"/>
    <x v="9"/>
    <x v="9"/>
    <s v="Tuesday"/>
  </r>
  <r>
    <s v="TXN-00133"/>
    <d v="2024-11-09T00:00:00"/>
    <d v="1899-12-30T08:00:00"/>
    <s v="Karan Gupta"/>
    <s v="CUST0254"/>
    <x v="3"/>
    <x v="3"/>
    <x v="0"/>
    <s v="Hot"/>
    <s v="Medium"/>
    <n v="1"/>
    <n v="120"/>
    <n v="0.1"/>
    <n v="120"/>
    <n v="108"/>
    <x v="0"/>
    <x v="1"/>
    <x v="4"/>
    <x v="3"/>
    <x v="0"/>
    <x v="4"/>
    <n v="400"/>
    <n v="36"/>
    <x v="131"/>
    <x v="131"/>
    <x v="4"/>
    <x v="4"/>
    <n v="120"/>
    <x v="2"/>
    <n v="108"/>
    <x v="132"/>
    <x v="131"/>
    <x v="0"/>
    <x v="11"/>
    <x v="11"/>
    <s v="Saturday"/>
  </r>
  <r>
    <s v="TXN-00134"/>
    <d v="2024-07-13T00:00:00"/>
    <d v="1899-12-30T18:10:00"/>
    <s v="Simran Malhotra"/>
    <s v="CUST0140"/>
    <x v="3"/>
    <x v="4"/>
    <x v="0"/>
    <s v="Cold"/>
    <s v="Small"/>
    <n v="2"/>
    <n v="150"/>
    <n v="0"/>
    <n v="300"/>
    <n v="300"/>
    <x v="2"/>
    <x v="2"/>
    <x v="5"/>
    <x v="2"/>
    <x v="0"/>
    <x v="0"/>
    <n v="334"/>
    <n v="12"/>
    <x v="132"/>
    <x v="132"/>
    <x v="2"/>
    <x v="4"/>
    <n v="300"/>
    <x v="0"/>
    <n v="300"/>
    <x v="133"/>
    <x v="132"/>
    <x v="0"/>
    <x v="7"/>
    <x v="7"/>
    <s v="Saturday"/>
  </r>
  <r>
    <s v="TXN-00135"/>
    <d v="2024-12-19T00:00:00"/>
    <d v="1899-12-30T16:50:00"/>
    <s v="Sahil Kaur"/>
    <s v="CUST0155"/>
    <x v="2"/>
    <x v="8"/>
    <x v="0"/>
    <s v="Cold"/>
    <s v="Small"/>
    <n v="3"/>
    <n v="155"/>
    <n v="0"/>
    <n v="465"/>
    <n v="465"/>
    <x v="1"/>
    <x v="2"/>
    <x v="6"/>
    <x v="7"/>
    <x v="1"/>
    <x v="0"/>
    <n v="369"/>
    <n v="37"/>
    <x v="133"/>
    <x v="133"/>
    <x v="3"/>
    <x v="0"/>
    <n v="465"/>
    <x v="0"/>
    <n v="465"/>
    <x v="134"/>
    <x v="133"/>
    <x v="0"/>
    <x v="9"/>
    <x v="9"/>
    <s v="Thursday"/>
  </r>
  <r>
    <s v="TXN-00136"/>
    <d v="2024-04-02T00:00:00"/>
    <d v="1899-12-30T11:15:00"/>
    <s v="Pooja Verma"/>
    <s v="CUST0131"/>
    <x v="0"/>
    <x v="10"/>
    <x v="1"/>
    <s v="Food"/>
    <s v="Unknown"/>
    <n v="1"/>
    <n v="100"/>
    <n v="0.15"/>
    <n v="100"/>
    <n v="85"/>
    <x v="2"/>
    <x v="3"/>
    <x v="0"/>
    <x v="4"/>
    <x v="2"/>
    <x v="4"/>
    <n v="16"/>
    <n v="23"/>
    <x v="134"/>
    <x v="134"/>
    <x v="3"/>
    <x v="4"/>
    <n v="100"/>
    <x v="51"/>
    <n v="85"/>
    <x v="135"/>
    <x v="134"/>
    <x v="0"/>
    <x v="8"/>
    <x v="8"/>
    <s v="Tuesday"/>
  </r>
  <r>
    <s v="TXN-00137"/>
    <d v="2024-06-10T00:00:00"/>
    <d v="1899-12-30T21:10:00"/>
    <s v="Sneha Kapoor"/>
    <s v="CUST0109"/>
    <x v="2"/>
    <x v="0"/>
    <x v="0"/>
    <s v="Hot"/>
    <s v="Large"/>
    <n v="1"/>
    <n v="140"/>
    <n v="0"/>
    <n v="140"/>
    <n v="140"/>
    <x v="1"/>
    <x v="3"/>
    <x v="4"/>
    <x v="6"/>
    <x v="1"/>
    <x v="4"/>
    <n v="434"/>
    <n v="14"/>
    <x v="135"/>
    <x v="135"/>
    <x v="0"/>
    <x v="0"/>
    <n v="140"/>
    <x v="0"/>
    <n v="140"/>
    <x v="136"/>
    <x v="135"/>
    <x v="0"/>
    <x v="4"/>
    <x v="4"/>
    <s v="Monday"/>
  </r>
  <r>
    <s v="TXN-00138"/>
    <d v="2024-04-26T00:00:00"/>
    <d v="1899-12-30T13:20:00"/>
    <s v="Meera Kapoor"/>
    <s v="CUST0254"/>
    <x v="3"/>
    <x v="13"/>
    <x v="2"/>
    <s v="Cold"/>
    <s v="Medium"/>
    <n v="1"/>
    <n v="110"/>
    <n v="0.05"/>
    <n v="110"/>
    <n v="104.5"/>
    <x v="0"/>
    <x v="2"/>
    <x v="6"/>
    <x v="5"/>
    <x v="2"/>
    <x v="4"/>
    <n v="285"/>
    <n v="26"/>
    <x v="136"/>
    <x v="136"/>
    <x v="3"/>
    <x v="3"/>
    <n v="110"/>
    <x v="52"/>
    <n v="104.5"/>
    <x v="137"/>
    <x v="136"/>
    <x v="0"/>
    <x v="8"/>
    <x v="8"/>
    <s v="Friday"/>
  </r>
  <r>
    <s v="TXN-00139"/>
    <d v="2024-07-11T00:00:00"/>
    <d v="1899-12-30T13:45:00"/>
    <s v="Arjun Kapoor"/>
    <s v="CUST0160"/>
    <x v="3"/>
    <x v="10"/>
    <x v="1"/>
    <s v="Food"/>
    <s v="Large"/>
    <n v="3"/>
    <n v="100"/>
    <n v="0"/>
    <n v="300"/>
    <n v="300"/>
    <x v="1"/>
    <x v="2"/>
    <x v="0"/>
    <x v="5"/>
    <x v="0"/>
    <x v="4"/>
    <n v="65"/>
    <n v="22"/>
    <x v="137"/>
    <x v="137"/>
    <x v="0"/>
    <x v="2"/>
    <n v="300"/>
    <x v="0"/>
    <n v="300"/>
    <x v="138"/>
    <x v="137"/>
    <x v="0"/>
    <x v="7"/>
    <x v="7"/>
    <s v="Thursday"/>
  </r>
  <r>
    <s v="TXN-00140"/>
    <d v="2024-03-08T00:00:00"/>
    <d v="1899-12-30T16:45:00"/>
    <s v="Meera Sharma"/>
    <s v="CUST0310"/>
    <x v="3"/>
    <x v="15"/>
    <x v="4"/>
    <s v="Food"/>
    <s v="Large"/>
    <n v="3"/>
    <n v="195"/>
    <n v="0"/>
    <n v="585"/>
    <n v="585"/>
    <x v="0"/>
    <x v="3"/>
    <x v="4"/>
    <x v="5"/>
    <x v="0"/>
    <x v="4"/>
    <n v="220"/>
    <n v="29"/>
    <x v="138"/>
    <x v="138"/>
    <x v="0"/>
    <x v="1"/>
    <n v="585"/>
    <x v="0"/>
    <n v="585"/>
    <x v="139"/>
    <x v="138"/>
    <x v="0"/>
    <x v="5"/>
    <x v="5"/>
    <s v="Friday"/>
  </r>
  <r>
    <s v="TXN-00141"/>
    <d v="2024-04-29T00:00:00"/>
    <d v="1899-12-30T08:30:00"/>
    <s v="Aarav Sharma"/>
    <s v="CUST0159"/>
    <x v="2"/>
    <x v="14"/>
    <x v="3"/>
    <s v="Food"/>
    <s v="Small"/>
    <n v="1"/>
    <n v="180"/>
    <n v="0.1"/>
    <n v="180"/>
    <n v="162"/>
    <x v="2"/>
    <x v="3"/>
    <x v="3"/>
    <x v="2"/>
    <x v="1"/>
    <x v="3"/>
    <n v="455"/>
    <n v="35"/>
    <x v="139"/>
    <x v="139"/>
    <x v="1"/>
    <x v="2"/>
    <n v="180"/>
    <x v="23"/>
    <n v="162"/>
    <x v="140"/>
    <x v="139"/>
    <x v="0"/>
    <x v="8"/>
    <x v="8"/>
    <s v="Monday"/>
  </r>
  <r>
    <s v="TXN-00142"/>
    <d v="2024-10-09T00:00:00"/>
    <d v="1899-12-30T17:45:00"/>
    <s v="Aditya Mehta"/>
    <s v="CUST0330"/>
    <x v="3"/>
    <x v="10"/>
    <x v="1"/>
    <s v="Food"/>
    <s v="Large"/>
    <n v="1"/>
    <n v="100"/>
    <n v="0"/>
    <n v="100"/>
    <n v="100"/>
    <x v="2"/>
    <x v="2"/>
    <x v="6"/>
    <x v="7"/>
    <x v="0"/>
    <x v="2"/>
    <n v="37"/>
    <n v="32"/>
    <x v="140"/>
    <x v="140"/>
    <x v="0"/>
    <x v="3"/>
    <n v="100"/>
    <x v="0"/>
    <n v="100"/>
    <x v="141"/>
    <x v="140"/>
    <x v="0"/>
    <x v="10"/>
    <x v="10"/>
    <s v="Wednesday"/>
  </r>
  <r>
    <s v="TXN-00143"/>
    <d v="2024-10-21T00:00:00"/>
    <d v="1899-12-30T08:30:00"/>
    <s v="Rohan Gupta"/>
    <s v="CUST0145"/>
    <x v="2"/>
    <x v="13"/>
    <x v="2"/>
    <s v="Cold"/>
    <s v="Unknown"/>
    <n v="1"/>
    <n v="105"/>
    <n v="0.05"/>
    <n v="105"/>
    <n v="99.75"/>
    <x v="3"/>
    <x v="3"/>
    <x v="2"/>
    <x v="6"/>
    <x v="0"/>
    <x v="2"/>
    <n v="147"/>
    <n v="39"/>
    <x v="141"/>
    <x v="141"/>
    <x v="2"/>
    <x v="3"/>
    <n v="105"/>
    <x v="40"/>
    <n v="99.75"/>
    <x v="142"/>
    <x v="141"/>
    <x v="0"/>
    <x v="10"/>
    <x v="10"/>
    <s v="Monday"/>
  </r>
  <r>
    <s v="TXN-00144"/>
    <d v="2024-10-27T00:00:00"/>
    <d v="1899-12-30T11:20:00"/>
    <s v="Neha Bansal"/>
    <s v="CUST0310"/>
    <x v="0"/>
    <x v="12"/>
    <x v="1"/>
    <s v="Food"/>
    <s v="Large"/>
    <n v="1"/>
    <n v="95"/>
    <n v="0"/>
    <n v="95"/>
    <n v="95"/>
    <x v="0"/>
    <x v="3"/>
    <x v="1"/>
    <x v="0"/>
    <x v="2"/>
    <x v="1"/>
    <n v="424"/>
    <n v="45"/>
    <x v="142"/>
    <x v="142"/>
    <x v="2"/>
    <x v="0"/>
    <n v="95"/>
    <x v="0"/>
    <n v="95"/>
    <x v="143"/>
    <x v="142"/>
    <x v="0"/>
    <x v="10"/>
    <x v="10"/>
    <s v="Sunday"/>
  </r>
  <r>
    <s v="TXN-00145"/>
    <d v="2024-06-04T00:00:00"/>
    <d v="1899-12-30T13:15:00"/>
    <s v="Unknown"/>
    <s v="CUST0242"/>
    <x v="3"/>
    <x v="13"/>
    <x v="2"/>
    <s v="Cold"/>
    <s v="Unknown"/>
    <n v="1"/>
    <n v="110"/>
    <n v="0.05"/>
    <n v="110"/>
    <n v="104.5"/>
    <x v="0"/>
    <x v="0"/>
    <x v="4"/>
    <x v="7"/>
    <x v="0"/>
    <x v="2"/>
    <n v="269"/>
    <n v="20"/>
    <x v="143"/>
    <x v="143"/>
    <x v="2"/>
    <x v="1"/>
    <n v="110"/>
    <x v="52"/>
    <n v="104.5"/>
    <x v="144"/>
    <x v="143"/>
    <x v="0"/>
    <x v="4"/>
    <x v="4"/>
    <s v="Tuesday"/>
  </r>
  <r>
    <s v="TXN-00146"/>
    <d v="2024-02-16T00:00:00"/>
    <d v="1899-12-30T17:30:00"/>
    <s v="Manish Sharma"/>
    <s v="CUST0288"/>
    <x v="1"/>
    <x v="8"/>
    <x v="0"/>
    <s v="Cold"/>
    <s v="Small"/>
    <n v="1"/>
    <n v="160"/>
    <n v="0.05"/>
    <n v="160"/>
    <n v="152"/>
    <x v="3"/>
    <x v="3"/>
    <x v="5"/>
    <x v="7"/>
    <x v="0"/>
    <x v="2"/>
    <n v="202"/>
    <n v="35"/>
    <x v="144"/>
    <x v="144"/>
    <x v="3"/>
    <x v="4"/>
    <n v="160"/>
    <x v="7"/>
    <n v="152"/>
    <x v="145"/>
    <x v="144"/>
    <x v="0"/>
    <x v="3"/>
    <x v="3"/>
    <s v="Friday"/>
  </r>
  <r>
    <s v="TXN-00147"/>
    <d v="2024-07-13T00:00:00"/>
    <d v="1899-12-30T09:45:00"/>
    <s v="Meera Chopra"/>
    <s v="CUST0267"/>
    <x v="3"/>
    <x v="12"/>
    <x v="1"/>
    <s v="Food"/>
    <s v="Medium"/>
    <n v="2"/>
    <n v="90"/>
    <n v="0.05"/>
    <n v="180"/>
    <n v="171"/>
    <x v="0"/>
    <x v="0"/>
    <x v="3"/>
    <x v="6"/>
    <x v="0"/>
    <x v="0"/>
    <n v="276"/>
    <n v="34"/>
    <x v="145"/>
    <x v="145"/>
    <x v="3"/>
    <x v="1"/>
    <n v="180"/>
    <x v="13"/>
    <n v="171"/>
    <x v="146"/>
    <x v="145"/>
    <x v="0"/>
    <x v="7"/>
    <x v="7"/>
    <s v="Saturday"/>
  </r>
  <r>
    <s v="TXN-00148"/>
    <d v="2024-09-12T00:00:00"/>
    <d v="1899-12-30T13:15:00"/>
    <s v="Rohan Verma"/>
    <s v="CUST0277"/>
    <x v="2"/>
    <x v="6"/>
    <x v="0"/>
    <s v="Hot"/>
    <s v="Large"/>
    <n v="1"/>
    <n v="95"/>
    <n v="0.1"/>
    <n v="95"/>
    <n v="85.5"/>
    <x v="2"/>
    <x v="2"/>
    <x v="2"/>
    <x v="0"/>
    <x v="0"/>
    <x v="1"/>
    <n v="432"/>
    <n v="60"/>
    <x v="146"/>
    <x v="146"/>
    <x v="0"/>
    <x v="4"/>
    <n v="95"/>
    <x v="10"/>
    <n v="85.5"/>
    <x v="147"/>
    <x v="146"/>
    <x v="0"/>
    <x v="0"/>
    <x v="0"/>
    <s v="Thursday"/>
  </r>
  <r>
    <s v="TXN-00149"/>
    <d v="2024-07-26T00:00:00"/>
    <d v="1899-12-30T20:45:00"/>
    <s v="Karan Verma"/>
    <s v="CUST0310"/>
    <x v="2"/>
    <x v="6"/>
    <x v="0"/>
    <s v="Hot"/>
    <s v="Large"/>
    <n v="1"/>
    <n v="110"/>
    <n v="0.15"/>
    <n v="110"/>
    <n v="93.5"/>
    <x v="1"/>
    <x v="1"/>
    <x v="2"/>
    <x v="0"/>
    <x v="1"/>
    <x v="3"/>
    <n v="493"/>
    <n v="33"/>
    <x v="147"/>
    <x v="27"/>
    <x v="1"/>
    <x v="1"/>
    <n v="110"/>
    <x v="42"/>
    <n v="93.5"/>
    <x v="148"/>
    <x v="27"/>
    <x v="0"/>
    <x v="7"/>
    <x v="7"/>
    <s v="Friday"/>
  </r>
  <r>
    <s v="TXN-00150"/>
    <d v="2024-07-17T00:00:00"/>
    <d v="1899-12-30T09:50:00"/>
    <s v="Kavya Singh"/>
    <s v="CUST0121"/>
    <x v="2"/>
    <x v="8"/>
    <x v="0"/>
    <s v="Cold"/>
    <s v="Small"/>
    <n v="2"/>
    <n v="155"/>
    <n v="0.1"/>
    <n v="310"/>
    <n v="279"/>
    <x v="1"/>
    <x v="2"/>
    <x v="0"/>
    <x v="5"/>
    <x v="2"/>
    <x v="3"/>
    <n v="244"/>
    <n v="32"/>
    <x v="148"/>
    <x v="147"/>
    <x v="0"/>
    <x v="1"/>
    <n v="310"/>
    <x v="53"/>
    <n v="279"/>
    <x v="149"/>
    <x v="147"/>
    <x v="0"/>
    <x v="7"/>
    <x v="7"/>
    <s v="Wednesday"/>
  </r>
  <r>
    <s v="TXN-00151"/>
    <d v="2024-07-22T00:00:00"/>
    <d v="1899-12-30T10:00:00"/>
    <s v="Arjun Malhotra"/>
    <s v="CUST0168"/>
    <x v="1"/>
    <x v="9"/>
    <x v="2"/>
    <s v="Hot"/>
    <s v="Large"/>
    <n v="2"/>
    <n v="80"/>
    <n v="0.1"/>
    <n v="160"/>
    <n v="144"/>
    <x v="3"/>
    <x v="2"/>
    <x v="2"/>
    <x v="6"/>
    <x v="0"/>
    <x v="4"/>
    <n v="244"/>
    <n v="35"/>
    <x v="149"/>
    <x v="148"/>
    <x v="2"/>
    <x v="4"/>
    <n v="160"/>
    <x v="3"/>
    <n v="144"/>
    <x v="150"/>
    <x v="148"/>
    <x v="0"/>
    <x v="7"/>
    <x v="7"/>
    <s v="Monday"/>
  </r>
  <r>
    <s v="TXN-00152"/>
    <d v="2024-06-16T00:00:00"/>
    <d v="1899-12-30T17:30:00"/>
    <s v="Riya Bansal"/>
    <s v="CUST0271"/>
    <x v="0"/>
    <x v="12"/>
    <x v="1"/>
    <s v="Food"/>
    <s v="Large"/>
    <n v="1"/>
    <n v="85"/>
    <n v="0"/>
    <n v="85"/>
    <n v="85"/>
    <x v="3"/>
    <x v="3"/>
    <x v="1"/>
    <x v="2"/>
    <x v="0"/>
    <x v="3"/>
    <n v="13"/>
    <n v="35"/>
    <x v="150"/>
    <x v="149"/>
    <x v="0"/>
    <x v="0"/>
    <n v="85"/>
    <x v="0"/>
    <n v="85"/>
    <x v="151"/>
    <x v="149"/>
    <x v="0"/>
    <x v="4"/>
    <x v="4"/>
    <s v="Sunday"/>
  </r>
  <r>
    <s v="TXN-00153"/>
    <d v="2024-02-29T00:00:00"/>
    <d v="1899-12-30T15:00:00"/>
    <s v="Arjun Bansal"/>
    <s v="CUST0138"/>
    <x v="2"/>
    <x v="14"/>
    <x v="3"/>
    <s v="Food"/>
    <s v="Medium"/>
    <n v="1"/>
    <n v="180"/>
    <n v="0.1"/>
    <n v="180"/>
    <n v="162"/>
    <x v="3"/>
    <x v="1"/>
    <x v="1"/>
    <x v="1"/>
    <x v="1"/>
    <x v="4"/>
    <n v="418"/>
    <n v="33"/>
    <x v="151"/>
    <x v="150"/>
    <x v="3"/>
    <x v="4"/>
    <n v="180"/>
    <x v="23"/>
    <n v="162"/>
    <x v="152"/>
    <x v="150"/>
    <x v="0"/>
    <x v="3"/>
    <x v="3"/>
    <s v="Thursday"/>
  </r>
  <r>
    <s v="TXN-00154"/>
    <d v="2024-02-08T00:00:00"/>
    <d v="1899-12-30T19:50:00"/>
    <s v="Isha Kapoor"/>
    <s v="CUST0155"/>
    <x v="2"/>
    <x v="15"/>
    <x v="4"/>
    <s v="Food"/>
    <s v="Unknown"/>
    <n v="2"/>
    <n v="190"/>
    <n v="0.1"/>
    <n v="380"/>
    <n v="342"/>
    <x v="2"/>
    <x v="3"/>
    <x v="6"/>
    <x v="6"/>
    <x v="1"/>
    <x v="3"/>
    <n v="322"/>
    <n v="29"/>
    <x v="152"/>
    <x v="151"/>
    <x v="3"/>
    <x v="3"/>
    <n v="380"/>
    <x v="54"/>
    <n v="342"/>
    <x v="153"/>
    <x v="151"/>
    <x v="0"/>
    <x v="3"/>
    <x v="3"/>
    <s v="Thursday"/>
  </r>
  <r>
    <s v="TXN-00155"/>
    <d v="2024-12-26T00:00:00"/>
    <d v="1899-12-30T11:30:00"/>
    <s v="Isha Malhotra"/>
    <s v="CUST0288"/>
    <x v="1"/>
    <x v="8"/>
    <x v="0"/>
    <s v="Cold"/>
    <s v="Unknown"/>
    <n v="1"/>
    <n v="160"/>
    <n v="0.1"/>
    <n v="160"/>
    <n v="144"/>
    <x v="2"/>
    <x v="3"/>
    <x v="5"/>
    <x v="5"/>
    <x v="0"/>
    <x v="2"/>
    <n v="150"/>
    <n v="48"/>
    <x v="153"/>
    <x v="152"/>
    <x v="3"/>
    <x v="0"/>
    <n v="160"/>
    <x v="3"/>
    <n v="144"/>
    <x v="154"/>
    <x v="152"/>
    <x v="0"/>
    <x v="9"/>
    <x v="9"/>
    <s v="Thursday"/>
  </r>
  <r>
    <s v="TXN-00156"/>
    <d v="2024-07-08T00:00:00"/>
    <d v="1899-12-30T17:50:00"/>
    <s v="Manish Bansal"/>
    <s v="CUST0240"/>
    <x v="2"/>
    <x v="4"/>
    <x v="0"/>
    <s v="Cold"/>
    <s v="Medium"/>
    <n v="1"/>
    <n v="150"/>
    <n v="0.15"/>
    <n v="150"/>
    <n v="127.5"/>
    <x v="2"/>
    <x v="2"/>
    <x v="2"/>
    <x v="5"/>
    <x v="1"/>
    <x v="1"/>
    <n v="452"/>
    <n v="31"/>
    <x v="154"/>
    <x v="153"/>
    <x v="3"/>
    <x v="4"/>
    <n v="150"/>
    <x v="55"/>
    <n v="127.5"/>
    <x v="155"/>
    <x v="153"/>
    <x v="0"/>
    <x v="7"/>
    <x v="7"/>
    <s v="Monday"/>
  </r>
  <r>
    <s v="TXN-00157"/>
    <d v="2024-10-06T00:00:00"/>
    <d v="1899-12-30T20:00:00"/>
    <s v="Vivaan Sharma"/>
    <s v="CUST0160"/>
    <x v="2"/>
    <x v="14"/>
    <x v="3"/>
    <s v="Food"/>
    <s v="Large"/>
    <n v="1"/>
    <n v="185"/>
    <n v="0.1"/>
    <n v="185"/>
    <n v="166.5"/>
    <x v="1"/>
    <x v="0"/>
    <x v="6"/>
    <x v="7"/>
    <x v="2"/>
    <x v="4"/>
    <n v="411"/>
    <n v="20"/>
    <x v="155"/>
    <x v="154"/>
    <x v="3"/>
    <x v="3"/>
    <n v="185"/>
    <x v="56"/>
    <n v="166.5"/>
    <x v="156"/>
    <x v="154"/>
    <x v="0"/>
    <x v="10"/>
    <x v="10"/>
    <s v="Sunday"/>
  </r>
  <r>
    <s v="TXN-00158"/>
    <d v="2024-07-04T00:00:00"/>
    <d v="1899-12-30T19:00:00"/>
    <s v="Nikhil Singh"/>
    <s v="CUST0194"/>
    <x v="3"/>
    <x v="8"/>
    <x v="0"/>
    <s v="Cold"/>
    <s v="Medium"/>
    <n v="1"/>
    <n v="155"/>
    <n v="0.05"/>
    <n v="155"/>
    <n v="147.25"/>
    <x v="1"/>
    <x v="0"/>
    <x v="0"/>
    <x v="5"/>
    <x v="0"/>
    <x v="2"/>
    <n v="303"/>
    <n v="34"/>
    <x v="156"/>
    <x v="155"/>
    <x v="3"/>
    <x v="1"/>
    <n v="155"/>
    <x v="44"/>
    <n v="147.25"/>
    <x v="157"/>
    <x v="155"/>
    <x v="0"/>
    <x v="7"/>
    <x v="7"/>
    <s v="Thursday"/>
  </r>
  <r>
    <s v="TXN-00159"/>
    <d v="2024-04-19T00:00:00"/>
    <d v="1899-12-30T09:50:00"/>
    <s v="Kavya Kapoor"/>
    <s v="Unknown"/>
    <x v="3"/>
    <x v="5"/>
    <x v="2"/>
    <s v="Hot"/>
    <s v="Unknown"/>
    <n v="1"/>
    <n v="90"/>
    <n v="0.15"/>
    <n v="90"/>
    <n v="76.5"/>
    <x v="0"/>
    <x v="1"/>
    <x v="0"/>
    <x v="5"/>
    <x v="0"/>
    <x v="3"/>
    <n v="164"/>
    <n v="44"/>
    <x v="157"/>
    <x v="156"/>
    <x v="3"/>
    <x v="2"/>
    <n v="90"/>
    <x v="46"/>
    <n v="76.5"/>
    <x v="158"/>
    <x v="156"/>
    <x v="0"/>
    <x v="8"/>
    <x v="8"/>
    <s v="Friday"/>
  </r>
  <r>
    <s v="TXN-00160"/>
    <d v="2024-06-22T00:00:00"/>
    <d v="1899-12-30T10:30:00"/>
    <s v="Pooja Sharma"/>
    <s v="CUST0315"/>
    <x v="0"/>
    <x v="11"/>
    <x v="0"/>
    <s v="Hot"/>
    <s v="Large"/>
    <n v="2"/>
    <n v="90"/>
    <n v="0.05"/>
    <n v="180"/>
    <n v="171"/>
    <x v="2"/>
    <x v="3"/>
    <x v="2"/>
    <x v="6"/>
    <x v="1"/>
    <x v="0"/>
    <n v="484"/>
    <n v="35"/>
    <x v="158"/>
    <x v="157"/>
    <x v="3"/>
    <x v="4"/>
    <n v="180"/>
    <x v="13"/>
    <n v="171"/>
    <x v="159"/>
    <x v="157"/>
    <x v="0"/>
    <x v="4"/>
    <x v="4"/>
    <s v="Saturday"/>
  </r>
  <r>
    <s v="TXN-00161"/>
    <d v="2024-06-17T00:00:00"/>
    <d v="1899-12-30T20:50:00"/>
    <s v="Meera Singh"/>
    <s v="Unknown"/>
    <x v="3"/>
    <x v="15"/>
    <x v="4"/>
    <s v="Food"/>
    <s v="Large"/>
    <n v="2"/>
    <n v="185"/>
    <n v="0.05"/>
    <n v="370"/>
    <n v="351.5"/>
    <x v="2"/>
    <x v="1"/>
    <x v="0"/>
    <x v="2"/>
    <x v="2"/>
    <x v="2"/>
    <n v="121"/>
    <n v="57"/>
    <x v="159"/>
    <x v="158"/>
    <x v="4"/>
    <x v="4"/>
    <n v="370"/>
    <x v="56"/>
    <n v="351.5"/>
    <x v="160"/>
    <x v="158"/>
    <x v="0"/>
    <x v="4"/>
    <x v="4"/>
    <s v="Monday"/>
  </r>
  <r>
    <s v="TXN-00162"/>
    <d v="2024-01-21T00:00:00"/>
    <d v="1899-12-30T20:20:00"/>
    <s v="Simran Kaur"/>
    <s v="CUST0128"/>
    <x v="3"/>
    <x v="1"/>
    <x v="1"/>
    <s v="Food"/>
    <s v="Small"/>
    <n v="2"/>
    <n v="115"/>
    <n v="0.1"/>
    <n v="230"/>
    <n v="207"/>
    <x v="2"/>
    <x v="0"/>
    <x v="6"/>
    <x v="4"/>
    <x v="0"/>
    <x v="1"/>
    <n v="244"/>
    <n v="49"/>
    <x v="160"/>
    <x v="159"/>
    <x v="0"/>
    <x v="3"/>
    <n v="230"/>
    <x v="48"/>
    <n v="207"/>
    <x v="161"/>
    <x v="159"/>
    <x v="0"/>
    <x v="2"/>
    <x v="2"/>
    <s v="Sunday"/>
  </r>
  <r>
    <s v="TXN-00163"/>
    <d v="2024-11-14T00:00:00"/>
    <d v="1899-12-30T10:00:00"/>
    <s v="Vivaan Gupta"/>
    <s v="CUST0226"/>
    <x v="2"/>
    <x v="13"/>
    <x v="2"/>
    <s v="Cold"/>
    <s v="Small"/>
    <n v="5"/>
    <n v="105"/>
    <n v="0.1"/>
    <n v="525"/>
    <n v="472.5"/>
    <x v="3"/>
    <x v="2"/>
    <x v="0"/>
    <x v="5"/>
    <x v="2"/>
    <x v="4"/>
    <n v="62"/>
    <n v="33"/>
    <x v="161"/>
    <x v="160"/>
    <x v="3"/>
    <x v="4"/>
    <n v="525"/>
    <x v="49"/>
    <n v="472.5"/>
    <x v="162"/>
    <x v="160"/>
    <x v="0"/>
    <x v="11"/>
    <x v="11"/>
    <s v="Thursday"/>
  </r>
  <r>
    <s v="TXN-00164"/>
    <d v="2024-09-20T00:00:00"/>
    <d v="1899-12-30T09:45:00"/>
    <s v="Karan Gupta"/>
    <s v="CUST0243"/>
    <x v="2"/>
    <x v="1"/>
    <x v="1"/>
    <s v="Food"/>
    <s v="Large"/>
    <n v="1"/>
    <n v="125"/>
    <n v="0"/>
    <n v="125"/>
    <n v="125"/>
    <x v="3"/>
    <x v="3"/>
    <x v="1"/>
    <x v="5"/>
    <x v="2"/>
    <x v="2"/>
    <n v="171"/>
    <n v="35"/>
    <x v="162"/>
    <x v="161"/>
    <x v="0"/>
    <x v="1"/>
    <n v="125"/>
    <x v="0"/>
    <n v="125"/>
    <x v="163"/>
    <x v="161"/>
    <x v="0"/>
    <x v="0"/>
    <x v="0"/>
    <s v="Friday"/>
  </r>
  <r>
    <s v="TXN-00165"/>
    <d v="2024-12-03T00:00:00"/>
    <d v="1899-12-30T08:10:00"/>
    <s v="Unknown"/>
    <s v="CUST0103"/>
    <x v="3"/>
    <x v="7"/>
    <x v="0"/>
    <s v="Hot"/>
    <s v="Small"/>
    <n v="2"/>
    <n v="145"/>
    <n v="0.1"/>
    <n v="290"/>
    <n v="261"/>
    <x v="0"/>
    <x v="2"/>
    <x v="5"/>
    <x v="6"/>
    <x v="2"/>
    <x v="0"/>
    <n v="25"/>
    <n v="30"/>
    <x v="163"/>
    <x v="162"/>
    <x v="1"/>
    <x v="4"/>
    <n v="290"/>
    <x v="26"/>
    <n v="261"/>
    <x v="164"/>
    <x v="162"/>
    <x v="0"/>
    <x v="9"/>
    <x v="9"/>
    <s v="Tuesday"/>
  </r>
  <r>
    <s v="TXN-00166"/>
    <d v="2024-12-08T00:00:00"/>
    <d v="1899-12-30T19:10:00"/>
    <s v="Karan Sharma"/>
    <s v="CUST0100"/>
    <x v="3"/>
    <x v="9"/>
    <x v="2"/>
    <s v="Hot"/>
    <s v="Unknown"/>
    <n v="1"/>
    <n v="75"/>
    <n v="0.05"/>
    <n v="75"/>
    <n v="71.25"/>
    <x v="2"/>
    <x v="3"/>
    <x v="1"/>
    <x v="6"/>
    <x v="0"/>
    <x v="4"/>
    <n v="324"/>
    <n v="22"/>
    <x v="164"/>
    <x v="163"/>
    <x v="2"/>
    <x v="3"/>
    <n v="75"/>
    <x v="57"/>
    <n v="71.25"/>
    <x v="165"/>
    <x v="163"/>
    <x v="0"/>
    <x v="9"/>
    <x v="9"/>
    <s v="Sunday"/>
  </r>
  <r>
    <s v="TXN-00167"/>
    <d v="2024-04-29T00:00:00"/>
    <d v="1899-12-30T08:45:00"/>
    <s v="Rahul Mehta"/>
    <s v="CUST0358"/>
    <x v="3"/>
    <x v="15"/>
    <x v="4"/>
    <s v="Food"/>
    <s v="Small"/>
    <n v="1"/>
    <n v="190"/>
    <n v="0.05"/>
    <n v="190"/>
    <n v="180.5"/>
    <x v="0"/>
    <x v="2"/>
    <x v="6"/>
    <x v="3"/>
    <x v="1"/>
    <x v="2"/>
    <n v="13"/>
    <n v="37"/>
    <x v="165"/>
    <x v="164"/>
    <x v="3"/>
    <x v="2"/>
    <n v="190"/>
    <x v="10"/>
    <n v="180.5"/>
    <x v="166"/>
    <x v="164"/>
    <x v="0"/>
    <x v="8"/>
    <x v="8"/>
    <s v="Monday"/>
  </r>
  <r>
    <s v="TXN-00168"/>
    <d v="2024-11-04T00:00:00"/>
    <d v="1899-12-30T17:20:00"/>
    <s v="Vivaan Verma"/>
    <s v="CUST0208"/>
    <x v="3"/>
    <x v="12"/>
    <x v="1"/>
    <s v="Food"/>
    <s v="Large"/>
    <n v="3"/>
    <n v="85"/>
    <n v="0.1"/>
    <n v="255"/>
    <n v="229.5"/>
    <x v="2"/>
    <x v="2"/>
    <x v="3"/>
    <x v="0"/>
    <x v="2"/>
    <x v="0"/>
    <n v="186"/>
    <n v="37"/>
    <x v="166"/>
    <x v="165"/>
    <x v="0"/>
    <x v="2"/>
    <n v="255"/>
    <x v="38"/>
    <n v="229.5"/>
    <x v="167"/>
    <x v="165"/>
    <x v="0"/>
    <x v="11"/>
    <x v="11"/>
    <s v="Monday"/>
  </r>
  <r>
    <s v="TXN-00169"/>
    <d v="2024-06-09T00:00:00"/>
    <d v="1899-12-30T21:20:00"/>
    <s v="Rahul Gupta"/>
    <s v="CUST0149"/>
    <x v="0"/>
    <x v="6"/>
    <x v="0"/>
    <s v="Hot"/>
    <s v="Large"/>
    <n v="4"/>
    <n v="100"/>
    <n v="0.1"/>
    <n v="400"/>
    <n v="360"/>
    <x v="0"/>
    <x v="3"/>
    <x v="6"/>
    <x v="5"/>
    <x v="0"/>
    <x v="0"/>
    <n v="482"/>
    <n v="35"/>
    <x v="167"/>
    <x v="166"/>
    <x v="2"/>
    <x v="0"/>
    <n v="400"/>
    <x v="58"/>
    <n v="360"/>
    <x v="168"/>
    <x v="166"/>
    <x v="0"/>
    <x v="4"/>
    <x v="4"/>
    <s v="Sunday"/>
  </r>
  <r>
    <s v="TXN-00170"/>
    <d v="2024-05-27T00:00:00"/>
    <d v="1899-12-30T10:50:00"/>
    <s v="Sneha Kaur"/>
    <s v="CUST0379"/>
    <x v="2"/>
    <x v="6"/>
    <x v="0"/>
    <s v="Hot"/>
    <s v="Large"/>
    <n v="1"/>
    <n v="105"/>
    <n v="0.1"/>
    <n v="105"/>
    <n v="94.5"/>
    <x v="0"/>
    <x v="0"/>
    <x v="1"/>
    <x v="1"/>
    <x v="2"/>
    <x v="2"/>
    <n v="429"/>
    <n v="30"/>
    <x v="168"/>
    <x v="167"/>
    <x v="3"/>
    <x v="0"/>
    <n v="105"/>
    <x v="25"/>
    <n v="94.5"/>
    <x v="169"/>
    <x v="167"/>
    <x v="0"/>
    <x v="6"/>
    <x v="6"/>
    <s v="Monday"/>
  </r>
  <r>
    <s v="TXN-00171"/>
    <d v="2024-06-12T00:00:00"/>
    <d v="1899-12-30T14:30:00"/>
    <s v="Vivaan Verma"/>
    <s v="CUST0207"/>
    <x v="2"/>
    <x v="3"/>
    <x v="0"/>
    <s v="Hot"/>
    <s v="Large"/>
    <n v="1"/>
    <n v="115"/>
    <n v="0.1"/>
    <n v="115"/>
    <n v="103.5"/>
    <x v="2"/>
    <x v="2"/>
    <x v="6"/>
    <x v="4"/>
    <x v="0"/>
    <x v="2"/>
    <n v="244"/>
    <n v="37"/>
    <x v="169"/>
    <x v="168"/>
    <x v="2"/>
    <x v="0"/>
    <n v="115"/>
    <x v="19"/>
    <n v="103.5"/>
    <x v="170"/>
    <x v="168"/>
    <x v="0"/>
    <x v="4"/>
    <x v="4"/>
    <s v="Wednesday"/>
  </r>
  <r>
    <s v="TXN-00172"/>
    <d v="2024-05-06T00:00:00"/>
    <d v="1899-12-30T10:15:00"/>
    <s v="Kavya Mehta"/>
    <s v="CUST0146"/>
    <x v="2"/>
    <x v="15"/>
    <x v="4"/>
    <s v="Food"/>
    <s v="Medium"/>
    <n v="1"/>
    <n v="185"/>
    <n v="0"/>
    <n v="185"/>
    <n v="185"/>
    <x v="0"/>
    <x v="3"/>
    <x v="6"/>
    <x v="5"/>
    <x v="2"/>
    <x v="1"/>
    <n v="129"/>
    <n v="59"/>
    <x v="170"/>
    <x v="169"/>
    <x v="0"/>
    <x v="4"/>
    <n v="185"/>
    <x v="0"/>
    <n v="185"/>
    <x v="171"/>
    <x v="169"/>
    <x v="0"/>
    <x v="6"/>
    <x v="6"/>
    <s v="Monday"/>
  </r>
  <r>
    <s v="TXN-00173"/>
    <d v="2024-09-23T00:00:00"/>
    <d v="1899-12-30T21:45:00"/>
    <s v="Isha Malhotra"/>
    <s v="CUST0148"/>
    <x v="2"/>
    <x v="6"/>
    <x v="0"/>
    <s v="Hot"/>
    <s v="Large"/>
    <n v="1"/>
    <n v="100"/>
    <n v="0.15"/>
    <n v="100"/>
    <n v="85"/>
    <x v="0"/>
    <x v="2"/>
    <x v="5"/>
    <x v="4"/>
    <x v="1"/>
    <x v="2"/>
    <n v="401"/>
    <n v="40"/>
    <x v="171"/>
    <x v="170"/>
    <x v="2"/>
    <x v="2"/>
    <n v="100"/>
    <x v="51"/>
    <n v="85"/>
    <x v="172"/>
    <x v="170"/>
    <x v="0"/>
    <x v="0"/>
    <x v="0"/>
    <s v="Monday"/>
  </r>
  <r>
    <s v="TXN-00174"/>
    <d v="2024-05-31T00:00:00"/>
    <d v="1899-12-30T21:00:00"/>
    <s v="Arjun Sharma"/>
    <s v="CUST0341"/>
    <x v="3"/>
    <x v="14"/>
    <x v="3"/>
    <s v="Food"/>
    <s v="Unknown"/>
    <n v="1"/>
    <n v="180"/>
    <n v="0.1"/>
    <n v="180"/>
    <n v="162"/>
    <x v="0"/>
    <x v="0"/>
    <x v="1"/>
    <x v="2"/>
    <x v="1"/>
    <x v="2"/>
    <n v="167"/>
    <n v="33"/>
    <x v="172"/>
    <x v="171"/>
    <x v="1"/>
    <x v="3"/>
    <n v="180"/>
    <x v="23"/>
    <n v="162"/>
    <x v="173"/>
    <x v="171"/>
    <x v="0"/>
    <x v="6"/>
    <x v="6"/>
    <s v="Friday"/>
  </r>
  <r>
    <s v="TXN-00175"/>
    <d v="2024-02-10T00:00:00"/>
    <d v="1899-12-30T17:45:00"/>
    <s v="Simran Verma"/>
    <s v="CUST0177"/>
    <x v="3"/>
    <x v="13"/>
    <x v="2"/>
    <s v="Cold"/>
    <s v="Small"/>
    <n v="3"/>
    <n v="105"/>
    <n v="0.1"/>
    <n v="315"/>
    <n v="283.5"/>
    <x v="0"/>
    <x v="3"/>
    <x v="6"/>
    <x v="6"/>
    <x v="0"/>
    <x v="2"/>
    <n v="479"/>
    <n v="40"/>
    <x v="173"/>
    <x v="172"/>
    <x v="3"/>
    <x v="1"/>
    <n v="315"/>
    <x v="59"/>
    <n v="283.5"/>
    <x v="174"/>
    <x v="172"/>
    <x v="0"/>
    <x v="3"/>
    <x v="3"/>
    <s v="Saturday"/>
  </r>
  <r>
    <s v="TXN-00176"/>
    <d v="2024-08-14T00:00:00"/>
    <d v="1899-12-30T18:00:00"/>
    <s v="Aarav Chopra"/>
    <s v="CUST0356"/>
    <x v="1"/>
    <x v="14"/>
    <x v="3"/>
    <s v="Food"/>
    <s v="Unknown"/>
    <n v="3"/>
    <n v="175"/>
    <n v="0.15"/>
    <n v="525"/>
    <n v="446.25"/>
    <x v="2"/>
    <x v="3"/>
    <x v="5"/>
    <x v="5"/>
    <x v="0"/>
    <x v="0"/>
    <n v="372"/>
    <n v="31"/>
    <x v="174"/>
    <x v="173"/>
    <x v="4"/>
    <x v="1"/>
    <n v="525"/>
    <x v="60"/>
    <n v="446.25"/>
    <x v="175"/>
    <x v="173"/>
    <x v="0"/>
    <x v="1"/>
    <x v="1"/>
    <s v="Wednesday"/>
  </r>
  <r>
    <s v="TXN-00177"/>
    <d v="2024-04-12T00:00:00"/>
    <d v="1899-12-30T17:50:00"/>
    <s v="Pooja Kapoor"/>
    <s v="CUST0325"/>
    <x v="2"/>
    <x v="7"/>
    <x v="0"/>
    <s v="Hot"/>
    <s v="Unknown"/>
    <n v="4"/>
    <n v="150"/>
    <n v="0"/>
    <n v="600"/>
    <n v="600"/>
    <x v="0"/>
    <x v="1"/>
    <x v="4"/>
    <x v="1"/>
    <x v="0"/>
    <x v="4"/>
    <n v="364"/>
    <n v="36"/>
    <x v="175"/>
    <x v="174"/>
    <x v="1"/>
    <x v="1"/>
    <n v="600"/>
    <x v="0"/>
    <n v="600"/>
    <x v="176"/>
    <x v="174"/>
    <x v="0"/>
    <x v="8"/>
    <x v="8"/>
    <s v="Friday"/>
  </r>
  <r>
    <s v="TXN-00178"/>
    <d v="2024-11-05T00:00:00"/>
    <d v="1899-12-30T16:30:00"/>
    <s v="Rahul Verma"/>
    <s v="CUST0209"/>
    <x v="2"/>
    <x v="2"/>
    <x v="1"/>
    <s v="Food"/>
    <s v="Small"/>
    <n v="4"/>
    <n v="70"/>
    <n v="0"/>
    <n v="280"/>
    <n v="280"/>
    <x v="0"/>
    <x v="0"/>
    <x v="4"/>
    <x v="3"/>
    <x v="0"/>
    <x v="4"/>
    <n v="368"/>
    <n v="51"/>
    <x v="176"/>
    <x v="175"/>
    <x v="0"/>
    <x v="0"/>
    <n v="280"/>
    <x v="0"/>
    <n v="280"/>
    <x v="177"/>
    <x v="175"/>
    <x v="0"/>
    <x v="11"/>
    <x v="11"/>
    <s v="Tuesday"/>
  </r>
  <r>
    <s v="TXN-00179"/>
    <d v="2024-12-11T00:00:00"/>
    <d v="1899-12-30T08:15:00"/>
    <s v="Vivaan Kaur"/>
    <s v="CUST0340"/>
    <x v="3"/>
    <x v="11"/>
    <x v="0"/>
    <s v="Hot"/>
    <s v="Large"/>
    <n v="1"/>
    <n v="90"/>
    <n v="0"/>
    <n v="90"/>
    <n v="90"/>
    <x v="2"/>
    <x v="0"/>
    <x v="1"/>
    <x v="6"/>
    <x v="1"/>
    <x v="4"/>
    <n v="173"/>
    <n v="60"/>
    <x v="177"/>
    <x v="176"/>
    <x v="3"/>
    <x v="4"/>
    <n v="90"/>
    <x v="0"/>
    <n v="90"/>
    <x v="178"/>
    <x v="176"/>
    <x v="0"/>
    <x v="9"/>
    <x v="9"/>
    <s v="Wednesday"/>
  </r>
  <r>
    <s v="TXN-00180"/>
    <d v="2024-05-18T00:00:00"/>
    <d v="1899-12-30T14:50:00"/>
    <s v="Riya Gupta"/>
    <s v="CUST0139"/>
    <x v="3"/>
    <x v="15"/>
    <x v="4"/>
    <s v="Food"/>
    <s v="Small"/>
    <n v="1"/>
    <n v="185"/>
    <n v="0.15"/>
    <n v="185"/>
    <n v="157.25"/>
    <x v="2"/>
    <x v="2"/>
    <x v="1"/>
    <x v="5"/>
    <x v="0"/>
    <x v="2"/>
    <n v="395"/>
    <n v="12"/>
    <x v="178"/>
    <x v="177"/>
    <x v="3"/>
    <x v="3"/>
    <n v="185"/>
    <x v="61"/>
    <n v="157.25"/>
    <x v="179"/>
    <x v="177"/>
    <x v="0"/>
    <x v="6"/>
    <x v="6"/>
    <s v="Saturday"/>
  </r>
  <r>
    <s v="TXN-00181"/>
    <d v="2024-05-28T00:00:00"/>
    <d v="1899-12-30T16:15:00"/>
    <s v="Sahil Verma"/>
    <s v="CUST0217"/>
    <x v="1"/>
    <x v="14"/>
    <x v="3"/>
    <s v="Food"/>
    <s v="Unknown"/>
    <n v="2"/>
    <n v="180"/>
    <n v="0.15"/>
    <n v="360"/>
    <n v="306"/>
    <x v="0"/>
    <x v="3"/>
    <x v="4"/>
    <x v="4"/>
    <x v="0"/>
    <x v="1"/>
    <n v="310"/>
    <n v="27"/>
    <x v="179"/>
    <x v="178"/>
    <x v="0"/>
    <x v="3"/>
    <n v="360"/>
    <x v="43"/>
    <n v="306"/>
    <x v="180"/>
    <x v="178"/>
    <x v="0"/>
    <x v="6"/>
    <x v="6"/>
    <s v="Tuesday"/>
  </r>
  <r>
    <s v="TXN-00182"/>
    <d v="2024-01-02T00:00:00"/>
    <d v="1899-12-30T12:45:00"/>
    <s v="Kavya Malhotra"/>
    <s v="CUST0272"/>
    <x v="3"/>
    <x v="0"/>
    <x v="0"/>
    <s v="Hot"/>
    <s v="Unknown"/>
    <n v="1"/>
    <n v="130"/>
    <n v="0"/>
    <n v="130"/>
    <n v="130"/>
    <x v="2"/>
    <x v="2"/>
    <x v="4"/>
    <x v="4"/>
    <x v="0"/>
    <x v="1"/>
    <n v="15"/>
    <n v="40"/>
    <x v="180"/>
    <x v="179"/>
    <x v="0"/>
    <x v="2"/>
    <n v="130"/>
    <x v="0"/>
    <n v="130"/>
    <x v="181"/>
    <x v="179"/>
    <x v="0"/>
    <x v="2"/>
    <x v="2"/>
    <s v="Tuesday"/>
  </r>
  <r>
    <s v="TXN-00183"/>
    <d v="2024-09-14T00:00:00"/>
    <d v="1899-12-30T12:20:00"/>
    <s v="Karan Gupta"/>
    <s v="Unknown"/>
    <x v="1"/>
    <x v="2"/>
    <x v="1"/>
    <s v="Food"/>
    <s v="Medium"/>
    <n v="3"/>
    <n v="70"/>
    <n v="0.05"/>
    <n v="210"/>
    <n v="199.5"/>
    <x v="2"/>
    <x v="2"/>
    <x v="4"/>
    <x v="6"/>
    <x v="0"/>
    <x v="2"/>
    <n v="7"/>
    <n v="12"/>
    <x v="181"/>
    <x v="180"/>
    <x v="1"/>
    <x v="4"/>
    <n v="210"/>
    <x v="25"/>
    <n v="199.5"/>
    <x v="182"/>
    <x v="180"/>
    <x v="0"/>
    <x v="0"/>
    <x v="0"/>
    <s v="Saturday"/>
  </r>
  <r>
    <s v="TXN-00184"/>
    <d v="2024-08-27T00:00:00"/>
    <d v="1899-12-30T19:10:00"/>
    <s v="Priya Chopra"/>
    <s v="CUST0282"/>
    <x v="3"/>
    <x v="11"/>
    <x v="0"/>
    <s v="Hot"/>
    <s v="Medium"/>
    <n v="2"/>
    <n v="90"/>
    <n v="0.1"/>
    <n v="180"/>
    <n v="162"/>
    <x v="1"/>
    <x v="0"/>
    <x v="5"/>
    <x v="4"/>
    <x v="1"/>
    <x v="2"/>
    <n v="14"/>
    <n v="34"/>
    <x v="182"/>
    <x v="181"/>
    <x v="2"/>
    <x v="1"/>
    <n v="180"/>
    <x v="23"/>
    <n v="162"/>
    <x v="183"/>
    <x v="181"/>
    <x v="0"/>
    <x v="1"/>
    <x v="1"/>
    <s v="Tuesday"/>
  </r>
  <r>
    <s v="TXN-00185"/>
    <d v="2024-09-05T00:00:00"/>
    <d v="1899-12-30T07:50:00"/>
    <s v="Rohan Singh"/>
    <s v="CUST0244"/>
    <x v="3"/>
    <x v="8"/>
    <x v="0"/>
    <s v="Cold"/>
    <s v="Small"/>
    <n v="1"/>
    <n v="155"/>
    <n v="0.05"/>
    <n v="155"/>
    <n v="147.25"/>
    <x v="2"/>
    <x v="2"/>
    <x v="3"/>
    <x v="0"/>
    <x v="0"/>
    <x v="2"/>
    <n v="120"/>
    <n v="37"/>
    <x v="183"/>
    <x v="182"/>
    <x v="2"/>
    <x v="1"/>
    <n v="155"/>
    <x v="44"/>
    <n v="147.25"/>
    <x v="184"/>
    <x v="182"/>
    <x v="0"/>
    <x v="0"/>
    <x v="0"/>
    <s v="Thursday"/>
  </r>
  <r>
    <s v="TXN-00186"/>
    <d v="2024-08-16T00:00:00"/>
    <d v="1899-12-30T15:45:00"/>
    <s v="Arjun Kaur"/>
    <s v="CUST0199"/>
    <x v="1"/>
    <x v="3"/>
    <x v="0"/>
    <s v="Hot"/>
    <s v="Large"/>
    <n v="1"/>
    <n v="130"/>
    <n v="0"/>
    <n v="130"/>
    <n v="130"/>
    <x v="0"/>
    <x v="3"/>
    <x v="2"/>
    <x v="2"/>
    <x v="1"/>
    <x v="2"/>
    <n v="210"/>
    <n v="48"/>
    <x v="184"/>
    <x v="183"/>
    <x v="1"/>
    <x v="4"/>
    <n v="130"/>
    <x v="0"/>
    <n v="130"/>
    <x v="185"/>
    <x v="183"/>
    <x v="0"/>
    <x v="1"/>
    <x v="1"/>
    <s v="Friday"/>
  </r>
  <r>
    <s v="TXN-00187"/>
    <d v="2024-02-01T00:00:00"/>
    <d v="1899-12-30T17:10:00"/>
    <s v="Pooja Bansal"/>
    <s v="CUST0364"/>
    <x v="2"/>
    <x v="8"/>
    <x v="0"/>
    <s v="Cold"/>
    <s v="Small"/>
    <n v="3"/>
    <n v="160"/>
    <n v="0.15"/>
    <n v="480"/>
    <n v="408"/>
    <x v="2"/>
    <x v="2"/>
    <x v="1"/>
    <x v="4"/>
    <x v="0"/>
    <x v="4"/>
    <n v="109"/>
    <n v="55"/>
    <x v="185"/>
    <x v="184"/>
    <x v="3"/>
    <x v="2"/>
    <n v="480"/>
    <x v="62"/>
    <n v="408"/>
    <x v="186"/>
    <x v="184"/>
    <x v="0"/>
    <x v="3"/>
    <x v="3"/>
    <s v="Thursday"/>
  </r>
  <r>
    <s v="TXN-00188"/>
    <d v="2024-10-30T00:00:00"/>
    <d v="1899-12-30T16:10:00"/>
    <s v="Nikhil Bansal"/>
    <s v="CUST0241"/>
    <x v="1"/>
    <x v="8"/>
    <x v="0"/>
    <s v="Cold"/>
    <s v="Unknown"/>
    <n v="1"/>
    <n v="170"/>
    <n v="0.05"/>
    <n v="170"/>
    <n v="161.5"/>
    <x v="0"/>
    <x v="2"/>
    <x v="4"/>
    <x v="4"/>
    <x v="0"/>
    <x v="3"/>
    <n v="101"/>
    <n v="12"/>
    <x v="186"/>
    <x v="185"/>
    <x v="3"/>
    <x v="1"/>
    <n v="170"/>
    <x v="20"/>
    <n v="161.5"/>
    <x v="187"/>
    <x v="185"/>
    <x v="0"/>
    <x v="10"/>
    <x v="10"/>
    <s v="Wednesday"/>
  </r>
  <r>
    <s v="TXN-00189"/>
    <d v="2024-09-07T00:00:00"/>
    <d v="1899-12-30T19:20:00"/>
    <s v="Simran Sharma"/>
    <s v="CUST0148"/>
    <x v="0"/>
    <x v="4"/>
    <x v="0"/>
    <s v="Cold"/>
    <s v="Large"/>
    <n v="1"/>
    <n v="145"/>
    <n v="0.05"/>
    <n v="145"/>
    <n v="137.75"/>
    <x v="2"/>
    <x v="1"/>
    <x v="1"/>
    <x v="2"/>
    <x v="0"/>
    <x v="2"/>
    <n v="227"/>
    <n v="24"/>
    <x v="187"/>
    <x v="186"/>
    <x v="4"/>
    <x v="1"/>
    <n v="145"/>
    <x v="6"/>
    <n v="137.75"/>
    <x v="188"/>
    <x v="186"/>
    <x v="0"/>
    <x v="0"/>
    <x v="0"/>
    <s v="Saturday"/>
  </r>
  <r>
    <s v="TXN-00190"/>
    <d v="2024-05-20T00:00:00"/>
    <d v="1899-12-30T08:20:00"/>
    <s v="Neha Kaur"/>
    <s v="Unknown"/>
    <x v="2"/>
    <x v="5"/>
    <x v="2"/>
    <s v="Hot"/>
    <s v="Large"/>
    <n v="4"/>
    <n v="95"/>
    <n v="0.1"/>
    <n v="380"/>
    <n v="342"/>
    <x v="0"/>
    <x v="1"/>
    <x v="3"/>
    <x v="2"/>
    <x v="2"/>
    <x v="4"/>
    <n v="138"/>
    <n v="36"/>
    <x v="188"/>
    <x v="187"/>
    <x v="3"/>
    <x v="0"/>
    <n v="380"/>
    <x v="54"/>
    <n v="342"/>
    <x v="189"/>
    <x v="187"/>
    <x v="0"/>
    <x v="6"/>
    <x v="6"/>
    <s v="Monday"/>
  </r>
  <r>
    <s v="TXN-00191"/>
    <d v="2024-04-04T00:00:00"/>
    <d v="1899-12-30T13:45:00"/>
    <s v="Sneha Chopra"/>
    <s v="CUST0190"/>
    <x v="2"/>
    <x v="14"/>
    <x v="3"/>
    <s v="Food"/>
    <s v="Small"/>
    <n v="3"/>
    <n v="190"/>
    <n v="0"/>
    <n v="570"/>
    <n v="570"/>
    <x v="3"/>
    <x v="1"/>
    <x v="2"/>
    <x v="4"/>
    <x v="2"/>
    <x v="2"/>
    <n v="486"/>
    <n v="30"/>
    <x v="189"/>
    <x v="188"/>
    <x v="2"/>
    <x v="0"/>
    <n v="570"/>
    <x v="0"/>
    <n v="570"/>
    <x v="190"/>
    <x v="188"/>
    <x v="0"/>
    <x v="8"/>
    <x v="8"/>
    <s v="Thursday"/>
  </r>
  <r>
    <s v="TXN-00192"/>
    <d v="2024-09-08T00:00:00"/>
    <d v="1899-12-30T13:50:00"/>
    <s v="Aarav Gupta"/>
    <s v="CUST0347"/>
    <x v="2"/>
    <x v="12"/>
    <x v="1"/>
    <s v="Food"/>
    <s v="Large"/>
    <n v="2"/>
    <n v="90"/>
    <n v="0"/>
    <n v="180"/>
    <n v="180"/>
    <x v="3"/>
    <x v="0"/>
    <x v="3"/>
    <x v="6"/>
    <x v="2"/>
    <x v="4"/>
    <n v="114"/>
    <n v="11"/>
    <x v="190"/>
    <x v="189"/>
    <x v="3"/>
    <x v="2"/>
    <n v="180"/>
    <x v="0"/>
    <n v="180"/>
    <x v="191"/>
    <x v="189"/>
    <x v="0"/>
    <x v="0"/>
    <x v="0"/>
    <s v="Sunday"/>
  </r>
  <r>
    <s v="TXN-00193"/>
    <d v="2024-04-24T00:00:00"/>
    <d v="1899-12-30T18:50:00"/>
    <s v="Manish Verma"/>
    <s v="CUST0164"/>
    <x v="0"/>
    <x v="0"/>
    <x v="0"/>
    <s v="Hot"/>
    <s v="Medium"/>
    <n v="4"/>
    <n v="130"/>
    <n v="0.05"/>
    <n v="520"/>
    <n v="494"/>
    <x v="3"/>
    <x v="0"/>
    <x v="5"/>
    <x v="3"/>
    <x v="2"/>
    <x v="0"/>
    <n v="217"/>
    <n v="57"/>
    <x v="191"/>
    <x v="190"/>
    <x v="2"/>
    <x v="4"/>
    <n v="520"/>
    <x v="63"/>
    <n v="494"/>
    <x v="192"/>
    <x v="190"/>
    <x v="0"/>
    <x v="8"/>
    <x v="8"/>
    <s v="Wednesday"/>
  </r>
  <r>
    <s v="TXN-00194"/>
    <d v="2024-09-25T00:00:00"/>
    <d v="1899-12-30T14:30:00"/>
    <s v="Aarav Kapoor"/>
    <s v="CUST0262"/>
    <x v="0"/>
    <x v="1"/>
    <x v="1"/>
    <s v="Food"/>
    <s v="Small"/>
    <n v="2"/>
    <n v="125"/>
    <n v="0.1"/>
    <n v="250"/>
    <n v="225"/>
    <x v="3"/>
    <x v="3"/>
    <x v="6"/>
    <x v="2"/>
    <x v="0"/>
    <x v="3"/>
    <n v="29"/>
    <n v="31"/>
    <x v="192"/>
    <x v="191"/>
    <x v="0"/>
    <x v="2"/>
    <n v="250"/>
    <x v="37"/>
    <n v="225"/>
    <x v="193"/>
    <x v="191"/>
    <x v="0"/>
    <x v="0"/>
    <x v="0"/>
    <s v="Wednesday"/>
  </r>
  <r>
    <s v="TXN-00195"/>
    <d v="2024-10-18T00:00:00"/>
    <d v="1899-12-30T19:50:00"/>
    <s v="Priya Kaur"/>
    <s v="CUST0315"/>
    <x v="2"/>
    <x v="10"/>
    <x v="1"/>
    <s v="Food"/>
    <s v="Medium"/>
    <n v="2"/>
    <n v="100"/>
    <n v="0"/>
    <n v="200"/>
    <n v="200"/>
    <x v="0"/>
    <x v="3"/>
    <x v="5"/>
    <x v="7"/>
    <x v="2"/>
    <x v="2"/>
    <n v="271"/>
    <n v="37"/>
    <x v="193"/>
    <x v="192"/>
    <x v="3"/>
    <x v="3"/>
    <n v="200"/>
    <x v="0"/>
    <n v="200"/>
    <x v="194"/>
    <x v="192"/>
    <x v="0"/>
    <x v="10"/>
    <x v="10"/>
    <s v="Friday"/>
  </r>
  <r>
    <s v="TXN-00196"/>
    <d v="2024-01-14T00:00:00"/>
    <d v="1899-12-30T14:45:00"/>
    <s v="Simran Kaur"/>
    <s v="CUST0333"/>
    <x v="3"/>
    <x v="7"/>
    <x v="0"/>
    <s v="Hot"/>
    <s v="Small"/>
    <n v="1"/>
    <n v="150"/>
    <n v="0"/>
    <n v="150"/>
    <n v="150"/>
    <x v="0"/>
    <x v="3"/>
    <x v="4"/>
    <x v="6"/>
    <x v="0"/>
    <x v="4"/>
    <n v="182"/>
    <n v="35"/>
    <x v="194"/>
    <x v="193"/>
    <x v="3"/>
    <x v="1"/>
    <n v="150"/>
    <x v="0"/>
    <n v="150"/>
    <x v="195"/>
    <x v="193"/>
    <x v="0"/>
    <x v="2"/>
    <x v="2"/>
    <s v="Sunday"/>
  </r>
  <r>
    <s v="TXN-00197"/>
    <d v="2024-02-07T00:00:00"/>
    <d v="1899-12-30T16:20:00"/>
    <s v="Isha Verma"/>
    <s v="CUST0333"/>
    <x v="3"/>
    <x v="0"/>
    <x v="0"/>
    <s v="Hot"/>
    <s v="Medium"/>
    <n v="4"/>
    <n v="130"/>
    <n v="0.05"/>
    <n v="520"/>
    <n v="494"/>
    <x v="2"/>
    <x v="3"/>
    <x v="2"/>
    <x v="6"/>
    <x v="0"/>
    <x v="4"/>
    <n v="311"/>
    <n v="47"/>
    <x v="195"/>
    <x v="194"/>
    <x v="0"/>
    <x v="0"/>
    <n v="520"/>
    <x v="63"/>
    <n v="494"/>
    <x v="196"/>
    <x v="194"/>
    <x v="0"/>
    <x v="3"/>
    <x v="3"/>
    <s v="Wednesday"/>
  </r>
  <r>
    <s v="TXN-00198"/>
    <d v="2024-07-22T00:00:00"/>
    <d v="1899-12-30T20:00:00"/>
    <s v="Simran Kaur"/>
    <s v="CUST0367"/>
    <x v="2"/>
    <x v="6"/>
    <x v="0"/>
    <s v="Hot"/>
    <s v="Unknown"/>
    <n v="1"/>
    <n v="100"/>
    <n v="0.05"/>
    <n v="100"/>
    <n v="95"/>
    <x v="2"/>
    <x v="2"/>
    <x v="0"/>
    <x v="0"/>
    <x v="1"/>
    <x v="3"/>
    <n v="89"/>
    <n v="37"/>
    <x v="196"/>
    <x v="195"/>
    <x v="0"/>
    <x v="3"/>
    <n v="100"/>
    <x v="32"/>
    <n v="95"/>
    <x v="197"/>
    <x v="195"/>
    <x v="0"/>
    <x v="7"/>
    <x v="7"/>
    <s v="Monday"/>
  </r>
  <r>
    <s v="TXN-00199"/>
    <d v="2024-03-10T00:00:00"/>
    <d v="1899-12-30T12:00:00"/>
    <s v="Aditya Verma"/>
    <s v="CUST0188"/>
    <x v="0"/>
    <x v="7"/>
    <x v="0"/>
    <s v="Hot"/>
    <s v="Large"/>
    <n v="3"/>
    <n v="155"/>
    <n v="0.1"/>
    <n v="465"/>
    <n v="418.5"/>
    <x v="2"/>
    <x v="3"/>
    <x v="4"/>
    <x v="2"/>
    <x v="0"/>
    <x v="4"/>
    <n v="350"/>
    <n v="29"/>
    <x v="197"/>
    <x v="196"/>
    <x v="3"/>
    <x v="0"/>
    <n v="465"/>
    <x v="64"/>
    <n v="418.5"/>
    <x v="198"/>
    <x v="196"/>
    <x v="0"/>
    <x v="5"/>
    <x v="5"/>
    <s v="Sunday"/>
  </r>
  <r>
    <s v="TXN-00200"/>
    <d v="2024-03-24T00:00:00"/>
    <d v="1899-12-30T12:20:00"/>
    <s v="Aarav Chopra"/>
    <s v="CUST0273"/>
    <x v="3"/>
    <x v="5"/>
    <x v="2"/>
    <s v="Hot"/>
    <s v="Small"/>
    <n v="2"/>
    <n v="105"/>
    <n v="0"/>
    <n v="210"/>
    <n v="210"/>
    <x v="0"/>
    <x v="0"/>
    <x v="1"/>
    <x v="6"/>
    <x v="2"/>
    <x v="4"/>
    <n v="105"/>
    <n v="56"/>
    <x v="198"/>
    <x v="197"/>
    <x v="2"/>
    <x v="1"/>
    <n v="210"/>
    <x v="0"/>
    <n v="210"/>
    <x v="199"/>
    <x v="197"/>
    <x v="0"/>
    <x v="5"/>
    <x v="5"/>
    <s v="Sunday"/>
  </r>
  <r>
    <s v="TXN-00201"/>
    <d v="2024-12-26T00:00:00"/>
    <d v="1899-12-30T12:45:00"/>
    <s v="Neha Mehta"/>
    <s v="CUST0201"/>
    <x v="2"/>
    <x v="7"/>
    <x v="0"/>
    <s v="Hot"/>
    <s v="Unknown"/>
    <n v="3"/>
    <n v="155"/>
    <n v="0"/>
    <n v="465"/>
    <n v="465"/>
    <x v="0"/>
    <x v="0"/>
    <x v="5"/>
    <x v="3"/>
    <x v="2"/>
    <x v="2"/>
    <n v="325"/>
    <n v="33"/>
    <x v="199"/>
    <x v="198"/>
    <x v="1"/>
    <x v="3"/>
    <n v="465"/>
    <x v="0"/>
    <n v="465"/>
    <x v="200"/>
    <x v="198"/>
    <x v="0"/>
    <x v="9"/>
    <x v="9"/>
    <s v="Thursday"/>
  </r>
  <r>
    <s v="TXN-00202"/>
    <d v="2024-06-25T00:00:00"/>
    <d v="1899-12-30T08:30:00"/>
    <s v="Arjun Chopra"/>
    <s v="CUST0244"/>
    <x v="0"/>
    <x v="5"/>
    <x v="2"/>
    <s v="Hot"/>
    <s v="Medium"/>
    <n v="3"/>
    <n v="105"/>
    <n v="0.15"/>
    <n v="315"/>
    <n v="267.75"/>
    <x v="0"/>
    <x v="0"/>
    <x v="2"/>
    <x v="1"/>
    <x v="2"/>
    <x v="4"/>
    <n v="215"/>
    <n v="36"/>
    <x v="200"/>
    <x v="199"/>
    <x v="4"/>
    <x v="1"/>
    <n v="315"/>
    <x v="65"/>
    <n v="267.75"/>
    <x v="201"/>
    <x v="199"/>
    <x v="0"/>
    <x v="4"/>
    <x v="4"/>
    <s v="Tuesday"/>
  </r>
  <r>
    <s v="TXN-00203"/>
    <d v="2024-11-14T00:00:00"/>
    <d v="1899-12-30T20:45:00"/>
    <s v="Aarav Bansal"/>
    <s v="CUST0371"/>
    <x v="2"/>
    <x v="12"/>
    <x v="1"/>
    <s v="Food"/>
    <s v="Medium"/>
    <n v="2"/>
    <n v="100"/>
    <n v="0.05"/>
    <n v="200"/>
    <n v="190"/>
    <x v="0"/>
    <x v="3"/>
    <x v="0"/>
    <x v="7"/>
    <x v="0"/>
    <x v="4"/>
    <n v="167"/>
    <n v="28"/>
    <x v="201"/>
    <x v="200"/>
    <x v="1"/>
    <x v="0"/>
    <n v="200"/>
    <x v="4"/>
    <n v="190"/>
    <x v="202"/>
    <x v="200"/>
    <x v="0"/>
    <x v="11"/>
    <x v="11"/>
    <s v="Thursday"/>
  </r>
  <r>
    <s v="TXN-00204"/>
    <d v="2024-12-23T00:00:00"/>
    <d v="1899-12-30T17:20:00"/>
    <s v="Rohan Malhotra"/>
    <s v="CUST0284"/>
    <x v="3"/>
    <x v="9"/>
    <x v="2"/>
    <s v="Hot"/>
    <s v="Large"/>
    <n v="1"/>
    <n v="90"/>
    <n v="0.15"/>
    <n v="90"/>
    <n v="76.5"/>
    <x v="1"/>
    <x v="3"/>
    <x v="0"/>
    <x v="3"/>
    <x v="0"/>
    <x v="4"/>
    <n v="330"/>
    <n v="20"/>
    <x v="202"/>
    <x v="201"/>
    <x v="3"/>
    <x v="4"/>
    <n v="90"/>
    <x v="46"/>
    <n v="76.5"/>
    <x v="203"/>
    <x v="201"/>
    <x v="0"/>
    <x v="9"/>
    <x v="9"/>
    <s v="Monday"/>
  </r>
  <r>
    <s v="TXN-00205"/>
    <d v="2024-05-06T00:00:00"/>
    <d v="1899-12-30T09:45:00"/>
    <s v="Rohan Mehta"/>
    <s v="Unknown"/>
    <x v="2"/>
    <x v="5"/>
    <x v="2"/>
    <s v="Hot"/>
    <s v="Large"/>
    <n v="4"/>
    <n v="105"/>
    <n v="0.1"/>
    <n v="420"/>
    <n v="378"/>
    <x v="2"/>
    <x v="1"/>
    <x v="0"/>
    <x v="4"/>
    <x v="0"/>
    <x v="4"/>
    <n v="87"/>
    <n v="36"/>
    <x v="203"/>
    <x v="202"/>
    <x v="4"/>
    <x v="3"/>
    <n v="420"/>
    <x v="28"/>
    <n v="378"/>
    <x v="204"/>
    <x v="202"/>
    <x v="0"/>
    <x v="6"/>
    <x v="6"/>
    <s v="Monday"/>
  </r>
  <r>
    <s v="TXN-00206"/>
    <d v="2024-12-22T00:00:00"/>
    <d v="1899-12-30T10:50:00"/>
    <s v="Riya Singh"/>
    <s v="CUST0374"/>
    <x v="2"/>
    <x v="4"/>
    <x v="0"/>
    <s v="Cold"/>
    <s v="Large"/>
    <n v="1"/>
    <n v="150"/>
    <n v="0.1"/>
    <n v="150"/>
    <n v="135"/>
    <x v="1"/>
    <x v="0"/>
    <x v="3"/>
    <x v="5"/>
    <x v="0"/>
    <x v="2"/>
    <n v="156"/>
    <n v="25"/>
    <x v="204"/>
    <x v="203"/>
    <x v="3"/>
    <x v="0"/>
    <n v="150"/>
    <x v="51"/>
    <n v="135"/>
    <x v="205"/>
    <x v="203"/>
    <x v="0"/>
    <x v="9"/>
    <x v="9"/>
    <s v="Sunday"/>
  </r>
  <r>
    <s v="TXN-00207"/>
    <d v="2024-05-07T00:00:00"/>
    <d v="1899-12-30T19:30:00"/>
    <s v="Pooja Bansal"/>
    <s v="CUST0179"/>
    <x v="3"/>
    <x v="13"/>
    <x v="2"/>
    <s v="Cold"/>
    <s v="Medium"/>
    <n v="2"/>
    <n v="105"/>
    <n v="0.1"/>
    <n v="210"/>
    <n v="189"/>
    <x v="0"/>
    <x v="2"/>
    <x v="5"/>
    <x v="4"/>
    <x v="0"/>
    <x v="0"/>
    <n v="250"/>
    <n v="39"/>
    <x v="205"/>
    <x v="204"/>
    <x v="2"/>
    <x v="2"/>
    <n v="210"/>
    <x v="66"/>
    <n v="189"/>
    <x v="206"/>
    <x v="204"/>
    <x v="0"/>
    <x v="6"/>
    <x v="6"/>
    <s v="Tuesday"/>
  </r>
  <r>
    <s v="TXN-00208"/>
    <d v="2024-01-12T00:00:00"/>
    <d v="1899-12-30T11:10:00"/>
    <s v="Sneha Verma"/>
    <s v="CUST0151"/>
    <x v="1"/>
    <x v="0"/>
    <x v="0"/>
    <s v="Hot"/>
    <s v="Medium"/>
    <n v="1"/>
    <n v="135"/>
    <n v="0"/>
    <n v="135"/>
    <n v="135"/>
    <x v="3"/>
    <x v="0"/>
    <x v="0"/>
    <x v="1"/>
    <x v="2"/>
    <x v="4"/>
    <n v="95"/>
    <n v="51"/>
    <x v="206"/>
    <x v="205"/>
    <x v="1"/>
    <x v="1"/>
    <n v="135"/>
    <x v="0"/>
    <n v="135"/>
    <x v="207"/>
    <x v="205"/>
    <x v="0"/>
    <x v="2"/>
    <x v="2"/>
    <s v="Friday"/>
  </r>
  <r>
    <s v="TXN-00209"/>
    <d v="2024-09-05T00:00:00"/>
    <d v="1899-12-30T10:20:00"/>
    <s v="Kavya Bansal"/>
    <s v="CUST0201"/>
    <x v="3"/>
    <x v="3"/>
    <x v="0"/>
    <s v="Hot"/>
    <s v="Small"/>
    <n v="1"/>
    <n v="120"/>
    <n v="0.15"/>
    <n v="120"/>
    <n v="102"/>
    <x v="0"/>
    <x v="0"/>
    <x v="6"/>
    <x v="3"/>
    <x v="0"/>
    <x v="1"/>
    <n v="34"/>
    <n v="34"/>
    <x v="207"/>
    <x v="206"/>
    <x v="2"/>
    <x v="0"/>
    <n v="120"/>
    <x v="23"/>
    <n v="102"/>
    <x v="208"/>
    <x v="206"/>
    <x v="0"/>
    <x v="0"/>
    <x v="0"/>
    <s v="Thursday"/>
  </r>
  <r>
    <s v="TXN-00210"/>
    <d v="2024-09-17T00:00:00"/>
    <d v="1899-12-30T12:30:00"/>
    <s v="Riya Verma"/>
    <s v="CUST0156"/>
    <x v="3"/>
    <x v="2"/>
    <x v="1"/>
    <s v="Food"/>
    <s v="Unknown"/>
    <n v="3"/>
    <n v="70"/>
    <n v="0.15"/>
    <n v="210"/>
    <n v="178.5"/>
    <x v="1"/>
    <x v="1"/>
    <x v="0"/>
    <x v="4"/>
    <x v="0"/>
    <x v="4"/>
    <n v="348"/>
    <n v="11"/>
    <x v="208"/>
    <x v="207"/>
    <x v="3"/>
    <x v="4"/>
    <n v="210"/>
    <x v="59"/>
    <n v="178.5"/>
    <x v="209"/>
    <x v="207"/>
    <x v="0"/>
    <x v="0"/>
    <x v="0"/>
    <s v="Tuesday"/>
  </r>
  <r>
    <s v="TXN-00211"/>
    <d v="2024-04-23T00:00:00"/>
    <d v="1899-12-30T12:15:00"/>
    <s v="Pooja Gupta"/>
    <s v="CUST0286"/>
    <x v="0"/>
    <x v="4"/>
    <x v="0"/>
    <s v="Cold"/>
    <s v="Small"/>
    <n v="1"/>
    <n v="155"/>
    <n v="0.1"/>
    <n v="155"/>
    <n v="139.5"/>
    <x v="2"/>
    <x v="0"/>
    <x v="5"/>
    <x v="5"/>
    <x v="0"/>
    <x v="0"/>
    <n v="260"/>
    <n v="18"/>
    <x v="209"/>
    <x v="208"/>
    <x v="0"/>
    <x v="3"/>
    <n v="155"/>
    <x v="14"/>
    <n v="139.5"/>
    <x v="210"/>
    <x v="208"/>
    <x v="0"/>
    <x v="8"/>
    <x v="8"/>
    <s v="Tuesday"/>
  </r>
  <r>
    <s v="TXN-00212"/>
    <d v="2024-02-21T00:00:00"/>
    <d v="1899-12-30T09:50:00"/>
    <s v="Kavya Gupta"/>
    <s v="CUST0132"/>
    <x v="2"/>
    <x v="12"/>
    <x v="1"/>
    <s v="Food"/>
    <s v="Medium"/>
    <n v="2"/>
    <n v="90"/>
    <n v="0.1"/>
    <n v="180"/>
    <n v="162"/>
    <x v="1"/>
    <x v="2"/>
    <x v="2"/>
    <x v="6"/>
    <x v="0"/>
    <x v="4"/>
    <n v="331"/>
    <n v="37"/>
    <x v="210"/>
    <x v="209"/>
    <x v="3"/>
    <x v="4"/>
    <n v="180"/>
    <x v="23"/>
    <n v="162"/>
    <x v="211"/>
    <x v="209"/>
    <x v="0"/>
    <x v="3"/>
    <x v="3"/>
    <s v="Wednesday"/>
  </r>
  <r>
    <s v="TXN-00213"/>
    <d v="2024-05-05T00:00:00"/>
    <d v="1899-12-30T19:00:00"/>
    <s v="Vivaan Mehta"/>
    <s v="CUST0243"/>
    <x v="3"/>
    <x v="3"/>
    <x v="0"/>
    <s v="Hot"/>
    <s v="Large"/>
    <n v="2"/>
    <n v="115"/>
    <n v="0.1"/>
    <n v="230"/>
    <n v="207"/>
    <x v="1"/>
    <x v="2"/>
    <x v="4"/>
    <x v="4"/>
    <x v="1"/>
    <x v="1"/>
    <n v="166"/>
    <n v="40"/>
    <x v="211"/>
    <x v="210"/>
    <x v="0"/>
    <x v="0"/>
    <n v="230"/>
    <x v="48"/>
    <n v="207"/>
    <x v="212"/>
    <x v="210"/>
    <x v="0"/>
    <x v="6"/>
    <x v="6"/>
    <s v="Sunday"/>
  </r>
  <r>
    <s v="TXN-00214"/>
    <d v="2024-01-07T00:00:00"/>
    <d v="1899-12-30T11:20:00"/>
    <s v="Riya Gupta"/>
    <s v="CUST0321"/>
    <x v="3"/>
    <x v="13"/>
    <x v="2"/>
    <s v="Cold"/>
    <s v="Large"/>
    <n v="1"/>
    <n v="105"/>
    <n v="0.1"/>
    <n v="105"/>
    <n v="94.5"/>
    <x v="2"/>
    <x v="1"/>
    <x v="0"/>
    <x v="3"/>
    <x v="0"/>
    <x v="4"/>
    <n v="228"/>
    <n v="41"/>
    <x v="57"/>
    <x v="211"/>
    <x v="2"/>
    <x v="0"/>
    <n v="105"/>
    <x v="25"/>
    <n v="94.5"/>
    <x v="57"/>
    <x v="211"/>
    <x v="0"/>
    <x v="2"/>
    <x v="2"/>
    <s v="Sunday"/>
  </r>
  <r>
    <s v="TXN-00215"/>
    <d v="2024-06-08T00:00:00"/>
    <d v="1899-12-30T16:30:00"/>
    <s v="Meera Bansal"/>
    <s v="CUST0370"/>
    <x v="3"/>
    <x v="14"/>
    <x v="3"/>
    <s v="Food"/>
    <s v="Unknown"/>
    <n v="3"/>
    <n v="190"/>
    <n v="0"/>
    <n v="570"/>
    <n v="570"/>
    <x v="0"/>
    <x v="0"/>
    <x v="0"/>
    <x v="0"/>
    <x v="0"/>
    <x v="3"/>
    <n v="306"/>
    <n v="43"/>
    <x v="212"/>
    <x v="212"/>
    <x v="3"/>
    <x v="3"/>
    <n v="570"/>
    <x v="0"/>
    <n v="570"/>
    <x v="213"/>
    <x v="212"/>
    <x v="0"/>
    <x v="4"/>
    <x v="4"/>
    <s v="Saturday"/>
  </r>
  <r>
    <s v="TXN-00216"/>
    <d v="2024-05-12T00:00:00"/>
    <d v="1899-12-30T09:00:00"/>
    <s v="Riya Malhotra"/>
    <s v="CUST0249"/>
    <x v="2"/>
    <x v="12"/>
    <x v="1"/>
    <s v="Food"/>
    <s v="Large"/>
    <n v="1"/>
    <n v="90"/>
    <n v="0.05"/>
    <n v="90"/>
    <n v="85.5"/>
    <x v="2"/>
    <x v="0"/>
    <x v="3"/>
    <x v="3"/>
    <x v="0"/>
    <x v="4"/>
    <n v="318"/>
    <n v="16"/>
    <x v="213"/>
    <x v="213"/>
    <x v="0"/>
    <x v="2"/>
    <n v="90"/>
    <x v="31"/>
    <n v="85.5"/>
    <x v="214"/>
    <x v="213"/>
    <x v="0"/>
    <x v="6"/>
    <x v="6"/>
    <s v="Sunday"/>
  </r>
  <r>
    <s v="TXN-00217"/>
    <d v="2024-01-13T00:00:00"/>
    <d v="1899-12-30T11:10:00"/>
    <s v="Vivaan Sharma"/>
    <s v="CUST0357"/>
    <x v="1"/>
    <x v="4"/>
    <x v="0"/>
    <s v="Cold"/>
    <s v="Large"/>
    <n v="3"/>
    <n v="145"/>
    <n v="0.05"/>
    <n v="435"/>
    <n v="413.25"/>
    <x v="1"/>
    <x v="0"/>
    <x v="3"/>
    <x v="0"/>
    <x v="0"/>
    <x v="0"/>
    <n v="19"/>
    <n v="23"/>
    <x v="214"/>
    <x v="214"/>
    <x v="1"/>
    <x v="0"/>
    <n v="435"/>
    <x v="67"/>
    <n v="413.25"/>
    <x v="215"/>
    <x v="214"/>
    <x v="0"/>
    <x v="2"/>
    <x v="2"/>
    <s v="Saturday"/>
  </r>
  <r>
    <s v="TXN-00218"/>
    <d v="2024-07-19T00:00:00"/>
    <d v="1899-12-30T19:50:00"/>
    <s v="Aarav Singh"/>
    <s v="CUST0348"/>
    <x v="0"/>
    <x v="0"/>
    <x v="0"/>
    <s v="Hot"/>
    <s v="Unknown"/>
    <n v="2"/>
    <n v="135"/>
    <n v="0.1"/>
    <n v="270"/>
    <n v="243"/>
    <x v="2"/>
    <x v="2"/>
    <x v="6"/>
    <x v="6"/>
    <x v="0"/>
    <x v="0"/>
    <n v="30"/>
    <n v="22"/>
    <x v="215"/>
    <x v="215"/>
    <x v="0"/>
    <x v="1"/>
    <n v="270"/>
    <x v="33"/>
    <n v="243"/>
    <x v="216"/>
    <x v="215"/>
    <x v="0"/>
    <x v="7"/>
    <x v="7"/>
    <s v="Friday"/>
  </r>
  <r>
    <s v="TXN-00219"/>
    <d v="2024-03-05T00:00:00"/>
    <d v="1899-12-30T19:20:00"/>
    <s v="Unknown"/>
    <s v="CUST0193"/>
    <x v="1"/>
    <x v="12"/>
    <x v="1"/>
    <s v="Food"/>
    <s v="Large"/>
    <n v="2"/>
    <n v="90"/>
    <n v="0.05"/>
    <n v="180"/>
    <n v="171"/>
    <x v="1"/>
    <x v="1"/>
    <x v="0"/>
    <x v="0"/>
    <x v="2"/>
    <x v="4"/>
    <n v="453"/>
    <n v="36"/>
    <x v="216"/>
    <x v="216"/>
    <x v="3"/>
    <x v="3"/>
    <n v="180"/>
    <x v="13"/>
    <n v="171"/>
    <x v="217"/>
    <x v="216"/>
    <x v="0"/>
    <x v="5"/>
    <x v="5"/>
    <s v="Tuesday"/>
  </r>
  <r>
    <s v="TXN-00220"/>
    <d v="2024-06-29T00:00:00"/>
    <d v="1899-12-30T09:00:00"/>
    <s v="Riya Bansal"/>
    <s v="Unknown"/>
    <x v="2"/>
    <x v="10"/>
    <x v="1"/>
    <s v="Food"/>
    <s v="Small"/>
    <n v="1"/>
    <n v="105"/>
    <n v="0.05"/>
    <n v="105"/>
    <n v="99.75"/>
    <x v="1"/>
    <x v="0"/>
    <x v="2"/>
    <x v="5"/>
    <x v="1"/>
    <x v="2"/>
    <n v="305"/>
    <n v="34"/>
    <x v="217"/>
    <x v="217"/>
    <x v="2"/>
    <x v="0"/>
    <n v="105"/>
    <x v="40"/>
    <n v="99.75"/>
    <x v="218"/>
    <x v="217"/>
    <x v="0"/>
    <x v="4"/>
    <x v="4"/>
    <s v="Saturday"/>
  </r>
  <r>
    <s v="TXN-00221"/>
    <d v="2024-01-13T00:00:00"/>
    <d v="1899-12-30T10:45:00"/>
    <s v="Rohan Gupta"/>
    <s v="CUST0238"/>
    <x v="3"/>
    <x v="3"/>
    <x v="0"/>
    <s v="Hot"/>
    <s v="Unknown"/>
    <n v="1"/>
    <n v="115"/>
    <n v="0.1"/>
    <n v="115"/>
    <n v="103.5"/>
    <x v="0"/>
    <x v="0"/>
    <x v="0"/>
    <x v="0"/>
    <x v="0"/>
    <x v="4"/>
    <n v="459"/>
    <n v="34"/>
    <x v="218"/>
    <x v="218"/>
    <x v="2"/>
    <x v="1"/>
    <n v="115"/>
    <x v="19"/>
    <n v="103.5"/>
    <x v="219"/>
    <x v="218"/>
    <x v="0"/>
    <x v="2"/>
    <x v="2"/>
    <s v="Saturday"/>
  </r>
  <r>
    <s v="TXN-00222"/>
    <d v="2024-03-27T00:00:00"/>
    <d v="1899-12-30T13:15:00"/>
    <s v="Kavya Malhotra"/>
    <s v="CUST0279"/>
    <x v="2"/>
    <x v="3"/>
    <x v="0"/>
    <s v="Hot"/>
    <s v="Small"/>
    <n v="3"/>
    <n v="115"/>
    <n v="0.05"/>
    <n v="345"/>
    <n v="327.75"/>
    <x v="0"/>
    <x v="1"/>
    <x v="1"/>
    <x v="0"/>
    <x v="0"/>
    <x v="4"/>
    <n v="78"/>
    <n v="36"/>
    <x v="219"/>
    <x v="219"/>
    <x v="1"/>
    <x v="1"/>
    <n v="345"/>
    <x v="68"/>
    <n v="327.75"/>
    <x v="220"/>
    <x v="219"/>
    <x v="0"/>
    <x v="5"/>
    <x v="5"/>
    <s v="Wednesday"/>
  </r>
  <r>
    <s v="TXN-00223"/>
    <d v="2024-03-01T00:00:00"/>
    <d v="1899-12-30T16:45:00"/>
    <s v="Neha Sharma"/>
    <s v="CUST0315"/>
    <x v="2"/>
    <x v="2"/>
    <x v="1"/>
    <s v="Food"/>
    <s v="Small"/>
    <n v="4"/>
    <n v="70"/>
    <n v="0.05"/>
    <n v="280"/>
    <n v="266"/>
    <x v="2"/>
    <x v="3"/>
    <x v="5"/>
    <x v="5"/>
    <x v="2"/>
    <x v="0"/>
    <n v="50"/>
    <n v="35"/>
    <x v="220"/>
    <x v="220"/>
    <x v="3"/>
    <x v="0"/>
    <n v="280"/>
    <x v="9"/>
    <n v="266"/>
    <x v="221"/>
    <x v="220"/>
    <x v="0"/>
    <x v="5"/>
    <x v="5"/>
    <s v="Friday"/>
  </r>
  <r>
    <s v="TXN-00224"/>
    <d v="2024-12-14T00:00:00"/>
    <d v="1899-12-30T10:20:00"/>
    <s v="Neha Mehta"/>
    <s v="CUST0265"/>
    <x v="0"/>
    <x v="9"/>
    <x v="2"/>
    <s v="Hot"/>
    <s v="Large"/>
    <n v="4"/>
    <n v="80"/>
    <n v="0.05"/>
    <n v="320"/>
    <n v="304"/>
    <x v="0"/>
    <x v="3"/>
    <x v="0"/>
    <x v="2"/>
    <x v="0"/>
    <x v="1"/>
    <n v="457"/>
    <n v="54"/>
    <x v="221"/>
    <x v="221"/>
    <x v="3"/>
    <x v="0"/>
    <n v="320"/>
    <x v="3"/>
    <n v="304"/>
    <x v="222"/>
    <x v="221"/>
    <x v="0"/>
    <x v="9"/>
    <x v="9"/>
    <s v="Saturday"/>
  </r>
  <r>
    <s v="TXN-00225"/>
    <d v="2024-04-26T00:00:00"/>
    <d v="1899-12-30T14:30:00"/>
    <s v="Unknown"/>
    <s v="CUST0365"/>
    <x v="0"/>
    <x v="10"/>
    <x v="1"/>
    <s v="Food"/>
    <s v="Medium"/>
    <n v="1"/>
    <n v="95"/>
    <n v="0"/>
    <n v="95"/>
    <n v="95"/>
    <x v="0"/>
    <x v="2"/>
    <x v="2"/>
    <x v="4"/>
    <x v="0"/>
    <x v="4"/>
    <n v="423"/>
    <n v="37"/>
    <x v="222"/>
    <x v="222"/>
    <x v="3"/>
    <x v="4"/>
    <n v="95"/>
    <x v="0"/>
    <n v="95"/>
    <x v="223"/>
    <x v="222"/>
    <x v="0"/>
    <x v="8"/>
    <x v="8"/>
    <s v="Friday"/>
  </r>
  <r>
    <s v="TXN-00226"/>
    <d v="2024-07-11T00:00:00"/>
    <d v="1899-12-30T09:00:00"/>
    <s v="Kavya Chopra"/>
    <s v="CUST0277"/>
    <x v="0"/>
    <x v="2"/>
    <x v="1"/>
    <s v="Food"/>
    <s v="Medium"/>
    <n v="1"/>
    <n v="75"/>
    <n v="0"/>
    <n v="75"/>
    <n v="75"/>
    <x v="3"/>
    <x v="2"/>
    <x v="6"/>
    <x v="3"/>
    <x v="1"/>
    <x v="0"/>
    <n v="120"/>
    <n v="54"/>
    <x v="190"/>
    <x v="223"/>
    <x v="2"/>
    <x v="2"/>
    <n v="75"/>
    <x v="0"/>
    <n v="75"/>
    <x v="224"/>
    <x v="223"/>
    <x v="0"/>
    <x v="7"/>
    <x v="7"/>
    <s v="Thursday"/>
  </r>
  <r>
    <s v="TXN-00227"/>
    <d v="2024-03-22T00:00:00"/>
    <d v="1899-12-30T21:15:00"/>
    <s v="Vivaan Singh"/>
    <s v="CUST0286"/>
    <x v="1"/>
    <x v="12"/>
    <x v="1"/>
    <s v="Food"/>
    <s v="Large"/>
    <n v="2"/>
    <n v="100"/>
    <n v="0"/>
    <n v="200"/>
    <n v="200"/>
    <x v="0"/>
    <x v="0"/>
    <x v="4"/>
    <x v="4"/>
    <x v="0"/>
    <x v="3"/>
    <n v="452"/>
    <n v="19"/>
    <x v="223"/>
    <x v="224"/>
    <x v="2"/>
    <x v="0"/>
    <n v="200"/>
    <x v="0"/>
    <n v="200"/>
    <x v="225"/>
    <x v="224"/>
    <x v="0"/>
    <x v="5"/>
    <x v="5"/>
    <s v="Friday"/>
  </r>
  <r>
    <s v="TXN-00228"/>
    <d v="2024-01-19T00:00:00"/>
    <d v="1899-12-30T12:45:00"/>
    <s v="Riya Chopra"/>
    <s v="CUST0236"/>
    <x v="3"/>
    <x v="6"/>
    <x v="0"/>
    <s v="Hot"/>
    <s v="Large"/>
    <n v="1"/>
    <n v="95"/>
    <n v="0.15"/>
    <n v="95"/>
    <n v="80.75"/>
    <x v="0"/>
    <x v="0"/>
    <x v="4"/>
    <x v="7"/>
    <x v="0"/>
    <x v="1"/>
    <n v="94"/>
    <n v="36"/>
    <x v="117"/>
    <x v="225"/>
    <x v="0"/>
    <x v="4"/>
    <n v="95"/>
    <x v="36"/>
    <n v="80.75"/>
    <x v="226"/>
    <x v="225"/>
    <x v="0"/>
    <x v="2"/>
    <x v="2"/>
    <s v="Friday"/>
  </r>
  <r>
    <s v="TXN-00229"/>
    <d v="2024-11-23T00:00:00"/>
    <d v="1899-12-30T08:30:00"/>
    <s v="Rohan Sharma"/>
    <s v="CUST0263"/>
    <x v="2"/>
    <x v="13"/>
    <x v="2"/>
    <s v="Cold"/>
    <s v="Unknown"/>
    <n v="1"/>
    <n v="115"/>
    <n v="0.1"/>
    <n v="115"/>
    <n v="103.5"/>
    <x v="3"/>
    <x v="2"/>
    <x v="0"/>
    <x v="6"/>
    <x v="0"/>
    <x v="4"/>
    <n v="251"/>
    <n v="45"/>
    <x v="224"/>
    <x v="226"/>
    <x v="0"/>
    <x v="1"/>
    <n v="115"/>
    <x v="19"/>
    <n v="103.5"/>
    <x v="227"/>
    <x v="226"/>
    <x v="0"/>
    <x v="11"/>
    <x v="11"/>
    <s v="Saturday"/>
  </r>
  <r>
    <s v="TXN-00230"/>
    <d v="2024-03-07T00:00:00"/>
    <d v="1899-12-30T11:30:00"/>
    <s v="Isha Mehta"/>
    <s v="CUST0370"/>
    <x v="0"/>
    <x v="9"/>
    <x v="2"/>
    <s v="Hot"/>
    <s v="Large"/>
    <n v="2"/>
    <n v="85"/>
    <n v="0.05"/>
    <n v="170"/>
    <n v="161.5"/>
    <x v="0"/>
    <x v="3"/>
    <x v="5"/>
    <x v="6"/>
    <x v="0"/>
    <x v="1"/>
    <n v="260"/>
    <n v="15"/>
    <x v="225"/>
    <x v="227"/>
    <x v="3"/>
    <x v="2"/>
    <n v="170"/>
    <x v="20"/>
    <n v="161.5"/>
    <x v="228"/>
    <x v="227"/>
    <x v="0"/>
    <x v="5"/>
    <x v="5"/>
    <s v="Thursday"/>
  </r>
  <r>
    <s v="TXN-00231"/>
    <d v="2024-03-17T00:00:00"/>
    <d v="1899-12-30T18:30:00"/>
    <s v="Meera Sharma"/>
    <s v="CUST0298"/>
    <x v="0"/>
    <x v="14"/>
    <x v="3"/>
    <s v="Food"/>
    <s v="Medium"/>
    <n v="5"/>
    <n v="180"/>
    <n v="0"/>
    <n v="900"/>
    <n v="900"/>
    <x v="0"/>
    <x v="3"/>
    <x v="5"/>
    <x v="4"/>
    <x v="1"/>
    <x v="0"/>
    <n v="494"/>
    <n v="35"/>
    <x v="226"/>
    <x v="228"/>
    <x v="3"/>
    <x v="0"/>
    <n v="900"/>
    <x v="0"/>
    <n v="900"/>
    <x v="229"/>
    <x v="228"/>
    <x v="0"/>
    <x v="5"/>
    <x v="5"/>
    <s v="Sunday"/>
  </r>
  <r>
    <s v="TXN-00232"/>
    <d v="2024-01-31T00:00:00"/>
    <d v="1899-12-30T07:00:00"/>
    <s v="Arjun Bansal"/>
    <s v="CUST0226"/>
    <x v="3"/>
    <x v="4"/>
    <x v="0"/>
    <s v="Cold"/>
    <s v="Small"/>
    <n v="1"/>
    <n v="150"/>
    <n v="0.15"/>
    <n v="150"/>
    <n v="127.5"/>
    <x v="1"/>
    <x v="2"/>
    <x v="3"/>
    <x v="6"/>
    <x v="1"/>
    <x v="4"/>
    <n v="399"/>
    <n v="41"/>
    <x v="227"/>
    <x v="229"/>
    <x v="1"/>
    <x v="0"/>
    <n v="150"/>
    <x v="55"/>
    <n v="127.5"/>
    <x v="230"/>
    <x v="229"/>
    <x v="0"/>
    <x v="2"/>
    <x v="2"/>
    <s v="Wednesday"/>
  </r>
  <r>
    <s v="TXN-00233"/>
    <d v="2024-10-25T00:00:00"/>
    <d v="1899-12-30T08:15:00"/>
    <s v="Arjun Gupta"/>
    <s v="CUST0210"/>
    <x v="3"/>
    <x v="9"/>
    <x v="2"/>
    <s v="Hot"/>
    <s v="Large"/>
    <n v="1"/>
    <n v="90"/>
    <n v="0.05"/>
    <n v="90"/>
    <n v="85.5"/>
    <x v="2"/>
    <x v="3"/>
    <x v="4"/>
    <x v="4"/>
    <x v="2"/>
    <x v="2"/>
    <n v="461"/>
    <n v="16"/>
    <x v="228"/>
    <x v="230"/>
    <x v="0"/>
    <x v="0"/>
    <n v="90"/>
    <x v="31"/>
    <n v="85.5"/>
    <x v="231"/>
    <x v="230"/>
    <x v="0"/>
    <x v="10"/>
    <x v="10"/>
    <s v="Friday"/>
  </r>
  <r>
    <s v="TXN-00234"/>
    <d v="2024-05-03T00:00:00"/>
    <d v="1899-12-30T08:50:00"/>
    <s v="Isha Gupta"/>
    <s v="CUST0391"/>
    <x v="2"/>
    <x v="4"/>
    <x v="0"/>
    <s v="Cold"/>
    <s v="Large"/>
    <n v="1"/>
    <n v="155"/>
    <n v="0.05"/>
    <n v="155"/>
    <n v="147.25"/>
    <x v="0"/>
    <x v="3"/>
    <x v="6"/>
    <x v="4"/>
    <x v="0"/>
    <x v="0"/>
    <n v="362"/>
    <n v="35"/>
    <x v="229"/>
    <x v="231"/>
    <x v="3"/>
    <x v="1"/>
    <n v="155"/>
    <x v="44"/>
    <n v="147.25"/>
    <x v="232"/>
    <x v="231"/>
    <x v="0"/>
    <x v="6"/>
    <x v="6"/>
    <s v="Friday"/>
  </r>
  <r>
    <s v="TXN-00235"/>
    <d v="2024-02-26T00:00:00"/>
    <d v="1899-12-30T15:30:00"/>
    <s v="Aarav Malhotra"/>
    <s v="CUST0195"/>
    <x v="2"/>
    <x v="11"/>
    <x v="0"/>
    <s v="Hot"/>
    <s v="Medium"/>
    <n v="1"/>
    <n v="90"/>
    <n v="0.15"/>
    <n v="90"/>
    <n v="76.5"/>
    <x v="3"/>
    <x v="3"/>
    <x v="5"/>
    <x v="5"/>
    <x v="0"/>
    <x v="3"/>
    <n v="191"/>
    <n v="54"/>
    <x v="230"/>
    <x v="232"/>
    <x v="1"/>
    <x v="0"/>
    <n v="90"/>
    <x v="46"/>
    <n v="76.5"/>
    <x v="233"/>
    <x v="232"/>
    <x v="0"/>
    <x v="3"/>
    <x v="3"/>
    <s v="Monday"/>
  </r>
  <r>
    <s v="TXN-00236"/>
    <d v="2024-05-31T00:00:00"/>
    <d v="1899-12-30T14:50:00"/>
    <s v="Pooja Singh"/>
    <s v="CUST0146"/>
    <x v="3"/>
    <x v="5"/>
    <x v="2"/>
    <s v="Hot"/>
    <s v="Unknown"/>
    <n v="1"/>
    <n v="95"/>
    <n v="0"/>
    <n v="95"/>
    <n v="95"/>
    <x v="0"/>
    <x v="0"/>
    <x v="3"/>
    <x v="7"/>
    <x v="0"/>
    <x v="4"/>
    <n v="194"/>
    <n v="16"/>
    <x v="231"/>
    <x v="233"/>
    <x v="0"/>
    <x v="4"/>
    <n v="95"/>
    <x v="0"/>
    <n v="95"/>
    <x v="234"/>
    <x v="233"/>
    <x v="0"/>
    <x v="6"/>
    <x v="6"/>
    <s v="Friday"/>
  </r>
  <r>
    <s v="TXN-00237"/>
    <d v="2024-01-12T00:00:00"/>
    <d v="1899-12-30T14:20:00"/>
    <s v="Ananya Kaur"/>
    <s v="CUST0351"/>
    <x v="2"/>
    <x v="13"/>
    <x v="2"/>
    <s v="Cold"/>
    <s v="Unknown"/>
    <n v="1"/>
    <n v="120"/>
    <n v="0.15"/>
    <n v="120"/>
    <n v="102"/>
    <x v="2"/>
    <x v="1"/>
    <x v="2"/>
    <x v="0"/>
    <x v="0"/>
    <x v="3"/>
    <n v="395"/>
    <n v="60"/>
    <x v="232"/>
    <x v="234"/>
    <x v="4"/>
    <x v="4"/>
    <n v="120"/>
    <x v="23"/>
    <n v="102"/>
    <x v="235"/>
    <x v="234"/>
    <x v="0"/>
    <x v="2"/>
    <x v="2"/>
    <s v="Friday"/>
  </r>
  <r>
    <s v="TXN-00238"/>
    <d v="2024-06-21T00:00:00"/>
    <d v="1899-12-30T11:15:00"/>
    <s v="Rohan Gupta"/>
    <s v="CUST0122"/>
    <x v="0"/>
    <x v="2"/>
    <x v="1"/>
    <s v="Food"/>
    <s v="Unknown"/>
    <n v="2"/>
    <n v="65"/>
    <n v="0"/>
    <n v="130"/>
    <n v="130"/>
    <x v="1"/>
    <x v="1"/>
    <x v="1"/>
    <x v="5"/>
    <x v="1"/>
    <x v="2"/>
    <n v="216"/>
    <n v="39"/>
    <x v="233"/>
    <x v="235"/>
    <x v="1"/>
    <x v="1"/>
    <n v="130"/>
    <x v="0"/>
    <n v="130"/>
    <x v="236"/>
    <x v="235"/>
    <x v="0"/>
    <x v="4"/>
    <x v="4"/>
    <s v="Friday"/>
  </r>
  <r>
    <s v="TXN-00239"/>
    <d v="2024-05-31T00:00:00"/>
    <d v="1899-12-30T11:20:00"/>
    <s v="Priya Kaur"/>
    <s v="CUST0142"/>
    <x v="3"/>
    <x v="0"/>
    <x v="0"/>
    <s v="Hot"/>
    <s v="Medium"/>
    <n v="4"/>
    <n v="125"/>
    <n v="0"/>
    <n v="500"/>
    <n v="500"/>
    <x v="0"/>
    <x v="2"/>
    <x v="0"/>
    <x v="7"/>
    <x v="2"/>
    <x v="4"/>
    <n v="70"/>
    <n v="12"/>
    <x v="234"/>
    <x v="236"/>
    <x v="3"/>
    <x v="1"/>
    <n v="500"/>
    <x v="0"/>
    <n v="500"/>
    <x v="237"/>
    <x v="236"/>
    <x v="0"/>
    <x v="6"/>
    <x v="6"/>
    <s v="Friday"/>
  </r>
  <r>
    <s v="TXN-00240"/>
    <d v="2024-07-05T00:00:00"/>
    <d v="1899-12-30T14:45:00"/>
    <s v="Unknown"/>
    <s v="CUST0397"/>
    <x v="2"/>
    <x v="1"/>
    <x v="1"/>
    <s v="Food"/>
    <s v="Large"/>
    <n v="1"/>
    <n v="130"/>
    <n v="0.1"/>
    <n v="130"/>
    <n v="117"/>
    <x v="1"/>
    <x v="0"/>
    <x v="5"/>
    <x v="3"/>
    <x v="0"/>
    <x v="0"/>
    <n v="313"/>
    <n v="41"/>
    <x v="235"/>
    <x v="237"/>
    <x v="0"/>
    <x v="1"/>
    <n v="130"/>
    <x v="17"/>
    <n v="117"/>
    <x v="238"/>
    <x v="237"/>
    <x v="0"/>
    <x v="7"/>
    <x v="7"/>
    <s v="Friday"/>
  </r>
  <r>
    <s v="TXN-00241"/>
    <d v="2024-01-04T00:00:00"/>
    <d v="1899-12-30T14:30:00"/>
    <s v="Pooja Verma"/>
    <s v="CUST0139"/>
    <x v="3"/>
    <x v="1"/>
    <x v="1"/>
    <s v="Food"/>
    <s v="Medium"/>
    <n v="3"/>
    <n v="125"/>
    <n v="0.05"/>
    <n v="375"/>
    <n v="356.25"/>
    <x v="3"/>
    <x v="3"/>
    <x v="0"/>
    <x v="3"/>
    <x v="0"/>
    <x v="4"/>
    <n v="299"/>
    <n v="35"/>
    <x v="236"/>
    <x v="238"/>
    <x v="0"/>
    <x v="0"/>
    <n v="375"/>
    <x v="69"/>
    <n v="356.25"/>
    <x v="239"/>
    <x v="238"/>
    <x v="0"/>
    <x v="2"/>
    <x v="2"/>
    <s v="Thursday"/>
  </r>
  <r>
    <s v="TXN-00242"/>
    <d v="2024-01-29T00:00:00"/>
    <d v="1899-12-30T14:15:00"/>
    <s v="Vivaan Bansal"/>
    <s v="CUST0353"/>
    <x v="2"/>
    <x v="8"/>
    <x v="0"/>
    <s v="Cold"/>
    <s v="Medium"/>
    <n v="2"/>
    <n v="160"/>
    <n v="0.05"/>
    <n v="320"/>
    <n v="304"/>
    <x v="0"/>
    <x v="1"/>
    <x v="0"/>
    <x v="4"/>
    <x v="0"/>
    <x v="4"/>
    <n v="7"/>
    <n v="36"/>
    <x v="237"/>
    <x v="239"/>
    <x v="1"/>
    <x v="0"/>
    <n v="320"/>
    <x v="3"/>
    <n v="304"/>
    <x v="240"/>
    <x v="239"/>
    <x v="0"/>
    <x v="2"/>
    <x v="2"/>
    <s v="Monday"/>
  </r>
  <r>
    <s v="TXN-00243"/>
    <d v="2024-06-27T00:00:00"/>
    <d v="1899-12-30T07:50:00"/>
    <s v="Meera Chopra"/>
    <s v="Unknown"/>
    <x v="1"/>
    <x v="15"/>
    <x v="4"/>
    <s v="Food"/>
    <s v="Large"/>
    <n v="1"/>
    <n v="200"/>
    <n v="0.1"/>
    <n v="200"/>
    <n v="180"/>
    <x v="2"/>
    <x v="2"/>
    <x v="6"/>
    <x v="7"/>
    <x v="2"/>
    <x v="3"/>
    <n v="348"/>
    <n v="37"/>
    <x v="238"/>
    <x v="240"/>
    <x v="3"/>
    <x v="3"/>
    <n v="200"/>
    <x v="5"/>
    <n v="180"/>
    <x v="241"/>
    <x v="240"/>
    <x v="0"/>
    <x v="4"/>
    <x v="4"/>
    <s v="Thursday"/>
  </r>
  <r>
    <s v="TXN-00244"/>
    <d v="2024-11-02T00:00:00"/>
    <d v="1899-12-30T10:50:00"/>
    <s v="Aarav Kaur"/>
    <s v="CUST0112"/>
    <x v="2"/>
    <x v="11"/>
    <x v="0"/>
    <s v="Hot"/>
    <s v="Medium"/>
    <n v="2"/>
    <n v="90"/>
    <n v="0.05"/>
    <n v="180"/>
    <n v="171"/>
    <x v="1"/>
    <x v="2"/>
    <x v="3"/>
    <x v="5"/>
    <x v="0"/>
    <x v="2"/>
    <n v="433"/>
    <n v="19"/>
    <x v="239"/>
    <x v="241"/>
    <x v="0"/>
    <x v="2"/>
    <n v="180"/>
    <x v="13"/>
    <n v="171"/>
    <x v="242"/>
    <x v="241"/>
    <x v="0"/>
    <x v="11"/>
    <x v="11"/>
    <s v="Saturday"/>
  </r>
  <r>
    <s v="TXN-00245"/>
    <d v="2024-10-19T00:00:00"/>
    <d v="1899-12-30T10:00:00"/>
    <s v="Isha Kaur"/>
    <s v="CUST0153"/>
    <x v="3"/>
    <x v="14"/>
    <x v="3"/>
    <s v="Food"/>
    <s v="Large"/>
    <n v="4"/>
    <n v="190"/>
    <n v="0.15"/>
    <n v="760"/>
    <n v="646"/>
    <x v="3"/>
    <x v="0"/>
    <x v="1"/>
    <x v="6"/>
    <x v="0"/>
    <x v="3"/>
    <n v="445"/>
    <n v="28"/>
    <x v="240"/>
    <x v="102"/>
    <x v="3"/>
    <x v="0"/>
    <n v="760"/>
    <x v="70"/>
    <n v="646"/>
    <x v="243"/>
    <x v="102"/>
    <x v="0"/>
    <x v="10"/>
    <x v="10"/>
    <s v="Saturday"/>
  </r>
  <r>
    <s v="TXN-00246"/>
    <d v="2024-12-10T00:00:00"/>
    <d v="1899-12-30T12:50:00"/>
    <s v="Isha Singh"/>
    <s v="CUST0226"/>
    <x v="2"/>
    <x v="0"/>
    <x v="0"/>
    <s v="Hot"/>
    <s v="Medium"/>
    <n v="2"/>
    <n v="125"/>
    <n v="0"/>
    <n v="250"/>
    <n v="250"/>
    <x v="2"/>
    <x v="0"/>
    <x v="6"/>
    <x v="1"/>
    <x v="2"/>
    <x v="1"/>
    <n v="491"/>
    <n v="24"/>
    <x v="241"/>
    <x v="242"/>
    <x v="0"/>
    <x v="0"/>
    <n v="250"/>
    <x v="0"/>
    <n v="250"/>
    <x v="244"/>
    <x v="242"/>
    <x v="0"/>
    <x v="9"/>
    <x v="9"/>
    <s v="Tuesday"/>
  </r>
  <r>
    <s v="TXN-00247"/>
    <d v="2024-09-27T00:00:00"/>
    <d v="1899-12-30T16:30:00"/>
    <s v="Aarav Mehta"/>
    <s v="CUST0365"/>
    <x v="1"/>
    <x v="12"/>
    <x v="1"/>
    <s v="Food"/>
    <s v="Small"/>
    <n v="1"/>
    <n v="85"/>
    <n v="0.1"/>
    <n v="85"/>
    <n v="76.5"/>
    <x v="0"/>
    <x v="3"/>
    <x v="0"/>
    <x v="4"/>
    <x v="0"/>
    <x v="2"/>
    <n v="243"/>
    <n v="33"/>
    <x v="242"/>
    <x v="243"/>
    <x v="0"/>
    <x v="0"/>
    <n v="85"/>
    <x v="20"/>
    <n v="76.5"/>
    <x v="245"/>
    <x v="243"/>
    <x v="0"/>
    <x v="0"/>
    <x v="0"/>
    <s v="Friday"/>
  </r>
  <r>
    <s v="TXN-00248"/>
    <d v="2024-09-25T00:00:00"/>
    <d v="1899-12-30T19:00:00"/>
    <s v="Sahil Kapoor"/>
    <s v="CUST0107"/>
    <x v="2"/>
    <x v="8"/>
    <x v="0"/>
    <s v="Cold"/>
    <s v="Large"/>
    <n v="2"/>
    <n v="170"/>
    <n v="0.1"/>
    <n v="340"/>
    <n v="306"/>
    <x v="2"/>
    <x v="0"/>
    <x v="5"/>
    <x v="7"/>
    <x v="1"/>
    <x v="3"/>
    <n v="399"/>
    <n v="34"/>
    <x v="243"/>
    <x v="244"/>
    <x v="4"/>
    <x v="0"/>
    <n v="340"/>
    <x v="71"/>
    <n v="306"/>
    <x v="246"/>
    <x v="244"/>
    <x v="0"/>
    <x v="0"/>
    <x v="0"/>
    <s v="Wednesday"/>
  </r>
  <r>
    <s v="TXN-00249"/>
    <d v="2024-10-12T00:00:00"/>
    <d v="1899-12-30T08:20:00"/>
    <s v="Simran Verma"/>
    <s v="CUST0387"/>
    <x v="2"/>
    <x v="11"/>
    <x v="0"/>
    <s v="Hot"/>
    <s v="Large"/>
    <n v="1"/>
    <n v="85"/>
    <n v="0.05"/>
    <n v="85"/>
    <n v="80.75"/>
    <x v="1"/>
    <x v="3"/>
    <x v="3"/>
    <x v="6"/>
    <x v="0"/>
    <x v="3"/>
    <n v="347"/>
    <n v="53"/>
    <x v="244"/>
    <x v="245"/>
    <x v="4"/>
    <x v="1"/>
    <n v="85"/>
    <x v="12"/>
    <n v="80.75"/>
    <x v="247"/>
    <x v="245"/>
    <x v="0"/>
    <x v="10"/>
    <x v="10"/>
    <s v="Saturday"/>
  </r>
  <r>
    <s v="TXN-00250"/>
    <d v="2024-03-11T00:00:00"/>
    <d v="1899-12-30T14:20:00"/>
    <s v="Sneha Kapoor"/>
    <s v="CUST0386"/>
    <x v="3"/>
    <x v="9"/>
    <x v="2"/>
    <s v="Hot"/>
    <s v="Small"/>
    <n v="2"/>
    <n v="90"/>
    <n v="0.05"/>
    <n v="180"/>
    <n v="171"/>
    <x v="1"/>
    <x v="1"/>
    <x v="1"/>
    <x v="1"/>
    <x v="0"/>
    <x v="4"/>
    <n v="244"/>
    <n v="36"/>
    <x v="245"/>
    <x v="246"/>
    <x v="0"/>
    <x v="4"/>
    <n v="180"/>
    <x v="13"/>
    <n v="171"/>
    <x v="248"/>
    <x v="246"/>
    <x v="0"/>
    <x v="5"/>
    <x v="5"/>
    <s v="Monday"/>
  </r>
  <r>
    <s v="TXN-00251"/>
    <d v="2024-10-06T00:00:00"/>
    <d v="1899-12-30T10:00:00"/>
    <s v="Meera Singh"/>
    <s v="Unknown"/>
    <x v="2"/>
    <x v="1"/>
    <x v="1"/>
    <s v="Food"/>
    <s v="Unknown"/>
    <n v="2"/>
    <n v="125"/>
    <n v="0.1"/>
    <n v="250"/>
    <n v="225"/>
    <x v="2"/>
    <x v="2"/>
    <x v="3"/>
    <x v="0"/>
    <x v="0"/>
    <x v="1"/>
    <n v="465"/>
    <n v="19"/>
    <x v="246"/>
    <x v="247"/>
    <x v="3"/>
    <x v="0"/>
    <n v="250"/>
    <x v="37"/>
    <n v="225"/>
    <x v="249"/>
    <x v="247"/>
    <x v="0"/>
    <x v="10"/>
    <x v="10"/>
    <s v="Sunday"/>
  </r>
  <r>
    <s v="TXN-00252"/>
    <d v="2024-05-10T00:00:00"/>
    <d v="1899-12-30T13:50:00"/>
    <s v="Nikhil Malhotra"/>
    <s v="CUST0359"/>
    <x v="3"/>
    <x v="2"/>
    <x v="1"/>
    <s v="Food"/>
    <s v="Small"/>
    <n v="1"/>
    <n v="80"/>
    <n v="0.15"/>
    <n v="80"/>
    <n v="68"/>
    <x v="1"/>
    <x v="0"/>
    <x v="0"/>
    <x v="0"/>
    <x v="1"/>
    <x v="2"/>
    <n v="419"/>
    <n v="23"/>
    <x v="247"/>
    <x v="248"/>
    <x v="4"/>
    <x v="1"/>
    <n v="80"/>
    <x v="2"/>
    <n v="68"/>
    <x v="250"/>
    <x v="248"/>
    <x v="0"/>
    <x v="6"/>
    <x v="6"/>
    <s v="Friday"/>
  </r>
  <r>
    <s v="TXN-00253"/>
    <d v="2024-11-05T00:00:00"/>
    <d v="1899-12-30T11:20:00"/>
    <s v="Neha Malhotra"/>
    <s v="Unknown"/>
    <x v="2"/>
    <x v="2"/>
    <x v="1"/>
    <s v="Food"/>
    <s v="Small"/>
    <n v="2"/>
    <n v="65"/>
    <n v="0"/>
    <n v="130"/>
    <n v="130"/>
    <x v="3"/>
    <x v="3"/>
    <x v="5"/>
    <x v="7"/>
    <x v="0"/>
    <x v="4"/>
    <n v="307"/>
    <n v="35"/>
    <x v="248"/>
    <x v="249"/>
    <x v="4"/>
    <x v="0"/>
    <n v="130"/>
    <x v="0"/>
    <n v="130"/>
    <x v="251"/>
    <x v="249"/>
    <x v="0"/>
    <x v="11"/>
    <x v="11"/>
    <s v="Tuesday"/>
  </r>
  <r>
    <s v="TXN-00254"/>
    <d v="2024-10-25T00:00:00"/>
    <d v="1899-12-30T11:45:00"/>
    <s v="Neha Sharma"/>
    <s v="Unknown"/>
    <x v="1"/>
    <x v="8"/>
    <x v="0"/>
    <s v="Cold"/>
    <s v="Medium"/>
    <n v="2"/>
    <n v="160"/>
    <n v="0"/>
    <n v="320"/>
    <n v="320"/>
    <x v="2"/>
    <x v="1"/>
    <x v="4"/>
    <x v="0"/>
    <x v="0"/>
    <x v="2"/>
    <n v="382"/>
    <n v="39"/>
    <x v="249"/>
    <x v="250"/>
    <x v="1"/>
    <x v="3"/>
    <n v="320"/>
    <x v="0"/>
    <n v="320"/>
    <x v="252"/>
    <x v="250"/>
    <x v="0"/>
    <x v="10"/>
    <x v="10"/>
    <s v="Friday"/>
  </r>
  <r>
    <s v="TXN-00255"/>
    <d v="2024-09-23T00:00:00"/>
    <d v="1899-12-30T17:30:00"/>
    <s v="Pooja Mehta"/>
    <s v="CUST0372"/>
    <x v="3"/>
    <x v="2"/>
    <x v="1"/>
    <s v="Food"/>
    <s v="Small"/>
    <n v="1"/>
    <n v="65"/>
    <n v="0"/>
    <n v="65"/>
    <n v="65"/>
    <x v="2"/>
    <x v="1"/>
    <x v="4"/>
    <x v="4"/>
    <x v="0"/>
    <x v="4"/>
    <n v="446"/>
    <n v="47"/>
    <x v="250"/>
    <x v="251"/>
    <x v="3"/>
    <x v="4"/>
    <n v="65"/>
    <x v="0"/>
    <n v="65"/>
    <x v="253"/>
    <x v="251"/>
    <x v="0"/>
    <x v="0"/>
    <x v="0"/>
    <s v="Monday"/>
  </r>
  <r>
    <s v="TXN-00256"/>
    <d v="2024-03-14T00:00:00"/>
    <d v="1899-12-30T21:30:00"/>
    <s v="Riya Chopra"/>
    <s v="CUST0346"/>
    <x v="3"/>
    <x v="10"/>
    <x v="1"/>
    <s v="Food"/>
    <s v="Medium"/>
    <n v="1"/>
    <n v="95"/>
    <n v="0.1"/>
    <n v="95"/>
    <n v="85.5"/>
    <x v="0"/>
    <x v="2"/>
    <x v="4"/>
    <x v="2"/>
    <x v="1"/>
    <x v="2"/>
    <n v="39"/>
    <n v="20"/>
    <x v="251"/>
    <x v="252"/>
    <x v="2"/>
    <x v="1"/>
    <n v="95"/>
    <x v="10"/>
    <n v="85.5"/>
    <x v="254"/>
    <x v="252"/>
    <x v="0"/>
    <x v="5"/>
    <x v="5"/>
    <s v="Thursday"/>
  </r>
  <r>
    <s v="TXN-00257"/>
    <d v="2024-07-23T00:00:00"/>
    <d v="1899-12-30T13:15:00"/>
    <s v="Manish Gupta"/>
    <s v="Unknown"/>
    <x v="2"/>
    <x v="6"/>
    <x v="0"/>
    <s v="Hot"/>
    <s v="Large"/>
    <n v="1"/>
    <n v="100"/>
    <n v="0"/>
    <n v="100"/>
    <n v="100"/>
    <x v="0"/>
    <x v="0"/>
    <x v="1"/>
    <x v="3"/>
    <x v="1"/>
    <x v="0"/>
    <n v="144"/>
    <n v="34"/>
    <x v="252"/>
    <x v="253"/>
    <x v="0"/>
    <x v="0"/>
    <n v="100"/>
    <x v="0"/>
    <n v="100"/>
    <x v="255"/>
    <x v="253"/>
    <x v="0"/>
    <x v="7"/>
    <x v="7"/>
    <s v="Tuesday"/>
  </r>
  <r>
    <s v="TXN-00258"/>
    <d v="2024-03-06T00:00:00"/>
    <d v="1899-12-30T10:30:00"/>
    <s v="Neha Sharma"/>
    <s v="CUST0152"/>
    <x v="3"/>
    <x v="15"/>
    <x v="4"/>
    <s v="Food"/>
    <s v="Medium"/>
    <n v="1"/>
    <n v="185"/>
    <n v="0"/>
    <n v="185"/>
    <n v="185"/>
    <x v="0"/>
    <x v="1"/>
    <x v="5"/>
    <x v="1"/>
    <x v="2"/>
    <x v="0"/>
    <n v="388"/>
    <n v="41"/>
    <x v="253"/>
    <x v="254"/>
    <x v="3"/>
    <x v="0"/>
    <n v="185"/>
    <x v="0"/>
    <n v="185"/>
    <x v="256"/>
    <x v="254"/>
    <x v="0"/>
    <x v="5"/>
    <x v="5"/>
    <s v="Wednesday"/>
  </r>
  <r>
    <s v="TXN-00259"/>
    <d v="2024-10-02T00:00:00"/>
    <d v="1899-12-30T17:50:00"/>
    <s v="Priya Singh"/>
    <s v="CUST0141"/>
    <x v="2"/>
    <x v="6"/>
    <x v="0"/>
    <s v="Hot"/>
    <s v="Unknown"/>
    <n v="2"/>
    <n v="105"/>
    <n v="0.1"/>
    <n v="210"/>
    <n v="189"/>
    <x v="0"/>
    <x v="3"/>
    <x v="5"/>
    <x v="4"/>
    <x v="1"/>
    <x v="0"/>
    <n v="380"/>
    <n v="51"/>
    <x v="254"/>
    <x v="255"/>
    <x v="3"/>
    <x v="3"/>
    <n v="210"/>
    <x v="66"/>
    <n v="189"/>
    <x v="257"/>
    <x v="255"/>
    <x v="0"/>
    <x v="10"/>
    <x v="10"/>
    <s v="Wednesday"/>
  </r>
  <r>
    <s v="TXN-00260"/>
    <d v="2024-09-14T00:00:00"/>
    <d v="1899-12-30T07:20:00"/>
    <s v="Manish Kaur"/>
    <s v="CUST0245"/>
    <x v="2"/>
    <x v="13"/>
    <x v="2"/>
    <s v="Cold"/>
    <s v="Small"/>
    <n v="1"/>
    <n v="110"/>
    <n v="0"/>
    <n v="110"/>
    <n v="110"/>
    <x v="0"/>
    <x v="1"/>
    <x v="6"/>
    <x v="4"/>
    <x v="0"/>
    <x v="2"/>
    <n v="285"/>
    <n v="26"/>
    <x v="255"/>
    <x v="256"/>
    <x v="0"/>
    <x v="0"/>
    <n v="110"/>
    <x v="0"/>
    <n v="110"/>
    <x v="258"/>
    <x v="256"/>
    <x v="0"/>
    <x v="0"/>
    <x v="0"/>
    <s v="Saturday"/>
  </r>
  <r>
    <s v="TXN-00261"/>
    <d v="2024-02-22T00:00:00"/>
    <d v="1899-12-30T21:30:00"/>
    <s v="Rahul Bansal"/>
    <s v="CUST0393"/>
    <x v="3"/>
    <x v="9"/>
    <x v="2"/>
    <s v="Hot"/>
    <s v="Large"/>
    <n v="2"/>
    <n v="80"/>
    <n v="0.1"/>
    <n v="160"/>
    <n v="144"/>
    <x v="0"/>
    <x v="0"/>
    <x v="5"/>
    <x v="3"/>
    <x v="0"/>
    <x v="4"/>
    <n v="276"/>
    <n v="23"/>
    <x v="256"/>
    <x v="257"/>
    <x v="3"/>
    <x v="0"/>
    <n v="160"/>
    <x v="3"/>
    <n v="144"/>
    <x v="259"/>
    <x v="257"/>
    <x v="0"/>
    <x v="3"/>
    <x v="3"/>
    <s v="Thursday"/>
  </r>
  <r>
    <s v="TXN-00262"/>
    <d v="2024-11-02T00:00:00"/>
    <d v="1899-12-30T15:30:00"/>
    <s v="Riya Chopra"/>
    <s v="CUST0326"/>
    <x v="2"/>
    <x v="2"/>
    <x v="1"/>
    <s v="Food"/>
    <s v="Medium"/>
    <n v="5"/>
    <n v="80"/>
    <n v="0"/>
    <n v="400"/>
    <n v="400"/>
    <x v="0"/>
    <x v="3"/>
    <x v="3"/>
    <x v="4"/>
    <x v="0"/>
    <x v="0"/>
    <n v="125"/>
    <n v="35"/>
    <x v="257"/>
    <x v="258"/>
    <x v="3"/>
    <x v="0"/>
    <n v="400"/>
    <x v="0"/>
    <n v="400"/>
    <x v="260"/>
    <x v="258"/>
    <x v="0"/>
    <x v="11"/>
    <x v="11"/>
    <s v="Saturday"/>
  </r>
  <r>
    <s v="TXN-00263"/>
    <d v="2024-04-20T00:00:00"/>
    <d v="1899-12-30T12:30:00"/>
    <s v="Riya Verma"/>
    <s v="CUST0115"/>
    <x v="1"/>
    <x v="12"/>
    <x v="1"/>
    <s v="Food"/>
    <s v="Small"/>
    <n v="1"/>
    <n v="90"/>
    <n v="0.05"/>
    <n v="90"/>
    <n v="85.5"/>
    <x v="2"/>
    <x v="3"/>
    <x v="0"/>
    <x v="4"/>
    <x v="2"/>
    <x v="2"/>
    <n v="244"/>
    <n v="10"/>
    <x v="258"/>
    <x v="259"/>
    <x v="1"/>
    <x v="0"/>
    <n v="90"/>
    <x v="31"/>
    <n v="85.5"/>
    <x v="261"/>
    <x v="259"/>
    <x v="0"/>
    <x v="8"/>
    <x v="8"/>
    <s v="Saturday"/>
  </r>
  <r>
    <s v="TXN-00264"/>
    <d v="2024-10-10T00:00:00"/>
    <d v="1899-12-30T14:45:00"/>
    <s v="Simran Verma"/>
    <s v="CUST0269"/>
    <x v="0"/>
    <x v="0"/>
    <x v="0"/>
    <s v="Hot"/>
    <s v="Medium"/>
    <n v="2"/>
    <n v="135"/>
    <n v="0.05"/>
    <n v="270"/>
    <n v="256.5"/>
    <x v="0"/>
    <x v="1"/>
    <x v="4"/>
    <x v="2"/>
    <x v="0"/>
    <x v="3"/>
    <n v="254"/>
    <n v="57"/>
    <x v="259"/>
    <x v="260"/>
    <x v="0"/>
    <x v="4"/>
    <n v="270"/>
    <x v="46"/>
    <n v="256.5"/>
    <x v="262"/>
    <x v="260"/>
    <x v="0"/>
    <x v="10"/>
    <x v="10"/>
    <s v="Thursday"/>
  </r>
  <r>
    <s v="TXN-00265"/>
    <d v="2024-09-06T00:00:00"/>
    <d v="1899-12-30T21:20:00"/>
    <s v="Priya Kaur"/>
    <s v="CUST0197"/>
    <x v="1"/>
    <x v="4"/>
    <x v="0"/>
    <s v="Cold"/>
    <s v="Small"/>
    <n v="1"/>
    <n v="145"/>
    <n v="0"/>
    <n v="145"/>
    <n v="145"/>
    <x v="0"/>
    <x v="0"/>
    <x v="3"/>
    <x v="3"/>
    <x v="1"/>
    <x v="2"/>
    <n v="395"/>
    <n v="34"/>
    <x v="260"/>
    <x v="261"/>
    <x v="5"/>
    <x v="0"/>
    <n v="145"/>
    <x v="0"/>
    <n v="145"/>
    <x v="263"/>
    <x v="261"/>
    <x v="0"/>
    <x v="0"/>
    <x v="0"/>
    <s v="Friday"/>
  </r>
  <r>
    <s v="TXN-00266"/>
    <d v="2024-09-14T00:00:00"/>
    <d v="1899-12-30T17:00:00"/>
    <s v="Rahul Malhotra"/>
    <s v="CUST0337"/>
    <x v="0"/>
    <x v="5"/>
    <x v="2"/>
    <s v="Hot"/>
    <s v="Small"/>
    <n v="1"/>
    <n v="105"/>
    <n v="0.15"/>
    <n v="105"/>
    <n v="89.25"/>
    <x v="1"/>
    <x v="0"/>
    <x v="1"/>
    <x v="4"/>
    <x v="1"/>
    <x v="4"/>
    <n v="116"/>
    <n v="34"/>
    <x v="261"/>
    <x v="262"/>
    <x v="0"/>
    <x v="4"/>
    <n v="105"/>
    <x v="24"/>
    <n v="89.25"/>
    <x v="264"/>
    <x v="262"/>
    <x v="0"/>
    <x v="0"/>
    <x v="0"/>
    <s v="Saturday"/>
  </r>
  <r>
    <s v="TXN-00267"/>
    <d v="2024-03-16T00:00:00"/>
    <d v="1899-12-30T20:15:00"/>
    <s v="Isha Malhotra"/>
    <s v="CUST0356"/>
    <x v="3"/>
    <x v="3"/>
    <x v="0"/>
    <s v="Hot"/>
    <s v="Large"/>
    <n v="1"/>
    <n v="120"/>
    <n v="0.15"/>
    <n v="120"/>
    <n v="102"/>
    <x v="0"/>
    <x v="3"/>
    <x v="1"/>
    <x v="1"/>
    <x v="0"/>
    <x v="1"/>
    <n v="84"/>
    <n v="52"/>
    <x v="262"/>
    <x v="263"/>
    <x v="1"/>
    <x v="3"/>
    <n v="120"/>
    <x v="23"/>
    <n v="102"/>
    <x v="265"/>
    <x v="263"/>
    <x v="0"/>
    <x v="5"/>
    <x v="5"/>
    <s v="Saturday"/>
  </r>
  <r>
    <s v="TXN-00268"/>
    <d v="2024-12-12T00:00:00"/>
    <d v="1899-12-30T21:30:00"/>
    <s v="Priya Bansal"/>
    <s v="CUST0218"/>
    <x v="3"/>
    <x v="8"/>
    <x v="0"/>
    <s v="Cold"/>
    <s v="Small"/>
    <n v="1"/>
    <n v="160"/>
    <n v="0.05"/>
    <n v="160"/>
    <n v="152"/>
    <x v="2"/>
    <x v="0"/>
    <x v="2"/>
    <x v="5"/>
    <x v="0"/>
    <x v="3"/>
    <n v="87"/>
    <n v="22"/>
    <x v="263"/>
    <x v="264"/>
    <x v="3"/>
    <x v="1"/>
    <n v="160"/>
    <x v="7"/>
    <n v="152"/>
    <x v="266"/>
    <x v="264"/>
    <x v="0"/>
    <x v="9"/>
    <x v="9"/>
    <s v="Thursday"/>
  </r>
  <r>
    <s v="TXN-00269"/>
    <d v="2024-10-11T00:00:00"/>
    <d v="1899-12-30T18:20:00"/>
    <s v="Ananya Chopra"/>
    <s v="CUST0317"/>
    <x v="0"/>
    <x v="9"/>
    <x v="2"/>
    <s v="Hot"/>
    <s v="Small"/>
    <n v="1"/>
    <n v="75"/>
    <n v="0.1"/>
    <n v="75"/>
    <n v="67.5"/>
    <x v="0"/>
    <x v="0"/>
    <x v="4"/>
    <x v="6"/>
    <x v="0"/>
    <x v="2"/>
    <n v="373"/>
    <n v="51"/>
    <x v="264"/>
    <x v="265"/>
    <x v="1"/>
    <x v="0"/>
    <n v="75"/>
    <x v="45"/>
    <n v="67.5"/>
    <x v="267"/>
    <x v="265"/>
    <x v="0"/>
    <x v="10"/>
    <x v="10"/>
    <s v="Friday"/>
  </r>
  <r>
    <s v="TXN-00270"/>
    <d v="2024-08-12T00:00:00"/>
    <d v="1899-12-30T08:30:00"/>
    <s v="Neha Bansal"/>
    <s v="CUST0120"/>
    <x v="2"/>
    <x v="10"/>
    <x v="1"/>
    <s v="Food"/>
    <s v="Medium"/>
    <n v="3"/>
    <n v="110"/>
    <n v="0"/>
    <n v="330"/>
    <n v="330"/>
    <x v="0"/>
    <x v="2"/>
    <x v="3"/>
    <x v="7"/>
    <x v="0"/>
    <x v="1"/>
    <n v="78"/>
    <n v="37"/>
    <x v="51"/>
    <x v="266"/>
    <x v="3"/>
    <x v="0"/>
    <n v="330"/>
    <x v="0"/>
    <n v="330"/>
    <x v="268"/>
    <x v="266"/>
    <x v="0"/>
    <x v="1"/>
    <x v="1"/>
    <s v="Monday"/>
  </r>
  <r>
    <s v="TXN-00271"/>
    <d v="2024-03-18T00:00:00"/>
    <d v="1899-12-30T16:45:00"/>
    <s v="Rohan Verma"/>
    <s v="CUST0166"/>
    <x v="3"/>
    <x v="6"/>
    <x v="0"/>
    <s v="Hot"/>
    <s v="Small"/>
    <n v="3"/>
    <n v="110"/>
    <n v="0"/>
    <n v="330"/>
    <n v="330"/>
    <x v="2"/>
    <x v="2"/>
    <x v="4"/>
    <x v="1"/>
    <x v="0"/>
    <x v="2"/>
    <n v="100"/>
    <n v="37"/>
    <x v="265"/>
    <x v="267"/>
    <x v="0"/>
    <x v="0"/>
    <n v="330"/>
    <x v="0"/>
    <n v="330"/>
    <x v="269"/>
    <x v="267"/>
    <x v="0"/>
    <x v="5"/>
    <x v="5"/>
    <s v="Monday"/>
  </r>
  <r>
    <s v="TXN-00272"/>
    <d v="2024-04-06T00:00:00"/>
    <d v="1899-12-30T15:15:00"/>
    <s v="Neha Kaur"/>
    <s v="CUST0239"/>
    <x v="0"/>
    <x v="10"/>
    <x v="1"/>
    <s v="Food"/>
    <s v="Large"/>
    <n v="1"/>
    <n v="100"/>
    <n v="0"/>
    <n v="100"/>
    <n v="100"/>
    <x v="2"/>
    <x v="0"/>
    <x v="6"/>
    <x v="2"/>
    <x v="0"/>
    <x v="4"/>
    <n v="252"/>
    <n v="34"/>
    <x v="266"/>
    <x v="268"/>
    <x v="1"/>
    <x v="0"/>
    <n v="100"/>
    <x v="0"/>
    <n v="100"/>
    <x v="270"/>
    <x v="268"/>
    <x v="0"/>
    <x v="8"/>
    <x v="8"/>
    <s v="Saturday"/>
  </r>
  <r>
    <s v="TXN-00273"/>
    <d v="2024-01-12T00:00:00"/>
    <d v="1899-12-30T19:45:00"/>
    <s v="Riya Kapoor"/>
    <s v="CUST0380"/>
    <x v="3"/>
    <x v="2"/>
    <x v="1"/>
    <s v="Food"/>
    <s v="Unknown"/>
    <n v="1"/>
    <n v="80"/>
    <n v="0.1"/>
    <n v="80"/>
    <n v="72"/>
    <x v="1"/>
    <x v="3"/>
    <x v="0"/>
    <x v="4"/>
    <x v="0"/>
    <x v="2"/>
    <n v="192"/>
    <n v="43"/>
    <x v="267"/>
    <x v="269"/>
    <x v="4"/>
    <x v="0"/>
    <n v="80"/>
    <x v="7"/>
    <n v="72"/>
    <x v="271"/>
    <x v="269"/>
    <x v="0"/>
    <x v="2"/>
    <x v="2"/>
    <s v="Friday"/>
  </r>
  <r>
    <s v="TXN-00274"/>
    <d v="2024-02-04T00:00:00"/>
    <d v="1899-12-30T18:00:00"/>
    <s v="Unknown"/>
    <s v="CUST0203"/>
    <x v="2"/>
    <x v="8"/>
    <x v="0"/>
    <s v="Cold"/>
    <s v="Medium"/>
    <n v="3"/>
    <n v="170"/>
    <n v="0"/>
    <n v="510"/>
    <n v="510"/>
    <x v="0"/>
    <x v="1"/>
    <x v="3"/>
    <x v="4"/>
    <x v="2"/>
    <x v="3"/>
    <n v="74"/>
    <n v="36"/>
    <x v="268"/>
    <x v="270"/>
    <x v="1"/>
    <x v="0"/>
    <n v="510"/>
    <x v="0"/>
    <n v="510"/>
    <x v="272"/>
    <x v="270"/>
    <x v="0"/>
    <x v="3"/>
    <x v="3"/>
    <s v="Sunday"/>
  </r>
  <r>
    <s v="TXN-00275"/>
    <d v="2024-09-16T00:00:00"/>
    <d v="1899-12-30T17:50:00"/>
    <s v="Vivaan Bansal"/>
    <s v="CUST0253"/>
    <x v="2"/>
    <x v="5"/>
    <x v="2"/>
    <s v="Hot"/>
    <s v="Unknown"/>
    <n v="5"/>
    <n v="95"/>
    <n v="0"/>
    <n v="475"/>
    <n v="475"/>
    <x v="0"/>
    <x v="2"/>
    <x v="2"/>
    <x v="1"/>
    <x v="0"/>
    <x v="2"/>
    <n v="377"/>
    <n v="37"/>
    <x v="269"/>
    <x v="271"/>
    <x v="3"/>
    <x v="3"/>
    <n v="475"/>
    <x v="0"/>
    <n v="475"/>
    <x v="273"/>
    <x v="271"/>
    <x v="0"/>
    <x v="0"/>
    <x v="0"/>
    <s v="Monday"/>
  </r>
  <r>
    <s v="TXN-00276"/>
    <d v="2024-06-12T00:00:00"/>
    <d v="1899-12-30T07:20:00"/>
    <s v="Sahil Singh"/>
    <s v="CUST0383"/>
    <x v="3"/>
    <x v="11"/>
    <x v="0"/>
    <s v="Hot"/>
    <s v="Unknown"/>
    <n v="2"/>
    <n v="95"/>
    <n v="0.1"/>
    <n v="190"/>
    <n v="171"/>
    <x v="0"/>
    <x v="0"/>
    <x v="1"/>
    <x v="1"/>
    <x v="0"/>
    <x v="2"/>
    <n v="111"/>
    <n v="41"/>
    <x v="270"/>
    <x v="272"/>
    <x v="3"/>
    <x v="1"/>
    <n v="190"/>
    <x v="29"/>
    <n v="171"/>
    <x v="274"/>
    <x v="272"/>
    <x v="0"/>
    <x v="4"/>
    <x v="4"/>
    <s v="Wednesday"/>
  </r>
  <r>
    <s v="TXN-00277"/>
    <d v="2024-08-29T00:00:00"/>
    <d v="1899-12-30T14:15:00"/>
    <s v="Nikhil Kapoor"/>
    <s v="CUST0175"/>
    <x v="2"/>
    <x v="2"/>
    <x v="1"/>
    <s v="Food"/>
    <s v="Medium"/>
    <n v="2"/>
    <n v="65"/>
    <n v="0"/>
    <n v="130"/>
    <n v="130"/>
    <x v="2"/>
    <x v="0"/>
    <x v="1"/>
    <x v="1"/>
    <x v="0"/>
    <x v="2"/>
    <n v="76"/>
    <n v="13"/>
    <x v="271"/>
    <x v="273"/>
    <x v="3"/>
    <x v="0"/>
    <n v="130"/>
    <x v="0"/>
    <n v="130"/>
    <x v="275"/>
    <x v="273"/>
    <x v="0"/>
    <x v="1"/>
    <x v="1"/>
    <s v="Thursday"/>
  </r>
  <r>
    <s v="TXN-00278"/>
    <d v="2024-10-06T00:00:00"/>
    <d v="1899-12-30T08:30:00"/>
    <s v="Vivaan Verma"/>
    <s v="CUST0205"/>
    <x v="3"/>
    <x v="14"/>
    <x v="3"/>
    <s v="Food"/>
    <s v="Medium"/>
    <n v="2"/>
    <n v="180"/>
    <n v="0.1"/>
    <n v="360"/>
    <n v="324"/>
    <x v="0"/>
    <x v="2"/>
    <x v="5"/>
    <x v="0"/>
    <x v="0"/>
    <x v="2"/>
    <n v="76"/>
    <n v="37"/>
    <x v="272"/>
    <x v="274"/>
    <x v="3"/>
    <x v="0"/>
    <n v="360"/>
    <x v="72"/>
    <n v="324"/>
    <x v="276"/>
    <x v="274"/>
    <x v="0"/>
    <x v="10"/>
    <x v="10"/>
    <s v="Sunday"/>
  </r>
  <r>
    <s v="TXN-00279"/>
    <d v="2024-12-18T00:00:00"/>
    <d v="1899-12-30T09:10:00"/>
    <s v="Nikhil Kaur"/>
    <s v="CUST0282"/>
    <x v="2"/>
    <x v="4"/>
    <x v="0"/>
    <s v="Cold"/>
    <s v="Medium"/>
    <n v="2"/>
    <n v="145"/>
    <n v="0.1"/>
    <n v="290"/>
    <n v="261"/>
    <x v="2"/>
    <x v="3"/>
    <x v="1"/>
    <x v="6"/>
    <x v="0"/>
    <x v="4"/>
    <n v="442"/>
    <n v="57"/>
    <x v="273"/>
    <x v="275"/>
    <x v="2"/>
    <x v="4"/>
    <n v="290"/>
    <x v="26"/>
    <n v="261"/>
    <x v="277"/>
    <x v="275"/>
    <x v="0"/>
    <x v="9"/>
    <x v="9"/>
    <s v="Wednesday"/>
  </r>
  <r>
    <s v="TXN-00280"/>
    <d v="2024-09-03T00:00:00"/>
    <d v="1899-12-30T12:00:00"/>
    <s v="Unknown"/>
    <s v="CUST0354"/>
    <x v="1"/>
    <x v="3"/>
    <x v="0"/>
    <s v="Hot"/>
    <s v="Large"/>
    <n v="1"/>
    <n v="120"/>
    <n v="0.1"/>
    <n v="120"/>
    <n v="108"/>
    <x v="2"/>
    <x v="3"/>
    <x v="3"/>
    <x v="5"/>
    <x v="1"/>
    <x v="3"/>
    <n v="117"/>
    <n v="35"/>
    <x v="148"/>
    <x v="62"/>
    <x v="0"/>
    <x v="0"/>
    <n v="120"/>
    <x v="2"/>
    <n v="108"/>
    <x v="278"/>
    <x v="62"/>
    <x v="0"/>
    <x v="0"/>
    <x v="0"/>
    <s v="Tuesday"/>
  </r>
  <r>
    <s v="TXN-00281"/>
    <d v="2024-03-27T00:00:00"/>
    <d v="1899-12-30T09:50:00"/>
    <s v="Simran Kapoor"/>
    <s v="CUST0243"/>
    <x v="3"/>
    <x v="12"/>
    <x v="1"/>
    <s v="Food"/>
    <s v="Unknown"/>
    <n v="1"/>
    <n v="100"/>
    <n v="0.15"/>
    <n v="100"/>
    <n v="85"/>
    <x v="1"/>
    <x v="0"/>
    <x v="2"/>
    <x v="4"/>
    <x v="0"/>
    <x v="1"/>
    <n v="244"/>
    <n v="44"/>
    <x v="274"/>
    <x v="276"/>
    <x v="1"/>
    <x v="4"/>
    <n v="100"/>
    <x v="51"/>
    <n v="85"/>
    <x v="279"/>
    <x v="276"/>
    <x v="0"/>
    <x v="5"/>
    <x v="5"/>
    <s v="Wednesday"/>
  </r>
  <r>
    <s v="TXN-00282"/>
    <d v="2024-05-28T00:00:00"/>
    <d v="1899-12-30T14:15:00"/>
    <s v="Sahil Gupta"/>
    <s v="CUST0228"/>
    <x v="1"/>
    <x v="6"/>
    <x v="0"/>
    <s v="Hot"/>
    <s v="Unknown"/>
    <n v="2"/>
    <n v="110"/>
    <n v="0"/>
    <n v="220"/>
    <n v="220"/>
    <x v="0"/>
    <x v="0"/>
    <x v="6"/>
    <x v="4"/>
    <x v="0"/>
    <x v="3"/>
    <n v="23"/>
    <n v="10"/>
    <x v="275"/>
    <x v="277"/>
    <x v="4"/>
    <x v="1"/>
    <n v="220"/>
    <x v="0"/>
    <n v="220"/>
    <x v="280"/>
    <x v="277"/>
    <x v="0"/>
    <x v="6"/>
    <x v="6"/>
    <s v="Tuesday"/>
  </r>
  <r>
    <s v="TXN-00283"/>
    <d v="2024-10-11T00:00:00"/>
    <d v="1899-12-30T17:30:00"/>
    <s v="Sneha Mehta"/>
    <s v="CUST0179"/>
    <x v="2"/>
    <x v="11"/>
    <x v="0"/>
    <s v="Hot"/>
    <s v="Small"/>
    <n v="4"/>
    <n v="95"/>
    <n v="0.05"/>
    <n v="380"/>
    <n v="361"/>
    <x v="1"/>
    <x v="2"/>
    <x v="4"/>
    <x v="5"/>
    <x v="0"/>
    <x v="4"/>
    <n v="438"/>
    <n v="36"/>
    <x v="48"/>
    <x v="278"/>
    <x v="2"/>
    <x v="2"/>
    <n v="380"/>
    <x v="29"/>
    <n v="361"/>
    <x v="281"/>
    <x v="278"/>
    <x v="0"/>
    <x v="10"/>
    <x v="10"/>
    <s v="Friday"/>
  </r>
  <r>
    <s v="TXN-00284"/>
    <d v="2024-02-06T00:00:00"/>
    <d v="1899-12-30T18:00:00"/>
    <s v="Neha Chopra"/>
    <s v="CUST0170"/>
    <x v="2"/>
    <x v="15"/>
    <x v="4"/>
    <s v="Food"/>
    <s v="Large"/>
    <n v="2"/>
    <n v="190"/>
    <n v="0"/>
    <n v="380"/>
    <n v="380"/>
    <x v="2"/>
    <x v="2"/>
    <x v="4"/>
    <x v="5"/>
    <x v="0"/>
    <x v="2"/>
    <n v="97"/>
    <n v="57"/>
    <x v="276"/>
    <x v="279"/>
    <x v="2"/>
    <x v="4"/>
    <n v="380"/>
    <x v="0"/>
    <n v="380"/>
    <x v="282"/>
    <x v="279"/>
    <x v="0"/>
    <x v="3"/>
    <x v="3"/>
    <s v="Tuesday"/>
  </r>
  <r>
    <s v="TXN-00285"/>
    <d v="2024-02-20T00:00:00"/>
    <d v="1899-12-30T08:00:00"/>
    <s v="Nikhil Mehta"/>
    <s v="CUST0217"/>
    <x v="1"/>
    <x v="0"/>
    <x v="0"/>
    <s v="Hot"/>
    <s v="Small"/>
    <n v="1"/>
    <n v="135"/>
    <n v="0.1"/>
    <n v="135"/>
    <n v="121.5"/>
    <x v="0"/>
    <x v="0"/>
    <x v="6"/>
    <x v="7"/>
    <x v="1"/>
    <x v="1"/>
    <n v="410"/>
    <n v="19"/>
    <x v="277"/>
    <x v="280"/>
    <x v="3"/>
    <x v="1"/>
    <n v="135"/>
    <x v="46"/>
    <n v="121.5"/>
    <x v="283"/>
    <x v="280"/>
    <x v="0"/>
    <x v="3"/>
    <x v="3"/>
    <s v="Tuesday"/>
  </r>
  <r>
    <s v="TXN-00286"/>
    <d v="2024-11-25T00:00:00"/>
    <d v="1899-12-30T19:45:00"/>
    <s v="Meera Kaur"/>
    <s v="CUST0368"/>
    <x v="1"/>
    <x v="14"/>
    <x v="3"/>
    <s v="Food"/>
    <s v="Medium"/>
    <n v="1"/>
    <n v="185"/>
    <n v="0"/>
    <n v="185"/>
    <n v="185"/>
    <x v="2"/>
    <x v="3"/>
    <x v="1"/>
    <x v="1"/>
    <x v="1"/>
    <x v="1"/>
    <n v="414"/>
    <n v="35"/>
    <x v="278"/>
    <x v="281"/>
    <x v="3"/>
    <x v="0"/>
    <n v="185"/>
    <x v="0"/>
    <n v="185"/>
    <x v="284"/>
    <x v="281"/>
    <x v="0"/>
    <x v="11"/>
    <x v="11"/>
    <s v="Monday"/>
  </r>
  <r>
    <s v="TXN-00287"/>
    <d v="2024-06-25T00:00:00"/>
    <d v="1899-12-30T17:30:00"/>
    <s v="Arjun Mehta"/>
    <s v="CUST0309"/>
    <x v="2"/>
    <x v="8"/>
    <x v="0"/>
    <s v="Cold"/>
    <s v="Small"/>
    <n v="1"/>
    <n v="170"/>
    <n v="0"/>
    <n v="170"/>
    <n v="170"/>
    <x v="2"/>
    <x v="0"/>
    <x v="0"/>
    <x v="0"/>
    <x v="0"/>
    <x v="2"/>
    <n v="462"/>
    <n v="57"/>
    <x v="279"/>
    <x v="282"/>
    <x v="4"/>
    <x v="0"/>
    <n v="170"/>
    <x v="0"/>
    <n v="170"/>
    <x v="285"/>
    <x v="282"/>
    <x v="0"/>
    <x v="4"/>
    <x v="4"/>
    <s v="Tuesday"/>
  </r>
  <r>
    <s v="TXN-00288"/>
    <d v="2024-03-11T00:00:00"/>
    <d v="1899-12-30T17:45:00"/>
    <s v="Aditya Chopra"/>
    <s v="CUST0152"/>
    <x v="3"/>
    <x v="8"/>
    <x v="0"/>
    <s v="Cold"/>
    <s v="Medium"/>
    <n v="2"/>
    <n v="155"/>
    <n v="0"/>
    <n v="310"/>
    <n v="310"/>
    <x v="0"/>
    <x v="0"/>
    <x v="3"/>
    <x v="6"/>
    <x v="0"/>
    <x v="2"/>
    <n v="463"/>
    <n v="44"/>
    <x v="280"/>
    <x v="283"/>
    <x v="2"/>
    <x v="1"/>
    <n v="310"/>
    <x v="0"/>
    <n v="310"/>
    <x v="286"/>
    <x v="283"/>
    <x v="0"/>
    <x v="5"/>
    <x v="5"/>
    <s v="Monday"/>
  </r>
  <r>
    <s v="TXN-00289"/>
    <d v="2024-10-16T00:00:00"/>
    <d v="1899-12-30T18:15:00"/>
    <s v="Isha Singh"/>
    <s v="CUST0292"/>
    <x v="2"/>
    <x v="14"/>
    <x v="3"/>
    <s v="Food"/>
    <s v="Small"/>
    <n v="2"/>
    <n v="190"/>
    <n v="0.05"/>
    <n v="380"/>
    <n v="361"/>
    <x v="2"/>
    <x v="1"/>
    <x v="3"/>
    <x v="5"/>
    <x v="0"/>
    <x v="2"/>
    <n v="48"/>
    <n v="36"/>
    <x v="281"/>
    <x v="284"/>
    <x v="3"/>
    <x v="2"/>
    <n v="380"/>
    <x v="29"/>
    <n v="361"/>
    <x v="287"/>
    <x v="284"/>
    <x v="0"/>
    <x v="10"/>
    <x v="10"/>
    <s v="Wednesday"/>
  </r>
  <r>
    <s v="TXN-00290"/>
    <d v="2024-05-13T00:00:00"/>
    <d v="1899-12-30T07:10:00"/>
    <s v="Simran Kaur"/>
    <s v="CUST0100"/>
    <x v="1"/>
    <x v="13"/>
    <x v="2"/>
    <s v="Cold"/>
    <s v="Large"/>
    <n v="1"/>
    <n v="110"/>
    <n v="0"/>
    <n v="110"/>
    <n v="110"/>
    <x v="1"/>
    <x v="0"/>
    <x v="4"/>
    <x v="3"/>
    <x v="0"/>
    <x v="1"/>
    <n v="420"/>
    <n v="35"/>
    <x v="282"/>
    <x v="285"/>
    <x v="3"/>
    <x v="2"/>
    <n v="110"/>
    <x v="0"/>
    <n v="110"/>
    <x v="288"/>
    <x v="285"/>
    <x v="0"/>
    <x v="6"/>
    <x v="6"/>
    <s v="Monday"/>
  </r>
  <r>
    <s v="TXN-00291"/>
    <d v="2024-12-03T00:00:00"/>
    <d v="1899-12-30T16:45:00"/>
    <s v="Rahul Malhotra"/>
    <s v="CUST0216"/>
    <x v="1"/>
    <x v="7"/>
    <x v="0"/>
    <s v="Hot"/>
    <s v="Medium"/>
    <n v="3"/>
    <n v="150"/>
    <n v="0"/>
    <n v="450"/>
    <n v="450"/>
    <x v="1"/>
    <x v="2"/>
    <x v="1"/>
    <x v="4"/>
    <x v="2"/>
    <x v="4"/>
    <n v="34"/>
    <n v="43"/>
    <x v="283"/>
    <x v="286"/>
    <x v="2"/>
    <x v="0"/>
    <n v="450"/>
    <x v="0"/>
    <n v="450"/>
    <x v="289"/>
    <x v="286"/>
    <x v="0"/>
    <x v="9"/>
    <x v="9"/>
    <s v="Tuesday"/>
  </r>
  <r>
    <s v="TXN-00292"/>
    <d v="2024-05-08T00:00:00"/>
    <d v="1899-12-30T15:50:00"/>
    <s v="Neha Gupta"/>
    <s v="CUST0308"/>
    <x v="2"/>
    <x v="13"/>
    <x v="2"/>
    <s v="Cold"/>
    <s v="Unknown"/>
    <n v="2"/>
    <n v="105"/>
    <n v="0"/>
    <n v="210"/>
    <n v="210"/>
    <x v="3"/>
    <x v="1"/>
    <x v="3"/>
    <x v="5"/>
    <x v="2"/>
    <x v="1"/>
    <n v="391"/>
    <n v="36"/>
    <x v="284"/>
    <x v="287"/>
    <x v="1"/>
    <x v="1"/>
    <n v="210"/>
    <x v="0"/>
    <n v="210"/>
    <x v="290"/>
    <x v="287"/>
    <x v="0"/>
    <x v="6"/>
    <x v="6"/>
    <s v="Wednesday"/>
  </r>
  <r>
    <s v="TXN-00293"/>
    <d v="2024-08-10T00:00:00"/>
    <d v="1899-12-30T15:00:00"/>
    <s v="Ananya Sharma"/>
    <s v="CUST0334"/>
    <x v="3"/>
    <x v="4"/>
    <x v="0"/>
    <s v="Cold"/>
    <s v="Small"/>
    <n v="1"/>
    <n v="155"/>
    <n v="0.1"/>
    <n v="155"/>
    <n v="139.5"/>
    <x v="0"/>
    <x v="1"/>
    <x v="2"/>
    <x v="0"/>
    <x v="0"/>
    <x v="4"/>
    <n v="20"/>
    <n v="36"/>
    <x v="285"/>
    <x v="288"/>
    <x v="0"/>
    <x v="2"/>
    <n v="155"/>
    <x v="14"/>
    <n v="139.5"/>
    <x v="291"/>
    <x v="288"/>
    <x v="0"/>
    <x v="1"/>
    <x v="1"/>
    <s v="Saturday"/>
  </r>
  <r>
    <s v="TXN-00294"/>
    <d v="2024-03-04T00:00:00"/>
    <d v="1899-12-30T18:30:00"/>
    <s v="Rahul Verma"/>
    <s v="CUST0130"/>
    <x v="2"/>
    <x v="11"/>
    <x v="0"/>
    <s v="Hot"/>
    <s v="Large"/>
    <n v="1"/>
    <n v="95"/>
    <n v="0.1"/>
    <n v="95"/>
    <n v="85.5"/>
    <x v="0"/>
    <x v="3"/>
    <x v="5"/>
    <x v="7"/>
    <x v="1"/>
    <x v="2"/>
    <n v="146"/>
    <n v="35"/>
    <x v="286"/>
    <x v="289"/>
    <x v="3"/>
    <x v="1"/>
    <n v="95"/>
    <x v="10"/>
    <n v="85.5"/>
    <x v="292"/>
    <x v="289"/>
    <x v="0"/>
    <x v="5"/>
    <x v="5"/>
    <s v="Monday"/>
  </r>
  <r>
    <s v="TXN-00295"/>
    <d v="2024-10-26T00:00:00"/>
    <d v="1899-12-30T09:10:00"/>
    <s v="Karan Sharma"/>
    <s v="CUST0240"/>
    <x v="0"/>
    <x v="5"/>
    <x v="2"/>
    <s v="Hot"/>
    <s v="Medium"/>
    <n v="1"/>
    <n v="105"/>
    <n v="0.05"/>
    <n v="105"/>
    <n v="99.75"/>
    <x v="0"/>
    <x v="0"/>
    <x v="6"/>
    <x v="3"/>
    <x v="0"/>
    <x v="0"/>
    <n v="244"/>
    <n v="25"/>
    <x v="287"/>
    <x v="290"/>
    <x v="2"/>
    <x v="4"/>
    <n v="105"/>
    <x v="40"/>
    <n v="99.75"/>
    <x v="293"/>
    <x v="290"/>
    <x v="0"/>
    <x v="10"/>
    <x v="10"/>
    <s v="Saturday"/>
  </r>
  <r>
    <s v="TXN-00296"/>
    <d v="2024-09-04T00:00:00"/>
    <d v="1899-12-30T20:45:00"/>
    <s v="Aditya Mehta"/>
    <s v="CUST0109"/>
    <x v="3"/>
    <x v="7"/>
    <x v="0"/>
    <s v="Hot"/>
    <s v="Medium"/>
    <n v="1"/>
    <n v="145"/>
    <n v="0.1"/>
    <n v="145"/>
    <n v="130.5"/>
    <x v="0"/>
    <x v="0"/>
    <x v="0"/>
    <x v="6"/>
    <x v="0"/>
    <x v="2"/>
    <n v="483"/>
    <n v="60"/>
    <x v="288"/>
    <x v="291"/>
    <x v="3"/>
    <x v="2"/>
    <n v="145"/>
    <x v="47"/>
    <n v="130.5"/>
    <x v="294"/>
    <x v="291"/>
    <x v="0"/>
    <x v="0"/>
    <x v="0"/>
    <s v="Wednesday"/>
  </r>
  <r>
    <s v="TXN-00297"/>
    <d v="2024-03-07T00:00:00"/>
    <d v="1899-12-30T14:45:00"/>
    <s v="Aditya Kapoor"/>
    <s v="CUST0271"/>
    <x v="2"/>
    <x v="7"/>
    <x v="0"/>
    <s v="Hot"/>
    <s v="Medium"/>
    <n v="1"/>
    <n v="145"/>
    <n v="0.15"/>
    <n v="145"/>
    <n v="123.25"/>
    <x v="0"/>
    <x v="0"/>
    <x v="5"/>
    <x v="5"/>
    <x v="0"/>
    <x v="2"/>
    <n v="249"/>
    <n v="54"/>
    <x v="289"/>
    <x v="292"/>
    <x v="2"/>
    <x v="0"/>
    <n v="145"/>
    <x v="67"/>
    <n v="123.25"/>
    <x v="295"/>
    <x v="292"/>
    <x v="0"/>
    <x v="5"/>
    <x v="5"/>
    <s v="Thursday"/>
  </r>
  <r>
    <s v="TXN-00298"/>
    <d v="2024-12-03T00:00:00"/>
    <d v="1899-12-30T09:50:00"/>
    <s v="Arjun Kapoor"/>
    <s v="CUST0203"/>
    <x v="3"/>
    <x v="14"/>
    <x v="3"/>
    <s v="Food"/>
    <s v="Large"/>
    <n v="1"/>
    <n v="185"/>
    <n v="0.05"/>
    <n v="185"/>
    <n v="175.75"/>
    <x v="0"/>
    <x v="1"/>
    <x v="4"/>
    <x v="3"/>
    <x v="0"/>
    <x v="4"/>
    <n v="80"/>
    <n v="23"/>
    <x v="290"/>
    <x v="293"/>
    <x v="0"/>
    <x v="0"/>
    <n v="185"/>
    <x v="73"/>
    <n v="175.75"/>
    <x v="296"/>
    <x v="293"/>
    <x v="0"/>
    <x v="9"/>
    <x v="9"/>
    <s v="Tuesday"/>
  </r>
  <r>
    <s v="TXN-00299"/>
    <d v="2024-09-22T00:00:00"/>
    <d v="1899-12-30T14:20:00"/>
    <s v="Pooja Mehta"/>
    <s v="CUST0172"/>
    <x v="2"/>
    <x v="1"/>
    <x v="1"/>
    <s v="Food"/>
    <s v="Unknown"/>
    <n v="2"/>
    <n v="115"/>
    <n v="0.15"/>
    <n v="230"/>
    <n v="195.5"/>
    <x v="0"/>
    <x v="1"/>
    <x v="1"/>
    <x v="2"/>
    <x v="0"/>
    <x v="2"/>
    <n v="141"/>
    <n v="31"/>
    <x v="291"/>
    <x v="294"/>
    <x v="3"/>
    <x v="2"/>
    <n v="230"/>
    <x v="74"/>
    <n v="195.5"/>
    <x v="297"/>
    <x v="294"/>
    <x v="0"/>
    <x v="0"/>
    <x v="0"/>
    <s v="Sunday"/>
  </r>
  <r>
    <s v="TXN-00300"/>
    <d v="2024-08-31T00:00:00"/>
    <d v="1899-12-30T15:30:00"/>
    <s v="Ananya Singh"/>
    <s v="CUST0158"/>
    <x v="0"/>
    <x v="4"/>
    <x v="0"/>
    <s v="Cold"/>
    <s v="Small"/>
    <n v="1"/>
    <n v="155"/>
    <n v="0.05"/>
    <n v="155"/>
    <n v="147.25"/>
    <x v="3"/>
    <x v="2"/>
    <x v="5"/>
    <x v="2"/>
    <x v="0"/>
    <x v="1"/>
    <n v="224"/>
    <n v="37"/>
    <x v="292"/>
    <x v="295"/>
    <x v="3"/>
    <x v="3"/>
    <n v="155"/>
    <x v="44"/>
    <n v="147.25"/>
    <x v="298"/>
    <x v="295"/>
    <x v="0"/>
    <x v="1"/>
    <x v="1"/>
    <s v="Saturday"/>
  </r>
  <r>
    <s v="TXN-00301"/>
    <d v="2024-04-26T00:00:00"/>
    <d v="1899-12-30T09:00:00"/>
    <s v="Aditya Sharma"/>
    <s v="CUST0399"/>
    <x v="0"/>
    <x v="7"/>
    <x v="0"/>
    <s v="Hot"/>
    <s v="Large"/>
    <n v="1"/>
    <n v="145"/>
    <n v="0"/>
    <n v="145"/>
    <n v="145"/>
    <x v="2"/>
    <x v="0"/>
    <x v="4"/>
    <x v="2"/>
    <x v="0"/>
    <x v="4"/>
    <n v="144"/>
    <n v="34"/>
    <x v="293"/>
    <x v="296"/>
    <x v="0"/>
    <x v="2"/>
    <n v="145"/>
    <x v="0"/>
    <n v="145"/>
    <x v="299"/>
    <x v="296"/>
    <x v="0"/>
    <x v="8"/>
    <x v="8"/>
    <s v="Friday"/>
  </r>
  <r>
    <s v="TXN-00302"/>
    <d v="2024-06-12T00:00:00"/>
    <d v="1899-12-30T12:50:00"/>
    <s v="Vivaan Gupta"/>
    <s v="CUST0134"/>
    <x v="3"/>
    <x v="6"/>
    <x v="0"/>
    <s v="Hot"/>
    <s v="Medium"/>
    <n v="1"/>
    <n v="110"/>
    <n v="0.1"/>
    <n v="110"/>
    <n v="99"/>
    <x v="2"/>
    <x v="0"/>
    <x v="4"/>
    <x v="5"/>
    <x v="0"/>
    <x v="2"/>
    <n v="382"/>
    <n v="45"/>
    <x v="294"/>
    <x v="297"/>
    <x v="3"/>
    <x v="3"/>
    <n v="110"/>
    <x v="30"/>
    <n v="99"/>
    <x v="300"/>
    <x v="297"/>
    <x v="0"/>
    <x v="4"/>
    <x v="4"/>
    <s v="Wednesday"/>
  </r>
  <r>
    <s v="TXN-00303"/>
    <d v="2024-07-10T00:00:00"/>
    <d v="1899-12-30T07:10:00"/>
    <s v="Rohan Verma"/>
    <s v="CUST0135"/>
    <x v="1"/>
    <x v="9"/>
    <x v="2"/>
    <s v="Hot"/>
    <s v="Small"/>
    <n v="2"/>
    <n v="80"/>
    <n v="0.15"/>
    <n v="160"/>
    <n v="136"/>
    <x v="2"/>
    <x v="2"/>
    <x v="4"/>
    <x v="7"/>
    <x v="2"/>
    <x v="0"/>
    <n v="51"/>
    <n v="55"/>
    <x v="295"/>
    <x v="298"/>
    <x v="3"/>
    <x v="4"/>
    <n v="160"/>
    <x v="27"/>
    <n v="136"/>
    <x v="301"/>
    <x v="298"/>
    <x v="0"/>
    <x v="7"/>
    <x v="7"/>
    <s v="Wednesday"/>
  </r>
  <r>
    <s v="TXN-00304"/>
    <d v="2024-05-02T00:00:00"/>
    <d v="1899-12-30T10:45:00"/>
    <s v="Meera Bansal"/>
    <s v="CUST0359"/>
    <x v="2"/>
    <x v="0"/>
    <x v="0"/>
    <s v="Hot"/>
    <s v="Large"/>
    <n v="2"/>
    <n v="140"/>
    <n v="0"/>
    <n v="280"/>
    <n v="280"/>
    <x v="1"/>
    <x v="2"/>
    <x v="2"/>
    <x v="7"/>
    <x v="1"/>
    <x v="3"/>
    <n v="47"/>
    <n v="37"/>
    <x v="296"/>
    <x v="299"/>
    <x v="4"/>
    <x v="4"/>
    <n v="280"/>
    <x v="0"/>
    <n v="280"/>
    <x v="302"/>
    <x v="299"/>
    <x v="0"/>
    <x v="6"/>
    <x v="6"/>
    <s v="Thursday"/>
  </r>
  <r>
    <s v="TXN-00305"/>
    <d v="2024-08-04T00:00:00"/>
    <d v="1899-12-30T14:00:00"/>
    <s v="Neha Verma"/>
    <s v="CUST0173"/>
    <x v="3"/>
    <x v="14"/>
    <x v="3"/>
    <s v="Food"/>
    <s v="Unknown"/>
    <n v="2"/>
    <n v="175"/>
    <n v="0"/>
    <n v="350"/>
    <n v="350"/>
    <x v="3"/>
    <x v="3"/>
    <x v="3"/>
    <x v="1"/>
    <x v="0"/>
    <x v="1"/>
    <n v="359"/>
    <n v="34"/>
    <x v="297"/>
    <x v="300"/>
    <x v="2"/>
    <x v="4"/>
    <n v="350"/>
    <x v="0"/>
    <n v="350"/>
    <x v="303"/>
    <x v="300"/>
    <x v="0"/>
    <x v="1"/>
    <x v="1"/>
    <s v="Sunday"/>
  </r>
  <r>
    <s v="TXN-00306"/>
    <d v="2024-11-25T00:00:00"/>
    <d v="1899-12-30T10:45:00"/>
    <s v="Pooja Sharma"/>
    <s v="CUST0166"/>
    <x v="2"/>
    <x v="3"/>
    <x v="0"/>
    <s v="Hot"/>
    <s v="Medium"/>
    <n v="1"/>
    <n v="120"/>
    <n v="0"/>
    <n v="120"/>
    <n v="120"/>
    <x v="1"/>
    <x v="3"/>
    <x v="2"/>
    <x v="0"/>
    <x v="0"/>
    <x v="4"/>
    <n v="399"/>
    <n v="58"/>
    <x v="298"/>
    <x v="301"/>
    <x v="2"/>
    <x v="3"/>
    <n v="120"/>
    <x v="0"/>
    <n v="120"/>
    <x v="304"/>
    <x v="301"/>
    <x v="0"/>
    <x v="11"/>
    <x v="11"/>
    <s v="Monday"/>
  </r>
  <r>
    <s v="TXN-00307"/>
    <d v="2024-09-08T00:00:00"/>
    <d v="1899-12-30T14:20:00"/>
    <s v="Manish Kapoor"/>
    <s v="CUST0301"/>
    <x v="0"/>
    <x v="1"/>
    <x v="1"/>
    <s v="Food"/>
    <s v="Medium"/>
    <n v="1"/>
    <n v="125"/>
    <n v="0"/>
    <n v="125"/>
    <n v="125"/>
    <x v="1"/>
    <x v="0"/>
    <x v="3"/>
    <x v="2"/>
    <x v="0"/>
    <x v="0"/>
    <n v="294"/>
    <n v="47"/>
    <x v="299"/>
    <x v="302"/>
    <x v="0"/>
    <x v="1"/>
    <n v="125"/>
    <x v="0"/>
    <n v="125"/>
    <x v="305"/>
    <x v="302"/>
    <x v="0"/>
    <x v="0"/>
    <x v="0"/>
    <s v="Sunday"/>
  </r>
  <r>
    <s v="TXN-00308"/>
    <d v="2024-06-10T00:00:00"/>
    <d v="1899-12-30T20:10:00"/>
    <s v="Neha Sharma"/>
    <s v="CUST0200"/>
    <x v="3"/>
    <x v="2"/>
    <x v="1"/>
    <s v="Food"/>
    <s v="Small"/>
    <n v="1"/>
    <n v="75"/>
    <n v="0.15"/>
    <n v="75"/>
    <n v="63.75"/>
    <x v="0"/>
    <x v="0"/>
    <x v="2"/>
    <x v="3"/>
    <x v="0"/>
    <x v="0"/>
    <n v="457"/>
    <n v="34"/>
    <x v="300"/>
    <x v="303"/>
    <x v="0"/>
    <x v="0"/>
    <n v="75"/>
    <x v="8"/>
    <n v="63.75"/>
    <x v="306"/>
    <x v="303"/>
    <x v="0"/>
    <x v="4"/>
    <x v="4"/>
    <s v="Monday"/>
  </r>
  <r>
    <s v="TXN-00309"/>
    <d v="2024-08-18T00:00:00"/>
    <d v="1899-12-30T18:20:00"/>
    <s v="Meera Gupta"/>
    <s v="CUST0107"/>
    <x v="2"/>
    <x v="8"/>
    <x v="0"/>
    <s v="Cold"/>
    <s v="Large"/>
    <n v="3"/>
    <n v="170"/>
    <n v="0"/>
    <n v="510"/>
    <n v="510"/>
    <x v="0"/>
    <x v="0"/>
    <x v="4"/>
    <x v="1"/>
    <x v="0"/>
    <x v="4"/>
    <n v="367"/>
    <n v="20"/>
    <x v="301"/>
    <x v="304"/>
    <x v="5"/>
    <x v="4"/>
    <n v="510"/>
    <x v="0"/>
    <n v="510"/>
    <x v="307"/>
    <x v="304"/>
    <x v="0"/>
    <x v="1"/>
    <x v="1"/>
    <s v="Sunday"/>
  </r>
  <r>
    <s v="TXN-00310"/>
    <d v="2024-12-19T00:00:00"/>
    <d v="1899-12-30T09:45:00"/>
    <s v="Arjun Singh"/>
    <s v="CUST0371"/>
    <x v="0"/>
    <x v="13"/>
    <x v="2"/>
    <s v="Cold"/>
    <s v="Medium"/>
    <n v="1"/>
    <n v="110"/>
    <n v="0.1"/>
    <n v="110"/>
    <n v="99"/>
    <x v="0"/>
    <x v="0"/>
    <x v="3"/>
    <x v="1"/>
    <x v="0"/>
    <x v="3"/>
    <n v="303"/>
    <n v="59"/>
    <x v="302"/>
    <x v="305"/>
    <x v="1"/>
    <x v="2"/>
    <n v="110"/>
    <x v="30"/>
    <n v="99"/>
    <x v="308"/>
    <x v="305"/>
    <x v="0"/>
    <x v="9"/>
    <x v="9"/>
    <s v="Thursday"/>
  </r>
  <r>
    <s v="TXN-00311"/>
    <d v="2024-06-18T00:00:00"/>
    <d v="1899-12-30T17:30:00"/>
    <s v="Sahil Gupta"/>
    <s v="CUST0357"/>
    <x v="2"/>
    <x v="14"/>
    <x v="3"/>
    <s v="Food"/>
    <s v="Small"/>
    <n v="4"/>
    <n v="180"/>
    <n v="0.05"/>
    <n v="720"/>
    <n v="684"/>
    <x v="2"/>
    <x v="2"/>
    <x v="6"/>
    <x v="4"/>
    <x v="0"/>
    <x v="2"/>
    <n v="9"/>
    <n v="15"/>
    <x v="303"/>
    <x v="306"/>
    <x v="4"/>
    <x v="4"/>
    <n v="720"/>
    <x v="72"/>
    <n v="684"/>
    <x v="309"/>
    <x v="306"/>
    <x v="0"/>
    <x v="4"/>
    <x v="4"/>
    <s v="Tuesday"/>
  </r>
  <r>
    <s v="TXN-00312"/>
    <d v="2024-12-24T00:00:00"/>
    <d v="1899-12-30T19:10:00"/>
    <s v="Rohan Singh"/>
    <s v="CUST0322"/>
    <x v="3"/>
    <x v="11"/>
    <x v="0"/>
    <s v="Hot"/>
    <s v="Medium"/>
    <n v="2"/>
    <n v="85"/>
    <n v="0.05"/>
    <n v="170"/>
    <n v="161.5"/>
    <x v="0"/>
    <x v="2"/>
    <x v="6"/>
    <x v="1"/>
    <x v="0"/>
    <x v="1"/>
    <n v="455"/>
    <n v="37"/>
    <x v="304"/>
    <x v="307"/>
    <x v="2"/>
    <x v="2"/>
    <n v="170"/>
    <x v="20"/>
    <n v="161.5"/>
    <x v="310"/>
    <x v="307"/>
    <x v="0"/>
    <x v="9"/>
    <x v="9"/>
    <s v="Tuesday"/>
  </r>
  <r>
    <s v="TXN-00313"/>
    <d v="2024-01-22T00:00:00"/>
    <d v="1899-12-30T18:20:00"/>
    <s v="Rahul Gupta"/>
    <s v="CUST0346"/>
    <x v="3"/>
    <x v="0"/>
    <x v="0"/>
    <s v="Hot"/>
    <s v="Small"/>
    <n v="2"/>
    <n v="130"/>
    <n v="0.15"/>
    <n v="260"/>
    <n v="221"/>
    <x v="1"/>
    <x v="3"/>
    <x v="5"/>
    <x v="3"/>
    <x v="0"/>
    <x v="3"/>
    <n v="370"/>
    <n v="15"/>
    <x v="305"/>
    <x v="308"/>
    <x v="2"/>
    <x v="2"/>
    <n v="260"/>
    <x v="21"/>
    <n v="221"/>
    <x v="311"/>
    <x v="308"/>
    <x v="0"/>
    <x v="2"/>
    <x v="2"/>
    <s v="Monday"/>
  </r>
  <r>
    <s v="TXN-00314"/>
    <d v="2024-07-14T00:00:00"/>
    <d v="1899-12-30T20:45:00"/>
    <s v="Ananya Gupta"/>
    <s v="CUST0132"/>
    <x v="2"/>
    <x v="2"/>
    <x v="1"/>
    <s v="Food"/>
    <s v="Medium"/>
    <n v="1"/>
    <n v="80"/>
    <n v="0.1"/>
    <n v="80"/>
    <n v="72"/>
    <x v="3"/>
    <x v="0"/>
    <x v="4"/>
    <x v="6"/>
    <x v="1"/>
    <x v="4"/>
    <n v="407"/>
    <n v="35"/>
    <x v="306"/>
    <x v="309"/>
    <x v="4"/>
    <x v="4"/>
    <n v="80"/>
    <x v="7"/>
    <n v="72"/>
    <x v="312"/>
    <x v="309"/>
    <x v="0"/>
    <x v="7"/>
    <x v="7"/>
    <s v="Sunday"/>
  </r>
  <r>
    <s v="TXN-00315"/>
    <d v="2024-11-14T00:00:00"/>
    <d v="1899-12-30T10:15:00"/>
    <s v="Neha Malhotra"/>
    <s v="CUST0207"/>
    <x v="1"/>
    <x v="8"/>
    <x v="0"/>
    <s v="Cold"/>
    <s v="Medium"/>
    <n v="1"/>
    <n v="165"/>
    <n v="0"/>
    <n v="165"/>
    <n v="165"/>
    <x v="2"/>
    <x v="2"/>
    <x v="6"/>
    <x v="7"/>
    <x v="0"/>
    <x v="0"/>
    <n v="154"/>
    <n v="40"/>
    <x v="214"/>
    <x v="310"/>
    <x v="3"/>
    <x v="0"/>
    <n v="165"/>
    <x v="0"/>
    <n v="165"/>
    <x v="313"/>
    <x v="310"/>
    <x v="0"/>
    <x v="11"/>
    <x v="11"/>
    <s v="Thursday"/>
  </r>
  <r>
    <s v="TXN-00316"/>
    <d v="2024-10-05T00:00:00"/>
    <d v="1899-12-30T08:10:00"/>
    <s v="Arjun Mehta"/>
    <s v="CUST0281"/>
    <x v="1"/>
    <x v="5"/>
    <x v="2"/>
    <s v="Hot"/>
    <s v="Medium"/>
    <n v="1"/>
    <n v="95"/>
    <n v="0.05"/>
    <n v="95"/>
    <n v="90.25"/>
    <x v="3"/>
    <x v="1"/>
    <x v="5"/>
    <x v="6"/>
    <x v="1"/>
    <x v="1"/>
    <n v="112"/>
    <n v="56"/>
    <x v="60"/>
    <x v="311"/>
    <x v="3"/>
    <x v="0"/>
    <n v="95"/>
    <x v="34"/>
    <n v="90.25"/>
    <x v="60"/>
    <x v="311"/>
    <x v="0"/>
    <x v="10"/>
    <x v="10"/>
    <s v="Saturday"/>
  </r>
  <r>
    <s v="TXN-00317"/>
    <d v="2024-07-07T00:00:00"/>
    <d v="1899-12-30T11:30:00"/>
    <s v="Manish Bansal"/>
    <s v="CUST0168"/>
    <x v="0"/>
    <x v="8"/>
    <x v="0"/>
    <s v="Cold"/>
    <s v="Large"/>
    <n v="3"/>
    <n v="160"/>
    <n v="0.1"/>
    <n v="480"/>
    <n v="432"/>
    <x v="2"/>
    <x v="1"/>
    <x v="6"/>
    <x v="3"/>
    <x v="2"/>
    <x v="2"/>
    <n v="242"/>
    <n v="36"/>
    <x v="307"/>
    <x v="312"/>
    <x v="2"/>
    <x v="0"/>
    <n v="480"/>
    <x v="75"/>
    <n v="432"/>
    <x v="314"/>
    <x v="312"/>
    <x v="0"/>
    <x v="7"/>
    <x v="7"/>
    <s v="Sunday"/>
  </r>
  <r>
    <s v="TXN-00318"/>
    <d v="2024-07-28T00:00:00"/>
    <d v="1899-12-30T14:00:00"/>
    <s v="Isha Bansal"/>
    <s v="CUST0131"/>
    <x v="1"/>
    <x v="15"/>
    <x v="4"/>
    <s v="Food"/>
    <s v="Small"/>
    <n v="1"/>
    <n v="195"/>
    <n v="0.05"/>
    <n v="195"/>
    <n v="185.25"/>
    <x v="1"/>
    <x v="3"/>
    <x v="1"/>
    <x v="1"/>
    <x v="0"/>
    <x v="4"/>
    <n v="457"/>
    <n v="38"/>
    <x v="308"/>
    <x v="313"/>
    <x v="0"/>
    <x v="2"/>
    <n v="195"/>
    <x v="76"/>
    <n v="185.25"/>
    <x v="315"/>
    <x v="313"/>
    <x v="0"/>
    <x v="7"/>
    <x v="7"/>
    <s v="Sunday"/>
  </r>
  <r>
    <s v="TXN-00319"/>
    <d v="2024-11-05T00:00:00"/>
    <d v="1899-12-30T21:50:00"/>
    <s v="Unknown"/>
    <s v="CUST0161"/>
    <x v="1"/>
    <x v="5"/>
    <x v="2"/>
    <s v="Hot"/>
    <s v="Large"/>
    <n v="1"/>
    <n v="105"/>
    <n v="0"/>
    <n v="105"/>
    <n v="105"/>
    <x v="2"/>
    <x v="2"/>
    <x v="4"/>
    <x v="5"/>
    <x v="0"/>
    <x v="2"/>
    <n v="369"/>
    <n v="21"/>
    <x v="309"/>
    <x v="314"/>
    <x v="0"/>
    <x v="1"/>
    <n v="105"/>
    <x v="0"/>
    <n v="105"/>
    <x v="316"/>
    <x v="314"/>
    <x v="0"/>
    <x v="11"/>
    <x v="11"/>
    <s v="Tuesday"/>
  </r>
  <r>
    <s v="TXN-00320"/>
    <d v="2024-09-29T00:00:00"/>
    <d v="1899-12-30T20:10:00"/>
    <s v="Riya Bansal"/>
    <s v="CUST0138"/>
    <x v="3"/>
    <x v="3"/>
    <x v="0"/>
    <s v="Hot"/>
    <s v="Medium"/>
    <n v="1"/>
    <n v="120"/>
    <n v="0.05"/>
    <n v="120"/>
    <n v="114"/>
    <x v="2"/>
    <x v="3"/>
    <x v="1"/>
    <x v="2"/>
    <x v="1"/>
    <x v="4"/>
    <n v="302"/>
    <n v="14"/>
    <x v="310"/>
    <x v="315"/>
    <x v="0"/>
    <x v="4"/>
    <n v="120"/>
    <x v="77"/>
    <n v="114"/>
    <x v="317"/>
    <x v="315"/>
    <x v="0"/>
    <x v="0"/>
    <x v="0"/>
    <s v="Sunday"/>
  </r>
  <r>
    <s v="TXN-00321"/>
    <d v="2024-10-18T00:00:00"/>
    <d v="1899-12-30T21:20:00"/>
    <s v="Isha Gupta"/>
    <s v="CUST0311"/>
    <x v="2"/>
    <x v="12"/>
    <x v="1"/>
    <s v="Food"/>
    <s v="Unknown"/>
    <n v="1"/>
    <n v="90"/>
    <n v="0"/>
    <n v="90"/>
    <n v="90"/>
    <x v="2"/>
    <x v="2"/>
    <x v="0"/>
    <x v="3"/>
    <x v="1"/>
    <x v="2"/>
    <n v="132"/>
    <n v="13"/>
    <x v="311"/>
    <x v="316"/>
    <x v="0"/>
    <x v="3"/>
    <n v="90"/>
    <x v="0"/>
    <n v="90"/>
    <x v="318"/>
    <x v="316"/>
    <x v="0"/>
    <x v="10"/>
    <x v="10"/>
    <s v="Friday"/>
  </r>
  <r>
    <s v="TXN-00322"/>
    <d v="2024-05-24T00:00:00"/>
    <d v="1899-12-30T11:45:00"/>
    <s v="Manish Sharma"/>
    <s v="CUST0397"/>
    <x v="0"/>
    <x v="13"/>
    <x v="2"/>
    <s v="Cold"/>
    <s v="Small"/>
    <n v="2"/>
    <n v="110"/>
    <n v="0.1"/>
    <n v="220"/>
    <n v="198"/>
    <x v="0"/>
    <x v="0"/>
    <x v="0"/>
    <x v="2"/>
    <x v="0"/>
    <x v="4"/>
    <n v="265"/>
    <n v="32"/>
    <x v="312"/>
    <x v="317"/>
    <x v="0"/>
    <x v="0"/>
    <n v="220"/>
    <x v="78"/>
    <n v="198"/>
    <x v="319"/>
    <x v="317"/>
    <x v="0"/>
    <x v="6"/>
    <x v="6"/>
    <s v="Friday"/>
  </r>
  <r>
    <s v="TXN-00323"/>
    <d v="2024-10-02T00:00:00"/>
    <d v="1899-12-30T09:10:00"/>
    <s v="Ananya Singh"/>
    <s v="CUST0180"/>
    <x v="2"/>
    <x v="14"/>
    <x v="3"/>
    <s v="Food"/>
    <s v="Medium"/>
    <n v="1"/>
    <n v="180"/>
    <n v="0.1"/>
    <n v="180"/>
    <n v="162"/>
    <x v="2"/>
    <x v="0"/>
    <x v="4"/>
    <x v="2"/>
    <x v="0"/>
    <x v="0"/>
    <n v="39"/>
    <n v="47"/>
    <x v="313"/>
    <x v="318"/>
    <x v="0"/>
    <x v="4"/>
    <n v="180"/>
    <x v="23"/>
    <n v="162"/>
    <x v="320"/>
    <x v="318"/>
    <x v="0"/>
    <x v="10"/>
    <x v="10"/>
    <s v="Wednesday"/>
  </r>
  <r>
    <s v="TXN-00324"/>
    <d v="2024-04-27T00:00:00"/>
    <d v="1899-12-30T17:20:00"/>
    <s v="Karan Sharma"/>
    <s v="CUST0339"/>
    <x v="3"/>
    <x v="14"/>
    <x v="3"/>
    <s v="Food"/>
    <s v="Medium"/>
    <n v="2"/>
    <n v="185"/>
    <n v="0.05"/>
    <n v="370"/>
    <n v="351.5"/>
    <x v="1"/>
    <x v="2"/>
    <x v="5"/>
    <x v="3"/>
    <x v="0"/>
    <x v="0"/>
    <n v="244"/>
    <n v="53"/>
    <x v="314"/>
    <x v="319"/>
    <x v="4"/>
    <x v="1"/>
    <n v="370"/>
    <x v="56"/>
    <n v="351.5"/>
    <x v="321"/>
    <x v="319"/>
    <x v="0"/>
    <x v="8"/>
    <x v="8"/>
    <s v="Saturday"/>
  </r>
  <r>
    <s v="TXN-00325"/>
    <d v="2024-03-13T00:00:00"/>
    <d v="1899-12-30T19:30:00"/>
    <s v="Manish Bansal"/>
    <s v="CUST0376"/>
    <x v="3"/>
    <x v="12"/>
    <x v="1"/>
    <s v="Food"/>
    <s v="Small"/>
    <n v="1"/>
    <n v="100"/>
    <n v="0.15"/>
    <n v="100"/>
    <n v="85"/>
    <x v="0"/>
    <x v="3"/>
    <x v="0"/>
    <x v="0"/>
    <x v="0"/>
    <x v="2"/>
    <n v="470"/>
    <n v="34"/>
    <x v="315"/>
    <x v="320"/>
    <x v="1"/>
    <x v="2"/>
    <n v="100"/>
    <x v="51"/>
    <n v="85"/>
    <x v="322"/>
    <x v="320"/>
    <x v="0"/>
    <x v="5"/>
    <x v="5"/>
    <s v="Wednesday"/>
  </r>
  <r>
    <s v="TXN-00326"/>
    <d v="2024-08-08T00:00:00"/>
    <d v="1899-12-30T13:45:00"/>
    <s v="Rahul Chopra"/>
    <s v="CUST0178"/>
    <x v="3"/>
    <x v="8"/>
    <x v="0"/>
    <s v="Cold"/>
    <s v="Medium"/>
    <n v="1"/>
    <n v="160"/>
    <n v="0"/>
    <n v="160"/>
    <n v="160"/>
    <x v="0"/>
    <x v="1"/>
    <x v="2"/>
    <x v="2"/>
    <x v="1"/>
    <x v="2"/>
    <n v="383"/>
    <n v="30"/>
    <x v="316"/>
    <x v="321"/>
    <x v="0"/>
    <x v="4"/>
    <n v="160"/>
    <x v="0"/>
    <n v="160"/>
    <x v="323"/>
    <x v="321"/>
    <x v="0"/>
    <x v="1"/>
    <x v="1"/>
    <s v="Thursday"/>
  </r>
  <r>
    <s v="TXN-00327"/>
    <d v="2024-03-18T00:00:00"/>
    <d v="1899-12-30T17:15:00"/>
    <s v="Sneha Sharma"/>
    <s v="CUST0331"/>
    <x v="2"/>
    <x v="11"/>
    <x v="0"/>
    <s v="Hot"/>
    <s v="Large"/>
    <n v="2"/>
    <n v="100"/>
    <n v="0.1"/>
    <n v="200"/>
    <n v="180"/>
    <x v="1"/>
    <x v="3"/>
    <x v="5"/>
    <x v="2"/>
    <x v="0"/>
    <x v="0"/>
    <n v="153"/>
    <n v="37"/>
    <x v="317"/>
    <x v="322"/>
    <x v="1"/>
    <x v="4"/>
    <n v="200"/>
    <x v="5"/>
    <n v="180"/>
    <x v="324"/>
    <x v="322"/>
    <x v="0"/>
    <x v="5"/>
    <x v="5"/>
    <s v="Monday"/>
  </r>
  <r>
    <s v="TXN-00328"/>
    <d v="2024-03-04T00:00:00"/>
    <d v="1899-12-30T14:50:00"/>
    <s v="Ananya Sharma"/>
    <s v="CUST0217"/>
    <x v="1"/>
    <x v="7"/>
    <x v="0"/>
    <s v="Hot"/>
    <s v="Small"/>
    <n v="1"/>
    <n v="145"/>
    <n v="0.05"/>
    <n v="145"/>
    <n v="137.75"/>
    <x v="2"/>
    <x v="3"/>
    <x v="1"/>
    <x v="5"/>
    <x v="0"/>
    <x v="3"/>
    <n v="72"/>
    <n v="12"/>
    <x v="318"/>
    <x v="323"/>
    <x v="3"/>
    <x v="3"/>
    <n v="145"/>
    <x v="6"/>
    <n v="137.75"/>
    <x v="325"/>
    <x v="323"/>
    <x v="0"/>
    <x v="5"/>
    <x v="5"/>
    <s v="Monday"/>
  </r>
  <r>
    <s v="TXN-00329"/>
    <d v="2024-11-02T00:00:00"/>
    <d v="1899-12-30T21:45:00"/>
    <s v="Riya Malhotra"/>
    <s v="CUST0266"/>
    <x v="0"/>
    <x v="1"/>
    <x v="1"/>
    <s v="Food"/>
    <s v="Large"/>
    <n v="3"/>
    <n v="125"/>
    <n v="0.1"/>
    <n v="375"/>
    <n v="337.5"/>
    <x v="1"/>
    <x v="3"/>
    <x v="1"/>
    <x v="5"/>
    <x v="0"/>
    <x v="1"/>
    <n v="130"/>
    <n v="59"/>
    <x v="319"/>
    <x v="324"/>
    <x v="1"/>
    <x v="1"/>
    <n v="375"/>
    <x v="79"/>
    <n v="337.5"/>
    <x v="326"/>
    <x v="324"/>
    <x v="0"/>
    <x v="11"/>
    <x v="11"/>
    <s v="Saturday"/>
  </r>
  <r>
    <s v="TXN-00330"/>
    <d v="2024-11-07T00:00:00"/>
    <d v="1899-12-30T15:45:00"/>
    <s v="Simran Sharma"/>
    <s v="CUST0151"/>
    <x v="2"/>
    <x v="14"/>
    <x v="3"/>
    <s v="Food"/>
    <s v="Unknown"/>
    <n v="1"/>
    <n v="190"/>
    <n v="0.15"/>
    <n v="190"/>
    <n v="161.5"/>
    <x v="0"/>
    <x v="3"/>
    <x v="0"/>
    <x v="0"/>
    <x v="1"/>
    <x v="3"/>
    <n v="311"/>
    <n v="30"/>
    <x v="320"/>
    <x v="325"/>
    <x v="4"/>
    <x v="0"/>
    <n v="190"/>
    <x v="11"/>
    <n v="161.5"/>
    <x v="327"/>
    <x v="325"/>
    <x v="0"/>
    <x v="11"/>
    <x v="11"/>
    <s v="Thursday"/>
  </r>
  <r>
    <s v="TXN-00331"/>
    <d v="2024-07-10T00:00:00"/>
    <d v="1899-12-30T21:10:00"/>
    <s v="Arjun Singh"/>
    <s v="CUST0222"/>
    <x v="2"/>
    <x v="10"/>
    <x v="1"/>
    <s v="Food"/>
    <s v="Large"/>
    <n v="1"/>
    <n v="110"/>
    <n v="0"/>
    <n v="110"/>
    <n v="110"/>
    <x v="1"/>
    <x v="3"/>
    <x v="0"/>
    <x v="0"/>
    <x v="0"/>
    <x v="2"/>
    <n v="381"/>
    <n v="45"/>
    <x v="321"/>
    <x v="326"/>
    <x v="3"/>
    <x v="4"/>
    <n v="110"/>
    <x v="0"/>
    <n v="110"/>
    <x v="328"/>
    <x v="326"/>
    <x v="0"/>
    <x v="7"/>
    <x v="7"/>
    <s v="Wednesday"/>
  </r>
  <r>
    <s v="TXN-00332"/>
    <d v="2024-07-14T00:00:00"/>
    <d v="1899-12-30T18:30:00"/>
    <s v="Sneha Malhotra"/>
    <s v="CUST0389"/>
    <x v="2"/>
    <x v="4"/>
    <x v="0"/>
    <s v="Cold"/>
    <s v="Medium"/>
    <n v="3"/>
    <n v="160"/>
    <n v="0"/>
    <n v="480"/>
    <n v="480"/>
    <x v="2"/>
    <x v="1"/>
    <x v="4"/>
    <x v="1"/>
    <x v="1"/>
    <x v="0"/>
    <n v="262"/>
    <n v="10"/>
    <x v="322"/>
    <x v="327"/>
    <x v="3"/>
    <x v="1"/>
    <n v="480"/>
    <x v="0"/>
    <n v="480"/>
    <x v="329"/>
    <x v="327"/>
    <x v="0"/>
    <x v="7"/>
    <x v="7"/>
    <s v="Sunday"/>
  </r>
  <r>
    <s v="TXN-00333"/>
    <d v="2024-07-01T00:00:00"/>
    <d v="1899-12-30T17:00:00"/>
    <s v="Arjun Sharma"/>
    <s v="Unknown"/>
    <x v="0"/>
    <x v="7"/>
    <x v="0"/>
    <s v="Hot"/>
    <s v="Medium"/>
    <n v="3"/>
    <n v="155"/>
    <n v="0.1"/>
    <n v="465"/>
    <n v="418.5"/>
    <x v="3"/>
    <x v="3"/>
    <x v="1"/>
    <x v="3"/>
    <x v="2"/>
    <x v="3"/>
    <n v="139"/>
    <n v="24"/>
    <x v="323"/>
    <x v="328"/>
    <x v="4"/>
    <x v="2"/>
    <n v="465"/>
    <x v="64"/>
    <n v="418.5"/>
    <x v="330"/>
    <x v="328"/>
    <x v="0"/>
    <x v="7"/>
    <x v="7"/>
    <s v="Monday"/>
  </r>
  <r>
    <s v="TXN-00334"/>
    <d v="2024-05-27T00:00:00"/>
    <d v="1899-12-30T17:10:00"/>
    <s v="Simran Gupta"/>
    <s v="Unknown"/>
    <x v="2"/>
    <x v="14"/>
    <x v="3"/>
    <s v="Food"/>
    <s v="Large"/>
    <n v="2"/>
    <n v="190"/>
    <n v="0.15"/>
    <n v="380"/>
    <n v="323"/>
    <x v="0"/>
    <x v="0"/>
    <x v="3"/>
    <x v="3"/>
    <x v="0"/>
    <x v="4"/>
    <n v="109"/>
    <n v="26"/>
    <x v="324"/>
    <x v="329"/>
    <x v="2"/>
    <x v="2"/>
    <n v="380"/>
    <x v="80"/>
    <n v="323"/>
    <x v="331"/>
    <x v="329"/>
    <x v="0"/>
    <x v="6"/>
    <x v="6"/>
    <s v="Monday"/>
  </r>
  <r>
    <s v="TXN-00335"/>
    <d v="2024-05-03T00:00:00"/>
    <d v="1899-12-30T09:50:00"/>
    <s v="Arjun Gupta"/>
    <s v="CUST0140"/>
    <x v="2"/>
    <x v="6"/>
    <x v="0"/>
    <s v="Hot"/>
    <s v="Large"/>
    <n v="1"/>
    <n v="100"/>
    <n v="0.15"/>
    <n v="100"/>
    <n v="85"/>
    <x v="2"/>
    <x v="1"/>
    <x v="1"/>
    <x v="0"/>
    <x v="0"/>
    <x v="1"/>
    <n v="48"/>
    <n v="49"/>
    <x v="325"/>
    <x v="330"/>
    <x v="0"/>
    <x v="3"/>
    <n v="100"/>
    <x v="51"/>
    <n v="85"/>
    <x v="332"/>
    <x v="330"/>
    <x v="0"/>
    <x v="6"/>
    <x v="6"/>
    <s v="Friday"/>
  </r>
  <r>
    <s v="TXN-00336"/>
    <d v="2024-01-09T00:00:00"/>
    <d v="1899-12-30T16:30:00"/>
    <s v="Vivaan Chopra"/>
    <s v="CUST0256"/>
    <x v="3"/>
    <x v="11"/>
    <x v="0"/>
    <s v="Hot"/>
    <s v="Large"/>
    <n v="1"/>
    <n v="100"/>
    <n v="0.1"/>
    <n v="100"/>
    <n v="90"/>
    <x v="1"/>
    <x v="1"/>
    <x v="1"/>
    <x v="6"/>
    <x v="1"/>
    <x v="0"/>
    <n v="103"/>
    <n v="36"/>
    <x v="90"/>
    <x v="331"/>
    <x v="3"/>
    <x v="4"/>
    <n v="100"/>
    <x v="4"/>
    <n v="90"/>
    <x v="90"/>
    <x v="331"/>
    <x v="0"/>
    <x v="2"/>
    <x v="2"/>
    <s v="Tuesday"/>
  </r>
  <r>
    <s v="TXN-00337"/>
    <d v="2024-01-15T00:00:00"/>
    <d v="1899-12-30T09:45:00"/>
    <s v="Unknown"/>
    <s v="CUST0295"/>
    <x v="3"/>
    <x v="4"/>
    <x v="0"/>
    <s v="Cold"/>
    <s v="Large"/>
    <n v="2"/>
    <n v="150"/>
    <n v="0"/>
    <n v="300"/>
    <n v="300"/>
    <x v="2"/>
    <x v="2"/>
    <x v="3"/>
    <x v="6"/>
    <x v="0"/>
    <x v="2"/>
    <n v="364"/>
    <n v="37"/>
    <x v="326"/>
    <x v="332"/>
    <x v="3"/>
    <x v="2"/>
    <n v="300"/>
    <x v="0"/>
    <n v="300"/>
    <x v="333"/>
    <x v="332"/>
    <x v="0"/>
    <x v="2"/>
    <x v="2"/>
    <s v="Monday"/>
  </r>
  <r>
    <s v="TXN-00338"/>
    <d v="2024-06-02T00:00:00"/>
    <d v="1899-12-30T08:10:00"/>
    <s v="Riya Verma"/>
    <s v="Unknown"/>
    <x v="2"/>
    <x v="3"/>
    <x v="0"/>
    <s v="Hot"/>
    <s v="Large"/>
    <n v="2"/>
    <n v="130"/>
    <n v="0"/>
    <n v="260"/>
    <n v="260"/>
    <x v="2"/>
    <x v="0"/>
    <x v="0"/>
    <x v="0"/>
    <x v="0"/>
    <x v="2"/>
    <n v="413"/>
    <n v="34"/>
    <x v="327"/>
    <x v="333"/>
    <x v="2"/>
    <x v="1"/>
    <n v="260"/>
    <x v="0"/>
    <n v="260"/>
    <x v="334"/>
    <x v="333"/>
    <x v="0"/>
    <x v="4"/>
    <x v="4"/>
    <s v="Sunday"/>
  </r>
  <r>
    <s v="TXN-00339"/>
    <d v="2024-06-02T00:00:00"/>
    <d v="1899-12-30T13:30:00"/>
    <s v="Riya Verma"/>
    <s v="CUST0265"/>
    <x v="2"/>
    <x v="10"/>
    <x v="1"/>
    <s v="Food"/>
    <s v="Unknown"/>
    <n v="1"/>
    <n v="100"/>
    <n v="0.15"/>
    <n v="100"/>
    <n v="85"/>
    <x v="2"/>
    <x v="0"/>
    <x v="4"/>
    <x v="3"/>
    <x v="0"/>
    <x v="1"/>
    <n v="111"/>
    <n v="35"/>
    <x v="328"/>
    <x v="334"/>
    <x v="1"/>
    <x v="1"/>
    <n v="100"/>
    <x v="51"/>
    <n v="85"/>
    <x v="335"/>
    <x v="334"/>
    <x v="0"/>
    <x v="4"/>
    <x v="4"/>
    <s v="Sunday"/>
  </r>
  <r>
    <s v="TXN-00340"/>
    <d v="2024-04-10T00:00:00"/>
    <d v="1899-12-30T15:45:00"/>
    <s v="Sahil Singh"/>
    <s v="CUST0290"/>
    <x v="0"/>
    <x v="1"/>
    <x v="1"/>
    <s v="Food"/>
    <s v="Large"/>
    <n v="1"/>
    <n v="120"/>
    <n v="0.05"/>
    <n v="120"/>
    <n v="114"/>
    <x v="0"/>
    <x v="0"/>
    <x v="1"/>
    <x v="4"/>
    <x v="0"/>
    <x v="2"/>
    <n v="357"/>
    <n v="53"/>
    <x v="329"/>
    <x v="335"/>
    <x v="3"/>
    <x v="4"/>
    <n v="120"/>
    <x v="77"/>
    <n v="114"/>
    <x v="336"/>
    <x v="335"/>
    <x v="0"/>
    <x v="8"/>
    <x v="8"/>
    <s v="Wednesday"/>
  </r>
  <r>
    <s v="TXN-00341"/>
    <d v="2024-01-22T00:00:00"/>
    <d v="1899-12-30T15:50:00"/>
    <s v="Sneha Kaur"/>
    <s v="CUST0190"/>
    <x v="2"/>
    <x v="6"/>
    <x v="0"/>
    <s v="Hot"/>
    <s v="Small"/>
    <n v="1"/>
    <n v="105"/>
    <n v="0.1"/>
    <n v="105"/>
    <n v="94.5"/>
    <x v="2"/>
    <x v="1"/>
    <x v="0"/>
    <x v="3"/>
    <x v="2"/>
    <x v="1"/>
    <n v="56"/>
    <n v="21"/>
    <x v="330"/>
    <x v="336"/>
    <x v="3"/>
    <x v="3"/>
    <n v="105"/>
    <x v="25"/>
    <n v="94.5"/>
    <x v="337"/>
    <x v="336"/>
    <x v="0"/>
    <x v="2"/>
    <x v="2"/>
    <s v="Monday"/>
  </r>
  <r>
    <s v="TXN-00342"/>
    <d v="2024-06-02T00:00:00"/>
    <d v="1899-12-30T15:30:00"/>
    <s v="Unknown"/>
    <s v="CUST0379"/>
    <x v="3"/>
    <x v="0"/>
    <x v="0"/>
    <s v="Hot"/>
    <s v="Small"/>
    <n v="2"/>
    <n v="130"/>
    <n v="0.05"/>
    <n v="260"/>
    <n v="247"/>
    <x v="1"/>
    <x v="0"/>
    <x v="0"/>
    <x v="4"/>
    <x v="0"/>
    <x v="3"/>
    <n v="370"/>
    <n v="34"/>
    <x v="331"/>
    <x v="337"/>
    <x v="3"/>
    <x v="0"/>
    <n v="260"/>
    <x v="17"/>
    <n v="247"/>
    <x v="338"/>
    <x v="337"/>
    <x v="0"/>
    <x v="4"/>
    <x v="4"/>
    <s v="Sunday"/>
  </r>
  <r>
    <s v="TXN-00343"/>
    <d v="2024-06-01T00:00:00"/>
    <d v="1899-12-30T17:10:00"/>
    <s v="Nikhil Malhotra"/>
    <s v="CUST0370"/>
    <x v="3"/>
    <x v="15"/>
    <x v="4"/>
    <s v="Food"/>
    <s v="Medium"/>
    <n v="1"/>
    <n v="190"/>
    <n v="0.05"/>
    <n v="190"/>
    <n v="180.5"/>
    <x v="3"/>
    <x v="0"/>
    <x v="5"/>
    <x v="1"/>
    <x v="0"/>
    <x v="2"/>
    <n v="0"/>
    <n v="47"/>
    <x v="332"/>
    <x v="338"/>
    <x v="2"/>
    <x v="1"/>
    <n v="190"/>
    <x v="10"/>
    <n v="180.5"/>
    <x v="339"/>
    <x v="338"/>
    <x v="0"/>
    <x v="4"/>
    <x v="4"/>
    <s v="Saturday"/>
  </r>
  <r>
    <s v="TXN-00344"/>
    <d v="2024-07-21T00:00:00"/>
    <d v="1899-12-30T19:20:00"/>
    <s v="Karan Mehta"/>
    <s v="CUST0142"/>
    <x v="2"/>
    <x v="15"/>
    <x v="4"/>
    <s v="Food"/>
    <s v="Medium"/>
    <n v="2"/>
    <n v="200"/>
    <n v="0.05"/>
    <n v="400"/>
    <n v="380"/>
    <x v="2"/>
    <x v="2"/>
    <x v="0"/>
    <x v="2"/>
    <x v="2"/>
    <x v="2"/>
    <n v="244"/>
    <n v="34"/>
    <x v="333"/>
    <x v="339"/>
    <x v="3"/>
    <x v="3"/>
    <n v="400"/>
    <x v="5"/>
    <n v="380"/>
    <x v="340"/>
    <x v="339"/>
    <x v="0"/>
    <x v="7"/>
    <x v="7"/>
    <s v="Sunday"/>
  </r>
  <r>
    <s v="TXN-00345"/>
    <d v="2024-02-16T00:00:00"/>
    <d v="1899-12-30T12:00:00"/>
    <s v="Meera Verma"/>
    <s v="CUST0362"/>
    <x v="0"/>
    <x v="2"/>
    <x v="1"/>
    <s v="Food"/>
    <s v="Large"/>
    <n v="1"/>
    <n v="75"/>
    <n v="0.1"/>
    <n v="75"/>
    <n v="67.5"/>
    <x v="1"/>
    <x v="3"/>
    <x v="4"/>
    <x v="1"/>
    <x v="0"/>
    <x v="2"/>
    <n v="378"/>
    <n v="45"/>
    <x v="334"/>
    <x v="340"/>
    <x v="0"/>
    <x v="2"/>
    <n v="75"/>
    <x v="45"/>
    <n v="67.5"/>
    <x v="341"/>
    <x v="340"/>
    <x v="0"/>
    <x v="3"/>
    <x v="3"/>
    <s v="Friday"/>
  </r>
  <r>
    <s v="TXN-00346"/>
    <d v="2024-03-16T00:00:00"/>
    <d v="1899-12-30T08:10:00"/>
    <s v="Manish Kapoor"/>
    <s v="CUST0299"/>
    <x v="3"/>
    <x v="7"/>
    <x v="0"/>
    <s v="Hot"/>
    <s v="Small"/>
    <n v="1"/>
    <n v="150"/>
    <n v="0"/>
    <n v="150"/>
    <n v="150"/>
    <x v="1"/>
    <x v="0"/>
    <x v="2"/>
    <x v="1"/>
    <x v="1"/>
    <x v="2"/>
    <n v="244"/>
    <n v="34"/>
    <x v="335"/>
    <x v="341"/>
    <x v="0"/>
    <x v="1"/>
    <n v="150"/>
    <x v="0"/>
    <n v="150"/>
    <x v="342"/>
    <x v="341"/>
    <x v="0"/>
    <x v="5"/>
    <x v="5"/>
    <s v="Saturday"/>
  </r>
  <r>
    <s v="TXN-00347"/>
    <d v="2024-07-14T00:00:00"/>
    <d v="1899-12-30T20:45:00"/>
    <s v="Neha Singh"/>
    <s v="CUST0338"/>
    <x v="3"/>
    <x v="1"/>
    <x v="1"/>
    <s v="Food"/>
    <s v="Large"/>
    <n v="3"/>
    <n v="120"/>
    <n v="0.1"/>
    <n v="360"/>
    <n v="324"/>
    <x v="0"/>
    <x v="1"/>
    <x v="3"/>
    <x v="0"/>
    <x v="0"/>
    <x v="2"/>
    <n v="24"/>
    <n v="40"/>
    <x v="336"/>
    <x v="342"/>
    <x v="2"/>
    <x v="0"/>
    <n v="360"/>
    <x v="72"/>
    <n v="324"/>
    <x v="343"/>
    <x v="342"/>
    <x v="0"/>
    <x v="7"/>
    <x v="7"/>
    <s v="Sunday"/>
  </r>
  <r>
    <s v="TXN-00348"/>
    <d v="2024-07-17T00:00:00"/>
    <d v="1899-12-30T07:00:00"/>
    <s v="Aditya Chopra"/>
    <s v="CUST0166"/>
    <x v="2"/>
    <x v="13"/>
    <x v="2"/>
    <s v="Cold"/>
    <s v="Large"/>
    <n v="1"/>
    <n v="110"/>
    <n v="0.05"/>
    <n v="110"/>
    <n v="104.5"/>
    <x v="0"/>
    <x v="2"/>
    <x v="1"/>
    <x v="2"/>
    <x v="0"/>
    <x v="2"/>
    <n v="436"/>
    <n v="58"/>
    <x v="337"/>
    <x v="343"/>
    <x v="4"/>
    <x v="1"/>
    <n v="110"/>
    <x v="52"/>
    <n v="104.5"/>
    <x v="344"/>
    <x v="343"/>
    <x v="0"/>
    <x v="7"/>
    <x v="7"/>
    <s v="Wednesday"/>
  </r>
  <r>
    <s v="TXN-00349"/>
    <d v="2024-06-15T00:00:00"/>
    <d v="1899-12-30T12:45:00"/>
    <s v="Isha Kaur"/>
    <s v="CUST0213"/>
    <x v="3"/>
    <x v="14"/>
    <x v="3"/>
    <s v="Food"/>
    <s v="Medium"/>
    <n v="1"/>
    <n v="185"/>
    <n v="0.1"/>
    <n v="185"/>
    <n v="166.5"/>
    <x v="2"/>
    <x v="1"/>
    <x v="0"/>
    <x v="7"/>
    <x v="1"/>
    <x v="2"/>
    <n v="464"/>
    <n v="59"/>
    <x v="338"/>
    <x v="344"/>
    <x v="3"/>
    <x v="2"/>
    <n v="185"/>
    <x v="56"/>
    <n v="166.5"/>
    <x v="345"/>
    <x v="344"/>
    <x v="0"/>
    <x v="4"/>
    <x v="4"/>
    <s v="Saturday"/>
  </r>
  <r>
    <s v="TXN-00350"/>
    <d v="2024-10-06T00:00:00"/>
    <d v="1899-12-30T11:45:00"/>
    <s v="Meera Singh"/>
    <s v="CUST0223"/>
    <x v="2"/>
    <x v="13"/>
    <x v="2"/>
    <s v="Cold"/>
    <s v="Large"/>
    <n v="2"/>
    <n v="120"/>
    <n v="0.05"/>
    <n v="240"/>
    <n v="228"/>
    <x v="3"/>
    <x v="0"/>
    <x v="6"/>
    <x v="3"/>
    <x v="0"/>
    <x v="3"/>
    <n v="20"/>
    <n v="34"/>
    <x v="339"/>
    <x v="345"/>
    <x v="3"/>
    <x v="2"/>
    <n v="240"/>
    <x v="2"/>
    <n v="228"/>
    <x v="346"/>
    <x v="345"/>
    <x v="0"/>
    <x v="10"/>
    <x v="10"/>
    <s v="Sunday"/>
  </r>
  <r>
    <s v="TXN-00351"/>
    <d v="2024-02-25T00:00:00"/>
    <d v="1899-12-30T14:15:00"/>
    <s v="Arjun Gupta"/>
    <s v="CUST0234"/>
    <x v="2"/>
    <x v="15"/>
    <x v="4"/>
    <s v="Food"/>
    <s v="Medium"/>
    <n v="1"/>
    <n v="185"/>
    <n v="0"/>
    <n v="185"/>
    <n v="185"/>
    <x v="2"/>
    <x v="0"/>
    <x v="2"/>
    <x v="6"/>
    <x v="2"/>
    <x v="3"/>
    <n v="317"/>
    <n v="57"/>
    <x v="340"/>
    <x v="346"/>
    <x v="4"/>
    <x v="2"/>
    <n v="185"/>
    <x v="0"/>
    <n v="185"/>
    <x v="347"/>
    <x v="346"/>
    <x v="0"/>
    <x v="3"/>
    <x v="3"/>
    <s v="Sunday"/>
  </r>
  <r>
    <s v="TXN-00352"/>
    <d v="2024-04-15T00:00:00"/>
    <d v="1899-12-30T17:10:00"/>
    <s v="Simran Malhotra"/>
    <s v="CUST0300"/>
    <x v="0"/>
    <x v="7"/>
    <x v="0"/>
    <s v="Hot"/>
    <s v="Large"/>
    <n v="2"/>
    <n v="145"/>
    <n v="0.15"/>
    <n v="290"/>
    <n v="246.5"/>
    <x v="2"/>
    <x v="1"/>
    <x v="1"/>
    <x v="4"/>
    <x v="1"/>
    <x v="4"/>
    <n v="126"/>
    <n v="43"/>
    <x v="341"/>
    <x v="347"/>
    <x v="2"/>
    <x v="0"/>
    <n v="290"/>
    <x v="81"/>
    <n v="246.5"/>
    <x v="348"/>
    <x v="347"/>
    <x v="0"/>
    <x v="8"/>
    <x v="8"/>
    <s v="Monday"/>
  </r>
  <r>
    <s v="TXN-00353"/>
    <d v="2024-09-17T00:00:00"/>
    <d v="1899-12-30T13:00:00"/>
    <s v="Isha Singh"/>
    <s v="CUST0392"/>
    <x v="3"/>
    <x v="14"/>
    <x v="3"/>
    <s v="Food"/>
    <s v="Medium"/>
    <n v="1"/>
    <n v="180"/>
    <n v="0"/>
    <n v="180"/>
    <n v="180"/>
    <x v="0"/>
    <x v="1"/>
    <x v="2"/>
    <x v="6"/>
    <x v="2"/>
    <x v="4"/>
    <n v="470"/>
    <n v="58"/>
    <x v="342"/>
    <x v="348"/>
    <x v="3"/>
    <x v="3"/>
    <n v="180"/>
    <x v="0"/>
    <n v="180"/>
    <x v="349"/>
    <x v="348"/>
    <x v="0"/>
    <x v="0"/>
    <x v="0"/>
    <s v="Tuesday"/>
  </r>
  <r>
    <s v="TXN-00354"/>
    <d v="2024-01-24T00:00:00"/>
    <d v="1899-12-30T12:20:00"/>
    <s v="Aditya Verma"/>
    <s v="CUST0269"/>
    <x v="0"/>
    <x v="15"/>
    <x v="4"/>
    <s v="Food"/>
    <s v="Medium"/>
    <n v="4"/>
    <n v="200"/>
    <n v="0.1"/>
    <n v="800"/>
    <n v="720"/>
    <x v="0"/>
    <x v="0"/>
    <x v="2"/>
    <x v="1"/>
    <x v="2"/>
    <x v="2"/>
    <n v="199"/>
    <n v="37"/>
    <x v="343"/>
    <x v="349"/>
    <x v="0"/>
    <x v="0"/>
    <n v="800"/>
    <x v="82"/>
    <n v="720"/>
    <x v="350"/>
    <x v="349"/>
    <x v="0"/>
    <x v="2"/>
    <x v="2"/>
    <s v="Wednesday"/>
  </r>
  <r>
    <s v="TXN-00355"/>
    <d v="2024-10-19T00:00:00"/>
    <d v="1899-12-30T13:10:00"/>
    <s v="Manish Chopra"/>
    <s v="CUST0214"/>
    <x v="2"/>
    <x v="7"/>
    <x v="0"/>
    <s v="Hot"/>
    <s v="Medium"/>
    <n v="1"/>
    <n v="150"/>
    <n v="0.05"/>
    <n v="150"/>
    <n v="142.5"/>
    <x v="2"/>
    <x v="3"/>
    <x v="3"/>
    <x v="0"/>
    <x v="0"/>
    <x v="0"/>
    <n v="483"/>
    <n v="24"/>
    <x v="262"/>
    <x v="350"/>
    <x v="3"/>
    <x v="0"/>
    <n v="150"/>
    <x v="45"/>
    <n v="142.5"/>
    <x v="265"/>
    <x v="350"/>
    <x v="0"/>
    <x v="10"/>
    <x v="10"/>
    <s v="Saturday"/>
  </r>
  <r>
    <s v="TXN-00356"/>
    <d v="2024-04-22T00:00:00"/>
    <d v="1899-12-30T11:20:00"/>
    <s v="Isha Kaur"/>
    <s v="CUST0165"/>
    <x v="3"/>
    <x v="12"/>
    <x v="1"/>
    <s v="Food"/>
    <s v="Medium"/>
    <n v="1"/>
    <n v="85"/>
    <n v="0"/>
    <n v="85"/>
    <n v="85"/>
    <x v="0"/>
    <x v="3"/>
    <x v="1"/>
    <x v="5"/>
    <x v="0"/>
    <x v="2"/>
    <n v="326"/>
    <n v="35"/>
    <x v="344"/>
    <x v="351"/>
    <x v="1"/>
    <x v="3"/>
    <n v="85"/>
    <x v="0"/>
    <n v="85"/>
    <x v="351"/>
    <x v="351"/>
    <x v="0"/>
    <x v="8"/>
    <x v="8"/>
    <s v="Monday"/>
  </r>
  <r>
    <s v="TXN-00357"/>
    <d v="2024-07-28T00:00:00"/>
    <d v="1899-12-30T11:20:00"/>
    <s v="Isha Mehta"/>
    <s v="CUST0309"/>
    <x v="3"/>
    <x v="4"/>
    <x v="0"/>
    <s v="Cold"/>
    <s v="Unknown"/>
    <n v="2"/>
    <n v="155"/>
    <n v="0.05"/>
    <n v="310"/>
    <n v="294.5"/>
    <x v="1"/>
    <x v="1"/>
    <x v="4"/>
    <x v="5"/>
    <x v="2"/>
    <x v="4"/>
    <n v="173"/>
    <n v="29"/>
    <x v="345"/>
    <x v="352"/>
    <x v="0"/>
    <x v="0"/>
    <n v="310"/>
    <x v="14"/>
    <n v="294.5"/>
    <x v="352"/>
    <x v="352"/>
    <x v="0"/>
    <x v="7"/>
    <x v="7"/>
    <s v="Sunday"/>
  </r>
  <r>
    <s v="TXN-00358"/>
    <d v="2024-03-23T00:00:00"/>
    <d v="1899-12-30T18:45:00"/>
    <s v="Unknown"/>
    <s v="CUST0301"/>
    <x v="2"/>
    <x v="5"/>
    <x v="2"/>
    <s v="Hot"/>
    <s v="Large"/>
    <n v="1"/>
    <n v="100"/>
    <n v="0.05"/>
    <n v="100"/>
    <n v="95"/>
    <x v="0"/>
    <x v="3"/>
    <x v="3"/>
    <x v="7"/>
    <x v="1"/>
    <x v="2"/>
    <n v="441"/>
    <n v="35"/>
    <x v="346"/>
    <x v="353"/>
    <x v="0"/>
    <x v="3"/>
    <n v="100"/>
    <x v="32"/>
    <n v="95"/>
    <x v="353"/>
    <x v="353"/>
    <x v="0"/>
    <x v="5"/>
    <x v="5"/>
    <s v="Saturday"/>
  </r>
  <r>
    <s v="TXN-00359"/>
    <d v="2024-06-12T00:00:00"/>
    <d v="1899-12-30T10:20:00"/>
    <s v="Riya Mehta"/>
    <s v="Unknown"/>
    <x v="3"/>
    <x v="7"/>
    <x v="0"/>
    <s v="Hot"/>
    <s v="Unknown"/>
    <n v="1"/>
    <n v="145"/>
    <n v="0"/>
    <n v="145"/>
    <n v="145"/>
    <x v="2"/>
    <x v="0"/>
    <x v="4"/>
    <x v="2"/>
    <x v="0"/>
    <x v="2"/>
    <n v="116"/>
    <n v="37"/>
    <x v="347"/>
    <x v="354"/>
    <x v="0"/>
    <x v="1"/>
    <n v="145"/>
    <x v="0"/>
    <n v="145"/>
    <x v="354"/>
    <x v="354"/>
    <x v="0"/>
    <x v="4"/>
    <x v="4"/>
    <s v="Wednesday"/>
  </r>
  <r>
    <s v="TXN-00360"/>
    <d v="2024-07-08T00:00:00"/>
    <d v="1899-12-30T20:10:00"/>
    <s v="Aditya Sharma"/>
    <s v="CUST0192"/>
    <x v="0"/>
    <x v="13"/>
    <x v="2"/>
    <s v="Cold"/>
    <s v="Medium"/>
    <n v="1"/>
    <n v="110"/>
    <n v="0.05"/>
    <n v="110"/>
    <n v="104.5"/>
    <x v="0"/>
    <x v="0"/>
    <x v="6"/>
    <x v="0"/>
    <x v="1"/>
    <x v="4"/>
    <n v="217"/>
    <n v="13"/>
    <x v="348"/>
    <x v="355"/>
    <x v="0"/>
    <x v="0"/>
    <n v="110"/>
    <x v="52"/>
    <n v="104.5"/>
    <x v="355"/>
    <x v="355"/>
    <x v="0"/>
    <x v="7"/>
    <x v="7"/>
    <s v="Monday"/>
  </r>
  <r>
    <s v="TXN-00361"/>
    <d v="2024-04-25T00:00:00"/>
    <d v="1899-12-30T07:20:00"/>
    <s v="Nikhil Mehta"/>
    <s v="CUST0237"/>
    <x v="1"/>
    <x v="2"/>
    <x v="1"/>
    <s v="Food"/>
    <s v="Large"/>
    <n v="2"/>
    <n v="70"/>
    <n v="0"/>
    <n v="140"/>
    <n v="140"/>
    <x v="2"/>
    <x v="3"/>
    <x v="6"/>
    <x v="3"/>
    <x v="0"/>
    <x v="0"/>
    <n v="444"/>
    <n v="22"/>
    <x v="349"/>
    <x v="356"/>
    <x v="3"/>
    <x v="0"/>
    <n v="140"/>
    <x v="0"/>
    <n v="140"/>
    <x v="356"/>
    <x v="356"/>
    <x v="0"/>
    <x v="8"/>
    <x v="8"/>
    <s v="Thursday"/>
  </r>
  <r>
    <s v="TXN-00362"/>
    <d v="2024-04-03T00:00:00"/>
    <d v="1899-12-30T11:10:00"/>
    <s v="Karan Singh"/>
    <s v="CUST0250"/>
    <x v="3"/>
    <x v="15"/>
    <x v="4"/>
    <s v="Food"/>
    <s v="Large"/>
    <n v="1"/>
    <n v="195"/>
    <n v="0.05"/>
    <n v="195"/>
    <n v="185.25"/>
    <x v="0"/>
    <x v="0"/>
    <x v="1"/>
    <x v="0"/>
    <x v="0"/>
    <x v="2"/>
    <n v="402"/>
    <n v="34"/>
    <x v="350"/>
    <x v="357"/>
    <x v="3"/>
    <x v="4"/>
    <n v="195"/>
    <x v="76"/>
    <n v="185.25"/>
    <x v="357"/>
    <x v="357"/>
    <x v="0"/>
    <x v="8"/>
    <x v="8"/>
    <s v="Wednesday"/>
  </r>
  <r>
    <s v="TXN-00363"/>
    <d v="2024-04-11T00:00:00"/>
    <d v="1899-12-30T15:15:00"/>
    <s v="Rohan Bansal"/>
    <s v="CUST0201"/>
    <x v="1"/>
    <x v="13"/>
    <x v="2"/>
    <s v="Cold"/>
    <s v="Large"/>
    <n v="1"/>
    <n v="110"/>
    <n v="0.1"/>
    <n v="110"/>
    <n v="99"/>
    <x v="2"/>
    <x v="3"/>
    <x v="5"/>
    <x v="1"/>
    <x v="0"/>
    <x v="1"/>
    <n v="248"/>
    <n v="30"/>
    <x v="63"/>
    <x v="358"/>
    <x v="3"/>
    <x v="0"/>
    <n v="110"/>
    <x v="30"/>
    <n v="99"/>
    <x v="63"/>
    <x v="358"/>
    <x v="0"/>
    <x v="8"/>
    <x v="8"/>
    <s v="Thursday"/>
  </r>
  <r>
    <s v="TXN-00364"/>
    <d v="2024-08-17T00:00:00"/>
    <d v="1899-12-30T21:10:00"/>
    <s v="Meera Malhotra"/>
    <s v="CUST0332"/>
    <x v="0"/>
    <x v="7"/>
    <x v="0"/>
    <s v="Hot"/>
    <s v="Small"/>
    <n v="1"/>
    <n v="145"/>
    <n v="0.05"/>
    <n v="145"/>
    <n v="137.75"/>
    <x v="0"/>
    <x v="3"/>
    <x v="5"/>
    <x v="7"/>
    <x v="0"/>
    <x v="0"/>
    <n v="279"/>
    <n v="59"/>
    <x v="351"/>
    <x v="359"/>
    <x v="0"/>
    <x v="3"/>
    <n v="145"/>
    <x v="6"/>
    <n v="137.75"/>
    <x v="358"/>
    <x v="359"/>
    <x v="0"/>
    <x v="1"/>
    <x v="1"/>
    <s v="Saturday"/>
  </r>
  <r>
    <s v="TXN-00365"/>
    <d v="2024-06-25T00:00:00"/>
    <d v="1899-12-30T16:50:00"/>
    <s v="Aditya Sharma"/>
    <s v="CUST0186"/>
    <x v="2"/>
    <x v="2"/>
    <x v="1"/>
    <s v="Food"/>
    <s v="Small"/>
    <n v="2"/>
    <n v="65"/>
    <n v="0.1"/>
    <n v="130"/>
    <n v="117"/>
    <x v="2"/>
    <x v="3"/>
    <x v="6"/>
    <x v="5"/>
    <x v="2"/>
    <x v="2"/>
    <n v="244"/>
    <n v="35"/>
    <x v="352"/>
    <x v="360"/>
    <x v="1"/>
    <x v="0"/>
    <n v="130"/>
    <x v="17"/>
    <n v="117"/>
    <x v="359"/>
    <x v="360"/>
    <x v="0"/>
    <x v="4"/>
    <x v="4"/>
    <s v="Tuesday"/>
  </r>
  <r>
    <s v="TXN-00366"/>
    <d v="2024-08-05T00:00:00"/>
    <d v="1899-12-30T13:15:00"/>
    <s v="Meera Verma"/>
    <s v="CUST0229"/>
    <x v="2"/>
    <x v="5"/>
    <x v="2"/>
    <s v="Hot"/>
    <s v="Large"/>
    <n v="2"/>
    <n v="105"/>
    <n v="0.15"/>
    <n v="210"/>
    <n v="178.5"/>
    <x v="0"/>
    <x v="0"/>
    <x v="0"/>
    <x v="3"/>
    <x v="0"/>
    <x v="4"/>
    <n v="183"/>
    <n v="26"/>
    <x v="353"/>
    <x v="361"/>
    <x v="3"/>
    <x v="1"/>
    <n v="210"/>
    <x v="59"/>
    <n v="178.5"/>
    <x v="360"/>
    <x v="361"/>
    <x v="0"/>
    <x v="1"/>
    <x v="1"/>
    <s v="Monday"/>
  </r>
  <r>
    <s v="TXN-00367"/>
    <d v="2024-04-16T00:00:00"/>
    <d v="1899-12-30T17:10:00"/>
    <s v="Vivaan Chopra"/>
    <s v="CUST0275"/>
    <x v="3"/>
    <x v="14"/>
    <x v="3"/>
    <s v="Food"/>
    <s v="Large"/>
    <n v="1"/>
    <n v="180"/>
    <n v="0.05"/>
    <n v="180"/>
    <n v="171"/>
    <x v="2"/>
    <x v="3"/>
    <x v="5"/>
    <x v="6"/>
    <x v="0"/>
    <x v="0"/>
    <n v="268"/>
    <n v="23"/>
    <x v="354"/>
    <x v="362"/>
    <x v="2"/>
    <x v="2"/>
    <n v="180"/>
    <x v="13"/>
    <n v="171"/>
    <x v="361"/>
    <x v="362"/>
    <x v="0"/>
    <x v="8"/>
    <x v="8"/>
    <s v="Tuesday"/>
  </r>
  <r>
    <s v="TXN-00368"/>
    <d v="2024-06-18T00:00:00"/>
    <d v="1899-12-30T18:15:00"/>
    <s v="Nikhil Singh"/>
    <s v="CUST0159"/>
    <x v="3"/>
    <x v="3"/>
    <x v="0"/>
    <s v="Hot"/>
    <s v="Medium"/>
    <n v="1"/>
    <n v="115"/>
    <n v="0.05"/>
    <n v="115"/>
    <n v="109.25"/>
    <x v="3"/>
    <x v="2"/>
    <x v="2"/>
    <x v="2"/>
    <x v="0"/>
    <x v="2"/>
    <n v="96"/>
    <n v="29"/>
    <x v="355"/>
    <x v="363"/>
    <x v="3"/>
    <x v="3"/>
    <n v="115"/>
    <x v="1"/>
    <n v="109.25"/>
    <x v="362"/>
    <x v="363"/>
    <x v="0"/>
    <x v="4"/>
    <x v="4"/>
    <s v="Tuesday"/>
  </r>
  <r>
    <s v="TXN-00369"/>
    <d v="2024-03-07T00:00:00"/>
    <d v="1899-12-30T09:30:00"/>
    <s v="Kavya Malhotra"/>
    <s v="CUST0210"/>
    <x v="1"/>
    <x v="5"/>
    <x v="2"/>
    <s v="Hot"/>
    <s v="Small"/>
    <n v="2"/>
    <n v="100"/>
    <n v="0"/>
    <n v="200"/>
    <n v="200"/>
    <x v="0"/>
    <x v="3"/>
    <x v="0"/>
    <x v="5"/>
    <x v="0"/>
    <x v="2"/>
    <n v="500"/>
    <n v="35"/>
    <x v="356"/>
    <x v="364"/>
    <x v="0"/>
    <x v="1"/>
    <n v="200"/>
    <x v="0"/>
    <n v="200"/>
    <x v="363"/>
    <x v="364"/>
    <x v="0"/>
    <x v="5"/>
    <x v="5"/>
    <s v="Thursday"/>
  </r>
  <r>
    <s v="TXN-00370"/>
    <d v="2024-12-18T00:00:00"/>
    <d v="1899-12-30T10:00:00"/>
    <s v="Isha Sharma"/>
    <s v="CUST0262"/>
    <x v="2"/>
    <x v="10"/>
    <x v="1"/>
    <s v="Food"/>
    <s v="Small"/>
    <n v="1"/>
    <n v="100"/>
    <n v="0"/>
    <n v="100"/>
    <n v="100"/>
    <x v="2"/>
    <x v="0"/>
    <x v="4"/>
    <x v="2"/>
    <x v="0"/>
    <x v="2"/>
    <n v="9"/>
    <n v="52"/>
    <x v="357"/>
    <x v="365"/>
    <x v="0"/>
    <x v="0"/>
    <n v="100"/>
    <x v="0"/>
    <n v="100"/>
    <x v="364"/>
    <x v="365"/>
    <x v="0"/>
    <x v="9"/>
    <x v="9"/>
    <s v="Wednesday"/>
  </r>
  <r>
    <s v="TXN-00371"/>
    <d v="2024-02-08T00:00:00"/>
    <d v="1899-12-30T13:30:00"/>
    <s v="Sneha Kaur"/>
    <s v="CUST0380"/>
    <x v="2"/>
    <x v="7"/>
    <x v="0"/>
    <s v="Hot"/>
    <s v="Medium"/>
    <n v="1"/>
    <n v="150"/>
    <n v="0.1"/>
    <n v="150"/>
    <n v="135"/>
    <x v="0"/>
    <x v="1"/>
    <x v="0"/>
    <x v="7"/>
    <x v="0"/>
    <x v="4"/>
    <n v="111"/>
    <n v="36"/>
    <x v="358"/>
    <x v="366"/>
    <x v="0"/>
    <x v="1"/>
    <n v="150"/>
    <x v="51"/>
    <n v="135"/>
    <x v="365"/>
    <x v="366"/>
    <x v="0"/>
    <x v="3"/>
    <x v="3"/>
    <s v="Thursday"/>
  </r>
  <r>
    <s v="TXN-00372"/>
    <d v="2024-07-19T00:00:00"/>
    <d v="1899-12-30T20:50:00"/>
    <s v="Aarav Kaur"/>
    <s v="CUST0208"/>
    <x v="3"/>
    <x v="13"/>
    <x v="2"/>
    <s v="Cold"/>
    <s v="Small"/>
    <n v="2"/>
    <n v="105"/>
    <n v="0.1"/>
    <n v="210"/>
    <n v="189"/>
    <x v="1"/>
    <x v="3"/>
    <x v="0"/>
    <x v="5"/>
    <x v="0"/>
    <x v="2"/>
    <n v="391"/>
    <n v="35"/>
    <x v="359"/>
    <x v="367"/>
    <x v="3"/>
    <x v="3"/>
    <n v="210"/>
    <x v="66"/>
    <n v="189"/>
    <x v="366"/>
    <x v="367"/>
    <x v="0"/>
    <x v="7"/>
    <x v="7"/>
    <s v="Friday"/>
  </r>
  <r>
    <s v="TXN-00373"/>
    <d v="2024-05-16T00:00:00"/>
    <d v="1899-12-30T11:15:00"/>
    <s v="Rohan Gupta"/>
    <s v="Unknown"/>
    <x v="0"/>
    <x v="4"/>
    <x v="0"/>
    <s v="Cold"/>
    <s v="Medium"/>
    <n v="1"/>
    <n v="150"/>
    <n v="0.1"/>
    <n v="150"/>
    <n v="135"/>
    <x v="1"/>
    <x v="2"/>
    <x v="5"/>
    <x v="5"/>
    <x v="0"/>
    <x v="3"/>
    <n v="402"/>
    <n v="43"/>
    <x v="360"/>
    <x v="368"/>
    <x v="1"/>
    <x v="0"/>
    <n v="150"/>
    <x v="51"/>
    <n v="135"/>
    <x v="367"/>
    <x v="368"/>
    <x v="0"/>
    <x v="6"/>
    <x v="6"/>
    <s v="Thursday"/>
  </r>
  <r>
    <s v="TXN-00374"/>
    <d v="2024-09-10T00:00:00"/>
    <d v="1899-12-30T11:10:00"/>
    <s v="Isha Gupta"/>
    <s v="CUST0111"/>
    <x v="3"/>
    <x v="9"/>
    <x v="2"/>
    <s v="Hot"/>
    <s v="Medium"/>
    <n v="3"/>
    <n v="85"/>
    <n v="0.1"/>
    <n v="255"/>
    <n v="229.5"/>
    <x v="0"/>
    <x v="0"/>
    <x v="5"/>
    <x v="3"/>
    <x v="2"/>
    <x v="4"/>
    <n v="201"/>
    <n v="34"/>
    <x v="361"/>
    <x v="369"/>
    <x v="2"/>
    <x v="3"/>
    <n v="255"/>
    <x v="38"/>
    <n v="229.5"/>
    <x v="368"/>
    <x v="369"/>
    <x v="0"/>
    <x v="0"/>
    <x v="0"/>
    <s v="Tuesday"/>
  </r>
  <r>
    <s v="TXN-00375"/>
    <d v="2024-07-26T00:00:00"/>
    <d v="1899-12-30T16:20:00"/>
    <s v="Aditya Mehta"/>
    <s v="CUST0350"/>
    <x v="2"/>
    <x v="4"/>
    <x v="0"/>
    <s v="Cold"/>
    <s v="Small"/>
    <n v="1"/>
    <n v="155"/>
    <n v="0.15"/>
    <n v="155"/>
    <n v="131.75"/>
    <x v="1"/>
    <x v="3"/>
    <x v="2"/>
    <x v="7"/>
    <x v="0"/>
    <x v="0"/>
    <n v="130"/>
    <n v="60"/>
    <x v="362"/>
    <x v="370"/>
    <x v="0"/>
    <x v="0"/>
    <n v="155"/>
    <x v="83"/>
    <n v="131.75"/>
    <x v="369"/>
    <x v="370"/>
    <x v="0"/>
    <x v="7"/>
    <x v="7"/>
    <s v="Friday"/>
  </r>
  <r>
    <s v="TXN-00376"/>
    <d v="2024-01-08T00:00:00"/>
    <d v="1899-12-30T12:45:00"/>
    <s v="Rahul Singh"/>
    <s v="CUST0369"/>
    <x v="3"/>
    <x v="0"/>
    <x v="0"/>
    <s v="Hot"/>
    <s v="Unknown"/>
    <n v="1"/>
    <n v="130"/>
    <n v="0.05"/>
    <n v="130"/>
    <n v="123.5"/>
    <x v="0"/>
    <x v="1"/>
    <x v="0"/>
    <x v="0"/>
    <x v="2"/>
    <x v="2"/>
    <n v="15"/>
    <n v="34"/>
    <x v="363"/>
    <x v="371"/>
    <x v="0"/>
    <x v="2"/>
    <n v="130"/>
    <x v="41"/>
    <n v="123.5"/>
    <x v="370"/>
    <x v="371"/>
    <x v="0"/>
    <x v="2"/>
    <x v="2"/>
    <s v="Monday"/>
  </r>
  <r>
    <s v="TXN-00377"/>
    <d v="2024-12-16T00:00:00"/>
    <d v="1899-12-30T13:45:00"/>
    <s v="Neha Malhotra"/>
    <s v="CUST0185"/>
    <x v="0"/>
    <x v="8"/>
    <x v="0"/>
    <s v="Cold"/>
    <s v="Medium"/>
    <n v="2"/>
    <n v="155"/>
    <n v="0"/>
    <n v="310"/>
    <n v="310"/>
    <x v="0"/>
    <x v="1"/>
    <x v="6"/>
    <x v="7"/>
    <x v="1"/>
    <x v="1"/>
    <n v="246"/>
    <n v="37"/>
    <x v="364"/>
    <x v="372"/>
    <x v="0"/>
    <x v="3"/>
    <n v="310"/>
    <x v="0"/>
    <n v="310"/>
    <x v="371"/>
    <x v="372"/>
    <x v="0"/>
    <x v="9"/>
    <x v="9"/>
    <s v="Monday"/>
  </r>
  <r>
    <s v="TXN-00378"/>
    <d v="2024-01-23T00:00:00"/>
    <d v="1899-12-30T08:30:00"/>
    <s v="Kavya Mehta"/>
    <s v="Unknown"/>
    <x v="2"/>
    <x v="0"/>
    <x v="0"/>
    <s v="Hot"/>
    <s v="Large"/>
    <n v="1"/>
    <n v="135"/>
    <n v="0"/>
    <n v="135"/>
    <n v="135"/>
    <x v="0"/>
    <x v="3"/>
    <x v="6"/>
    <x v="4"/>
    <x v="0"/>
    <x v="1"/>
    <n v="251"/>
    <n v="59"/>
    <x v="365"/>
    <x v="373"/>
    <x v="2"/>
    <x v="2"/>
    <n v="135"/>
    <x v="0"/>
    <n v="135"/>
    <x v="372"/>
    <x v="373"/>
    <x v="0"/>
    <x v="2"/>
    <x v="2"/>
    <s v="Tuesday"/>
  </r>
  <r>
    <s v="TXN-00379"/>
    <d v="2024-10-27T00:00:00"/>
    <d v="1899-12-30T07:10:00"/>
    <s v="Vivaan Verma"/>
    <s v="CUST0139"/>
    <x v="1"/>
    <x v="6"/>
    <x v="0"/>
    <s v="Hot"/>
    <s v="Large"/>
    <n v="1"/>
    <n v="100"/>
    <n v="0.1"/>
    <n v="100"/>
    <n v="90"/>
    <x v="1"/>
    <x v="2"/>
    <x v="1"/>
    <x v="6"/>
    <x v="1"/>
    <x v="3"/>
    <n v="39"/>
    <n v="52"/>
    <x v="366"/>
    <x v="374"/>
    <x v="4"/>
    <x v="0"/>
    <n v="100"/>
    <x v="4"/>
    <n v="90"/>
    <x v="373"/>
    <x v="374"/>
    <x v="0"/>
    <x v="10"/>
    <x v="10"/>
    <s v="Sunday"/>
  </r>
  <r>
    <s v="TXN-00380"/>
    <d v="2024-02-06T00:00:00"/>
    <d v="1899-12-30T17:30:00"/>
    <s v="Aarav Singh"/>
    <s v="CUST0349"/>
    <x v="0"/>
    <x v="7"/>
    <x v="0"/>
    <s v="Hot"/>
    <s v="Unknown"/>
    <n v="1"/>
    <n v="145"/>
    <n v="0.05"/>
    <n v="145"/>
    <n v="137.75"/>
    <x v="1"/>
    <x v="2"/>
    <x v="1"/>
    <x v="0"/>
    <x v="2"/>
    <x v="2"/>
    <n v="248"/>
    <n v="37"/>
    <x v="367"/>
    <x v="375"/>
    <x v="5"/>
    <x v="2"/>
    <n v="145"/>
    <x v="6"/>
    <n v="137.75"/>
    <x v="374"/>
    <x v="375"/>
    <x v="0"/>
    <x v="3"/>
    <x v="3"/>
    <s v="Tuesday"/>
  </r>
  <r>
    <s v="TXN-00381"/>
    <d v="2024-09-19T00:00:00"/>
    <d v="1899-12-30T08:20:00"/>
    <s v="Sneha Kapoor"/>
    <s v="CUST0198"/>
    <x v="2"/>
    <x v="12"/>
    <x v="1"/>
    <s v="Food"/>
    <s v="Large"/>
    <n v="3"/>
    <n v="95"/>
    <n v="0"/>
    <n v="285"/>
    <n v="285"/>
    <x v="2"/>
    <x v="3"/>
    <x v="2"/>
    <x v="7"/>
    <x v="2"/>
    <x v="4"/>
    <n v="202"/>
    <n v="50"/>
    <x v="368"/>
    <x v="376"/>
    <x v="2"/>
    <x v="2"/>
    <n v="285"/>
    <x v="0"/>
    <n v="285"/>
    <x v="375"/>
    <x v="376"/>
    <x v="0"/>
    <x v="0"/>
    <x v="0"/>
    <s v="Thursday"/>
  </r>
  <r>
    <s v="TXN-00382"/>
    <d v="2024-11-02T00:00:00"/>
    <d v="1899-12-30T13:20:00"/>
    <s v="Pooja Malhotra"/>
    <s v="CUST0374"/>
    <x v="3"/>
    <x v="7"/>
    <x v="0"/>
    <s v="Hot"/>
    <s v="Small"/>
    <n v="5"/>
    <n v="145"/>
    <n v="0"/>
    <n v="725"/>
    <n v="725"/>
    <x v="1"/>
    <x v="2"/>
    <x v="5"/>
    <x v="7"/>
    <x v="1"/>
    <x v="3"/>
    <n v="0"/>
    <n v="37"/>
    <x v="369"/>
    <x v="377"/>
    <x v="2"/>
    <x v="3"/>
    <n v="725"/>
    <x v="0"/>
    <n v="725"/>
    <x v="376"/>
    <x v="377"/>
    <x v="0"/>
    <x v="11"/>
    <x v="11"/>
    <s v="Saturday"/>
  </r>
  <r>
    <s v="TXN-00383"/>
    <d v="2024-02-17T00:00:00"/>
    <d v="1899-12-30T17:50:00"/>
    <s v="Sahil Gupta"/>
    <s v="CUST0158"/>
    <x v="2"/>
    <x v="2"/>
    <x v="1"/>
    <s v="Food"/>
    <s v="Medium"/>
    <n v="2"/>
    <n v="70"/>
    <n v="0"/>
    <n v="140"/>
    <n v="140"/>
    <x v="1"/>
    <x v="0"/>
    <x v="3"/>
    <x v="2"/>
    <x v="0"/>
    <x v="3"/>
    <n v="5"/>
    <n v="25"/>
    <x v="370"/>
    <x v="378"/>
    <x v="4"/>
    <x v="0"/>
    <n v="140"/>
    <x v="0"/>
    <n v="140"/>
    <x v="377"/>
    <x v="378"/>
    <x v="0"/>
    <x v="3"/>
    <x v="3"/>
    <s v="Saturday"/>
  </r>
  <r>
    <s v="TXN-00384"/>
    <d v="2024-03-12T00:00:00"/>
    <d v="1899-12-30T07:45:00"/>
    <s v="Vivaan Kapoor"/>
    <s v="CUST0215"/>
    <x v="2"/>
    <x v="13"/>
    <x v="2"/>
    <s v="Cold"/>
    <s v="Large"/>
    <n v="2"/>
    <n v="105"/>
    <n v="0"/>
    <n v="210"/>
    <n v="210"/>
    <x v="2"/>
    <x v="1"/>
    <x v="6"/>
    <x v="3"/>
    <x v="0"/>
    <x v="1"/>
    <n v="244"/>
    <n v="49"/>
    <x v="371"/>
    <x v="379"/>
    <x v="0"/>
    <x v="1"/>
    <n v="210"/>
    <x v="0"/>
    <n v="210"/>
    <x v="378"/>
    <x v="379"/>
    <x v="0"/>
    <x v="5"/>
    <x v="5"/>
    <s v="Tuesday"/>
  </r>
  <r>
    <s v="TXN-00385"/>
    <d v="2024-02-21T00:00:00"/>
    <d v="1899-12-30T12:10:00"/>
    <s v="Ananya Singh"/>
    <s v="CUST0343"/>
    <x v="3"/>
    <x v="11"/>
    <x v="0"/>
    <s v="Hot"/>
    <s v="Small"/>
    <n v="3"/>
    <n v="100"/>
    <n v="0.15"/>
    <n v="300"/>
    <n v="255"/>
    <x v="1"/>
    <x v="3"/>
    <x v="1"/>
    <x v="3"/>
    <x v="0"/>
    <x v="2"/>
    <n v="463"/>
    <n v="32"/>
    <x v="372"/>
    <x v="380"/>
    <x v="2"/>
    <x v="0"/>
    <n v="300"/>
    <x v="15"/>
    <n v="255"/>
    <x v="379"/>
    <x v="380"/>
    <x v="0"/>
    <x v="3"/>
    <x v="3"/>
    <s v="Wednesday"/>
  </r>
  <r>
    <s v="TXN-00386"/>
    <d v="2024-11-29T00:00:00"/>
    <d v="1899-12-30T14:45:00"/>
    <s v="Unknown"/>
    <s v="CUST0140"/>
    <x v="2"/>
    <x v="7"/>
    <x v="0"/>
    <s v="Hot"/>
    <s v="Small"/>
    <n v="1"/>
    <n v="145"/>
    <n v="0.1"/>
    <n v="145"/>
    <n v="130.5"/>
    <x v="2"/>
    <x v="2"/>
    <x v="6"/>
    <x v="4"/>
    <x v="1"/>
    <x v="4"/>
    <n v="453"/>
    <n v="38"/>
    <x v="373"/>
    <x v="381"/>
    <x v="4"/>
    <x v="0"/>
    <n v="145"/>
    <x v="47"/>
    <n v="130.5"/>
    <x v="380"/>
    <x v="381"/>
    <x v="0"/>
    <x v="11"/>
    <x v="11"/>
    <s v="Friday"/>
  </r>
  <r>
    <s v="TXN-00387"/>
    <d v="2024-06-25T00:00:00"/>
    <d v="1899-12-30T12:50:00"/>
    <s v="Kavya Kapoor"/>
    <s v="CUST0240"/>
    <x v="3"/>
    <x v="13"/>
    <x v="2"/>
    <s v="Cold"/>
    <s v="Small"/>
    <n v="5"/>
    <n v="110"/>
    <n v="0"/>
    <n v="550"/>
    <n v="550"/>
    <x v="0"/>
    <x v="0"/>
    <x v="6"/>
    <x v="7"/>
    <x v="0"/>
    <x v="4"/>
    <n v="327"/>
    <n v="53"/>
    <x v="374"/>
    <x v="382"/>
    <x v="1"/>
    <x v="0"/>
    <n v="550"/>
    <x v="0"/>
    <n v="550"/>
    <x v="381"/>
    <x v="382"/>
    <x v="0"/>
    <x v="4"/>
    <x v="4"/>
    <s v="Tuesday"/>
  </r>
  <r>
    <s v="TXN-00388"/>
    <d v="2024-09-26T00:00:00"/>
    <d v="1899-12-30T07:50:00"/>
    <s v="Sneha Verma"/>
    <s v="CUST0140"/>
    <x v="2"/>
    <x v="5"/>
    <x v="2"/>
    <s v="Hot"/>
    <s v="Small"/>
    <n v="1"/>
    <n v="90"/>
    <n v="0"/>
    <n v="90"/>
    <n v="90"/>
    <x v="0"/>
    <x v="3"/>
    <x v="1"/>
    <x v="1"/>
    <x v="2"/>
    <x v="2"/>
    <n v="4"/>
    <n v="49"/>
    <x v="375"/>
    <x v="383"/>
    <x v="4"/>
    <x v="4"/>
    <n v="90"/>
    <x v="0"/>
    <n v="90"/>
    <x v="377"/>
    <x v="383"/>
    <x v="0"/>
    <x v="0"/>
    <x v="0"/>
    <s v="Thursday"/>
  </r>
  <r>
    <s v="TXN-00389"/>
    <d v="2024-06-03T00:00:00"/>
    <d v="1899-12-30T08:30:00"/>
    <s v="Aarav Bansal"/>
    <s v="CUST0272"/>
    <x v="0"/>
    <x v="13"/>
    <x v="2"/>
    <s v="Cold"/>
    <s v="Small"/>
    <n v="1"/>
    <n v="120"/>
    <n v="0.1"/>
    <n v="120"/>
    <n v="108"/>
    <x v="2"/>
    <x v="0"/>
    <x v="4"/>
    <x v="2"/>
    <x v="1"/>
    <x v="1"/>
    <n v="283"/>
    <n v="43"/>
    <x v="376"/>
    <x v="384"/>
    <x v="2"/>
    <x v="4"/>
    <n v="120"/>
    <x v="2"/>
    <n v="108"/>
    <x v="382"/>
    <x v="384"/>
    <x v="0"/>
    <x v="4"/>
    <x v="4"/>
    <s v="Monday"/>
  </r>
  <r>
    <s v="TXN-00390"/>
    <d v="2024-06-17T00:00:00"/>
    <d v="1899-12-30T10:20:00"/>
    <s v="Rahul Sharma"/>
    <s v="CUST0100"/>
    <x v="2"/>
    <x v="14"/>
    <x v="3"/>
    <s v="Food"/>
    <s v="Small"/>
    <n v="1"/>
    <n v="180"/>
    <n v="0"/>
    <n v="180"/>
    <n v="180"/>
    <x v="0"/>
    <x v="0"/>
    <x v="0"/>
    <x v="4"/>
    <x v="0"/>
    <x v="2"/>
    <n v="168"/>
    <n v="18"/>
    <x v="377"/>
    <x v="385"/>
    <x v="0"/>
    <x v="1"/>
    <n v="180"/>
    <x v="0"/>
    <n v="180"/>
    <x v="383"/>
    <x v="385"/>
    <x v="0"/>
    <x v="4"/>
    <x v="4"/>
    <s v="Monday"/>
  </r>
  <r>
    <s v="TXN-00391"/>
    <d v="2024-06-30T00:00:00"/>
    <d v="1899-12-30T09:50:00"/>
    <s v="Nikhil Mehta"/>
    <s v="CUST0200"/>
    <x v="1"/>
    <x v="10"/>
    <x v="1"/>
    <s v="Food"/>
    <s v="Unknown"/>
    <n v="1"/>
    <n v="100"/>
    <n v="0.15"/>
    <n v="100"/>
    <n v="85"/>
    <x v="0"/>
    <x v="0"/>
    <x v="1"/>
    <x v="3"/>
    <x v="0"/>
    <x v="3"/>
    <n v="113"/>
    <n v="60"/>
    <x v="378"/>
    <x v="386"/>
    <x v="1"/>
    <x v="2"/>
    <n v="100"/>
    <x v="51"/>
    <n v="85"/>
    <x v="384"/>
    <x v="386"/>
    <x v="0"/>
    <x v="4"/>
    <x v="4"/>
    <s v="Sunday"/>
  </r>
  <r>
    <s v="TXN-00392"/>
    <d v="2024-03-12T00:00:00"/>
    <d v="1899-12-30T15:15:00"/>
    <s v="Meera Kaur"/>
    <s v="CUST0324"/>
    <x v="2"/>
    <x v="14"/>
    <x v="3"/>
    <s v="Food"/>
    <s v="Large"/>
    <n v="1"/>
    <n v="180"/>
    <n v="0"/>
    <n v="180"/>
    <n v="180"/>
    <x v="0"/>
    <x v="0"/>
    <x v="5"/>
    <x v="6"/>
    <x v="2"/>
    <x v="2"/>
    <n v="379"/>
    <n v="50"/>
    <x v="379"/>
    <x v="387"/>
    <x v="0"/>
    <x v="1"/>
    <n v="180"/>
    <x v="0"/>
    <n v="180"/>
    <x v="385"/>
    <x v="387"/>
    <x v="0"/>
    <x v="5"/>
    <x v="5"/>
    <s v="Tuesday"/>
  </r>
  <r>
    <s v="TXN-00393"/>
    <d v="2024-06-05T00:00:00"/>
    <d v="1899-12-30T16:10:00"/>
    <s v="Meera Malhotra"/>
    <s v="CUST0157"/>
    <x v="3"/>
    <x v="15"/>
    <x v="4"/>
    <s v="Food"/>
    <s v="Small"/>
    <n v="2"/>
    <n v="195"/>
    <n v="0.15"/>
    <n v="390"/>
    <n v="331.5"/>
    <x v="2"/>
    <x v="1"/>
    <x v="4"/>
    <x v="5"/>
    <x v="0"/>
    <x v="3"/>
    <n v="155"/>
    <n v="19"/>
    <x v="380"/>
    <x v="388"/>
    <x v="0"/>
    <x v="2"/>
    <n v="390"/>
    <x v="84"/>
    <n v="331.5"/>
    <x v="386"/>
    <x v="388"/>
    <x v="0"/>
    <x v="4"/>
    <x v="4"/>
    <s v="Wednesday"/>
  </r>
  <r>
    <s v="TXN-00394"/>
    <d v="2024-08-04T00:00:00"/>
    <d v="1899-12-30T14:15:00"/>
    <s v="Aarav Sharma"/>
    <s v="CUST0182"/>
    <x v="2"/>
    <x v="13"/>
    <x v="2"/>
    <s v="Cold"/>
    <s v="Unknown"/>
    <n v="1"/>
    <n v="110"/>
    <n v="0.1"/>
    <n v="110"/>
    <n v="99"/>
    <x v="2"/>
    <x v="3"/>
    <x v="2"/>
    <x v="2"/>
    <x v="1"/>
    <x v="4"/>
    <n v="11"/>
    <n v="52"/>
    <x v="381"/>
    <x v="389"/>
    <x v="0"/>
    <x v="3"/>
    <n v="110"/>
    <x v="30"/>
    <n v="99"/>
    <x v="387"/>
    <x v="389"/>
    <x v="0"/>
    <x v="1"/>
    <x v="1"/>
    <s v="Sunday"/>
  </r>
  <r>
    <s v="TXN-00395"/>
    <d v="2024-06-25T00:00:00"/>
    <d v="1899-12-30T15:15:00"/>
    <s v="Neha Malhotra"/>
    <s v="CUST0268"/>
    <x v="0"/>
    <x v="3"/>
    <x v="0"/>
    <s v="Hot"/>
    <s v="Large"/>
    <n v="2"/>
    <n v="130"/>
    <n v="0"/>
    <n v="260"/>
    <n v="260"/>
    <x v="2"/>
    <x v="0"/>
    <x v="0"/>
    <x v="1"/>
    <x v="0"/>
    <x v="0"/>
    <n v="438"/>
    <n v="34"/>
    <x v="382"/>
    <x v="390"/>
    <x v="3"/>
    <x v="4"/>
    <n v="260"/>
    <x v="0"/>
    <n v="260"/>
    <x v="388"/>
    <x v="390"/>
    <x v="0"/>
    <x v="4"/>
    <x v="4"/>
    <s v="Tuesday"/>
  </r>
  <r>
    <s v="TXN-00396"/>
    <d v="2024-05-02T00:00:00"/>
    <d v="1899-12-30T20:30:00"/>
    <s v="Unknown"/>
    <s v="CUST0198"/>
    <x v="1"/>
    <x v="9"/>
    <x v="2"/>
    <s v="Hot"/>
    <s v="Medium"/>
    <n v="3"/>
    <n v="90"/>
    <n v="0"/>
    <n v="270"/>
    <n v="270"/>
    <x v="3"/>
    <x v="0"/>
    <x v="1"/>
    <x v="5"/>
    <x v="0"/>
    <x v="4"/>
    <n v="130"/>
    <n v="34"/>
    <x v="383"/>
    <x v="391"/>
    <x v="3"/>
    <x v="0"/>
    <n v="270"/>
    <x v="0"/>
    <n v="270"/>
    <x v="389"/>
    <x v="391"/>
    <x v="0"/>
    <x v="6"/>
    <x v="6"/>
    <s v="Thursday"/>
  </r>
  <r>
    <s v="TXN-00397"/>
    <d v="2024-02-22T00:00:00"/>
    <d v="1899-12-30T14:30:00"/>
    <s v="Rohan Mehta"/>
    <s v="CUST0106"/>
    <x v="2"/>
    <x v="14"/>
    <x v="3"/>
    <s v="Food"/>
    <s v="Large"/>
    <n v="3"/>
    <n v="190"/>
    <n v="0.05"/>
    <n v="570"/>
    <n v="541.5"/>
    <x v="2"/>
    <x v="0"/>
    <x v="5"/>
    <x v="5"/>
    <x v="0"/>
    <x v="0"/>
    <n v="376"/>
    <n v="16"/>
    <x v="384"/>
    <x v="392"/>
    <x v="1"/>
    <x v="4"/>
    <n v="570"/>
    <x v="11"/>
    <n v="541.5"/>
    <x v="390"/>
    <x v="392"/>
    <x v="0"/>
    <x v="3"/>
    <x v="3"/>
    <s v="Thursday"/>
  </r>
  <r>
    <s v="TXN-00398"/>
    <d v="2024-03-17T00:00:00"/>
    <d v="1899-12-30T14:50:00"/>
    <s v="Isha Sharma"/>
    <s v="CUST0397"/>
    <x v="3"/>
    <x v="0"/>
    <x v="0"/>
    <s v="Hot"/>
    <s v="Small"/>
    <n v="1"/>
    <n v="135"/>
    <n v="0"/>
    <n v="135"/>
    <n v="135"/>
    <x v="0"/>
    <x v="3"/>
    <x v="0"/>
    <x v="2"/>
    <x v="0"/>
    <x v="1"/>
    <n v="113"/>
    <n v="10"/>
    <x v="385"/>
    <x v="393"/>
    <x v="0"/>
    <x v="4"/>
    <n v="135"/>
    <x v="0"/>
    <n v="135"/>
    <x v="391"/>
    <x v="393"/>
    <x v="0"/>
    <x v="5"/>
    <x v="5"/>
    <s v="Sunday"/>
  </r>
  <r>
    <s v="TXN-00399"/>
    <d v="2024-12-17T00:00:00"/>
    <d v="1899-12-30T13:50:00"/>
    <s v="Vivaan Bansal"/>
    <s v="CUST0149"/>
    <x v="3"/>
    <x v="1"/>
    <x v="1"/>
    <s v="Food"/>
    <s v="Unknown"/>
    <n v="1"/>
    <n v="130"/>
    <n v="0"/>
    <n v="130"/>
    <n v="130"/>
    <x v="2"/>
    <x v="1"/>
    <x v="0"/>
    <x v="4"/>
    <x v="2"/>
    <x v="4"/>
    <n v="153"/>
    <n v="36"/>
    <x v="386"/>
    <x v="394"/>
    <x v="3"/>
    <x v="0"/>
    <n v="130"/>
    <x v="0"/>
    <n v="130"/>
    <x v="392"/>
    <x v="394"/>
    <x v="0"/>
    <x v="9"/>
    <x v="9"/>
    <s v="Tuesday"/>
  </r>
  <r>
    <s v="TXN-00400"/>
    <d v="2024-12-31T00:00:00"/>
    <d v="1899-12-30T18:00:00"/>
    <s v="Nikhil Verma"/>
    <s v="CUST0279"/>
    <x v="3"/>
    <x v="0"/>
    <x v="0"/>
    <s v="Hot"/>
    <s v="Large"/>
    <n v="1"/>
    <n v="130"/>
    <n v="0"/>
    <n v="130"/>
    <n v="130"/>
    <x v="3"/>
    <x v="0"/>
    <x v="1"/>
    <x v="3"/>
    <x v="0"/>
    <x v="2"/>
    <n v="176"/>
    <n v="34"/>
    <x v="387"/>
    <x v="395"/>
    <x v="3"/>
    <x v="2"/>
    <n v="130"/>
    <x v="0"/>
    <n v="130"/>
    <x v="393"/>
    <x v="395"/>
    <x v="0"/>
    <x v="9"/>
    <x v="9"/>
    <s v="Tuesday"/>
  </r>
  <r>
    <s v="TXN-00401"/>
    <d v="2024-12-01T00:00:00"/>
    <d v="1899-12-30T10:45:00"/>
    <s v="Rohan Kaur"/>
    <s v="CUST0201"/>
    <x v="1"/>
    <x v="9"/>
    <x v="2"/>
    <s v="Hot"/>
    <s v="Small"/>
    <n v="2"/>
    <n v="75"/>
    <n v="0.1"/>
    <n v="150"/>
    <n v="135"/>
    <x v="3"/>
    <x v="1"/>
    <x v="0"/>
    <x v="6"/>
    <x v="0"/>
    <x v="2"/>
    <n v="185"/>
    <n v="39"/>
    <x v="388"/>
    <x v="396"/>
    <x v="2"/>
    <x v="3"/>
    <n v="150"/>
    <x v="51"/>
    <n v="135"/>
    <x v="394"/>
    <x v="396"/>
    <x v="0"/>
    <x v="9"/>
    <x v="9"/>
    <s v="Sunday"/>
  </r>
  <r>
    <s v="TXN-00402"/>
    <d v="2024-05-08T00:00:00"/>
    <d v="1899-12-30T09:50:00"/>
    <s v="Priya Sharma"/>
    <s v="CUST0142"/>
    <x v="1"/>
    <x v="1"/>
    <x v="1"/>
    <s v="Food"/>
    <s v="Medium"/>
    <n v="4"/>
    <n v="130"/>
    <n v="0"/>
    <n v="520"/>
    <n v="520"/>
    <x v="0"/>
    <x v="3"/>
    <x v="5"/>
    <x v="2"/>
    <x v="0"/>
    <x v="4"/>
    <n v="491"/>
    <n v="36"/>
    <x v="389"/>
    <x v="397"/>
    <x v="3"/>
    <x v="1"/>
    <n v="520"/>
    <x v="0"/>
    <n v="520"/>
    <x v="395"/>
    <x v="397"/>
    <x v="0"/>
    <x v="6"/>
    <x v="6"/>
    <s v="Wednesday"/>
  </r>
  <r>
    <s v="TXN-00403"/>
    <d v="2024-03-08T00:00:00"/>
    <d v="1899-12-30T07:00:00"/>
    <s v="Riya Malhotra"/>
    <s v="CUST0281"/>
    <x v="2"/>
    <x v="9"/>
    <x v="2"/>
    <s v="Hot"/>
    <s v="Medium"/>
    <n v="2"/>
    <n v="85"/>
    <n v="0"/>
    <n v="170"/>
    <n v="170"/>
    <x v="0"/>
    <x v="1"/>
    <x v="0"/>
    <x v="7"/>
    <x v="0"/>
    <x v="4"/>
    <n v="72"/>
    <n v="36"/>
    <x v="390"/>
    <x v="398"/>
    <x v="4"/>
    <x v="1"/>
    <n v="170"/>
    <x v="0"/>
    <n v="170"/>
    <x v="396"/>
    <x v="398"/>
    <x v="0"/>
    <x v="5"/>
    <x v="5"/>
    <s v="Friday"/>
  </r>
  <r>
    <s v="TXN-00404"/>
    <d v="2024-09-20T00:00:00"/>
    <d v="1899-12-30T13:50:00"/>
    <s v="Rohan Kapoor"/>
    <s v="CUST0213"/>
    <x v="0"/>
    <x v="11"/>
    <x v="0"/>
    <s v="Hot"/>
    <s v="Small"/>
    <n v="1"/>
    <n v="95"/>
    <n v="0.05"/>
    <n v="95"/>
    <n v="90.25"/>
    <x v="0"/>
    <x v="2"/>
    <x v="4"/>
    <x v="2"/>
    <x v="2"/>
    <x v="4"/>
    <n v="209"/>
    <n v="33"/>
    <x v="391"/>
    <x v="399"/>
    <x v="4"/>
    <x v="0"/>
    <n v="95"/>
    <x v="34"/>
    <n v="90.25"/>
    <x v="397"/>
    <x v="399"/>
    <x v="0"/>
    <x v="0"/>
    <x v="0"/>
    <s v="Friday"/>
  </r>
  <r>
    <s v="TXN-00405"/>
    <d v="2024-11-02T00:00:00"/>
    <d v="1899-12-30T15:20:00"/>
    <s v="Manish Chopra"/>
    <s v="CUST0321"/>
    <x v="2"/>
    <x v="0"/>
    <x v="0"/>
    <s v="Hot"/>
    <s v="Small"/>
    <n v="2"/>
    <n v="130"/>
    <n v="0"/>
    <n v="260"/>
    <n v="260"/>
    <x v="0"/>
    <x v="3"/>
    <x v="3"/>
    <x v="3"/>
    <x v="2"/>
    <x v="4"/>
    <n v="110"/>
    <n v="35"/>
    <x v="392"/>
    <x v="400"/>
    <x v="4"/>
    <x v="0"/>
    <n v="260"/>
    <x v="0"/>
    <n v="260"/>
    <x v="398"/>
    <x v="400"/>
    <x v="0"/>
    <x v="11"/>
    <x v="11"/>
    <s v="Saturday"/>
  </r>
  <r>
    <s v="TXN-00406"/>
    <d v="2024-06-25T00:00:00"/>
    <d v="1899-12-30T16:10:00"/>
    <s v="Riya Kapoor"/>
    <s v="CUST0160"/>
    <x v="1"/>
    <x v="15"/>
    <x v="4"/>
    <s v="Food"/>
    <s v="Small"/>
    <n v="2"/>
    <n v="195"/>
    <n v="0.05"/>
    <n v="390"/>
    <n v="370.5"/>
    <x v="2"/>
    <x v="3"/>
    <x v="1"/>
    <x v="4"/>
    <x v="0"/>
    <x v="0"/>
    <n v="240"/>
    <n v="23"/>
    <x v="393"/>
    <x v="401"/>
    <x v="3"/>
    <x v="2"/>
    <n v="390"/>
    <x v="50"/>
    <n v="370.5"/>
    <x v="399"/>
    <x v="401"/>
    <x v="0"/>
    <x v="4"/>
    <x v="4"/>
    <s v="Tuesday"/>
  </r>
  <r>
    <s v="TXN-00407"/>
    <d v="2024-03-30T00:00:00"/>
    <d v="1899-12-30T07:15:00"/>
    <s v="Isha Gupta"/>
    <s v="CUST0113"/>
    <x v="3"/>
    <x v="7"/>
    <x v="0"/>
    <s v="Hot"/>
    <s v="Small"/>
    <n v="1"/>
    <n v="145"/>
    <n v="0.15"/>
    <n v="145"/>
    <n v="123.25"/>
    <x v="1"/>
    <x v="1"/>
    <x v="0"/>
    <x v="6"/>
    <x v="0"/>
    <x v="0"/>
    <n v="166"/>
    <n v="36"/>
    <x v="394"/>
    <x v="402"/>
    <x v="3"/>
    <x v="1"/>
    <n v="145"/>
    <x v="67"/>
    <n v="123.25"/>
    <x v="400"/>
    <x v="402"/>
    <x v="0"/>
    <x v="5"/>
    <x v="5"/>
    <s v="Saturday"/>
  </r>
  <r>
    <s v="TXN-00408"/>
    <d v="2024-08-04T00:00:00"/>
    <d v="1899-12-30T21:45:00"/>
    <s v="Nikhil Verma"/>
    <s v="CUST0353"/>
    <x v="1"/>
    <x v="8"/>
    <x v="0"/>
    <s v="Cold"/>
    <s v="Medium"/>
    <n v="1"/>
    <n v="160"/>
    <n v="0.15"/>
    <n v="160"/>
    <n v="136"/>
    <x v="0"/>
    <x v="1"/>
    <x v="5"/>
    <x v="2"/>
    <x v="0"/>
    <x v="4"/>
    <n v="347"/>
    <n v="30"/>
    <x v="395"/>
    <x v="403"/>
    <x v="3"/>
    <x v="0"/>
    <n v="160"/>
    <x v="27"/>
    <n v="136"/>
    <x v="401"/>
    <x v="403"/>
    <x v="0"/>
    <x v="1"/>
    <x v="1"/>
    <s v="Sunday"/>
  </r>
  <r>
    <s v="TXN-00409"/>
    <d v="2024-01-31T00:00:00"/>
    <d v="1899-12-30T21:10:00"/>
    <s v="Meera Kapoor"/>
    <s v="CUST0303"/>
    <x v="2"/>
    <x v="3"/>
    <x v="0"/>
    <s v="Hot"/>
    <s v="Small"/>
    <n v="1"/>
    <n v="130"/>
    <n v="0.15"/>
    <n v="130"/>
    <n v="110.5"/>
    <x v="3"/>
    <x v="1"/>
    <x v="5"/>
    <x v="1"/>
    <x v="0"/>
    <x v="1"/>
    <n v="112"/>
    <n v="59"/>
    <x v="396"/>
    <x v="404"/>
    <x v="2"/>
    <x v="2"/>
    <n v="130"/>
    <x v="50"/>
    <n v="110.5"/>
    <x v="402"/>
    <x v="404"/>
    <x v="0"/>
    <x v="2"/>
    <x v="2"/>
    <s v="Wednesday"/>
  </r>
  <r>
    <s v="TXN-00410"/>
    <d v="2024-03-30T00:00:00"/>
    <d v="1899-12-30T11:20:00"/>
    <s v="Unknown"/>
    <s v="CUST0291"/>
    <x v="3"/>
    <x v="2"/>
    <x v="1"/>
    <s v="Food"/>
    <s v="Large"/>
    <n v="1"/>
    <n v="65"/>
    <n v="0"/>
    <n v="65"/>
    <n v="65"/>
    <x v="2"/>
    <x v="3"/>
    <x v="3"/>
    <x v="0"/>
    <x v="0"/>
    <x v="4"/>
    <n v="7"/>
    <n v="18"/>
    <x v="397"/>
    <x v="405"/>
    <x v="4"/>
    <x v="1"/>
    <n v="65"/>
    <x v="0"/>
    <n v="65"/>
    <x v="403"/>
    <x v="405"/>
    <x v="0"/>
    <x v="5"/>
    <x v="5"/>
    <s v="Saturday"/>
  </r>
  <r>
    <s v="TXN-00411"/>
    <d v="2024-08-25T00:00:00"/>
    <d v="1899-12-30T15:50:00"/>
    <s v="Simran Malhotra"/>
    <s v="CUST0311"/>
    <x v="3"/>
    <x v="15"/>
    <x v="4"/>
    <s v="Food"/>
    <s v="Small"/>
    <n v="2"/>
    <n v="185"/>
    <n v="0.05"/>
    <n v="370"/>
    <n v="351.5"/>
    <x v="3"/>
    <x v="3"/>
    <x v="3"/>
    <x v="0"/>
    <x v="0"/>
    <x v="2"/>
    <n v="244"/>
    <n v="36"/>
    <x v="398"/>
    <x v="406"/>
    <x v="3"/>
    <x v="1"/>
    <n v="370"/>
    <x v="56"/>
    <n v="351.5"/>
    <x v="404"/>
    <x v="406"/>
    <x v="0"/>
    <x v="1"/>
    <x v="1"/>
    <s v="Sunday"/>
  </r>
  <r>
    <s v="TXN-00412"/>
    <d v="2024-04-25T00:00:00"/>
    <d v="1899-12-30T11:50:00"/>
    <s v="Rahul Kapoor"/>
    <s v="CUST0266"/>
    <x v="3"/>
    <x v="15"/>
    <x v="4"/>
    <s v="Food"/>
    <s v="Large"/>
    <n v="1"/>
    <n v="200"/>
    <n v="0"/>
    <n v="200"/>
    <n v="200"/>
    <x v="2"/>
    <x v="1"/>
    <x v="0"/>
    <x v="6"/>
    <x v="2"/>
    <x v="1"/>
    <n v="196"/>
    <n v="36"/>
    <x v="399"/>
    <x v="407"/>
    <x v="0"/>
    <x v="2"/>
    <n v="200"/>
    <x v="0"/>
    <n v="200"/>
    <x v="405"/>
    <x v="407"/>
    <x v="0"/>
    <x v="8"/>
    <x v="8"/>
    <s v="Thursday"/>
  </r>
  <r>
    <s v="TXN-00413"/>
    <d v="2024-01-03T00:00:00"/>
    <d v="1899-12-30T21:45:00"/>
    <s v="Ananya Mehta"/>
    <s v="CUST0325"/>
    <x v="2"/>
    <x v="5"/>
    <x v="2"/>
    <s v="Hot"/>
    <s v="Small"/>
    <n v="1"/>
    <n v="105"/>
    <n v="0"/>
    <n v="105"/>
    <n v="105"/>
    <x v="1"/>
    <x v="3"/>
    <x v="4"/>
    <x v="6"/>
    <x v="0"/>
    <x v="4"/>
    <n v="255"/>
    <n v="38"/>
    <x v="400"/>
    <x v="408"/>
    <x v="1"/>
    <x v="1"/>
    <n v="105"/>
    <x v="0"/>
    <n v="105"/>
    <x v="406"/>
    <x v="408"/>
    <x v="0"/>
    <x v="2"/>
    <x v="2"/>
    <s v="Wednesday"/>
  </r>
  <r>
    <s v="TXN-00414"/>
    <d v="2024-02-04T00:00:00"/>
    <d v="1899-12-30T08:10:00"/>
    <s v="Sneha Chopra"/>
    <s v="CUST0371"/>
    <x v="1"/>
    <x v="12"/>
    <x v="1"/>
    <s v="Food"/>
    <s v="Large"/>
    <n v="1"/>
    <n v="100"/>
    <n v="0"/>
    <n v="100"/>
    <n v="100"/>
    <x v="2"/>
    <x v="0"/>
    <x v="0"/>
    <x v="7"/>
    <x v="1"/>
    <x v="2"/>
    <n v="458"/>
    <n v="36"/>
    <x v="401"/>
    <x v="409"/>
    <x v="3"/>
    <x v="4"/>
    <n v="100"/>
    <x v="0"/>
    <n v="100"/>
    <x v="407"/>
    <x v="409"/>
    <x v="0"/>
    <x v="3"/>
    <x v="3"/>
    <s v="Sunday"/>
  </r>
  <r>
    <s v="TXN-00415"/>
    <d v="2024-02-21T00:00:00"/>
    <d v="1899-12-30T16:30:00"/>
    <s v="Riya Mehta"/>
    <s v="CUST0105"/>
    <x v="2"/>
    <x v="2"/>
    <x v="1"/>
    <s v="Food"/>
    <s v="Medium"/>
    <n v="1"/>
    <n v="70"/>
    <n v="0"/>
    <n v="70"/>
    <n v="70"/>
    <x v="1"/>
    <x v="1"/>
    <x v="6"/>
    <x v="0"/>
    <x v="0"/>
    <x v="0"/>
    <n v="188"/>
    <n v="49"/>
    <x v="402"/>
    <x v="410"/>
    <x v="3"/>
    <x v="1"/>
    <n v="70"/>
    <x v="0"/>
    <n v="70"/>
    <x v="408"/>
    <x v="410"/>
    <x v="0"/>
    <x v="3"/>
    <x v="3"/>
    <s v="Wednesday"/>
  </r>
  <r>
    <s v="TXN-00416"/>
    <d v="2024-09-09T00:00:00"/>
    <d v="1899-12-30T13:50:00"/>
    <s v="Rohan Mehta"/>
    <s v="CUST0258"/>
    <x v="1"/>
    <x v="5"/>
    <x v="2"/>
    <s v="Hot"/>
    <s v="Medium"/>
    <n v="4"/>
    <n v="95"/>
    <n v="0"/>
    <n v="380"/>
    <n v="380"/>
    <x v="2"/>
    <x v="0"/>
    <x v="3"/>
    <x v="0"/>
    <x v="2"/>
    <x v="3"/>
    <n v="182"/>
    <n v="14"/>
    <x v="77"/>
    <x v="411"/>
    <x v="5"/>
    <x v="2"/>
    <n v="380"/>
    <x v="0"/>
    <n v="380"/>
    <x v="409"/>
    <x v="411"/>
    <x v="0"/>
    <x v="0"/>
    <x v="0"/>
    <s v="Monday"/>
  </r>
  <r>
    <s v="TXN-00417"/>
    <d v="2024-08-01T00:00:00"/>
    <d v="1899-12-30T18:15:00"/>
    <s v="Sahil Bansal"/>
    <s v="CUST0136"/>
    <x v="2"/>
    <x v="0"/>
    <x v="0"/>
    <s v="Hot"/>
    <s v="Medium"/>
    <n v="1"/>
    <n v="125"/>
    <n v="0"/>
    <n v="125"/>
    <n v="125"/>
    <x v="0"/>
    <x v="2"/>
    <x v="5"/>
    <x v="6"/>
    <x v="2"/>
    <x v="4"/>
    <n v="412"/>
    <n v="37"/>
    <x v="403"/>
    <x v="412"/>
    <x v="2"/>
    <x v="4"/>
    <n v="125"/>
    <x v="0"/>
    <n v="125"/>
    <x v="410"/>
    <x v="412"/>
    <x v="0"/>
    <x v="1"/>
    <x v="1"/>
    <s v="Thursday"/>
  </r>
  <r>
    <s v="TXN-00418"/>
    <d v="2024-04-21T00:00:00"/>
    <d v="1899-12-30T17:15:00"/>
    <s v="Sneha Kapoor"/>
    <s v="CUST0282"/>
    <x v="2"/>
    <x v="0"/>
    <x v="0"/>
    <s v="Hot"/>
    <s v="Small"/>
    <n v="1"/>
    <n v="125"/>
    <n v="0.05"/>
    <n v="125"/>
    <n v="118.75"/>
    <x v="0"/>
    <x v="2"/>
    <x v="1"/>
    <x v="2"/>
    <x v="0"/>
    <x v="4"/>
    <n v="156"/>
    <n v="48"/>
    <x v="404"/>
    <x v="413"/>
    <x v="3"/>
    <x v="2"/>
    <n v="125"/>
    <x v="85"/>
    <n v="118.75"/>
    <x v="411"/>
    <x v="413"/>
    <x v="0"/>
    <x v="8"/>
    <x v="8"/>
    <s v="Sunday"/>
  </r>
  <r>
    <s v="TXN-00419"/>
    <d v="2024-08-25T00:00:00"/>
    <d v="1899-12-30T20:30:00"/>
    <s v="Karan Bansal"/>
    <s v="Unknown"/>
    <x v="2"/>
    <x v="12"/>
    <x v="1"/>
    <s v="Food"/>
    <s v="Large"/>
    <n v="1"/>
    <n v="90"/>
    <n v="0"/>
    <n v="90"/>
    <n v="90"/>
    <x v="0"/>
    <x v="0"/>
    <x v="1"/>
    <x v="0"/>
    <x v="0"/>
    <x v="3"/>
    <n v="107"/>
    <n v="38"/>
    <x v="405"/>
    <x v="414"/>
    <x v="0"/>
    <x v="2"/>
    <n v="90"/>
    <x v="0"/>
    <n v="90"/>
    <x v="412"/>
    <x v="414"/>
    <x v="0"/>
    <x v="1"/>
    <x v="1"/>
    <s v="Sunday"/>
  </r>
  <r>
    <s v="TXN-00420"/>
    <d v="2024-05-08T00:00:00"/>
    <d v="1899-12-30T11:20:00"/>
    <s v="Neha Mehta"/>
    <s v="CUST0293"/>
    <x v="1"/>
    <x v="0"/>
    <x v="0"/>
    <s v="Hot"/>
    <s v="Large"/>
    <n v="2"/>
    <n v="125"/>
    <n v="0"/>
    <n v="250"/>
    <n v="250"/>
    <x v="0"/>
    <x v="0"/>
    <x v="5"/>
    <x v="6"/>
    <x v="0"/>
    <x v="4"/>
    <n v="429"/>
    <n v="33"/>
    <x v="366"/>
    <x v="415"/>
    <x v="3"/>
    <x v="2"/>
    <n v="250"/>
    <x v="0"/>
    <n v="250"/>
    <x v="413"/>
    <x v="415"/>
    <x v="0"/>
    <x v="6"/>
    <x v="6"/>
    <s v="Wednesday"/>
  </r>
  <r>
    <s v="TXN-00421"/>
    <d v="2024-10-21T00:00:00"/>
    <d v="1899-12-30T14:30:00"/>
    <s v="Unknown"/>
    <s v="CUST0230"/>
    <x v="0"/>
    <x v="13"/>
    <x v="2"/>
    <s v="Cold"/>
    <s v="Medium"/>
    <n v="1"/>
    <n v="110"/>
    <n v="0.1"/>
    <n v="110"/>
    <n v="99"/>
    <x v="3"/>
    <x v="2"/>
    <x v="6"/>
    <x v="2"/>
    <x v="0"/>
    <x v="3"/>
    <n v="381"/>
    <n v="48"/>
    <x v="406"/>
    <x v="416"/>
    <x v="4"/>
    <x v="2"/>
    <n v="110"/>
    <x v="30"/>
    <n v="99"/>
    <x v="414"/>
    <x v="416"/>
    <x v="0"/>
    <x v="10"/>
    <x v="10"/>
    <s v="Monday"/>
  </r>
  <r>
    <s v="TXN-00422"/>
    <d v="2024-07-06T00:00:00"/>
    <d v="1899-12-30T13:45:00"/>
    <s v="Nikhil Bansal"/>
    <s v="CUST0310"/>
    <x v="2"/>
    <x v="7"/>
    <x v="0"/>
    <s v="Hot"/>
    <s v="Small"/>
    <n v="1"/>
    <n v="140"/>
    <n v="0.1"/>
    <n v="140"/>
    <n v="126"/>
    <x v="3"/>
    <x v="0"/>
    <x v="1"/>
    <x v="7"/>
    <x v="0"/>
    <x v="2"/>
    <n v="133"/>
    <n v="34"/>
    <x v="407"/>
    <x v="417"/>
    <x v="3"/>
    <x v="0"/>
    <n v="140"/>
    <x v="9"/>
    <n v="126"/>
    <x v="415"/>
    <x v="417"/>
    <x v="0"/>
    <x v="7"/>
    <x v="7"/>
    <s v="Saturday"/>
  </r>
  <r>
    <s v="TXN-00423"/>
    <d v="2024-07-16T00:00:00"/>
    <d v="1899-12-30T19:50:00"/>
    <s v="Aarav Sharma"/>
    <s v="CUST0290"/>
    <x v="0"/>
    <x v="2"/>
    <x v="1"/>
    <s v="Food"/>
    <s v="Medium"/>
    <n v="2"/>
    <n v="65"/>
    <n v="0.05"/>
    <n v="130"/>
    <n v="123.5"/>
    <x v="0"/>
    <x v="0"/>
    <x v="4"/>
    <x v="4"/>
    <x v="0"/>
    <x v="2"/>
    <n v="163"/>
    <n v="34"/>
    <x v="408"/>
    <x v="418"/>
    <x v="1"/>
    <x v="3"/>
    <n v="130"/>
    <x v="41"/>
    <n v="123.5"/>
    <x v="416"/>
    <x v="418"/>
    <x v="0"/>
    <x v="7"/>
    <x v="7"/>
    <s v="Tuesday"/>
  </r>
  <r>
    <s v="TXN-00424"/>
    <d v="2024-03-26T00:00:00"/>
    <d v="1899-12-30T19:45:00"/>
    <s v="Isha Gupta"/>
    <s v="CUST0396"/>
    <x v="3"/>
    <x v="11"/>
    <x v="0"/>
    <s v="Hot"/>
    <s v="Medium"/>
    <n v="1"/>
    <n v="100"/>
    <n v="0"/>
    <n v="100"/>
    <n v="100"/>
    <x v="2"/>
    <x v="0"/>
    <x v="4"/>
    <x v="2"/>
    <x v="1"/>
    <x v="2"/>
    <n v="47"/>
    <n v="34"/>
    <x v="409"/>
    <x v="419"/>
    <x v="3"/>
    <x v="0"/>
    <n v="100"/>
    <x v="0"/>
    <n v="100"/>
    <x v="417"/>
    <x v="419"/>
    <x v="0"/>
    <x v="5"/>
    <x v="5"/>
    <s v="Tuesday"/>
  </r>
  <r>
    <s v="TXN-00425"/>
    <d v="2024-09-29T00:00:00"/>
    <d v="1899-12-30T11:45:00"/>
    <s v="Vivaan Gupta"/>
    <s v="CUST0148"/>
    <x v="0"/>
    <x v="2"/>
    <x v="1"/>
    <s v="Food"/>
    <s v="Unknown"/>
    <n v="1"/>
    <n v="70"/>
    <n v="0.15"/>
    <n v="70"/>
    <n v="59.5"/>
    <x v="0"/>
    <x v="0"/>
    <x v="2"/>
    <x v="7"/>
    <x v="1"/>
    <x v="2"/>
    <n v="405"/>
    <n v="31"/>
    <x v="410"/>
    <x v="420"/>
    <x v="3"/>
    <x v="4"/>
    <n v="70"/>
    <x v="25"/>
    <n v="59.5"/>
    <x v="418"/>
    <x v="420"/>
    <x v="0"/>
    <x v="0"/>
    <x v="0"/>
    <s v="Sunday"/>
  </r>
  <r>
    <s v="TXN-00426"/>
    <d v="2024-06-28T00:00:00"/>
    <d v="1899-12-30T12:20:00"/>
    <s v="Priya Singh"/>
    <s v="CUST0393"/>
    <x v="0"/>
    <x v="13"/>
    <x v="2"/>
    <s v="Cold"/>
    <s v="Small"/>
    <n v="1"/>
    <n v="105"/>
    <n v="0"/>
    <n v="105"/>
    <n v="105"/>
    <x v="2"/>
    <x v="0"/>
    <x v="4"/>
    <x v="6"/>
    <x v="0"/>
    <x v="3"/>
    <n v="204"/>
    <n v="11"/>
    <x v="411"/>
    <x v="421"/>
    <x v="0"/>
    <x v="0"/>
    <n v="105"/>
    <x v="0"/>
    <n v="105"/>
    <x v="419"/>
    <x v="421"/>
    <x v="0"/>
    <x v="4"/>
    <x v="4"/>
    <s v="Friday"/>
  </r>
  <r>
    <s v="TXN-00427"/>
    <d v="2024-04-22T00:00:00"/>
    <d v="1899-12-30T13:45:00"/>
    <s v="Meera Kapoor"/>
    <s v="CUST0217"/>
    <x v="0"/>
    <x v="15"/>
    <x v="4"/>
    <s v="Food"/>
    <s v="Large"/>
    <n v="2"/>
    <n v="195"/>
    <n v="0.05"/>
    <n v="390"/>
    <n v="370.5"/>
    <x v="2"/>
    <x v="3"/>
    <x v="1"/>
    <x v="0"/>
    <x v="0"/>
    <x v="4"/>
    <n v="232"/>
    <n v="32"/>
    <x v="412"/>
    <x v="422"/>
    <x v="2"/>
    <x v="0"/>
    <n v="390"/>
    <x v="50"/>
    <n v="370.5"/>
    <x v="420"/>
    <x v="422"/>
    <x v="0"/>
    <x v="8"/>
    <x v="8"/>
    <s v="Monday"/>
  </r>
  <r>
    <s v="TXN-00428"/>
    <d v="2024-03-01T00:00:00"/>
    <d v="1899-12-30T20:00:00"/>
    <s v="Isha Chopra"/>
    <s v="CUST0365"/>
    <x v="2"/>
    <x v="6"/>
    <x v="0"/>
    <s v="Hot"/>
    <s v="Large"/>
    <n v="2"/>
    <n v="100"/>
    <n v="0.1"/>
    <n v="200"/>
    <n v="180"/>
    <x v="0"/>
    <x v="2"/>
    <x v="1"/>
    <x v="4"/>
    <x v="0"/>
    <x v="2"/>
    <n v="244"/>
    <n v="37"/>
    <x v="413"/>
    <x v="423"/>
    <x v="2"/>
    <x v="0"/>
    <n v="200"/>
    <x v="5"/>
    <n v="180"/>
    <x v="421"/>
    <x v="423"/>
    <x v="0"/>
    <x v="5"/>
    <x v="5"/>
    <s v="Friday"/>
  </r>
  <r>
    <s v="TXN-00429"/>
    <d v="2024-08-06T00:00:00"/>
    <d v="1899-12-30T20:50:00"/>
    <s v="Simran Kapoor"/>
    <s v="CUST0135"/>
    <x v="3"/>
    <x v="13"/>
    <x v="2"/>
    <s v="Cold"/>
    <s v="Unknown"/>
    <n v="2"/>
    <n v="110"/>
    <n v="0"/>
    <n v="220"/>
    <n v="220"/>
    <x v="0"/>
    <x v="0"/>
    <x v="0"/>
    <x v="1"/>
    <x v="2"/>
    <x v="2"/>
    <n v="468"/>
    <n v="34"/>
    <x v="414"/>
    <x v="424"/>
    <x v="0"/>
    <x v="0"/>
    <n v="220"/>
    <x v="0"/>
    <n v="220"/>
    <x v="422"/>
    <x v="424"/>
    <x v="0"/>
    <x v="1"/>
    <x v="1"/>
    <s v="Tuesday"/>
  </r>
  <r>
    <s v="TXN-00430"/>
    <d v="2024-05-02T00:00:00"/>
    <d v="1899-12-30T17:10:00"/>
    <s v="Meera Kaur"/>
    <s v="CUST0208"/>
    <x v="1"/>
    <x v="11"/>
    <x v="0"/>
    <s v="Hot"/>
    <s v="Unknown"/>
    <n v="4"/>
    <n v="90"/>
    <n v="0"/>
    <n v="360"/>
    <n v="360"/>
    <x v="0"/>
    <x v="2"/>
    <x v="3"/>
    <x v="4"/>
    <x v="2"/>
    <x v="2"/>
    <n v="295"/>
    <n v="59"/>
    <x v="415"/>
    <x v="425"/>
    <x v="1"/>
    <x v="0"/>
    <n v="360"/>
    <x v="0"/>
    <n v="360"/>
    <x v="423"/>
    <x v="425"/>
    <x v="0"/>
    <x v="6"/>
    <x v="6"/>
    <s v="Thursday"/>
  </r>
  <r>
    <s v="TXN-00431"/>
    <d v="2024-05-27T00:00:00"/>
    <d v="1899-12-30T07:45:00"/>
    <s v="Isha Gupta"/>
    <s v="CUST0251"/>
    <x v="2"/>
    <x v="14"/>
    <x v="3"/>
    <s v="Food"/>
    <s v="Large"/>
    <n v="2"/>
    <n v="175"/>
    <n v="0"/>
    <n v="350"/>
    <n v="350"/>
    <x v="0"/>
    <x v="3"/>
    <x v="6"/>
    <x v="5"/>
    <x v="0"/>
    <x v="4"/>
    <n v="36"/>
    <n v="35"/>
    <x v="416"/>
    <x v="426"/>
    <x v="3"/>
    <x v="0"/>
    <n v="350"/>
    <x v="0"/>
    <n v="350"/>
    <x v="424"/>
    <x v="426"/>
    <x v="0"/>
    <x v="6"/>
    <x v="6"/>
    <s v="Monday"/>
  </r>
  <r>
    <s v="TXN-00432"/>
    <d v="2024-06-26T00:00:00"/>
    <d v="1899-12-30T21:15:00"/>
    <s v="Simran Malhotra"/>
    <s v="CUST0140"/>
    <x v="2"/>
    <x v="7"/>
    <x v="0"/>
    <s v="Hot"/>
    <s v="Large"/>
    <n v="3"/>
    <n v="150"/>
    <n v="0.15"/>
    <n v="450"/>
    <n v="382.5"/>
    <x v="0"/>
    <x v="0"/>
    <x v="5"/>
    <x v="4"/>
    <x v="1"/>
    <x v="2"/>
    <n v="357"/>
    <n v="16"/>
    <x v="417"/>
    <x v="427"/>
    <x v="4"/>
    <x v="3"/>
    <n v="450"/>
    <x v="86"/>
    <n v="382.5"/>
    <x v="425"/>
    <x v="427"/>
    <x v="0"/>
    <x v="4"/>
    <x v="4"/>
    <s v="Wednesday"/>
  </r>
  <r>
    <s v="TXN-00433"/>
    <d v="2024-06-25T00:00:00"/>
    <d v="1899-12-30T13:00:00"/>
    <s v="Simran Mehta"/>
    <s v="CUST0135"/>
    <x v="0"/>
    <x v="3"/>
    <x v="0"/>
    <s v="Hot"/>
    <s v="Small"/>
    <n v="1"/>
    <n v="120"/>
    <n v="0"/>
    <n v="120"/>
    <n v="120"/>
    <x v="3"/>
    <x v="2"/>
    <x v="2"/>
    <x v="5"/>
    <x v="2"/>
    <x v="4"/>
    <n v="433"/>
    <n v="37"/>
    <x v="386"/>
    <x v="428"/>
    <x v="3"/>
    <x v="3"/>
    <n v="120"/>
    <x v="0"/>
    <n v="120"/>
    <x v="392"/>
    <x v="428"/>
    <x v="0"/>
    <x v="4"/>
    <x v="4"/>
    <s v="Tuesday"/>
  </r>
  <r>
    <s v="TXN-00434"/>
    <d v="2024-12-08T00:00:00"/>
    <d v="1899-12-30T07:00:00"/>
    <s v="Neha Verma"/>
    <s v="CUST0105"/>
    <x v="1"/>
    <x v="5"/>
    <x v="2"/>
    <s v="Hot"/>
    <s v="Large"/>
    <n v="2"/>
    <n v="100"/>
    <n v="0"/>
    <n v="200"/>
    <n v="200"/>
    <x v="1"/>
    <x v="3"/>
    <x v="2"/>
    <x v="4"/>
    <x v="1"/>
    <x v="1"/>
    <n v="159"/>
    <n v="33"/>
    <x v="418"/>
    <x v="429"/>
    <x v="4"/>
    <x v="0"/>
    <n v="200"/>
    <x v="0"/>
    <n v="200"/>
    <x v="426"/>
    <x v="429"/>
    <x v="0"/>
    <x v="9"/>
    <x v="9"/>
    <s v="Sunday"/>
  </r>
  <r>
    <s v="TXN-00435"/>
    <d v="2024-12-09T00:00:00"/>
    <d v="1899-12-30T09:30:00"/>
    <s v="Sahil Kaur"/>
    <s v="CUST0214"/>
    <x v="2"/>
    <x v="15"/>
    <x v="4"/>
    <s v="Food"/>
    <s v="Medium"/>
    <n v="1"/>
    <n v="195"/>
    <n v="0.1"/>
    <n v="195"/>
    <n v="175.5"/>
    <x v="0"/>
    <x v="3"/>
    <x v="3"/>
    <x v="7"/>
    <x v="0"/>
    <x v="0"/>
    <n v="370"/>
    <n v="25"/>
    <x v="419"/>
    <x v="430"/>
    <x v="4"/>
    <x v="2"/>
    <n v="195"/>
    <x v="50"/>
    <n v="175.5"/>
    <x v="427"/>
    <x v="430"/>
    <x v="0"/>
    <x v="9"/>
    <x v="9"/>
    <s v="Monday"/>
  </r>
  <r>
    <s v="TXN-00436"/>
    <d v="2024-03-06T00:00:00"/>
    <d v="1899-12-30T20:20:00"/>
    <s v="Nikhil Sharma"/>
    <s v="CUST0200"/>
    <x v="3"/>
    <x v="10"/>
    <x v="1"/>
    <s v="Food"/>
    <s v="Medium"/>
    <n v="1"/>
    <n v="100"/>
    <n v="0"/>
    <n v="100"/>
    <n v="100"/>
    <x v="2"/>
    <x v="2"/>
    <x v="6"/>
    <x v="3"/>
    <x v="1"/>
    <x v="2"/>
    <n v="284"/>
    <n v="17"/>
    <x v="420"/>
    <x v="431"/>
    <x v="2"/>
    <x v="0"/>
    <n v="100"/>
    <x v="0"/>
    <n v="100"/>
    <x v="428"/>
    <x v="431"/>
    <x v="0"/>
    <x v="5"/>
    <x v="5"/>
    <s v="Wednesday"/>
  </r>
  <r>
    <s v="TXN-00437"/>
    <d v="2024-01-10T00:00:00"/>
    <d v="1899-12-30T19:15:00"/>
    <s v="Rohan Singh"/>
    <s v="CUST0222"/>
    <x v="2"/>
    <x v="14"/>
    <x v="3"/>
    <s v="Food"/>
    <s v="Large"/>
    <n v="1"/>
    <n v="190"/>
    <n v="0"/>
    <n v="190"/>
    <n v="190"/>
    <x v="1"/>
    <x v="0"/>
    <x v="1"/>
    <x v="2"/>
    <x v="0"/>
    <x v="4"/>
    <n v="109"/>
    <n v="34"/>
    <x v="421"/>
    <x v="432"/>
    <x v="2"/>
    <x v="0"/>
    <n v="190"/>
    <x v="0"/>
    <n v="190"/>
    <x v="429"/>
    <x v="432"/>
    <x v="0"/>
    <x v="2"/>
    <x v="2"/>
    <s v="Wednesday"/>
  </r>
  <r>
    <s v="TXN-00438"/>
    <d v="2024-09-21T00:00:00"/>
    <d v="1899-12-30T19:30:00"/>
    <s v="Ananya Sharma"/>
    <s v="CUST0256"/>
    <x v="0"/>
    <x v="6"/>
    <x v="0"/>
    <s v="Hot"/>
    <s v="Medium"/>
    <n v="1"/>
    <n v="95"/>
    <n v="0"/>
    <n v="95"/>
    <n v="95"/>
    <x v="0"/>
    <x v="3"/>
    <x v="5"/>
    <x v="0"/>
    <x v="0"/>
    <x v="3"/>
    <n v="241"/>
    <n v="35"/>
    <x v="422"/>
    <x v="433"/>
    <x v="3"/>
    <x v="2"/>
    <n v="95"/>
    <x v="0"/>
    <n v="95"/>
    <x v="430"/>
    <x v="433"/>
    <x v="0"/>
    <x v="0"/>
    <x v="0"/>
    <s v="Saturday"/>
  </r>
  <r>
    <s v="TXN-00439"/>
    <d v="2024-11-18T00:00:00"/>
    <d v="1899-12-30T10:20:00"/>
    <s v="Aditya Mehta"/>
    <s v="CUST0334"/>
    <x v="1"/>
    <x v="1"/>
    <x v="1"/>
    <s v="Food"/>
    <s v="Medium"/>
    <n v="1"/>
    <n v="120"/>
    <n v="0.1"/>
    <n v="120"/>
    <n v="108"/>
    <x v="1"/>
    <x v="0"/>
    <x v="0"/>
    <x v="1"/>
    <x v="0"/>
    <x v="0"/>
    <n v="297"/>
    <n v="49"/>
    <x v="423"/>
    <x v="434"/>
    <x v="0"/>
    <x v="1"/>
    <n v="120"/>
    <x v="2"/>
    <n v="108"/>
    <x v="431"/>
    <x v="434"/>
    <x v="0"/>
    <x v="11"/>
    <x v="11"/>
    <s v="Monday"/>
  </r>
  <r>
    <s v="TXN-00440"/>
    <d v="2024-11-21T00:00:00"/>
    <d v="1899-12-30T11:50:00"/>
    <s v="Aditya Kapoor"/>
    <s v="CUST0142"/>
    <x v="3"/>
    <x v="1"/>
    <x v="1"/>
    <s v="Food"/>
    <s v="Large"/>
    <n v="2"/>
    <n v="130"/>
    <n v="0.05"/>
    <n v="260"/>
    <n v="247"/>
    <x v="2"/>
    <x v="0"/>
    <x v="1"/>
    <x v="6"/>
    <x v="0"/>
    <x v="0"/>
    <n v="441"/>
    <n v="20"/>
    <x v="424"/>
    <x v="435"/>
    <x v="1"/>
    <x v="0"/>
    <n v="260"/>
    <x v="17"/>
    <n v="247"/>
    <x v="432"/>
    <x v="435"/>
    <x v="0"/>
    <x v="11"/>
    <x v="11"/>
    <s v="Thursday"/>
  </r>
  <r>
    <s v="TXN-00441"/>
    <d v="2024-11-07T00:00:00"/>
    <d v="1899-12-30T15:15:00"/>
    <s v="Simran Singh"/>
    <s v="CUST0105"/>
    <x v="3"/>
    <x v="8"/>
    <x v="0"/>
    <s v="Cold"/>
    <s v="Large"/>
    <n v="2"/>
    <n v="165"/>
    <n v="0"/>
    <n v="330"/>
    <n v="330"/>
    <x v="0"/>
    <x v="1"/>
    <x v="4"/>
    <x v="2"/>
    <x v="1"/>
    <x v="0"/>
    <n v="222"/>
    <n v="17"/>
    <x v="425"/>
    <x v="436"/>
    <x v="2"/>
    <x v="4"/>
    <n v="330"/>
    <x v="0"/>
    <n v="330"/>
    <x v="433"/>
    <x v="436"/>
    <x v="0"/>
    <x v="11"/>
    <x v="11"/>
    <s v="Thursday"/>
  </r>
  <r>
    <s v="TXN-00442"/>
    <d v="2024-06-24T00:00:00"/>
    <d v="1899-12-30T13:00:00"/>
    <s v="Simran Gupta"/>
    <s v="CUST0200"/>
    <x v="0"/>
    <x v="6"/>
    <x v="0"/>
    <s v="Hot"/>
    <s v="Large"/>
    <n v="5"/>
    <n v="95"/>
    <n v="0.15"/>
    <n v="475"/>
    <n v="403.75"/>
    <x v="0"/>
    <x v="3"/>
    <x v="2"/>
    <x v="1"/>
    <x v="0"/>
    <x v="2"/>
    <n v="85"/>
    <n v="47"/>
    <x v="426"/>
    <x v="437"/>
    <x v="4"/>
    <x v="0"/>
    <n v="475"/>
    <x v="87"/>
    <n v="403.75"/>
    <x v="434"/>
    <x v="437"/>
    <x v="0"/>
    <x v="4"/>
    <x v="4"/>
    <s v="Monday"/>
  </r>
  <r>
    <s v="TXN-00443"/>
    <d v="2024-02-07T00:00:00"/>
    <d v="1899-12-30T10:10:00"/>
    <s v="Vivaan Verma"/>
    <s v="CUST0393"/>
    <x v="3"/>
    <x v="10"/>
    <x v="1"/>
    <s v="Food"/>
    <s v="Large"/>
    <n v="1"/>
    <n v="105"/>
    <n v="0"/>
    <n v="105"/>
    <n v="105"/>
    <x v="2"/>
    <x v="1"/>
    <x v="1"/>
    <x v="4"/>
    <x v="0"/>
    <x v="2"/>
    <n v="161"/>
    <n v="11"/>
    <x v="427"/>
    <x v="438"/>
    <x v="3"/>
    <x v="4"/>
    <n v="105"/>
    <x v="0"/>
    <n v="105"/>
    <x v="435"/>
    <x v="438"/>
    <x v="0"/>
    <x v="3"/>
    <x v="3"/>
    <s v="Wednesday"/>
  </r>
  <r>
    <s v="TXN-00444"/>
    <d v="2024-09-12T00:00:00"/>
    <d v="1899-12-30T21:10:00"/>
    <s v="Sneha Sharma"/>
    <s v="CUST0384"/>
    <x v="3"/>
    <x v="7"/>
    <x v="0"/>
    <s v="Hot"/>
    <s v="Unknown"/>
    <n v="1"/>
    <n v="145"/>
    <n v="0"/>
    <n v="145"/>
    <n v="145"/>
    <x v="1"/>
    <x v="3"/>
    <x v="1"/>
    <x v="0"/>
    <x v="2"/>
    <x v="0"/>
    <n v="42"/>
    <n v="39"/>
    <x v="428"/>
    <x v="439"/>
    <x v="3"/>
    <x v="0"/>
    <n v="145"/>
    <x v="0"/>
    <n v="145"/>
    <x v="436"/>
    <x v="439"/>
    <x v="0"/>
    <x v="0"/>
    <x v="0"/>
    <s v="Thursday"/>
  </r>
  <r>
    <s v="TXN-00445"/>
    <d v="2024-02-24T00:00:00"/>
    <d v="1899-12-30T19:10:00"/>
    <s v="Arjun Sharma"/>
    <s v="CUST0259"/>
    <x v="2"/>
    <x v="5"/>
    <x v="2"/>
    <s v="Hot"/>
    <s v="Small"/>
    <n v="1"/>
    <n v="95"/>
    <n v="0.1"/>
    <n v="95"/>
    <n v="85.5"/>
    <x v="1"/>
    <x v="3"/>
    <x v="4"/>
    <x v="0"/>
    <x v="0"/>
    <x v="2"/>
    <n v="325"/>
    <n v="40"/>
    <x v="429"/>
    <x v="440"/>
    <x v="2"/>
    <x v="0"/>
    <n v="95"/>
    <x v="10"/>
    <n v="85.5"/>
    <x v="437"/>
    <x v="440"/>
    <x v="0"/>
    <x v="3"/>
    <x v="3"/>
    <s v="Saturday"/>
  </r>
  <r>
    <s v="TXN-00446"/>
    <d v="2024-06-25T00:00:00"/>
    <d v="1899-12-30T16:00:00"/>
    <s v="Vivaan Gupta"/>
    <s v="CUST0286"/>
    <x v="3"/>
    <x v="13"/>
    <x v="2"/>
    <s v="Cold"/>
    <s v="Small"/>
    <n v="2"/>
    <n v="120"/>
    <n v="0.15"/>
    <n v="240"/>
    <n v="204"/>
    <x v="2"/>
    <x v="1"/>
    <x v="0"/>
    <x v="7"/>
    <x v="2"/>
    <x v="2"/>
    <n v="254"/>
    <n v="29"/>
    <x v="430"/>
    <x v="441"/>
    <x v="0"/>
    <x v="0"/>
    <n v="240"/>
    <x v="72"/>
    <n v="204"/>
    <x v="438"/>
    <x v="441"/>
    <x v="0"/>
    <x v="4"/>
    <x v="4"/>
    <s v="Tuesday"/>
  </r>
  <r>
    <s v="TXN-00447"/>
    <d v="2024-03-20T00:00:00"/>
    <d v="1899-12-30T11:45:00"/>
    <s v="Meera Gupta"/>
    <s v="CUST0335"/>
    <x v="3"/>
    <x v="0"/>
    <x v="0"/>
    <s v="Hot"/>
    <s v="Unknown"/>
    <n v="1"/>
    <n v="130"/>
    <n v="0.1"/>
    <n v="130"/>
    <n v="117"/>
    <x v="3"/>
    <x v="3"/>
    <x v="3"/>
    <x v="6"/>
    <x v="0"/>
    <x v="4"/>
    <n v="247"/>
    <n v="35"/>
    <x v="431"/>
    <x v="442"/>
    <x v="0"/>
    <x v="3"/>
    <n v="130"/>
    <x v="17"/>
    <n v="117"/>
    <x v="439"/>
    <x v="442"/>
    <x v="0"/>
    <x v="5"/>
    <x v="5"/>
    <s v="Wednesday"/>
  </r>
  <r>
    <s v="TXN-00448"/>
    <d v="2024-02-25T00:00:00"/>
    <d v="1899-12-30T18:30:00"/>
    <s v="Aarav Malhotra"/>
    <s v="CUST0161"/>
    <x v="2"/>
    <x v="8"/>
    <x v="0"/>
    <s v="Cold"/>
    <s v="Medium"/>
    <n v="2"/>
    <n v="160"/>
    <n v="0"/>
    <n v="320"/>
    <n v="320"/>
    <x v="0"/>
    <x v="0"/>
    <x v="0"/>
    <x v="3"/>
    <x v="1"/>
    <x v="4"/>
    <n v="258"/>
    <n v="12"/>
    <x v="293"/>
    <x v="443"/>
    <x v="4"/>
    <x v="3"/>
    <n v="320"/>
    <x v="0"/>
    <n v="320"/>
    <x v="440"/>
    <x v="443"/>
    <x v="0"/>
    <x v="3"/>
    <x v="3"/>
    <s v="Sunday"/>
  </r>
  <r>
    <s v="TXN-00449"/>
    <d v="2024-01-27T00:00:00"/>
    <d v="1899-12-30T08:30:00"/>
    <s v="Isha Singh"/>
    <s v="CUST0176"/>
    <x v="3"/>
    <x v="9"/>
    <x v="2"/>
    <s v="Hot"/>
    <s v="Medium"/>
    <n v="1"/>
    <n v="85"/>
    <n v="0.05"/>
    <n v="85"/>
    <n v="80.75"/>
    <x v="0"/>
    <x v="3"/>
    <x v="0"/>
    <x v="2"/>
    <x v="1"/>
    <x v="0"/>
    <n v="412"/>
    <n v="13"/>
    <x v="432"/>
    <x v="444"/>
    <x v="3"/>
    <x v="0"/>
    <n v="85"/>
    <x v="12"/>
    <n v="80.75"/>
    <x v="441"/>
    <x v="444"/>
    <x v="0"/>
    <x v="2"/>
    <x v="2"/>
    <s v="Saturday"/>
  </r>
  <r>
    <s v="TXN-00450"/>
    <d v="2024-08-20T00:00:00"/>
    <d v="1899-12-30T16:50:00"/>
    <s v="Meera Bansal"/>
    <s v="CUST0322"/>
    <x v="0"/>
    <x v="8"/>
    <x v="0"/>
    <s v="Cold"/>
    <s v="Small"/>
    <n v="5"/>
    <n v="165"/>
    <n v="0.1"/>
    <n v="825"/>
    <n v="742.5"/>
    <x v="0"/>
    <x v="3"/>
    <x v="3"/>
    <x v="4"/>
    <x v="1"/>
    <x v="4"/>
    <n v="430"/>
    <n v="35"/>
    <x v="433"/>
    <x v="445"/>
    <x v="4"/>
    <x v="0"/>
    <n v="825"/>
    <x v="88"/>
    <n v="742.5"/>
    <x v="442"/>
    <x v="445"/>
    <x v="0"/>
    <x v="1"/>
    <x v="1"/>
    <s v="Tuesday"/>
  </r>
  <r>
    <s v="TXN-00451"/>
    <d v="2024-03-09T00:00:00"/>
    <d v="1899-12-30T14:20:00"/>
    <s v="Ananya Malhotra"/>
    <s v="CUST0117"/>
    <x v="3"/>
    <x v="8"/>
    <x v="0"/>
    <s v="Cold"/>
    <s v="Small"/>
    <n v="3"/>
    <n v="160"/>
    <n v="0.1"/>
    <n v="480"/>
    <n v="432"/>
    <x v="2"/>
    <x v="3"/>
    <x v="1"/>
    <x v="4"/>
    <x v="1"/>
    <x v="3"/>
    <n v="168"/>
    <n v="35"/>
    <x v="434"/>
    <x v="446"/>
    <x v="0"/>
    <x v="0"/>
    <n v="480"/>
    <x v="75"/>
    <n v="432"/>
    <x v="443"/>
    <x v="446"/>
    <x v="0"/>
    <x v="5"/>
    <x v="5"/>
    <s v="Saturday"/>
  </r>
  <r>
    <s v="TXN-00452"/>
    <d v="2024-01-24T00:00:00"/>
    <d v="1899-12-30T14:00:00"/>
    <s v="Neha Kaur"/>
    <s v="CUST0388"/>
    <x v="1"/>
    <x v="15"/>
    <x v="4"/>
    <s v="Food"/>
    <s v="Unknown"/>
    <n v="1"/>
    <n v="195"/>
    <n v="0"/>
    <n v="195"/>
    <n v="195"/>
    <x v="0"/>
    <x v="3"/>
    <x v="5"/>
    <x v="6"/>
    <x v="1"/>
    <x v="1"/>
    <n v="132"/>
    <n v="28"/>
    <x v="435"/>
    <x v="447"/>
    <x v="3"/>
    <x v="0"/>
    <n v="195"/>
    <x v="0"/>
    <n v="195"/>
    <x v="444"/>
    <x v="447"/>
    <x v="0"/>
    <x v="2"/>
    <x v="2"/>
    <s v="Wednesday"/>
  </r>
  <r>
    <s v="TXN-00453"/>
    <d v="2024-06-25T00:00:00"/>
    <d v="1899-12-30T14:15:00"/>
    <s v="Nikhil Verma"/>
    <s v="CUST0282"/>
    <x v="1"/>
    <x v="11"/>
    <x v="0"/>
    <s v="Hot"/>
    <s v="Large"/>
    <n v="1"/>
    <n v="90"/>
    <n v="0"/>
    <n v="90"/>
    <n v="90"/>
    <x v="0"/>
    <x v="1"/>
    <x v="3"/>
    <x v="2"/>
    <x v="0"/>
    <x v="0"/>
    <n v="233"/>
    <n v="43"/>
    <x v="436"/>
    <x v="448"/>
    <x v="2"/>
    <x v="0"/>
    <n v="90"/>
    <x v="0"/>
    <n v="90"/>
    <x v="445"/>
    <x v="448"/>
    <x v="0"/>
    <x v="4"/>
    <x v="4"/>
    <s v="Tuesday"/>
  </r>
  <r>
    <s v="TXN-00454"/>
    <d v="2024-09-25T00:00:00"/>
    <d v="1899-12-30T14:20:00"/>
    <s v="Karan Sharma"/>
    <s v="CUST0257"/>
    <x v="0"/>
    <x v="6"/>
    <x v="0"/>
    <s v="Hot"/>
    <s v="Small"/>
    <n v="1"/>
    <n v="100"/>
    <n v="0"/>
    <n v="100"/>
    <n v="100"/>
    <x v="0"/>
    <x v="3"/>
    <x v="3"/>
    <x v="7"/>
    <x v="2"/>
    <x v="0"/>
    <n v="497"/>
    <n v="60"/>
    <x v="437"/>
    <x v="449"/>
    <x v="4"/>
    <x v="3"/>
    <n v="100"/>
    <x v="0"/>
    <n v="100"/>
    <x v="446"/>
    <x v="449"/>
    <x v="0"/>
    <x v="0"/>
    <x v="0"/>
    <s v="Wednesday"/>
  </r>
  <r>
    <s v="TXN-00455"/>
    <d v="2024-03-08T00:00:00"/>
    <d v="1899-12-30T19:45:00"/>
    <s v="Priya Kapoor"/>
    <s v="CUST0156"/>
    <x v="1"/>
    <x v="9"/>
    <x v="2"/>
    <s v="Hot"/>
    <s v="Small"/>
    <n v="1"/>
    <n v="85"/>
    <n v="0.05"/>
    <n v="85"/>
    <n v="80.75"/>
    <x v="1"/>
    <x v="3"/>
    <x v="0"/>
    <x v="2"/>
    <x v="0"/>
    <x v="4"/>
    <n v="147"/>
    <n v="35"/>
    <x v="438"/>
    <x v="450"/>
    <x v="0"/>
    <x v="3"/>
    <n v="85"/>
    <x v="12"/>
    <n v="80.75"/>
    <x v="447"/>
    <x v="450"/>
    <x v="0"/>
    <x v="5"/>
    <x v="5"/>
    <s v="Friday"/>
  </r>
  <r>
    <s v="TXN-00456"/>
    <d v="2024-02-23T00:00:00"/>
    <d v="1899-12-30T12:00:00"/>
    <s v="Rahul Gupta"/>
    <s v="CUST0275"/>
    <x v="2"/>
    <x v="12"/>
    <x v="1"/>
    <s v="Food"/>
    <s v="Large"/>
    <n v="1"/>
    <n v="90"/>
    <n v="0.05"/>
    <n v="90"/>
    <n v="85.5"/>
    <x v="0"/>
    <x v="3"/>
    <x v="3"/>
    <x v="6"/>
    <x v="0"/>
    <x v="4"/>
    <n v="494"/>
    <n v="44"/>
    <x v="439"/>
    <x v="451"/>
    <x v="0"/>
    <x v="1"/>
    <n v="90"/>
    <x v="31"/>
    <n v="85.5"/>
    <x v="448"/>
    <x v="451"/>
    <x v="0"/>
    <x v="3"/>
    <x v="3"/>
    <s v="Friday"/>
  </r>
  <r>
    <s v="TXN-00457"/>
    <d v="2024-01-10T00:00:00"/>
    <d v="1899-12-30T10:15:00"/>
    <s v="Riya Bansal"/>
    <s v="Unknown"/>
    <x v="1"/>
    <x v="4"/>
    <x v="0"/>
    <s v="Cold"/>
    <s v="Large"/>
    <n v="1"/>
    <n v="150"/>
    <n v="0.1"/>
    <n v="150"/>
    <n v="135"/>
    <x v="0"/>
    <x v="3"/>
    <x v="5"/>
    <x v="1"/>
    <x v="0"/>
    <x v="4"/>
    <n v="121"/>
    <n v="10"/>
    <x v="440"/>
    <x v="452"/>
    <x v="3"/>
    <x v="2"/>
    <n v="150"/>
    <x v="51"/>
    <n v="135"/>
    <x v="449"/>
    <x v="452"/>
    <x v="0"/>
    <x v="2"/>
    <x v="2"/>
    <s v="Wednesday"/>
  </r>
  <r>
    <s v="TXN-00458"/>
    <d v="2024-01-12T00:00:00"/>
    <d v="1899-12-30T15:50:00"/>
    <s v="Sahil Chopra"/>
    <s v="CUST0225"/>
    <x v="2"/>
    <x v="12"/>
    <x v="1"/>
    <s v="Food"/>
    <s v="Medium"/>
    <n v="2"/>
    <n v="90"/>
    <n v="0"/>
    <n v="180"/>
    <n v="180"/>
    <x v="2"/>
    <x v="2"/>
    <x v="6"/>
    <x v="4"/>
    <x v="0"/>
    <x v="3"/>
    <n v="319"/>
    <n v="17"/>
    <x v="441"/>
    <x v="453"/>
    <x v="0"/>
    <x v="3"/>
    <n v="180"/>
    <x v="0"/>
    <n v="180"/>
    <x v="450"/>
    <x v="453"/>
    <x v="0"/>
    <x v="2"/>
    <x v="2"/>
    <s v="Friday"/>
  </r>
  <r>
    <s v="TXN-00459"/>
    <d v="2024-05-01T00:00:00"/>
    <d v="1899-12-30T11:10:00"/>
    <s v="Priya Mehta"/>
    <s v="CUST0324"/>
    <x v="2"/>
    <x v="14"/>
    <x v="3"/>
    <s v="Food"/>
    <s v="Medium"/>
    <n v="1"/>
    <n v="185"/>
    <n v="0"/>
    <n v="185"/>
    <n v="185"/>
    <x v="0"/>
    <x v="0"/>
    <x v="6"/>
    <x v="5"/>
    <x v="1"/>
    <x v="4"/>
    <n v="322"/>
    <n v="20"/>
    <x v="442"/>
    <x v="454"/>
    <x v="1"/>
    <x v="3"/>
    <n v="185"/>
    <x v="0"/>
    <n v="185"/>
    <x v="451"/>
    <x v="454"/>
    <x v="0"/>
    <x v="6"/>
    <x v="6"/>
    <s v="Wednesday"/>
  </r>
  <r>
    <s v="TXN-00460"/>
    <d v="2024-01-18T00:00:00"/>
    <d v="1899-12-30T08:30:00"/>
    <s v="Aarav Chopra"/>
    <s v="CUST0100"/>
    <x v="2"/>
    <x v="2"/>
    <x v="1"/>
    <s v="Food"/>
    <s v="Small"/>
    <n v="2"/>
    <n v="65"/>
    <n v="0.05"/>
    <n v="130"/>
    <n v="123.5"/>
    <x v="2"/>
    <x v="0"/>
    <x v="2"/>
    <x v="7"/>
    <x v="0"/>
    <x v="1"/>
    <n v="271"/>
    <n v="10"/>
    <x v="443"/>
    <x v="139"/>
    <x v="3"/>
    <x v="0"/>
    <n v="130"/>
    <x v="41"/>
    <n v="123.5"/>
    <x v="452"/>
    <x v="139"/>
    <x v="0"/>
    <x v="2"/>
    <x v="2"/>
    <s v="Thursday"/>
  </r>
  <r>
    <s v="TXN-00461"/>
    <d v="2024-03-01T00:00:00"/>
    <d v="1899-12-30T17:30:00"/>
    <s v="Sneha Gupta"/>
    <s v="Unknown"/>
    <x v="2"/>
    <x v="8"/>
    <x v="0"/>
    <s v="Cold"/>
    <s v="Small"/>
    <n v="1"/>
    <n v="160"/>
    <n v="0"/>
    <n v="160"/>
    <n v="160"/>
    <x v="0"/>
    <x v="0"/>
    <x v="2"/>
    <x v="3"/>
    <x v="1"/>
    <x v="4"/>
    <n v="196"/>
    <n v="34"/>
    <x v="444"/>
    <x v="455"/>
    <x v="3"/>
    <x v="3"/>
    <n v="160"/>
    <x v="0"/>
    <n v="160"/>
    <x v="453"/>
    <x v="455"/>
    <x v="0"/>
    <x v="5"/>
    <x v="5"/>
    <s v="Friday"/>
  </r>
  <r>
    <s v="TXN-00462"/>
    <d v="2024-04-15T00:00:00"/>
    <d v="1899-12-30T18:45:00"/>
    <s v="Sneha Verma"/>
    <s v="CUST0222"/>
    <x v="0"/>
    <x v="7"/>
    <x v="0"/>
    <s v="Hot"/>
    <s v="Small"/>
    <n v="1"/>
    <n v="155"/>
    <n v="0"/>
    <n v="155"/>
    <n v="155"/>
    <x v="3"/>
    <x v="2"/>
    <x v="6"/>
    <x v="7"/>
    <x v="0"/>
    <x v="4"/>
    <n v="286"/>
    <n v="38"/>
    <x v="445"/>
    <x v="456"/>
    <x v="3"/>
    <x v="0"/>
    <n v="155"/>
    <x v="0"/>
    <n v="155"/>
    <x v="454"/>
    <x v="456"/>
    <x v="0"/>
    <x v="8"/>
    <x v="8"/>
    <s v="Monday"/>
  </r>
  <r>
    <s v="TXN-00463"/>
    <d v="2024-11-25T00:00:00"/>
    <d v="1899-12-30T09:50:00"/>
    <s v="Vivaan Kaur"/>
    <s v="CUST0276"/>
    <x v="3"/>
    <x v="11"/>
    <x v="0"/>
    <s v="Hot"/>
    <s v="Small"/>
    <n v="1"/>
    <n v="90"/>
    <n v="0"/>
    <n v="90"/>
    <n v="90"/>
    <x v="1"/>
    <x v="0"/>
    <x v="6"/>
    <x v="7"/>
    <x v="0"/>
    <x v="4"/>
    <n v="2"/>
    <n v="53"/>
    <x v="446"/>
    <x v="457"/>
    <x v="3"/>
    <x v="0"/>
    <n v="90"/>
    <x v="0"/>
    <n v="90"/>
    <x v="455"/>
    <x v="457"/>
    <x v="0"/>
    <x v="11"/>
    <x v="11"/>
    <s v="Monday"/>
  </r>
  <r>
    <s v="TXN-00464"/>
    <d v="2024-11-30T00:00:00"/>
    <d v="1899-12-30T20:45:00"/>
    <s v="Arjun Bansal"/>
    <s v="CUST0196"/>
    <x v="2"/>
    <x v="11"/>
    <x v="0"/>
    <s v="Hot"/>
    <s v="Large"/>
    <n v="2"/>
    <n v="100"/>
    <n v="0.1"/>
    <n v="200"/>
    <n v="180"/>
    <x v="3"/>
    <x v="3"/>
    <x v="0"/>
    <x v="4"/>
    <x v="0"/>
    <x v="0"/>
    <n v="126"/>
    <n v="20"/>
    <x v="447"/>
    <x v="458"/>
    <x v="4"/>
    <x v="3"/>
    <n v="200"/>
    <x v="5"/>
    <n v="180"/>
    <x v="456"/>
    <x v="458"/>
    <x v="0"/>
    <x v="11"/>
    <x v="11"/>
    <s v="Saturday"/>
  </r>
  <r>
    <s v="TXN-00465"/>
    <d v="2024-12-16T00:00:00"/>
    <d v="1899-12-30T12:00:00"/>
    <s v="Aarav Gupta"/>
    <s v="CUST0116"/>
    <x v="3"/>
    <x v="15"/>
    <x v="4"/>
    <s v="Food"/>
    <s v="Unknown"/>
    <n v="1"/>
    <n v="200"/>
    <n v="0.15"/>
    <n v="200"/>
    <n v="170"/>
    <x v="2"/>
    <x v="2"/>
    <x v="1"/>
    <x v="0"/>
    <x v="2"/>
    <x v="3"/>
    <n v="480"/>
    <n v="19"/>
    <x v="448"/>
    <x v="459"/>
    <x v="0"/>
    <x v="2"/>
    <n v="200"/>
    <x v="89"/>
    <n v="170"/>
    <x v="457"/>
    <x v="459"/>
    <x v="0"/>
    <x v="9"/>
    <x v="9"/>
    <s v="Monday"/>
  </r>
  <r>
    <s v="TXN-00466"/>
    <d v="2024-09-17T00:00:00"/>
    <d v="1899-12-30T15:45:00"/>
    <s v="Karan Chopra"/>
    <s v="CUST0144"/>
    <x v="3"/>
    <x v="1"/>
    <x v="1"/>
    <s v="Food"/>
    <s v="Small"/>
    <n v="4"/>
    <n v="120"/>
    <n v="0.05"/>
    <n v="480"/>
    <n v="456"/>
    <x v="0"/>
    <x v="0"/>
    <x v="1"/>
    <x v="3"/>
    <x v="0"/>
    <x v="2"/>
    <n v="455"/>
    <n v="17"/>
    <x v="449"/>
    <x v="460"/>
    <x v="3"/>
    <x v="3"/>
    <n v="480"/>
    <x v="27"/>
    <n v="456"/>
    <x v="458"/>
    <x v="460"/>
    <x v="0"/>
    <x v="0"/>
    <x v="0"/>
    <s v="Tuesday"/>
  </r>
  <r>
    <s v="TXN-00467"/>
    <d v="2024-07-04T00:00:00"/>
    <d v="1899-12-30T10:20:00"/>
    <s v="Vivaan Malhotra"/>
    <s v="CUST0265"/>
    <x v="2"/>
    <x v="7"/>
    <x v="0"/>
    <s v="Hot"/>
    <s v="Small"/>
    <n v="1"/>
    <n v="145"/>
    <n v="0.1"/>
    <n v="145"/>
    <n v="130.5"/>
    <x v="2"/>
    <x v="1"/>
    <x v="1"/>
    <x v="3"/>
    <x v="0"/>
    <x v="4"/>
    <n v="244"/>
    <n v="36"/>
    <x v="450"/>
    <x v="461"/>
    <x v="1"/>
    <x v="2"/>
    <n v="145"/>
    <x v="47"/>
    <n v="130.5"/>
    <x v="459"/>
    <x v="461"/>
    <x v="0"/>
    <x v="7"/>
    <x v="7"/>
    <s v="Thursday"/>
  </r>
  <r>
    <s v="TXN-00468"/>
    <d v="2024-04-08T00:00:00"/>
    <d v="1899-12-30T21:50:00"/>
    <s v="Rahul Chopra"/>
    <s v="CUST0103"/>
    <x v="3"/>
    <x v="8"/>
    <x v="0"/>
    <s v="Cold"/>
    <s v="Large"/>
    <n v="1"/>
    <n v="155"/>
    <n v="0"/>
    <n v="155"/>
    <n v="155"/>
    <x v="0"/>
    <x v="1"/>
    <x v="5"/>
    <x v="0"/>
    <x v="0"/>
    <x v="4"/>
    <n v="244"/>
    <n v="57"/>
    <x v="451"/>
    <x v="462"/>
    <x v="3"/>
    <x v="2"/>
    <n v="155"/>
    <x v="0"/>
    <n v="155"/>
    <x v="460"/>
    <x v="462"/>
    <x v="0"/>
    <x v="8"/>
    <x v="8"/>
    <s v="Monday"/>
  </r>
  <r>
    <s v="TXN-00469"/>
    <d v="2024-02-05T00:00:00"/>
    <d v="1899-12-30T13:45:00"/>
    <s v="Sneha Sharma"/>
    <s v="CUST0101"/>
    <x v="3"/>
    <x v="2"/>
    <x v="1"/>
    <s v="Food"/>
    <s v="Large"/>
    <n v="1"/>
    <n v="65"/>
    <n v="0"/>
    <n v="65"/>
    <n v="65"/>
    <x v="3"/>
    <x v="3"/>
    <x v="0"/>
    <x v="2"/>
    <x v="0"/>
    <x v="0"/>
    <n v="280"/>
    <n v="48"/>
    <x v="452"/>
    <x v="463"/>
    <x v="0"/>
    <x v="0"/>
    <n v="65"/>
    <x v="0"/>
    <n v="65"/>
    <x v="461"/>
    <x v="463"/>
    <x v="0"/>
    <x v="3"/>
    <x v="3"/>
    <s v="Monday"/>
  </r>
  <r>
    <s v="TXN-00470"/>
    <d v="2024-06-26T00:00:00"/>
    <d v="1899-12-30T19:45:00"/>
    <s v="Kavya Mehta"/>
    <s v="CUST0102"/>
    <x v="2"/>
    <x v="6"/>
    <x v="0"/>
    <s v="Hot"/>
    <s v="Large"/>
    <n v="1"/>
    <n v="95"/>
    <n v="0.05"/>
    <n v="95"/>
    <n v="90.25"/>
    <x v="2"/>
    <x v="0"/>
    <x v="1"/>
    <x v="5"/>
    <x v="0"/>
    <x v="2"/>
    <n v="200"/>
    <n v="49"/>
    <x v="386"/>
    <x v="464"/>
    <x v="0"/>
    <x v="1"/>
    <n v="95"/>
    <x v="34"/>
    <n v="90.25"/>
    <x v="392"/>
    <x v="464"/>
    <x v="0"/>
    <x v="4"/>
    <x v="4"/>
    <s v="Wednesday"/>
  </r>
  <r>
    <s v="TXN-00471"/>
    <d v="2024-12-02T00:00:00"/>
    <d v="1899-12-30T11:20:00"/>
    <s v="Aarav Malhotra"/>
    <s v="CUST0389"/>
    <x v="3"/>
    <x v="2"/>
    <x v="1"/>
    <s v="Food"/>
    <s v="Medium"/>
    <n v="2"/>
    <n v="70"/>
    <n v="0"/>
    <n v="140"/>
    <n v="140"/>
    <x v="2"/>
    <x v="3"/>
    <x v="2"/>
    <x v="4"/>
    <x v="0"/>
    <x v="3"/>
    <n v="404"/>
    <n v="41"/>
    <x v="453"/>
    <x v="465"/>
    <x v="3"/>
    <x v="4"/>
    <n v="140"/>
    <x v="0"/>
    <n v="140"/>
    <x v="462"/>
    <x v="465"/>
    <x v="0"/>
    <x v="9"/>
    <x v="9"/>
    <s v="Monday"/>
  </r>
  <r>
    <s v="TXN-00472"/>
    <d v="2024-03-07T00:00:00"/>
    <d v="1899-12-30T18:45:00"/>
    <s v="Manish Mehta"/>
    <s v="CUST0120"/>
    <x v="3"/>
    <x v="4"/>
    <x v="0"/>
    <s v="Cold"/>
    <s v="Large"/>
    <n v="2"/>
    <n v="160"/>
    <n v="0.05"/>
    <n v="320"/>
    <n v="304"/>
    <x v="2"/>
    <x v="1"/>
    <x v="5"/>
    <x v="4"/>
    <x v="0"/>
    <x v="1"/>
    <n v="239"/>
    <n v="57"/>
    <x v="454"/>
    <x v="466"/>
    <x v="0"/>
    <x v="3"/>
    <n v="320"/>
    <x v="3"/>
    <n v="304"/>
    <x v="463"/>
    <x v="466"/>
    <x v="0"/>
    <x v="5"/>
    <x v="5"/>
    <s v="Thursday"/>
  </r>
  <r>
    <s v="TXN-00473"/>
    <d v="2024-11-30T00:00:00"/>
    <d v="1899-12-30T21:45:00"/>
    <s v="Vivaan Mehta"/>
    <s v="CUST0364"/>
    <x v="0"/>
    <x v="0"/>
    <x v="0"/>
    <s v="Hot"/>
    <s v="Large"/>
    <n v="2"/>
    <n v="140"/>
    <n v="0.05"/>
    <n v="280"/>
    <n v="266"/>
    <x v="1"/>
    <x v="1"/>
    <x v="2"/>
    <x v="4"/>
    <x v="0"/>
    <x v="2"/>
    <n v="226"/>
    <n v="36"/>
    <x v="455"/>
    <x v="467"/>
    <x v="1"/>
    <x v="0"/>
    <n v="280"/>
    <x v="9"/>
    <n v="266"/>
    <x v="464"/>
    <x v="467"/>
    <x v="0"/>
    <x v="11"/>
    <x v="11"/>
    <s v="Saturday"/>
  </r>
  <r>
    <s v="TXN-00474"/>
    <d v="2024-10-02T00:00:00"/>
    <d v="1899-12-30T21:45:00"/>
    <s v="Meera Kaur"/>
    <s v="CUST0117"/>
    <x v="3"/>
    <x v="11"/>
    <x v="0"/>
    <s v="Hot"/>
    <s v="Large"/>
    <n v="2"/>
    <n v="90"/>
    <n v="0"/>
    <n v="180"/>
    <n v="180"/>
    <x v="3"/>
    <x v="3"/>
    <x v="6"/>
    <x v="2"/>
    <x v="1"/>
    <x v="3"/>
    <n v="244"/>
    <n v="28"/>
    <x v="456"/>
    <x v="468"/>
    <x v="0"/>
    <x v="2"/>
    <n v="180"/>
    <x v="0"/>
    <n v="180"/>
    <x v="465"/>
    <x v="468"/>
    <x v="0"/>
    <x v="10"/>
    <x v="10"/>
    <s v="Wednesday"/>
  </r>
  <r>
    <s v="TXN-00475"/>
    <d v="2024-06-11T00:00:00"/>
    <d v="1899-12-30T07:00:00"/>
    <s v="Sahil Sharma"/>
    <s v="CUST0291"/>
    <x v="2"/>
    <x v="5"/>
    <x v="2"/>
    <s v="Hot"/>
    <s v="Medium"/>
    <n v="1"/>
    <n v="95"/>
    <n v="0"/>
    <n v="95"/>
    <n v="95"/>
    <x v="2"/>
    <x v="0"/>
    <x v="0"/>
    <x v="5"/>
    <x v="2"/>
    <x v="4"/>
    <n v="486"/>
    <n v="43"/>
    <x v="457"/>
    <x v="469"/>
    <x v="3"/>
    <x v="0"/>
    <n v="95"/>
    <x v="0"/>
    <n v="95"/>
    <x v="466"/>
    <x v="469"/>
    <x v="0"/>
    <x v="4"/>
    <x v="4"/>
    <s v="Tuesday"/>
  </r>
  <r>
    <s v="TXN-00476"/>
    <d v="2024-01-13T00:00:00"/>
    <d v="1899-12-30T11:20:00"/>
    <s v="Arjun Bansal"/>
    <s v="CUST0172"/>
    <x v="2"/>
    <x v="2"/>
    <x v="1"/>
    <s v="Food"/>
    <s v="Unknown"/>
    <n v="1"/>
    <n v="70"/>
    <n v="0"/>
    <n v="70"/>
    <n v="70"/>
    <x v="1"/>
    <x v="0"/>
    <x v="5"/>
    <x v="6"/>
    <x v="0"/>
    <x v="2"/>
    <n v="350"/>
    <n v="34"/>
    <x v="458"/>
    <x v="470"/>
    <x v="2"/>
    <x v="3"/>
    <n v="70"/>
    <x v="0"/>
    <n v="70"/>
    <x v="467"/>
    <x v="470"/>
    <x v="0"/>
    <x v="2"/>
    <x v="2"/>
    <s v="Saturday"/>
  </r>
  <r>
    <s v="TXN-00477"/>
    <d v="2024-10-26T00:00:00"/>
    <d v="1899-12-30T20:20:00"/>
    <s v="Nikhil Bansal"/>
    <s v="CUST0202"/>
    <x v="3"/>
    <x v="10"/>
    <x v="1"/>
    <s v="Food"/>
    <s v="Large"/>
    <n v="1"/>
    <n v="105"/>
    <n v="0.05"/>
    <n v="105"/>
    <n v="99.75"/>
    <x v="1"/>
    <x v="0"/>
    <x v="3"/>
    <x v="2"/>
    <x v="0"/>
    <x v="4"/>
    <n v="338"/>
    <n v="34"/>
    <x v="459"/>
    <x v="471"/>
    <x v="4"/>
    <x v="0"/>
    <n v="105"/>
    <x v="40"/>
    <n v="99.75"/>
    <x v="468"/>
    <x v="471"/>
    <x v="0"/>
    <x v="10"/>
    <x v="10"/>
    <s v="Saturday"/>
  </r>
  <r>
    <s v="TXN-00478"/>
    <d v="2024-04-05T00:00:00"/>
    <d v="1899-12-30T20:20:00"/>
    <s v="Arjun Mehta"/>
    <s v="CUST0247"/>
    <x v="2"/>
    <x v="13"/>
    <x v="2"/>
    <s v="Cold"/>
    <s v="Medium"/>
    <n v="2"/>
    <n v="110"/>
    <n v="0.1"/>
    <n v="220"/>
    <n v="198"/>
    <x v="0"/>
    <x v="3"/>
    <x v="2"/>
    <x v="4"/>
    <x v="0"/>
    <x v="2"/>
    <n v="21"/>
    <n v="46"/>
    <x v="460"/>
    <x v="472"/>
    <x v="2"/>
    <x v="0"/>
    <n v="220"/>
    <x v="78"/>
    <n v="198"/>
    <x v="469"/>
    <x v="472"/>
    <x v="0"/>
    <x v="8"/>
    <x v="8"/>
    <s v="Friday"/>
  </r>
  <r>
    <s v="TXN-00479"/>
    <d v="2024-03-13T00:00:00"/>
    <d v="1899-12-30T21:20:00"/>
    <s v="Vivaan Gupta"/>
    <s v="CUST0144"/>
    <x v="2"/>
    <x v="12"/>
    <x v="1"/>
    <s v="Food"/>
    <s v="Large"/>
    <n v="1"/>
    <n v="95"/>
    <n v="0.1"/>
    <n v="95"/>
    <n v="85.5"/>
    <x v="2"/>
    <x v="3"/>
    <x v="2"/>
    <x v="5"/>
    <x v="2"/>
    <x v="3"/>
    <n v="464"/>
    <n v="31"/>
    <x v="461"/>
    <x v="473"/>
    <x v="1"/>
    <x v="3"/>
    <n v="95"/>
    <x v="10"/>
    <n v="85.5"/>
    <x v="470"/>
    <x v="473"/>
    <x v="0"/>
    <x v="5"/>
    <x v="5"/>
    <s v="Wednesday"/>
  </r>
  <r>
    <s v="TXN-00480"/>
    <d v="2024-10-26T00:00:00"/>
    <d v="1899-12-30T17:30:00"/>
    <s v="Rohan Chopra"/>
    <s v="CUST0365"/>
    <x v="0"/>
    <x v="0"/>
    <x v="0"/>
    <s v="Hot"/>
    <s v="Small"/>
    <n v="1"/>
    <n v="135"/>
    <n v="0.1"/>
    <n v="135"/>
    <n v="121.5"/>
    <x v="2"/>
    <x v="3"/>
    <x v="2"/>
    <x v="5"/>
    <x v="0"/>
    <x v="1"/>
    <n v="244"/>
    <n v="25"/>
    <x v="462"/>
    <x v="474"/>
    <x v="0"/>
    <x v="3"/>
    <n v="135"/>
    <x v="46"/>
    <n v="121.5"/>
    <x v="471"/>
    <x v="474"/>
    <x v="0"/>
    <x v="10"/>
    <x v="10"/>
    <s v="Saturday"/>
  </r>
  <r>
    <s v="TXN-00481"/>
    <d v="2024-11-11T00:00:00"/>
    <d v="1899-12-30T13:50:00"/>
    <s v="Riya Malhotra"/>
    <s v="CUST0375"/>
    <x v="3"/>
    <x v="6"/>
    <x v="0"/>
    <s v="Hot"/>
    <s v="Medium"/>
    <n v="1"/>
    <n v="105"/>
    <n v="0.05"/>
    <n v="105"/>
    <n v="99.75"/>
    <x v="2"/>
    <x v="0"/>
    <x v="6"/>
    <x v="1"/>
    <x v="0"/>
    <x v="2"/>
    <n v="159"/>
    <n v="34"/>
    <x v="463"/>
    <x v="475"/>
    <x v="0"/>
    <x v="4"/>
    <n v="105"/>
    <x v="40"/>
    <n v="99.75"/>
    <x v="472"/>
    <x v="475"/>
    <x v="0"/>
    <x v="11"/>
    <x v="11"/>
    <s v="Monday"/>
  </r>
  <r>
    <s v="TXN-00482"/>
    <d v="2024-10-04T00:00:00"/>
    <d v="1899-12-30T12:50:00"/>
    <s v="Meera Bansal"/>
    <s v="CUST0269"/>
    <x v="1"/>
    <x v="7"/>
    <x v="0"/>
    <s v="Hot"/>
    <s v="Small"/>
    <n v="2"/>
    <n v="145"/>
    <n v="0"/>
    <n v="290"/>
    <n v="290"/>
    <x v="3"/>
    <x v="1"/>
    <x v="3"/>
    <x v="3"/>
    <x v="0"/>
    <x v="1"/>
    <n v="277"/>
    <n v="42"/>
    <x v="464"/>
    <x v="476"/>
    <x v="3"/>
    <x v="0"/>
    <n v="290"/>
    <x v="0"/>
    <n v="290"/>
    <x v="473"/>
    <x v="476"/>
    <x v="0"/>
    <x v="10"/>
    <x v="10"/>
    <s v="Friday"/>
  </r>
  <r>
    <s v="TXN-00483"/>
    <d v="2024-01-07T00:00:00"/>
    <d v="1899-12-30T10:00:00"/>
    <s v="Pooja Kaur"/>
    <s v="CUST0392"/>
    <x v="0"/>
    <x v="6"/>
    <x v="0"/>
    <s v="Hot"/>
    <s v="Small"/>
    <n v="3"/>
    <n v="100"/>
    <n v="0"/>
    <n v="300"/>
    <n v="300"/>
    <x v="2"/>
    <x v="2"/>
    <x v="3"/>
    <x v="0"/>
    <x v="1"/>
    <x v="0"/>
    <n v="268"/>
    <n v="37"/>
    <x v="465"/>
    <x v="477"/>
    <x v="3"/>
    <x v="0"/>
    <n v="300"/>
    <x v="0"/>
    <n v="300"/>
    <x v="474"/>
    <x v="477"/>
    <x v="0"/>
    <x v="2"/>
    <x v="2"/>
    <s v="Sunday"/>
  </r>
  <r>
    <s v="TXN-00484"/>
    <d v="2024-04-23T00:00:00"/>
    <d v="1899-12-30T12:50:00"/>
    <s v="Nikhil Mehta"/>
    <s v="CUST0295"/>
    <x v="0"/>
    <x v="9"/>
    <x v="2"/>
    <s v="Hot"/>
    <s v="Large"/>
    <n v="1"/>
    <n v="80"/>
    <n v="0"/>
    <n v="80"/>
    <n v="80"/>
    <x v="2"/>
    <x v="2"/>
    <x v="4"/>
    <x v="1"/>
    <x v="0"/>
    <x v="0"/>
    <n v="97"/>
    <n v="43"/>
    <x v="466"/>
    <x v="478"/>
    <x v="0"/>
    <x v="2"/>
    <n v="80"/>
    <x v="0"/>
    <n v="80"/>
    <x v="475"/>
    <x v="478"/>
    <x v="0"/>
    <x v="8"/>
    <x v="8"/>
    <s v="Tuesday"/>
  </r>
  <r>
    <s v="TXN-00485"/>
    <d v="2024-12-18T00:00:00"/>
    <d v="1899-12-30T09:45:00"/>
    <s v="Ananya Bansal"/>
    <s v="CUST0240"/>
    <x v="2"/>
    <x v="11"/>
    <x v="0"/>
    <s v="Hot"/>
    <s v="Large"/>
    <n v="2"/>
    <n v="90"/>
    <n v="0.05"/>
    <n v="180"/>
    <n v="171"/>
    <x v="3"/>
    <x v="1"/>
    <x v="4"/>
    <x v="7"/>
    <x v="0"/>
    <x v="4"/>
    <n v="159"/>
    <n v="37"/>
    <x v="467"/>
    <x v="479"/>
    <x v="4"/>
    <x v="3"/>
    <n v="180"/>
    <x v="13"/>
    <n v="171"/>
    <x v="476"/>
    <x v="479"/>
    <x v="0"/>
    <x v="9"/>
    <x v="9"/>
    <s v="Wednesday"/>
  </r>
  <r>
    <s v="TXN-00486"/>
    <d v="2024-07-25T00:00:00"/>
    <d v="1899-12-30T15:20:00"/>
    <s v="Manish Verma"/>
    <s v="CUST0100"/>
    <x v="1"/>
    <x v="0"/>
    <x v="0"/>
    <s v="Hot"/>
    <s v="Medium"/>
    <n v="1"/>
    <n v="125"/>
    <n v="0.05"/>
    <n v="125"/>
    <n v="118.75"/>
    <x v="3"/>
    <x v="3"/>
    <x v="6"/>
    <x v="4"/>
    <x v="1"/>
    <x v="3"/>
    <n v="252"/>
    <n v="35"/>
    <x v="468"/>
    <x v="480"/>
    <x v="2"/>
    <x v="4"/>
    <n v="125"/>
    <x v="85"/>
    <n v="118.75"/>
    <x v="477"/>
    <x v="480"/>
    <x v="0"/>
    <x v="7"/>
    <x v="7"/>
    <s v="Thursday"/>
  </r>
  <r>
    <s v="TXN-00487"/>
    <d v="2024-06-19T00:00:00"/>
    <d v="1899-12-30T19:10:00"/>
    <s v="Rahul Malhotra"/>
    <s v="CUST0165"/>
    <x v="2"/>
    <x v="4"/>
    <x v="0"/>
    <s v="Cold"/>
    <s v="Medium"/>
    <n v="5"/>
    <n v="145"/>
    <n v="0.1"/>
    <n v="725"/>
    <n v="652.5"/>
    <x v="0"/>
    <x v="3"/>
    <x v="6"/>
    <x v="4"/>
    <x v="0"/>
    <x v="0"/>
    <n v="205"/>
    <n v="23"/>
    <x v="469"/>
    <x v="481"/>
    <x v="3"/>
    <x v="0"/>
    <n v="725"/>
    <x v="90"/>
    <n v="652.5"/>
    <x v="478"/>
    <x v="481"/>
    <x v="0"/>
    <x v="4"/>
    <x v="4"/>
    <s v="Wednesday"/>
  </r>
  <r>
    <s v="TXN-00488"/>
    <d v="2024-06-01T00:00:00"/>
    <d v="1899-12-30T07:20:00"/>
    <s v="Rohan Kaur"/>
    <s v="CUST0109"/>
    <x v="0"/>
    <x v="3"/>
    <x v="0"/>
    <s v="Hot"/>
    <s v="Large"/>
    <n v="2"/>
    <n v="130"/>
    <n v="0"/>
    <n v="260"/>
    <n v="260"/>
    <x v="1"/>
    <x v="0"/>
    <x v="6"/>
    <x v="7"/>
    <x v="0"/>
    <x v="2"/>
    <n v="154"/>
    <n v="48"/>
    <x v="130"/>
    <x v="482"/>
    <x v="0"/>
    <x v="2"/>
    <n v="260"/>
    <x v="0"/>
    <n v="260"/>
    <x v="479"/>
    <x v="482"/>
    <x v="0"/>
    <x v="4"/>
    <x v="4"/>
    <s v="Saturday"/>
  </r>
  <r>
    <s v="TXN-00489"/>
    <d v="2024-11-03T00:00:00"/>
    <d v="1899-12-30T10:10:00"/>
    <s v="Kavya Kaur"/>
    <s v="CUST0251"/>
    <x v="3"/>
    <x v="3"/>
    <x v="0"/>
    <s v="Hot"/>
    <s v="Small"/>
    <n v="1"/>
    <n v="120"/>
    <n v="0.1"/>
    <n v="120"/>
    <n v="108"/>
    <x v="0"/>
    <x v="3"/>
    <x v="5"/>
    <x v="4"/>
    <x v="0"/>
    <x v="0"/>
    <n v="271"/>
    <n v="40"/>
    <x v="470"/>
    <x v="483"/>
    <x v="0"/>
    <x v="2"/>
    <n v="120"/>
    <x v="2"/>
    <n v="108"/>
    <x v="480"/>
    <x v="483"/>
    <x v="0"/>
    <x v="11"/>
    <x v="11"/>
    <s v="Sunday"/>
  </r>
  <r>
    <s v="TXN-00490"/>
    <d v="2024-06-10T00:00:00"/>
    <d v="1899-12-30T21:20:00"/>
    <s v="Nikhil Verma"/>
    <s v="CUST0271"/>
    <x v="3"/>
    <x v="10"/>
    <x v="1"/>
    <s v="Food"/>
    <s v="Small"/>
    <n v="1"/>
    <n v="95"/>
    <n v="0.05"/>
    <n v="95"/>
    <n v="90.25"/>
    <x v="2"/>
    <x v="3"/>
    <x v="6"/>
    <x v="3"/>
    <x v="1"/>
    <x v="0"/>
    <n v="36"/>
    <n v="35"/>
    <x v="471"/>
    <x v="484"/>
    <x v="3"/>
    <x v="4"/>
    <n v="95"/>
    <x v="34"/>
    <n v="90.25"/>
    <x v="481"/>
    <x v="484"/>
    <x v="0"/>
    <x v="4"/>
    <x v="4"/>
    <s v="Monday"/>
  </r>
  <r>
    <s v="TXN-00491"/>
    <d v="2024-08-22T00:00:00"/>
    <d v="1899-12-30T20:15:00"/>
    <s v="Manish Malhotra"/>
    <s v="CUST0300"/>
    <x v="2"/>
    <x v="14"/>
    <x v="3"/>
    <s v="Food"/>
    <s v="Medium"/>
    <n v="1"/>
    <n v="185"/>
    <n v="0.15"/>
    <n v="185"/>
    <n v="157.25"/>
    <x v="2"/>
    <x v="1"/>
    <x v="6"/>
    <x v="4"/>
    <x v="1"/>
    <x v="4"/>
    <n v="416"/>
    <n v="43"/>
    <x v="472"/>
    <x v="485"/>
    <x v="2"/>
    <x v="3"/>
    <n v="185"/>
    <x v="61"/>
    <n v="157.25"/>
    <x v="482"/>
    <x v="485"/>
    <x v="0"/>
    <x v="1"/>
    <x v="1"/>
    <s v="Thursday"/>
  </r>
  <r>
    <s v="TXN-00492"/>
    <d v="2024-12-06T00:00:00"/>
    <d v="1899-12-30T21:30:00"/>
    <s v="Pooja Singh"/>
    <s v="CUST0189"/>
    <x v="2"/>
    <x v="12"/>
    <x v="1"/>
    <s v="Food"/>
    <s v="Medium"/>
    <n v="3"/>
    <n v="95"/>
    <n v="0"/>
    <n v="285"/>
    <n v="285"/>
    <x v="0"/>
    <x v="0"/>
    <x v="5"/>
    <x v="5"/>
    <x v="1"/>
    <x v="4"/>
    <n v="193"/>
    <n v="34"/>
    <x v="473"/>
    <x v="486"/>
    <x v="0"/>
    <x v="0"/>
    <n v="285"/>
    <x v="0"/>
    <n v="285"/>
    <x v="483"/>
    <x v="486"/>
    <x v="0"/>
    <x v="9"/>
    <x v="9"/>
    <s v="Friday"/>
  </r>
  <r>
    <s v="TXN-00493"/>
    <d v="2024-07-03T00:00:00"/>
    <d v="1899-12-30T20:50:00"/>
    <s v="Aarav Verma"/>
    <s v="Unknown"/>
    <x v="2"/>
    <x v="13"/>
    <x v="2"/>
    <s v="Cold"/>
    <s v="Medium"/>
    <n v="2"/>
    <n v="110"/>
    <n v="0"/>
    <n v="220"/>
    <n v="220"/>
    <x v="0"/>
    <x v="0"/>
    <x v="4"/>
    <x v="0"/>
    <x v="0"/>
    <x v="3"/>
    <n v="244"/>
    <n v="38"/>
    <x v="474"/>
    <x v="487"/>
    <x v="0"/>
    <x v="2"/>
    <n v="220"/>
    <x v="0"/>
    <n v="220"/>
    <x v="484"/>
    <x v="487"/>
    <x v="0"/>
    <x v="7"/>
    <x v="7"/>
    <s v="Wednesday"/>
  </r>
  <r>
    <s v="TXN-00494"/>
    <d v="2024-01-13T00:00:00"/>
    <d v="1899-12-30T08:45:00"/>
    <s v="Pooja Sharma"/>
    <s v="CUST0273"/>
    <x v="0"/>
    <x v="12"/>
    <x v="1"/>
    <s v="Food"/>
    <s v="Large"/>
    <n v="1"/>
    <n v="95"/>
    <n v="0.1"/>
    <n v="95"/>
    <n v="85.5"/>
    <x v="0"/>
    <x v="0"/>
    <x v="5"/>
    <x v="1"/>
    <x v="0"/>
    <x v="1"/>
    <n v="387"/>
    <n v="59"/>
    <x v="475"/>
    <x v="488"/>
    <x v="1"/>
    <x v="2"/>
    <n v="95"/>
    <x v="10"/>
    <n v="85.5"/>
    <x v="485"/>
    <x v="488"/>
    <x v="0"/>
    <x v="2"/>
    <x v="2"/>
    <s v="Saturday"/>
  </r>
  <r>
    <s v="TXN-00495"/>
    <d v="2024-07-17T00:00:00"/>
    <d v="1899-12-30T09:50:00"/>
    <s v="Sahil Gupta"/>
    <s v="CUST0393"/>
    <x v="3"/>
    <x v="14"/>
    <x v="3"/>
    <s v="Food"/>
    <s v="Large"/>
    <n v="1"/>
    <n v="175"/>
    <n v="0"/>
    <n v="175"/>
    <n v="175"/>
    <x v="0"/>
    <x v="3"/>
    <x v="4"/>
    <x v="5"/>
    <x v="0"/>
    <x v="1"/>
    <n v="112"/>
    <n v="15"/>
    <x v="476"/>
    <x v="489"/>
    <x v="1"/>
    <x v="0"/>
    <n v="175"/>
    <x v="0"/>
    <n v="175"/>
    <x v="486"/>
    <x v="489"/>
    <x v="0"/>
    <x v="7"/>
    <x v="7"/>
    <s v="Wednesday"/>
  </r>
  <r>
    <s v="TXN-00496"/>
    <d v="2024-03-03T00:00:00"/>
    <d v="1899-12-30T09:30:00"/>
    <s v="Arjun Singh"/>
    <s v="CUST0125"/>
    <x v="3"/>
    <x v="12"/>
    <x v="1"/>
    <s v="Food"/>
    <s v="Small"/>
    <n v="3"/>
    <n v="90"/>
    <n v="0"/>
    <n v="270"/>
    <n v="270"/>
    <x v="3"/>
    <x v="0"/>
    <x v="6"/>
    <x v="3"/>
    <x v="0"/>
    <x v="2"/>
    <n v="216"/>
    <n v="13"/>
    <x v="477"/>
    <x v="490"/>
    <x v="3"/>
    <x v="4"/>
    <n v="270"/>
    <x v="0"/>
    <n v="270"/>
    <x v="487"/>
    <x v="490"/>
    <x v="0"/>
    <x v="5"/>
    <x v="5"/>
    <s v="Sunday"/>
  </r>
  <r>
    <s v="TXN-00497"/>
    <d v="2024-06-25T00:00:00"/>
    <d v="1899-12-30T21:10:00"/>
    <s v="Meera Kapoor"/>
    <s v="CUST0268"/>
    <x v="3"/>
    <x v="14"/>
    <x v="3"/>
    <s v="Food"/>
    <s v="Unknown"/>
    <n v="1"/>
    <n v="185"/>
    <n v="0.05"/>
    <n v="185"/>
    <n v="175.75"/>
    <x v="2"/>
    <x v="0"/>
    <x v="3"/>
    <x v="5"/>
    <x v="1"/>
    <x v="2"/>
    <n v="172"/>
    <n v="12"/>
    <x v="478"/>
    <x v="491"/>
    <x v="3"/>
    <x v="0"/>
    <n v="185"/>
    <x v="73"/>
    <n v="175.75"/>
    <x v="488"/>
    <x v="491"/>
    <x v="0"/>
    <x v="4"/>
    <x v="4"/>
    <s v="Tuesday"/>
  </r>
  <r>
    <s v="TXN-00498"/>
    <d v="2024-12-27T00:00:00"/>
    <d v="1899-12-30T20:15:00"/>
    <s v="Meera Sharma"/>
    <s v="Unknown"/>
    <x v="3"/>
    <x v="1"/>
    <x v="1"/>
    <s v="Food"/>
    <s v="Medium"/>
    <n v="4"/>
    <n v="125"/>
    <n v="0"/>
    <n v="500"/>
    <n v="500"/>
    <x v="0"/>
    <x v="1"/>
    <x v="5"/>
    <x v="1"/>
    <x v="0"/>
    <x v="2"/>
    <n v="293"/>
    <n v="13"/>
    <x v="479"/>
    <x v="492"/>
    <x v="1"/>
    <x v="0"/>
    <n v="500"/>
    <x v="0"/>
    <n v="500"/>
    <x v="489"/>
    <x v="492"/>
    <x v="0"/>
    <x v="9"/>
    <x v="9"/>
    <s v="Friday"/>
  </r>
  <r>
    <s v="TXN-00499"/>
    <d v="2024-06-25T00:00:00"/>
    <d v="1899-12-30T09:30:00"/>
    <s v="Isha Sharma"/>
    <s v="Unknown"/>
    <x v="2"/>
    <x v="6"/>
    <x v="0"/>
    <s v="Hot"/>
    <s v="Large"/>
    <n v="1"/>
    <n v="95"/>
    <n v="0.05"/>
    <n v="95"/>
    <n v="90.25"/>
    <x v="3"/>
    <x v="2"/>
    <x v="5"/>
    <x v="2"/>
    <x v="2"/>
    <x v="4"/>
    <n v="285"/>
    <n v="37"/>
    <x v="411"/>
    <x v="493"/>
    <x v="4"/>
    <x v="4"/>
    <n v="95"/>
    <x v="34"/>
    <n v="90.25"/>
    <x v="419"/>
    <x v="493"/>
    <x v="0"/>
    <x v="4"/>
    <x v="4"/>
    <s v="Tuesday"/>
  </r>
  <r>
    <s v="TXN-00500"/>
    <d v="2024-03-18T00:00:00"/>
    <d v="1899-12-30T21:10:00"/>
    <s v="Pooja Singh"/>
    <s v="CUST0339"/>
    <x v="2"/>
    <x v="0"/>
    <x v="0"/>
    <s v="Hot"/>
    <s v="Small"/>
    <n v="1"/>
    <n v="125"/>
    <n v="0.1"/>
    <n v="125"/>
    <n v="112.5"/>
    <x v="3"/>
    <x v="0"/>
    <x v="3"/>
    <x v="7"/>
    <x v="1"/>
    <x v="0"/>
    <n v="468"/>
    <n v="39"/>
    <x v="480"/>
    <x v="494"/>
    <x v="0"/>
    <x v="1"/>
    <n v="125"/>
    <x v="91"/>
    <n v="112.5"/>
    <x v="490"/>
    <x v="494"/>
    <x v="0"/>
    <x v="5"/>
    <x v="5"/>
    <s v="Monday"/>
  </r>
  <r>
    <s v="TXN-00501"/>
    <d v="2024-04-11T00:00:00"/>
    <d v="1899-12-30T15:20:00"/>
    <s v="Simran Kapoor"/>
    <s v="CUST0223"/>
    <x v="3"/>
    <x v="9"/>
    <x v="2"/>
    <s v="Hot"/>
    <s v="Large"/>
    <n v="2"/>
    <n v="75"/>
    <n v="0"/>
    <n v="150"/>
    <n v="150"/>
    <x v="2"/>
    <x v="3"/>
    <x v="1"/>
    <x v="0"/>
    <x v="1"/>
    <x v="0"/>
    <n v="466"/>
    <n v="15"/>
    <x v="481"/>
    <x v="495"/>
    <x v="3"/>
    <x v="0"/>
    <n v="150"/>
    <x v="0"/>
    <n v="150"/>
    <x v="491"/>
    <x v="495"/>
    <x v="0"/>
    <x v="8"/>
    <x v="8"/>
    <s v="Thursday"/>
  </r>
  <r>
    <s v="TXN-00502"/>
    <d v="2024-01-16T00:00:00"/>
    <d v="1899-12-30T18:45:00"/>
    <s v="Simran Kaur"/>
    <s v="CUST0218"/>
    <x v="2"/>
    <x v="1"/>
    <x v="1"/>
    <s v="Food"/>
    <s v="Small"/>
    <n v="2"/>
    <n v="120"/>
    <n v="0.15"/>
    <n v="240"/>
    <n v="204"/>
    <x v="0"/>
    <x v="0"/>
    <x v="2"/>
    <x v="1"/>
    <x v="0"/>
    <x v="2"/>
    <n v="365"/>
    <n v="55"/>
    <x v="482"/>
    <x v="496"/>
    <x v="2"/>
    <x v="4"/>
    <n v="240"/>
    <x v="72"/>
    <n v="204"/>
    <x v="492"/>
    <x v="496"/>
    <x v="0"/>
    <x v="2"/>
    <x v="2"/>
    <s v="Tuesday"/>
  </r>
  <r>
    <s v="TXN-00503"/>
    <d v="2024-01-31T00:00:00"/>
    <d v="1899-12-30T14:00:00"/>
    <s v="Neha Chopra"/>
    <s v="CUST0386"/>
    <x v="3"/>
    <x v="3"/>
    <x v="0"/>
    <s v="Hot"/>
    <s v="Large"/>
    <n v="1"/>
    <n v="130"/>
    <n v="0.1"/>
    <n v="130"/>
    <n v="117"/>
    <x v="0"/>
    <x v="3"/>
    <x v="0"/>
    <x v="6"/>
    <x v="2"/>
    <x v="2"/>
    <n v="176"/>
    <n v="52"/>
    <x v="114"/>
    <x v="497"/>
    <x v="3"/>
    <x v="2"/>
    <n v="130"/>
    <x v="17"/>
    <n v="117"/>
    <x v="493"/>
    <x v="497"/>
    <x v="0"/>
    <x v="2"/>
    <x v="2"/>
    <s v="Wednesday"/>
  </r>
  <r>
    <s v="TXN-00504"/>
    <d v="2024-03-06T00:00:00"/>
    <d v="1899-12-30T16:00:00"/>
    <s v="Isha Chopra"/>
    <s v="CUST0258"/>
    <x v="3"/>
    <x v="15"/>
    <x v="4"/>
    <s v="Food"/>
    <s v="Unknown"/>
    <n v="1"/>
    <n v="190"/>
    <n v="0"/>
    <n v="190"/>
    <n v="190"/>
    <x v="0"/>
    <x v="1"/>
    <x v="2"/>
    <x v="4"/>
    <x v="0"/>
    <x v="2"/>
    <n v="445"/>
    <n v="28"/>
    <x v="483"/>
    <x v="498"/>
    <x v="3"/>
    <x v="2"/>
    <n v="190"/>
    <x v="0"/>
    <n v="190"/>
    <x v="494"/>
    <x v="498"/>
    <x v="0"/>
    <x v="5"/>
    <x v="5"/>
    <s v="Wednesday"/>
  </r>
  <r>
    <s v="TXN-00505"/>
    <d v="2024-04-01T00:00:00"/>
    <d v="1899-12-30T07:00:00"/>
    <s v="Isha Bansal"/>
    <s v="CUST0266"/>
    <x v="2"/>
    <x v="7"/>
    <x v="0"/>
    <s v="Hot"/>
    <s v="Large"/>
    <n v="2"/>
    <n v="145"/>
    <n v="0.05"/>
    <n v="290"/>
    <n v="275.5"/>
    <x v="2"/>
    <x v="1"/>
    <x v="0"/>
    <x v="5"/>
    <x v="0"/>
    <x v="2"/>
    <n v="244"/>
    <n v="20"/>
    <x v="484"/>
    <x v="499"/>
    <x v="0"/>
    <x v="2"/>
    <n v="290"/>
    <x v="47"/>
    <n v="275.5"/>
    <x v="495"/>
    <x v="499"/>
    <x v="0"/>
    <x v="8"/>
    <x v="8"/>
    <s v="Monday"/>
  </r>
  <r>
    <s v="TXN-00506"/>
    <d v="2024-12-23T00:00:00"/>
    <d v="1899-12-30T21:15:00"/>
    <s v="Aditya Gupta"/>
    <s v="CUST0368"/>
    <x v="1"/>
    <x v="1"/>
    <x v="1"/>
    <s v="Food"/>
    <s v="Large"/>
    <n v="2"/>
    <n v="115"/>
    <n v="0.1"/>
    <n v="230"/>
    <n v="207"/>
    <x v="0"/>
    <x v="3"/>
    <x v="6"/>
    <x v="4"/>
    <x v="0"/>
    <x v="3"/>
    <n v="329"/>
    <n v="46"/>
    <x v="485"/>
    <x v="500"/>
    <x v="3"/>
    <x v="1"/>
    <n v="230"/>
    <x v="48"/>
    <n v="207"/>
    <x v="496"/>
    <x v="500"/>
    <x v="0"/>
    <x v="9"/>
    <x v="9"/>
    <s v="Monday"/>
  </r>
  <r>
    <s v="TXN-00507"/>
    <d v="2024-12-08T00:00:00"/>
    <d v="1899-12-30T07:30:00"/>
    <s v="Meera Chopra"/>
    <s v="CUST0272"/>
    <x v="2"/>
    <x v="7"/>
    <x v="0"/>
    <s v="Hot"/>
    <s v="Large"/>
    <n v="1"/>
    <n v="140"/>
    <n v="0.1"/>
    <n v="140"/>
    <n v="126"/>
    <x v="0"/>
    <x v="0"/>
    <x v="2"/>
    <x v="6"/>
    <x v="2"/>
    <x v="2"/>
    <n v="38"/>
    <n v="46"/>
    <x v="486"/>
    <x v="501"/>
    <x v="0"/>
    <x v="2"/>
    <n v="140"/>
    <x v="9"/>
    <n v="126"/>
    <x v="497"/>
    <x v="501"/>
    <x v="0"/>
    <x v="9"/>
    <x v="9"/>
    <s v="Sunday"/>
  </r>
  <r>
    <s v="TXN-00508"/>
    <d v="2024-03-18T00:00:00"/>
    <d v="1899-12-30T14:30:00"/>
    <s v="Kavya Malhotra"/>
    <s v="CUST0233"/>
    <x v="2"/>
    <x v="3"/>
    <x v="0"/>
    <s v="Hot"/>
    <s v="Medium"/>
    <n v="4"/>
    <n v="120"/>
    <n v="0.1"/>
    <n v="480"/>
    <n v="432"/>
    <x v="2"/>
    <x v="0"/>
    <x v="1"/>
    <x v="5"/>
    <x v="0"/>
    <x v="3"/>
    <n v="83"/>
    <n v="34"/>
    <x v="487"/>
    <x v="502"/>
    <x v="1"/>
    <x v="0"/>
    <n v="480"/>
    <x v="75"/>
    <n v="432"/>
    <x v="498"/>
    <x v="502"/>
    <x v="0"/>
    <x v="5"/>
    <x v="5"/>
    <s v="Monday"/>
  </r>
  <r>
    <s v="TXN-00509"/>
    <d v="2024-04-01T00:00:00"/>
    <d v="1899-12-30T21:20:00"/>
    <s v="Unknown"/>
    <s v="CUST0263"/>
    <x v="3"/>
    <x v="8"/>
    <x v="0"/>
    <s v="Cold"/>
    <s v="Small"/>
    <n v="2"/>
    <n v="170"/>
    <n v="0"/>
    <n v="340"/>
    <n v="340"/>
    <x v="1"/>
    <x v="2"/>
    <x v="2"/>
    <x v="0"/>
    <x v="0"/>
    <x v="4"/>
    <n v="498"/>
    <n v="37"/>
    <x v="488"/>
    <x v="503"/>
    <x v="3"/>
    <x v="1"/>
    <n v="340"/>
    <x v="0"/>
    <n v="340"/>
    <x v="499"/>
    <x v="503"/>
    <x v="0"/>
    <x v="8"/>
    <x v="8"/>
    <s v="Monday"/>
  </r>
  <r>
    <s v="TXN-00510"/>
    <d v="2024-10-03T00:00:00"/>
    <d v="1899-12-30T15:20:00"/>
    <s v="Sneha Kapoor"/>
    <s v="CUST0286"/>
    <x v="3"/>
    <x v="4"/>
    <x v="0"/>
    <s v="Cold"/>
    <s v="Small"/>
    <n v="1"/>
    <n v="150"/>
    <n v="0.1"/>
    <n v="150"/>
    <n v="135"/>
    <x v="3"/>
    <x v="0"/>
    <x v="6"/>
    <x v="0"/>
    <x v="0"/>
    <x v="2"/>
    <n v="244"/>
    <n v="34"/>
    <x v="489"/>
    <x v="504"/>
    <x v="0"/>
    <x v="2"/>
    <n v="150"/>
    <x v="51"/>
    <n v="135"/>
    <x v="500"/>
    <x v="504"/>
    <x v="0"/>
    <x v="10"/>
    <x v="10"/>
    <s v="Thursday"/>
  </r>
  <r>
    <s v="TXN-00511"/>
    <d v="2024-03-27T00:00:00"/>
    <d v="1899-12-30T18:00:00"/>
    <s v="Sahil Chopra"/>
    <s v="Unknown"/>
    <x v="3"/>
    <x v="7"/>
    <x v="0"/>
    <s v="Hot"/>
    <s v="Small"/>
    <n v="2"/>
    <n v="150"/>
    <n v="0"/>
    <n v="300"/>
    <n v="300"/>
    <x v="2"/>
    <x v="3"/>
    <x v="5"/>
    <x v="3"/>
    <x v="0"/>
    <x v="2"/>
    <n v="158"/>
    <n v="35"/>
    <x v="490"/>
    <x v="505"/>
    <x v="2"/>
    <x v="1"/>
    <n v="300"/>
    <x v="0"/>
    <n v="300"/>
    <x v="501"/>
    <x v="505"/>
    <x v="0"/>
    <x v="5"/>
    <x v="5"/>
    <s v="Wednesday"/>
  </r>
  <r>
    <s v="TXN-00512"/>
    <d v="2024-05-09T00:00:00"/>
    <d v="1899-12-30T17:50:00"/>
    <s v="Priya Chopra"/>
    <s v="CUST0197"/>
    <x v="2"/>
    <x v="6"/>
    <x v="0"/>
    <s v="Hot"/>
    <s v="Unknown"/>
    <n v="1"/>
    <n v="100"/>
    <n v="0.1"/>
    <n v="100"/>
    <n v="90"/>
    <x v="2"/>
    <x v="3"/>
    <x v="0"/>
    <x v="5"/>
    <x v="0"/>
    <x v="1"/>
    <n v="126"/>
    <n v="25"/>
    <x v="491"/>
    <x v="506"/>
    <x v="0"/>
    <x v="4"/>
    <n v="100"/>
    <x v="4"/>
    <n v="90"/>
    <x v="502"/>
    <x v="506"/>
    <x v="0"/>
    <x v="6"/>
    <x v="6"/>
    <s v="Thursday"/>
  </r>
  <r>
    <s v="TXN-00513"/>
    <d v="2024-04-08T00:00:00"/>
    <d v="1899-12-30T18:45:00"/>
    <s v="Karan Singh"/>
    <s v="Unknown"/>
    <x v="1"/>
    <x v="10"/>
    <x v="1"/>
    <s v="Food"/>
    <s v="Large"/>
    <n v="1"/>
    <n v="110"/>
    <n v="0.05"/>
    <n v="110"/>
    <n v="104.5"/>
    <x v="2"/>
    <x v="0"/>
    <x v="3"/>
    <x v="5"/>
    <x v="0"/>
    <x v="2"/>
    <n v="263"/>
    <n v="34"/>
    <x v="492"/>
    <x v="507"/>
    <x v="3"/>
    <x v="1"/>
    <n v="110"/>
    <x v="52"/>
    <n v="104.5"/>
    <x v="503"/>
    <x v="507"/>
    <x v="0"/>
    <x v="8"/>
    <x v="8"/>
    <s v="Monday"/>
  </r>
  <r>
    <s v="TXN-00514"/>
    <d v="2024-06-23T00:00:00"/>
    <d v="1899-12-30T18:15:00"/>
    <s v="Manish Malhotra"/>
    <s v="CUST0354"/>
    <x v="3"/>
    <x v="8"/>
    <x v="0"/>
    <s v="Cold"/>
    <s v="Small"/>
    <n v="4"/>
    <n v="155"/>
    <n v="0.1"/>
    <n v="620"/>
    <n v="558"/>
    <x v="1"/>
    <x v="2"/>
    <x v="0"/>
    <x v="4"/>
    <x v="2"/>
    <x v="3"/>
    <n v="145"/>
    <n v="13"/>
    <x v="493"/>
    <x v="508"/>
    <x v="3"/>
    <x v="4"/>
    <n v="620"/>
    <x v="92"/>
    <n v="558"/>
    <x v="504"/>
    <x v="508"/>
    <x v="0"/>
    <x v="4"/>
    <x v="4"/>
    <s v="Sunday"/>
  </r>
  <r>
    <s v="TXN-00515"/>
    <d v="2024-12-28T00:00:00"/>
    <d v="1899-12-30T16:00:00"/>
    <s v="Priya Singh"/>
    <s v="CUST0163"/>
    <x v="2"/>
    <x v="13"/>
    <x v="2"/>
    <s v="Cold"/>
    <s v="Large"/>
    <n v="2"/>
    <n v="115"/>
    <n v="0.1"/>
    <n v="230"/>
    <n v="207"/>
    <x v="1"/>
    <x v="2"/>
    <x v="6"/>
    <x v="5"/>
    <x v="0"/>
    <x v="4"/>
    <n v="412"/>
    <n v="43"/>
    <x v="494"/>
    <x v="509"/>
    <x v="1"/>
    <x v="0"/>
    <n v="230"/>
    <x v="48"/>
    <n v="207"/>
    <x v="505"/>
    <x v="509"/>
    <x v="0"/>
    <x v="9"/>
    <x v="9"/>
    <s v="Saturday"/>
  </r>
  <r>
    <s v="TXN-00516"/>
    <d v="2024-04-16T00:00:00"/>
    <d v="1899-12-30T20:10:00"/>
    <s v="Simran Chopra"/>
    <s v="CUST0366"/>
    <x v="2"/>
    <x v="2"/>
    <x v="1"/>
    <s v="Food"/>
    <s v="Medium"/>
    <n v="1"/>
    <n v="70"/>
    <n v="0.05"/>
    <n v="70"/>
    <n v="66.5"/>
    <x v="0"/>
    <x v="0"/>
    <x v="3"/>
    <x v="0"/>
    <x v="0"/>
    <x v="4"/>
    <n v="255"/>
    <n v="45"/>
    <x v="495"/>
    <x v="510"/>
    <x v="4"/>
    <x v="0"/>
    <n v="70"/>
    <x v="35"/>
    <n v="66.5"/>
    <x v="506"/>
    <x v="510"/>
    <x v="0"/>
    <x v="8"/>
    <x v="8"/>
    <s v="Tuesday"/>
  </r>
  <r>
    <s v="TXN-00517"/>
    <d v="2024-07-06T00:00:00"/>
    <d v="1899-12-30T20:30:00"/>
    <s v="Nikhil Singh"/>
    <s v="CUST0132"/>
    <x v="1"/>
    <x v="12"/>
    <x v="1"/>
    <s v="Food"/>
    <s v="Unknown"/>
    <n v="2"/>
    <n v="90"/>
    <n v="0"/>
    <n v="180"/>
    <n v="180"/>
    <x v="0"/>
    <x v="0"/>
    <x v="3"/>
    <x v="5"/>
    <x v="1"/>
    <x v="4"/>
    <n v="401"/>
    <n v="47"/>
    <x v="496"/>
    <x v="511"/>
    <x v="1"/>
    <x v="0"/>
    <n v="180"/>
    <x v="0"/>
    <n v="180"/>
    <x v="507"/>
    <x v="511"/>
    <x v="0"/>
    <x v="7"/>
    <x v="7"/>
    <s v="Saturday"/>
  </r>
  <r>
    <s v="TXN-00518"/>
    <d v="2024-05-31T00:00:00"/>
    <d v="1899-12-30T12:20:00"/>
    <s v="Rohan Kapoor"/>
    <s v="CUST0351"/>
    <x v="0"/>
    <x v="10"/>
    <x v="1"/>
    <s v="Food"/>
    <s v="Large"/>
    <n v="2"/>
    <n v="95"/>
    <n v="0.05"/>
    <n v="190"/>
    <n v="180.5"/>
    <x v="2"/>
    <x v="1"/>
    <x v="0"/>
    <x v="3"/>
    <x v="2"/>
    <x v="2"/>
    <n v="120"/>
    <n v="17"/>
    <x v="497"/>
    <x v="512"/>
    <x v="1"/>
    <x v="2"/>
    <n v="190"/>
    <x v="10"/>
    <n v="180.5"/>
    <x v="508"/>
    <x v="512"/>
    <x v="0"/>
    <x v="6"/>
    <x v="6"/>
    <s v="Friday"/>
  </r>
  <r>
    <s v="TXN-00519"/>
    <d v="2024-03-21T00:00:00"/>
    <d v="1899-12-30T21:15:00"/>
    <s v="Aditya Kaur"/>
    <s v="CUST0356"/>
    <x v="3"/>
    <x v="3"/>
    <x v="0"/>
    <s v="Hot"/>
    <s v="Small"/>
    <n v="1"/>
    <n v="125"/>
    <n v="0.05"/>
    <n v="125"/>
    <n v="118.75"/>
    <x v="3"/>
    <x v="3"/>
    <x v="3"/>
    <x v="6"/>
    <x v="2"/>
    <x v="4"/>
    <n v="133"/>
    <n v="37"/>
    <x v="498"/>
    <x v="513"/>
    <x v="0"/>
    <x v="4"/>
    <n v="125"/>
    <x v="85"/>
    <n v="118.75"/>
    <x v="509"/>
    <x v="513"/>
    <x v="0"/>
    <x v="5"/>
    <x v="5"/>
    <s v="Thursday"/>
  </r>
  <r>
    <s v="TXN-00520"/>
    <d v="2024-11-30T00:00:00"/>
    <d v="1899-12-30T12:10:00"/>
    <s v="Kavya Kaur"/>
    <s v="CUST0305"/>
    <x v="2"/>
    <x v="2"/>
    <x v="1"/>
    <s v="Food"/>
    <s v="Small"/>
    <n v="1"/>
    <n v="75"/>
    <n v="0"/>
    <n v="75"/>
    <n v="75"/>
    <x v="0"/>
    <x v="0"/>
    <x v="5"/>
    <x v="4"/>
    <x v="1"/>
    <x v="3"/>
    <n v="165"/>
    <n v="15"/>
    <x v="499"/>
    <x v="514"/>
    <x v="0"/>
    <x v="0"/>
    <n v="75"/>
    <x v="0"/>
    <n v="75"/>
    <x v="510"/>
    <x v="514"/>
    <x v="0"/>
    <x v="11"/>
    <x v="11"/>
    <s v="Saturday"/>
  </r>
  <r>
    <s v="TXN-00521"/>
    <d v="2024-07-06T00:00:00"/>
    <d v="1899-12-30T14:45:00"/>
    <s v="Manish Sharma"/>
    <s v="CUST0281"/>
    <x v="1"/>
    <x v="12"/>
    <x v="1"/>
    <s v="Food"/>
    <s v="Small"/>
    <n v="1"/>
    <n v="95"/>
    <n v="0.1"/>
    <n v="95"/>
    <n v="85.5"/>
    <x v="0"/>
    <x v="3"/>
    <x v="3"/>
    <x v="7"/>
    <x v="0"/>
    <x v="4"/>
    <n v="248"/>
    <n v="35"/>
    <x v="500"/>
    <x v="515"/>
    <x v="3"/>
    <x v="0"/>
    <n v="95"/>
    <x v="10"/>
    <n v="85.5"/>
    <x v="511"/>
    <x v="515"/>
    <x v="0"/>
    <x v="7"/>
    <x v="7"/>
    <s v="Saturday"/>
  </r>
  <r>
    <s v="TXN-00522"/>
    <d v="2024-04-10T00:00:00"/>
    <d v="1899-12-30T09:10:00"/>
    <s v="Isha Gupta"/>
    <s v="CUST0381"/>
    <x v="3"/>
    <x v="1"/>
    <x v="1"/>
    <s v="Food"/>
    <s v="Medium"/>
    <n v="3"/>
    <n v="120"/>
    <n v="0.1"/>
    <n v="360"/>
    <n v="324"/>
    <x v="1"/>
    <x v="3"/>
    <x v="0"/>
    <x v="1"/>
    <x v="1"/>
    <x v="1"/>
    <n v="393"/>
    <n v="12"/>
    <x v="501"/>
    <x v="516"/>
    <x v="1"/>
    <x v="3"/>
    <n v="360"/>
    <x v="72"/>
    <n v="324"/>
    <x v="512"/>
    <x v="516"/>
    <x v="0"/>
    <x v="8"/>
    <x v="8"/>
    <s v="Wednesday"/>
  </r>
  <r>
    <s v="TXN-00523"/>
    <d v="2024-05-17T00:00:00"/>
    <d v="1899-12-30T09:50:00"/>
    <s v="Nikhil Malhotra"/>
    <s v="CUST0264"/>
    <x v="1"/>
    <x v="10"/>
    <x v="1"/>
    <s v="Food"/>
    <s v="Medium"/>
    <n v="1"/>
    <n v="110"/>
    <n v="0.15"/>
    <n v="110"/>
    <n v="93.5"/>
    <x v="0"/>
    <x v="0"/>
    <x v="5"/>
    <x v="1"/>
    <x v="1"/>
    <x v="1"/>
    <n v="303"/>
    <n v="39"/>
    <x v="502"/>
    <x v="517"/>
    <x v="0"/>
    <x v="2"/>
    <n v="110"/>
    <x v="42"/>
    <n v="93.5"/>
    <x v="513"/>
    <x v="517"/>
    <x v="0"/>
    <x v="6"/>
    <x v="6"/>
    <s v="Friday"/>
  </r>
  <r>
    <s v="TXN-00524"/>
    <d v="2024-06-07T00:00:00"/>
    <d v="1899-12-30T10:30:00"/>
    <s v="Arjun Malhotra"/>
    <s v="CUST0352"/>
    <x v="2"/>
    <x v="1"/>
    <x v="1"/>
    <s v="Food"/>
    <s v="Large"/>
    <n v="1"/>
    <n v="115"/>
    <n v="0"/>
    <n v="115"/>
    <n v="115"/>
    <x v="0"/>
    <x v="3"/>
    <x v="5"/>
    <x v="4"/>
    <x v="0"/>
    <x v="1"/>
    <n v="329"/>
    <n v="17"/>
    <x v="503"/>
    <x v="518"/>
    <x v="3"/>
    <x v="0"/>
    <n v="115"/>
    <x v="0"/>
    <n v="115"/>
    <x v="514"/>
    <x v="518"/>
    <x v="0"/>
    <x v="4"/>
    <x v="4"/>
    <s v="Friday"/>
  </r>
  <r>
    <s v="TXN-00525"/>
    <d v="2024-12-21T00:00:00"/>
    <d v="1899-12-30T08:50:00"/>
    <s v="Nikhil Singh"/>
    <s v="CUST0186"/>
    <x v="2"/>
    <x v="15"/>
    <x v="4"/>
    <s v="Food"/>
    <s v="Small"/>
    <n v="1"/>
    <n v="185"/>
    <n v="0.15"/>
    <n v="185"/>
    <n v="157.25"/>
    <x v="1"/>
    <x v="2"/>
    <x v="0"/>
    <x v="2"/>
    <x v="0"/>
    <x v="2"/>
    <n v="436"/>
    <n v="12"/>
    <x v="504"/>
    <x v="519"/>
    <x v="4"/>
    <x v="3"/>
    <n v="185"/>
    <x v="61"/>
    <n v="157.25"/>
    <x v="515"/>
    <x v="519"/>
    <x v="0"/>
    <x v="9"/>
    <x v="9"/>
    <s v="Saturday"/>
  </r>
  <r>
    <s v="TXN-00526"/>
    <d v="2024-04-27T00:00:00"/>
    <d v="1899-12-30T11:00:00"/>
    <s v="Arjun Bansal"/>
    <s v="CUST0341"/>
    <x v="3"/>
    <x v="4"/>
    <x v="0"/>
    <s v="Cold"/>
    <s v="Medium"/>
    <n v="2"/>
    <n v="145"/>
    <n v="0"/>
    <n v="290"/>
    <n v="290"/>
    <x v="0"/>
    <x v="2"/>
    <x v="6"/>
    <x v="0"/>
    <x v="0"/>
    <x v="4"/>
    <n v="37"/>
    <n v="42"/>
    <x v="505"/>
    <x v="520"/>
    <x v="3"/>
    <x v="0"/>
    <n v="290"/>
    <x v="0"/>
    <n v="290"/>
    <x v="516"/>
    <x v="520"/>
    <x v="0"/>
    <x v="8"/>
    <x v="8"/>
    <s v="Saturday"/>
  </r>
  <r>
    <s v="TXN-00527"/>
    <d v="2024-01-01T00:00:00"/>
    <d v="1899-12-30T12:30:00"/>
    <s v="Arjun Bansal"/>
    <s v="CUST0239"/>
    <x v="2"/>
    <x v="15"/>
    <x v="4"/>
    <s v="Food"/>
    <s v="Medium"/>
    <n v="1"/>
    <n v="190"/>
    <n v="0"/>
    <n v="190"/>
    <n v="190"/>
    <x v="2"/>
    <x v="0"/>
    <x v="6"/>
    <x v="2"/>
    <x v="0"/>
    <x v="3"/>
    <n v="418"/>
    <n v="34"/>
    <x v="506"/>
    <x v="521"/>
    <x v="0"/>
    <x v="0"/>
    <n v="190"/>
    <x v="0"/>
    <n v="190"/>
    <x v="517"/>
    <x v="521"/>
    <x v="0"/>
    <x v="2"/>
    <x v="2"/>
    <s v="Monday"/>
  </r>
  <r>
    <s v="TXN-00528"/>
    <d v="2024-05-16T00:00:00"/>
    <d v="1899-12-30T12:15:00"/>
    <s v="Karan Mehta"/>
    <s v="CUST0366"/>
    <x v="3"/>
    <x v="10"/>
    <x v="1"/>
    <s v="Food"/>
    <s v="Small"/>
    <n v="1"/>
    <n v="95"/>
    <n v="0.05"/>
    <n v="95"/>
    <n v="90.25"/>
    <x v="0"/>
    <x v="1"/>
    <x v="3"/>
    <x v="7"/>
    <x v="0"/>
    <x v="3"/>
    <n v="280"/>
    <n v="24"/>
    <x v="507"/>
    <x v="522"/>
    <x v="0"/>
    <x v="3"/>
    <n v="95"/>
    <x v="34"/>
    <n v="90.25"/>
    <x v="518"/>
    <x v="522"/>
    <x v="0"/>
    <x v="6"/>
    <x v="6"/>
    <s v="Thursday"/>
  </r>
  <r>
    <s v="TXN-00529"/>
    <d v="2024-08-10T00:00:00"/>
    <d v="1899-12-30T09:20:00"/>
    <s v="Pooja Kaur"/>
    <s v="CUST0230"/>
    <x v="3"/>
    <x v="5"/>
    <x v="2"/>
    <s v="Hot"/>
    <s v="Medium"/>
    <n v="2"/>
    <n v="105"/>
    <n v="0.05"/>
    <n v="210"/>
    <n v="199.5"/>
    <x v="0"/>
    <x v="3"/>
    <x v="5"/>
    <x v="1"/>
    <x v="0"/>
    <x v="2"/>
    <n v="424"/>
    <n v="28"/>
    <x v="92"/>
    <x v="523"/>
    <x v="1"/>
    <x v="2"/>
    <n v="210"/>
    <x v="25"/>
    <n v="199.5"/>
    <x v="519"/>
    <x v="523"/>
    <x v="0"/>
    <x v="1"/>
    <x v="1"/>
    <s v="Saturday"/>
  </r>
  <r>
    <s v="TXN-00530"/>
    <d v="2024-01-26T00:00:00"/>
    <d v="1899-12-30T14:20:00"/>
    <s v="Aditya Chopra"/>
    <s v="CUST0388"/>
    <x v="0"/>
    <x v="9"/>
    <x v="2"/>
    <s v="Hot"/>
    <s v="Large"/>
    <n v="3"/>
    <n v="90"/>
    <n v="0"/>
    <n v="270"/>
    <n v="270"/>
    <x v="2"/>
    <x v="1"/>
    <x v="3"/>
    <x v="7"/>
    <x v="0"/>
    <x v="3"/>
    <n v="63"/>
    <n v="53"/>
    <x v="508"/>
    <x v="524"/>
    <x v="2"/>
    <x v="4"/>
    <n v="270"/>
    <x v="0"/>
    <n v="270"/>
    <x v="520"/>
    <x v="524"/>
    <x v="0"/>
    <x v="2"/>
    <x v="2"/>
    <s v="Friday"/>
  </r>
  <r>
    <s v="TXN-00531"/>
    <d v="2024-03-11T00:00:00"/>
    <d v="1899-12-30T15:45:00"/>
    <s v="Meera Chopra"/>
    <s v="CUST0129"/>
    <x v="0"/>
    <x v="13"/>
    <x v="2"/>
    <s v="Cold"/>
    <s v="Medium"/>
    <n v="2"/>
    <n v="110"/>
    <n v="0.1"/>
    <n v="220"/>
    <n v="198"/>
    <x v="2"/>
    <x v="3"/>
    <x v="6"/>
    <x v="1"/>
    <x v="0"/>
    <x v="2"/>
    <n v="321"/>
    <n v="50"/>
    <x v="509"/>
    <x v="525"/>
    <x v="1"/>
    <x v="1"/>
    <n v="220"/>
    <x v="78"/>
    <n v="198"/>
    <x v="521"/>
    <x v="525"/>
    <x v="0"/>
    <x v="5"/>
    <x v="5"/>
    <s v="Monday"/>
  </r>
  <r>
    <s v="TXN-00532"/>
    <d v="2024-12-16T00:00:00"/>
    <d v="1899-12-30T19:30:00"/>
    <s v="Vivaan Mehta"/>
    <s v="Unknown"/>
    <x v="3"/>
    <x v="3"/>
    <x v="0"/>
    <s v="Hot"/>
    <s v="Large"/>
    <n v="1"/>
    <n v="120"/>
    <n v="0.1"/>
    <n v="120"/>
    <n v="108"/>
    <x v="3"/>
    <x v="2"/>
    <x v="5"/>
    <x v="1"/>
    <x v="0"/>
    <x v="2"/>
    <n v="209"/>
    <n v="28"/>
    <x v="510"/>
    <x v="526"/>
    <x v="3"/>
    <x v="1"/>
    <n v="120"/>
    <x v="2"/>
    <n v="108"/>
    <x v="522"/>
    <x v="526"/>
    <x v="0"/>
    <x v="9"/>
    <x v="9"/>
    <s v="Monday"/>
  </r>
  <r>
    <s v="TXN-00533"/>
    <d v="2024-12-01T00:00:00"/>
    <d v="1899-12-30T18:45:00"/>
    <s v="Arjun Kapoor"/>
    <s v="CUST0346"/>
    <x v="2"/>
    <x v="6"/>
    <x v="0"/>
    <s v="Hot"/>
    <s v="Unknown"/>
    <n v="1"/>
    <n v="100"/>
    <n v="0"/>
    <n v="100"/>
    <n v="100"/>
    <x v="2"/>
    <x v="0"/>
    <x v="1"/>
    <x v="6"/>
    <x v="0"/>
    <x v="4"/>
    <n v="13"/>
    <n v="59"/>
    <x v="511"/>
    <x v="527"/>
    <x v="3"/>
    <x v="0"/>
    <n v="100"/>
    <x v="0"/>
    <n v="100"/>
    <x v="523"/>
    <x v="527"/>
    <x v="0"/>
    <x v="9"/>
    <x v="9"/>
    <s v="Sunday"/>
  </r>
  <r>
    <s v="TXN-00534"/>
    <d v="2024-02-01T00:00:00"/>
    <d v="1899-12-30T20:45:00"/>
    <s v="Sneha Chopra"/>
    <s v="Unknown"/>
    <x v="2"/>
    <x v="1"/>
    <x v="1"/>
    <s v="Food"/>
    <s v="Medium"/>
    <n v="1"/>
    <n v="115"/>
    <n v="0.05"/>
    <n v="115"/>
    <n v="109.25"/>
    <x v="0"/>
    <x v="0"/>
    <x v="6"/>
    <x v="2"/>
    <x v="0"/>
    <x v="1"/>
    <n v="390"/>
    <n v="55"/>
    <x v="512"/>
    <x v="528"/>
    <x v="3"/>
    <x v="0"/>
    <n v="115"/>
    <x v="1"/>
    <n v="109.25"/>
    <x v="524"/>
    <x v="528"/>
    <x v="0"/>
    <x v="3"/>
    <x v="3"/>
    <s v="Thursday"/>
  </r>
  <r>
    <s v="TXN-00535"/>
    <d v="2024-06-25T00:00:00"/>
    <d v="1899-12-30T13:00:00"/>
    <s v="Unknown"/>
    <s v="CUST0375"/>
    <x v="2"/>
    <x v="1"/>
    <x v="1"/>
    <s v="Food"/>
    <s v="Medium"/>
    <n v="2"/>
    <n v="120"/>
    <n v="0.05"/>
    <n v="240"/>
    <n v="228"/>
    <x v="2"/>
    <x v="3"/>
    <x v="0"/>
    <x v="2"/>
    <x v="0"/>
    <x v="4"/>
    <n v="12"/>
    <n v="59"/>
    <x v="513"/>
    <x v="529"/>
    <x v="3"/>
    <x v="3"/>
    <n v="240"/>
    <x v="2"/>
    <n v="228"/>
    <x v="525"/>
    <x v="529"/>
    <x v="0"/>
    <x v="4"/>
    <x v="4"/>
    <s v="Tuesday"/>
  </r>
  <r>
    <s v="TXN-00536"/>
    <d v="2024-08-04T00:00:00"/>
    <d v="1899-12-30T16:15:00"/>
    <s v="Priya Chopra"/>
    <s v="CUST0276"/>
    <x v="1"/>
    <x v="11"/>
    <x v="0"/>
    <s v="Hot"/>
    <s v="Medium"/>
    <n v="1"/>
    <n v="85"/>
    <n v="0"/>
    <n v="85"/>
    <n v="85"/>
    <x v="1"/>
    <x v="0"/>
    <x v="0"/>
    <x v="5"/>
    <x v="0"/>
    <x v="1"/>
    <n v="147"/>
    <n v="23"/>
    <x v="514"/>
    <x v="530"/>
    <x v="0"/>
    <x v="2"/>
    <n v="85"/>
    <x v="0"/>
    <n v="85"/>
    <x v="526"/>
    <x v="530"/>
    <x v="0"/>
    <x v="1"/>
    <x v="1"/>
    <s v="Sunday"/>
  </r>
  <r>
    <s v="TXN-00537"/>
    <d v="2024-01-12T00:00:00"/>
    <d v="1899-12-30T08:20:00"/>
    <s v="Simran Mehta"/>
    <s v="CUST0320"/>
    <x v="1"/>
    <x v="15"/>
    <x v="4"/>
    <s v="Food"/>
    <s v="Small"/>
    <n v="2"/>
    <n v="200"/>
    <n v="0.05"/>
    <n v="400"/>
    <n v="380"/>
    <x v="1"/>
    <x v="3"/>
    <x v="0"/>
    <x v="0"/>
    <x v="0"/>
    <x v="4"/>
    <n v="264"/>
    <n v="35"/>
    <x v="515"/>
    <x v="531"/>
    <x v="3"/>
    <x v="3"/>
    <n v="400"/>
    <x v="5"/>
    <n v="380"/>
    <x v="527"/>
    <x v="531"/>
    <x v="0"/>
    <x v="2"/>
    <x v="2"/>
    <s v="Friday"/>
  </r>
  <r>
    <s v="TXN-00538"/>
    <d v="2024-10-17T00:00:00"/>
    <d v="1899-12-30T11:10:00"/>
    <s v="Sahil Verma"/>
    <s v="CUST0373"/>
    <x v="3"/>
    <x v="4"/>
    <x v="0"/>
    <s v="Cold"/>
    <s v="Small"/>
    <n v="1"/>
    <n v="150"/>
    <n v="0"/>
    <n v="150"/>
    <n v="150"/>
    <x v="0"/>
    <x v="3"/>
    <x v="1"/>
    <x v="6"/>
    <x v="0"/>
    <x v="4"/>
    <n v="244"/>
    <n v="35"/>
    <x v="516"/>
    <x v="532"/>
    <x v="2"/>
    <x v="1"/>
    <n v="150"/>
    <x v="0"/>
    <n v="150"/>
    <x v="528"/>
    <x v="532"/>
    <x v="0"/>
    <x v="10"/>
    <x v="10"/>
    <s v="Thursday"/>
  </r>
  <r>
    <s v="TXN-00539"/>
    <d v="2024-06-05T00:00:00"/>
    <d v="1899-12-30T21:30:00"/>
    <s v="Neha Sharma"/>
    <s v="CUST0267"/>
    <x v="2"/>
    <x v="2"/>
    <x v="1"/>
    <s v="Food"/>
    <s v="Small"/>
    <n v="1"/>
    <n v="80"/>
    <n v="0"/>
    <n v="80"/>
    <n v="80"/>
    <x v="2"/>
    <x v="3"/>
    <x v="0"/>
    <x v="7"/>
    <x v="2"/>
    <x v="2"/>
    <n v="112"/>
    <n v="42"/>
    <x v="517"/>
    <x v="533"/>
    <x v="0"/>
    <x v="2"/>
    <n v="80"/>
    <x v="0"/>
    <n v="80"/>
    <x v="529"/>
    <x v="533"/>
    <x v="0"/>
    <x v="4"/>
    <x v="4"/>
    <s v="Wednesday"/>
  </r>
  <r>
    <s v="TXN-00540"/>
    <d v="2024-01-09T00:00:00"/>
    <d v="1899-12-30T17:15:00"/>
    <s v="Rahul Malhotra"/>
    <s v="CUST0193"/>
    <x v="1"/>
    <x v="6"/>
    <x v="0"/>
    <s v="Hot"/>
    <s v="Small"/>
    <n v="1"/>
    <n v="110"/>
    <n v="0.1"/>
    <n v="110"/>
    <n v="99"/>
    <x v="0"/>
    <x v="3"/>
    <x v="6"/>
    <x v="2"/>
    <x v="0"/>
    <x v="4"/>
    <n v="244"/>
    <n v="14"/>
    <x v="518"/>
    <x v="534"/>
    <x v="3"/>
    <x v="2"/>
    <n v="110"/>
    <x v="30"/>
    <n v="99"/>
    <x v="530"/>
    <x v="534"/>
    <x v="0"/>
    <x v="2"/>
    <x v="2"/>
    <s v="Tuesday"/>
  </r>
  <r>
    <s v="TXN-00541"/>
    <d v="2024-11-27T00:00:00"/>
    <d v="1899-12-30T12:45:00"/>
    <s v="Arjun Sharma"/>
    <s v="CUST0169"/>
    <x v="1"/>
    <x v="11"/>
    <x v="0"/>
    <s v="Hot"/>
    <s v="Large"/>
    <n v="1"/>
    <n v="95"/>
    <n v="0.05"/>
    <n v="95"/>
    <n v="90.25"/>
    <x v="0"/>
    <x v="2"/>
    <x v="6"/>
    <x v="5"/>
    <x v="2"/>
    <x v="3"/>
    <n v="105"/>
    <n v="37"/>
    <x v="519"/>
    <x v="535"/>
    <x v="1"/>
    <x v="2"/>
    <n v="95"/>
    <x v="34"/>
    <n v="90.25"/>
    <x v="531"/>
    <x v="535"/>
    <x v="0"/>
    <x v="11"/>
    <x v="11"/>
    <s v="Wednesday"/>
  </r>
  <r>
    <s v="TXN-00542"/>
    <d v="2024-10-09T00:00:00"/>
    <d v="1899-12-30T14:30:00"/>
    <s v="Pooja Verma"/>
    <s v="CUST0381"/>
    <x v="1"/>
    <x v="7"/>
    <x v="0"/>
    <s v="Hot"/>
    <s v="Large"/>
    <n v="1"/>
    <n v="155"/>
    <n v="0"/>
    <n v="155"/>
    <n v="155"/>
    <x v="1"/>
    <x v="0"/>
    <x v="4"/>
    <x v="1"/>
    <x v="0"/>
    <x v="4"/>
    <n v="465"/>
    <n v="45"/>
    <x v="520"/>
    <x v="536"/>
    <x v="2"/>
    <x v="1"/>
    <n v="155"/>
    <x v="0"/>
    <n v="155"/>
    <x v="532"/>
    <x v="536"/>
    <x v="0"/>
    <x v="10"/>
    <x v="10"/>
    <s v="Wednesday"/>
  </r>
  <r>
    <s v="TXN-00543"/>
    <d v="2024-07-07T00:00:00"/>
    <d v="1899-12-30T20:10:00"/>
    <s v="Aarav Gupta"/>
    <s v="CUST0156"/>
    <x v="2"/>
    <x v="3"/>
    <x v="0"/>
    <s v="Hot"/>
    <s v="Large"/>
    <n v="1"/>
    <n v="120"/>
    <n v="0"/>
    <n v="120"/>
    <n v="120"/>
    <x v="2"/>
    <x v="0"/>
    <x v="1"/>
    <x v="7"/>
    <x v="0"/>
    <x v="4"/>
    <n v="351"/>
    <n v="39"/>
    <x v="521"/>
    <x v="537"/>
    <x v="0"/>
    <x v="0"/>
    <n v="120"/>
    <x v="0"/>
    <n v="120"/>
    <x v="533"/>
    <x v="537"/>
    <x v="0"/>
    <x v="7"/>
    <x v="7"/>
    <s v="Sunday"/>
  </r>
  <r>
    <s v="TXN-00544"/>
    <d v="2024-01-09T00:00:00"/>
    <d v="1899-12-30T20:20:00"/>
    <s v="Rohan Mehta"/>
    <s v="CUST0146"/>
    <x v="3"/>
    <x v="9"/>
    <x v="2"/>
    <s v="Hot"/>
    <s v="Small"/>
    <n v="2"/>
    <n v="80"/>
    <n v="0"/>
    <n v="160"/>
    <n v="160"/>
    <x v="2"/>
    <x v="3"/>
    <x v="4"/>
    <x v="6"/>
    <x v="0"/>
    <x v="4"/>
    <n v="184"/>
    <n v="43"/>
    <x v="522"/>
    <x v="538"/>
    <x v="3"/>
    <x v="0"/>
    <n v="160"/>
    <x v="0"/>
    <n v="160"/>
    <x v="534"/>
    <x v="538"/>
    <x v="0"/>
    <x v="2"/>
    <x v="2"/>
    <s v="Tuesday"/>
  </r>
  <r>
    <s v="TXN-00545"/>
    <d v="2024-03-17T00:00:00"/>
    <d v="1899-12-30T09:15:00"/>
    <s v="Riya Verma"/>
    <s v="CUST0122"/>
    <x v="2"/>
    <x v="15"/>
    <x v="4"/>
    <s v="Food"/>
    <s v="Large"/>
    <n v="1"/>
    <n v="190"/>
    <n v="0"/>
    <n v="190"/>
    <n v="190"/>
    <x v="2"/>
    <x v="1"/>
    <x v="0"/>
    <x v="2"/>
    <x v="0"/>
    <x v="4"/>
    <n v="118"/>
    <n v="47"/>
    <x v="523"/>
    <x v="539"/>
    <x v="1"/>
    <x v="1"/>
    <n v="190"/>
    <x v="0"/>
    <n v="190"/>
    <x v="535"/>
    <x v="539"/>
    <x v="0"/>
    <x v="5"/>
    <x v="5"/>
    <s v="Sunday"/>
  </r>
  <r>
    <s v="TXN-00546"/>
    <d v="2024-09-24T00:00:00"/>
    <d v="1899-12-30T17:15:00"/>
    <s v="Riya Bansal"/>
    <s v="CUST0199"/>
    <x v="2"/>
    <x v="7"/>
    <x v="0"/>
    <s v="Hot"/>
    <s v="Unknown"/>
    <n v="2"/>
    <n v="140"/>
    <n v="0"/>
    <n v="280"/>
    <n v="280"/>
    <x v="1"/>
    <x v="2"/>
    <x v="6"/>
    <x v="4"/>
    <x v="0"/>
    <x v="2"/>
    <n v="432"/>
    <n v="19"/>
    <x v="524"/>
    <x v="540"/>
    <x v="3"/>
    <x v="2"/>
    <n v="280"/>
    <x v="0"/>
    <n v="280"/>
    <x v="536"/>
    <x v="540"/>
    <x v="0"/>
    <x v="0"/>
    <x v="0"/>
    <s v="Tuesday"/>
  </r>
  <r>
    <s v="TXN-00547"/>
    <d v="2024-07-19T00:00:00"/>
    <d v="1899-12-30T07:30:00"/>
    <s v="Riya Sharma"/>
    <s v="CUST0372"/>
    <x v="2"/>
    <x v="14"/>
    <x v="3"/>
    <s v="Food"/>
    <s v="Medium"/>
    <n v="1"/>
    <n v="185"/>
    <n v="0"/>
    <n v="185"/>
    <n v="185"/>
    <x v="0"/>
    <x v="0"/>
    <x v="1"/>
    <x v="2"/>
    <x v="2"/>
    <x v="0"/>
    <n v="73"/>
    <n v="25"/>
    <x v="525"/>
    <x v="541"/>
    <x v="3"/>
    <x v="0"/>
    <n v="185"/>
    <x v="0"/>
    <n v="185"/>
    <x v="537"/>
    <x v="541"/>
    <x v="0"/>
    <x v="7"/>
    <x v="7"/>
    <s v="Friday"/>
  </r>
  <r>
    <s v="TXN-00548"/>
    <d v="2024-06-25T00:00:00"/>
    <d v="1899-12-30T07:15:00"/>
    <s v="Rohan Verma"/>
    <s v="CUST0306"/>
    <x v="3"/>
    <x v="0"/>
    <x v="0"/>
    <s v="Hot"/>
    <s v="Small"/>
    <n v="1"/>
    <n v="140"/>
    <n v="0.05"/>
    <n v="140"/>
    <n v="133"/>
    <x v="1"/>
    <x v="0"/>
    <x v="1"/>
    <x v="0"/>
    <x v="1"/>
    <x v="0"/>
    <n v="255"/>
    <n v="13"/>
    <x v="526"/>
    <x v="542"/>
    <x v="0"/>
    <x v="0"/>
    <n v="140"/>
    <x v="22"/>
    <n v="133"/>
    <x v="538"/>
    <x v="542"/>
    <x v="0"/>
    <x v="4"/>
    <x v="4"/>
    <s v="Tuesday"/>
  </r>
  <r>
    <s v="TXN-00549"/>
    <d v="2024-06-08T00:00:00"/>
    <d v="1899-12-30T14:15:00"/>
    <s v="Unknown"/>
    <s v="CUST0272"/>
    <x v="2"/>
    <x v="0"/>
    <x v="0"/>
    <s v="Hot"/>
    <s v="Unknown"/>
    <n v="4"/>
    <n v="140"/>
    <n v="0"/>
    <n v="560"/>
    <n v="560"/>
    <x v="2"/>
    <x v="0"/>
    <x v="1"/>
    <x v="0"/>
    <x v="0"/>
    <x v="4"/>
    <n v="244"/>
    <n v="34"/>
    <x v="527"/>
    <x v="543"/>
    <x v="3"/>
    <x v="0"/>
    <n v="560"/>
    <x v="0"/>
    <n v="560"/>
    <x v="539"/>
    <x v="543"/>
    <x v="0"/>
    <x v="4"/>
    <x v="4"/>
    <s v="Saturday"/>
  </r>
  <r>
    <s v="TXN-00550"/>
    <d v="2024-12-15T00:00:00"/>
    <d v="1899-12-30T10:10:00"/>
    <s v="Sahil Kapoor"/>
    <s v="CUST0291"/>
    <x v="2"/>
    <x v="6"/>
    <x v="0"/>
    <s v="Hot"/>
    <s v="Large"/>
    <n v="1"/>
    <n v="105"/>
    <n v="0.1"/>
    <n v="105"/>
    <n v="94.5"/>
    <x v="1"/>
    <x v="1"/>
    <x v="5"/>
    <x v="0"/>
    <x v="0"/>
    <x v="1"/>
    <n v="344"/>
    <n v="28"/>
    <x v="28"/>
    <x v="544"/>
    <x v="4"/>
    <x v="1"/>
    <n v="105"/>
    <x v="25"/>
    <n v="94.5"/>
    <x v="28"/>
    <x v="544"/>
    <x v="0"/>
    <x v="9"/>
    <x v="9"/>
    <s v="Sunday"/>
  </r>
  <r>
    <s v="TXN-00551"/>
    <d v="2024-07-01T00:00:00"/>
    <d v="1899-12-30T14:15:00"/>
    <s v="Sneha Bansal"/>
    <s v="CUST0221"/>
    <x v="2"/>
    <x v="5"/>
    <x v="2"/>
    <s v="Hot"/>
    <s v="Medium"/>
    <n v="1"/>
    <n v="95"/>
    <n v="0.05"/>
    <n v="95"/>
    <n v="90.25"/>
    <x v="0"/>
    <x v="0"/>
    <x v="3"/>
    <x v="1"/>
    <x v="2"/>
    <x v="2"/>
    <n v="209"/>
    <n v="55"/>
    <x v="528"/>
    <x v="29"/>
    <x v="3"/>
    <x v="3"/>
    <n v="95"/>
    <x v="34"/>
    <n v="90.25"/>
    <x v="540"/>
    <x v="29"/>
    <x v="0"/>
    <x v="7"/>
    <x v="7"/>
    <s v="Monday"/>
  </r>
  <r>
    <s v="TXN-00552"/>
    <d v="2024-04-12T00:00:00"/>
    <d v="1899-12-30T11:15:00"/>
    <s v="Ananya Gupta"/>
    <s v="CUST0295"/>
    <x v="0"/>
    <x v="14"/>
    <x v="3"/>
    <s v="Food"/>
    <s v="Large"/>
    <n v="2"/>
    <n v="190"/>
    <n v="0.15"/>
    <n v="380"/>
    <n v="323"/>
    <x v="2"/>
    <x v="2"/>
    <x v="6"/>
    <x v="2"/>
    <x v="1"/>
    <x v="2"/>
    <n v="244"/>
    <n v="24"/>
    <x v="529"/>
    <x v="545"/>
    <x v="3"/>
    <x v="0"/>
    <n v="380"/>
    <x v="80"/>
    <n v="323"/>
    <x v="541"/>
    <x v="545"/>
    <x v="0"/>
    <x v="8"/>
    <x v="8"/>
    <s v="Friday"/>
  </r>
  <r>
    <s v="TXN-00553"/>
    <d v="2024-06-06T00:00:00"/>
    <d v="1899-12-30T07:20:00"/>
    <s v="Neha Gupta"/>
    <s v="CUST0104"/>
    <x v="2"/>
    <x v="6"/>
    <x v="0"/>
    <s v="Hot"/>
    <s v="Small"/>
    <n v="1"/>
    <n v="105"/>
    <n v="0.1"/>
    <n v="105"/>
    <n v="94.5"/>
    <x v="0"/>
    <x v="3"/>
    <x v="1"/>
    <x v="5"/>
    <x v="0"/>
    <x v="2"/>
    <n v="126"/>
    <n v="35"/>
    <x v="530"/>
    <x v="546"/>
    <x v="1"/>
    <x v="3"/>
    <n v="105"/>
    <x v="25"/>
    <n v="94.5"/>
    <x v="542"/>
    <x v="546"/>
    <x v="0"/>
    <x v="4"/>
    <x v="4"/>
    <s v="Thursday"/>
  </r>
  <r>
    <s v="TXN-00554"/>
    <d v="2024-09-15T00:00:00"/>
    <d v="1899-12-30T17:45:00"/>
    <s v="Riya Bansal"/>
    <s v="CUST0273"/>
    <x v="3"/>
    <x v="12"/>
    <x v="1"/>
    <s v="Food"/>
    <s v="Large"/>
    <n v="2"/>
    <n v="100"/>
    <n v="0.05"/>
    <n v="200"/>
    <n v="190"/>
    <x v="2"/>
    <x v="3"/>
    <x v="0"/>
    <x v="2"/>
    <x v="0"/>
    <x v="2"/>
    <n v="70"/>
    <n v="49"/>
    <x v="531"/>
    <x v="547"/>
    <x v="4"/>
    <x v="4"/>
    <n v="200"/>
    <x v="4"/>
    <n v="190"/>
    <x v="543"/>
    <x v="547"/>
    <x v="0"/>
    <x v="0"/>
    <x v="0"/>
    <s v="Sunday"/>
  </r>
  <r>
    <s v="TXN-00555"/>
    <d v="2024-05-28T00:00:00"/>
    <d v="1899-12-30T11:45:00"/>
    <s v="Aarav Verma"/>
    <s v="CUST0317"/>
    <x v="2"/>
    <x v="3"/>
    <x v="0"/>
    <s v="Hot"/>
    <s v="Large"/>
    <n v="1"/>
    <n v="130"/>
    <n v="0"/>
    <n v="130"/>
    <n v="130"/>
    <x v="2"/>
    <x v="3"/>
    <x v="6"/>
    <x v="3"/>
    <x v="2"/>
    <x v="2"/>
    <n v="27"/>
    <n v="52"/>
    <x v="532"/>
    <x v="548"/>
    <x v="0"/>
    <x v="3"/>
    <n v="130"/>
    <x v="0"/>
    <n v="130"/>
    <x v="544"/>
    <x v="548"/>
    <x v="0"/>
    <x v="6"/>
    <x v="6"/>
    <s v="Tuesday"/>
  </r>
  <r>
    <s v="TXN-00556"/>
    <d v="2024-06-25T00:00:00"/>
    <d v="1899-12-30T11:30:00"/>
    <s v="Meera Bansal"/>
    <s v="CUST0339"/>
    <x v="0"/>
    <x v="15"/>
    <x v="4"/>
    <s v="Food"/>
    <s v="Large"/>
    <n v="1"/>
    <n v="185"/>
    <n v="0"/>
    <n v="185"/>
    <n v="185"/>
    <x v="1"/>
    <x v="2"/>
    <x v="2"/>
    <x v="2"/>
    <x v="0"/>
    <x v="0"/>
    <n v="346"/>
    <n v="39"/>
    <x v="533"/>
    <x v="549"/>
    <x v="2"/>
    <x v="0"/>
    <n v="185"/>
    <x v="0"/>
    <n v="185"/>
    <x v="545"/>
    <x v="549"/>
    <x v="0"/>
    <x v="4"/>
    <x v="4"/>
    <s v="Tuesday"/>
  </r>
  <r>
    <s v="TXN-00557"/>
    <d v="2024-05-10T00:00:00"/>
    <d v="1899-12-30T17:15:00"/>
    <s v="Sneha Malhotra"/>
    <s v="CUST0313"/>
    <x v="3"/>
    <x v="12"/>
    <x v="1"/>
    <s v="Food"/>
    <s v="Small"/>
    <n v="2"/>
    <n v="95"/>
    <n v="0"/>
    <n v="190"/>
    <n v="190"/>
    <x v="2"/>
    <x v="3"/>
    <x v="5"/>
    <x v="3"/>
    <x v="0"/>
    <x v="2"/>
    <n v="50"/>
    <n v="16"/>
    <x v="534"/>
    <x v="550"/>
    <x v="0"/>
    <x v="0"/>
    <n v="190"/>
    <x v="0"/>
    <n v="190"/>
    <x v="546"/>
    <x v="550"/>
    <x v="0"/>
    <x v="6"/>
    <x v="6"/>
    <s v="Friday"/>
  </r>
  <r>
    <s v="TXN-00558"/>
    <d v="2024-11-18T00:00:00"/>
    <d v="1899-12-30T19:20:00"/>
    <s v="Nikhil Mehta"/>
    <s v="CUST0386"/>
    <x v="3"/>
    <x v="2"/>
    <x v="1"/>
    <s v="Food"/>
    <s v="Unknown"/>
    <n v="2"/>
    <n v="70"/>
    <n v="0.15"/>
    <n v="140"/>
    <n v="119"/>
    <x v="2"/>
    <x v="2"/>
    <x v="4"/>
    <x v="7"/>
    <x v="1"/>
    <x v="1"/>
    <n v="301"/>
    <n v="12"/>
    <x v="535"/>
    <x v="551"/>
    <x v="3"/>
    <x v="3"/>
    <n v="140"/>
    <x v="66"/>
    <n v="119"/>
    <x v="3"/>
    <x v="551"/>
    <x v="0"/>
    <x v="11"/>
    <x v="11"/>
    <s v="Monday"/>
  </r>
  <r>
    <s v="TXN-00559"/>
    <d v="2024-08-27T00:00:00"/>
    <d v="1899-12-30T07:30:00"/>
    <s v="Nikhil Kaur"/>
    <s v="CUST0353"/>
    <x v="3"/>
    <x v="7"/>
    <x v="0"/>
    <s v="Hot"/>
    <s v="Medium"/>
    <n v="2"/>
    <n v="145"/>
    <n v="0"/>
    <n v="290"/>
    <n v="290"/>
    <x v="1"/>
    <x v="1"/>
    <x v="3"/>
    <x v="5"/>
    <x v="0"/>
    <x v="0"/>
    <n v="362"/>
    <n v="56"/>
    <x v="536"/>
    <x v="552"/>
    <x v="0"/>
    <x v="0"/>
    <n v="290"/>
    <x v="0"/>
    <n v="290"/>
    <x v="547"/>
    <x v="552"/>
    <x v="0"/>
    <x v="1"/>
    <x v="1"/>
    <s v="Tuesday"/>
  </r>
  <r>
    <s v="TXN-00560"/>
    <d v="2024-03-20T00:00:00"/>
    <d v="1899-12-30T19:20:00"/>
    <s v="Neha Kaur"/>
    <s v="Unknown"/>
    <x v="2"/>
    <x v="14"/>
    <x v="3"/>
    <s v="Food"/>
    <s v="Small"/>
    <n v="3"/>
    <n v="190"/>
    <n v="0"/>
    <n v="570"/>
    <n v="570"/>
    <x v="2"/>
    <x v="3"/>
    <x v="1"/>
    <x v="6"/>
    <x v="2"/>
    <x v="0"/>
    <n v="244"/>
    <n v="54"/>
    <x v="537"/>
    <x v="553"/>
    <x v="0"/>
    <x v="3"/>
    <n v="570"/>
    <x v="0"/>
    <n v="570"/>
    <x v="548"/>
    <x v="553"/>
    <x v="0"/>
    <x v="5"/>
    <x v="5"/>
    <s v="Wednesday"/>
  </r>
  <r>
    <s v="TXN-00561"/>
    <d v="2024-04-13T00:00:00"/>
    <d v="1899-12-30T17:00:00"/>
    <s v="Karan Sharma"/>
    <s v="CUST0345"/>
    <x v="2"/>
    <x v="13"/>
    <x v="2"/>
    <s v="Cold"/>
    <s v="Unknown"/>
    <n v="1"/>
    <n v="105"/>
    <n v="0"/>
    <n v="105"/>
    <n v="105"/>
    <x v="1"/>
    <x v="3"/>
    <x v="5"/>
    <x v="0"/>
    <x v="0"/>
    <x v="1"/>
    <n v="353"/>
    <n v="26"/>
    <x v="538"/>
    <x v="554"/>
    <x v="4"/>
    <x v="3"/>
    <n v="105"/>
    <x v="0"/>
    <n v="105"/>
    <x v="549"/>
    <x v="554"/>
    <x v="0"/>
    <x v="8"/>
    <x v="8"/>
    <s v="Saturday"/>
  </r>
  <r>
    <s v="TXN-00562"/>
    <d v="2024-02-13T00:00:00"/>
    <d v="1899-12-30T09:00:00"/>
    <s v="Isha Gupta"/>
    <s v="CUST0329"/>
    <x v="0"/>
    <x v="3"/>
    <x v="0"/>
    <s v="Hot"/>
    <s v="Medium"/>
    <n v="2"/>
    <n v="120"/>
    <n v="0.05"/>
    <n v="240"/>
    <n v="228"/>
    <x v="0"/>
    <x v="3"/>
    <x v="2"/>
    <x v="5"/>
    <x v="0"/>
    <x v="2"/>
    <n v="92"/>
    <n v="47"/>
    <x v="539"/>
    <x v="346"/>
    <x v="3"/>
    <x v="2"/>
    <n v="240"/>
    <x v="2"/>
    <n v="228"/>
    <x v="550"/>
    <x v="346"/>
    <x v="0"/>
    <x v="3"/>
    <x v="3"/>
    <s v="Tuesday"/>
  </r>
  <r>
    <s v="TXN-00563"/>
    <d v="2024-01-18T00:00:00"/>
    <d v="1899-12-30T11:15:00"/>
    <s v="Vivaan Chopra"/>
    <s v="CUST0112"/>
    <x v="2"/>
    <x v="0"/>
    <x v="0"/>
    <s v="Hot"/>
    <s v="Medium"/>
    <n v="2"/>
    <n v="125"/>
    <n v="0"/>
    <n v="250"/>
    <n v="250"/>
    <x v="0"/>
    <x v="3"/>
    <x v="3"/>
    <x v="7"/>
    <x v="2"/>
    <x v="2"/>
    <n v="210"/>
    <n v="20"/>
    <x v="540"/>
    <x v="221"/>
    <x v="3"/>
    <x v="0"/>
    <n v="250"/>
    <x v="0"/>
    <n v="250"/>
    <x v="551"/>
    <x v="221"/>
    <x v="0"/>
    <x v="2"/>
    <x v="2"/>
    <s v="Thursday"/>
  </r>
  <r>
    <s v="TXN-00564"/>
    <d v="2024-08-11T00:00:00"/>
    <d v="1899-12-30T07:00:00"/>
    <s v="Isha Gupta"/>
    <s v="CUST0302"/>
    <x v="3"/>
    <x v="15"/>
    <x v="4"/>
    <s v="Food"/>
    <s v="Medium"/>
    <n v="2"/>
    <n v="185"/>
    <n v="0"/>
    <n v="370"/>
    <n v="370"/>
    <x v="0"/>
    <x v="1"/>
    <x v="6"/>
    <x v="1"/>
    <x v="0"/>
    <x v="4"/>
    <n v="5"/>
    <n v="37"/>
    <x v="541"/>
    <x v="555"/>
    <x v="1"/>
    <x v="1"/>
    <n v="370"/>
    <x v="0"/>
    <n v="370"/>
    <x v="552"/>
    <x v="555"/>
    <x v="0"/>
    <x v="1"/>
    <x v="1"/>
    <s v="Sunday"/>
  </r>
  <r>
    <s v="TXN-00565"/>
    <d v="2024-05-02T00:00:00"/>
    <d v="1899-12-30T18:20:00"/>
    <s v="Pooja Kaur"/>
    <s v="CUST0153"/>
    <x v="3"/>
    <x v="0"/>
    <x v="0"/>
    <s v="Hot"/>
    <s v="Small"/>
    <n v="1"/>
    <n v="140"/>
    <n v="0.1"/>
    <n v="140"/>
    <n v="126"/>
    <x v="0"/>
    <x v="3"/>
    <x v="5"/>
    <x v="3"/>
    <x v="0"/>
    <x v="4"/>
    <n v="160"/>
    <n v="35"/>
    <x v="542"/>
    <x v="556"/>
    <x v="2"/>
    <x v="0"/>
    <n v="140"/>
    <x v="9"/>
    <n v="126"/>
    <x v="553"/>
    <x v="556"/>
    <x v="0"/>
    <x v="6"/>
    <x v="6"/>
    <s v="Thursday"/>
  </r>
  <r>
    <s v="TXN-00566"/>
    <d v="2024-04-06T00:00:00"/>
    <d v="1899-12-30T10:00:00"/>
    <s v="Nikhil Malhotra"/>
    <s v="Unknown"/>
    <x v="3"/>
    <x v="8"/>
    <x v="0"/>
    <s v="Cold"/>
    <s v="Medium"/>
    <n v="1"/>
    <n v="155"/>
    <n v="0"/>
    <n v="155"/>
    <n v="155"/>
    <x v="0"/>
    <x v="3"/>
    <x v="5"/>
    <x v="7"/>
    <x v="2"/>
    <x v="4"/>
    <n v="347"/>
    <n v="21"/>
    <x v="543"/>
    <x v="557"/>
    <x v="3"/>
    <x v="2"/>
    <n v="155"/>
    <x v="0"/>
    <n v="155"/>
    <x v="554"/>
    <x v="557"/>
    <x v="0"/>
    <x v="8"/>
    <x v="8"/>
    <s v="Saturday"/>
  </r>
  <r>
    <s v="TXN-00567"/>
    <d v="2024-06-20T00:00:00"/>
    <d v="1899-12-30T17:15:00"/>
    <s v="Ananya Chopra"/>
    <s v="CUST0116"/>
    <x v="1"/>
    <x v="5"/>
    <x v="2"/>
    <s v="Hot"/>
    <s v="Large"/>
    <n v="1"/>
    <n v="95"/>
    <n v="0.15"/>
    <n v="95"/>
    <n v="80.75"/>
    <x v="1"/>
    <x v="3"/>
    <x v="3"/>
    <x v="6"/>
    <x v="0"/>
    <x v="1"/>
    <n v="44"/>
    <n v="35"/>
    <x v="544"/>
    <x v="558"/>
    <x v="4"/>
    <x v="3"/>
    <n v="95"/>
    <x v="36"/>
    <n v="80.75"/>
    <x v="555"/>
    <x v="558"/>
    <x v="0"/>
    <x v="4"/>
    <x v="4"/>
    <s v="Thursday"/>
  </r>
  <r>
    <s v="TXN-00568"/>
    <d v="2024-05-11T00:00:00"/>
    <d v="1899-12-30T20:50:00"/>
    <s v="Sahil Mehta"/>
    <s v="CUST0301"/>
    <x v="3"/>
    <x v="14"/>
    <x v="3"/>
    <s v="Food"/>
    <s v="Medium"/>
    <n v="1"/>
    <n v="180"/>
    <n v="0.15"/>
    <n v="180"/>
    <n v="153"/>
    <x v="2"/>
    <x v="0"/>
    <x v="2"/>
    <x v="0"/>
    <x v="0"/>
    <x v="3"/>
    <n v="244"/>
    <n v="32"/>
    <x v="545"/>
    <x v="559"/>
    <x v="0"/>
    <x v="4"/>
    <n v="180"/>
    <x v="33"/>
    <n v="153"/>
    <x v="556"/>
    <x v="559"/>
    <x v="0"/>
    <x v="6"/>
    <x v="6"/>
    <s v="Saturday"/>
  </r>
  <r>
    <s v="TXN-00569"/>
    <d v="2024-06-04T00:00:00"/>
    <d v="1899-12-30T12:30:00"/>
    <s v="Sahil Sharma"/>
    <s v="CUST0169"/>
    <x v="1"/>
    <x v="2"/>
    <x v="1"/>
    <s v="Food"/>
    <s v="Large"/>
    <n v="3"/>
    <n v="65"/>
    <n v="0.1"/>
    <n v="195"/>
    <n v="175.5"/>
    <x v="0"/>
    <x v="3"/>
    <x v="2"/>
    <x v="1"/>
    <x v="0"/>
    <x v="1"/>
    <n v="318"/>
    <n v="35"/>
    <x v="546"/>
    <x v="560"/>
    <x v="3"/>
    <x v="0"/>
    <n v="195"/>
    <x v="50"/>
    <n v="175.5"/>
    <x v="557"/>
    <x v="560"/>
    <x v="0"/>
    <x v="4"/>
    <x v="4"/>
    <s v="Tuesday"/>
  </r>
  <r>
    <s v="TXN-00570"/>
    <d v="2024-05-28T00:00:00"/>
    <d v="1899-12-30T20:45:00"/>
    <s v="Vivaan Chopra"/>
    <s v="CUST0302"/>
    <x v="0"/>
    <x v="1"/>
    <x v="1"/>
    <s v="Food"/>
    <s v="Unknown"/>
    <n v="1"/>
    <n v="125"/>
    <n v="0.1"/>
    <n v="125"/>
    <n v="112.5"/>
    <x v="0"/>
    <x v="0"/>
    <x v="3"/>
    <x v="3"/>
    <x v="1"/>
    <x v="1"/>
    <n v="235"/>
    <n v="34"/>
    <x v="547"/>
    <x v="561"/>
    <x v="0"/>
    <x v="4"/>
    <n v="125"/>
    <x v="91"/>
    <n v="112.5"/>
    <x v="558"/>
    <x v="561"/>
    <x v="0"/>
    <x v="6"/>
    <x v="6"/>
    <s v="Tuesday"/>
  </r>
  <r>
    <s v="TXN-00571"/>
    <d v="2024-08-03T00:00:00"/>
    <d v="1899-12-30T13:00:00"/>
    <s v="Unknown"/>
    <s v="CUST0217"/>
    <x v="3"/>
    <x v="3"/>
    <x v="0"/>
    <s v="Hot"/>
    <s v="Unknown"/>
    <n v="1"/>
    <n v="130"/>
    <n v="0"/>
    <n v="130"/>
    <n v="130"/>
    <x v="3"/>
    <x v="1"/>
    <x v="2"/>
    <x v="0"/>
    <x v="0"/>
    <x v="2"/>
    <n v="267"/>
    <n v="31"/>
    <x v="548"/>
    <x v="562"/>
    <x v="1"/>
    <x v="2"/>
    <n v="130"/>
    <x v="0"/>
    <n v="130"/>
    <x v="559"/>
    <x v="562"/>
    <x v="0"/>
    <x v="1"/>
    <x v="1"/>
    <s v="Saturday"/>
  </r>
  <r>
    <s v="TXN-00572"/>
    <d v="2024-02-09T00:00:00"/>
    <d v="1899-12-30T16:10:00"/>
    <s v="Kavya Sharma"/>
    <s v="Unknown"/>
    <x v="2"/>
    <x v="14"/>
    <x v="3"/>
    <s v="Food"/>
    <s v="Small"/>
    <n v="1"/>
    <n v="175"/>
    <n v="0"/>
    <n v="175"/>
    <n v="175"/>
    <x v="2"/>
    <x v="3"/>
    <x v="1"/>
    <x v="1"/>
    <x v="0"/>
    <x v="4"/>
    <n v="244"/>
    <n v="35"/>
    <x v="549"/>
    <x v="563"/>
    <x v="4"/>
    <x v="1"/>
    <n v="175"/>
    <x v="0"/>
    <n v="175"/>
    <x v="560"/>
    <x v="563"/>
    <x v="0"/>
    <x v="3"/>
    <x v="3"/>
    <s v="Friday"/>
  </r>
  <r>
    <s v="TXN-00573"/>
    <d v="2024-08-20T00:00:00"/>
    <d v="1899-12-30T18:30:00"/>
    <s v="Manish Kaur"/>
    <s v="CUST0274"/>
    <x v="3"/>
    <x v="8"/>
    <x v="0"/>
    <s v="Cold"/>
    <s v="Small"/>
    <n v="1"/>
    <n v="170"/>
    <n v="0.1"/>
    <n v="170"/>
    <n v="153"/>
    <x v="2"/>
    <x v="2"/>
    <x v="0"/>
    <x v="4"/>
    <x v="0"/>
    <x v="2"/>
    <n v="75"/>
    <n v="37"/>
    <x v="550"/>
    <x v="564"/>
    <x v="4"/>
    <x v="0"/>
    <n v="170"/>
    <x v="18"/>
    <n v="153"/>
    <x v="561"/>
    <x v="564"/>
    <x v="0"/>
    <x v="1"/>
    <x v="1"/>
    <s v="Tuesday"/>
  </r>
  <r>
    <s v="TXN-00574"/>
    <d v="2024-08-15T00:00:00"/>
    <d v="1899-12-30T21:30:00"/>
    <s v="Neha Malhotra"/>
    <s v="CUST0311"/>
    <x v="3"/>
    <x v="14"/>
    <x v="3"/>
    <s v="Food"/>
    <s v="Medium"/>
    <n v="1"/>
    <n v="175"/>
    <n v="0"/>
    <n v="175"/>
    <n v="175"/>
    <x v="2"/>
    <x v="3"/>
    <x v="1"/>
    <x v="3"/>
    <x v="2"/>
    <x v="4"/>
    <n v="178"/>
    <n v="35"/>
    <x v="551"/>
    <x v="565"/>
    <x v="5"/>
    <x v="0"/>
    <n v="175"/>
    <x v="0"/>
    <n v="175"/>
    <x v="562"/>
    <x v="565"/>
    <x v="0"/>
    <x v="1"/>
    <x v="1"/>
    <s v="Thursday"/>
  </r>
  <r>
    <s v="TXN-00575"/>
    <d v="2024-05-31T00:00:00"/>
    <d v="1899-12-30T21:20:00"/>
    <s v="Sahil Bansal"/>
    <s v="CUST0348"/>
    <x v="3"/>
    <x v="11"/>
    <x v="0"/>
    <s v="Hot"/>
    <s v="Medium"/>
    <n v="4"/>
    <n v="90"/>
    <n v="0.05"/>
    <n v="360"/>
    <n v="342"/>
    <x v="0"/>
    <x v="0"/>
    <x v="2"/>
    <x v="6"/>
    <x v="2"/>
    <x v="2"/>
    <n v="294"/>
    <n v="60"/>
    <x v="552"/>
    <x v="566"/>
    <x v="1"/>
    <x v="0"/>
    <n v="360"/>
    <x v="23"/>
    <n v="342"/>
    <x v="563"/>
    <x v="566"/>
    <x v="0"/>
    <x v="6"/>
    <x v="6"/>
    <s v="Friday"/>
  </r>
  <r>
    <s v="TXN-00576"/>
    <d v="2024-01-05T00:00:00"/>
    <d v="1899-12-30T20:30:00"/>
    <s v="Manish Gupta"/>
    <s v="CUST0119"/>
    <x v="2"/>
    <x v="15"/>
    <x v="4"/>
    <s v="Food"/>
    <s v="Large"/>
    <n v="1"/>
    <n v="190"/>
    <n v="0.1"/>
    <n v="190"/>
    <n v="171"/>
    <x v="1"/>
    <x v="0"/>
    <x v="1"/>
    <x v="5"/>
    <x v="1"/>
    <x v="2"/>
    <n v="127"/>
    <n v="34"/>
    <x v="553"/>
    <x v="407"/>
    <x v="4"/>
    <x v="4"/>
    <n v="190"/>
    <x v="29"/>
    <n v="171"/>
    <x v="564"/>
    <x v="407"/>
    <x v="0"/>
    <x v="2"/>
    <x v="2"/>
    <s v="Friday"/>
  </r>
  <r>
    <s v="TXN-00577"/>
    <d v="2024-08-18T00:00:00"/>
    <d v="1899-12-30T07:30:00"/>
    <s v="Arjun Kapoor"/>
    <s v="CUST0194"/>
    <x v="2"/>
    <x v="9"/>
    <x v="2"/>
    <s v="Hot"/>
    <s v="Large"/>
    <n v="1"/>
    <n v="90"/>
    <n v="0"/>
    <n v="90"/>
    <n v="90"/>
    <x v="1"/>
    <x v="3"/>
    <x v="1"/>
    <x v="2"/>
    <x v="0"/>
    <x v="2"/>
    <n v="383"/>
    <n v="35"/>
    <x v="554"/>
    <x v="567"/>
    <x v="2"/>
    <x v="0"/>
    <n v="90"/>
    <x v="0"/>
    <n v="90"/>
    <x v="565"/>
    <x v="567"/>
    <x v="0"/>
    <x v="1"/>
    <x v="1"/>
    <s v="Sunday"/>
  </r>
  <r>
    <s v="TXN-00578"/>
    <d v="2024-05-20T00:00:00"/>
    <d v="1899-12-30T21:10:00"/>
    <s v="Sahil Mehta"/>
    <s v="CUST0317"/>
    <x v="2"/>
    <x v="7"/>
    <x v="0"/>
    <s v="Hot"/>
    <s v="Small"/>
    <n v="1"/>
    <n v="145"/>
    <n v="0"/>
    <n v="145"/>
    <n v="145"/>
    <x v="1"/>
    <x v="3"/>
    <x v="2"/>
    <x v="4"/>
    <x v="0"/>
    <x v="0"/>
    <n v="445"/>
    <n v="11"/>
    <x v="555"/>
    <x v="568"/>
    <x v="3"/>
    <x v="4"/>
    <n v="145"/>
    <x v="0"/>
    <n v="145"/>
    <x v="566"/>
    <x v="568"/>
    <x v="0"/>
    <x v="6"/>
    <x v="6"/>
    <s v="Monday"/>
  </r>
  <r>
    <s v="TXN-00579"/>
    <d v="2024-05-02T00:00:00"/>
    <d v="1899-12-30T09:50:00"/>
    <s v="Riya Bansal"/>
    <s v="CUST0169"/>
    <x v="2"/>
    <x v="12"/>
    <x v="1"/>
    <s v="Food"/>
    <s v="Large"/>
    <n v="2"/>
    <n v="100"/>
    <n v="0"/>
    <n v="200"/>
    <n v="200"/>
    <x v="1"/>
    <x v="2"/>
    <x v="3"/>
    <x v="7"/>
    <x v="2"/>
    <x v="2"/>
    <n v="498"/>
    <n v="52"/>
    <x v="556"/>
    <x v="569"/>
    <x v="3"/>
    <x v="0"/>
    <n v="200"/>
    <x v="0"/>
    <n v="200"/>
    <x v="567"/>
    <x v="569"/>
    <x v="0"/>
    <x v="6"/>
    <x v="6"/>
    <s v="Thursday"/>
  </r>
  <r>
    <s v="TXN-00580"/>
    <d v="2024-08-06T00:00:00"/>
    <d v="1899-12-30T13:15:00"/>
    <s v="Aarav Chopra"/>
    <s v="CUST0365"/>
    <x v="0"/>
    <x v="14"/>
    <x v="3"/>
    <s v="Food"/>
    <s v="Unknown"/>
    <n v="2"/>
    <n v="180"/>
    <n v="0"/>
    <n v="360"/>
    <n v="360"/>
    <x v="2"/>
    <x v="1"/>
    <x v="1"/>
    <x v="4"/>
    <x v="0"/>
    <x v="4"/>
    <n v="16"/>
    <n v="48"/>
    <x v="557"/>
    <x v="570"/>
    <x v="3"/>
    <x v="4"/>
    <n v="360"/>
    <x v="0"/>
    <n v="360"/>
    <x v="568"/>
    <x v="570"/>
    <x v="0"/>
    <x v="1"/>
    <x v="1"/>
    <s v="Tuesday"/>
  </r>
  <r>
    <s v="TXN-00581"/>
    <d v="2024-08-14T00:00:00"/>
    <d v="1899-12-30T15:20:00"/>
    <s v="Ananya Kapoor"/>
    <s v="CUST0261"/>
    <x v="3"/>
    <x v="3"/>
    <x v="0"/>
    <s v="Hot"/>
    <s v="Medium"/>
    <n v="3"/>
    <n v="120"/>
    <n v="0"/>
    <n v="360"/>
    <n v="360"/>
    <x v="1"/>
    <x v="3"/>
    <x v="2"/>
    <x v="1"/>
    <x v="0"/>
    <x v="0"/>
    <n v="100"/>
    <n v="54"/>
    <x v="558"/>
    <x v="571"/>
    <x v="0"/>
    <x v="1"/>
    <n v="360"/>
    <x v="0"/>
    <n v="360"/>
    <x v="569"/>
    <x v="571"/>
    <x v="0"/>
    <x v="1"/>
    <x v="1"/>
    <s v="Wednesday"/>
  </r>
  <r>
    <s v="TXN-00582"/>
    <d v="2024-09-28T00:00:00"/>
    <d v="1899-12-30T17:10:00"/>
    <s v="Riya Malhotra"/>
    <s v="CUST0167"/>
    <x v="3"/>
    <x v="2"/>
    <x v="1"/>
    <s v="Food"/>
    <s v="Small"/>
    <n v="1"/>
    <n v="80"/>
    <n v="0"/>
    <n v="80"/>
    <n v="80"/>
    <x v="1"/>
    <x v="0"/>
    <x v="3"/>
    <x v="3"/>
    <x v="0"/>
    <x v="4"/>
    <n v="197"/>
    <n v="34"/>
    <x v="559"/>
    <x v="572"/>
    <x v="3"/>
    <x v="3"/>
    <n v="80"/>
    <x v="0"/>
    <n v="80"/>
    <x v="570"/>
    <x v="572"/>
    <x v="0"/>
    <x v="0"/>
    <x v="0"/>
    <s v="Saturday"/>
  </r>
  <r>
    <s v="TXN-00583"/>
    <d v="2024-06-13T00:00:00"/>
    <d v="1899-12-30T10:30:00"/>
    <s v="Karan Gupta"/>
    <s v="CUST0339"/>
    <x v="1"/>
    <x v="4"/>
    <x v="0"/>
    <s v="Cold"/>
    <s v="Medium"/>
    <n v="4"/>
    <n v="150"/>
    <n v="0.05"/>
    <n v="600"/>
    <n v="570"/>
    <x v="2"/>
    <x v="0"/>
    <x v="4"/>
    <x v="4"/>
    <x v="0"/>
    <x v="4"/>
    <n v="376"/>
    <n v="34"/>
    <x v="560"/>
    <x v="573"/>
    <x v="3"/>
    <x v="1"/>
    <n v="600"/>
    <x v="89"/>
    <n v="570"/>
    <x v="571"/>
    <x v="573"/>
    <x v="0"/>
    <x v="4"/>
    <x v="4"/>
    <s v="Thursday"/>
  </r>
  <r>
    <s v="TXN-00584"/>
    <d v="2024-03-27T00:00:00"/>
    <d v="1899-12-30T19:15:00"/>
    <s v="Ananya Chopra"/>
    <s v="CUST0209"/>
    <x v="2"/>
    <x v="14"/>
    <x v="3"/>
    <s v="Food"/>
    <s v="Unknown"/>
    <n v="2"/>
    <n v="180"/>
    <n v="0"/>
    <n v="360"/>
    <n v="360"/>
    <x v="0"/>
    <x v="2"/>
    <x v="5"/>
    <x v="5"/>
    <x v="0"/>
    <x v="2"/>
    <n v="157"/>
    <n v="25"/>
    <x v="561"/>
    <x v="574"/>
    <x v="3"/>
    <x v="0"/>
    <n v="360"/>
    <x v="0"/>
    <n v="360"/>
    <x v="572"/>
    <x v="574"/>
    <x v="0"/>
    <x v="5"/>
    <x v="5"/>
    <s v="Wednesday"/>
  </r>
  <r>
    <s v="TXN-00585"/>
    <d v="2024-06-15T00:00:00"/>
    <d v="1899-12-30T19:15:00"/>
    <s v="Karan Chopra"/>
    <s v="CUST0322"/>
    <x v="3"/>
    <x v="4"/>
    <x v="0"/>
    <s v="Cold"/>
    <s v="Medium"/>
    <n v="1"/>
    <n v="150"/>
    <n v="0.1"/>
    <n v="150"/>
    <n v="135"/>
    <x v="2"/>
    <x v="1"/>
    <x v="2"/>
    <x v="6"/>
    <x v="0"/>
    <x v="4"/>
    <n v="477"/>
    <n v="54"/>
    <x v="562"/>
    <x v="575"/>
    <x v="3"/>
    <x v="2"/>
    <n v="150"/>
    <x v="51"/>
    <n v="135"/>
    <x v="573"/>
    <x v="575"/>
    <x v="0"/>
    <x v="4"/>
    <x v="4"/>
    <s v="Saturday"/>
  </r>
  <r>
    <s v="TXN-00586"/>
    <d v="2024-08-19T00:00:00"/>
    <d v="1899-12-30T16:10:00"/>
    <s v="Kavya Verma"/>
    <s v="CUST0213"/>
    <x v="0"/>
    <x v="7"/>
    <x v="0"/>
    <s v="Hot"/>
    <s v="Medium"/>
    <n v="4"/>
    <n v="155"/>
    <n v="0.05"/>
    <n v="620"/>
    <n v="589"/>
    <x v="1"/>
    <x v="0"/>
    <x v="3"/>
    <x v="5"/>
    <x v="0"/>
    <x v="2"/>
    <n v="289"/>
    <n v="34"/>
    <x v="563"/>
    <x v="576"/>
    <x v="2"/>
    <x v="3"/>
    <n v="620"/>
    <x v="53"/>
    <n v="589"/>
    <x v="574"/>
    <x v="576"/>
    <x v="0"/>
    <x v="1"/>
    <x v="1"/>
    <s v="Monday"/>
  </r>
  <r>
    <s v="TXN-00587"/>
    <d v="2024-06-24T00:00:00"/>
    <d v="1899-12-30T21:20:00"/>
    <s v="Kavya Verma"/>
    <s v="CUST0163"/>
    <x v="3"/>
    <x v="6"/>
    <x v="0"/>
    <s v="Hot"/>
    <s v="Large"/>
    <n v="1"/>
    <n v="105"/>
    <n v="0.1"/>
    <n v="105"/>
    <n v="94.5"/>
    <x v="2"/>
    <x v="2"/>
    <x v="0"/>
    <x v="7"/>
    <x v="0"/>
    <x v="2"/>
    <n v="497"/>
    <n v="23"/>
    <x v="564"/>
    <x v="577"/>
    <x v="4"/>
    <x v="3"/>
    <n v="105"/>
    <x v="25"/>
    <n v="94.5"/>
    <x v="575"/>
    <x v="577"/>
    <x v="0"/>
    <x v="4"/>
    <x v="4"/>
    <s v="Monday"/>
  </r>
  <r>
    <s v="TXN-00588"/>
    <d v="2024-12-04T00:00:00"/>
    <d v="1899-12-30T10:30:00"/>
    <s v="Meera Chopra"/>
    <s v="CUST0104"/>
    <x v="2"/>
    <x v="15"/>
    <x v="4"/>
    <s v="Food"/>
    <s v="Small"/>
    <n v="2"/>
    <n v="190"/>
    <n v="0"/>
    <n v="380"/>
    <n v="380"/>
    <x v="3"/>
    <x v="3"/>
    <x v="3"/>
    <x v="7"/>
    <x v="0"/>
    <x v="2"/>
    <n v="175"/>
    <n v="14"/>
    <x v="565"/>
    <x v="578"/>
    <x v="3"/>
    <x v="1"/>
    <n v="380"/>
    <x v="0"/>
    <n v="380"/>
    <x v="576"/>
    <x v="578"/>
    <x v="0"/>
    <x v="9"/>
    <x v="9"/>
    <s v="Wednesday"/>
  </r>
  <r>
    <s v="TXN-00589"/>
    <d v="2024-03-08T00:00:00"/>
    <d v="1899-12-30T08:10:00"/>
    <s v="Rohan Verma"/>
    <s v="CUST0200"/>
    <x v="2"/>
    <x v="11"/>
    <x v="0"/>
    <s v="Hot"/>
    <s v="Small"/>
    <n v="2"/>
    <n v="90"/>
    <n v="0"/>
    <n v="180"/>
    <n v="180"/>
    <x v="1"/>
    <x v="3"/>
    <x v="0"/>
    <x v="2"/>
    <x v="0"/>
    <x v="2"/>
    <n v="344"/>
    <n v="60"/>
    <x v="566"/>
    <x v="579"/>
    <x v="0"/>
    <x v="1"/>
    <n v="180"/>
    <x v="0"/>
    <n v="180"/>
    <x v="577"/>
    <x v="579"/>
    <x v="0"/>
    <x v="5"/>
    <x v="5"/>
    <s v="Friday"/>
  </r>
  <r>
    <s v="TXN-00590"/>
    <d v="2024-09-15T00:00:00"/>
    <d v="1899-12-30T13:20:00"/>
    <s v="Sahil Gupta"/>
    <s v="CUST0229"/>
    <x v="1"/>
    <x v="11"/>
    <x v="0"/>
    <s v="Hot"/>
    <s v="Medium"/>
    <n v="2"/>
    <n v="85"/>
    <n v="0"/>
    <n v="170"/>
    <n v="170"/>
    <x v="2"/>
    <x v="0"/>
    <x v="3"/>
    <x v="0"/>
    <x v="2"/>
    <x v="3"/>
    <n v="78"/>
    <n v="34"/>
    <x v="567"/>
    <x v="580"/>
    <x v="2"/>
    <x v="1"/>
    <n v="170"/>
    <x v="0"/>
    <n v="170"/>
    <x v="578"/>
    <x v="580"/>
    <x v="0"/>
    <x v="0"/>
    <x v="0"/>
    <s v="Sunday"/>
  </r>
  <r>
    <s v="TXN-00591"/>
    <d v="2024-07-21T00:00:00"/>
    <d v="1899-12-30T16:45:00"/>
    <s v="Nikhil Kapoor"/>
    <s v="CUST0341"/>
    <x v="3"/>
    <x v="8"/>
    <x v="0"/>
    <s v="Cold"/>
    <s v="Large"/>
    <n v="1"/>
    <n v="165"/>
    <n v="0"/>
    <n v="165"/>
    <n v="165"/>
    <x v="2"/>
    <x v="2"/>
    <x v="0"/>
    <x v="4"/>
    <x v="0"/>
    <x v="4"/>
    <n v="83"/>
    <n v="24"/>
    <x v="568"/>
    <x v="581"/>
    <x v="1"/>
    <x v="2"/>
    <n v="165"/>
    <x v="0"/>
    <n v="165"/>
    <x v="579"/>
    <x v="581"/>
    <x v="0"/>
    <x v="7"/>
    <x v="7"/>
    <s v="Sunday"/>
  </r>
  <r>
    <s v="TXN-00592"/>
    <d v="2024-08-10T00:00:00"/>
    <d v="1899-12-30T18:45:00"/>
    <s v="Sneha Bansal"/>
    <s v="CUST0203"/>
    <x v="1"/>
    <x v="10"/>
    <x v="1"/>
    <s v="Food"/>
    <s v="Large"/>
    <n v="1"/>
    <n v="105"/>
    <n v="0.1"/>
    <n v="105"/>
    <n v="94.5"/>
    <x v="2"/>
    <x v="3"/>
    <x v="1"/>
    <x v="0"/>
    <x v="0"/>
    <x v="2"/>
    <n v="182"/>
    <n v="22"/>
    <x v="569"/>
    <x v="582"/>
    <x v="3"/>
    <x v="0"/>
    <n v="105"/>
    <x v="25"/>
    <n v="94.5"/>
    <x v="580"/>
    <x v="582"/>
    <x v="0"/>
    <x v="1"/>
    <x v="1"/>
    <s v="Saturday"/>
  </r>
  <r>
    <s v="TXN-00593"/>
    <d v="2024-12-30T00:00:00"/>
    <d v="1899-12-30T07:50:00"/>
    <s v="Arjun Sharma"/>
    <s v="CUST0104"/>
    <x v="2"/>
    <x v="3"/>
    <x v="0"/>
    <s v="Hot"/>
    <s v="Large"/>
    <n v="1"/>
    <n v="120"/>
    <n v="0.1"/>
    <n v="120"/>
    <n v="108"/>
    <x v="1"/>
    <x v="0"/>
    <x v="0"/>
    <x v="4"/>
    <x v="0"/>
    <x v="4"/>
    <n v="364"/>
    <n v="34"/>
    <x v="570"/>
    <x v="583"/>
    <x v="0"/>
    <x v="4"/>
    <n v="120"/>
    <x v="2"/>
    <n v="108"/>
    <x v="581"/>
    <x v="583"/>
    <x v="0"/>
    <x v="9"/>
    <x v="9"/>
    <s v="Monday"/>
  </r>
  <r>
    <s v="TXN-00594"/>
    <d v="2024-04-16T00:00:00"/>
    <d v="1899-12-30T13:45:00"/>
    <s v="Isha Mehta"/>
    <s v="CUST0155"/>
    <x v="2"/>
    <x v="14"/>
    <x v="3"/>
    <s v="Food"/>
    <s v="Small"/>
    <n v="2"/>
    <n v="180"/>
    <n v="0.1"/>
    <n v="360"/>
    <n v="324"/>
    <x v="0"/>
    <x v="3"/>
    <x v="6"/>
    <x v="4"/>
    <x v="2"/>
    <x v="4"/>
    <n v="325"/>
    <n v="56"/>
    <x v="571"/>
    <x v="584"/>
    <x v="2"/>
    <x v="0"/>
    <n v="360"/>
    <x v="72"/>
    <n v="324"/>
    <x v="582"/>
    <x v="584"/>
    <x v="0"/>
    <x v="8"/>
    <x v="8"/>
    <s v="Tuesday"/>
  </r>
  <r>
    <s v="TXN-00595"/>
    <d v="2024-04-15T00:00:00"/>
    <d v="1899-12-30T11:30:00"/>
    <s v="Neha Gupta"/>
    <s v="Unknown"/>
    <x v="3"/>
    <x v="5"/>
    <x v="2"/>
    <s v="Hot"/>
    <s v="Unknown"/>
    <n v="1"/>
    <n v="100"/>
    <n v="0.05"/>
    <n v="100"/>
    <n v="95"/>
    <x v="0"/>
    <x v="0"/>
    <x v="0"/>
    <x v="0"/>
    <x v="0"/>
    <x v="1"/>
    <n v="3"/>
    <n v="34"/>
    <x v="572"/>
    <x v="585"/>
    <x v="1"/>
    <x v="1"/>
    <n v="100"/>
    <x v="32"/>
    <n v="95"/>
    <x v="583"/>
    <x v="585"/>
    <x v="0"/>
    <x v="8"/>
    <x v="8"/>
    <s v="Monday"/>
  </r>
  <r>
    <s v="TXN-00596"/>
    <d v="2024-05-02T00:00:00"/>
    <d v="1899-12-30T18:30:00"/>
    <s v="Riya Bansal"/>
    <s v="CUST0234"/>
    <x v="0"/>
    <x v="5"/>
    <x v="2"/>
    <s v="Hot"/>
    <s v="Medium"/>
    <n v="2"/>
    <n v="100"/>
    <n v="0.05"/>
    <n v="200"/>
    <n v="190"/>
    <x v="2"/>
    <x v="0"/>
    <x v="2"/>
    <x v="7"/>
    <x v="0"/>
    <x v="1"/>
    <n v="367"/>
    <n v="56"/>
    <x v="573"/>
    <x v="586"/>
    <x v="1"/>
    <x v="3"/>
    <n v="200"/>
    <x v="4"/>
    <n v="190"/>
    <x v="584"/>
    <x v="586"/>
    <x v="0"/>
    <x v="6"/>
    <x v="6"/>
    <s v="Thursday"/>
  </r>
  <r>
    <s v="TXN-00597"/>
    <d v="2024-05-15T00:00:00"/>
    <d v="1899-12-30T14:00:00"/>
    <s v="Isha Chopra"/>
    <s v="CUST0236"/>
    <x v="1"/>
    <x v="7"/>
    <x v="0"/>
    <s v="Hot"/>
    <s v="Medium"/>
    <n v="1"/>
    <n v="145"/>
    <n v="0"/>
    <n v="145"/>
    <n v="145"/>
    <x v="1"/>
    <x v="0"/>
    <x v="0"/>
    <x v="3"/>
    <x v="1"/>
    <x v="1"/>
    <n v="247"/>
    <n v="38"/>
    <x v="574"/>
    <x v="587"/>
    <x v="4"/>
    <x v="4"/>
    <n v="145"/>
    <x v="0"/>
    <n v="145"/>
    <x v="585"/>
    <x v="587"/>
    <x v="0"/>
    <x v="6"/>
    <x v="6"/>
    <s v="Wednesday"/>
  </r>
  <r>
    <s v="TXN-00598"/>
    <d v="2024-12-14T00:00:00"/>
    <d v="1899-12-30T12:00:00"/>
    <s v="Riya Kaur"/>
    <s v="CUST0396"/>
    <x v="2"/>
    <x v="1"/>
    <x v="1"/>
    <s v="Food"/>
    <s v="Small"/>
    <n v="5"/>
    <n v="125"/>
    <n v="0.05"/>
    <n v="625"/>
    <n v="593.75"/>
    <x v="1"/>
    <x v="3"/>
    <x v="5"/>
    <x v="3"/>
    <x v="2"/>
    <x v="1"/>
    <n v="244"/>
    <n v="50"/>
    <x v="575"/>
    <x v="588"/>
    <x v="2"/>
    <x v="2"/>
    <n v="625"/>
    <x v="93"/>
    <n v="593.75"/>
    <x v="586"/>
    <x v="588"/>
    <x v="0"/>
    <x v="9"/>
    <x v="9"/>
    <s v="Saturday"/>
  </r>
  <r>
    <s v="TXN-00599"/>
    <d v="2024-01-06T00:00:00"/>
    <d v="1899-12-30T12:15:00"/>
    <s v="Priya Sharma"/>
    <s v="CUST0225"/>
    <x v="2"/>
    <x v="10"/>
    <x v="1"/>
    <s v="Food"/>
    <s v="Medium"/>
    <n v="1"/>
    <n v="105"/>
    <n v="0"/>
    <n v="105"/>
    <n v="105"/>
    <x v="2"/>
    <x v="2"/>
    <x v="3"/>
    <x v="1"/>
    <x v="0"/>
    <x v="0"/>
    <n v="323"/>
    <n v="37"/>
    <x v="576"/>
    <x v="589"/>
    <x v="0"/>
    <x v="0"/>
    <n v="105"/>
    <x v="0"/>
    <n v="105"/>
    <x v="587"/>
    <x v="589"/>
    <x v="0"/>
    <x v="2"/>
    <x v="2"/>
    <s v="Saturday"/>
  </r>
  <r>
    <s v="TXN-00600"/>
    <d v="2024-04-05T00:00:00"/>
    <d v="1899-12-30T17:30:00"/>
    <s v="Aarav Sharma"/>
    <s v="CUST0205"/>
    <x v="2"/>
    <x v="13"/>
    <x v="2"/>
    <s v="Cold"/>
    <s v="Small"/>
    <n v="3"/>
    <n v="115"/>
    <n v="0"/>
    <n v="345"/>
    <n v="345"/>
    <x v="2"/>
    <x v="3"/>
    <x v="6"/>
    <x v="6"/>
    <x v="2"/>
    <x v="3"/>
    <n v="59"/>
    <n v="35"/>
    <x v="577"/>
    <x v="590"/>
    <x v="4"/>
    <x v="4"/>
    <n v="345"/>
    <x v="0"/>
    <n v="345"/>
    <x v="588"/>
    <x v="590"/>
    <x v="0"/>
    <x v="8"/>
    <x v="8"/>
    <s v="Friday"/>
  </r>
  <r>
    <s v="TXN-00601"/>
    <d v="2024-08-25T00:00:00"/>
    <d v="1899-12-30T13:50:00"/>
    <s v="Riya Bansal"/>
    <s v="CUST0111"/>
    <x v="3"/>
    <x v="15"/>
    <x v="4"/>
    <s v="Food"/>
    <s v="Unknown"/>
    <n v="2"/>
    <n v="190"/>
    <n v="0"/>
    <n v="380"/>
    <n v="380"/>
    <x v="0"/>
    <x v="0"/>
    <x v="2"/>
    <x v="6"/>
    <x v="1"/>
    <x v="2"/>
    <n v="44"/>
    <n v="34"/>
    <x v="578"/>
    <x v="591"/>
    <x v="1"/>
    <x v="4"/>
    <n v="380"/>
    <x v="0"/>
    <n v="380"/>
    <x v="589"/>
    <x v="591"/>
    <x v="0"/>
    <x v="1"/>
    <x v="1"/>
    <s v="Sunday"/>
  </r>
  <r>
    <s v="TXN-00602"/>
    <d v="2024-05-14T00:00:00"/>
    <d v="1899-12-30T21:45:00"/>
    <s v="Neha Kaur"/>
    <s v="CUST0209"/>
    <x v="0"/>
    <x v="1"/>
    <x v="1"/>
    <s v="Food"/>
    <s v="Large"/>
    <n v="3"/>
    <n v="130"/>
    <n v="0.05"/>
    <n v="390"/>
    <n v="370.5"/>
    <x v="0"/>
    <x v="2"/>
    <x v="6"/>
    <x v="7"/>
    <x v="0"/>
    <x v="4"/>
    <n v="244"/>
    <n v="60"/>
    <x v="579"/>
    <x v="592"/>
    <x v="4"/>
    <x v="0"/>
    <n v="390"/>
    <x v="50"/>
    <n v="370.5"/>
    <x v="590"/>
    <x v="592"/>
    <x v="0"/>
    <x v="6"/>
    <x v="6"/>
    <s v="Tuesday"/>
  </r>
  <r>
    <s v="TXN-00603"/>
    <d v="2024-07-21T00:00:00"/>
    <d v="1899-12-30T15:00:00"/>
    <s v="Meera Kapoor"/>
    <s v="CUST0218"/>
    <x v="3"/>
    <x v="2"/>
    <x v="1"/>
    <s v="Food"/>
    <s v="Small"/>
    <n v="1"/>
    <n v="75"/>
    <n v="0"/>
    <n v="75"/>
    <n v="75"/>
    <x v="0"/>
    <x v="0"/>
    <x v="1"/>
    <x v="4"/>
    <x v="1"/>
    <x v="2"/>
    <n v="468"/>
    <n v="34"/>
    <x v="580"/>
    <x v="593"/>
    <x v="3"/>
    <x v="3"/>
    <n v="75"/>
    <x v="0"/>
    <n v="75"/>
    <x v="591"/>
    <x v="593"/>
    <x v="0"/>
    <x v="7"/>
    <x v="7"/>
    <s v="Sunday"/>
  </r>
  <r>
    <s v="TXN-00604"/>
    <d v="2024-09-05T00:00:00"/>
    <d v="1899-12-30T14:10:00"/>
    <s v="Priya Kaur"/>
    <s v="CUST0351"/>
    <x v="3"/>
    <x v="5"/>
    <x v="2"/>
    <s v="Hot"/>
    <s v="Medium"/>
    <n v="1"/>
    <n v="95"/>
    <n v="0"/>
    <n v="95"/>
    <n v="95"/>
    <x v="2"/>
    <x v="0"/>
    <x v="4"/>
    <x v="5"/>
    <x v="0"/>
    <x v="2"/>
    <n v="321"/>
    <n v="41"/>
    <x v="581"/>
    <x v="594"/>
    <x v="3"/>
    <x v="2"/>
    <n v="95"/>
    <x v="0"/>
    <n v="95"/>
    <x v="592"/>
    <x v="594"/>
    <x v="0"/>
    <x v="0"/>
    <x v="0"/>
    <s v="Thursday"/>
  </r>
  <r>
    <s v="TXN-00605"/>
    <d v="2024-08-23T00:00:00"/>
    <d v="1899-12-30T10:10:00"/>
    <s v="Isha Gupta"/>
    <s v="CUST0319"/>
    <x v="1"/>
    <x v="7"/>
    <x v="0"/>
    <s v="Hot"/>
    <s v="Medium"/>
    <n v="1"/>
    <n v="150"/>
    <n v="0"/>
    <n v="150"/>
    <n v="150"/>
    <x v="0"/>
    <x v="1"/>
    <x v="5"/>
    <x v="6"/>
    <x v="1"/>
    <x v="0"/>
    <n v="244"/>
    <n v="23"/>
    <x v="582"/>
    <x v="595"/>
    <x v="0"/>
    <x v="3"/>
    <n v="150"/>
    <x v="0"/>
    <n v="150"/>
    <x v="593"/>
    <x v="595"/>
    <x v="0"/>
    <x v="1"/>
    <x v="1"/>
    <s v="Friday"/>
  </r>
  <r>
    <s v="TXN-00606"/>
    <d v="2024-11-28T00:00:00"/>
    <d v="1899-12-30T17:50:00"/>
    <s v="Arjun Kapoor"/>
    <s v="CUST0177"/>
    <x v="1"/>
    <x v="14"/>
    <x v="3"/>
    <s v="Food"/>
    <s v="Small"/>
    <n v="1"/>
    <n v="180"/>
    <n v="0.05"/>
    <n v="180"/>
    <n v="171"/>
    <x v="0"/>
    <x v="1"/>
    <x v="4"/>
    <x v="0"/>
    <x v="2"/>
    <x v="4"/>
    <n v="25"/>
    <n v="36"/>
    <x v="583"/>
    <x v="596"/>
    <x v="1"/>
    <x v="0"/>
    <n v="180"/>
    <x v="13"/>
    <n v="171"/>
    <x v="594"/>
    <x v="596"/>
    <x v="0"/>
    <x v="11"/>
    <x v="11"/>
    <s v="Thursday"/>
  </r>
  <r>
    <s v="TXN-00607"/>
    <d v="2024-06-24T00:00:00"/>
    <d v="1899-12-30T16:20:00"/>
    <s v="Karan Gupta"/>
    <s v="CUST0206"/>
    <x v="3"/>
    <x v="10"/>
    <x v="1"/>
    <s v="Food"/>
    <s v="Small"/>
    <n v="2"/>
    <n v="110"/>
    <n v="0"/>
    <n v="220"/>
    <n v="220"/>
    <x v="0"/>
    <x v="0"/>
    <x v="5"/>
    <x v="7"/>
    <x v="0"/>
    <x v="2"/>
    <n v="319"/>
    <n v="53"/>
    <x v="584"/>
    <x v="597"/>
    <x v="2"/>
    <x v="3"/>
    <n v="220"/>
    <x v="0"/>
    <n v="220"/>
    <x v="595"/>
    <x v="597"/>
    <x v="0"/>
    <x v="4"/>
    <x v="4"/>
    <s v="Monday"/>
  </r>
  <r>
    <s v="TXN-00608"/>
    <d v="2024-03-31T00:00:00"/>
    <d v="1899-12-30T10:00:00"/>
    <s v="Arjun Bansal"/>
    <s v="CUST0239"/>
    <x v="1"/>
    <x v="5"/>
    <x v="2"/>
    <s v="Hot"/>
    <s v="Medium"/>
    <n v="1"/>
    <n v="95"/>
    <n v="0.1"/>
    <n v="95"/>
    <n v="85.5"/>
    <x v="1"/>
    <x v="3"/>
    <x v="4"/>
    <x v="7"/>
    <x v="0"/>
    <x v="0"/>
    <n v="166"/>
    <n v="26"/>
    <x v="585"/>
    <x v="448"/>
    <x v="1"/>
    <x v="2"/>
    <n v="95"/>
    <x v="10"/>
    <n v="85.5"/>
    <x v="596"/>
    <x v="448"/>
    <x v="0"/>
    <x v="5"/>
    <x v="5"/>
    <s v="Sunday"/>
  </r>
  <r>
    <s v="TXN-00609"/>
    <d v="2024-12-13T00:00:00"/>
    <d v="1899-12-30T07:30:00"/>
    <s v="Kavya Sharma"/>
    <s v="CUST0238"/>
    <x v="1"/>
    <x v="8"/>
    <x v="0"/>
    <s v="Cold"/>
    <s v="Large"/>
    <n v="2"/>
    <n v="160"/>
    <n v="0.1"/>
    <n v="320"/>
    <n v="288"/>
    <x v="1"/>
    <x v="3"/>
    <x v="2"/>
    <x v="0"/>
    <x v="0"/>
    <x v="4"/>
    <n v="493"/>
    <n v="21"/>
    <x v="586"/>
    <x v="598"/>
    <x v="1"/>
    <x v="4"/>
    <n v="320"/>
    <x v="94"/>
    <n v="288"/>
    <x v="597"/>
    <x v="598"/>
    <x v="0"/>
    <x v="9"/>
    <x v="9"/>
    <s v="Friday"/>
  </r>
  <r>
    <s v="TXN-00610"/>
    <d v="2024-02-09T00:00:00"/>
    <d v="1899-12-30T10:50:00"/>
    <s v="Simran Sharma"/>
    <s v="CUST0265"/>
    <x v="3"/>
    <x v="11"/>
    <x v="0"/>
    <s v="Hot"/>
    <s v="Large"/>
    <n v="4"/>
    <n v="90"/>
    <n v="0.05"/>
    <n v="360"/>
    <n v="342"/>
    <x v="2"/>
    <x v="0"/>
    <x v="4"/>
    <x v="2"/>
    <x v="1"/>
    <x v="4"/>
    <n v="20"/>
    <n v="34"/>
    <x v="587"/>
    <x v="599"/>
    <x v="2"/>
    <x v="4"/>
    <n v="360"/>
    <x v="23"/>
    <n v="342"/>
    <x v="598"/>
    <x v="599"/>
    <x v="0"/>
    <x v="3"/>
    <x v="3"/>
    <s v="Friday"/>
  </r>
  <r>
    <s v="TXN-00611"/>
    <d v="2024-05-12T00:00:00"/>
    <d v="1899-12-30T19:30:00"/>
    <s v="Kavya Kaur"/>
    <s v="CUST0140"/>
    <x v="2"/>
    <x v="4"/>
    <x v="0"/>
    <s v="Cold"/>
    <s v="Small"/>
    <n v="1"/>
    <n v="150"/>
    <n v="0.05"/>
    <n v="150"/>
    <n v="142.5"/>
    <x v="2"/>
    <x v="3"/>
    <x v="2"/>
    <x v="6"/>
    <x v="0"/>
    <x v="2"/>
    <n v="244"/>
    <n v="41"/>
    <x v="588"/>
    <x v="600"/>
    <x v="4"/>
    <x v="4"/>
    <n v="150"/>
    <x v="45"/>
    <n v="142.5"/>
    <x v="599"/>
    <x v="600"/>
    <x v="0"/>
    <x v="6"/>
    <x v="6"/>
    <s v="Sunday"/>
  </r>
  <r>
    <s v="TXN-00612"/>
    <d v="2024-05-27T00:00:00"/>
    <d v="1899-12-30T08:45:00"/>
    <s v="Manish Bansal"/>
    <s v="CUST0228"/>
    <x v="2"/>
    <x v="13"/>
    <x v="2"/>
    <s v="Cold"/>
    <s v="Unknown"/>
    <n v="1"/>
    <n v="110"/>
    <n v="0.15"/>
    <n v="110"/>
    <n v="93.5"/>
    <x v="2"/>
    <x v="0"/>
    <x v="3"/>
    <x v="0"/>
    <x v="2"/>
    <x v="0"/>
    <n v="385"/>
    <n v="40"/>
    <x v="589"/>
    <x v="601"/>
    <x v="0"/>
    <x v="4"/>
    <n v="110"/>
    <x v="42"/>
    <n v="93.5"/>
    <x v="600"/>
    <x v="601"/>
    <x v="0"/>
    <x v="6"/>
    <x v="6"/>
    <s v="Monday"/>
  </r>
  <r>
    <s v="TXN-00613"/>
    <d v="2024-11-25T00:00:00"/>
    <d v="1899-12-30T08:45:00"/>
    <s v="Ananya Singh"/>
    <s v="CUST0277"/>
    <x v="3"/>
    <x v="13"/>
    <x v="2"/>
    <s v="Cold"/>
    <s v="Medium"/>
    <n v="1"/>
    <n v="110"/>
    <n v="0"/>
    <n v="110"/>
    <n v="110"/>
    <x v="3"/>
    <x v="2"/>
    <x v="1"/>
    <x v="5"/>
    <x v="0"/>
    <x v="0"/>
    <n v="286"/>
    <n v="53"/>
    <x v="590"/>
    <x v="602"/>
    <x v="4"/>
    <x v="4"/>
    <n v="110"/>
    <x v="0"/>
    <n v="110"/>
    <x v="601"/>
    <x v="602"/>
    <x v="0"/>
    <x v="11"/>
    <x v="11"/>
    <s v="Monday"/>
  </r>
  <r>
    <s v="TXN-00614"/>
    <d v="2024-05-01T00:00:00"/>
    <d v="1899-12-30T09:45:00"/>
    <s v="Priya Singh"/>
    <s v="CUST0148"/>
    <x v="2"/>
    <x v="3"/>
    <x v="0"/>
    <s v="Hot"/>
    <s v="Small"/>
    <n v="3"/>
    <n v="120"/>
    <n v="0"/>
    <n v="360"/>
    <n v="360"/>
    <x v="3"/>
    <x v="1"/>
    <x v="0"/>
    <x v="5"/>
    <x v="0"/>
    <x v="1"/>
    <n v="85"/>
    <n v="36"/>
    <x v="591"/>
    <x v="603"/>
    <x v="0"/>
    <x v="1"/>
    <n v="360"/>
    <x v="0"/>
    <n v="360"/>
    <x v="602"/>
    <x v="603"/>
    <x v="0"/>
    <x v="6"/>
    <x v="6"/>
    <s v="Wednesday"/>
  </r>
  <r>
    <s v="TXN-00615"/>
    <d v="2024-02-22T00:00:00"/>
    <d v="1899-12-30T08:30:00"/>
    <s v="Rohan Chopra"/>
    <s v="CUST0349"/>
    <x v="2"/>
    <x v="2"/>
    <x v="1"/>
    <s v="Food"/>
    <s v="Large"/>
    <n v="1"/>
    <n v="70"/>
    <n v="0"/>
    <n v="70"/>
    <n v="70"/>
    <x v="0"/>
    <x v="0"/>
    <x v="3"/>
    <x v="2"/>
    <x v="1"/>
    <x v="1"/>
    <n v="53"/>
    <n v="34"/>
    <x v="592"/>
    <x v="604"/>
    <x v="1"/>
    <x v="0"/>
    <n v="70"/>
    <x v="0"/>
    <n v="70"/>
    <x v="603"/>
    <x v="604"/>
    <x v="0"/>
    <x v="3"/>
    <x v="3"/>
    <s v="Thursday"/>
  </r>
  <r>
    <s v="TXN-00616"/>
    <d v="2024-11-04T00:00:00"/>
    <d v="1899-12-30T17:10:00"/>
    <s v="Aditya Malhotra"/>
    <s v="CUST0357"/>
    <x v="3"/>
    <x v="15"/>
    <x v="4"/>
    <s v="Food"/>
    <s v="Medium"/>
    <n v="2"/>
    <n v="190"/>
    <n v="0"/>
    <n v="380"/>
    <n v="380"/>
    <x v="2"/>
    <x v="3"/>
    <x v="0"/>
    <x v="0"/>
    <x v="0"/>
    <x v="0"/>
    <n v="349"/>
    <n v="48"/>
    <x v="593"/>
    <x v="605"/>
    <x v="3"/>
    <x v="1"/>
    <n v="380"/>
    <x v="0"/>
    <n v="380"/>
    <x v="604"/>
    <x v="605"/>
    <x v="0"/>
    <x v="11"/>
    <x v="11"/>
    <s v="Monday"/>
  </r>
  <r>
    <s v="TXN-00617"/>
    <d v="2024-09-11T00:00:00"/>
    <d v="1899-12-30T13:30:00"/>
    <s v="Nikhil Malhotra"/>
    <s v="CUST0244"/>
    <x v="2"/>
    <x v="9"/>
    <x v="2"/>
    <s v="Hot"/>
    <s v="Medium"/>
    <n v="2"/>
    <n v="80"/>
    <n v="0.1"/>
    <n v="160"/>
    <n v="144"/>
    <x v="0"/>
    <x v="3"/>
    <x v="5"/>
    <x v="6"/>
    <x v="2"/>
    <x v="1"/>
    <n v="336"/>
    <n v="11"/>
    <x v="594"/>
    <x v="606"/>
    <x v="4"/>
    <x v="0"/>
    <n v="160"/>
    <x v="3"/>
    <n v="144"/>
    <x v="605"/>
    <x v="606"/>
    <x v="0"/>
    <x v="0"/>
    <x v="0"/>
    <s v="Wednesday"/>
  </r>
  <r>
    <s v="TXN-00618"/>
    <d v="2024-03-22T00:00:00"/>
    <d v="1899-12-30T11:00:00"/>
    <s v="Sahil Mehta"/>
    <s v="CUST0167"/>
    <x v="3"/>
    <x v="10"/>
    <x v="1"/>
    <s v="Food"/>
    <s v="Large"/>
    <n v="1"/>
    <n v="105"/>
    <n v="0"/>
    <n v="105"/>
    <n v="105"/>
    <x v="0"/>
    <x v="0"/>
    <x v="6"/>
    <x v="1"/>
    <x v="0"/>
    <x v="4"/>
    <n v="472"/>
    <n v="34"/>
    <x v="595"/>
    <x v="607"/>
    <x v="3"/>
    <x v="3"/>
    <n v="105"/>
    <x v="0"/>
    <n v="105"/>
    <x v="606"/>
    <x v="607"/>
    <x v="0"/>
    <x v="5"/>
    <x v="5"/>
    <s v="Friday"/>
  </r>
  <r>
    <s v="TXN-00619"/>
    <d v="2024-01-03T00:00:00"/>
    <d v="1899-12-30T20:50:00"/>
    <s v="Sahil Mehta"/>
    <s v="CUST0255"/>
    <x v="0"/>
    <x v="1"/>
    <x v="1"/>
    <s v="Food"/>
    <s v="Unknown"/>
    <n v="1"/>
    <n v="130"/>
    <n v="0.1"/>
    <n v="130"/>
    <n v="117"/>
    <x v="2"/>
    <x v="0"/>
    <x v="1"/>
    <x v="6"/>
    <x v="0"/>
    <x v="4"/>
    <n v="428"/>
    <n v="34"/>
    <x v="596"/>
    <x v="608"/>
    <x v="0"/>
    <x v="2"/>
    <n v="130"/>
    <x v="17"/>
    <n v="117"/>
    <x v="607"/>
    <x v="608"/>
    <x v="0"/>
    <x v="2"/>
    <x v="2"/>
    <s v="Wednesday"/>
  </r>
  <r>
    <s v="TXN-00620"/>
    <d v="2024-01-30T00:00:00"/>
    <d v="1899-12-30T20:20:00"/>
    <s v="Priya Singh"/>
    <s v="CUST0355"/>
    <x v="3"/>
    <x v="0"/>
    <x v="0"/>
    <s v="Hot"/>
    <s v="Medium"/>
    <n v="1"/>
    <n v="130"/>
    <n v="0.15"/>
    <n v="130"/>
    <n v="110.5"/>
    <x v="2"/>
    <x v="3"/>
    <x v="2"/>
    <x v="2"/>
    <x v="0"/>
    <x v="4"/>
    <n v="244"/>
    <n v="35"/>
    <x v="597"/>
    <x v="609"/>
    <x v="3"/>
    <x v="0"/>
    <n v="130"/>
    <x v="50"/>
    <n v="110.5"/>
    <x v="608"/>
    <x v="609"/>
    <x v="0"/>
    <x v="2"/>
    <x v="2"/>
    <s v="Tuesday"/>
  </r>
  <r>
    <s v="TXN-00621"/>
    <d v="2024-10-15T00:00:00"/>
    <d v="1899-12-30T16:00:00"/>
    <s v="Priya Chopra"/>
    <s v="CUST0147"/>
    <x v="1"/>
    <x v="3"/>
    <x v="0"/>
    <s v="Hot"/>
    <s v="Small"/>
    <n v="2"/>
    <n v="120"/>
    <n v="0"/>
    <n v="240"/>
    <n v="240"/>
    <x v="0"/>
    <x v="1"/>
    <x v="2"/>
    <x v="0"/>
    <x v="0"/>
    <x v="4"/>
    <n v="409"/>
    <n v="18"/>
    <x v="598"/>
    <x v="610"/>
    <x v="1"/>
    <x v="2"/>
    <n v="240"/>
    <x v="0"/>
    <n v="240"/>
    <x v="609"/>
    <x v="610"/>
    <x v="0"/>
    <x v="10"/>
    <x v="10"/>
    <s v="Tuesday"/>
  </r>
  <r>
    <s v="TXN-00622"/>
    <d v="2024-02-10T00:00:00"/>
    <d v="1899-12-30T07:00:00"/>
    <s v="Simran Chopra"/>
    <s v="CUST0376"/>
    <x v="3"/>
    <x v="9"/>
    <x v="2"/>
    <s v="Hot"/>
    <s v="Small"/>
    <n v="1"/>
    <n v="80"/>
    <n v="0"/>
    <n v="80"/>
    <n v="80"/>
    <x v="0"/>
    <x v="3"/>
    <x v="6"/>
    <x v="1"/>
    <x v="2"/>
    <x v="4"/>
    <n v="178"/>
    <n v="53"/>
    <x v="599"/>
    <x v="611"/>
    <x v="1"/>
    <x v="4"/>
    <n v="80"/>
    <x v="0"/>
    <n v="80"/>
    <x v="610"/>
    <x v="611"/>
    <x v="0"/>
    <x v="3"/>
    <x v="3"/>
    <s v="Saturday"/>
  </r>
  <r>
    <s v="TXN-00623"/>
    <d v="2024-09-23T00:00:00"/>
    <d v="1899-12-30T21:15:00"/>
    <s v="Rohan Gupta"/>
    <s v="CUST0339"/>
    <x v="2"/>
    <x v="8"/>
    <x v="0"/>
    <s v="Cold"/>
    <s v="Unknown"/>
    <n v="1"/>
    <n v="165"/>
    <n v="0.05"/>
    <n v="165"/>
    <n v="156.75"/>
    <x v="2"/>
    <x v="3"/>
    <x v="5"/>
    <x v="6"/>
    <x v="0"/>
    <x v="2"/>
    <n v="26"/>
    <n v="14"/>
    <x v="600"/>
    <x v="612"/>
    <x v="1"/>
    <x v="3"/>
    <n v="165"/>
    <x v="39"/>
    <n v="156.75"/>
    <x v="611"/>
    <x v="612"/>
    <x v="0"/>
    <x v="0"/>
    <x v="0"/>
    <s v="Monday"/>
  </r>
  <r>
    <s v="TXN-00624"/>
    <d v="2024-03-31T00:00:00"/>
    <d v="1899-12-30T11:10:00"/>
    <s v="Manish Mehta"/>
    <s v="Unknown"/>
    <x v="3"/>
    <x v="4"/>
    <x v="0"/>
    <s v="Cold"/>
    <s v="Large"/>
    <n v="1"/>
    <n v="160"/>
    <n v="0.1"/>
    <n v="160"/>
    <n v="144"/>
    <x v="2"/>
    <x v="2"/>
    <x v="3"/>
    <x v="2"/>
    <x v="0"/>
    <x v="1"/>
    <n v="471"/>
    <n v="13"/>
    <x v="601"/>
    <x v="613"/>
    <x v="3"/>
    <x v="0"/>
    <n v="160"/>
    <x v="3"/>
    <n v="144"/>
    <x v="612"/>
    <x v="613"/>
    <x v="0"/>
    <x v="5"/>
    <x v="5"/>
    <s v="Sunday"/>
  </r>
  <r>
    <s v="TXN-00625"/>
    <d v="2024-06-28T00:00:00"/>
    <d v="1899-12-30T16:45:00"/>
    <s v="Unknown"/>
    <s v="CUST0100"/>
    <x v="1"/>
    <x v="8"/>
    <x v="0"/>
    <s v="Cold"/>
    <s v="Small"/>
    <n v="2"/>
    <n v="155"/>
    <n v="0"/>
    <n v="310"/>
    <n v="310"/>
    <x v="2"/>
    <x v="1"/>
    <x v="2"/>
    <x v="1"/>
    <x v="0"/>
    <x v="4"/>
    <n v="244"/>
    <n v="17"/>
    <x v="602"/>
    <x v="614"/>
    <x v="1"/>
    <x v="1"/>
    <n v="310"/>
    <x v="0"/>
    <n v="310"/>
    <x v="613"/>
    <x v="614"/>
    <x v="0"/>
    <x v="4"/>
    <x v="4"/>
    <s v="Friday"/>
  </r>
  <r>
    <s v="TXN-00626"/>
    <d v="2024-12-12T00:00:00"/>
    <d v="1899-12-30T21:10:00"/>
    <s v="Manish Chopra"/>
    <s v="CUST0282"/>
    <x v="2"/>
    <x v="3"/>
    <x v="0"/>
    <s v="Hot"/>
    <s v="Unknown"/>
    <n v="4"/>
    <n v="125"/>
    <n v="0"/>
    <n v="500"/>
    <n v="500"/>
    <x v="3"/>
    <x v="0"/>
    <x v="2"/>
    <x v="0"/>
    <x v="0"/>
    <x v="1"/>
    <n v="358"/>
    <n v="50"/>
    <x v="51"/>
    <x v="615"/>
    <x v="3"/>
    <x v="2"/>
    <n v="500"/>
    <x v="0"/>
    <n v="500"/>
    <x v="614"/>
    <x v="615"/>
    <x v="0"/>
    <x v="9"/>
    <x v="9"/>
    <s v="Thursday"/>
  </r>
  <r>
    <s v="TXN-00627"/>
    <d v="2024-05-24T00:00:00"/>
    <d v="1899-12-30T15:30:00"/>
    <s v="Sneha Kapoor"/>
    <s v="CUST0266"/>
    <x v="2"/>
    <x v="2"/>
    <x v="1"/>
    <s v="Food"/>
    <s v="Small"/>
    <n v="2"/>
    <n v="80"/>
    <n v="0.1"/>
    <n v="160"/>
    <n v="144"/>
    <x v="0"/>
    <x v="0"/>
    <x v="2"/>
    <x v="6"/>
    <x v="0"/>
    <x v="0"/>
    <n v="74"/>
    <n v="53"/>
    <x v="603"/>
    <x v="616"/>
    <x v="0"/>
    <x v="1"/>
    <n v="160"/>
    <x v="3"/>
    <n v="144"/>
    <x v="615"/>
    <x v="616"/>
    <x v="0"/>
    <x v="6"/>
    <x v="6"/>
    <s v="Friday"/>
  </r>
  <r>
    <s v="TXN-00628"/>
    <d v="2024-07-25T00:00:00"/>
    <d v="1899-12-30T12:30:00"/>
    <s v="Manish Sharma"/>
    <s v="CUST0319"/>
    <x v="3"/>
    <x v="6"/>
    <x v="0"/>
    <s v="Hot"/>
    <s v="Small"/>
    <n v="2"/>
    <n v="100"/>
    <n v="0"/>
    <n v="200"/>
    <n v="200"/>
    <x v="1"/>
    <x v="0"/>
    <x v="3"/>
    <x v="5"/>
    <x v="2"/>
    <x v="0"/>
    <n v="6"/>
    <n v="32"/>
    <x v="604"/>
    <x v="617"/>
    <x v="0"/>
    <x v="4"/>
    <n v="200"/>
    <x v="0"/>
    <n v="200"/>
    <x v="616"/>
    <x v="617"/>
    <x v="0"/>
    <x v="7"/>
    <x v="7"/>
    <s v="Thursday"/>
  </r>
  <r>
    <s v="TXN-00629"/>
    <d v="2024-06-25T00:00:00"/>
    <d v="1899-12-30T08:20:00"/>
    <s v="Arjun Mehta"/>
    <s v="CUST0208"/>
    <x v="2"/>
    <x v="13"/>
    <x v="2"/>
    <s v="Cold"/>
    <s v="Large"/>
    <n v="1"/>
    <n v="105"/>
    <n v="0"/>
    <n v="105"/>
    <n v="105"/>
    <x v="0"/>
    <x v="2"/>
    <x v="2"/>
    <x v="2"/>
    <x v="0"/>
    <x v="4"/>
    <n v="413"/>
    <n v="60"/>
    <x v="605"/>
    <x v="618"/>
    <x v="2"/>
    <x v="0"/>
    <n v="105"/>
    <x v="0"/>
    <n v="105"/>
    <x v="617"/>
    <x v="618"/>
    <x v="0"/>
    <x v="4"/>
    <x v="4"/>
    <s v="Tuesday"/>
  </r>
  <r>
    <s v="TXN-00630"/>
    <d v="2024-08-21T00:00:00"/>
    <d v="1899-12-30T09:20:00"/>
    <s v="Sahil Malhotra"/>
    <s v="CUST0254"/>
    <x v="3"/>
    <x v="7"/>
    <x v="0"/>
    <s v="Hot"/>
    <s v="Small"/>
    <n v="1"/>
    <n v="140"/>
    <n v="0.1"/>
    <n v="140"/>
    <n v="126"/>
    <x v="0"/>
    <x v="0"/>
    <x v="4"/>
    <x v="0"/>
    <x v="1"/>
    <x v="4"/>
    <n v="244"/>
    <n v="34"/>
    <x v="606"/>
    <x v="619"/>
    <x v="3"/>
    <x v="3"/>
    <n v="140"/>
    <x v="9"/>
    <n v="126"/>
    <x v="618"/>
    <x v="619"/>
    <x v="0"/>
    <x v="1"/>
    <x v="1"/>
    <s v="Wednesday"/>
  </r>
  <r>
    <s v="TXN-00631"/>
    <d v="2024-05-27T00:00:00"/>
    <d v="1899-12-30T13:45:00"/>
    <s v="Neha Bansal"/>
    <s v="CUST0349"/>
    <x v="2"/>
    <x v="1"/>
    <x v="1"/>
    <s v="Food"/>
    <s v="Medium"/>
    <n v="1"/>
    <n v="115"/>
    <n v="0.1"/>
    <n v="115"/>
    <n v="103.5"/>
    <x v="3"/>
    <x v="1"/>
    <x v="0"/>
    <x v="5"/>
    <x v="2"/>
    <x v="2"/>
    <n v="314"/>
    <n v="36"/>
    <x v="150"/>
    <x v="620"/>
    <x v="0"/>
    <x v="1"/>
    <n v="115"/>
    <x v="19"/>
    <n v="103.5"/>
    <x v="151"/>
    <x v="620"/>
    <x v="0"/>
    <x v="6"/>
    <x v="6"/>
    <s v="Monday"/>
  </r>
  <r>
    <s v="TXN-00632"/>
    <d v="2024-06-25T00:00:00"/>
    <d v="1899-12-30T11:00:00"/>
    <s v="Ananya Malhotra"/>
    <s v="CUST0168"/>
    <x v="1"/>
    <x v="10"/>
    <x v="1"/>
    <s v="Food"/>
    <s v="Medium"/>
    <n v="1"/>
    <n v="100"/>
    <n v="0"/>
    <n v="100"/>
    <n v="100"/>
    <x v="1"/>
    <x v="1"/>
    <x v="3"/>
    <x v="6"/>
    <x v="2"/>
    <x v="2"/>
    <n v="375"/>
    <n v="16"/>
    <x v="607"/>
    <x v="621"/>
    <x v="0"/>
    <x v="3"/>
    <n v="100"/>
    <x v="0"/>
    <n v="100"/>
    <x v="619"/>
    <x v="621"/>
    <x v="0"/>
    <x v="4"/>
    <x v="4"/>
    <s v="Tuesday"/>
  </r>
  <r>
    <s v="TXN-00633"/>
    <d v="2024-11-22T00:00:00"/>
    <d v="1899-12-30T16:00:00"/>
    <s v="Isha Mehta"/>
    <s v="CUST0133"/>
    <x v="3"/>
    <x v="9"/>
    <x v="2"/>
    <s v="Hot"/>
    <s v="Medium"/>
    <n v="1"/>
    <n v="90"/>
    <n v="0.05"/>
    <n v="90"/>
    <n v="85.5"/>
    <x v="2"/>
    <x v="3"/>
    <x v="1"/>
    <x v="7"/>
    <x v="0"/>
    <x v="0"/>
    <n v="149"/>
    <n v="29"/>
    <x v="608"/>
    <x v="622"/>
    <x v="3"/>
    <x v="1"/>
    <n v="90"/>
    <x v="31"/>
    <n v="85.5"/>
    <x v="620"/>
    <x v="622"/>
    <x v="0"/>
    <x v="11"/>
    <x v="11"/>
    <s v="Friday"/>
  </r>
  <r>
    <s v="TXN-00634"/>
    <d v="2024-12-15T00:00:00"/>
    <d v="1899-12-30T15:30:00"/>
    <s v="Kavya Singh"/>
    <s v="CUST0361"/>
    <x v="1"/>
    <x v="12"/>
    <x v="1"/>
    <s v="Food"/>
    <s v="Small"/>
    <n v="1"/>
    <n v="100"/>
    <n v="0"/>
    <n v="100"/>
    <n v="100"/>
    <x v="1"/>
    <x v="2"/>
    <x v="4"/>
    <x v="7"/>
    <x v="0"/>
    <x v="4"/>
    <n v="251"/>
    <n v="44"/>
    <x v="609"/>
    <x v="623"/>
    <x v="3"/>
    <x v="3"/>
    <n v="100"/>
    <x v="0"/>
    <n v="100"/>
    <x v="621"/>
    <x v="623"/>
    <x v="0"/>
    <x v="9"/>
    <x v="9"/>
    <s v="Sunday"/>
  </r>
  <r>
    <s v="TXN-00635"/>
    <d v="2024-10-14T00:00:00"/>
    <d v="1899-12-30T19:30:00"/>
    <s v="Neha Kapoor"/>
    <s v="CUST0318"/>
    <x v="3"/>
    <x v="7"/>
    <x v="0"/>
    <s v="Hot"/>
    <s v="Small"/>
    <n v="1"/>
    <n v="145"/>
    <n v="0"/>
    <n v="145"/>
    <n v="145"/>
    <x v="3"/>
    <x v="0"/>
    <x v="1"/>
    <x v="6"/>
    <x v="2"/>
    <x v="3"/>
    <n v="244"/>
    <n v="46"/>
    <x v="302"/>
    <x v="624"/>
    <x v="3"/>
    <x v="3"/>
    <n v="145"/>
    <x v="0"/>
    <n v="145"/>
    <x v="308"/>
    <x v="624"/>
    <x v="0"/>
    <x v="10"/>
    <x v="10"/>
    <s v="Monday"/>
  </r>
  <r>
    <s v="TXN-00636"/>
    <d v="2024-12-31T00:00:00"/>
    <d v="1899-12-30T14:10:00"/>
    <s v="Aditya Gupta"/>
    <s v="CUST0198"/>
    <x v="0"/>
    <x v="5"/>
    <x v="2"/>
    <s v="Hot"/>
    <s v="Unknown"/>
    <n v="1"/>
    <n v="100"/>
    <n v="0"/>
    <n v="100"/>
    <n v="100"/>
    <x v="0"/>
    <x v="2"/>
    <x v="4"/>
    <x v="3"/>
    <x v="2"/>
    <x v="3"/>
    <n v="244"/>
    <n v="57"/>
    <x v="610"/>
    <x v="625"/>
    <x v="2"/>
    <x v="2"/>
    <n v="100"/>
    <x v="0"/>
    <n v="100"/>
    <x v="622"/>
    <x v="625"/>
    <x v="0"/>
    <x v="9"/>
    <x v="9"/>
    <s v="Tuesday"/>
  </r>
  <r>
    <s v="TXN-00637"/>
    <d v="2024-11-06T00:00:00"/>
    <d v="1899-12-30T18:10:00"/>
    <s v="Riya Sharma"/>
    <s v="CUST0178"/>
    <x v="0"/>
    <x v="9"/>
    <x v="2"/>
    <s v="Hot"/>
    <s v="Unknown"/>
    <n v="1"/>
    <n v="75"/>
    <n v="0.05"/>
    <n v="75"/>
    <n v="71.25"/>
    <x v="2"/>
    <x v="3"/>
    <x v="4"/>
    <x v="7"/>
    <x v="1"/>
    <x v="0"/>
    <n v="392"/>
    <n v="21"/>
    <x v="611"/>
    <x v="626"/>
    <x v="0"/>
    <x v="4"/>
    <n v="75"/>
    <x v="57"/>
    <n v="71.25"/>
    <x v="623"/>
    <x v="626"/>
    <x v="0"/>
    <x v="11"/>
    <x v="11"/>
    <s v="Wednesday"/>
  </r>
  <r>
    <s v="TXN-00638"/>
    <d v="2024-10-04T00:00:00"/>
    <d v="1899-12-30T10:15:00"/>
    <s v="Sneha Kapoor"/>
    <s v="CUST0311"/>
    <x v="3"/>
    <x v="4"/>
    <x v="0"/>
    <s v="Cold"/>
    <s v="Large"/>
    <n v="5"/>
    <n v="155"/>
    <n v="0"/>
    <n v="775"/>
    <n v="775"/>
    <x v="0"/>
    <x v="2"/>
    <x v="4"/>
    <x v="0"/>
    <x v="0"/>
    <x v="4"/>
    <n v="132"/>
    <n v="37"/>
    <x v="564"/>
    <x v="627"/>
    <x v="0"/>
    <x v="1"/>
    <n v="775"/>
    <x v="0"/>
    <n v="775"/>
    <x v="624"/>
    <x v="627"/>
    <x v="0"/>
    <x v="10"/>
    <x v="10"/>
    <s v="Friday"/>
  </r>
  <r>
    <s v="TXN-00639"/>
    <d v="2024-11-11T00:00:00"/>
    <d v="1899-12-30T13:15:00"/>
    <s v="Rohan Kaur"/>
    <s v="CUST0107"/>
    <x v="0"/>
    <x v="11"/>
    <x v="0"/>
    <s v="Hot"/>
    <s v="Small"/>
    <n v="3"/>
    <n v="90"/>
    <n v="0.05"/>
    <n v="270"/>
    <n v="256.5"/>
    <x v="3"/>
    <x v="3"/>
    <x v="6"/>
    <x v="2"/>
    <x v="0"/>
    <x v="0"/>
    <n v="3"/>
    <n v="35"/>
    <x v="612"/>
    <x v="628"/>
    <x v="3"/>
    <x v="0"/>
    <n v="270"/>
    <x v="46"/>
    <n v="256.5"/>
    <x v="625"/>
    <x v="628"/>
    <x v="0"/>
    <x v="11"/>
    <x v="11"/>
    <s v="Monday"/>
  </r>
  <r>
    <s v="TXN-00640"/>
    <d v="2024-05-04T00:00:00"/>
    <d v="1899-12-30T16:15:00"/>
    <s v="Aditya Verma"/>
    <s v="CUST0202"/>
    <x v="2"/>
    <x v="11"/>
    <x v="0"/>
    <s v="Hot"/>
    <s v="Unknown"/>
    <n v="1"/>
    <n v="85"/>
    <n v="0"/>
    <n v="85"/>
    <n v="85"/>
    <x v="0"/>
    <x v="3"/>
    <x v="3"/>
    <x v="5"/>
    <x v="0"/>
    <x v="3"/>
    <n v="352"/>
    <n v="35"/>
    <x v="221"/>
    <x v="629"/>
    <x v="2"/>
    <x v="0"/>
    <n v="85"/>
    <x v="0"/>
    <n v="85"/>
    <x v="626"/>
    <x v="629"/>
    <x v="0"/>
    <x v="6"/>
    <x v="6"/>
    <s v="Saturday"/>
  </r>
  <r>
    <s v="TXN-00641"/>
    <d v="2024-01-20T00:00:00"/>
    <d v="1899-12-30T18:10:00"/>
    <s v="Rahul Malhotra"/>
    <s v="CUST0292"/>
    <x v="1"/>
    <x v="14"/>
    <x v="3"/>
    <s v="Food"/>
    <s v="Large"/>
    <n v="4"/>
    <n v="190"/>
    <n v="0"/>
    <n v="760"/>
    <n v="760"/>
    <x v="0"/>
    <x v="0"/>
    <x v="2"/>
    <x v="7"/>
    <x v="0"/>
    <x v="3"/>
    <n v="12"/>
    <n v="14"/>
    <x v="613"/>
    <x v="630"/>
    <x v="2"/>
    <x v="2"/>
    <n v="760"/>
    <x v="0"/>
    <n v="760"/>
    <x v="627"/>
    <x v="630"/>
    <x v="0"/>
    <x v="2"/>
    <x v="2"/>
    <s v="Saturday"/>
  </r>
  <r>
    <s v="TXN-00642"/>
    <d v="2024-11-20T00:00:00"/>
    <d v="1899-12-30T13:15:00"/>
    <s v="Simran Kapoor"/>
    <s v="CUST0377"/>
    <x v="0"/>
    <x v="5"/>
    <x v="2"/>
    <s v="Hot"/>
    <s v="Small"/>
    <n v="1"/>
    <n v="100"/>
    <n v="0"/>
    <n v="100"/>
    <n v="100"/>
    <x v="2"/>
    <x v="3"/>
    <x v="5"/>
    <x v="5"/>
    <x v="1"/>
    <x v="0"/>
    <n v="167"/>
    <n v="17"/>
    <x v="188"/>
    <x v="631"/>
    <x v="0"/>
    <x v="0"/>
    <n v="100"/>
    <x v="0"/>
    <n v="100"/>
    <x v="628"/>
    <x v="631"/>
    <x v="0"/>
    <x v="11"/>
    <x v="11"/>
    <s v="Wednesday"/>
  </r>
  <r>
    <s v="TXN-00643"/>
    <d v="2024-06-29T00:00:00"/>
    <d v="1899-12-30T17:30:00"/>
    <s v="Sahil Verma"/>
    <s v="CUST0250"/>
    <x v="1"/>
    <x v="12"/>
    <x v="1"/>
    <s v="Food"/>
    <s v="Unknown"/>
    <n v="1"/>
    <n v="100"/>
    <n v="0.05"/>
    <n v="100"/>
    <n v="95"/>
    <x v="1"/>
    <x v="3"/>
    <x v="0"/>
    <x v="4"/>
    <x v="0"/>
    <x v="3"/>
    <n v="316"/>
    <n v="50"/>
    <x v="614"/>
    <x v="632"/>
    <x v="0"/>
    <x v="2"/>
    <n v="100"/>
    <x v="32"/>
    <n v="95"/>
    <x v="629"/>
    <x v="632"/>
    <x v="0"/>
    <x v="4"/>
    <x v="4"/>
    <s v="Saturday"/>
  </r>
  <r>
    <s v="TXN-00644"/>
    <d v="2024-09-18T00:00:00"/>
    <d v="1899-12-30T18:10:00"/>
    <s v="Arjun Malhotra"/>
    <s v="CUST0318"/>
    <x v="0"/>
    <x v="13"/>
    <x v="2"/>
    <s v="Cold"/>
    <s v="Small"/>
    <n v="2"/>
    <n v="115"/>
    <n v="0"/>
    <n v="230"/>
    <n v="230"/>
    <x v="2"/>
    <x v="3"/>
    <x v="1"/>
    <x v="4"/>
    <x v="2"/>
    <x v="2"/>
    <n v="234"/>
    <n v="49"/>
    <x v="486"/>
    <x v="633"/>
    <x v="1"/>
    <x v="1"/>
    <n v="230"/>
    <x v="0"/>
    <n v="230"/>
    <x v="630"/>
    <x v="633"/>
    <x v="0"/>
    <x v="0"/>
    <x v="0"/>
    <s v="Wednesday"/>
  </r>
  <r>
    <s v="TXN-00645"/>
    <d v="2024-08-25T00:00:00"/>
    <d v="1899-12-30T10:20:00"/>
    <s v="Nikhil Singh"/>
    <s v="CUST0298"/>
    <x v="1"/>
    <x v="2"/>
    <x v="1"/>
    <s v="Food"/>
    <s v="Medium"/>
    <n v="2"/>
    <n v="80"/>
    <n v="0"/>
    <n v="160"/>
    <n v="160"/>
    <x v="0"/>
    <x v="1"/>
    <x v="4"/>
    <x v="2"/>
    <x v="2"/>
    <x v="2"/>
    <n v="47"/>
    <n v="36"/>
    <x v="615"/>
    <x v="634"/>
    <x v="3"/>
    <x v="3"/>
    <n v="160"/>
    <x v="0"/>
    <n v="160"/>
    <x v="631"/>
    <x v="634"/>
    <x v="0"/>
    <x v="1"/>
    <x v="1"/>
    <s v="Sunday"/>
  </r>
  <r>
    <s v="TXN-00646"/>
    <d v="2024-03-05T00:00:00"/>
    <d v="1899-12-30T21:15:00"/>
    <s v="Simran Bansal"/>
    <s v="CUST0148"/>
    <x v="3"/>
    <x v="0"/>
    <x v="0"/>
    <s v="Hot"/>
    <s v="Large"/>
    <n v="2"/>
    <n v="125"/>
    <n v="0"/>
    <n v="250"/>
    <n v="250"/>
    <x v="0"/>
    <x v="0"/>
    <x v="1"/>
    <x v="2"/>
    <x v="0"/>
    <x v="1"/>
    <n v="325"/>
    <n v="22"/>
    <x v="616"/>
    <x v="635"/>
    <x v="3"/>
    <x v="2"/>
    <n v="250"/>
    <x v="0"/>
    <n v="250"/>
    <x v="632"/>
    <x v="635"/>
    <x v="0"/>
    <x v="5"/>
    <x v="5"/>
    <s v="Tuesday"/>
  </r>
  <r>
    <s v="TXN-00647"/>
    <d v="2024-09-29T00:00:00"/>
    <d v="1899-12-30T08:10:00"/>
    <s v="Aditya Mehta"/>
    <s v="CUST0320"/>
    <x v="3"/>
    <x v="6"/>
    <x v="0"/>
    <s v="Hot"/>
    <s v="Medium"/>
    <n v="1"/>
    <n v="100"/>
    <n v="0"/>
    <n v="100"/>
    <n v="100"/>
    <x v="2"/>
    <x v="3"/>
    <x v="2"/>
    <x v="4"/>
    <x v="0"/>
    <x v="2"/>
    <n v="74"/>
    <n v="39"/>
    <x v="617"/>
    <x v="636"/>
    <x v="3"/>
    <x v="2"/>
    <n v="100"/>
    <x v="0"/>
    <n v="100"/>
    <x v="633"/>
    <x v="636"/>
    <x v="0"/>
    <x v="0"/>
    <x v="0"/>
    <s v="Sunday"/>
  </r>
  <r>
    <s v="TXN-00648"/>
    <d v="2024-05-03T00:00:00"/>
    <d v="1899-12-30T13:20:00"/>
    <s v="Neha Bansal"/>
    <s v="CUST0205"/>
    <x v="2"/>
    <x v="13"/>
    <x v="2"/>
    <s v="Cold"/>
    <s v="Large"/>
    <n v="4"/>
    <n v="110"/>
    <n v="0.05"/>
    <n v="440"/>
    <n v="418"/>
    <x v="3"/>
    <x v="1"/>
    <x v="1"/>
    <x v="1"/>
    <x v="2"/>
    <x v="4"/>
    <n v="314"/>
    <n v="41"/>
    <x v="618"/>
    <x v="637"/>
    <x v="3"/>
    <x v="4"/>
    <n v="440"/>
    <x v="78"/>
    <n v="418"/>
    <x v="634"/>
    <x v="637"/>
    <x v="0"/>
    <x v="6"/>
    <x v="6"/>
    <s v="Friday"/>
  </r>
  <r>
    <s v="TXN-00649"/>
    <d v="2024-05-30T00:00:00"/>
    <d v="1899-12-30T20:20:00"/>
    <s v="Rohan Mehta"/>
    <s v="CUST0150"/>
    <x v="1"/>
    <x v="1"/>
    <x v="1"/>
    <s v="Food"/>
    <s v="Small"/>
    <n v="1"/>
    <n v="115"/>
    <n v="0"/>
    <n v="115"/>
    <n v="115"/>
    <x v="2"/>
    <x v="1"/>
    <x v="6"/>
    <x v="7"/>
    <x v="0"/>
    <x v="4"/>
    <n v="23"/>
    <n v="36"/>
    <x v="619"/>
    <x v="638"/>
    <x v="2"/>
    <x v="3"/>
    <n v="115"/>
    <x v="0"/>
    <n v="115"/>
    <x v="635"/>
    <x v="638"/>
    <x v="0"/>
    <x v="6"/>
    <x v="6"/>
    <s v="Thursday"/>
  </r>
  <r>
    <s v="TXN-00650"/>
    <d v="2024-01-14T00:00:00"/>
    <d v="1899-12-30T15:15:00"/>
    <s v="Rohan Malhotra"/>
    <s v="CUST0274"/>
    <x v="1"/>
    <x v="7"/>
    <x v="0"/>
    <s v="Hot"/>
    <s v="Medium"/>
    <n v="2"/>
    <n v="145"/>
    <n v="0"/>
    <n v="290"/>
    <n v="290"/>
    <x v="1"/>
    <x v="3"/>
    <x v="4"/>
    <x v="4"/>
    <x v="0"/>
    <x v="0"/>
    <n v="455"/>
    <n v="22"/>
    <x v="620"/>
    <x v="639"/>
    <x v="0"/>
    <x v="1"/>
    <n v="290"/>
    <x v="0"/>
    <n v="290"/>
    <x v="636"/>
    <x v="639"/>
    <x v="0"/>
    <x v="2"/>
    <x v="2"/>
    <s v="Sunday"/>
  </r>
  <r>
    <s v="TXN-00651"/>
    <d v="2024-12-19T00:00:00"/>
    <d v="1899-12-30T15:10:00"/>
    <s v="Isha Bansal"/>
    <s v="CUST0246"/>
    <x v="3"/>
    <x v="1"/>
    <x v="1"/>
    <s v="Food"/>
    <s v="Small"/>
    <n v="1"/>
    <n v="115"/>
    <n v="0.05"/>
    <n v="115"/>
    <n v="109.25"/>
    <x v="0"/>
    <x v="0"/>
    <x v="2"/>
    <x v="2"/>
    <x v="1"/>
    <x v="2"/>
    <n v="447"/>
    <n v="40"/>
    <x v="621"/>
    <x v="640"/>
    <x v="1"/>
    <x v="0"/>
    <n v="115"/>
    <x v="1"/>
    <n v="109.25"/>
    <x v="637"/>
    <x v="640"/>
    <x v="0"/>
    <x v="9"/>
    <x v="9"/>
    <s v="Thursday"/>
  </r>
  <r>
    <s v="TXN-00652"/>
    <d v="2024-08-09T00:00:00"/>
    <d v="1899-12-30T16:45:00"/>
    <s v="Manish Singh"/>
    <s v="CUST0255"/>
    <x v="2"/>
    <x v="0"/>
    <x v="0"/>
    <s v="Hot"/>
    <s v="Small"/>
    <n v="2"/>
    <n v="140"/>
    <n v="0.15"/>
    <n v="280"/>
    <n v="238"/>
    <x v="1"/>
    <x v="0"/>
    <x v="5"/>
    <x v="5"/>
    <x v="1"/>
    <x v="1"/>
    <n v="19"/>
    <n v="44"/>
    <x v="622"/>
    <x v="641"/>
    <x v="3"/>
    <x v="0"/>
    <n v="280"/>
    <x v="28"/>
    <n v="238"/>
    <x v="638"/>
    <x v="641"/>
    <x v="0"/>
    <x v="1"/>
    <x v="1"/>
    <s v="Friday"/>
  </r>
  <r>
    <s v="TXN-00653"/>
    <d v="2024-08-17T00:00:00"/>
    <d v="1899-12-30T14:00:00"/>
    <s v="Ananya Gupta"/>
    <s v="CUST0108"/>
    <x v="2"/>
    <x v="13"/>
    <x v="2"/>
    <s v="Cold"/>
    <s v="Small"/>
    <n v="1"/>
    <n v="110"/>
    <n v="0"/>
    <n v="110"/>
    <n v="110"/>
    <x v="3"/>
    <x v="3"/>
    <x v="1"/>
    <x v="2"/>
    <x v="0"/>
    <x v="4"/>
    <n v="146"/>
    <n v="39"/>
    <x v="570"/>
    <x v="642"/>
    <x v="0"/>
    <x v="1"/>
    <n v="110"/>
    <x v="0"/>
    <n v="110"/>
    <x v="581"/>
    <x v="642"/>
    <x v="0"/>
    <x v="1"/>
    <x v="1"/>
    <s v="Saturday"/>
  </r>
  <r>
    <s v="TXN-00654"/>
    <d v="2024-03-05T00:00:00"/>
    <d v="1899-12-30T14:20:00"/>
    <s v="Karan Gupta"/>
    <s v="CUST0344"/>
    <x v="3"/>
    <x v="5"/>
    <x v="2"/>
    <s v="Hot"/>
    <s v="Small"/>
    <n v="1"/>
    <n v="105"/>
    <n v="0.15"/>
    <n v="105"/>
    <n v="89.25"/>
    <x v="2"/>
    <x v="0"/>
    <x v="3"/>
    <x v="2"/>
    <x v="0"/>
    <x v="2"/>
    <n v="73"/>
    <n v="34"/>
    <x v="623"/>
    <x v="643"/>
    <x v="4"/>
    <x v="0"/>
    <n v="105"/>
    <x v="24"/>
    <n v="89.25"/>
    <x v="639"/>
    <x v="643"/>
    <x v="0"/>
    <x v="5"/>
    <x v="5"/>
    <s v="Tuesday"/>
  </r>
  <r>
    <s v="TXN-00655"/>
    <d v="2024-02-23T00:00:00"/>
    <d v="1899-12-30T10:20:00"/>
    <s v="Isha Chopra"/>
    <s v="Unknown"/>
    <x v="1"/>
    <x v="3"/>
    <x v="0"/>
    <s v="Hot"/>
    <s v="Small"/>
    <n v="1"/>
    <n v="120"/>
    <n v="0"/>
    <n v="120"/>
    <n v="120"/>
    <x v="0"/>
    <x v="0"/>
    <x v="6"/>
    <x v="6"/>
    <x v="1"/>
    <x v="4"/>
    <n v="192"/>
    <n v="34"/>
    <x v="624"/>
    <x v="644"/>
    <x v="1"/>
    <x v="0"/>
    <n v="120"/>
    <x v="0"/>
    <n v="120"/>
    <x v="640"/>
    <x v="644"/>
    <x v="0"/>
    <x v="3"/>
    <x v="3"/>
    <s v="Friday"/>
  </r>
  <r>
    <s v="TXN-00656"/>
    <d v="2024-06-01T00:00:00"/>
    <d v="1899-12-30T13:30:00"/>
    <s v="Arjun Kaur"/>
    <s v="CUST0302"/>
    <x v="3"/>
    <x v="8"/>
    <x v="0"/>
    <s v="Cold"/>
    <s v="Unknown"/>
    <n v="3"/>
    <n v="160"/>
    <n v="0.15"/>
    <n v="480"/>
    <n v="408"/>
    <x v="3"/>
    <x v="0"/>
    <x v="1"/>
    <x v="1"/>
    <x v="2"/>
    <x v="3"/>
    <n v="127"/>
    <n v="23"/>
    <x v="59"/>
    <x v="645"/>
    <x v="4"/>
    <x v="2"/>
    <n v="480"/>
    <x v="62"/>
    <n v="408"/>
    <x v="641"/>
    <x v="645"/>
    <x v="0"/>
    <x v="4"/>
    <x v="4"/>
    <s v="Saturday"/>
  </r>
  <r>
    <s v="TXN-00657"/>
    <d v="2024-01-14T00:00:00"/>
    <d v="1899-12-30T21:45:00"/>
    <s v="Rahul Chopra"/>
    <s v="CUST0340"/>
    <x v="2"/>
    <x v="3"/>
    <x v="0"/>
    <s v="Hot"/>
    <s v="Large"/>
    <n v="1"/>
    <n v="130"/>
    <n v="0"/>
    <n v="130"/>
    <n v="130"/>
    <x v="0"/>
    <x v="0"/>
    <x v="6"/>
    <x v="7"/>
    <x v="0"/>
    <x v="4"/>
    <n v="447"/>
    <n v="34"/>
    <x v="625"/>
    <x v="646"/>
    <x v="1"/>
    <x v="4"/>
    <n v="130"/>
    <x v="0"/>
    <n v="130"/>
    <x v="642"/>
    <x v="646"/>
    <x v="0"/>
    <x v="2"/>
    <x v="2"/>
    <s v="Sunday"/>
  </r>
  <r>
    <s v="TXN-00658"/>
    <d v="2024-02-12T00:00:00"/>
    <d v="1899-12-30T17:10:00"/>
    <s v="Nikhil Kapoor"/>
    <s v="CUST0395"/>
    <x v="1"/>
    <x v="12"/>
    <x v="1"/>
    <s v="Food"/>
    <s v="Medium"/>
    <n v="5"/>
    <n v="90"/>
    <n v="0"/>
    <n v="450"/>
    <n v="450"/>
    <x v="3"/>
    <x v="1"/>
    <x v="1"/>
    <x v="0"/>
    <x v="2"/>
    <x v="1"/>
    <n v="24"/>
    <n v="15"/>
    <x v="626"/>
    <x v="647"/>
    <x v="4"/>
    <x v="3"/>
    <n v="450"/>
    <x v="0"/>
    <n v="450"/>
    <x v="643"/>
    <x v="647"/>
    <x v="0"/>
    <x v="3"/>
    <x v="3"/>
    <s v="Monday"/>
  </r>
  <r>
    <s v="TXN-00659"/>
    <d v="2024-06-28T00:00:00"/>
    <d v="1899-12-30T12:10:00"/>
    <s v="Nikhil Singh"/>
    <s v="CUST0309"/>
    <x v="1"/>
    <x v="1"/>
    <x v="1"/>
    <s v="Food"/>
    <s v="Medium"/>
    <n v="1"/>
    <n v="120"/>
    <n v="0"/>
    <n v="120"/>
    <n v="120"/>
    <x v="3"/>
    <x v="0"/>
    <x v="1"/>
    <x v="0"/>
    <x v="0"/>
    <x v="2"/>
    <n v="255"/>
    <n v="13"/>
    <x v="627"/>
    <x v="648"/>
    <x v="2"/>
    <x v="2"/>
    <n v="120"/>
    <x v="0"/>
    <n v="120"/>
    <x v="644"/>
    <x v="648"/>
    <x v="0"/>
    <x v="4"/>
    <x v="4"/>
    <s v="Friday"/>
  </r>
  <r>
    <s v="TXN-00660"/>
    <d v="2024-08-21T00:00:00"/>
    <d v="1899-12-30T16:15:00"/>
    <s v="Ananya Malhotra"/>
    <s v="CUST0161"/>
    <x v="2"/>
    <x v="0"/>
    <x v="0"/>
    <s v="Hot"/>
    <s v="Large"/>
    <n v="1"/>
    <n v="130"/>
    <n v="0"/>
    <n v="130"/>
    <n v="130"/>
    <x v="0"/>
    <x v="0"/>
    <x v="1"/>
    <x v="3"/>
    <x v="0"/>
    <x v="1"/>
    <n v="329"/>
    <n v="31"/>
    <x v="628"/>
    <x v="649"/>
    <x v="0"/>
    <x v="4"/>
    <n v="130"/>
    <x v="0"/>
    <n v="130"/>
    <x v="645"/>
    <x v="649"/>
    <x v="0"/>
    <x v="1"/>
    <x v="1"/>
    <s v="Wednesday"/>
  </r>
  <r>
    <s v="TXN-00661"/>
    <d v="2024-01-08T00:00:00"/>
    <d v="1899-12-30T19:10:00"/>
    <s v="Priya Bansal"/>
    <s v="CUST0263"/>
    <x v="3"/>
    <x v="15"/>
    <x v="4"/>
    <s v="Food"/>
    <s v="Medium"/>
    <n v="2"/>
    <n v="200"/>
    <n v="0.1"/>
    <n v="400"/>
    <n v="360"/>
    <x v="2"/>
    <x v="3"/>
    <x v="4"/>
    <x v="3"/>
    <x v="1"/>
    <x v="2"/>
    <n v="40"/>
    <n v="35"/>
    <x v="629"/>
    <x v="650"/>
    <x v="0"/>
    <x v="4"/>
    <n v="400"/>
    <x v="58"/>
    <n v="360"/>
    <x v="646"/>
    <x v="650"/>
    <x v="0"/>
    <x v="2"/>
    <x v="2"/>
    <s v="Monday"/>
  </r>
  <r>
    <s v="TXN-00662"/>
    <d v="2024-09-30T00:00:00"/>
    <d v="1899-12-30T11:50:00"/>
    <s v="Nikhil Malhotra"/>
    <s v="CUST0180"/>
    <x v="2"/>
    <x v="12"/>
    <x v="1"/>
    <s v="Food"/>
    <s v="Large"/>
    <n v="1"/>
    <n v="100"/>
    <n v="0.1"/>
    <n v="100"/>
    <n v="90"/>
    <x v="2"/>
    <x v="1"/>
    <x v="4"/>
    <x v="3"/>
    <x v="0"/>
    <x v="2"/>
    <n v="455"/>
    <n v="36"/>
    <x v="630"/>
    <x v="651"/>
    <x v="3"/>
    <x v="0"/>
    <n v="100"/>
    <x v="4"/>
    <n v="90"/>
    <x v="647"/>
    <x v="651"/>
    <x v="0"/>
    <x v="0"/>
    <x v="0"/>
    <s v="Monday"/>
  </r>
  <r>
    <s v="TXN-00663"/>
    <d v="2024-08-20T00:00:00"/>
    <d v="1899-12-30T18:30:00"/>
    <s v="Kavya Mehta"/>
    <s v="CUST0261"/>
    <x v="2"/>
    <x v="8"/>
    <x v="0"/>
    <s v="Cold"/>
    <s v="Medium"/>
    <n v="2"/>
    <n v="160"/>
    <n v="0.05"/>
    <n v="320"/>
    <n v="304"/>
    <x v="2"/>
    <x v="1"/>
    <x v="3"/>
    <x v="6"/>
    <x v="0"/>
    <x v="0"/>
    <n v="238"/>
    <n v="36"/>
    <x v="631"/>
    <x v="352"/>
    <x v="1"/>
    <x v="0"/>
    <n v="320"/>
    <x v="3"/>
    <n v="304"/>
    <x v="648"/>
    <x v="352"/>
    <x v="0"/>
    <x v="1"/>
    <x v="1"/>
    <s v="Tuesday"/>
  </r>
  <r>
    <s v="TXN-00664"/>
    <d v="2024-09-11T00:00:00"/>
    <d v="1899-12-30T13:20:00"/>
    <s v="Pooja Malhotra"/>
    <s v="CUST0321"/>
    <x v="0"/>
    <x v="6"/>
    <x v="0"/>
    <s v="Hot"/>
    <s v="Large"/>
    <n v="1"/>
    <n v="100"/>
    <n v="0"/>
    <n v="100"/>
    <n v="100"/>
    <x v="2"/>
    <x v="3"/>
    <x v="3"/>
    <x v="0"/>
    <x v="0"/>
    <x v="0"/>
    <n v="229"/>
    <n v="35"/>
    <x v="632"/>
    <x v="652"/>
    <x v="0"/>
    <x v="3"/>
    <n v="100"/>
    <x v="0"/>
    <n v="100"/>
    <x v="649"/>
    <x v="652"/>
    <x v="0"/>
    <x v="0"/>
    <x v="0"/>
    <s v="Wednesday"/>
  </r>
  <r>
    <s v="TXN-00665"/>
    <d v="2024-04-08T00:00:00"/>
    <d v="1899-12-30T09:30:00"/>
    <s v="Ananya Verma"/>
    <s v="CUST0137"/>
    <x v="0"/>
    <x v="14"/>
    <x v="3"/>
    <s v="Food"/>
    <s v="Small"/>
    <n v="1"/>
    <n v="175"/>
    <n v="0.05"/>
    <n v="175"/>
    <n v="166.25"/>
    <x v="2"/>
    <x v="0"/>
    <x v="5"/>
    <x v="6"/>
    <x v="0"/>
    <x v="1"/>
    <n v="99"/>
    <n v="52"/>
    <x v="633"/>
    <x v="653"/>
    <x v="0"/>
    <x v="4"/>
    <n v="175"/>
    <x v="95"/>
    <n v="166.25"/>
    <x v="650"/>
    <x v="653"/>
    <x v="0"/>
    <x v="8"/>
    <x v="8"/>
    <s v="Monday"/>
  </r>
  <r>
    <s v="TXN-00666"/>
    <d v="2024-05-29T00:00:00"/>
    <d v="1899-12-30T08:45:00"/>
    <s v="Simran Sharma"/>
    <s v="CUST0119"/>
    <x v="0"/>
    <x v="15"/>
    <x v="4"/>
    <s v="Food"/>
    <s v="Medium"/>
    <n v="1"/>
    <n v="200"/>
    <n v="0.1"/>
    <n v="200"/>
    <n v="180"/>
    <x v="3"/>
    <x v="1"/>
    <x v="2"/>
    <x v="4"/>
    <x v="0"/>
    <x v="1"/>
    <n v="37"/>
    <n v="18"/>
    <x v="634"/>
    <x v="654"/>
    <x v="0"/>
    <x v="1"/>
    <n v="200"/>
    <x v="5"/>
    <n v="180"/>
    <x v="651"/>
    <x v="654"/>
    <x v="0"/>
    <x v="6"/>
    <x v="6"/>
    <s v="Wednesday"/>
  </r>
  <r>
    <s v="TXN-00667"/>
    <d v="2024-06-25T00:00:00"/>
    <d v="1899-12-30T07:15:00"/>
    <s v="Karan Gupta"/>
    <s v="CUST0199"/>
    <x v="3"/>
    <x v="13"/>
    <x v="2"/>
    <s v="Cold"/>
    <s v="Unknown"/>
    <n v="1"/>
    <n v="120"/>
    <n v="0.1"/>
    <n v="120"/>
    <n v="108"/>
    <x v="0"/>
    <x v="3"/>
    <x v="4"/>
    <x v="0"/>
    <x v="0"/>
    <x v="0"/>
    <n v="244"/>
    <n v="24"/>
    <x v="635"/>
    <x v="655"/>
    <x v="0"/>
    <x v="0"/>
    <n v="120"/>
    <x v="2"/>
    <n v="108"/>
    <x v="652"/>
    <x v="655"/>
    <x v="0"/>
    <x v="4"/>
    <x v="4"/>
    <s v="Tuesday"/>
  </r>
  <r>
    <s v="TXN-00668"/>
    <d v="2024-12-26T00:00:00"/>
    <d v="1899-12-30T08:50:00"/>
    <s v="Vivaan Gupta"/>
    <s v="CUST0136"/>
    <x v="2"/>
    <x v="11"/>
    <x v="0"/>
    <s v="Hot"/>
    <s v="Small"/>
    <n v="1"/>
    <n v="90"/>
    <n v="0"/>
    <n v="90"/>
    <n v="90"/>
    <x v="2"/>
    <x v="3"/>
    <x v="5"/>
    <x v="6"/>
    <x v="0"/>
    <x v="2"/>
    <n v="36"/>
    <n v="29"/>
    <x v="636"/>
    <x v="656"/>
    <x v="2"/>
    <x v="4"/>
    <n v="90"/>
    <x v="0"/>
    <n v="90"/>
    <x v="653"/>
    <x v="656"/>
    <x v="0"/>
    <x v="9"/>
    <x v="9"/>
    <s v="Thursday"/>
  </r>
  <r>
    <s v="TXN-00669"/>
    <d v="2024-03-23T00:00:00"/>
    <d v="1899-12-30T07:20:00"/>
    <s v="Neha Kapoor"/>
    <s v="CUST0177"/>
    <x v="1"/>
    <x v="4"/>
    <x v="0"/>
    <s v="Cold"/>
    <s v="Unknown"/>
    <n v="1"/>
    <n v="150"/>
    <n v="0.15"/>
    <n v="150"/>
    <n v="127.5"/>
    <x v="3"/>
    <x v="3"/>
    <x v="5"/>
    <x v="2"/>
    <x v="0"/>
    <x v="2"/>
    <n v="53"/>
    <n v="44"/>
    <x v="637"/>
    <x v="657"/>
    <x v="0"/>
    <x v="2"/>
    <n v="150"/>
    <x v="55"/>
    <n v="127.5"/>
    <x v="654"/>
    <x v="657"/>
    <x v="0"/>
    <x v="5"/>
    <x v="5"/>
    <s v="Saturday"/>
  </r>
  <r>
    <s v="TXN-00670"/>
    <d v="2024-04-20T00:00:00"/>
    <d v="1899-12-30T10:50:00"/>
    <s v="Manish Malhotra"/>
    <s v="CUST0309"/>
    <x v="1"/>
    <x v="8"/>
    <x v="0"/>
    <s v="Cold"/>
    <s v="Medium"/>
    <n v="2"/>
    <n v="170"/>
    <n v="0"/>
    <n v="340"/>
    <n v="340"/>
    <x v="3"/>
    <x v="2"/>
    <x v="6"/>
    <x v="6"/>
    <x v="0"/>
    <x v="1"/>
    <n v="38"/>
    <n v="47"/>
    <x v="638"/>
    <x v="658"/>
    <x v="0"/>
    <x v="2"/>
    <n v="340"/>
    <x v="0"/>
    <n v="340"/>
    <x v="655"/>
    <x v="658"/>
    <x v="0"/>
    <x v="8"/>
    <x v="8"/>
    <s v="Saturday"/>
  </r>
  <r>
    <s v="TXN-00671"/>
    <d v="2024-01-11T00:00:00"/>
    <d v="1899-12-30T10:30:00"/>
    <s v="Kavya Verma"/>
    <s v="CUST0294"/>
    <x v="0"/>
    <x v="11"/>
    <x v="0"/>
    <s v="Hot"/>
    <s v="Small"/>
    <n v="2"/>
    <n v="90"/>
    <n v="0.1"/>
    <n v="180"/>
    <n v="162"/>
    <x v="2"/>
    <x v="1"/>
    <x v="0"/>
    <x v="4"/>
    <x v="0"/>
    <x v="4"/>
    <n v="273"/>
    <n v="35"/>
    <x v="224"/>
    <x v="659"/>
    <x v="3"/>
    <x v="3"/>
    <n v="180"/>
    <x v="23"/>
    <n v="162"/>
    <x v="656"/>
    <x v="659"/>
    <x v="0"/>
    <x v="2"/>
    <x v="2"/>
    <s v="Thursday"/>
  </r>
  <r>
    <s v="TXN-00672"/>
    <d v="2024-04-16T00:00:00"/>
    <d v="1899-12-30T07:00:00"/>
    <s v="Meera Sharma"/>
    <s v="CUST0185"/>
    <x v="3"/>
    <x v="6"/>
    <x v="0"/>
    <s v="Hot"/>
    <s v="Small"/>
    <n v="1"/>
    <n v="100"/>
    <n v="0.05"/>
    <n v="100"/>
    <n v="95"/>
    <x v="2"/>
    <x v="3"/>
    <x v="6"/>
    <x v="1"/>
    <x v="0"/>
    <x v="2"/>
    <n v="339"/>
    <n v="34"/>
    <x v="639"/>
    <x v="660"/>
    <x v="0"/>
    <x v="4"/>
    <n v="100"/>
    <x v="32"/>
    <n v="95"/>
    <x v="657"/>
    <x v="660"/>
    <x v="0"/>
    <x v="8"/>
    <x v="8"/>
    <s v="Tuesday"/>
  </r>
  <r>
    <s v="TXN-00673"/>
    <d v="2024-05-16T00:00:00"/>
    <d v="1899-12-30T16:50:00"/>
    <s v="Pooja Kaur"/>
    <s v="CUST0294"/>
    <x v="3"/>
    <x v="8"/>
    <x v="0"/>
    <s v="Cold"/>
    <s v="Small"/>
    <n v="1"/>
    <n v="165"/>
    <n v="0.1"/>
    <n v="165"/>
    <n v="148.5"/>
    <x v="3"/>
    <x v="3"/>
    <x v="3"/>
    <x v="6"/>
    <x v="0"/>
    <x v="4"/>
    <n v="287"/>
    <n v="12"/>
    <x v="640"/>
    <x v="661"/>
    <x v="0"/>
    <x v="3"/>
    <n v="165"/>
    <x v="42"/>
    <n v="148.5"/>
    <x v="658"/>
    <x v="661"/>
    <x v="0"/>
    <x v="6"/>
    <x v="6"/>
    <s v="Thursday"/>
  </r>
  <r>
    <s v="TXN-00674"/>
    <d v="2024-10-31T00:00:00"/>
    <d v="1899-12-30T16:15:00"/>
    <s v="Pooja Mehta"/>
    <s v="Unknown"/>
    <x v="2"/>
    <x v="12"/>
    <x v="1"/>
    <s v="Food"/>
    <s v="Large"/>
    <n v="1"/>
    <n v="95"/>
    <n v="0.1"/>
    <n v="95"/>
    <n v="85.5"/>
    <x v="0"/>
    <x v="3"/>
    <x v="2"/>
    <x v="2"/>
    <x v="0"/>
    <x v="0"/>
    <n v="420"/>
    <n v="35"/>
    <x v="641"/>
    <x v="662"/>
    <x v="1"/>
    <x v="2"/>
    <n v="95"/>
    <x v="10"/>
    <n v="85.5"/>
    <x v="659"/>
    <x v="662"/>
    <x v="0"/>
    <x v="10"/>
    <x v="10"/>
    <s v="Thursday"/>
  </r>
  <r>
    <s v="TXN-00675"/>
    <d v="2024-04-26T00:00:00"/>
    <d v="1899-12-30T10:30:00"/>
    <s v="Meera Kaur"/>
    <s v="CUST0174"/>
    <x v="1"/>
    <x v="0"/>
    <x v="0"/>
    <s v="Hot"/>
    <s v="Medium"/>
    <n v="1"/>
    <n v="130"/>
    <n v="0.15"/>
    <n v="130"/>
    <n v="110.5"/>
    <x v="0"/>
    <x v="1"/>
    <x v="3"/>
    <x v="5"/>
    <x v="0"/>
    <x v="4"/>
    <n v="328"/>
    <n v="58"/>
    <x v="642"/>
    <x v="663"/>
    <x v="3"/>
    <x v="1"/>
    <n v="130"/>
    <x v="50"/>
    <n v="110.5"/>
    <x v="660"/>
    <x v="663"/>
    <x v="0"/>
    <x v="8"/>
    <x v="8"/>
    <s v="Friday"/>
  </r>
  <r>
    <s v="TXN-00676"/>
    <d v="2024-10-21T00:00:00"/>
    <d v="1899-12-30T13:50:00"/>
    <s v="Karan Sharma"/>
    <s v="CUST0339"/>
    <x v="3"/>
    <x v="1"/>
    <x v="1"/>
    <s v="Food"/>
    <s v="Small"/>
    <n v="2"/>
    <n v="125"/>
    <n v="0.05"/>
    <n v="250"/>
    <n v="237.5"/>
    <x v="0"/>
    <x v="0"/>
    <x v="2"/>
    <x v="0"/>
    <x v="0"/>
    <x v="4"/>
    <n v="31"/>
    <n v="36"/>
    <x v="487"/>
    <x v="664"/>
    <x v="3"/>
    <x v="3"/>
    <n v="250"/>
    <x v="91"/>
    <n v="237.5"/>
    <x v="661"/>
    <x v="664"/>
    <x v="0"/>
    <x v="10"/>
    <x v="10"/>
    <s v="Monday"/>
  </r>
  <r>
    <s v="TXN-00677"/>
    <d v="2024-01-30T00:00:00"/>
    <d v="1899-12-30T13:20:00"/>
    <s v="Rohan Sharma"/>
    <s v="CUST0371"/>
    <x v="0"/>
    <x v="12"/>
    <x v="1"/>
    <s v="Food"/>
    <s v="Medium"/>
    <n v="1"/>
    <n v="85"/>
    <n v="0.05"/>
    <n v="85"/>
    <n v="80.75"/>
    <x v="3"/>
    <x v="0"/>
    <x v="5"/>
    <x v="6"/>
    <x v="2"/>
    <x v="1"/>
    <n v="244"/>
    <n v="48"/>
    <x v="643"/>
    <x v="665"/>
    <x v="4"/>
    <x v="3"/>
    <n v="85"/>
    <x v="12"/>
    <n v="80.75"/>
    <x v="662"/>
    <x v="665"/>
    <x v="0"/>
    <x v="2"/>
    <x v="2"/>
    <s v="Tuesday"/>
  </r>
  <r>
    <s v="TXN-00678"/>
    <d v="2024-12-10T00:00:00"/>
    <d v="1899-12-30T09:45:00"/>
    <s v="Ananya Chopra"/>
    <s v="CUST0216"/>
    <x v="2"/>
    <x v="14"/>
    <x v="3"/>
    <s v="Food"/>
    <s v="Large"/>
    <n v="1"/>
    <n v="180"/>
    <n v="0.05"/>
    <n v="180"/>
    <n v="171"/>
    <x v="0"/>
    <x v="0"/>
    <x v="5"/>
    <x v="1"/>
    <x v="0"/>
    <x v="2"/>
    <n v="244"/>
    <n v="23"/>
    <x v="644"/>
    <x v="666"/>
    <x v="3"/>
    <x v="4"/>
    <n v="180"/>
    <x v="13"/>
    <n v="171"/>
    <x v="663"/>
    <x v="666"/>
    <x v="0"/>
    <x v="9"/>
    <x v="9"/>
    <s v="Tuesday"/>
  </r>
  <r>
    <s v="TXN-00679"/>
    <d v="2024-04-06T00:00:00"/>
    <d v="1899-12-30T09:10:00"/>
    <s v="Neha Kaur"/>
    <s v="CUST0277"/>
    <x v="0"/>
    <x v="11"/>
    <x v="0"/>
    <s v="Hot"/>
    <s v="Medium"/>
    <n v="1"/>
    <n v="100"/>
    <n v="0"/>
    <n v="100"/>
    <n v="100"/>
    <x v="2"/>
    <x v="3"/>
    <x v="3"/>
    <x v="0"/>
    <x v="0"/>
    <x v="1"/>
    <n v="20"/>
    <n v="30"/>
    <x v="645"/>
    <x v="667"/>
    <x v="3"/>
    <x v="0"/>
    <n v="100"/>
    <x v="0"/>
    <n v="100"/>
    <x v="664"/>
    <x v="667"/>
    <x v="0"/>
    <x v="8"/>
    <x v="8"/>
    <s v="Saturday"/>
  </r>
  <r>
    <s v="TXN-00680"/>
    <d v="2024-05-20T00:00:00"/>
    <d v="1899-12-30T08:10:00"/>
    <s v="Aarav Mehta"/>
    <s v="CUST0214"/>
    <x v="1"/>
    <x v="6"/>
    <x v="0"/>
    <s v="Hot"/>
    <s v="Small"/>
    <n v="1"/>
    <n v="110"/>
    <n v="0.15"/>
    <n v="110"/>
    <n v="93.5"/>
    <x v="0"/>
    <x v="3"/>
    <x v="2"/>
    <x v="3"/>
    <x v="2"/>
    <x v="1"/>
    <n v="179"/>
    <n v="35"/>
    <x v="500"/>
    <x v="668"/>
    <x v="2"/>
    <x v="4"/>
    <n v="110"/>
    <x v="42"/>
    <n v="93.5"/>
    <x v="511"/>
    <x v="668"/>
    <x v="0"/>
    <x v="6"/>
    <x v="6"/>
    <s v="Monday"/>
  </r>
  <r>
    <s v="TXN-00681"/>
    <d v="2024-03-28T00:00:00"/>
    <d v="1899-12-30T17:15:00"/>
    <s v="Simran Chopra"/>
    <s v="CUST0235"/>
    <x v="3"/>
    <x v="9"/>
    <x v="2"/>
    <s v="Hot"/>
    <s v="Large"/>
    <n v="1"/>
    <n v="80"/>
    <n v="0.05"/>
    <n v="80"/>
    <n v="76"/>
    <x v="2"/>
    <x v="3"/>
    <x v="1"/>
    <x v="5"/>
    <x v="0"/>
    <x v="4"/>
    <n v="164"/>
    <n v="35"/>
    <x v="646"/>
    <x v="669"/>
    <x v="3"/>
    <x v="2"/>
    <n v="80"/>
    <x v="96"/>
    <n v="76"/>
    <x v="665"/>
    <x v="669"/>
    <x v="0"/>
    <x v="5"/>
    <x v="5"/>
    <s v="Thursday"/>
  </r>
  <r>
    <s v="TXN-00682"/>
    <d v="2024-11-19T00:00:00"/>
    <d v="1899-12-30T08:00:00"/>
    <s v="Pooja Bansal"/>
    <s v="CUST0260"/>
    <x v="2"/>
    <x v="6"/>
    <x v="0"/>
    <s v="Hot"/>
    <s v="Medium"/>
    <n v="1"/>
    <n v="100"/>
    <n v="0.05"/>
    <n v="100"/>
    <n v="95"/>
    <x v="0"/>
    <x v="1"/>
    <x v="6"/>
    <x v="1"/>
    <x v="1"/>
    <x v="4"/>
    <n v="32"/>
    <n v="14"/>
    <x v="647"/>
    <x v="670"/>
    <x v="0"/>
    <x v="0"/>
    <n v="100"/>
    <x v="32"/>
    <n v="95"/>
    <x v="666"/>
    <x v="670"/>
    <x v="0"/>
    <x v="11"/>
    <x v="11"/>
    <s v="Tuesday"/>
  </r>
  <r>
    <s v="TXN-00683"/>
    <d v="2024-06-06T00:00:00"/>
    <d v="1899-12-30T20:45:00"/>
    <s v="Sneha Kapoor"/>
    <s v="CUST0303"/>
    <x v="1"/>
    <x v="6"/>
    <x v="0"/>
    <s v="Hot"/>
    <s v="Large"/>
    <n v="2"/>
    <n v="95"/>
    <n v="0.05"/>
    <n v="190"/>
    <n v="180.5"/>
    <x v="0"/>
    <x v="2"/>
    <x v="6"/>
    <x v="7"/>
    <x v="0"/>
    <x v="4"/>
    <n v="243"/>
    <n v="16"/>
    <x v="648"/>
    <x v="671"/>
    <x v="0"/>
    <x v="3"/>
    <n v="190"/>
    <x v="10"/>
    <n v="180.5"/>
    <x v="667"/>
    <x v="671"/>
    <x v="0"/>
    <x v="4"/>
    <x v="4"/>
    <s v="Thursday"/>
  </r>
  <r>
    <s v="TXN-00684"/>
    <d v="2024-03-28T00:00:00"/>
    <d v="1899-12-30T14:50:00"/>
    <s v="Simran Gupta"/>
    <s v="CUST0120"/>
    <x v="3"/>
    <x v="3"/>
    <x v="0"/>
    <s v="Hot"/>
    <s v="Small"/>
    <n v="1"/>
    <n v="120"/>
    <n v="0.15"/>
    <n v="120"/>
    <n v="102"/>
    <x v="0"/>
    <x v="3"/>
    <x v="2"/>
    <x v="2"/>
    <x v="0"/>
    <x v="0"/>
    <n v="403"/>
    <n v="41"/>
    <x v="541"/>
    <x v="672"/>
    <x v="1"/>
    <x v="0"/>
    <n v="120"/>
    <x v="23"/>
    <n v="102"/>
    <x v="668"/>
    <x v="672"/>
    <x v="0"/>
    <x v="5"/>
    <x v="5"/>
    <s v="Thursday"/>
  </r>
  <r>
    <s v="TXN-00685"/>
    <d v="2024-01-12T00:00:00"/>
    <d v="1899-12-30T13:30:00"/>
    <s v="Rohan Singh"/>
    <s v="CUST0399"/>
    <x v="3"/>
    <x v="1"/>
    <x v="1"/>
    <s v="Food"/>
    <s v="Medium"/>
    <n v="1"/>
    <n v="130"/>
    <n v="0"/>
    <n v="130"/>
    <n v="130"/>
    <x v="2"/>
    <x v="2"/>
    <x v="4"/>
    <x v="6"/>
    <x v="0"/>
    <x v="2"/>
    <n v="407"/>
    <n v="51"/>
    <x v="649"/>
    <x v="673"/>
    <x v="3"/>
    <x v="0"/>
    <n v="130"/>
    <x v="0"/>
    <n v="130"/>
    <x v="669"/>
    <x v="673"/>
    <x v="0"/>
    <x v="2"/>
    <x v="2"/>
    <s v="Friday"/>
  </r>
  <r>
    <s v="TXN-00686"/>
    <d v="2024-12-19T00:00:00"/>
    <d v="1899-12-30T16:00:00"/>
    <s v="Rahul Kaur"/>
    <s v="CUST0243"/>
    <x v="0"/>
    <x v="2"/>
    <x v="1"/>
    <s v="Food"/>
    <s v="Large"/>
    <n v="1"/>
    <n v="70"/>
    <n v="0.1"/>
    <n v="70"/>
    <n v="63"/>
    <x v="1"/>
    <x v="1"/>
    <x v="4"/>
    <x v="6"/>
    <x v="0"/>
    <x v="4"/>
    <n v="374"/>
    <n v="46"/>
    <x v="650"/>
    <x v="674"/>
    <x v="3"/>
    <x v="0"/>
    <n v="70"/>
    <x v="22"/>
    <n v="63"/>
    <x v="670"/>
    <x v="674"/>
    <x v="0"/>
    <x v="9"/>
    <x v="9"/>
    <s v="Thursday"/>
  </r>
  <r>
    <s v="TXN-00687"/>
    <d v="2024-07-30T00:00:00"/>
    <d v="1899-12-30T19:20:00"/>
    <s v="Ananya Malhotra"/>
    <s v="CUST0199"/>
    <x v="0"/>
    <x v="13"/>
    <x v="2"/>
    <s v="Cold"/>
    <s v="Small"/>
    <n v="2"/>
    <n v="115"/>
    <n v="0"/>
    <n v="230"/>
    <n v="230"/>
    <x v="0"/>
    <x v="1"/>
    <x v="0"/>
    <x v="2"/>
    <x v="0"/>
    <x v="3"/>
    <n v="16"/>
    <n v="36"/>
    <x v="625"/>
    <x v="675"/>
    <x v="4"/>
    <x v="1"/>
    <n v="230"/>
    <x v="0"/>
    <n v="230"/>
    <x v="671"/>
    <x v="675"/>
    <x v="0"/>
    <x v="7"/>
    <x v="7"/>
    <s v="Tuesday"/>
  </r>
  <r>
    <s v="TXN-00688"/>
    <d v="2024-10-23T00:00:00"/>
    <d v="1899-12-30T18:20:00"/>
    <s v="Pooja Mehta"/>
    <s v="CUST0190"/>
    <x v="3"/>
    <x v="7"/>
    <x v="0"/>
    <s v="Hot"/>
    <s v="Small"/>
    <n v="1"/>
    <n v="150"/>
    <n v="0.05"/>
    <n v="150"/>
    <n v="142.5"/>
    <x v="2"/>
    <x v="1"/>
    <x v="1"/>
    <x v="0"/>
    <x v="0"/>
    <x v="2"/>
    <n v="109"/>
    <n v="39"/>
    <x v="651"/>
    <x v="676"/>
    <x v="0"/>
    <x v="4"/>
    <n v="150"/>
    <x v="45"/>
    <n v="142.5"/>
    <x v="672"/>
    <x v="676"/>
    <x v="0"/>
    <x v="10"/>
    <x v="10"/>
    <s v="Wednesday"/>
  </r>
  <r>
    <s v="TXN-00689"/>
    <d v="2024-03-11T00:00:00"/>
    <d v="1899-12-30T14:20:00"/>
    <s v="Isha Singh"/>
    <s v="CUST0248"/>
    <x v="0"/>
    <x v="11"/>
    <x v="0"/>
    <s v="Hot"/>
    <s v="Unknown"/>
    <n v="3"/>
    <n v="85"/>
    <n v="0.1"/>
    <n v="255"/>
    <n v="229.5"/>
    <x v="2"/>
    <x v="0"/>
    <x v="4"/>
    <x v="4"/>
    <x v="1"/>
    <x v="2"/>
    <n v="218"/>
    <n v="35"/>
    <x v="652"/>
    <x v="677"/>
    <x v="1"/>
    <x v="2"/>
    <n v="255"/>
    <x v="38"/>
    <n v="229.5"/>
    <x v="673"/>
    <x v="677"/>
    <x v="0"/>
    <x v="5"/>
    <x v="5"/>
    <s v="Monday"/>
  </r>
  <r>
    <s v="TXN-00690"/>
    <d v="2024-01-23T00:00:00"/>
    <d v="1899-12-30T11:00:00"/>
    <s v="Sneha Mehta"/>
    <s v="CUST0340"/>
    <x v="3"/>
    <x v="6"/>
    <x v="0"/>
    <s v="Hot"/>
    <s v="Medium"/>
    <n v="2"/>
    <n v="100"/>
    <n v="0.05"/>
    <n v="200"/>
    <n v="190"/>
    <x v="0"/>
    <x v="0"/>
    <x v="6"/>
    <x v="3"/>
    <x v="0"/>
    <x v="4"/>
    <n v="155"/>
    <n v="24"/>
    <x v="653"/>
    <x v="678"/>
    <x v="3"/>
    <x v="4"/>
    <n v="200"/>
    <x v="4"/>
    <n v="190"/>
    <x v="674"/>
    <x v="678"/>
    <x v="0"/>
    <x v="2"/>
    <x v="2"/>
    <s v="Tuesday"/>
  </r>
  <r>
    <s v="TXN-00691"/>
    <d v="2024-10-25T00:00:00"/>
    <d v="1899-12-30T12:50:00"/>
    <s v="Ananya Sharma"/>
    <s v="CUST0317"/>
    <x v="1"/>
    <x v="7"/>
    <x v="0"/>
    <s v="Hot"/>
    <s v="Medium"/>
    <n v="1"/>
    <n v="145"/>
    <n v="0.05"/>
    <n v="145"/>
    <n v="137.75"/>
    <x v="0"/>
    <x v="3"/>
    <x v="0"/>
    <x v="4"/>
    <x v="1"/>
    <x v="0"/>
    <n v="168"/>
    <n v="34"/>
    <x v="654"/>
    <x v="679"/>
    <x v="2"/>
    <x v="0"/>
    <n v="145"/>
    <x v="6"/>
    <n v="137.75"/>
    <x v="675"/>
    <x v="679"/>
    <x v="0"/>
    <x v="10"/>
    <x v="10"/>
    <s v="Friday"/>
  </r>
  <r>
    <s v="TXN-00692"/>
    <d v="2024-08-29T00:00:00"/>
    <d v="1899-12-30T11:20:00"/>
    <s v="Priya Mehta"/>
    <s v="CUST0219"/>
    <x v="2"/>
    <x v="13"/>
    <x v="2"/>
    <s v="Cold"/>
    <s v="Small"/>
    <n v="1"/>
    <n v="120"/>
    <n v="0"/>
    <n v="120"/>
    <n v="120"/>
    <x v="2"/>
    <x v="0"/>
    <x v="6"/>
    <x v="6"/>
    <x v="0"/>
    <x v="0"/>
    <n v="45"/>
    <n v="56"/>
    <x v="655"/>
    <x v="51"/>
    <x v="3"/>
    <x v="4"/>
    <n v="120"/>
    <x v="0"/>
    <n v="120"/>
    <x v="676"/>
    <x v="51"/>
    <x v="0"/>
    <x v="1"/>
    <x v="1"/>
    <s v="Thursday"/>
  </r>
  <r>
    <s v="TXN-00693"/>
    <d v="2024-04-05T00:00:00"/>
    <d v="1899-12-30T09:45:00"/>
    <s v="Manish Bansal"/>
    <s v="CUST0256"/>
    <x v="0"/>
    <x v="2"/>
    <x v="1"/>
    <s v="Food"/>
    <s v="Large"/>
    <n v="1"/>
    <n v="80"/>
    <n v="0.05"/>
    <n v="80"/>
    <n v="76"/>
    <x v="2"/>
    <x v="3"/>
    <x v="3"/>
    <x v="1"/>
    <x v="0"/>
    <x v="2"/>
    <n v="199"/>
    <n v="50"/>
    <x v="656"/>
    <x v="680"/>
    <x v="4"/>
    <x v="2"/>
    <n v="80"/>
    <x v="96"/>
    <n v="76"/>
    <x v="677"/>
    <x v="680"/>
    <x v="0"/>
    <x v="8"/>
    <x v="8"/>
    <s v="Friday"/>
  </r>
  <r>
    <s v="TXN-00694"/>
    <d v="2024-12-02T00:00:00"/>
    <d v="1899-12-30T20:45:00"/>
    <s v="Kavya Malhotra"/>
    <s v="CUST0319"/>
    <x v="1"/>
    <x v="0"/>
    <x v="0"/>
    <s v="Hot"/>
    <s v="Small"/>
    <n v="1"/>
    <n v="135"/>
    <n v="0"/>
    <n v="135"/>
    <n v="135"/>
    <x v="1"/>
    <x v="0"/>
    <x v="4"/>
    <x v="0"/>
    <x v="2"/>
    <x v="1"/>
    <n v="244"/>
    <n v="21"/>
    <x v="657"/>
    <x v="681"/>
    <x v="5"/>
    <x v="1"/>
    <n v="135"/>
    <x v="0"/>
    <n v="135"/>
    <x v="678"/>
    <x v="681"/>
    <x v="0"/>
    <x v="9"/>
    <x v="9"/>
    <s v="Monday"/>
  </r>
  <r>
    <s v="TXN-00695"/>
    <d v="2024-05-18T00:00:00"/>
    <d v="1899-12-30T21:15:00"/>
    <s v="Isha Gupta"/>
    <s v="CUST0133"/>
    <x v="2"/>
    <x v="5"/>
    <x v="2"/>
    <s v="Hot"/>
    <s v="Large"/>
    <n v="1"/>
    <n v="90"/>
    <n v="0"/>
    <n v="90"/>
    <n v="90"/>
    <x v="0"/>
    <x v="3"/>
    <x v="2"/>
    <x v="4"/>
    <x v="0"/>
    <x v="3"/>
    <n v="314"/>
    <n v="38"/>
    <x v="437"/>
    <x v="682"/>
    <x v="3"/>
    <x v="2"/>
    <n v="90"/>
    <x v="0"/>
    <n v="90"/>
    <x v="446"/>
    <x v="682"/>
    <x v="0"/>
    <x v="6"/>
    <x v="6"/>
    <s v="Saturday"/>
  </r>
  <r>
    <s v="TXN-00696"/>
    <d v="2024-07-22T00:00:00"/>
    <d v="1899-12-30T10:15:00"/>
    <s v="Priya Verma"/>
    <s v="CUST0378"/>
    <x v="3"/>
    <x v="15"/>
    <x v="4"/>
    <s v="Food"/>
    <s v="Medium"/>
    <n v="1"/>
    <n v="195"/>
    <n v="0.05"/>
    <n v="195"/>
    <n v="185.25"/>
    <x v="1"/>
    <x v="1"/>
    <x v="6"/>
    <x v="6"/>
    <x v="0"/>
    <x v="1"/>
    <n v="243"/>
    <n v="28"/>
    <x v="658"/>
    <x v="653"/>
    <x v="0"/>
    <x v="1"/>
    <n v="195"/>
    <x v="76"/>
    <n v="185.25"/>
    <x v="679"/>
    <x v="653"/>
    <x v="0"/>
    <x v="7"/>
    <x v="7"/>
    <s v="Monday"/>
  </r>
  <r>
    <s v="TXN-00697"/>
    <d v="2024-06-10T00:00:00"/>
    <d v="1899-12-30T13:20:00"/>
    <s v="Nikhil Verma"/>
    <s v="CUST0142"/>
    <x v="2"/>
    <x v="12"/>
    <x v="1"/>
    <s v="Food"/>
    <s v="Medium"/>
    <n v="2"/>
    <n v="100"/>
    <n v="0.05"/>
    <n v="200"/>
    <n v="190"/>
    <x v="3"/>
    <x v="0"/>
    <x v="6"/>
    <x v="5"/>
    <x v="0"/>
    <x v="4"/>
    <n v="96"/>
    <n v="55"/>
    <x v="659"/>
    <x v="683"/>
    <x v="1"/>
    <x v="0"/>
    <n v="200"/>
    <x v="4"/>
    <n v="190"/>
    <x v="680"/>
    <x v="683"/>
    <x v="0"/>
    <x v="4"/>
    <x v="4"/>
    <s v="Monday"/>
  </r>
  <r>
    <s v="TXN-00698"/>
    <d v="2024-08-24T00:00:00"/>
    <d v="1899-12-30T21:15:00"/>
    <s v="Kavya Verma"/>
    <s v="CUST0253"/>
    <x v="1"/>
    <x v="11"/>
    <x v="0"/>
    <s v="Hot"/>
    <s v="Medium"/>
    <n v="4"/>
    <n v="85"/>
    <n v="0.15"/>
    <n v="340"/>
    <n v="289"/>
    <x v="2"/>
    <x v="2"/>
    <x v="6"/>
    <x v="1"/>
    <x v="2"/>
    <x v="2"/>
    <n v="154"/>
    <n v="37"/>
    <x v="400"/>
    <x v="684"/>
    <x v="3"/>
    <x v="2"/>
    <n v="340"/>
    <x v="97"/>
    <n v="289"/>
    <x v="681"/>
    <x v="684"/>
    <x v="0"/>
    <x v="1"/>
    <x v="1"/>
    <s v="Saturday"/>
  </r>
  <r>
    <s v="TXN-00699"/>
    <d v="2024-11-15T00:00:00"/>
    <d v="1899-12-30T12:10:00"/>
    <s v="Manish Mehta"/>
    <s v="CUST0309"/>
    <x v="2"/>
    <x v="2"/>
    <x v="1"/>
    <s v="Food"/>
    <s v="Unknown"/>
    <n v="1"/>
    <n v="70"/>
    <n v="0.05"/>
    <n v="70"/>
    <n v="66.5"/>
    <x v="0"/>
    <x v="3"/>
    <x v="5"/>
    <x v="2"/>
    <x v="2"/>
    <x v="4"/>
    <n v="177"/>
    <n v="13"/>
    <x v="660"/>
    <x v="685"/>
    <x v="4"/>
    <x v="3"/>
    <n v="70"/>
    <x v="35"/>
    <n v="66.5"/>
    <x v="682"/>
    <x v="685"/>
    <x v="0"/>
    <x v="11"/>
    <x v="11"/>
    <s v="Friday"/>
  </r>
  <r>
    <s v="TXN-00700"/>
    <d v="2024-06-26T00:00:00"/>
    <d v="1899-12-30T17:30:00"/>
    <s v="Riya Chopra"/>
    <s v="Unknown"/>
    <x v="1"/>
    <x v="8"/>
    <x v="0"/>
    <s v="Cold"/>
    <s v="Large"/>
    <n v="1"/>
    <n v="170"/>
    <n v="0.05"/>
    <n v="170"/>
    <n v="161.5"/>
    <x v="3"/>
    <x v="1"/>
    <x v="5"/>
    <x v="0"/>
    <x v="0"/>
    <x v="2"/>
    <n v="321"/>
    <n v="46"/>
    <x v="661"/>
    <x v="686"/>
    <x v="1"/>
    <x v="4"/>
    <n v="170"/>
    <x v="20"/>
    <n v="161.5"/>
    <x v="683"/>
    <x v="686"/>
    <x v="0"/>
    <x v="4"/>
    <x v="4"/>
    <s v="Wednesday"/>
  </r>
  <r>
    <s v="TXN-00701"/>
    <d v="2024-08-20T00:00:00"/>
    <d v="1899-12-30T11:20:00"/>
    <s v="Kavya Verma"/>
    <s v="CUST0190"/>
    <x v="1"/>
    <x v="1"/>
    <x v="1"/>
    <s v="Food"/>
    <s v="Medium"/>
    <n v="2"/>
    <n v="125"/>
    <n v="0"/>
    <n v="250"/>
    <n v="250"/>
    <x v="1"/>
    <x v="1"/>
    <x v="3"/>
    <x v="7"/>
    <x v="2"/>
    <x v="1"/>
    <n v="6"/>
    <n v="36"/>
    <x v="386"/>
    <x v="687"/>
    <x v="1"/>
    <x v="3"/>
    <n v="250"/>
    <x v="0"/>
    <n v="250"/>
    <x v="684"/>
    <x v="687"/>
    <x v="0"/>
    <x v="1"/>
    <x v="1"/>
    <s v="Tuesday"/>
  </r>
  <r>
    <s v="TXN-00702"/>
    <d v="2024-11-08T00:00:00"/>
    <d v="1899-12-30T08:30:00"/>
    <s v="Sneha Mehta"/>
    <s v="CUST0285"/>
    <x v="2"/>
    <x v="4"/>
    <x v="0"/>
    <s v="Cold"/>
    <s v="Large"/>
    <n v="1"/>
    <n v="160"/>
    <n v="0.1"/>
    <n v="160"/>
    <n v="144"/>
    <x v="1"/>
    <x v="3"/>
    <x v="2"/>
    <x v="2"/>
    <x v="0"/>
    <x v="1"/>
    <n v="497"/>
    <n v="42"/>
    <x v="662"/>
    <x v="688"/>
    <x v="0"/>
    <x v="1"/>
    <n v="160"/>
    <x v="3"/>
    <n v="144"/>
    <x v="685"/>
    <x v="688"/>
    <x v="0"/>
    <x v="11"/>
    <x v="11"/>
    <s v="Friday"/>
  </r>
  <r>
    <s v="TXN-00703"/>
    <d v="2024-05-05T00:00:00"/>
    <d v="1899-12-30T11:15:00"/>
    <s v="Arjun Singh"/>
    <s v="CUST0363"/>
    <x v="2"/>
    <x v="1"/>
    <x v="1"/>
    <s v="Food"/>
    <s v="Medium"/>
    <n v="1"/>
    <n v="120"/>
    <n v="0.15"/>
    <n v="120"/>
    <n v="102"/>
    <x v="0"/>
    <x v="2"/>
    <x v="0"/>
    <x v="0"/>
    <x v="0"/>
    <x v="2"/>
    <n v="380"/>
    <n v="57"/>
    <x v="663"/>
    <x v="689"/>
    <x v="0"/>
    <x v="0"/>
    <n v="120"/>
    <x v="23"/>
    <n v="102"/>
    <x v="686"/>
    <x v="689"/>
    <x v="0"/>
    <x v="6"/>
    <x v="6"/>
    <s v="Sunday"/>
  </r>
  <r>
    <s v="TXN-00704"/>
    <d v="2024-12-04T00:00:00"/>
    <d v="1899-12-30T11:10:00"/>
    <s v="Nikhil Kaur"/>
    <s v="CUST0237"/>
    <x v="1"/>
    <x v="8"/>
    <x v="0"/>
    <s v="Cold"/>
    <s v="Small"/>
    <n v="2"/>
    <n v="155"/>
    <n v="0.1"/>
    <n v="310"/>
    <n v="279"/>
    <x v="2"/>
    <x v="0"/>
    <x v="3"/>
    <x v="2"/>
    <x v="0"/>
    <x v="2"/>
    <n v="244"/>
    <n v="18"/>
    <x v="664"/>
    <x v="44"/>
    <x v="3"/>
    <x v="4"/>
    <n v="310"/>
    <x v="53"/>
    <n v="279"/>
    <x v="687"/>
    <x v="44"/>
    <x v="0"/>
    <x v="9"/>
    <x v="9"/>
    <s v="Wednesday"/>
  </r>
  <r>
    <s v="TXN-00705"/>
    <d v="2024-01-01T00:00:00"/>
    <d v="1899-12-30T16:15:00"/>
    <s v="Riya Bansal"/>
    <s v="CUST0120"/>
    <x v="3"/>
    <x v="9"/>
    <x v="2"/>
    <s v="Hot"/>
    <s v="Unknown"/>
    <n v="1"/>
    <n v="75"/>
    <n v="0.05"/>
    <n v="75"/>
    <n v="71.25"/>
    <x v="2"/>
    <x v="0"/>
    <x v="5"/>
    <x v="4"/>
    <x v="0"/>
    <x v="2"/>
    <n v="478"/>
    <n v="46"/>
    <x v="441"/>
    <x v="690"/>
    <x v="3"/>
    <x v="1"/>
    <n v="75"/>
    <x v="57"/>
    <n v="71.25"/>
    <x v="688"/>
    <x v="690"/>
    <x v="0"/>
    <x v="2"/>
    <x v="2"/>
    <s v="Monday"/>
  </r>
  <r>
    <s v="TXN-00706"/>
    <d v="2024-05-21T00:00:00"/>
    <d v="1899-12-30T08:45:00"/>
    <s v="Kavya Gupta"/>
    <s v="Unknown"/>
    <x v="3"/>
    <x v="4"/>
    <x v="0"/>
    <s v="Cold"/>
    <s v="Small"/>
    <n v="1"/>
    <n v="160"/>
    <n v="0"/>
    <n v="160"/>
    <n v="160"/>
    <x v="0"/>
    <x v="3"/>
    <x v="1"/>
    <x v="1"/>
    <x v="0"/>
    <x v="0"/>
    <n v="91"/>
    <n v="54"/>
    <x v="665"/>
    <x v="691"/>
    <x v="3"/>
    <x v="2"/>
    <n v="160"/>
    <x v="0"/>
    <n v="160"/>
    <x v="689"/>
    <x v="691"/>
    <x v="0"/>
    <x v="6"/>
    <x v="6"/>
    <s v="Tuesday"/>
  </r>
  <r>
    <s v="TXN-00707"/>
    <d v="2024-08-09T00:00:00"/>
    <d v="1899-12-30T14:30:00"/>
    <s v="Aarav Sharma"/>
    <s v="CUST0297"/>
    <x v="2"/>
    <x v="0"/>
    <x v="0"/>
    <s v="Hot"/>
    <s v="Medium"/>
    <n v="4"/>
    <n v="135"/>
    <n v="0"/>
    <n v="540"/>
    <n v="540"/>
    <x v="0"/>
    <x v="3"/>
    <x v="1"/>
    <x v="1"/>
    <x v="2"/>
    <x v="2"/>
    <n v="76"/>
    <n v="35"/>
    <x v="666"/>
    <x v="692"/>
    <x v="1"/>
    <x v="0"/>
    <n v="540"/>
    <x v="0"/>
    <n v="540"/>
    <x v="690"/>
    <x v="692"/>
    <x v="0"/>
    <x v="1"/>
    <x v="1"/>
    <s v="Friday"/>
  </r>
  <r>
    <s v="TXN-00708"/>
    <d v="2024-10-14T00:00:00"/>
    <d v="1899-12-30T18:20:00"/>
    <s v="Nikhil Malhotra"/>
    <s v="CUST0165"/>
    <x v="2"/>
    <x v="9"/>
    <x v="2"/>
    <s v="Hot"/>
    <s v="Small"/>
    <n v="1"/>
    <n v="80"/>
    <n v="0.1"/>
    <n v="80"/>
    <n v="72"/>
    <x v="0"/>
    <x v="1"/>
    <x v="0"/>
    <x v="0"/>
    <x v="0"/>
    <x v="4"/>
    <n v="186"/>
    <n v="16"/>
    <x v="667"/>
    <x v="693"/>
    <x v="2"/>
    <x v="2"/>
    <n v="80"/>
    <x v="7"/>
    <n v="72"/>
    <x v="691"/>
    <x v="693"/>
    <x v="0"/>
    <x v="10"/>
    <x v="10"/>
    <s v="Monday"/>
  </r>
  <r>
    <s v="TXN-00709"/>
    <d v="2024-04-02T00:00:00"/>
    <d v="1899-12-30T17:00:00"/>
    <s v="Simran Singh"/>
    <s v="CUST0377"/>
    <x v="2"/>
    <x v="12"/>
    <x v="1"/>
    <s v="Food"/>
    <s v="Unknown"/>
    <n v="2"/>
    <n v="85"/>
    <n v="0"/>
    <n v="170"/>
    <n v="170"/>
    <x v="2"/>
    <x v="3"/>
    <x v="6"/>
    <x v="6"/>
    <x v="2"/>
    <x v="0"/>
    <n v="201"/>
    <n v="35"/>
    <x v="64"/>
    <x v="694"/>
    <x v="3"/>
    <x v="4"/>
    <n v="170"/>
    <x v="0"/>
    <n v="170"/>
    <x v="692"/>
    <x v="694"/>
    <x v="0"/>
    <x v="8"/>
    <x v="8"/>
    <s v="Tuesday"/>
  </r>
  <r>
    <s v="TXN-00710"/>
    <d v="2024-03-07T00:00:00"/>
    <d v="1899-12-30T13:30:00"/>
    <s v="Pooja Bansal"/>
    <s v="CUST0100"/>
    <x v="3"/>
    <x v="10"/>
    <x v="1"/>
    <s v="Food"/>
    <s v="Large"/>
    <n v="4"/>
    <n v="100"/>
    <n v="0.05"/>
    <n v="400"/>
    <n v="380"/>
    <x v="0"/>
    <x v="3"/>
    <x v="1"/>
    <x v="7"/>
    <x v="0"/>
    <x v="2"/>
    <n v="201"/>
    <n v="35"/>
    <x v="668"/>
    <x v="695"/>
    <x v="0"/>
    <x v="4"/>
    <n v="400"/>
    <x v="5"/>
    <n v="380"/>
    <x v="693"/>
    <x v="695"/>
    <x v="0"/>
    <x v="5"/>
    <x v="5"/>
    <s v="Thursday"/>
  </r>
  <r>
    <s v="TXN-00711"/>
    <d v="2024-05-02T00:00:00"/>
    <d v="1899-12-30T07:10:00"/>
    <s v="Simran Gupta"/>
    <s v="CUST0300"/>
    <x v="1"/>
    <x v="10"/>
    <x v="1"/>
    <s v="Food"/>
    <s v="Large"/>
    <n v="1"/>
    <n v="100"/>
    <n v="0"/>
    <n v="100"/>
    <n v="100"/>
    <x v="2"/>
    <x v="1"/>
    <x v="0"/>
    <x v="6"/>
    <x v="0"/>
    <x v="1"/>
    <n v="203"/>
    <n v="36"/>
    <x v="669"/>
    <x v="360"/>
    <x v="2"/>
    <x v="0"/>
    <n v="100"/>
    <x v="0"/>
    <n v="100"/>
    <x v="694"/>
    <x v="360"/>
    <x v="0"/>
    <x v="6"/>
    <x v="6"/>
    <s v="Thursday"/>
  </r>
  <r>
    <s v="TXN-00712"/>
    <d v="2024-07-08T00:00:00"/>
    <d v="1899-12-30T10:30:00"/>
    <s v="Vivaan Malhotra"/>
    <s v="CUST0291"/>
    <x v="3"/>
    <x v="2"/>
    <x v="1"/>
    <s v="Food"/>
    <s v="Small"/>
    <n v="2"/>
    <n v="80"/>
    <n v="0.05"/>
    <n v="160"/>
    <n v="152"/>
    <x v="1"/>
    <x v="0"/>
    <x v="5"/>
    <x v="3"/>
    <x v="2"/>
    <x v="1"/>
    <n v="233"/>
    <n v="33"/>
    <x v="670"/>
    <x v="696"/>
    <x v="2"/>
    <x v="2"/>
    <n v="160"/>
    <x v="7"/>
    <n v="152"/>
    <x v="695"/>
    <x v="696"/>
    <x v="0"/>
    <x v="7"/>
    <x v="7"/>
    <s v="Monday"/>
  </r>
  <r>
    <s v="TXN-00713"/>
    <d v="2024-02-01T00:00:00"/>
    <d v="1899-12-30T10:50:00"/>
    <s v="Sahil Singh"/>
    <s v="CUST0382"/>
    <x v="2"/>
    <x v="4"/>
    <x v="0"/>
    <s v="Cold"/>
    <s v="Medium"/>
    <n v="1"/>
    <n v="160"/>
    <n v="0.05"/>
    <n v="160"/>
    <n v="152"/>
    <x v="0"/>
    <x v="3"/>
    <x v="2"/>
    <x v="2"/>
    <x v="2"/>
    <x v="2"/>
    <n v="325"/>
    <n v="35"/>
    <x v="671"/>
    <x v="697"/>
    <x v="0"/>
    <x v="0"/>
    <n v="160"/>
    <x v="7"/>
    <n v="152"/>
    <x v="696"/>
    <x v="697"/>
    <x v="0"/>
    <x v="3"/>
    <x v="3"/>
    <s v="Thursday"/>
  </r>
  <r>
    <s v="TXN-00714"/>
    <d v="2024-11-19T00:00:00"/>
    <d v="1899-12-30T09:20:00"/>
    <s v="Simran Singh"/>
    <s v="CUST0267"/>
    <x v="3"/>
    <x v="11"/>
    <x v="0"/>
    <s v="Hot"/>
    <s v="Medium"/>
    <n v="1"/>
    <n v="100"/>
    <n v="0.05"/>
    <n v="100"/>
    <n v="95"/>
    <x v="0"/>
    <x v="3"/>
    <x v="4"/>
    <x v="3"/>
    <x v="0"/>
    <x v="3"/>
    <n v="92"/>
    <n v="43"/>
    <x v="672"/>
    <x v="698"/>
    <x v="1"/>
    <x v="1"/>
    <n v="100"/>
    <x v="32"/>
    <n v="95"/>
    <x v="697"/>
    <x v="698"/>
    <x v="0"/>
    <x v="11"/>
    <x v="11"/>
    <s v="Tuesday"/>
  </r>
  <r>
    <s v="TXN-00715"/>
    <d v="2024-08-26T00:00:00"/>
    <d v="1899-12-30T18:45:00"/>
    <s v="Rohan Malhotra"/>
    <s v="CUST0295"/>
    <x v="1"/>
    <x v="0"/>
    <x v="0"/>
    <s v="Hot"/>
    <s v="Medium"/>
    <n v="1"/>
    <n v="130"/>
    <n v="0"/>
    <n v="130"/>
    <n v="130"/>
    <x v="1"/>
    <x v="3"/>
    <x v="0"/>
    <x v="3"/>
    <x v="1"/>
    <x v="4"/>
    <n v="295"/>
    <n v="35"/>
    <x v="673"/>
    <x v="699"/>
    <x v="0"/>
    <x v="4"/>
    <n v="130"/>
    <x v="0"/>
    <n v="130"/>
    <x v="698"/>
    <x v="699"/>
    <x v="0"/>
    <x v="1"/>
    <x v="1"/>
    <s v="Monday"/>
  </r>
  <r>
    <s v="TXN-00716"/>
    <d v="2024-06-27T00:00:00"/>
    <d v="1899-12-30T10:20:00"/>
    <s v="Pooja Verma"/>
    <s v="CUST0249"/>
    <x v="3"/>
    <x v="0"/>
    <x v="0"/>
    <s v="Hot"/>
    <s v="Medium"/>
    <n v="2"/>
    <n v="125"/>
    <n v="0.1"/>
    <n v="250"/>
    <n v="225"/>
    <x v="2"/>
    <x v="1"/>
    <x v="3"/>
    <x v="4"/>
    <x v="0"/>
    <x v="3"/>
    <n v="244"/>
    <n v="36"/>
    <x v="674"/>
    <x v="700"/>
    <x v="0"/>
    <x v="3"/>
    <n v="250"/>
    <x v="37"/>
    <n v="225"/>
    <x v="699"/>
    <x v="700"/>
    <x v="0"/>
    <x v="4"/>
    <x v="4"/>
    <s v="Thursday"/>
  </r>
  <r>
    <s v="TXN-00717"/>
    <d v="2024-12-27T00:00:00"/>
    <d v="1899-12-30T15:20:00"/>
    <s v="Aarav Mehta"/>
    <s v="CUST0121"/>
    <x v="3"/>
    <x v="11"/>
    <x v="0"/>
    <s v="Hot"/>
    <s v="Medium"/>
    <n v="1"/>
    <n v="85"/>
    <n v="0"/>
    <n v="85"/>
    <n v="85"/>
    <x v="0"/>
    <x v="3"/>
    <x v="6"/>
    <x v="5"/>
    <x v="0"/>
    <x v="3"/>
    <n v="148"/>
    <n v="54"/>
    <x v="675"/>
    <x v="701"/>
    <x v="0"/>
    <x v="3"/>
    <n v="85"/>
    <x v="0"/>
    <n v="85"/>
    <x v="700"/>
    <x v="701"/>
    <x v="0"/>
    <x v="9"/>
    <x v="9"/>
    <s v="Friday"/>
  </r>
  <r>
    <s v="TXN-00718"/>
    <d v="2024-06-25T00:00:00"/>
    <d v="1899-12-30T21:20:00"/>
    <s v="Karan Mehta"/>
    <s v="CUST0159"/>
    <x v="1"/>
    <x v="7"/>
    <x v="0"/>
    <s v="Hot"/>
    <s v="Small"/>
    <n v="1"/>
    <n v="155"/>
    <n v="0.15"/>
    <n v="155"/>
    <n v="131.75"/>
    <x v="2"/>
    <x v="3"/>
    <x v="6"/>
    <x v="0"/>
    <x v="0"/>
    <x v="3"/>
    <n v="99"/>
    <n v="27"/>
    <x v="676"/>
    <x v="702"/>
    <x v="3"/>
    <x v="0"/>
    <n v="155"/>
    <x v="83"/>
    <n v="131.75"/>
    <x v="701"/>
    <x v="702"/>
    <x v="0"/>
    <x v="4"/>
    <x v="4"/>
    <s v="Tuesday"/>
  </r>
  <r>
    <s v="TXN-00719"/>
    <d v="2024-08-28T00:00:00"/>
    <d v="1899-12-30T07:50:00"/>
    <s v="Pooja Chopra"/>
    <s v="CUST0124"/>
    <x v="3"/>
    <x v="4"/>
    <x v="0"/>
    <s v="Cold"/>
    <s v="Large"/>
    <n v="2"/>
    <n v="145"/>
    <n v="0"/>
    <n v="290"/>
    <n v="290"/>
    <x v="0"/>
    <x v="3"/>
    <x v="0"/>
    <x v="3"/>
    <x v="1"/>
    <x v="4"/>
    <n v="244"/>
    <n v="35"/>
    <x v="677"/>
    <x v="703"/>
    <x v="1"/>
    <x v="4"/>
    <n v="290"/>
    <x v="0"/>
    <n v="290"/>
    <x v="702"/>
    <x v="703"/>
    <x v="0"/>
    <x v="1"/>
    <x v="1"/>
    <s v="Wednesday"/>
  </r>
  <r>
    <s v="TXN-00720"/>
    <d v="2024-01-05T00:00:00"/>
    <d v="1899-12-30T20:15:00"/>
    <s v="Simran Verma"/>
    <s v="CUST0207"/>
    <x v="2"/>
    <x v="12"/>
    <x v="1"/>
    <s v="Food"/>
    <s v="Small"/>
    <n v="1"/>
    <n v="85"/>
    <n v="0"/>
    <n v="85"/>
    <n v="85"/>
    <x v="1"/>
    <x v="3"/>
    <x v="6"/>
    <x v="1"/>
    <x v="0"/>
    <x v="3"/>
    <n v="101"/>
    <n v="10"/>
    <x v="678"/>
    <x v="704"/>
    <x v="0"/>
    <x v="0"/>
    <n v="85"/>
    <x v="0"/>
    <n v="85"/>
    <x v="703"/>
    <x v="704"/>
    <x v="0"/>
    <x v="2"/>
    <x v="2"/>
    <s v="Friday"/>
  </r>
  <r>
    <s v="TXN-00721"/>
    <d v="2024-02-25T00:00:00"/>
    <d v="1899-12-30T17:50:00"/>
    <s v="Rahul Malhotra"/>
    <s v="CUST0343"/>
    <x v="3"/>
    <x v="13"/>
    <x v="2"/>
    <s v="Cold"/>
    <s v="Medium"/>
    <n v="2"/>
    <n v="110"/>
    <n v="0.15"/>
    <n v="220"/>
    <n v="187"/>
    <x v="2"/>
    <x v="1"/>
    <x v="3"/>
    <x v="3"/>
    <x v="0"/>
    <x v="1"/>
    <n v="483"/>
    <n v="27"/>
    <x v="679"/>
    <x v="705"/>
    <x v="0"/>
    <x v="0"/>
    <n v="220"/>
    <x v="16"/>
    <n v="187"/>
    <x v="704"/>
    <x v="705"/>
    <x v="0"/>
    <x v="3"/>
    <x v="3"/>
    <s v="Sunday"/>
  </r>
  <r>
    <s v="TXN-00722"/>
    <d v="2024-08-21T00:00:00"/>
    <d v="1899-12-30T12:20:00"/>
    <s v="Riya Singh"/>
    <s v="Unknown"/>
    <x v="0"/>
    <x v="11"/>
    <x v="0"/>
    <s v="Hot"/>
    <s v="Large"/>
    <n v="1"/>
    <n v="100"/>
    <n v="0.1"/>
    <n v="100"/>
    <n v="90"/>
    <x v="2"/>
    <x v="0"/>
    <x v="5"/>
    <x v="2"/>
    <x v="0"/>
    <x v="4"/>
    <n v="40"/>
    <n v="34"/>
    <x v="675"/>
    <x v="706"/>
    <x v="0"/>
    <x v="2"/>
    <n v="100"/>
    <x v="4"/>
    <n v="90"/>
    <x v="700"/>
    <x v="706"/>
    <x v="0"/>
    <x v="1"/>
    <x v="1"/>
    <s v="Wednesday"/>
  </r>
  <r>
    <s v="TXN-00723"/>
    <d v="2024-07-18T00:00:00"/>
    <d v="1899-12-30T07:20:00"/>
    <s v="Kavya Kaur"/>
    <s v="CUST0361"/>
    <x v="2"/>
    <x v="2"/>
    <x v="1"/>
    <s v="Food"/>
    <s v="Large"/>
    <n v="2"/>
    <n v="75"/>
    <n v="0.1"/>
    <n v="150"/>
    <n v="135"/>
    <x v="0"/>
    <x v="3"/>
    <x v="2"/>
    <x v="7"/>
    <x v="0"/>
    <x v="4"/>
    <n v="217"/>
    <n v="25"/>
    <x v="680"/>
    <x v="707"/>
    <x v="4"/>
    <x v="0"/>
    <n v="150"/>
    <x v="51"/>
    <n v="135"/>
    <x v="705"/>
    <x v="707"/>
    <x v="0"/>
    <x v="7"/>
    <x v="7"/>
    <s v="Thursday"/>
  </r>
  <r>
    <s v="TXN-00724"/>
    <d v="2024-12-20T00:00:00"/>
    <d v="1899-12-30T13:45:00"/>
    <s v="Sahil Gupta"/>
    <s v="CUST0362"/>
    <x v="3"/>
    <x v="7"/>
    <x v="0"/>
    <s v="Hot"/>
    <s v="Medium"/>
    <n v="1"/>
    <n v="145"/>
    <n v="0.1"/>
    <n v="145"/>
    <n v="130.5"/>
    <x v="3"/>
    <x v="1"/>
    <x v="0"/>
    <x v="4"/>
    <x v="0"/>
    <x v="1"/>
    <n v="220"/>
    <n v="38"/>
    <x v="681"/>
    <x v="708"/>
    <x v="0"/>
    <x v="2"/>
    <n v="145"/>
    <x v="47"/>
    <n v="130.5"/>
    <x v="706"/>
    <x v="708"/>
    <x v="0"/>
    <x v="9"/>
    <x v="9"/>
    <s v="Friday"/>
  </r>
  <r>
    <s v="TXN-00725"/>
    <d v="2024-02-10T00:00:00"/>
    <d v="1899-12-30T18:30:00"/>
    <s v="Karan Gupta"/>
    <s v="CUST0240"/>
    <x v="3"/>
    <x v="8"/>
    <x v="0"/>
    <s v="Cold"/>
    <s v="Medium"/>
    <n v="1"/>
    <n v="160"/>
    <n v="0.05"/>
    <n v="160"/>
    <n v="152"/>
    <x v="0"/>
    <x v="3"/>
    <x v="0"/>
    <x v="2"/>
    <x v="0"/>
    <x v="4"/>
    <n v="279"/>
    <n v="31"/>
    <x v="682"/>
    <x v="709"/>
    <x v="4"/>
    <x v="3"/>
    <n v="160"/>
    <x v="7"/>
    <n v="152"/>
    <x v="707"/>
    <x v="709"/>
    <x v="0"/>
    <x v="3"/>
    <x v="3"/>
    <s v="Saturday"/>
  </r>
  <r>
    <s v="TXN-00726"/>
    <d v="2024-06-25T00:00:00"/>
    <d v="1899-12-30T19:10:00"/>
    <s v="Pooja Verma"/>
    <s v="CUST0354"/>
    <x v="0"/>
    <x v="1"/>
    <x v="1"/>
    <s v="Food"/>
    <s v="Large"/>
    <n v="2"/>
    <n v="130"/>
    <n v="0"/>
    <n v="260"/>
    <n v="260"/>
    <x v="2"/>
    <x v="3"/>
    <x v="1"/>
    <x v="2"/>
    <x v="0"/>
    <x v="2"/>
    <n v="166"/>
    <n v="34"/>
    <x v="683"/>
    <x v="710"/>
    <x v="3"/>
    <x v="0"/>
    <n v="260"/>
    <x v="0"/>
    <n v="260"/>
    <x v="708"/>
    <x v="710"/>
    <x v="0"/>
    <x v="4"/>
    <x v="4"/>
    <s v="Tuesday"/>
  </r>
  <r>
    <s v="TXN-00727"/>
    <d v="2024-06-18T00:00:00"/>
    <d v="1899-12-30T08:15:00"/>
    <s v="Karan Malhotra"/>
    <s v="CUST0251"/>
    <x v="3"/>
    <x v="8"/>
    <x v="0"/>
    <s v="Cold"/>
    <s v="Small"/>
    <n v="1"/>
    <n v="170"/>
    <n v="0.05"/>
    <n v="170"/>
    <n v="161.5"/>
    <x v="1"/>
    <x v="2"/>
    <x v="5"/>
    <x v="4"/>
    <x v="0"/>
    <x v="2"/>
    <n v="129"/>
    <n v="24"/>
    <x v="684"/>
    <x v="711"/>
    <x v="0"/>
    <x v="4"/>
    <n v="170"/>
    <x v="20"/>
    <n v="161.5"/>
    <x v="709"/>
    <x v="711"/>
    <x v="0"/>
    <x v="4"/>
    <x v="4"/>
    <s v="Tuesday"/>
  </r>
  <r>
    <s v="TXN-00728"/>
    <d v="2024-07-20T00:00:00"/>
    <d v="1899-12-30T10:30:00"/>
    <s v="Ananya Verma"/>
    <s v="CUST0224"/>
    <x v="3"/>
    <x v="5"/>
    <x v="2"/>
    <s v="Hot"/>
    <s v="Small"/>
    <n v="1"/>
    <n v="105"/>
    <n v="0.05"/>
    <n v="105"/>
    <n v="99.75"/>
    <x v="1"/>
    <x v="0"/>
    <x v="2"/>
    <x v="6"/>
    <x v="0"/>
    <x v="0"/>
    <n v="395"/>
    <n v="16"/>
    <x v="685"/>
    <x v="712"/>
    <x v="3"/>
    <x v="2"/>
    <n v="105"/>
    <x v="40"/>
    <n v="99.75"/>
    <x v="710"/>
    <x v="712"/>
    <x v="0"/>
    <x v="7"/>
    <x v="7"/>
    <s v="Saturday"/>
  </r>
  <r>
    <s v="TXN-00729"/>
    <d v="2024-08-26T00:00:00"/>
    <d v="1899-12-30T16:50:00"/>
    <s v="Rahul Verma"/>
    <s v="CUST0239"/>
    <x v="2"/>
    <x v="13"/>
    <x v="2"/>
    <s v="Cold"/>
    <s v="Medium"/>
    <n v="3"/>
    <n v="110"/>
    <n v="0"/>
    <n v="330"/>
    <n v="330"/>
    <x v="2"/>
    <x v="2"/>
    <x v="6"/>
    <x v="7"/>
    <x v="0"/>
    <x v="4"/>
    <n v="99"/>
    <n v="39"/>
    <x v="686"/>
    <x v="713"/>
    <x v="3"/>
    <x v="2"/>
    <n v="330"/>
    <x v="0"/>
    <n v="330"/>
    <x v="711"/>
    <x v="713"/>
    <x v="0"/>
    <x v="1"/>
    <x v="1"/>
    <s v="Monday"/>
  </r>
  <r>
    <s v="TXN-00730"/>
    <d v="2024-07-02T00:00:00"/>
    <d v="1899-12-30T09:00:00"/>
    <s v="Unknown"/>
    <s v="CUST0373"/>
    <x v="3"/>
    <x v="7"/>
    <x v="0"/>
    <s v="Hot"/>
    <s v="Medium"/>
    <n v="3"/>
    <n v="150"/>
    <n v="0.15"/>
    <n v="450"/>
    <n v="382.5"/>
    <x v="2"/>
    <x v="3"/>
    <x v="2"/>
    <x v="7"/>
    <x v="0"/>
    <x v="1"/>
    <n v="413"/>
    <n v="16"/>
    <x v="510"/>
    <x v="714"/>
    <x v="0"/>
    <x v="0"/>
    <n v="450"/>
    <x v="86"/>
    <n v="382.5"/>
    <x v="712"/>
    <x v="714"/>
    <x v="0"/>
    <x v="7"/>
    <x v="7"/>
    <s v="Tuesday"/>
  </r>
  <r>
    <s v="TXN-00731"/>
    <d v="2024-12-09T00:00:00"/>
    <d v="1899-12-30T16:20:00"/>
    <s v="Riya Sharma"/>
    <s v="Unknown"/>
    <x v="2"/>
    <x v="12"/>
    <x v="1"/>
    <s v="Food"/>
    <s v="Unknown"/>
    <n v="2"/>
    <n v="100"/>
    <n v="0"/>
    <n v="200"/>
    <n v="200"/>
    <x v="0"/>
    <x v="0"/>
    <x v="4"/>
    <x v="4"/>
    <x v="0"/>
    <x v="4"/>
    <n v="0"/>
    <n v="34"/>
    <x v="687"/>
    <x v="715"/>
    <x v="0"/>
    <x v="0"/>
    <n v="200"/>
    <x v="0"/>
    <n v="200"/>
    <x v="713"/>
    <x v="715"/>
    <x v="0"/>
    <x v="9"/>
    <x v="9"/>
    <s v="Monday"/>
  </r>
  <r>
    <s v="TXN-00732"/>
    <d v="2024-08-27T00:00:00"/>
    <d v="1899-12-30T10:10:00"/>
    <s v="Sneha Gupta"/>
    <s v="CUST0186"/>
    <x v="0"/>
    <x v="14"/>
    <x v="3"/>
    <s v="Food"/>
    <s v="Small"/>
    <n v="2"/>
    <n v="185"/>
    <n v="0.05"/>
    <n v="370"/>
    <n v="351.5"/>
    <x v="2"/>
    <x v="3"/>
    <x v="2"/>
    <x v="4"/>
    <x v="0"/>
    <x v="2"/>
    <n v="382"/>
    <n v="50"/>
    <x v="688"/>
    <x v="716"/>
    <x v="0"/>
    <x v="4"/>
    <n v="370"/>
    <x v="56"/>
    <n v="351.5"/>
    <x v="714"/>
    <x v="716"/>
    <x v="0"/>
    <x v="1"/>
    <x v="1"/>
    <s v="Tuesday"/>
  </r>
  <r>
    <s v="TXN-00733"/>
    <d v="2024-05-09T00:00:00"/>
    <d v="1899-12-30T15:00:00"/>
    <s v="Nikhil Singh"/>
    <s v="CUST0386"/>
    <x v="0"/>
    <x v="9"/>
    <x v="2"/>
    <s v="Hot"/>
    <s v="Large"/>
    <n v="1"/>
    <n v="85"/>
    <n v="0"/>
    <n v="85"/>
    <n v="85"/>
    <x v="0"/>
    <x v="1"/>
    <x v="1"/>
    <x v="7"/>
    <x v="0"/>
    <x v="0"/>
    <n v="55"/>
    <n v="54"/>
    <x v="242"/>
    <x v="717"/>
    <x v="1"/>
    <x v="4"/>
    <n v="85"/>
    <x v="0"/>
    <n v="85"/>
    <x v="245"/>
    <x v="717"/>
    <x v="0"/>
    <x v="6"/>
    <x v="6"/>
    <s v="Thursday"/>
  </r>
  <r>
    <s v="TXN-00734"/>
    <d v="2024-05-22T00:00:00"/>
    <d v="1899-12-30T11:30:00"/>
    <s v="Sneha Verma"/>
    <s v="CUST0339"/>
    <x v="2"/>
    <x v="2"/>
    <x v="1"/>
    <s v="Food"/>
    <s v="Medium"/>
    <n v="1"/>
    <n v="80"/>
    <n v="0"/>
    <n v="80"/>
    <n v="80"/>
    <x v="0"/>
    <x v="2"/>
    <x v="6"/>
    <x v="0"/>
    <x v="2"/>
    <x v="1"/>
    <n v="432"/>
    <n v="37"/>
    <x v="689"/>
    <x v="718"/>
    <x v="3"/>
    <x v="2"/>
    <n v="80"/>
    <x v="0"/>
    <n v="80"/>
    <x v="715"/>
    <x v="718"/>
    <x v="0"/>
    <x v="6"/>
    <x v="6"/>
    <s v="Wednesday"/>
  </r>
  <r>
    <s v="TXN-00735"/>
    <d v="2024-04-18T00:00:00"/>
    <d v="1899-12-30T10:10:00"/>
    <s v="Rahul Kapoor"/>
    <s v="CUST0143"/>
    <x v="1"/>
    <x v="4"/>
    <x v="0"/>
    <s v="Cold"/>
    <s v="Unknown"/>
    <n v="2"/>
    <n v="145"/>
    <n v="0"/>
    <n v="290"/>
    <n v="290"/>
    <x v="0"/>
    <x v="1"/>
    <x v="6"/>
    <x v="2"/>
    <x v="0"/>
    <x v="2"/>
    <n v="175"/>
    <n v="27"/>
    <x v="690"/>
    <x v="719"/>
    <x v="0"/>
    <x v="0"/>
    <n v="290"/>
    <x v="0"/>
    <n v="290"/>
    <x v="716"/>
    <x v="719"/>
    <x v="0"/>
    <x v="8"/>
    <x v="8"/>
    <s v="Thursday"/>
  </r>
  <r>
    <s v="TXN-00736"/>
    <d v="2024-11-02T00:00:00"/>
    <d v="1899-12-30T09:50:00"/>
    <s v="Aarav Singh"/>
    <s v="CUST0147"/>
    <x v="1"/>
    <x v="7"/>
    <x v="0"/>
    <s v="Hot"/>
    <s v="Medium"/>
    <n v="1"/>
    <n v="140"/>
    <n v="0"/>
    <n v="140"/>
    <n v="140"/>
    <x v="1"/>
    <x v="0"/>
    <x v="3"/>
    <x v="1"/>
    <x v="2"/>
    <x v="3"/>
    <n v="39"/>
    <n v="24"/>
    <x v="403"/>
    <x v="335"/>
    <x v="0"/>
    <x v="2"/>
    <n v="140"/>
    <x v="0"/>
    <n v="140"/>
    <x v="410"/>
    <x v="335"/>
    <x v="0"/>
    <x v="11"/>
    <x v="11"/>
    <s v="Saturday"/>
  </r>
  <r>
    <s v="TXN-00737"/>
    <d v="2024-11-25T00:00:00"/>
    <d v="1899-12-30T09:20:00"/>
    <s v="Kavya Kapoor"/>
    <s v="CUST0316"/>
    <x v="1"/>
    <x v="2"/>
    <x v="1"/>
    <s v="Food"/>
    <s v="Large"/>
    <n v="1"/>
    <n v="75"/>
    <n v="0.05"/>
    <n v="75"/>
    <n v="71.25"/>
    <x v="0"/>
    <x v="3"/>
    <x v="0"/>
    <x v="2"/>
    <x v="0"/>
    <x v="2"/>
    <n v="109"/>
    <n v="28"/>
    <x v="691"/>
    <x v="720"/>
    <x v="0"/>
    <x v="1"/>
    <n v="75"/>
    <x v="57"/>
    <n v="71.25"/>
    <x v="717"/>
    <x v="720"/>
    <x v="0"/>
    <x v="11"/>
    <x v="11"/>
    <s v="Monday"/>
  </r>
  <r>
    <s v="TXN-00738"/>
    <d v="2024-11-04T00:00:00"/>
    <d v="1899-12-30T16:30:00"/>
    <s v="Manish Chopra"/>
    <s v="CUST0241"/>
    <x v="1"/>
    <x v="3"/>
    <x v="0"/>
    <s v="Hot"/>
    <s v="Large"/>
    <n v="2"/>
    <n v="130"/>
    <n v="0.1"/>
    <n v="260"/>
    <n v="234"/>
    <x v="0"/>
    <x v="2"/>
    <x v="2"/>
    <x v="3"/>
    <x v="0"/>
    <x v="0"/>
    <n v="93"/>
    <n v="16"/>
    <x v="692"/>
    <x v="721"/>
    <x v="3"/>
    <x v="4"/>
    <n v="260"/>
    <x v="63"/>
    <n v="234"/>
    <x v="718"/>
    <x v="721"/>
    <x v="0"/>
    <x v="11"/>
    <x v="11"/>
    <s v="Monday"/>
  </r>
  <r>
    <s v="TXN-00739"/>
    <d v="2024-03-21T00:00:00"/>
    <d v="1899-12-30T15:20:00"/>
    <s v="Kavya Kaur"/>
    <s v="CUST0396"/>
    <x v="1"/>
    <x v="4"/>
    <x v="0"/>
    <s v="Cold"/>
    <s v="Unknown"/>
    <n v="1"/>
    <n v="145"/>
    <n v="0"/>
    <n v="145"/>
    <n v="145"/>
    <x v="1"/>
    <x v="2"/>
    <x v="6"/>
    <x v="0"/>
    <x v="0"/>
    <x v="4"/>
    <n v="298"/>
    <n v="18"/>
    <x v="693"/>
    <x v="722"/>
    <x v="2"/>
    <x v="0"/>
    <n v="145"/>
    <x v="0"/>
    <n v="145"/>
    <x v="719"/>
    <x v="722"/>
    <x v="0"/>
    <x v="5"/>
    <x v="5"/>
    <s v="Thursday"/>
  </r>
  <r>
    <s v="TXN-00740"/>
    <d v="2024-08-31T00:00:00"/>
    <d v="1899-12-30T08:20:00"/>
    <s v="Sahil Malhotra"/>
    <s v="CUST0186"/>
    <x v="0"/>
    <x v="6"/>
    <x v="0"/>
    <s v="Hot"/>
    <s v="Small"/>
    <n v="3"/>
    <n v="105"/>
    <n v="0.1"/>
    <n v="315"/>
    <n v="283.5"/>
    <x v="0"/>
    <x v="3"/>
    <x v="3"/>
    <x v="2"/>
    <x v="0"/>
    <x v="2"/>
    <n v="436"/>
    <n v="39"/>
    <x v="694"/>
    <x v="723"/>
    <x v="4"/>
    <x v="0"/>
    <n v="315"/>
    <x v="59"/>
    <n v="283.5"/>
    <x v="720"/>
    <x v="723"/>
    <x v="0"/>
    <x v="1"/>
    <x v="1"/>
    <s v="Saturday"/>
  </r>
  <r>
    <s v="TXN-00741"/>
    <d v="2024-11-21T00:00:00"/>
    <d v="1899-12-30T09:15:00"/>
    <s v="Priya Sharma"/>
    <s v="CUST0206"/>
    <x v="3"/>
    <x v="4"/>
    <x v="0"/>
    <s v="Cold"/>
    <s v="Unknown"/>
    <n v="1"/>
    <n v="150"/>
    <n v="0"/>
    <n v="150"/>
    <n v="150"/>
    <x v="2"/>
    <x v="0"/>
    <x v="1"/>
    <x v="0"/>
    <x v="0"/>
    <x v="1"/>
    <n v="294"/>
    <n v="34"/>
    <x v="695"/>
    <x v="724"/>
    <x v="0"/>
    <x v="0"/>
    <n v="150"/>
    <x v="0"/>
    <n v="150"/>
    <x v="721"/>
    <x v="724"/>
    <x v="0"/>
    <x v="11"/>
    <x v="11"/>
    <s v="Thursday"/>
  </r>
  <r>
    <s v="TXN-00742"/>
    <d v="2024-11-20T00:00:00"/>
    <d v="1899-12-30T18:50:00"/>
    <s v="Sneha Malhotra"/>
    <s v="CUST0157"/>
    <x v="3"/>
    <x v="14"/>
    <x v="3"/>
    <s v="Food"/>
    <s v="Medium"/>
    <n v="1"/>
    <n v="180"/>
    <n v="0.1"/>
    <n v="180"/>
    <n v="162"/>
    <x v="0"/>
    <x v="0"/>
    <x v="3"/>
    <x v="5"/>
    <x v="0"/>
    <x v="2"/>
    <n v="18"/>
    <n v="40"/>
    <x v="696"/>
    <x v="725"/>
    <x v="2"/>
    <x v="2"/>
    <n v="180"/>
    <x v="23"/>
    <n v="162"/>
    <x v="722"/>
    <x v="725"/>
    <x v="0"/>
    <x v="11"/>
    <x v="11"/>
    <s v="Wednesday"/>
  </r>
  <r>
    <s v="TXN-00743"/>
    <d v="2024-01-05T00:00:00"/>
    <d v="1899-12-30T08:15:00"/>
    <s v="Karan Bansal"/>
    <s v="CUST0285"/>
    <x v="1"/>
    <x v="1"/>
    <x v="1"/>
    <s v="Food"/>
    <s v="Medium"/>
    <n v="2"/>
    <n v="120"/>
    <n v="0"/>
    <n v="240"/>
    <n v="240"/>
    <x v="0"/>
    <x v="3"/>
    <x v="0"/>
    <x v="3"/>
    <x v="0"/>
    <x v="4"/>
    <n v="74"/>
    <n v="15"/>
    <x v="697"/>
    <x v="726"/>
    <x v="3"/>
    <x v="0"/>
    <n v="240"/>
    <x v="0"/>
    <n v="240"/>
    <x v="723"/>
    <x v="726"/>
    <x v="0"/>
    <x v="2"/>
    <x v="2"/>
    <s v="Friday"/>
  </r>
  <r>
    <s v="TXN-00744"/>
    <d v="2024-05-09T00:00:00"/>
    <d v="1899-12-30T19:15:00"/>
    <s v="Simran Mehta"/>
    <s v="CUST0341"/>
    <x v="3"/>
    <x v="3"/>
    <x v="0"/>
    <s v="Hot"/>
    <s v="Small"/>
    <n v="1"/>
    <n v="125"/>
    <n v="0.05"/>
    <n v="125"/>
    <n v="118.75"/>
    <x v="2"/>
    <x v="1"/>
    <x v="3"/>
    <x v="6"/>
    <x v="0"/>
    <x v="4"/>
    <n v="72"/>
    <n v="24"/>
    <x v="698"/>
    <x v="727"/>
    <x v="0"/>
    <x v="1"/>
    <n v="125"/>
    <x v="85"/>
    <n v="118.75"/>
    <x v="724"/>
    <x v="727"/>
    <x v="0"/>
    <x v="6"/>
    <x v="6"/>
    <s v="Thursday"/>
  </r>
  <r>
    <s v="TXN-00745"/>
    <d v="2024-12-28T00:00:00"/>
    <d v="1899-12-30T21:20:00"/>
    <s v="Nikhil Sharma"/>
    <s v="CUST0191"/>
    <x v="1"/>
    <x v="13"/>
    <x v="2"/>
    <s v="Cold"/>
    <s v="Small"/>
    <n v="1"/>
    <n v="110"/>
    <n v="0"/>
    <n v="110"/>
    <n v="110"/>
    <x v="2"/>
    <x v="0"/>
    <x v="6"/>
    <x v="5"/>
    <x v="0"/>
    <x v="4"/>
    <n v="251"/>
    <n v="15"/>
    <x v="699"/>
    <x v="728"/>
    <x v="3"/>
    <x v="3"/>
    <n v="110"/>
    <x v="0"/>
    <n v="110"/>
    <x v="725"/>
    <x v="728"/>
    <x v="0"/>
    <x v="9"/>
    <x v="9"/>
    <s v="Saturday"/>
  </r>
  <r>
    <s v="TXN-00746"/>
    <d v="2024-10-29T00:00:00"/>
    <d v="1899-12-30T09:10:00"/>
    <s v="Meera Sharma"/>
    <s v="CUST0254"/>
    <x v="3"/>
    <x v="14"/>
    <x v="3"/>
    <s v="Food"/>
    <s v="Large"/>
    <n v="2"/>
    <n v="175"/>
    <n v="0.1"/>
    <n v="350"/>
    <n v="315"/>
    <x v="1"/>
    <x v="0"/>
    <x v="5"/>
    <x v="5"/>
    <x v="2"/>
    <x v="0"/>
    <n v="308"/>
    <n v="18"/>
    <x v="700"/>
    <x v="729"/>
    <x v="1"/>
    <x v="4"/>
    <n v="350"/>
    <x v="98"/>
    <n v="315"/>
    <x v="726"/>
    <x v="729"/>
    <x v="0"/>
    <x v="10"/>
    <x v="10"/>
    <s v="Tuesday"/>
  </r>
  <r>
    <s v="TXN-00747"/>
    <d v="2024-06-22T00:00:00"/>
    <d v="1899-12-30T20:30:00"/>
    <s v="Arjun Malhotra"/>
    <s v="CUST0388"/>
    <x v="3"/>
    <x v="14"/>
    <x v="3"/>
    <s v="Food"/>
    <s v="Small"/>
    <n v="1"/>
    <n v="190"/>
    <n v="0"/>
    <n v="190"/>
    <n v="190"/>
    <x v="2"/>
    <x v="0"/>
    <x v="3"/>
    <x v="1"/>
    <x v="1"/>
    <x v="4"/>
    <n v="500"/>
    <n v="20"/>
    <x v="701"/>
    <x v="730"/>
    <x v="0"/>
    <x v="3"/>
    <n v="190"/>
    <x v="0"/>
    <n v="190"/>
    <x v="727"/>
    <x v="730"/>
    <x v="0"/>
    <x v="4"/>
    <x v="4"/>
    <s v="Saturday"/>
  </r>
  <r>
    <s v="TXN-00748"/>
    <d v="2024-05-03T00:00:00"/>
    <d v="1899-12-30T08:15:00"/>
    <s v="Aditya Kaur"/>
    <s v="CUST0367"/>
    <x v="3"/>
    <x v="5"/>
    <x v="2"/>
    <s v="Hot"/>
    <s v="Medium"/>
    <n v="1"/>
    <n v="95"/>
    <n v="0.05"/>
    <n v="95"/>
    <n v="90.25"/>
    <x v="1"/>
    <x v="3"/>
    <x v="5"/>
    <x v="2"/>
    <x v="0"/>
    <x v="4"/>
    <n v="384"/>
    <n v="23"/>
    <x v="702"/>
    <x v="731"/>
    <x v="4"/>
    <x v="1"/>
    <n v="95"/>
    <x v="34"/>
    <n v="90.25"/>
    <x v="728"/>
    <x v="731"/>
    <x v="0"/>
    <x v="6"/>
    <x v="6"/>
    <s v="Friday"/>
  </r>
  <r>
    <s v="TXN-00749"/>
    <d v="2024-05-26T00:00:00"/>
    <d v="1899-12-30T15:20:00"/>
    <s v="Kavya Gupta"/>
    <s v="CUST0216"/>
    <x v="2"/>
    <x v="12"/>
    <x v="1"/>
    <s v="Food"/>
    <s v="Small"/>
    <n v="2"/>
    <n v="85"/>
    <n v="0.15"/>
    <n v="170"/>
    <n v="144.5"/>
    <x v="0"/>
    <x v="0"/>
    <x v="0"/>
    <x v="4"/>
    <x v="2"/>
    <x v="1"/>
    <n v="468"/>
    <n v="15"/>
    <x v="703"/>
    <x v="732"/>
    <x v="2"/>
    <x v="2"/>
    <n v="170"/>
    <x v="38"/>
    <n v="144.5"/>
    <x v="729"/>
    <x v="732"/>
    <x v="0"/>
    <x v="6"/>
    <x v="6"/>
    <s v="Sunday"/>
  </r>
  <r>
    <s v="TXN-00750"/>
    <d v="2024-03-28T00:00:00"/>
    <d v="1899-12-30T21:30:00"/>
    <s v="Nikhil Mehta"/>
    <s v="CUST0216"/>
    <x v="3"/>
    <x v="10"/>
    <x v="1"/>
    <s v="Food"/>
    <s v="Medium"/>
    <n v="2"/>
    <n v="95"/>
    <n v="0.1"/>
    <n v="190"/>
    <n v="171"/>
    <x v="2"/>
    <x v="2"/>
    <x v="0"/>
    <x v="0"/>
    <x v="0"/>
    <x v="3"/>
    <n v="260"/>
    <n v="11"/>
    <x v="704"/>
    <x v="733"/>
    <x v="2"/>
    <x v="2"/>
    <n v="190"/>
    <x v="29"/>
    <n v="171"/>
    <x v="730"/>
    <x v="733"/>
    <x v="0"/>
    <x v="5"/>
    <x v="5"/>
    <s v="Thursday"/>
  </r>
  <r>
    <s v="TXN-00751"/>
    <d v="2024-12-01T00:00:00"/>
    <d v="1899-12-30T08:15:00"/>
    <s v="Nikhil Gupta"/>
    <s v="CUST0256"/>
    <x v="3"/>
    <x v="0"/>
    <x v="0"/>
    <s v="Hot"/>
    <s v="Unknown"/>
    <n v="1"/>
    <n v="135"/>
    <n v="0"/>
    <n v="135"/>
    <n v="135"/>
    <x v="2"/>
    <x v="3"/>
    <x v="0"/>
    <x v="2"/>
    <x v="2"/>
    <x v="4"/>
    <n v="95"/>
    <n v="15"/>
    <x v="705"/>
    <x v="161"/>
    <x v="1"/>
    <x v="1"/>
    <n v="135"/>
    <x v="0"/>
    <n v="135"/>
    <x v="731"/>
    <x v="161"/>
    <x v="0"/>
    <x v="9"/>
    <x v="9"/>
    <s v="Sunday"/>
  </r>
  <r>
    <s v="TXN-00752"/>
    <d v="2024-01-06T00:00:00"/>
    <d v="1899-12-30T14:20:00"/>
    <s v="Karan Singh"/>
    <s v="CUST0115"/>
    <x v="3"/>
    <x v="14"/>
    <x v="3"/>
    <s v="Food"/>
    <s v="Large"/>
    <n v="4"/>
    <n v="180"/>
    <n v="0.05"/>
    <n v="720"/>
    <n v="684"/>
    <x v="1"/>
    <x v="0"/>
    <x v="5"/>
    <x v="5"/>
    <x v="0"/>
    <x v="4"/>
    <n v="268"/>
    <n v="44"/>
    <x v="706"/>
    <x v="734"/>
    <x v="1"/>
    <x v="0"/>
    <n v="720"/>
    <x v="72"/>
    <n v="684"/>
    <x v="732"/>
    <x v="734"/>
    <x v="0"/>
    <x v="2"/>
    <x v="2"/>
    <s v="Saturday"/>
  </r>
  <r>
    <s v="TXN-00753"/>
    <d v="2024-09-25T00:00:00"/>
    <d v="1899-12-30T18:15:00"/>
    <s v="Priya Kapoor"/>
    <s v="CUST0114"/>
    <x v="3"/>
    <x v="3"/>
    <x v="0"/>
    <s v="Hot"/>
    <s v="Medium"/>
    <n v="2"/>
    <n v="125"/>
    <n v="0"/>
    <n v="250"/>
    <n v="250"/>
    <x v="0"/>
    <x v="1"/>
    <x v="4"/>
    <x v="3"/>
    <x v="0"/>
    <x v="0"/>
    <n v="14"/>
    <n v="11"/>
    <x v="707"/>
    <x v="735"/>
    <x v="2"/>
    <x v="4"/>
    <n v="250"/>
    <x v="0"/>
    <n v="250"/>
    <x v="733"/>
    <x v="735"/>
    <x v="0"/>
    <x v="0"/>
    <x v="0"/>
    <s v="Wednesday"/>
  </r>
  <r>
    <s v="TXN-00754"/>
    <d v="2024-09-18T00:00:00"/>
    <d v="1899-12-30T11:30:00"/>
    <s v="Kavya Kapoor"/>
    <s v="Unknown"/>
    <x v="3"/>
    <x v="4"/>
    <x v="0"/>
    <s v="Cold"/>
    <s v="Unknown"/>
    <n v="1"/>
    <n v="155"/>
    <n v="0.1"/>
    <n v="155"/>
    <n v="139.5"/>
    <x v="1"/>
    <x v="1"/>
    <x v="5"/>
    <x v="4"/>
    <x v="2"/>
    <x v="4"/>
    <n v="201"/>
    <n v="32"/>
    <x v="708"/>
    <x v="736"/>
    <x v="2"/>
    <x v="1"/>
    <n v="155"/>
    <x v="14"/>
    <n v="139.5"/>
    <x v="734"/>
    <x v="736"/>
    <x v="0"/>
    <x v="0"/>
    <x v="0"/>
    <s v="Wednesday"/>
  </r>
  <r>
    <s v="TXN-00755"/>
    <d v="2024-01-12T00:00:00"/>
    <d v="1899-12-30T15:00:00"/>
    <s v="Rohan Verma"/>
    <s v="CUST0226"/>
    <x v="0"/>
    <x v="11"/>
    <x v="0"/>
    <s v="Hot"/>
    <s v="Unknown"/>
    <n v="2"/>
    <n v="90"/>
    <n v="0.1"/>
    <n v="180"/>
    <n v="162"/>
    <x v="3"/>
    <x v="1"/>
    <x v="3"/>
    <x v="3"/>
    <x v="1"/>
    <x v="3"/>
    <n v="244"/>
    <n v="42"/>
    <x v="709"/>
    <x v="737"/>
    <x v="4"/>
    <x v="2"/>
    <n v="180"/>
    <x v="23"/>
    <n v="162"/>
    <x v="735"/>
    <x v="737"/>
    <x v="0"/>
    <x v="2"/>
    <x v="2"/>
    <s v="Friday"/>
  </r>
  <r>
    <s v="TXN-00756"/>
    <d v="2024-05-08T00:00:00"/>
    <d v="1899-12-30T08:50:00"/>
    <s v="Rohan Gupta"/>
    <s v="CUST0128"/>
    <x v="2"/>
    <x v="3"/>
    <x v="0"/>
    <s v="Hot"/>
    <s v="Large"/>
    <n v="2"/>
    <n v="130"/>
    <n v="0.15"/>
    <n v="260"/>
    <n v="221"/>
    <x v="1"/>
    <x v="3"/>
    <x v="4"/>
    <x v="5"/>
    <x v="0"/>
    <x v="2"/>
    <n v="167"/>
    <n v="49"/>
    <x v="710"/>
    <x v="738"/>
    <x v="0"/>
    <x v="0"/>
    <n v="260"/>
    <x v="21"/>
    <n v="221"/>
    <x v="736"/>
    <x v="738"/>
    <x v="0"/>
    <x v="6"/>
    <x v="6"/>
    <s v="Wednesday"/>
  </r>
  <r>
    <s v="TXN-00757"/>
    <d v="2024-01-15T00:00:00"/>
    <d v="1899-12-30T16:10:00"/>
    <s v="Rohan Sharma"/>
    <s v="CUST0240"/>
    <x v="2"/>
    <x v="4"/>
    <x v="0"/>
    <s v="Cold"/>
    <s v="Medium"/>
    <n v="2"/>
    <n v="150"/>
    <n v="0.05"/>
    <n v="300"/>
    <n v="285"/>
    <x v="2"/>
    <x v="1"/>
    <x v="0"/>
    <x v="0"/>
    <x v="0"/>
    <x v="2"/>
    <n v="223"/>
    <n v="36"/>
    <x v="110"/>
    <x v="739"/>
    <x v="3"/>
    <x v="0"/>
    <n v="300"/>
    <x v="51"/>
    <n v="285"/>
    <x v="737"/>
    <x v="739"/>
    <x v="0"/>
    <x v="2"/>
    <x v="2"/>
    <s v="Monday"/>
  </r>
  <r>
    <s v="TXN-00758"/>
    <d v="2024-02-06T00:00:00"/>
    <d v="1899-12-30T12:30:00"/>
    <s v="Karan Sharma"/>
    <s v="CUST0341"/>
    <x v="2"/>
    <x v="9"/>
    <x v="2"/>
    <s v="Hot"/>
    <s v="Unknown"/>
    <n v="1"/>
    <n v="80"/>
    <n v="0.15"/>
    <n v="80"/>
    <n v="68"/>
    <x v="1"/>
    <x v="3"/>
    <x v="6"/>
    <x v="1"/>
    <x v="0"/>
    <x v="4"/>
    <n v="244"/>
    <n v="23"/>
    <x v="711"/>
    <x v="740"/>
    <x v="0"/>
    <x v="0"/>
    <n v="80"/>
    <x v="2"/>
    <n v="68"/>
    <x v="738"/>
    <x v="740"/>
    <x v="0"/>
    <x v="3"/>
    <x v="3"/>
    <s v="Tuesday"/>
  </r>
  <r>
    <s v="TXN-00759"/>
    <d v="2024-10-21T00:00:00"/>
    <d v="1899-12-30T11:10:00"/>
    <s v="Sneha Bansal"/>
    <s v="CUST0246"/>
    <x v="3"/>
    <x v="11"/>
    <x v="0"/>
    <s v="Hot"/>
    <s v="Medium"/>
    <n v="1"/>
    <n v="90"/>
    <n v="0.1"/>
    <n v="90"/>
    <n v="81"/>
    <x v="1"/>
    <x v="3"/>
    <x v="5"/>
    <x v="7"/>
    <x v="0"/>
    <x v="2"/>
    <n v="453"/>
    <n v="45"/>
    <x v="712"/>
    <x v="741"/>
    <x v="2"/>
    <x v="0"/>
    <n v="90"/>
    <x v="13"/>
    <n v="81"/>
    <x v="739"/>
    <x v="741"/>
    <x v="0"/>
    <x v="10"/>
    <x v="10"/>
    <s v="Monday"/>
  </r>
  <r>
    <s v="TXN-00760"/>
    <d v="2024-04-12T00:00:00"/>
    <d v="1899-12-30T16:45:00"/>
    <s v="Priya Singh"/>
    <s v="CUST0384"/>
    <x v="0"/>
    <x v="9"/>
    <x v="2"/>
    <s v="Hot"/>
    <s v="Large"/>
    <n v="1"/>
    <n v="80"/>
    <n v="0"/>
    <n v="80"/>
    <n v="80"/>
    <x v="2"/>
    <x v="3"/>
    <x v="2"/>
    <x v="3"/>
    <x v="2"/>
    <x v="1"/>
    <n v="464"/>
    <n v="39"/>
    <x v="461"/>
    <x v="742"/>
    <x v="3"/>
    <x v="2"/>
    <n v="80"/>
    <x v="0"/>
    <n v="80"/>
    <x v="470"/>
    <x v="742"/>
    <x v="0"/>
    <x v="8"/>
    <x v="8"/>
    <s v="Friday"/>
  </r>
  <r>
    <s v="TXN-00761"/>
    <d v="2024-01-10T00:00:00"/>
    <d v="1899-12-30T11:30:00"/>
    <s v="Aditya Kaur"/>
    <s v="CUST0383"/>
    <x v="2"/>
    <x v="14"/>
    <x v="3"/>
    <s v="Food"/>
    <s v="Small"/>
    <n v="3"/>
    <n v="175"/>
    <n v="0.1"/>
    <n v="525"/>
    <n v="472.5"/>
    <x v="0"/>
    <x v="3"/>
    <x v="4"/>
    <x v="2"/>
    <x v="0"/>
    <x v="3"/>
    <n v="133"/>
    <n v="37"/>
    <x v="713"/>
    <x v="743"/>
    <x v="0"/>
    <x v="4"/>
    <n v="525"/>
    <x v="49"/>
    <n v="472.5"/>
    <x v="740"/>
    <x v="743"/>
    <x v="0"/>
    <x v="2"/>
    <x v="2"/>
    <s v="Wednesday"/>
  </r>
  <r>
    <s v="TXN-00762"/>
    <d v="2024-02-07T00:00:00"/>
    <d v="1899-12-30T16:50:00"/>
    <s v="Rohan Verma"/>
    <s v="CUST0356"/>
    <x v="3"/>
    <x v="7"/>
    <x v="0"/>
    <s v="Hot"/>
    <s v="Small"/>
    <n v="1"/>
    <n v="155"/>
    <n v="0.1"/>
    <n v="155"/>
    <n v="139.5"/>
    <x v="0"/>
    <x v="3"/>
    <x v="4"/>
    <x v="4"/>
    <x v="0"/>
    <x v="3"/>
    <n v="448"/>
    <n v="21"/>
    <x v="714"/>
    <x v="744"/>
    <x v="2"/>
    <x v="1"/>
    <n v="155"/>
    <x v="14"/>
    <n v="139.5"/>
    <x v="741"/>
    <x v="744"/>
    <x v="0"/>
    <x v="3"/>
    <x v="3"/>
    <s v="Wednesday"/>
  </r>
  <r>
    <s v="TXN-00763"/>
    <d v="2024-04-08T00:00:00"/>
    <d v="1899-12-30T08:50:00"/>
    <s v="Sahil Verma"/>
    <s v="CUST0271"/>
    <x v="2"/>
    <x v="11"/>
    <x v="0"/>
    <s v="Hot"/>
    <s v="Medium"/>
    <n v="2"/>
    <n v="100"/>
    <n v="0"/>
    <n v="200"/>
    <n v="200"/>
    <x v="0"/>
    <x v="2"/>
    <x v="4"/>
    <x v="1"/>
    <x v="0"/>
    <x v="4"/>
    <n v="483"/>
    <n v="27"/>
    <x v="471"/>
    <x v="157"/>
    <x v="3"/>
    <x v="4"/>
    <n v="200"/>
    <x v="0"/>
    <n v="200"/>
    <x v="742"/>
    <x v="157"/>
    <x v="0"/>
    <x v="8"/>
    <x v="8"/>
    <s v="Monday"/>
  </r>
  <r>
    <s v="TXN-00764"/>
    <d v="2024-05-07T00:00:00"/>
    <d v="1899-12-30T17:15:00"/>
    <s v="Aarav Kapoor"/>
    <s v="CUST0349"/>
    <x v="0"/>
    <x v="6"/>
    <x v="0"/>
    <s v="Hot"/>
    <s v="Small"/>
    <n v="2"/>
    <n v="110"/>
    <n v="0.1"/>
    <n v="220"/>
    <n v="198"/>
    <x v="1"/>
    <x v="1"/>
    <x v="0"/>
    <x v="2"/>
    <x v="0"/>
    <x v="2"/>
    <n v="106"/>
    <n v="36"/>
    <x v="715"/>
    <x v="745"/>
    <x v="0"/>
    <x v="0"/>
    <n v="220"/>
    <x v="78"/>
    <n v="198"/>
    <x v="743"/>
    <x v="745"/>
    <x v="0"/>
    <x v="6"/>
    <x v="6"/>
    <s v="Tuesday"/>
  </r>
  <r>
    <s v="TXN-00765"/>
    <d v="2024-06-13T00:00:00"/>
    <d v="1899-12-30T21:50:00"/>
    <s v="Karan Kaur"/>
    <s v="CUST0158"/>
    <x v="0"/>
    <x v="10"/>
    <x v="1"/>
    <s v="Food"/>
    <s v="Large"/>
    <n v="1"/>
    <n v="100"/>
    <n v="0.05"/>
    <n v="100"/>
    <n v="95"/>
    <x v="0"/>
    <x v="0"/>
    <x v="4"/>
    <x v="5"/>
    <x v="0"/>
    <x v="4"/>
    <n v="240"/>
    <n v="50"/>
    <x v="716"/>
    <x v="746"/>
    <x v="0"/>
    <x v="0"/>
    <n v="100"/>
    <x v="32"/>
    <n v="95"/>
    <x v="744"/>
    <x v="746"/>
    <x v="0"/>
    <x v="4"/>
    <x v="4"/>
    <s v="Thursday"/>
  </r>
  <r>
    <s v="TXN-00766"/>
    <d v="2024-12-14T00:00:00"/>
    <d v="1899-12-30T13:50:00"/>
    <s v="Aditya Kaur"/>
    <s v="CUST0335"/>
    <x v="2"/>
    <x v="2"/>
    <x v="1"/>
    <s v="Food"/>
    <s v="Medium"/>
    <n v="1"/>
    <n v="65"/>
    <n v="0"/>
    <n v="65"/>
    <n v="65"/>
    <x v="2"/>
    <x v="0"/>
    <x v="2"/>
    <x v="3"/>
    <x v="0"/>
    <x v="1"/>
    <n v="433"/>
    <n v="34"/>
    <x v="717"/>
    <x v="747"/>
    <x v="4"/>
    <x v="4"/>
    <n v="65"/>
    <x v="0"/>
    <n v="65"/>
    <x v="745"/>
    <x v="747"/>
    <x v="0"/>
    <x v="9"/>
    <x v="9"/>
    <s v="Saturday"/>
  </r>
  <r>
    <s v="TXN-00767"/>
    <d v="2024-12-31T00:00:00"/>
    <d v="1899-12-30T08:15:00"/>
    <s v="Ananya Kaur"/>
    <s v="CUST0112"/>
    <x v="3"/>
    <x v="12"/>
    <x v="1"/>
    <s v="Food"/>
    <s v="Unknown"/>
    <n v="1"/>
    <n v="85"/>
    <n v="0"/>
    <n v="85"/>
    <n v="85"/>
    <x v="1"/>
    <x v="3"/>
    <x v="3"/>
    <x v="2"/>
    <x v="0"/>
    <x v="2"/>
    <n v="352"/>
    <n v="35"/>
    <x v="718"/>
    <x v="748"/>
    <x v="4"/>
    <x v="2"/>
    <n v="85"/>
    <x v="0"/>
    <n v="85"/>
    <x v="746"/>
    <x v="748"/>
    <x v="0"/>
    <x v="9"/>
    <x v="9"/>
    <s v="Tuesday"/>
  </r>
  <r>
    <s v="TXN-00768"/>
    <d v="2024-12-15T00:00:00"/>
    <d v="1899-12-30T17:30:00"/>
    <s v="Karan Malhotra"/>
    <s v="CUST0224"/>
    <x v="3"/>
    <x v="15"/>
    <x v="4"/>
    <s v="Food"/>
    <s v="Small"/>
    <n v="1"/>
    <n v="195"/>
    <n v="0"/>
    <n v="195"/>
    <n v="195"/>
    <x v="0"/>
    <x v="2"/>
    <x v="4"/>
    <x v="4"/>
    <x v="0"/>
    <x v="3"/>
    <n v="303"/>
    <n v="38"/>
    <x v="719"/>
    <x v="749"/>
    <x v="0"/>
    <x v="1"/>
    <n v="195"/>
    <x v="0"/>
    <n v="195"/>
    <x v="747"/>
    <x v="749"/>
    <x v="0"/>
    <x v="9"/>
    <x v="9"/>
    <s v="Sunday"/>
  </r>
  <r>
    <s v="TXN-00769"/>
    <d v="2024-07-16T00:00:00"/>
    <d v="1899-12-30T08:50:00"/>
    <s v="Isha Mehta"/>
    <s v="CUST0329"/>
    <x v="1"/>
    <x v="12"/>
    <x v="1"/>
    <s v="Food"/>
    <s v="Medium"/>
    <n v="1"/>
    <n v="90"/>
    <n v="0.05"/>
    <n v="90"/>
    <n v="85.5"/>
    <x v="0"/>
    <x v="3"/>
    <x v="2"/>
    <x v="3"/>
    <x v="0"/>
    <x v="0"/>
    <n v="247"/>
    <n v="48"/>
    <x v="720"/>
    <x v="750"/>
    <x v="3"/>
    <x v="1"/>
    <n v="90"/>
    <x v="31"/>
    <n v="85.5"/>
    <x v="748"/>
    <x v="750"/>
    <x v="0"/>
    <x v="7"/>
    <x v="7"/>
    <s v="Tuesday"/>
  </r>
  <r>
    <s v="TXN-00770"/>
    <d v="2024-07-30T00:00:00"/>
    <d v="1899-12-30T09:20:00"/>
    <s v="Neha Bansal"/>
    <s v="CUST0135"/>
    <x v="0"/>
    <x v="4"/>
    <x v="0"/>
    <s v="Cold"/>
    <s v="Unknown"/>
    <n v="1"/>
    <n v="160"/>
    <n v="0.15"/>
    <n v="160"/>
    <n v="136"/>
    <x v="0"/>
    <x v="0"/>
    <x v="6"/>
    <x v="1"/>
    <x v="0"/>
    <x v="1"/>
    <n v="249"/>
    <n v="48"/>
    <x v="141"/>
    <x v="751"/>
    <x v="3"/>
    <x v="3"/>
    <n v="160"/>
    <x v="27"/>
    <n v="136"/>
    <x v="142"/>
    <x v="751"/>
    <x v="0"/>
    <x v="7"/>
    <x v="7"/>
    <s v="Tuesday"/>
  </r>
  <r>
    <s v="TXN-00771"/>
    <d v="2024-11-29T00:00:00"/>
    <d v="1899-12-30T18:10:00"/>
    <s v="Arjun Gupta"/>
    <s v="CUST0335"/>
    <x v="3"/>
    <x v="13"/>
    <x v="2"/>
    <s v="Cold"/>
    <s v="Small"/>
    <n v="2"/>
    <n v="105"/>
    <n v="0.05"/>
    <n v="210"/>
    <n v="199.5"/>
    <x v="0"/>
    <x v="0"/>
    <x v="0"/>
    <x v="0"/>
    <x v="1"/>
    <x v="2"/>
    <n v="414"/>
    <n v="54"/>
    <x v="721"/>
    <x v="752"/>
    <x v="1"/>
    <x v="0"/>
    <n v="210"/>
    <x v="25"/>
    <n v="199.5"/>
    <x v="749"/>
    <x v="752"/>
    <x v="0"/>
    <x v="11"/>
    <x v="11"/>
    <s v="Friday"/>
  </r>
  <r>
    <s v="TXN-00772"/>
    <d v="2024-03-17T00:00:00"/>
    <d v="1899-12-30T20:00:00"/>
    <s v="Sahil Mehta"/>
    <s v="CUST0165"/>
    <x v="2"/>
    <x v="7"/>
    <x v="0"/>
    <s v="Hot"/>
    <s v="Medium"/>
    <n v="1"/>
    <n v="145"/>
    <n v="0"/>
    <n v="145"/>
    <n v="145"/>
    <x v="0"/>
    <x v="0"/>
    <x v="3"/>
    <x v="7"/>
    <x v="1"/>
    <x v="2"/>
    <n v="252"/>
    <n v="34"/>
    <x v="722"/>
    <x v="753"/>
    <x v="4"/>
    <x v="3"/>
    <n v="145"/>
    <x v="0"/>
    <n v="145"/>
    <x v="750"/>
    <x v="753"/>
    <x v="0"/>
    <x v="5"/>
    <x v="5"/>
    <s v="Sunday"/>
  </r>
  <r>
    <s v="TXN-00773"/>
    <d v="2024-01-27T00:00:00"/>
    <d v="1899-12-30T12:20:00"/>
    <s v="Karan Gupta"/>
    <s v="CUST0155"/>
    <x v="2"/>
    <x v="4"/>
    <x v="0"/>
    <s v="Cold"/>
    <s v="Small"/>
    <n v="2"/>
    <n v="145"/>
    <n v="0"/>
    <n v="290"/>
    <n v="290"/>
    <x v="0"/>
    <x v="2"/>
    <x v="4"/>
    <x v="5"/>
    <x v="0"/>
    <x v="2"/>
    <n v="479"/>
    <n v="50"/>
    <x v="723"/>
    <x v="754"/>
    <x v="4"/>
    <x v="1"/>
    <n v="290"/>
    <x v="0"/>
    <n v="290"/>
    <x v="751"/>
    <x v="754"/>
    <x v="0"/>
    <x v="2"/>
    <x v="2"/>
    <s v="Saturday"/>
  </r>
  <r>
    <s v="TXN-00774"/>
    <d v="2024-05-06T00:00:00"/>
    <d v="1899-12-30T20:20:00"/>
    <s v="Rohan Kaur"/>
    <s v="CUST0111"/>
    <x v="3"/>
    <x v="13"/>
    <x v="2"/>
    <s v="Cold"/>
    <s v="Small"/>
    <n v="1"/>
    <n v="105"/>
    <n v="0.05"/>
    <n v="105"/>
    <n v="99.75"/>
    <x v="2"/>
    <x v="1"/>
    <x v="1"/>
    <x v="1"/>
    <x v="0"/>
    <x v="0"/>
    <n v="91"/>
    <n v="30"/>
    <x v="724"/>
    <x v="755"/>
    <x v="0"/>
    <x v="2"/>
    <n v="105"/>
    <x v="40"/>
    <n v="99.75"/>
    <x v="752"/>
    <x v="755"/>
    <x v="0"/>
    <x v="6"/>
    <x v="6"/>
    <s v="Monday"/>
  </r>
  <r>
    <s v="TXN-00775"/>
    <d v="2024-01-03T00:00:00"/>
    <d v="1899-12-30T09:45:00"/>
    <s v="Vivaan Singh"/>
    <s v="CUST0363"/>
    <x v="3"/>
    <x v="9"/>
    <x v="2"/>
    <s v="Hot"/>
    <s v="Medium"/>
    <n v="1"/>
    <n v="85"/>
    <n v="0"/>
    <n v="85"/>
    <n v="85"/>
    <x v="0"/>
    <x v="2"/>
    <x v="5"/>
    <x v="6"/>
    <x v="0"/>
    <x v="4"/>
    <n v="207"/>
    <n v="14"/>
    <x v="725"/>
    <x v="756"/>
    <x v="0"/>
    <x v="1"/>
    <n v="85"/>
    <x v="0"/>
    <n v="85"/>
    <x v="753"/>
    <x v="756"/>
    <x v="0"/>
    <x v="2"/>
    <x v="2"/>
    <s v="Wednesday"/>
  </r>
  <r>
    <s v="TXN-00776"/>
    <d v="2024-12-18T00:00:00"/>
    <d v="1899-12-30T08:50:00"/>
    <s v="Sneha Gupta"/>
    <s v="CUST0323"/>
    <x v="2"/>
    <x v="0"/>
    <x v="0"/>
    <s v="Hot"/>
    <s v="Small"/>
    <n v="1"/>
    <n v="135"/>
    <n v="0.05"/>
    <n v="135"/>
    <n v="128.25"/>
    <x v="0"/>
    <x v="3"/>
    <x v="5"/>
    <x v="0"/>
    <x v="0"/>
    <x v="1"/>
    <n v="244"/>
    <n v="29"/>
    <x v="726"/>
    <x v="757"/>
    <x v="3"/>
    <x v="0"/>
    <n v="135"/>
    <x v="99"/>
    <n v="128.25"/>
    <x v="754"/>
    <x v="757"/>
    <x v="0"/>
    <x v="9"/>
    <x v="9"/>
    <s v="Wednesday"/>
  </r>
  <r>
    <s v="TXN-00777"/>
    <d v="2024-03-30T00:00:00"/>
    <d v="1899-12-30T14:50:00"/>
    <s v="Manish Bansal"/>
    <s v="CUST0364"/>
    <x v="3"/>
    <x v="8"/>
    <x v="0"/>
    <s v="Cold"/>
    <s v="Small"/>
    <n v="2"/>
    <n v="170"/>
    <n v="0.15"/>
    <n v="340"/>
    <n v="289"/>
    <x v="2"/>
    <x v="3"/>
    <x v="5"/>
    <x v="2"/>
    <x v="2"/>
    <x v="0"/>
    <n v="251"/>
    <n v="16"/>
    <x v="727"/>
    <x v="758"/>
    <x v="1"/>
    <x v="3"/>
    <n v="340"/>
    <x v="97"/>
    <n v="289"/>
    <x v="755"/>
    <x v="758"/>
    <x v="0"/>
    <x v="5"/>
    <x v="5"/>
    <s v="Saturday"/>
  </r>
  <r>
    <s v="TXN-00778"/>
    <d v="2024-08-25T00:00:00"/>
    <d v="1899-12-30T18:15:00"/>
    <s v="Rohan Verma"/>
    <s v="Unknown"/>
    <x v="2"/>
    <x v="11"/>
    <x v="0"/>
    <s v="Hot"/>
    <s v="Unknown"/>
    <n v="1"/>
    <n v="95"/>
    <n v="0.1"/>
    <n v="95"/>
    <n v="85.5"/>
    <x v="0"/>
    <x v="2"/>
    <x v="4"/>
    <x v="5"/>
    <x v="2"/>
    <x v="4"/>
    <n v="121"/>
    <n v="33"/>
    <x v="728"/>
    <x v="759"/>
    <x v="1"/>
    <x v="0"/>
    <n v="95"/>
    <x v="10"/>
    <n v="85.5"/>
    <x v="756"/>
    <x v="759"/>
    <x v="0"/>
    <x v="1"/>
    <x v="1"/>
    <s v="Sunday"/>
  </r>
  <r>
    <s v="TXN-00779"/>
    <d v="2024-03-12T00:00:00"/>
    <d v="1899-12-30T08:20:00"/>
    <s v="Rahul Chopra"/>
    <s v="CUST0246"/>
    <x v="0"/>
    <x v="6"/>
    <x v="0"/>
    <s v="Hot"/>
    <s v="Medium"/>
    <n v="2"/>
    <n v="105"/>
    <n v="0.05"/>
    <n v="210"/>
    <n v="199.5"/>
    <x v="2"/>
    <x v="3"/>
    <x v="2"/>
    <x v="5"/>
    <x v="0"/>
    <x v="1"/>
    <n v="498"/>
    <n v="32"/>
    <x v="729"/>
    <x v="760"/>
    <x v="0"/>
    <x v="0"/>
    <n v="210"/>
    <x v="25"/>
    <n v="199.5"/>
    <x v="757"/>
    <x v="760"/>
    <x v="0"/>
    <x v="5"/>
    <x v="5"/>
    <s v="Tuesday"/>
  </r>
  <r>
    <s v="TXN-00780"/>
    <d v="2024-09-20T00:00:00"/>
    <d v="1899-12-30T07:45:00"/>
    <s v="Unknown"/>
    <s v="CUST0346"/>
    <x v="0"/>
    <x v="2"/>
    <x v="1"/>
    <s v="Food"/>
    <s v="Unknown"/>
    <n v="2"/>
    <n v="70"/>
    <n v="0.1"/>
    <n v="140"/>
    <n v="126"/>
    <x v="1"/>
    <x v="0"/>
    <x v="4"/>
    <x v="0"/>
    <x v="0"/>
    <x v="4"/>
    <n v="188"/>
    <n v="46"/>
    <x v="730"/>
    <x v="761"/>
    <x v="3"/>
    <x v="0"/>
    <n v="140"/>
    <x v="9"/>
    <n v="126"/>
    <x v="758"/>
    <x v="761"/>
    <x v="0"/>
    <x v="0"/>
    <x v="0"/>
    <s v="Friday"/>
  </r>
  <r>
    <s v="TXN-00781"/>
    <d v="2024-02-09T00:00:00"/>
    <d v="1899-12-30T15:45:00"/>
    <s v="Meera Bansal"/>
    <s v="CUST0306"/>
    <x v="1"/>
    <x v="9"/>
    <x v="2"/>
    <s v="Hot"/>
    <s v="Small"/>
    <n v="3"/>
    <n v="80"/>
    <n v="0.1"/>
    <n v="240"/>
    <n v="216"/>
    <x v="0"/>
    <x v="0"/>
    <x v="1"/>
    <x v="7"/>
    <x v="0"/>
    <x v="0"/>
    <n v="37"/>
    <n v="42"/>
    <x v="731"/>
    <x v="762"/>
    <x v="1"/>
    <x v="4"/>
    <n v="240"/>
    <x v="27"/>
    <n v="216"/>
    <x v="759"/>
    <x v="762"/>
    <x v="0"/>
    <x v="3"/>
    <x v="3"/>
    <s v="Friday"/>
  </r>
  <r>
    <s v="TXN-00782"/>
    <d v="2024-10-23T00:00:00"/>
    <d v="1899-12-30T16:50:00"/>
    <s v="Manish Singh"/>
    <s v="CUST0295"/>
    <x v="3"/>
    <x v="0"/>
    <x v="0"/>
    <s v="Hot"/>
    <s v="Small"/>
    <n v="1"/>
    <n v="125"/>
    <n v="0.05"/>
    <n v="125"/>
    <n v="118.75"/>
    <x v="1"/>
    <x v="2"/>
    <x v="0"/>
    <x v="6"/>
    <x v="2"/>
    <x v="4"/>
    <n v="244"/>
    <n v="47"/>
    <x v="732"/>
    <x v="763"/>
    <x v="3"/>
    <x v="1"/>
    <n v="125"/>
    <x v="85"/>
    <n v="118.75"/>
    <x v="760"/>
    <x v="763"/>
    <x v="0"/>
    <x v="10"/>
    <x v="10"/>
    <s v="Wednesday"/>
  </r>
  <r>
    <s v="TXN-00783"/>
    <d v="2024-02-06T00:00:00"/>
    <d v="1899-12-30T21:30:00"/>
    <s v="Pooja Singh"/>
    <s v="CUST0331"/>
    <x v="1"/>
    <x v="6"/>
    <x v="0"/>
    <s v="Hot"/>
    <s v="Medium"/>
    <n v="1"/>
    <n v="110"/>
    <n v="0.05"/>
    <n v="110"/>
    <n v="104.5"/>
    <x v="0"/>
    <x v="2"/>
    <x v="1"/>
    <x v="4"/>
    <x v="0"/>
    <x v="2"/>
    <n v="456"/>
    <n v="35"/>
    <x v="733"/>
    <x v="764"/>
    <x v="4"/>
    <x v="0"/>
    <n v="110"/>
    <x v="52"/>
    <n v="104.5"/>
    <x v="761"/>
    <x v="764"/>
    <x v="0"/>
    <x v="3"/>
    <x v="3"/>
    <s v="Tuesday"/>
  </r>
  <r>
    <s v="TXN-00784"/>
    <d v="2024-03-21T00:00:00"/>
    <d v="1899-12-30T14:15:00"/>
    <s v="Sneha Sharma"/>
    <s v="CUST0261"/>
    <x v="2"/>
    <x v="8"/>
    <x v="0"/>
    <s v="Cold"/>
    <s v="Small"/>
    <n v="1"/>
    <n v="165"/>
    <n v="0.1"/>
    <n v="165"/>
    <n v="148.5"/>
    <x v="0"/>
    <x v="3"/>
    <x v="6"/>
    <x v="5"/>
    <x v="0"/>
    <x v="4"/>
    <n v="380"/>
    <n v="35"/>
    <x v="734"/>
    <x v="413"/>
    <x v="3"/>
    <x v="1"/>
    <n v="165"/>
    <x v="42"/>
    <n v="148.5"/>
    <x v="762"/>
    <x v="413"/>
    <x v="0"/>
    <x v="5"/>
    <x v="5"/>
    <s v="Thursday"/>
  </r>
  <r>
    <s v="TXN-00785"/>
    <d v="2024-10-31T00:00:00"/>
    <d v="1899-12-30T14:10:00"/>
    <s v="Manish Kapoor"/>
    <s v="CUST0229"/>
    <x v="1"/>
    <x v="9"/>
    <x v="2"/>
    <s v="Hot"/>
    <s v="Large"/>
    <n v="1"/>
    <n v="90"/>
    <n v="0.1"/>
    <n v="90"/>
    <n v="81"/>
    <x v="1"/>
    <x v="1"/>
    <x v="4"/>
    <x v="3"/>
    <x v="2"/>
    <x v="2"/>
    <n v="254"/>
    <n v="26"/>
    <x v="735"/>
    <x v="765"/>
    <x v="0"/>
    <x v="2"/>
    <n v="90"/>
    <x v="13"/>
    <n v="81"/>
    <x v="763"/>
    <x v="765"/>
    <x v="0"/>
    <x v="10"/>
    <x v="10"/>
    <s v="Thursday"/>
  </r>
  <r>
    <s v="TXN-00786"/>
    <d v="2024-06-04T00:00:00"/>
    <d v="1899-12-30T09:30:00"/>
    <s v="Kavya Chopra"/>
    <s v="CUST0350"/>
    <x v="0"/>
    <x v="15"/>
    <x v="4"/>
    <s v="Food"/>
    <s v="Large"/>
    <n v="1"/>
    <n v="190"/>
    <n v="0"/>
    <n v="190"/>
    <n v="190"/>
    <x v="0"/>
    <x v="0"/>
    <x v="4"/>
    <x v="1"/>
    <x v="0"/>
    <x v="0"/>
    <n v="53"/>
    <n v="40"/>
    <x v="736"/>
    <x v="766"/>
    <x v="0"/>
    <x v="3"/>
    <n v="190"/>
    <x v="0"/>
    <n v="190"/>
    <x v="764"/>
    <x v="766"/>
    <x v="0"/>
    <x v="4"/>
    <x v="4"/>
    <s v="Tuesday"/>
  </r>
  <r>
    <s v="TXN-00787"/>
    <d v="2024-08-17T00:00:00"/>
    <d v="1899-12-30T17:15:00"/>
    <s v="Aditya Bansal"/>
    <s v="CUST0108"/>
    <x v="2"/>
    <x v="9"/>
    <x v="2"/>
    <s v="Hot"/>
    <s v="Medium"/>
    <n v="2"/>
    <n v="75"/>
    <n v="0.1"/>
    <n v="150"/>
    <n v="135"/>
    <x v="2"/>
    <x v="1"/>
    <x v="5"/>
    <x v="5"/>
    <x v="0"/>
    <x v="4"/>
    <n v="54"/>
    <n v="36"/>
    <x v="737"/>
    <x v="767"/>
    <x v="0"/>
    <x v="2"/>
    <n v="150"/>
    <x v="51"/>
    <n v="135"/>
    <x v="765"/>
    <x v="767"/>
    <x v="0"/>
    <x v="1"/>
    <x v="1"/>
    <s v="Saturday"/>
  </r>
  <r>
    <s v="TXN-00788"/>
    <d v="2024-06-30T00:00:00"/>
    <d v="1899-12-30T17:00:00"/>
    <s v="Simran Kapoor"/>
    <s v="CUST0331"/>
    <x v="3"/>
    <x v="11"/>
    <x v="0"/>
    <s v="Hot"/>
    <s v="Medium"/>
    <n v="1"/>
    <n v="100"/>
    <n v="0"/>
    <n v="100"/>
    <n v="100"/>
    <x v="2"/>
    <x v="0"/>
    <x v="2"/>
    <x v="5"/>
    <x v="0"/>
    <x v="1"/>
    <n v="448"/>
    <n v="34"/>
    <x v="63"/>
    <x v="768"/>
    <x v="3"/>
    <x v="4"/>
    <n v="100"/>
    <x v="0"/>
    <n v="100"/>
    <x v="63"/>
    <x v="768"/>
    <x v="0"/>
    <x v="4"/>
    <x v="4"/>
    <s v="Sunday"/>
  </r>
  <r>
    <s v="TXN-00789"/>
    <d v="2024-03-26T00:00:00"/>
    <d v="1899-12-30T21:45:00"/>
    <s v="Isha Sharma"/>
    <s v="CUST0187"/>
    <x v="2"/>
    <x v="1"/>
    <x v="1"/>
    <s v="Food"/>
    <s v="Large"/>
    <n v="1"/>
    <n v="125"/>
    <n v="0.05"/>
    <n v="125"/>
    <n v="118.75"/>
    <x v="1"/>
    <x v="3"/>
    <x v="6"/>
    <x v="0"/>
    <x v="0"/>
    <x v="1"/>
    <n v="407"/>
    <n v="24"/>
    <x v="178"/>
    <x v="769"/>
    <x v="3"/>
    <x v="4"/>
    <n v="125"/>
    <x v="85"/>
    <n v="118.75"/>
    <x v="179"/>
    <x v="769"/>
    <x v="0"/>
    <x v="5"/>
    <x v="5"/>
    <s v="Tuesday"/>
  </r>
  <r>
    <s v="TXN-00790"/>
    <d v="2024-06-23T00:00:00"/>
    <d v="1899-12-30T15:20:00"/>
    <s v="Aarav Bansal"/>
    <s v="CUST0308"/>
    <x v="2"/>
    <x v="0"/>
    <x v="0"/>
    <s v="Hot"/>
    <s v="Unknown"/>
    <n v="3"/>
    <n v="135"/>
    <n v="0"/>
    <n v="405"/>
    <n v="405"/>
    <x v="2"/>
    <x v="2"/>
    <x v="5"/>
    <x v="5"/>
    <x v="0"/>
    <x v="1"/>
    <n v="244"/>
    <n v="37"/>
    <x v="738"/>
    <x v="770"/>
    <x v="0"/>
    <x v="3"/>
    <n v="405"/>
    <x v="0"/>
    <n v="405"/>
    <x v="766"/>
    <x v="770"/>
    <x v="0"/>
    <x v="4"/>
    <x v="4"/>
    <s v="Sunday"/>
  </r>
  <r>
    <s v="TXN-00791"/>
    <d v="2024-11-13T00:00:00"/>
    <d v="1899-12-30T13:15:00"/>
    <s v="Arjun Malhotra"/>
    <s v="CUST0392"/>
    <x v="2"/>
    <x v="5"/>
    <x v="2"/>
    <s v="Hot"/>
    <s v="Large"/>
    <n v="1"/>
    <n v="90"/>
    <n v="0.05"/>
    <n v="90"/>
    <n v="85.5"/>
    <x v="3"/>
    <x v="3"/>
    <x v="5"/>
    <x v="4"/>
    <x v="0"/>
    <x v="2"/>
    <n v="446"/>
    <n v="52"/>
    <x v="558"/>
    <x v="771"/>
    <x v="3"/>
    <x v="1"/>
    <n v="90"/>
    <x v="31"/>
    <n v="85.5"/>
    <x v="767"/>
    <x v="771"/>
    <x v="0"/>
    <x v="11"/>
    <x v="11"/>
    <s v="Wednesday"/>
  </r>
  <r>
    <s v="TXN-00792"/>
    <d v="2024-04-05T00:00:00"/>
    <d v="1899-12-30T09:00:00"/>
    <s v="Ananya Malhotra"/>
    <s v="CUST0399"/>
    <x v="2"/>
    <x v="4"/>
    <x v="0"/>
    <s v="Cold"/>
    <s v="Small"/>
    <n v="1"/>
    <n v="150"/>
    <n v="0.1"/>
    <n v="150"/>
    <n v="135"/>
    <x v="1"/>
    <x v="2"/>
    <x v="1"/>
    <x v="3"/>
    <x v="0"/>
    <x v="3"/>
    <n v="493"/>
    <n v="39"/>
    <x v="739"/>
    <x v="772"/>
    <x v="3"/>
    <x v="3"/>
    <n v="150"/>
    <x v="51"/>
    <n v="135"/>
    <x v="768"/>
    <x v="772"/>
    <x v="0"/>
    <x v="8"/>
    <x v="8"/>
    <s v="Friday"/>
  </r>
  <r>
    <s v="TXN-00793"/>
    <d v="2024-02-12T00:00:00"/>
    <d v="1899-12-30T11:10:00"/>
    <s v="Aarav Kaur"/>
    <s v="CUST0144"/>
    <x v="3"/>
    <x v="1"/>
    <x v="1"/>
    <s v="Food"/>
    <s v="Small"/>
    <n v="1"/>
    <n v="130"/>
    <n v="0.15"/>
    <n v="130"/>
    <n v="110.5"/>
    <x v="0"/>
    <x v="2"/>
    <x v="5"/>
    <x v="7"/>
    <x v="2"/>
    <x v="4"/>
    <n v="56"/>
    <n v="36"/>
    <x v="55"/>
    <x v="773"/>
    <x v="3"/>
    <x v="0"/>
    <n v="130"/>
    <x v="50"/>
    <n v="110.5"/>
    <x v="55"/>
    <x v="773"/>
    <x v="0"/>
    <x v="3"/>
    <x v="3"/>
    <s v="Monday"/>
  </r>
  <r>
    <s v="TXN-00794"/>
    <d v="2024-06-11T00:00:00"/>
    <d v="1899-12-30T19:00:00"/>
    <s v="Kavya Singh"/>
    <s v="CUST0328"/>
    <x v="2"/>
    <x v="12"/>
    <x v="1"/>
    <s v="Food"/>
    <s v="Medium"/>
    <n v="2"/>
    <n v="100"/>
    <n v="0.15"/>
    <n v="200"/>
    <n v="170"/>
    <x v="3"/>
    <x v="0"/>
    <x v="0"/>
    <x v="5"/>
    <x v="0"/>
    <x v="3"/>
    <n v="244"/>
    <n v="34"/>
    <x v="740"/>
    <x v="185"/>
    <x v="1"/>
    <x v="4"/>
    <n v="200"/>
    <x v="89"/>
    <n v="170"/>
    <x v="769"/>
    <x v="185"/>
    <x v="0"/>
    <x v="4"/>
    <x v="4"/>
    <s v="Tuesday"/>
  </r>
  <r>
    <s v="TXN-00795"/>
    <d v="2024-06-11T00:00:00"/>
    <d v="1899-12-30T12:15:00"/>
    <s v="Sahil Sharma"/>
    <s v="CUST0115"/>
    <x v="2"/>
    <x v="5"/>
    <x v="2"/>
    <s v="Hot"/>
    <s v="Medium"/>
    <n v="1"/>
    <n v="100"/>
    <n v="0"/>
    <n v="100"/>
    <n v="100"/>
    <x v="0"/>
    <x v="3"/>
    <x v="2"/>
    <x v="4"/>
    <x v="2"/>
    <x v="2"/>
    <n v="99"/>
    <n v="57"/>
    <x v="741"/>
    <x v="774"/>
    <x v="3"/>
    <x v="0"/>
    <n v="100"/>
    <x v="0"/>
    <n v="100"/>
    <x v="770"/>
    <x v="774"/>
    <x v="0"/>
    <x v="4"/>
    <x v="4"/>
    <s v="Tuesday"/>
  </r>
  <r>
    <s v="TXN-00796"/>
    <d v="2024-08-22T00:00:00"/>
    <d v="1899-12-30T20:10:00"/>
    <s v="Priya Kapoor"/>
    <s v="CUST0258"/>
    <x v="1"/>
    <x v="7"/>
    <x v="0"/>
    <s v="Hot"/>
    <s v="Small"/>
    <n v="1"/>
    <n v="145"/>
    <n v="0.1"/>
    <n v="145"/>
    <n v="130.5"/>
    <x v="2"/>
    <x v="2"/>
    <x v="3"/>
    <x v="7"/>
    <x v="0"/>
    <x v="2"/>
    <n v="377"/>
    <n v="37"/>
    <x v="742"/>
    <x v="775"/>
    <x v="0"/>
    <x v="2"/>
    <n v="145"/>
    <x v="47"/>
    <n v="130.5"/>
    <x v="771"/>
    <x v="775"/>
    <x v="0"/>
    <x v="1"/>
    <x v="1"/>
    <s v="Thursday"/>
  </r>
  <r>
    <s v="TXN-00797"/>
    <d v="2024-06-30T00:00:00"/>
    <d v="1899-12-30T08:45:00"/>
    <s v="Meera Kapoor"/>
    <s v="CUST0154"/>
    <x v="2"/>
    <x v="3"/>
    <x v="0"/>
    <s v="Hot"/>
    <s v="Small"/>
    <n v="1"/>
    <n v="125"/>
    <n v="0"/>
    <n v="125"/>
    <n v="125"/>
    <x v="2"/>
    <x v="1"/>
    <x v="1"/>
    <x v="6"/>
    <x v="1"/>
    <x v="2"/>
    <n v="337"/>
    <n v="52"/>
    <x v="743"/>
    <x v="776"/>
    <x v="0"/>
    <x v="1"/>
    <n v="125"/>
    <x v="0"/>
    <n v="125"/>
    <x v="772"/>
    <x v="776"/>
    <x v="0"/>
    <x v="4"/>
    <x v="4"/>
    <s v="Sunday"/>
  </r>
  <r>
    <s v="TXN-00798"/>
    <d v="2024-12-14T00:00:00"/>
    <d v="1899-12-30T09:00:00"/>
    <s v="Aarav Kapoor"/>
    <s v="CUST0238"/>
    <x v="3"/>
    <x v="12"/>
    <x v="1"/>
    <s v="Food"/>
    <s v="Small"/>
    <n v="2"/>
    <n v="85"/>
    <n v="0.15"/>
    <n v="170"/>
    <n v="144.5"/>
    <x v="3"/>
    <x v="3"/>
    <x v="1"/>
    <x v="3"/>
    <x v="0"/>
    <x v="2"/>
    <n v="9"/>
    <n v="35"/>
    <x v="462"/>
    <x v="777"/>
    <x v="2"/>
    <x v="0"/>
    <n v="170"/>
    <x v="38"/>
    <n v="144.5"/>
    <x v="773"/>
    <x v="777"/>
    <x v="0"/>
    <x v="9"/>
    <x v="9"/>
    <s v="Saturday"/>
  </r>
  <r>
    <s v="TXN-00799"/>
    <d v="2024-06-25T00:00:00"/>
    <d v="1899-12-30T08:00:00"/>
    <s v="Ananya Kapoor"/>
    <s v="CUST0315"/>
    <x v="1"/>
    <x v="15"/>
    <x v="4"/>
    <s v="Food"/>
    <s v="Medium"/>
    <n v="3"/>
    <n v="185"/>
    <n v="0"/>
    <n v="555"/>
    <n v="555"/>
    <x v="1"/>
    <x v="1"/>
    <x v="3"/>
    <x v="1"/>
    <x v="2"/>
    <x v="0"/>
    <n v="419"/>
    <n v="17"/>
    <x v="498"/>
    <x v="778"/>
    <x v="0"/>
    <x v="3"/>
    <n v="555"/>
    <x v="0"/>
    <n v="555"/>
    <x v="774"/>
    <x v="778"/>
    <x v="0"/>
    <x v="4"/>
    <x v="4"/>
    <s v="Tuesday"/>
  </r>
  <r>
    <s v="TXN-00800"/>
    <d v="2024-02-16T00:00:00"/>
    <d v="1899-12-30T11:15:00"/>
    <s v="Rahul Bansal"/>
    <s v="CUST0113"/>
    <x v="0"/>
    <x v="8"/>
    <x v="0"/>
    <s v="Cold"/>
    <s v="Large"/>
    <n v="1"/>
    <n v="160"/>
    <n v="0.15"/>
    <n v="160"/>
    <n v="136"/>
    <x v="0"/>
    <x v="3"/>
    <x v="2"/>
    <x v="2"/>
    <x v="0"/>
    <x v="0"/>
    <n v="332"/>
    <n v="35"/>
    <x v="744"/>
    <x v="779"/>
    <x v="4"/>
    <x v="4"/>
    <n v="160"/>
    <x v="27"/>
    <n v="136"/>
    <x v="775"/>
    <x v="779"/>
    <x v="0"/>
    <x v="3"/>
    <x v="3"/>
    <s v="Friday"/>
  </r>
  <r>
    <s v="TXN-00801"/>
    <d v="2024-12-10T00:00:00"/>
    <d v="1899-12-30T15:20:00"/>
    <s v="Isha Verma"/>
    <s v="CUST0342"/>
    <x v="2"/>
    <x v="10"/>
    <x v="1"/>
    <s v="Food"/>
    <s v="Medium"/>
    <n v="1"/>
    <n v="95"/>
    <n v="0.1"/>
    <n v="95"/>
    <n v="85.5"/>
    <x v="0"/>
    <x v="1"/>
    <x v="2"/>
    <x v="4"/>
    <x v="0"/>
    <x v="4"/>
    <n v="197"/>
    <n v="36"/>
    <x v="745"/>
    <x v="780"/>
    <x v="3"/>
    <x v="2"/>
    <n v="95"/>
    <x v="10"/>
    <n v="85.5"/>
    <x v="776"/>
    <x v="780"/>
    <x v="0"/>
    <x v="9"/>
    <x v="9"/>
    <s v="Tuesday"/>
  </r>
  <r>
    <s v="TXN-00802"/>
    <d v="2024-10-16T00:00:00"/>
    <d v="1899-12-30T12:20:00"/>
    <s v="Meera Mehta"/>
    <s v="Unknown"/>
    <x v="1"/>
    <x v="0"/>
    <x v="0"/>
    <s v="Hot"/>
    <s v="Large"/>
    <n v="3"/>
    <n v="130"/>
    <n v="0"/>
    <n v="390"/>
    <n v="390"/>
    <x v="0"/>
    <x v="3"/>
    <x v="2"/>
    <x v="6"/>
    <x v="0"/>
    <x v="4"/>
    <n v="322"/>
    <n v="22"/>
    <x v="746"/>
    <x v="781"/>
    <x v="3"/>
    <x v="1"/>
    <n v="390"/>
    <x v="0"/>
    <n v="390"/>
    <x v="777"/>
    <x v="781"/>
    <x v="0"/>
    <x v="10"/>
    <x v="10"/>
    <s v="Wednesday"/>
  </r>
  <r>
    <s v="TXN-00803"/>
    <d v="2024-01-02T00:00:00"/>
    <d v="1899-12-30T07:45:00"/>
    <s v="Simran Sharma"/>
    <s v="CUST0291"/>
    <x v="1"/>
    <x v="1"/>
    <x v="1"/>
    <s v="Food"/>
    <s v="Small"/>
    <n v="1"/>
    <n v="130"/>
    <n v="0"/>
    <n v="130"/>
    <n v="130"/>
    <x v="0"/>
    <x v="0"/>
    <x v="3"/>
    <x v="0"/>
    <x v="0"/>
    <x v="2"/>
    <n v="244"/>
    <n v="34"/>
    <x v="747"/>
    <x v="782"/>
    <x v="3"/>
    <x v="0"/>
    <n v="130"/>
    <x v="0"/>
    <n v="130"/>
    <x v="778"/>
    <x v="782"/>
    <x v="0"/>
    <x v="2"/>
    <x v="2"/>
    <s v="Tuesday"/>
  </r>
  <r>
    <s v="TXN-00804"/>
    <d v="2024-02-11T00:00:00"/>
    <d v="1899-12-30T20:20:00"/>
    <s v="Manish Singh"/>
    <s v="CUST0385"/>
    <x v="2"/>
    <x v="9"/>
    <x v="2"/>
    <s v="Hot"/>
    <s v="Small"/>
    <n v="1"/>
    <n v="85"/>
    <n v="0"/>
    <n v="85"/>
    <n v="85"/>
    <x v="3"/>
    <x v="1"/>
    <x v="0"/>
    <x v="4"/>
    <x v="0"/>
    <x v="4"/>
    <n v="471"/>
    <n v="36"/>
    <x v="748"/>
    <x v="783"/>
    <x v="4"/>
    <x v="0"/>
    <n v="85"/>
    <x v="0"/>
    <n v="85"/>
    <x v="779"/>
    <x v="783"/>
    <x v="0"/>
    <x v="3"/>
    <x v="3"/>
    <s v="Sunday"/>
  </r>
  <r>
    <s v="TXN-00805"/>
    <d v="2024-03-07T00:00:00"/>
    <d v="1899-12-30T19:50:00"/>
    <s v="Rohan Bansal"/>
    <s v="CUST0369"/>
    <x v="2"/>
    <x v="9"/>
    <x v="2"/>
    <s v="Hot"/>
    <s v="Small"/>
    <n v="4"/>
    <n v="75"/>
    <n v="0.05"/>
    <n v="300"/>
    <n v="285"/>
    <x v="1"/>
    <x v="0"/>
    <x v="0"/>
    <x v="7"/>
    <x v="2"/>
    <x v="4"/>
    <n v="350"/>
    <n v="34"/>
    <x v="5"/>
    <x v="784"/>
    <x v="0"/>
    <x v="0"/>
    <n v="300"/>
    <x v="51"/>
    <n v="285"/>
    <x v="780"/>
    <x v="784"/>
    <x v="0"/>
    <x v="5"/>
    <x v="5"/>
    <s v="Thursday"/>
  </r>
  <r>
    <s v="TXN-00806"/>
    <d v="2024-06-30T00:00:00"/>
    <d v="1899-12-30T20:20:00"/>
    <s v="Rohan Kapoor"/>
    <s v="CUST0382"/>
    <x v="0"/>
    <x v="3"/>
    <x v="0"/>
    <s v="Hot"/>
    <s v="Large"/>
    <n v="3"/>
    <n v="120"/>
    <n v="0.15"/>
    <n v="360"/>
    <n v="306"/>
    <x v="0"/>
    <x v="0"/>
    <x v="3"/>
    <x v="0"/>
    <x v="0"/>
    <x v="0"/>
    <n v="454"/>
    <n v="33"/>
    <x v="749"/>
    <x v="785"/>
    <x v="4"/>
    <x v="0"/>
    <n v="360"/>
    <x v="43"/>
    <n v="306"/>
    <x v="781"/>
    <x v="785"/>
    <x v="0"/>
    <x v="4"/>
    <x v="4"/>
    <s v="Sunday"/>
  </r>
  <r>
    <s v="TXN-00807"/>
    <d v="2024-04-19T00:00:00"/>
    <d v="1899-12-30T15:30:00"/>
    <s v="Aditya Bansal"/>
    <s v="CUST0215"/>
    <x v="2"/>
    <x v="1"/>
    <x v="1"/>
    <s v="Food"/>
    <s v="Small"/>
    <n v="1"/>
    <n v="120"/>
    <n v="0"/>
    <n v="120"/>
    <n v="120"/>
    <x v="1"/>
    <x v="3"/>
    <x v="0"/>
    <x v="1"/>
    <x v="1"/>
    <x v="0"/>
    <n v="476"/>
    <n v="35"/>
    <x v="750"/>
    <x v="786"/>
    <x v="2"/>
    <x v="2"/>
    <n v="120"/>
    <x v="0"/>
    <n v="120"/>
    <x v="782"/>
    <x v="786"/>
    <x v="0"/>
    <x v="8"/>
    <x v="8"/>
    <s v="Friday"/>
  </r>
  <r>
    <s v="TXN-00808"/>
    <d v="2024-11-17T00:00:00"/>
    <d v="1899-12-30T10:45:00"/>
    <s v="Priya Verma"/>
    <s v="CUST0268"/>
    <x v="3"/>
    <x v="7"/>
    <x v="0"/>
    <s v="Hot"/>
    <s v="Large"/>
    <n v="2"/>
    <n v="150"/>
    <n v="0.1"/>
    <n v="300"/>
    <n v="270"/>
    <x v="2"/>
    <x v="3"/>
    <x v="1"/>
    <x v="4"/>
    <x v="0"/>
    <x v="2"/>
    <n v="244"/>
    <n v="15"/>
    <x v="751"/>
    <x v="787"/>
    <x v="3"/>
    <x v="4"/>
    <n v="300"/>
    <x v="89"/>
    <n v="270"/>
    <x v="783"/>
    <x v="787"/>
    <x v="0"/>
    <x v="11"/>
    <x v="11"/>
    <s v="Sunday"/>
  </r>
  <r>
    <s v="TXN-00809"/>
    <d v="2024-01-13T00:00:00"/>
    <d v="1899-12-30T20:00:00"/>
    <s v="Pooja Verma"/>
    <s v="CUST0202"/>
    <x v="3"/>
    <x v="10"/>
    <x v="1"/>
    <s v="Food"/>
    <s v="Small"/>
    <n v="5"/>
    <n v="105"/>
    <n v="0"/>
    <n v="525"/>
    <n v="525"/>
    <x v="1"/>
    <x v="1"/>
    <x v="5"/>
    <x v="0"/>
    <x v="2"/>
    <x v="4"/>
    <n v="98"/>
    <n v="18"/>
    <x v="752"/>
    <x v="788"/>
    <x v="2"/>
    <x v="4"/>
    <n v="525"/>
    <x v="0"/>
    <n v="525"/>
    <x v="784"/>
    <x v="788"/>
    <x v="0"/>
    <x v="2"/>
    <x v="2"/>
    <s v="Saturday"/>
  </r>
  <r>
    <s v="TXN-00810"/>
    <d v="2024-09-06T00:00:00"/>
    <d v="1899-12-30T12:20:00"/>
    <s v="Meera Verma"/>
    <s v="CUST0286"/>
    <x v="0"/>
    <x v="0"/>
    <x v="0"/>
    <s v="Hot"/>
    <s v="Medium"/>
    <n v="2"/>
    <n v="140"/>
    <n v="0.1"/>
    <n v="280"/>
    <n v="252"/>
    <x v="1"/>
    <x v="1"/>
    <x v="6"/>
    <x v="2"/>
    <x v="0"/>
    <x v="2"/>
    <n v="471"/>
    <n v="57"/>
    <x v="753"/>
    <x v="789"/>
    <x v="1"/>
    <x v="0"/>
    <n v="280"/>
    <x v="100"/>
    <n v="252"/>
    <x v="785"/>
    <x v="789"/>
    <x v="0"/>
    <x v="0"/>
    <x v="0"/>
    <s v="Friday"/>
  </r>
  <r>
    <s v="TXN-00811"/>
    <d v="2024-10-03T00:00:00"/>
    <d v="1899-12-30T14:20:00"/>
    <s v="Manish Verma"/>
    <s v="CUST0172"/>
    <x v="2"/>
    <x v="1"/>
    <x v="1"/>
    <s v="Food"/>
    <s v="Unknown"/>
    <n v="1"/>
    <n v="115"/>
    <n v="0.05"/>
    <n v="115"/>
    <n v="109.25"/>
    <x v="0"/>
    <x v="0"/>
    <x v="0"/>
    <x v="5"/>
    <x v="0"/>
    <x v="1"/>
    <n v="125"/>
    <n v="44"/>
    <x v="754"/>
    <x v="790"/>
    <x v="3"/>
    <x v="0"/>
    <n v="115"/>
    <x v="1"/>
    <n v="109.25"/>
    <x v="786"/>
    <x v="790"/>
    <x v="0"/>
    <x v="10"/>
    <x v="10"/>
    <s v="Thursday"/>
  </r>
  <r>
    <s v="TXN-00812"/>
    <d v="2024-09-15T00:00:00"/>
    <d v="1899-12-30T12:45:00"/>
    <s v="Simran Bansal"/>
    <s v="CUST0208"/>
    <x v="0"/>
    <x v="8"/>
    <x v="0"/>
    <s v="Cold"/>
    <s v="Medium"/>
    <n v="3"/>
    <n v="160"/>
    <n v="0.15"/>
    <n v="480"/>
    <n v="408"/>
    <x v="0"/>
    <x v="3"/>
    <x v="4"/>
    <x v="5"/>
    <x v="0"/>
    <x v="2"/>
    <n v="339"/>
    <n v="35"/>
    <x v="755"/>
    <x v="791"/>
    <x v="3"/>
    <x v="4"/>
    <n v="480"/>
    <x v="62"/>
    <n v="408"/>
    <x v="787"/>
    <x v="791"/>
    <x v="0"/>
    <x v="0"/>
    <x v="0"/>
    <s v="Sunday"/>
  </r>
  <r>
    <s v="TXN-00813"/>
    <d v="2024-09-26T00:00:00"/>
    <d v="1899-12-30T19:45:00"/>
    <s v="Neha Gupta"/>
    <s v="Unknown"/>
    <x v="2"/>
    <x v="4"/>
    <x v="0"/>
    <s v="Cold"/>
    <s v="Medium"/>
    <n v="1"/>
    <n v="150"/>
    <n v="0.1"/>
    <n v="150"/>
    <n v="135"/>
    <x v="0"/>
    <x v="3"/>
    <x v="1"/>
    <x v="0"/>
    <x v="0"/>
    <x v="4"/>
    <n v="399"/>
    <n v="35"/>
    <x v="756"/>
    <x v="792"/>
    <x v="0"/>
    <x v="4"/>
    <n v="150"/>
    <x v="51"/>
    <n v="135"/>
    <x v="788"/>
    <x v="792"/>
    <x v="0"/>
    <x v="0"/>
    <x v="0"/>
    <s v="Thursday"/>
  </r>
  <r>
    <s v="TXN-00814"/>
    <d v="2024-06-29T00:00:00"/>
    <d v="1899-12-30T09:15:00"/>
    <s v="Rohan Sharma"/>
    <s v="CUST0262"/>
    <x v="0"/>
    <x v="12"/>
    <x v="1"/>
    <s v="Food"/>
    <s v="Small"/>
    <n v="1"/>
    <n v="90"/>
    <n v="0.1"/>
    <n v="90"/>
    <n v="81"/>
    <x v="0"/>
    <x v="0"/>
    <x v="3"/>
    <x v="3"/>
    <x v="0"/>
    <x v="4"/>
    <n v="322"/>
    <n v="51"/>
    <x v="757"/>
    <x v="793"/>
    <x v="3"/>
    <x v="1"/>
    <n v="90"/>
    <x v="13"/>
    <n v="81"/>
    <x v="789"/>
    <x v="793"/>
    <x v="0"/>
    <x v="4"/>
    <x v="4"/>
    <s v="Saturday"/>
  </r>
  <r>
    <s v="TXN-00815"/>
    <d v="2024-12-21T00:00:00"/>
    <d v="1899-12-30T13:30:00"/>
    <s v="Sneha Singh"/>
    <s v="CUST0296"/>
    <x v="2"/>
    <x v="7"/>
    <x v="0"/>
    <s v="Hot"/>
    <s v="Small"/>
    <n v="1"/>
    <n v="155"/>
    <n v="0.1"/>
    <n v="155"/>
    <n v="139.5"/>
    <x v="2"/>
    <x v="0"/>
    <x v="6"/>
    <x v="2"/>
    <x v="0"/>
    <x v="2"/>
    <n v="35"/>
    <n v="10"/>
    <x v="758"/>
    <x v="794"/>
    <x v="0"/>
    <x v="3"/>
    <n v="155"/>
    <x v="14"/>
    <n v="139.5"/>
    <x v="790"/>
    <x v="794"/>
    <x v="0"/>
    <x v="9"/>
    <x v="9"/>
    <s v="Saturday"/>
  </r>
  <r>
    <s v="TXN-00816"/>
    <d v="2024-12-17T00:00:00"/>
    <d v="1899-12-30T07:30:00"/>
    <s v="Arjun Kapoor"/>
    <s v="CUST0320"/>
    <x v="1"/>
    <x v="13"/>
    <x v="2"/>
    <s v="Cold"/>
    <s v="Unknown"/>
    <n v="2"/>
    <n v="120"/>
    <n v="0"/>
    <n v="240"/>
    <n v="240"/>
    <x v="2"/>
    <x v="3"/>
    <x v="1"/>
    <x v="6"/>
    <x v="0"/>
    <x v="2"/>
    <n v="197"/>
    <n v="56"/>
    <x v="759"/>
    <x v="795"/>
    <x v="0"/>
    <x v="0"/>
    <n v="240"/>
    <x v="0"/>
    <n v="240"/>
    <x v="791"/>
    <x v="795"/>
    <x v="0"/>
    <x v="9"/>
    <x v="9"/>
    <s v="Tuesday"/>
  </r>
  <r>
    <s v="TXN-00817"/>
    <d v="2024-05-09T00:00:00"/>
    <d v="1899-12-30T21:50:00"/>
    <s v="Pooja Sharma"/>
    <s v="Unknown"/>
    <x v="2"/>
    <x v="2"/>
    <x v="1"/>
    <s v="Food"/>
    <s v="Small"/>
    <n v="3"/>
    <n v="80"/>
    <n v="0"/>
    <n v="240"/>
    <n v="240"/>
    <x v="1"/>
    <x v="2"/>
    <x v="4"/>
    <x v="6"/>
    <x v="2"/>
    <x v="0"/>
    <n v="414"/>
    <n v="33"/>
    <x v="760"/>
    <x v="796"/>
    <x v="4"/>
    <x v="3"/>
    <n v="240"/>
    <x v="0"/>
    <n v="240"/>
    <x v="792"/>
    <x v="796"/>
    <x v="0"/>
    <x v="6"/>
    <x v="6"/>
    <s v="Thursday"/>
  </r>
  <r>
    <s v="TXN-00818"/>
    <d v="2024-11-24T00:00:00"/>
    <d v="1899-12-30T17:10:00"/>
    <s v="Vivaan Mehta"/>
    <s v="CUST0281"/>
    <x v="3"/>
    <x v="11"/>
    <x v="0"/>
    <s v="Hot"/>
    <s v="Unknown"/>
    <n v="1"/>
    <n v="85"/>
    <n v="0.1"/>
    <n v="85"/>
    <n v="76.5"/>
    <x v="1"/>
    <x v="0"/>
    <x v="6"/>
    <x v="0"/>
    <x v="0"/>
    <x v="2"/>
    <n v="292"/>
    <n v="18"/>
    <x v="761"/>
    <x v="797"/>
    <x v="0"/>
    <x v="3"/>
    <n v="85"/>
    <x v="20"/>
    <n v="76.5"/>
    <x v="793"/>
    <x v="797"/>
    <x v="0"/>
    <x v="11"/>
    <x v="11"/>
    <s v="Sunday"/>
  </r>
  <r>
    <s v="TXN-00819"/>
    <d v="2024-11-29T00:00:00"/>
    <d v="1899-12-30T15:20:00"/>
    <s v="Aarav Sharma"/>
    <s v="CUST0138"/>
    <x v="0"/>
    <x v="12"/>
    <x v="1"/>
    <s v="Food"/>
    <s v="Medium"/>
    <n v="1"/>
    <n v="95"/>
    <n v="0.05"/>
    <n v="95"/>
    <n v="90.25"/>
    <x v="0"/>
    <x v="0"/>
    <x v="1"/>
    <x v="5"/>
    <x v="0"/>
    <x v="4"/>
    <n v="244"/>
    <n v="34"/>
    <x v="762"/>
    <x v="798"/>
    <x v="3"/>
    <x v="2"/>
    <n v="95"/>
    <x v="34"/>
    <n v="90.25"/>
    <x v="794"/>
    <x v="798"/>
    <x v="0"/>
    <x v="11"/>
    <x v="11"/>
    <s v="Friday"/>
  </r>
  <r>
    <s v="TXN-00820"/>
    <d v="2024-01-27T00:00:00"/>
    <d v="1899-12-30T11:50:00"/>
    <s v="Simran Mehta"/>
    <s v="CUST0169"/>
    <x v="1"/>
    <x v="15"/>
    <x v="4"/>
    <s v="Food"/>
    <s v="Large"/>
    <n v="1"/>
    <n v="185"/>
    <n v="0"/>
    <n v="185"/>
    <n v="185"/>
    <x v="2"/>
    <x v="0"/>
    <x v="3"/>
    <x v="7"/>
    <x v="1"/>
    <x v="2"/>
    <n v="456"/>
    <n v="26"/>
    <x v="763"/>
    <x v="799"/>
    <x v="0"/>
    <x v="4"/>
    <n v="185"/>
    <x v="0"/>
    <n v="185"/>
    <x v="795"/>
    <x v="799"/>
    <x v="0"/>
    <x v="2"/>
    <x v="2"/>
    <s v="Saturday"/>
  </r>
  <r>
    <s v="TXN-00821"/>
    <d v="2024-07-22T00:00:00"/>
    <d v="1899-12-30T07:45:00"/>
    <s v="Ananya Verma"/>
    <s v="CUST0117"/>
    <x v="0"/>
    <x v="13"/>
    <x v="2"/>
    <s v="Cold"/>
    <s v="Medium"/>
    <n v="1"/>
    <n v="110"/>
    <n v="0"/>
    <n v="110"/>
    <n v="110"/>
    <x v="1"/>
    <x v="1"/>
    <x v="6"/>
    <x v="4"/>
    <x v="2"/>
    <x v="4"/>
    <n v="494"/>
    <n v="36"/>
    <x v="764"/>
    <x v="800"/>
    <x v="3"/>
    <x v="0"/>
    <n v="110"/>
    <x v="0"/>
    <n v="110"/>
    <x v="796"/>
    <x v="800"/>
    <x v="0"/>
    <x v="7"/>
    <x v="7"/>
    <s v="Monday"/>
  </r>
  <r>
    <s v="TXN-00822"/>
    <d v="2024-06-25T00:00:00"/>
    <d v="1899-12-30T17:30:00"/>
    <s v="Riya Sharma"/>
    <s v="CUST0343"/>
    <x v="3"/>
    <x v="13"/>
    <x v="2"/>
    <s v="Cold"/>
    <s v="Medium"/>
    <n v="1"/>
    <n v="105"/>
    <n v="0.05"/>
    <n v="105"/>
    <n v="99.75"/>
    <x v="3"/>
    <x v="3"/>
    <x v="4"/>
    <x v="5"/>
    <x v="0"/>
    <x v="1"/>
    <n v="280"/>
    <n v="35"/>
    <x v="522"/>
    <x v="801"/>
    <x v="0"/>
    <x v="0"/>
    <n v="105"/>
    <x v="40"/>
    <n v="99.75"/>
    <x v="797"/>
    <x v="801"/>
    <x v="0"/>
    <x v="4"/>
    <x v="4"/>
    <s v="Tuesday"/>
  </r>
  <r>
    <s v="TXN-00823"/>
    <d v="2024-03-30T00:00:00"/>
    <d v="1899-12-30T13:00:00"/>
    <s v="Karan Chopra"/>
    <s v="CUST0211"/>
    <x v="0"/>
    <x v="4"/>
    <x v="0"/>
    <s v="Cold"/>
    <s v="Large"/>
    <n v="1"/>
    <n v="160"/>
    <n v="0"/>
    <n v="160"/>
    <n v="160"/>
    <x v="1"/>
    <x v="3"/>
    <x v="4"/>
    <x v="2"/>
    <x v="0"/>
    <x v="3"/>
    <n v="237"/>
    <n v="32"/>
    <x v="765"/>
    <x v="802"/>
    <x v="1"/>
    <x v="0"/>
    <n v="160"/>
    <x v="0"/>
    <n v="160"/>
    <x v="798"/>
    <x v="802"/>
    <x v="0"/>
    <x v="5"/>
    <x v="5"/>
    <s v="Saturday"/>
  </r>
  <r>
    <s v="TXN-00824"/>
    <d v="2024-01-29T00:00:00"/>
    <d v="1899-12-30T18:00:00"/>
    <s v="Priya Malhotra"/>
    <s v="CUST0211"/>
    <x v="0"/>
    <x v="7"/>
    <x v="0"/>
    <s v="Hot"/>
    <s v="Small"/>
    <n v="1"/>
    <n v="155"/>
    <n v="0.1"/>
    <n v="155"/>
    <n v="139.5"/>
    <x v="1"/>
    <x v="3"/>
    <x v="2"/>
    <x v="4"/>
    <x v="0"/>
    <x v="4"/>
    <n v="333"/>
    <n v="31"/>
    <x v="766"/>
    <x v="803"/>
    <x v="1"/>
    <x v="0"/>
    <n v="155"/>
    <x v="14"/>
    <n v="139.5"/>
    <x v="799"/>
    <x v="803"/>
    <x v="0"/>
    <x v="2"/>
    <x v="2"/>
    <s v="Monday"/>
  </r>
  <r>
    <s v="TXN-00825"/>
    <d v="2024-06-25T00:00:00"/>
    <d v="1899-12-30T12:10:00"/>
    <s v="Kavya Bansal"/>
    <s v="CUST0249"/>
    <x v="2"/>
    <x v="12"/>
    <x v="1"/>
    <s v="Food"/>
    <s v="Small"/>
    <n v="2"/>
    <n v="90"/>
    <n v="0"/>
    <n v="180"/>
    <n v="180"/>
    <x v="0"/>
    <x v="3"/>
    <x v="6"/>
    <x v="0"/>
    <x v="1"/>
    <x v="2"/>
    <n v="191"/>
    <n v="59"/>
    <x v="345"/>
    <x v="804"/>
    <x v="4"/>
    <x v="3"/>
    <n v="180"/>
    <x v="0"/>
    <n v="180"/>
    <x v="352"/>
    <x v="804"/>
    <x v="0"/>
    <x v="4"/>
    <x v="4"/>
    <s v="Tuesday"/>
  </r>
  <r>
    <s v="TXN-00826"/>
    <d v="2024-12-28T00:00:00"/>
    <d v="1899-12-30T15:10:00"/>
    <s v="Pooja Sharma"/>
    <s v="CUST0376"/>
    <x v="2"/>
    <x v="11"/>
    <x v="0"/>
    <s v="Hot"/>
    <s v="Small"/>
    <n v="1"/>
    <n v="90"/>
    <n v="0"/>
    <n v="90"/>
    <n v="90"/>
    <x v="1"/>
    <x v="0"/>
    <x v="3"/>
    <x v="3"/>
    <x v="1"/>
    <x v="4"/>
    <n v="259"/>
    <n v="25"/>
    <x v="767"/>
    <x v="805"/>
    <x v="3"/>
    <x v="4"/>
    <n v="90"/>
    <x v="0"/>
    <n v="90"/>
    <x v="800"/>
    <x v="805"/>
    <x v="0"/>
    <x v="9"/>
    <x v="9"/>
    <s v="Saturday"/>
  </r>
  <r>
    <s v="TXN-00827"/>
    <d v="2024-11-10T00:00:00"/>
    <d v="1899-12-30T16:45:00"/>
    <s v="Aditya Kapoor"/>
    <s v="CUST0310"/>
    <x v="0"/>
    <x v="4"/>
    <x v="0"/>
    <s v="Cold"/>
    <s v="Unknown"/>
    <n v="1"/>
    <n v="145"/>
    <n v="0.1"/>
    <n v="145"/>
    <n v="130.5"/>
    <x v="0"/>
    <x v="0"/>
    <x v="5"/>
    <x v="0"/>
    <x v="1"/>
    <x v="4"/>
    <n v="289"/>
    <n v="41"/>
    <x v="768"/>
    <x v="806"/>
    <x v="2"/>
    <x v="3"/>
    <n v="145"/>
    <x v="47"/>
    <n v="130.5"/>
    <x v="801"/>
    <x v="806"/>
    <x v="0"/>
    <x v="11"/>
    <x v="11"/>
    <s v="Sunday"/>
  </r>
  <r>
    <s v="TXN-00828"/>
    <d v="2024-03-23T00:00:00"/>
    <d v="1899-12-30T11:50:00"/>
    <s v="Simran Kapoor"/>
    <s v="CUST0350"/>
    <x v="2"/>
    <x v="12"/>
    <x v="1"/>
    <s v="Food"/>
    <s v="Large"/>
    <n v="4"/>
    <n v="85"/>
    <n v="0"/>
    <n v="340"/>
    <n v="340"/>
    <x v="2"/>
    <x v="3"/>
    <x v="4"/>
    <x v="3"/>
    <x v="0"/>
    <x v="0"/>
    <n v="135"/>
    <n v="14"/>
    <x v="769"/>
    <x v="807"/>
    <x v="1"/>
    <x v="2"/>
    <n v="340"/>
    <x v="0"/>
    <n v="340"/>
    <x v="802"/>
    <x v="807"/>
    <x v="0"/>
    <x v="5"/>
    <x v="5"/>
    <s v="Saturday"/>
  </r>
  <r>
    <s v="TXN-00829"/>
    <d v="2024-04-08T00:00:00"/>
    <d v="1899-12-30T13:50:00"/>
    <s v="Nikhil Gupta"/>
    <s v="CUST0391"/>
    <x v="3"/>
    <x v="0"/>
    <x v="0"/>
    <s v="Hot"/>
    <s v="Medium"/>
    <n v="1"/>
    <n v="130"/>
    <n v="0.1"/>
    <n v="130"/>
    <n v="117"/>
    <x v="0"/>
    <x v="3"/>
    <x v="2"/>
    <x v="2"/>
    <x v="0"/>
    <x v="1"/>
    <n v="154"/>
    <n v="11"/>
    <x v="770"/>
    <x v="808"/>
    <x v="0"/>
    <x v="2"/>
    <n v="130"/>
    <x v="17"/>
    <n v="117"/>
    <x v="803"/>
    <x v="808"/>
    <x v="0"/>
    <x v="8"/>
    <x v="8"/>
    <s v="Monday"/>
  </r>
  <r>
    <s v="TXN-00830"/>
    <d v="2024-11-12T00:00:00"/>
    <d v="1899-12-30T09:20:00"/>
    <s v="Nikhil Sharma"/>
    <s v="CUST0143"/>
    <x v="2"/>
    <x v="3"/>
    <x v="0"/>
    <s v="Hot"/>
    <s v="Medium"/>
    <n v="1"/>
    <n v="120"/>
    <n v="0.15"/>
    <n v="120"/>
    <n v="102"/>
    <x v="0"/>
    <x v="0"/>
    <x v="5"/>
    <x v="0"/>
    <x v="1"/>
    <x v="0"/>
    <n v="223"/>
    <n v="42"/>
    <x v="771"/>
    <x v="809"/>
    <x v="0"/>
    <x v="2"/>
    <n v="120"/>
    <x v="23"/>
    <n v="102"/>
    <x v="804"/>
    <x v="809"/>
    <x v="0"/>
    <x v="11"/>
    <x v="11"/>
    <s v="Tuesday"/>
  </r>
  <r>
    <s v="TXN-00831"/>
    <d v="2024-02-04T00:00:00"/>
    <d v="1899-12-30T15:45:00"/>
    <s v="Rahul Bansal"/>
    <s v="CUST0180"/>
    <x v="0"/>
    <x v="3"/>
    <x v="0"/>
    <s v="Hot"/>
    <s v="Large"/>
    <n v="1"/>
    <n v="120"/>
    <n v="0.05"/>
    <n v="120"/>
    <n v="114"/>
    <x v="2"/>
    <x v="3"/>
    <x v="4"/>
    <x v="6"/>
    <x v="0"/>
    <x v="0"/>
    <n v="195"/>
    <n v="39"/>
    <x v="772"/>
    <x v="810"/>
    <x v="3"/>
    <x v="0"/>
    <n v="120"/>
    <x v="77"/>
    <n v="114"/>
    <x v="805"/>
    <x v="810"/>
    <x v="0"/>
    <x v="3"/>
    <x v="3"/>
    <s v="Sunday"/>
  </r>
  <r>
    <s v="TXN-00832"/>
    <d v="2024-11-01T00:00:00"/>
    <d v="1899-12-30T17:50:00"/>
    <s v="Sahil Sharma"/>
    <s v="CUST0356"/>
    <x v="3"/>
    <x v="3"/>
    <x v="0"/>
    <s v="Hot"/>
    <s v="Large"/>
    <n v="2"/>
    <n v="130"/>
    <n v="0"/>
    <n v="260"/>
    <n v="260"/>
    <x v="0"/>
    <x v="1"/>
    <x v="6"/>
    <x v="4"/>
    <x v="0"/>
    <x v="3"/>
    <n v="333"/>
    <n v="60"/>
    <x v="773"/>
    <x v="811"/>
    <x v="4"/>
    <x v="4"/>
    <n v="260"/>
    <x v="0"/>
    <n v="260"/>
    <x v="806"/>
    <x v="811"/>
    <x v="0"/>
    <x v="11"/>
    <x v="11"/>
    <s v="Friday"/>
  </r>
  <r>
    <s v="TXN-00833"/>
    <d v="2024-04-20T00:00:00"/>
    <d v="1899-12-30T09:20:00"/>
    <s v="Riya Malhotra"/>
    <s v="CUST0329"/>
    <x v="2"/>
    <x v="7"/>
    <x v="0"/>
    <s v="Hot"/>
    <s v="Medium"/>
    <n v="1"/>
    <n v="145"/>
    <n v="0"/>
    <n v="145"/>
    <n v="145"/>
    <x v="1"/>
    <x v="2"/>
    <x v="3"/>
    <x v="4"/>
    <x v="0"/>
    <x v="3"/>
    <n v="158"/>
    <n v="37"/>
    <x v="553"/>
    <x v="812"/>
    <x v="3"/>
    <x v="0"/>
    <n v="145"/>
    <x v="0"/>
    <n v="145"/>
    <x v="564"/>
    <x v="812"/>
    <x v="0"/>
    <x v="8"/>
    <x v="8"/>
    <s v="Saturday"/>
  </r>
  <r>
    <s v="TXN-00834"/>
    <d v="2024-06-29T00:00:00"/>
    <d v="1899-12-30T11:45:00"/>
    <s v="Rohan Malhotra"/>
    <s v="CUST0129"/>
    <x v="2"/>
    <x v="9"/>
    <x v="2"/>
    <s v="Hot"/>
    <s v="Small"/>
    <n v="1"/>
    <n v="85"/>
    <n v="0"/>
    <n v="85"/>
    <n v="85"/>
    <x v="2"/>
    <x v="2"/>
    <x v="0"/>
    <x v="5"/>
    <x v="2"/>
    <x v="2"/>
    <n v="231"/>
    <n v="48"/>
    <x v="774"/>
    <x v="813"/>
    <x v="4"/>
    <x v="0"/>
    <n v="85"/>
    <x v="0"/>
    <n v="85"/>
    <x v="807"/>
    <x v="813"/>
    <x v="0"/>
    <x v="4"/>
    <x v="4"/>
    <s v="Saturday"/>
  </r>
  <r>
    <s v="TXN-00835"/>
    <d v="2024-04-11T00:00:00"/>
    <d v="1899-12-30T20:20:00"/>
    <s v="Isha Verma"/>
    <s v="CUST0115"/>
    <x v="0"/>
    <x v="15"/>
    <x v="4"/>
    <s v="Food"/>
    <s v="Small"/>
    <n v="2"/>
    <n v="190"/>
    <n v="0.1"/>
    <n v="380"/>
    <n v="342"/>
    <x v="0"/>
    <x v="0"/>
    <x v="6"/>
    <x v="5"/>
    <x v="0"/>
    <x v="4"/>
    <n v="395"/>
    <n v="15"/>
    <x v="775"/>
    <x v="814"/>
    <x v="2"/>
    <x v="4"/>
    <n v="380"/>
    <x v="54"/>
    <n v="342"/>
    <x v="808"/>
    <x v="814"/>
    <x v="0"/>
    <x v="8"/>
    <x v="8"/>
    <s v="Thursday"/>
  </r>
  <r>
    <s v="TXN-00836"/>
    <d v="2024-09-08T00:00:00"/>
    <d v="1899-12-30T17:10:00"/>
    <s v="Simran Malhotra"/>
    <s v="CUST0307"/>
    <x v="2"/>
    <x v="1"/>
    <x v="1"/>
    <s v="Food"/>
    <s v="Large"/>
    <n v="1"/>
    <n v="115"/>
    <n v="0.1"/>
    <n v="115"/>
    <n v="103.5"/>
    <x v="2"/>
    <x v="0"/>
    <x v="1"/>
    <x v="6"/>
    <x v="0"/>
    <x v="4"/>
    <n v="209"/>
    <n v="24"/>
    <x v="776"/>
    <x v="815"/>
    <x v="0"/>
    <x v="4"/>
    <n v="115"/>
    <x v="19"/>
    <n v="103.5"/>
    <x v="809"/>
    <x v="815"/>
    <x v="0"/>
    <x v="0"/>
    <x v="0"/>
    <s v="Sunday"/>
  </r>
  <r>
    <s v="TXN-00837"/>
    <d v="2024-12-05T00:00:00"/>
    <d v="1899-12-30T11:20:00"/>
    <s v="Simran Verma"/>
    <s v="CUST0118"/>
    <x v="3"/>
    <x v="3"/>
    <x v="0"/>
    <s v="Hot"/>
    <s v="Medium"/>
    <n v="2"/>
    <n v="120"/>
    <n v="0.15"/>
    <n v="240"/>
    <n v="204"/>
    <x v="0"/>
    <x v="2"/>
    <x v="2"/>
    <x v="2"/>
    <x v="2"/>
    <x v="2"/>
    <n v="116"/>
    <n v="14"/>
    <x v="777"/>
    <x v="816"/>
    <x v="3"/>
    <x v="0"/>
    <n v="240"/>
    <x v="72"/>
    <n v="204"/>
    <x v="810"/>
    <x v="816"/>
    <x v="0"/>
    <x v="9"/>
    <x v="9"/>
    <s v="Thursday"/>
  </r>
  <r>
    <s v="TXN-00838"/>
    <d v="2024-12-21T00:00:00"/>
    <d v="1899-12-30T08:50:00"/>
    <s v="Rohan Bansal"/>
    <s v="CUST0164"/>
    <x v="0"/>
    <x v="13"/>
    <x v="2"/>
    <s v="Cold"/>
    <s v="Medium"/>
    <n v="1"/>
    <n v="105"/>
    <n v="0.15"/>
    <n v="105"/>
    <n v="89.25"/>
    <x v="2"/>
    <x v="2"/>
    <x v="2"/>
    <x v="4"/>
    <x v="0"/>
    <x v="1"/>
    <n v="43"/>
    <n v="39"/>
    <x v="778"/>
    <x v="817"/>
    <x v="4"/>
    <x v="1"/>
    <n v="105"/>
    <x v="24"/>
    <n v="89.25"/>
    <x v="811"/>
    <x v="817"/>
    <x v="0"/>
    <x v="9"/>
    <x v="9"/>
    <s v="Saturday"/>
  </r>
  <r>
    <s v="TXN-00839"/>
    <d v="2024-12-14T00:00:00"/>
    <d v="1899-12-30T08:10:00"/>
    <s v="Neha Kapoor"/>
    <s v="CUST0359"/>
    <x v="2"/>
    <x v="12"/>
    <x v="1"/>
    <s v="Food"/>
    <s v="Small"/>
    <n v="2"/>
    <n v="85"/>
    <n v="0.15"/>
    <n v="170"/>
    <n v="144.5"/>
    <x v="2"/>
    <x v="2"/>
    <x v="5"/>
    <x v="5"/>
    <x v="0"/>
    <x v="0"/>
    <n v="315"/>
    <n v="12"/>
    <x v="617"/>
    <x v="818"/>
    <x v="2"/>
    <x v="1"/>
    <n v="170"/>
    <x v="38"/>
    <n v="144.5"/>
    <x v="812"/>
    <x v="818"/>
    <x v="0"/>
    <x v="9"/>
    <x v="9"/>
    <s v="Saturday"/>
  </r>
  <r>
    <s v="TXN-00840"/>
    <d v="2024-06-01T00:00:00"/>
    <d v="1899-12-30T11:00:00"/>
    <s v="Karan Sharma"/>
    <s v="CUST0190"/>
    <x v="2"/>
    <x v="9"/>
    <x v="2"/>
    <s v="Hot"/>
    <s v="Small"/>
    <n v="3"/>
    <n v="75"/>
    <n v="0"/>
    <n v="225"/>
    <n v="225"/>
    <x v="2"/>
    <x v="3"/>
    <x v="2"/>
    <x v="2"/>
    <x v="0"/>
    <x v="3"/>
    <n v="60"/>
    <n v="55"/>
    <x v="779"/>
    <x v="819"/>
    <x v="4"/>
    <x v="0"/>
    <n v="225"/>
    <x v="0"/>
    <n v="225"/>
    <x v="813"/>
    <x v="819"/>
    <x v="0"/>
    <x v="4"/>
    <x v="4"/>
    <s v="Saturday"/>
  </r>
  <r>
    <s v="TXN-00841"/>
    <d v="2024-06-25T00:00:00"/>
    <d v="1899-12-30T20:50:00"/>
    <s v="Ananya Malhotra"/>
    <s v="CUST0267"/>
    <x v="3"/>
    <x v="4"/>
    <x v="0"/>
    <s v="Cold"/>
    <s v="Small"/>
    <n v="1"/>
    <n v="150"/>
    <n v="0"/>
    <n v="150"/>
    <n v="150"/>
    <x v="2"/>
    <x v="3"/>
    <x v="1"/>
    <x v="4"/>
    <x v="0"/>
    <x v="4"/>
    <n v="375"/>
    <n v="35"/>
    <x v="780"/>
    <x v="820"/>
    <x v="0"/>
    <x v="0"/>
    <n v="150"/>
    <x v="0"/>
    <n v="150"/>
    <x v="814"/>
    <x v="820"/>
    <x v="0"/>
    <x v="4"/>
    <x v="4"/>
    <s v="Tuesday"/>
  </r>
  <r>
    <s v="TXN-00842"/>
    <d v="2024-07-21T00:00:00"/>
    <d v="1899-12-30T21:20:00"/>
    <s v="Simran Malhotra"/>
    <s v="CUST0281"/>
    <x v="2"/>
    <x v="1"/>
    <x v="1"/>
    <s v="Food"/>
    <s v="Medium"/>
    <n v="3"/>
    <n v="120"/>
    <n v="0.05"/>
    <n v="360"/>
    <n v="342"/>
    <x v="1"/>
    <x v="1"/>
    <x v="4"/>
    <x v="5"/>
    <x v="0"/>
    <x v="0"/>
    <n v="313"/>
    <n v="14"/>
    <x v="781"/>
    <x v="821"/>
    <x v="0"/>
    <x v="0"/>
    <n v="360"/>
    <x v="23"/>
    <n v="342"/>
    <x v="815"/>
    <x v="821"/>
    <x v="0"/>
    <x v="7"/>
    <x v="7"/>
    <s v="Sunday"/>
  </r>
  <r>
    <s v="TXN-00843"/>
    <d v="2024-07-25T00:00:00"/>
    <d v="1899-12-30T15:10:00"/>
    <s v="Arjun Bansal"/>
    <s v="CUST0290"/>
    <x v="3"/>
    <x v="3"/>
    <x v="0"/>
    <s v="Hot"/>
    <s v="Medium"/>
    <n v="1"/>
    <n v="115"/>
    <n v="0.05"/>
    <n v="115"/>
    <n v="109.25"/>
    <x v="0"/>
    <x v="2"/>
    <x v="4"/>
    <x v="3"/>
    <x v="2"/>
    <x v="1"/>
    <n v="113"/>
    <n v="11"/>
    <x v="782"/>
    <x v="822"/>
    <x v="1"/>
    <x v="4"/>
    <n v="115"/>
    <x v="1"/>
    <n v="109.25"/>
    <x v="816"/>
    <x v="822"/>
    <x v="0"/>
    <x v="7"/>
    <x v="7"/>
    <s v="Thursday"/>
  </r>
  <r>
    <s v="TXN-00844"/>
    <d v="2024-01-25T00:00:00"/>
    <d v="1899-12-30T12:20:00"/>
    <s v="Riya Singh"/>
    <s v="CUST0274"/>
    <x v="1"/>
    <x v="15"/>
    <x v="4"/>
    <s v="Food"/>
    <s v="Small"/>
    <n v="2"/>
    <n v="190"/>
    <n v="0.15"/>
    <n v="380"/>
    <n v="323"/>
    <x v="3"/>
    <x v="0"/>
    <x v="2"/>
    <x v="1"/>
    <x v="2"/>
    <x v="2"/>
    <n v="267"/>
    <n v="46"/>
    <x v="744"/>
    <x v="823"/>
    <x v="3"/>
    <x v="1"/>
    <n v="380"/>
    <x v="80"/>
    <n v="323"/>
    <x v="817"/>
    <x v="823"/>
    <x v="0"/>
    <x v="2"/>
    <x v="2"/>
    <s v="Thursday"/>
  </r>
  <r>
    <s v="TXN-00845"/>
    <d v="2024-02-29T00:00:00"/>
    <d v="1899-12-30T08:45:00"/>
    <s v="Priya Kaur"/>
    <s v="CUST0168"/>
    <x v="1"/>
    <x v="1"/>
    <x v="1"/>
    <s v="Food"/>
    <s v="Large"/>
    <n v="1"/>
    <n v="115"/>
    <n v="0.05"/>
    <n v="115"/>
    <n v="109.25"/>
    <x v="2"/>
    <x v="2"/>
    <x v="0"/>
    <x v="3"/>
    <x v="1"/>
    <x v="4"/>
    <n v="244"/>
    <n v="10"/>
    <x v="783"/>
    <x v="824"/>
    <x v="1"/>
    <x v="0"/>
    <n v="115"/>
    <x v="1"/>
    <n v="109.25"/>
    <x v="818"/>
    <x v="824"/>
    <x v="0"/>
    <x v="3"/>
    <x v="3"/>
    <s v="Thursday"/>
  </r>
  <r>
    <s v="TXN-00846"/>
    <d v="2024-12-09T00:00:00"/>
    <d v="1899-12-30T14:50:00"/>
    <s v="Riya Sharma"/>
    <s v="CUST0352"/>
    <x v="0"/>
    <x v="5"/>
    <x v="2"/>
    <s v="Hot"/>
    <s v="Medium"/>
    <n v="1"/>
    <n v="90"/>
    <n v="0"/>
    <n v="90"/>
    <n v="90"/>
    <x v="2"/>
    <x v="3"/>
    <x v="6"/>
    <x v="6"/>
    <x v="2"/>
    <x v="2"/>
    <n v="312"/>
    <n v="54"/>
    <x v="77"/>
    <x v="825"/>
    <x v="3"/>
    <x v="1"/>
    <n v="90"/>
    <x v="0"/>
    <n v="90"/>
    <x v="77"/>
    <x v="825"/>
    <x v="0"/>
    <x v="9"/>
    <x v="9"/>
    <s v="Monday"/>
  </r>
  <r>
    <s v="TXN-00847"/>
    <d v="2024-01-22T00:00:00"/>
    <d v="1899-12-30T07:30:00"/>
    <s v="Pooja Kaur"/>
    <s v="CUST0269"/>
    <x v="3"/>
    <x v="9"/>
    <x v="2"/>
    <s v="Hot"/>
    <s v="Small"/>
    <n v="4"/>
    <n v="80"/>
    <n v="0.05"/>
    <n v="320"/>
    <n v="304"/>
    <x v="0"/>
    <x v="0"/>
    <x v="5"/>
    <x v="6"/>
    <x v="0"/>
    <x v="3"/>
    <n v="177"/>
    <n v="36"/>
    <x v="784"/>
    <x v="826"/>
    <x v="4"/>
    <x v="0"/>
    <n v="320"/>
    <x v="3"/>
    <n v="304"/>
    <x v="819"/>
    <x v="826"/>
    <x v="0"/>
    <x v="2"/>
    <x v="2"/>
    <s v="Monday"/>
  </r>
  <r>
    <s v="TXN-00848"/>
    <d v="2024-07-08T00:00:00"/>
    <d v="1899-12-30T16:45:00"/>
    <s v="Rahul Verma"/>
    <s v="CUST0176"/>
    <x v="1"/>
    <x v="3"/>
    <x v="0"/>
    <s v="Hot"/>
    <s v="Large"/>
    <n v="1"/>
    <n v="125"/>
    <n v="0"/>
    <n v="125"/>
    <n v="125"/>
    <x v="3"/>
    <x v="2"/>
    <x v="3"/>
    <x v="1"/>
    <x v="0"/>
    <x v="0"/>
    <n v="45"/>
    <n v="54"/>
    <x v="785"/>
    <x v="827"/>
    <x v="0"/>
    <x v="0"/>
    <n v="125"/>
    <x v="0"/>
    <n v="125"/>
    <x v="820"/>
    <x v="827"/>
    <x v="0"/>
    <x v="7"/>
    <x v="7"/>
    <s v="Monday"/>
  </r>
  <r>
    <s v="TXN-00849"/>
    <d v="2024-12-27T00:00:00"/>
    <d v="1899-12-30T15:15:00"/>
    <s v="Kavya Kapoor"/>
    <s v="CUST0394"/>
    <x v="3"/>
    <x v="13"/>
    <x v="2"/>
    <s v="Cold"/>
    <s v="Large"/>
    <n v="1"/>
    <n v="105"/>
    <n v="0.1"/>
    <n v="105"/>
    <n v="94.5"/>
    <x v="2"/>
    <x v="0"/>
    <x v="4"/>
    <x v="7"/>
    <x v="0"/>
    <x v="4"/>
    <n v="101"/>
    <n v="43"/>
    <x v="786"/>
    <x v="828"/>
    <x v="0"/>
    <x v="0"/>
    <n v="105"/>
    <x v="25"/>
    <n v="94.5"/>
    <x v="821"/>
    <x v="828"/>
    <x v="0"/>
    <x v="9"/>
    <x v="9"/>
    <s v="Friday"/>
  </r>
  <r>
    <s v="TXN-00850"/>
    <d v="2024-03-31T00:00:00"/>
    <d v="1899-12-30T20:10:00"/>
    <s v="Simran Chopra"/>
    <s v="CUST0173"/>
    <x v="3"/>
    <x v="7"/>
    <x v="0"/>
    <s v="Hot"/>
    <s v="Unknown"/>
    <n v="1"/>
    <n v="140"/>
    <n v="0.15"/>
    <n v="140"/>
    <n v="119"/>
    <x v="1"/>
    <x v="1"/>
    <x v="4"/>
    <x v="4"/>
    <x v="0"/>
    <x v="2"/>
    <n v="234"/>
    <n v="46"/>
    <x v="787"/>
    <x v="829"/>
    <x v="1"/>
    <x v="1"/>
    <n v="140"/>
    <x v="66"/>
    <n v="119"/>
    <x v="822"/>
    <x v="829"/>
    <x v="0"/>
    <x v="5"/>
    <x v="5"/>
    <s v="Sunday"/>
  </r>
  <r>
    <s v="TXN-00851"/>
    <d v="2024-08-11T00:00:00"/>
    <d v="1899-12-30T07:15:00"/>
    <s v="Vivaan Gupta"/>
    <s v="CUST0179"/>
    <x v="3"/>
    <x v="10"/>
    <x v="1"/>
    <s v="Food"/>
    <s v="Large"/>
    <n v="1"/>
    <n v="110"/>
    <n v="0.1"/>
    <n v="110"/>
    <n v="99"/>
    <x v="2"/>
    <x v="3"/>
    <x v="0"/>
    <x v="3"/>
    <x v="0"/>
    <x v="4"/>
    <n v="233"/>
    <n v="10"/>
    <x v="788"/>
    <x v="830"/>
    <x v="0"/>
    <x v="2"/>
    <n v="110"/>
    <x v="30"/>
    <n v="99"/>
    <x v="823"/>
    <x v="830"/>
    <x v="0"/>
    <x v="1"/>
    <x v="1"/>
    <s v="Sunday"/>
  </r>
  <r>
    <s v="TXN-00852"/>
    <d v="2024-08-22T00:00:00"/>
    <d v="1899-12-30T17:30:00"/>
    <s v="Aditya Kaur"/>
    <s v="CUST0244"/>
    <x v="3"/>
    <x v="9"/>
    <x v="2"/>
    <s v="Hot"/>
    <s v="Unknown"/>
    <n v="2"/>
    <n v="85"/>
    <n v="0.15"/>
    <n v="170"/>
    <n v="144.5"/>
    <x v="0"/>
    <x v="2"/>
    <x v="6"/>
    <x v="3"/>
    <x v="0"/>
    <x v="4"/>
    <n v="462"/>
    <n v="37"/>
    <x v="789"/>
    <x v="831"/>
    <x v="1"/>
    <x v="0"/>
    <n v="170"/>
    <x v="38"/>
    <n v="144.5"/>
    <x v="824"/>
    <x v="831"/>
    <x v="0"/>
    <x v="1"/>
    <x v="1"/>
    <s v="Thursday"/>
  </r>
  <r>
    <s v="TXN-00853"/>
    <d v="2024-12-07T00:00:00"/>
    <d v="1899-12-30T12:00:00"/>
    <s v="Rahul Kapoor"/>
    <s v="CUST0253"/>
    <x v="2"/>
    <x v="6"/>
    <x v="0"/>
    <s v="Hot"/>
    <s v="Medium"/>
    <n v="1"/>
    <n v="100"/>
    <n v="0.1"/>
    <n v="100"/>
    <n v="90"/>
    <x v="1"/>
    <x v="3"/>
    <x v="1"/>
    <x v="7"/>
    <x v="0"/>
    <x v="2"/>
    <n v="96"/>
    <n v="37"/>
    <x v="790"/>
    <x v="832"/>
    <x v="3"/>
    <x v="3"/>
    <n v="100"/>
    <x v="4"/>
    <n v="90"/>
    <x v="825"/>
    <x v="832"/>
    <x v="0"/>
    <x v="9"/>
    <x v="9"/>
    <s v="Saturday"/>
  </r>
  <r>
    <s v="TXN-00854"/>
    <d v="2024-05-22T00:00:00"/>
    <d v="1899-12-30T18:20:00"/>
    <s v="Rahul Kaur"/>
    <s v="CUST0134"/>
    <x v="0"/>
    <x v="9"/>
    <x v="2"/>
    <s v="Hot"/>
    <s v="Small"/>
    <n v="2"/>
    <n v="85"/>
    <n v="0.1"/>
    <n v="170"/>
    <n v="153"/>
    <x v="1"/>
    <x v="3"/>
    <x v="1"/>
    <x v="0"/>
    <x v="0"/>
    <x v="0"/>
    <n v="244"/>
    <n v="24"/>
    <x v="791"/>
    <x v="833"/>
    <x v="0"/>
    <x v="0"/>
    <n v="170"/>
    <x v="18"/>
    <n v="153"/>
    <x v="826"/>
    <x v="833"/>
    <x v="0"/>
    <x v="6"/>
    <x v="6"/>
    <s v="Wednesday"/>
  </r>
  <r>
    <s v="TXN-00855"/>
    <d v="2024-07-28T00:00:00"/>
    <d v="1899-12-30T12:00:00"/>
    <s v="Arjun Kapoor"/>
    <s v="CUST0254"/>
    <x v="2"/>
    <x v="7"/>
    <x v="0"/>
    <s v="Hot"/>
    <s v="Medium"/>
    <n v="2"/>
    <n v="145"/>
    <n v="0"/>
    <n v="290"/>
    <n v="290"/>
    <x v="0"/>
    <x v="3"/>
    <x v="0"/>
    <x v="7"/>
    <x v="0"/>
    <x v="0"/>
    <n v="283"/>
    <n v="35"/>
    <x v="792"/>
    <x v="834"/>
    <x v="0"/>
    <x v="3"/>
    <n v="290"/>
    <x v="0"/>
    <n v="290"/>
    <x v="827"/>
    <x v="834"/>
    <x v="0"/>
    <x v="7"/>
    <x v="7"/>
    <s v="Sunday"/>
  </r>
  <r>
    <s v="TXN-00856"/>
    <d v="2024-05-10T00:00:00"/>
    <d v="1899-12-30T09:15:00"/>
    <s v="Simran Malhotra"/>
    <s v="CUST0168"/>
    <x v="3"/>
    <x v="9"/>
    <x v="2"/>
    <s v="Hot"/>
    <s v="Small"/>
    <n v="1"/>
    <n v="85"/>
    <n v="0.05"/>
    <n v="85"/>
    <n v="80.75"/>
    <x v="1"/>
    <x v="2"/>
    <x v="6"/>
    <x v="0"/>
    <x v="1"/>
    <x v="4"/>
    <n v="495"/>
    <n v="51"/>
    <x v="793"/>
    <x v="835"/>
    <x v="1"/>
    <x v="4"/>
    <n v="85"/>
    <x v="12"/>
    <n v="80.75"/>
    <x v="828"/>
    <x v="835"/>
    <x v="0"/>
    <x v="6"/>
    <x v="6"/>
    <s v="Friday"/>
  </r>
  <r>
    <s v="TXN-00857"/>
    <d v="2024-08-07T00:00:00"/>
    <d v="1899-12-30T19:15:00"/>
    <s v="Kavya Singh"/>
    <s v="CUST0332"/>
    <x v="0"/>
    <x v="13"/>
    <x v="2"/>
    <s v="Cold"/>
    <s v="Medium"/>
    <n v="1"/>
    <n v="110"/>
    <n v="0.05"/>
    <n v="110"/>
    <n v="104.5"/>
    <x v="2"/>
    <x v="3"/>
    <x v="6"/>
    <x v="3"/>
    <x v="2"/>
    <x v="0"/>
    <n v="369"/>
    <n v="22"/>
    <x v="794"/>
    <x v="836"/>
    <x v="4"/>
    <x v="3"/>
    <n v="110"/>
    <x v="52"/>
    <n v="104.5"/>
    <x v="829"/>
    <x v="836"/>
    <x v="0"/>
    <x v="1"/>
    <x v="1"/>
    <s v="Wednesday"/>
  </r>
  <r>
    <s v="TXN-00858"/>
    <d v="2024-06-06T00:00:00"/>
    <d v="1899-12-30T12:30:00"/>
    <s v="Meera Verma"/>
    <s v="CUST0360"/>
    <x v="2"/>
    <x v="14"/>
    <x v="3"/>
    <s v="Food"/>
    <s v="Medium"/>
    <n v="2"/>
    <n v="185"/>
    <n v="0"/>
    <n v="370"/>
    <n v="370"/>
    <x v="0"/>
    <x v="0"/>
    <x v="2"/>
    <x v="0"/>
    <x v="0"/>
    <x v="1"/>
    <n v="301"/>
    <n v="45"/>
    <x v="795"/>
    <x v="837"/>
    <x v="1"/>
    <x v="2"/>
    <n v="370"/>
    <x v="0"/>
    <n v="370"/>
    <x v="830"/>
    <x v="837"/>
    <x v="0"/>
    <x v="4"/>
    <x v="4"/>
    <s v="Thursday"/>
  </r>
  <r>
    <s v="TXN-00859"/>
    <d v="2024-09-30T00:00:00"/>
    <d v="1899-12-30T10:10:00"/>
    <s v="Karan Sharma"/>
    <s v="CUST0207"/>
    <x v="3"/>
    <x v="10"/>
    <x v="1"/>
    <s v="Food"/>
    <s v="Small"/>
    <n v="2"/>
    <n v="100"/>
    <n v="0.15"/>
    <n v="200"/>
    <n v="170"/>
    <x v="1"/>
    <x v="3"/>
    <x v="4"/>
    <x v="7"/>
    <x v="0"/>
    <x v="2"/>
    <n v="242"/>
    <n v="36"/>
    <x v="796"/>
    <x v="838"/>
    <x v="3"/>
    <x v="4"/>
    <n v="200"/>
    <x v="89"/>
    <n v="170"/>
    <x v="831"/>
    <x v="838"/>
    <x v="0"/>
    <x v="0"/>
    <x v="0"/>
    <s v="Monday"/>
  </r>
  <r>
    <s v="TXN-00860"/>
    <d v="2024-04-10T00:00:00"/>
    <d v="1899-12-30T18:50:00"/>
    <s v="Kavya Kaur"/>
    <s v="CUST0381"/>
    <x v="3"/>
    <x v="15"/>
    <x v="4"/>
    <s v="Food"/>
    <s v="Large"/>
    <n v="1"/>
    <n v="185"/>
    <n v="0.05"/>
    <n v="185"/>
    <n v="175.75"/>
    <x v="2"/>
    <x v="0"/>
    <x v="0"/>
    <x v="5"/>
    <x v="2"/>
    <x v="2"/>
    <n v="461"/>
    <n v="39"/>
    <x v="797"/>
    <x v="839"/>
    <x v="3"/>
    <x v="1"/>
    <n v="185"/>
    <x v="73"/>
    <n v="175.75"/>
    <x v="832"/>
    <x v="839"/>
    <x v="0"/>
    <x v="8"/>
    <x v="8"/>
    <s v="Wednesday"/>
  </r>
  <r>
    <s v="TXN-00861"/>
    <d v="2024-06-28T00:00:00"/>
    <d v="1899-12-30T17:20:00"/>
    <s v="Rahul Singh"/>
    <s v="CUST0100"/>
    <x v="3"/>
    <x v="9"/>
    <x v="2"/>
    <s v="Hot"/>
    <s v="Small"/>
    <n v="2"/>
    <n v="75"/>
    <n v="0.1"/>
    <n v="150"/>
    <n v="135"/>
    <x v="1"/>
    <x v="2"/>
    <x v="0"/>
    <x v="6"/>
    <x v="0"/>
    <x v="4"/>
    <n v="113"/>
    <n v="45"/>
    <x v="408"/>
    <x v="840"/>
    <x v="4"/>
    <x v="0"/>
    <n v="150"/>
    <x v="51"/>
    <n v="135"/>
    <x v="416"/>
    <x v="840"/>
    <x v="0"/>
    <x v="4"/>
    <x v="4"/>
    <s v="Friday"/>
  </r>
  <r>
    <s v="TXN-00862"/>
    <d v="2024-05-26T00:00:00"/>
    <d v="1899-12-30T10:50:00"/>
    <s v="Unknown"/>
    <s v="CUST0194"/>
    <x v="1"/>
    <x v="1"/>
    <x v="1"/>
    <s v="Food"/>
    <s v="Large"/>
    <n v="1"/>
    <n v="130"/>
    <n v="0.1"/>
    <n v="130"/>
    <n v="117"/>
    <x v="0"/>
    <x v="0"/>
    <x v="3"/>
    <x v="1"/>
    <x v="0"/>
    <x v="1"/>
    <n v="137"/>
    <n v="17"/>
    <x v="291"/>
    <x v="841"/>
    <x v="0"/>
    <x v="0"/>
    <n v="130"/>
    <x v="17"/>
    <n v="117"/>
    <x v="833"/>
    <x v="841"/>
    <x v="0"/>
    <x v="6"/>
    <x v="6"/>
    <s v="Sunday"/>
  </r>
  <r>
    <s v="TXN-00863"/>
    <d v="2024-10-20T00:00:00"/>
    <d v="1899-12-30T11:10:00"/>
    <s v="Nikhil Sharma"/>
    <s v="Unknown"/>
    <x v="3"/>
    <x v="11"/>
    <x v="0"/>
    <s v="Hot"/>
    <s v="Medium"/>
    <n v="1"/>
    <n v="90"/>
    <n v="0.05"/>
    <n v="90"/>
    <n v="85.5"/>
    <x v="2"/>
    <x v="0"/>
    <x v="0"/>
    <x v="0"/>
    <x v="0"/>
    <x v="4"/>
    <n v="161"/>
    <n v="51"/>
    <x v="798"/>
    <x v="842"/>
    <x v="3"/>
    <x v="4"/>
    <n v="90"/>
    <x v="31"/>
    <n v="85.5"/>
    <x v="834"/>
    <x v="842"/>
    <x v="0"/>
    <x v="10"/>
    <x v="10"/>
    <s v="Sunday"/>
  </r>
  <r>
    <s v="TXN-00864"/>
    <d v="2024-01-30T00:00:00"/>
    <d v="1899-12-30T11:15:00"/>
    <s v="Simran Kaur"/>
    <s v="CUST0278"/>
    <x v="0"/>
    <x v="2"/>
    <x v="1"/>
    <s v="Food"/>
    <s v="Medium"/>
    <n v="2"/>
    <n v="75"/>
    <n v="0.15"/>
    <n v="150"/>
    <n v="127.5"/>
    <x v="0"/>
    <x v="0"/>
    <x v="1"/>
    <x v="1"/>
    <x v="0"/>
    <x v="0"/>
    <n v="284"/>
    <n v="57"/>
    <x v="799"/>
    <x v="843"/>
    <x v="4"/>
    <x v="3"/>
    <n v="150"/>
    <x v="55"/>
    <n v="127.5"/>
    <x v="835"/>
    <x v="843"/>
    <x v="0"/>
    <x v="2"/>
    <x v="2"/>
    <s v="Tuesday"/>
  </r>
  <r>
    <s v="TXN-00865"/>
    <d v="2024-01-08T00:00:00"/>
    <d v="1899-12-30T17:45:00"/>
    <s v="Simran Bansal"/>
    <s v="CUST0165"/>
    <x v="3"/>
    <x v="2"/>
    <x v="1"/>
    <s v="Food"/>
    <s v="Small"/>
    <n v="2"/>
    <n v="75"/>
    <n v="0"/>
    <n v="150"/>
    <n v="150"/>
    <x v="1"/>
    <x v="3"/>
    <x v="0"/>
    <x v="4"/>
    <x v="0"/>
    <x v="2"/>
    <n v="197"/>
    <n v="55"/>
    <x v="800"/>
    <x v="844"/>
    <x v="1"/>
    <x v="0"/>
    <n v="150"/>
    <x v="0"/>
    <n v="150"/>
    <x v="644"/>
    <x v="844"/>
    <x v="0"/>
    <x v="2"/>
    <x v="2"/>
    <s v="Monday"/>
  </r>
  <r>
    <s v="TXN-00866"/>
    <d v="2024-06-25T00:00:00"/>
    <d v="1899-12-30T21:50:00"/>
    <s v="Meera Kaur"/>
    <s v="CUST0360"/>
    <x v="3"/>
    <x v="0"/>
    <x v="0"/>
    <s v="Hot"/>
    <s v="Medium"/>
    <n v="2"/>
    <n v="130"/>
    <n v="0.15"/>
    <n v="260"/>
    <n v="221"/>
    <x v="0"/>
    <x v="3"/>
    <x v="1"/>
    <x v="1"/>
    <x v="1"/>
    <x v="0"/>
    <n v="157"/>
    <n v="59"/>
    <x v="801"/>
    <x v="845"/>
    <x v="4"/>
    <x v="4"/>
    <n v="260"/>
    <x v="21"/>
    <n v="221"/>
    <x v="836"/>
    <x v="845"/>
    <x v="0"/>
    <x v="4"/>
    <x v="4"/>
    <s v="Tuesday"/>
  </r>
  <r>
    <s v="TXN-00867"/>
    <d v="2024-06-14T00:00:00"/>
    <d v="1899-12-30T18:15:00"/>
    <s v="Neha Singh"/>
    <s v="CUST0192"/>
    <x v="3"/>
    <x v="5"/>
    <x v="2"/>
    <s v="Hot"/>
    <s v="Large"/>
    <n v="1"/>
    <n v="100"/>
    <n v="0"/>
    <n v="100"/>
    <n v="100"/>
    <x v="2"/>
    <x v="2"/>
    <x v="5"/>
    <x v="5"/>
    <x v="0"/>
    <x v="4"/>
    <n v="244"/>
    <n v="26"/>
    <x v="802"/>
    <x v="846"/>
    <x v="0"/>
    <x v="0"/>
    <n v="100"/>
    <x v="0"/>
    <n v="100"/>
    <x v="837"/>
    <x v="846"/>
    <x v="0"/>
    <x v="4"/>
    <x v="4"/>
    <s v="Friday"/>
  </r>
  <r>
    <s v="TXN-00868"/>
    <d v="2024-11-12T00:00:00"/>
    <d v="1899-12-30T11:30:00"/>
    <s v="Aditya Sharma"/>
    <s v="CUST0104"/>
    <x v="2"/>
    <x v="1"/>
    <x v="1"/>
    <s v="Food"/>
    <s v="Large"/>
    <n v="2"/>
    <n v="130"/>
    <n v="0.15"/>
    <n v="260"/>
    <n v="221"/>
    <x v="0"/>
    <x v="0"/>
    <x v="4"/>
    <x v="7"/>
    <x v="1"/>
    <x v="1"/>
    <n v="15"/>
    <n v="37"/>
    <x v="803"/>
    <x v="847"/>
    <x v="2"/>
    <x v="0"/>
    <n v="260"/>
    <x v="21"/>
    <n v="221"/>
    <x v="838"/>
    <x v="847"/>
    <x v="0"/>
    <x v="11"/>
    <x v="11"/>
    <s v="Tuesday"/>
  </r>
  <r>
    <s v="TXN-00869"/>
    <d v="2024-04-21T00:00:00"/>
    <d v="1899-12-30T12:15:00"/>
    <s v="Aarav Verma"/>
    <s v="CUST0276"/>
    <x v="2"/>
    <x v="9"/>
    <x v="2"/>
    <s v="Hot"/>
    <s v="Medium"/>
    <n v="1"/>
    <n v="90"/>
    <n v="0.05"/>
    <n v="90"/>
    <n v="85.5"/>
    <x v="1"/>
    <x v="1"/>
    <x v="6"/>
    <x v="5"/>
    <x v="0"/>
    <x v="2"/>
    <n v="409"/>
    <n v="58"/>
    <x v="804"/>
    <x v="848"/>
    <x v="3"/>
    <x v="3"/>
    <n v="90"/>
    <x v="31"/>
    <n v="85.5"/>
    <x v="839"/>
    <x v="848"/>
    <x v="0"/>
    <x v="8"/>
    <x v="8"/>
    <s v="Sunday"/>
  </r>
  <r>
    <s v="TXN-00870"/>
    <d v="2024-10-01T00:00:00"/>
    <d v="1899-12-30T16:50:00"/>
    <s v="Priya Mehta"/>
    <s v="CUST0314"/>
    <x v="2"/>
    <x v="6"/>
    <x v="0"/>
    <s v="Hot"/>
    <s v="Small"/>
    <n v="2"/>
    <n v="105"/>
    <n v="0.1"/>
    <n v="210"/>
    <n v="189"/>
    <x v="1"/>
    <x v="0"/>
    <x v="2"/>
    <x v="1"/>
    <x v="0"/>
    <x v="2"/>
    <n v="317"/>
    <n v="14"/>
    <x v="805"/>
    <x v="849"/>
    <x v="2"/>
    <x v="0"/>
    <n v="210"/>
    <x v="66"/>
    <n v="189"/>
    <x v="840"/>
    <x v="849"/>
    <x v="0"/>
    <x v="10"/>
    <x v="10"/>
    <s v="Tuesday"/>
  </r>
  <r>
    <s v="TXN-00871"/>
    <d v="2024-03-15T00:00:00"/>
    <d v="1899-12-30T17:30:00"/>
    <s v="Rohan Verma"/>
    <s v="Unknown"/>
    <x v="2"/>
    <x v="0"/>
    <x v="0"/>
    <s v="Hot"/>
    <s v="Unknown"/>
    <n v="2"/>
    <n v="130"/>
    <n v="0"/>
    <n v="260"/>
    <n v="260"/>
    <x v="2"/>
    <x v="2"/>
    <x v="4"/>
    <x v="2"/>
    <x v="0"/>
    <x v="3"/>
    <n v="164"/>
    <n v="53"/>
    <x v="806"/>
    <x v="850"/>
    <x v="3"/>
    <x v="4"/>
    <n v="260"/>
    <x v="0"/>
    <n v="260"/>
    <x v="841"/>
    <x v="850"/>
    <x v="0"/>
    <x v="5"/>
    <x v="5"/>
    <s v="Friday"/>
  </r>
  <r>
    <s v="TXN-00872"/>
    <d v="2024-02-03T00:00:00"/>
    <d v="1899-12-30T07:10:00"/>
    <s v="Rahul Mehta"/>
    <s v="CUST0263"/>
    <x v="1"/>
    <x v="2"/>
    <x v="1"/>
    <s v="Food"/>
    <s v="Small"/>
    <n v="1"/>
    <n v="70"/>
    <n v="0"/>
    <n v="70"/>
    <n v="70"/>
    <x v="1"/>
    <x v="0"/>
    <x v="3"/>
    <x v="7"/>
    <x v="2"/>
    <x v="2"/>
    <n v="244"/>
    <n v="36"/>
    <x v="807"/>
    <x v="851"/>
    <x v="2"/>
    <x v="4"/>
    <n v="70"/>
    <x v="0"/>
    <n v="70"/>
    <x v="842"/>
    <x v="851"/>
    <x v="0"/>
    <x v="3"/>
    <x v="3"/>
    <s v="Saturday"/>
  </r>
  <r>
    <s v="TXN-00873"/>
    <d v="2024-11-06T00:00:00"/>
    <d v="1899-12-30T17:20:00"/>
    <s v="Rohan Kaur"/>
    <s v="CUST0339"/>
    <x v="2"/>
    <x v="3"/>
    <x v="0"/>
    <s v="Hot"/>
    <s v="Unknown"/>
    <n v="5"/>
    <n v="120"/>
    <n v="0"/>
    <n v="600"/>
    <n v="600"/>
    <x v="0"/>
    <x v="1"/>
    <x v="3"/>
    <x v="4"/>
    <x v="2"/>
    <x v="2"/>
    <n v="87"/>
    <n v="36"/>
    <x v="387"/>
    <x v="852"/>
    <x v="4"/>
    <x v="0"/>
    <n v="600"/>
    <x v="0"/>
    <n v="600"/>
    <x v="843"/>
    <x v="852"/>
    <x v="0"/>
    <x v="11"/>
    <x v="11"/>
    <s v="Wednesday"/>
  </r>
  <r>
    <s v="TXN-00874"/>
    <d v="2024-04-12T00:00:00"/>
    <d v="1899-12-30T18:30:00"/>
    <s v="Kavya Gupta"/>
    <s v="CUST0383"/>
    <x v="2"/>
    <x v="10"/>
    <x v="1"/>
    <s v="Food"/>
    <s v="Medium"/>
    <n v="2"/>
    <n v="100"/>
    <n v="0.1"/>
    <n v="200"/>
    <n v="180"/>
    <x v="1"/>
    <x v="3"/>
    <x v="2"/>
    <x v="2"/>
    <x v="0"/>
    <x v="2"/>
    <n v="315"/>
    <n v="35"/>
    <x v="808"/>
    <x v="853"/>
    <x v="2"/>
    <x v="3"/>
    <n v="200"/>
    <x v="5"/>
    <n v="180"/>
    <x v="844"/>
    <x v="853"/>
    <x v="0"/>
    <x v="8"/>
    <x v="8"/>
    <s v="Friday"/>
  </r>
  <r>
    <s v="TXN-00875"/>
    <d v="2024-03-26T00:00:00"/>
    <d v="1899-12-30T21:10:00"/>
    <s v="Arjun Verma"/>
    <s v="CUST0339"/>
    <x v="2"/>
    <x v="15"/>
    <x v="4"/>
    <s v="Food"/>
    <s v="Unknown"/>
    <n v="3"/>
    <n v="190"/>
    <n v="0.1"/>
    <n v="570"/>
    <n v="513"/>
    <x v="3"/>
    <x v="3"/>
    <x v="6"/>
    <x v="7"/>
    <x v="2"/>
    <x v="0"/>
    <n v="437"/>
    <n v="53"/>
    <x v="809"/>
    <x v="854"/>
    <x v="0"/>
    <x v="1"/>
    <n v="570"/>
    <x v="80"/>
    <n v="513"/>
    <x v="845"/>
    <x v="854"/>
    <x v="0"/>
    <x v="5"/>
    <x v="5"/>
    <s v="Tuesday"/>
  </r>
  <r>
    <s v="TXN-00876"/>
    <d v="2024-07-09T00:00:00"/>
    <d v="1899-12-30T08:00:00"/>
    <s v="Isha Kapoor"/>
    <s v="CUST0137"/>
    <x v="0"/>
    <x v="7"/>
    <x v="0"/>
    <s v="Hot"/>
    <s v="Large"/>
    <n v="2"/>
    <n v="150"/>
    <n v="0"/>
    <n v="300"/>
    <n v="300"/>
    <x v="0"/>
    <x v="0"/>
    <x v="5"/>
    <x v="4"/>
    <x v="2"/>
    <x v="3"/>
    <n v="482"/>
    <n v="11"/>
    <x v="90"/>
    <x v="855"/>
    <x v="4"/>
    <x v="1"/>
    <n v="300"/>
    <x v="0"/>
    <n v="300"/>
    <x v="846"/>
    <x v="855"/>
    <x v="0"/>
    <x v="7"/>
    <x v="7"/>
    <s v="Tuesday"/>
  </r>
  <r>
    <s v="TXN-00877"/>
    <d v="2024-12-12T00:00:00"/>
    <d v="1899-12-30T14:30:00"/>
    <s v="Aarav Malhotra"/>
    <s v="CUST0191"/>
    <x v="2"/>
    <x v="4"/>
    <x v="0"/>
    <s v="Cold"/>
    <s v="Medium"/>
    <n v="3"/>
    <n v="150"/>
    <n v="0"/>
    <n v="450"/>
    <n v="450"/>
    <x v="1"/>
    <x v="1"/>
    <x v="4"/>
    <x v="0"/>
    <x v="2"/>
    <x v="4"/>
    <n v="263"/>
    <n v="40"/>
    <x v="810"/>
    <x v="856"/>
    <x v="0"/>
    <x v="3"/>
    <n v="450"/>
    <x v="0"/>
    <n v="450"/>
    <x v="847"/>
    <x v="856"/>
    <x v="0"/>
    <x v="9"/>
    <x v="9"/>
    <s v="Thursday"/>
  </r>
  <r>
    <s v="TXN-00878"/>
    <d v="2024-08-22T00:00:00"/>
    <d v="1899-12-30T16:45:00"/>
    <s v="Pooja Sharma"/>
    <s v="Unknown"/>
    <x v="3"/>
    <x v="6"/>
    <x v="0"/>
    <s v="Hot"/>
    <s v="Large"/>
    <n v="1"/>
    <n v="95"/>
    <n v="0.1"/>
    <n v="95"/>
    <n v="85.5"/>
    <x v="2"/>
    <x v="2"/>
    <x v="6"/>
    <x v="4"/>
    <x v="2"/>
    <x v="2"/>
    <n v="407"/>
    <n v="37"/>
    <x v="811"/>
    <x v="857"/>
    <x v="4"/>
    <x v="0"/>
    <n v="95"/>
    <x v="10"/>
    <n v="85.5"/>
    <x v="848"/>
    <x v="857"/>
    <x v="0"/>
    <x v="1"/>
    <x v="1"/>
    <s v="Thursday"/>
  </r>
  <r>
    <s v="TXN-00879"/>
    <d v="2024-10-31T00:00:00"/>
    <d v="1899-12-30T21:10:00"/>
    <s v="Rahul Bansal"/>
    <s v="CUST0132"/>
    <x v="3"/>
    <x v="11"/>
    <x v="0"/>
    <s v="Hot"/>
    <s v="Large"/>
    <n v="1"/>
    <n v="95"/>
    <n v="0.05"/>
    <n v="95"/>
    <n v="90.25"/>
    <x v="1"/>
    <x v="2"/>
    <x v="0"/>
    <x v="1"/>
    <x v="0"/>
    <x v="4"/>
    <n v="244"/>
    <n v="37"/>
    <x v="812"/>
    <x v="858"/>
    <x v="4"/>
    <x v="0"/>
    <n v="95"/>
    <x v="34"/>
    <n v="90.25"/>
    <x v="849"/>
    <x v="858"/>
    <x v="0"/>
    <x v="10"/>
    <x v="10"/>
    <s v="Thursday"/>
  </r>
  <r>
    <s v="TXN-00880"/>
    <d v="2024-04-06T00:00:00"/>
    <d v="1899-12-30T08:45:00"/>
    <s v="Sneha Kapoor"/>
    <s v="CUST0374"/>
    <x v="3"/>
    <x v="11"/>
    <x v="0"/>
    <s v="Hot"/>
    <s v="Unknown"/>
    <n v="2"/>
    <n v="85"/>
    <n v="0.05"/>
    <n v="170"/>
    <n v="161.5"/>
    <x v="0"/>
    <x v="2"/>
    <x v="5"/>
    <x v="6"/>
    <x v="0"/>
    <x v="4"/>
    <n v="173"/>
    <n v="35"/>
    <x v="813"/>
    <x v="859"/>
    <x v="0"/>
    <x v="1"/>
    <n v="170"/>
    <x v="20"/>
    <n v="161.5"/>
    <x v="850"/>
    <x v="859"/>
    <x v="0"/>
    <x v="8"/>
    <x v="8"/>
    <s v="Saturday"/>
  </r>
  <r>
    <s v="TXN-00881"/>
    <d v="2024-11-17T00:00:00"/>
    <d v="1899-12-30T12:50:00"/>
    <s v="Ananya Bansal"/>
    <s v="CUST0318"/>
    <x v="2"/>
    <x v="10"/>
    <x v="1"/>
    <s v="Food"/>
    <s v="Medium"/>
    <n v="1"/>
    <n v="110"/>
    <n v="0"/>
    <n v="110"/>
    <n v="110"/>
    <x v="0"/>
    <x v="3"/>
    <x v="6"/>
    <x v="7"/>
    <x v="0"/>
    <x v="4"/>
    <n v="187"/>
    <n v="27"/>
    <x v="814"/>
    <x v="860"/>
    <x v="1"/>
    <x v="2"/>
    <n v="110"/>
    <x v="0"/>
    <n v="110"/>
    <x v="851"/>
    <x v="860"/>
    <x v="0"/>
    <x v="11"/>
    <x v="11"/>
    <s v="Sunday"/>
  </r>
  <r>
    <s v="TXN-00882"/>
    <d v="2024-10-18T00:00:00"/>
    <d v="1899-12-30T20:45:00"/>
    <s v="Vivaan Bansal"/>
    <s v="CUST0238"/>
    <x v="3"/>
    <x v="2"/>
    <x v="1"/>
    <s v="Food"/>
    <s v="Large"/>
    <n v="4"/>
    <n v="75"/>
    <n v="0.1"/>
    <n v="300"/>
    <n v="270"/>
    <x v="0"/>
    <x v="0"/>
    <x v="6"/>
    <x v="0"/>
    <x v="2"/>
    <x v="0"/>
    <n v="76"/>
    <n v="34"/>
    <x v="815"/>
    <x v="861"/>
    <x v="0"/>
    <x v="4"/>
    <n v="300"/>
    <x v="89"/>
    <n v="270"/>
    <x v="852"/>
    <x v="861"/>
    <x v="0"/>
    <x v="10"/>
    <x v="10"/>
    <s v="Friday"/>
  </r>
  <r>
    <s v="TXN-00883"/>
    <d v="2024-04-25T00:00:00"/>
    <d v="1899-12-30T17:10:00"/>
    <s v="Priya Verma"/>
    <s v="CUST0363"/>
    <x v="0"/>
    <x v="1"/>
    <x v="1"/>
    <s v="Food"/>
    <s v="Small"/>
    <n v="1"/>
    <n v="120"/>
    <n v="0"/>
    <n v="120"/>
    <n v="120"/>
    <x v="1"/>
    <x v="3"/>
    <x v="6"/>
    <x v="7"/>
    <x v="0"/>
    <x v="4"/>
    <n v="244"/>
    <n v="25"/>
    <x v="816"/>
    <x v="862"/>
    <x v="4"/>
    <x v="3"/>
    <n v="120"/>
    <x v="0"/>
    <n v="120"/>
    <x v="853"/>
    <x v="862"/>
    <x v="0"/>
    <x v="8"/>
    <x v="8"/>
    <s v="Thursday"/>
  </r>
  <r>
    <s v="TXN-00884"/>
    <d v="2024-01-11T00:00:00"/>
    <d v="1899-12-30T13:20:00"/>
    <s v="Karan Sharma"/>
    <s v="CUST0187"/>
    <x v="2"/>
    <x v="4"/>
    <x v="0"/>
    <s v="Cold"/>
    <s v="Medium"/>
    <n v="2"/>
    <n v="150"/>
    <n v="0"/>
    <n v="300"/>
    <n v="300"/>
    <x v="0"/>
    <x v="1"/>
    <x v="0"/>
    <x v="7"/>
    <x v="0"/>
    <x v="0"/>
    <n v="112"/>
    <n v="36"/>
    <x v="817"/>
    <x v="347"/>
    <x v="2"/>
    <x v="3"/>
    <n v="300"/>
    <x v="0"/>
    <n v="300"/>
    <x v="854"/>
    <x v="347"/>
    <x v="0"/>
    <x v="2"/>
    <x v="2"/>
    <s v="Thursday"/>
  </r>
  <r>
    <s v="TXN-00885"/>
    <d v="2024-07-15T00:00:00"/>
    <d v="1899-12-30T09:00:00"/>
    <s v="Isha Kapoor"/>
    <s v="CUST0232"/>
    <x v="3"/>
    <x v="14"/>
    <x v="3"/>
    <s v="Food"/>
    <s v="Small"/>
    <n v="2"/>
    <n v="185"/>
    <n v="0.05"/>
    <n v="370"/>
    <n v="351.5"/>
    <x v="2"/>
    <x v="3"/>
    <x v="2"/>
    <x v="2"/>
    <x v="0"/>
    <x v="2"/>
    <n v="244"/>
    <n v="53"/>
    <x v="818"/>
    <x v="863"/>
    <x v="3"/>
    <x v="2"/>
    <n v="370"/>
    <x v="56"/>
    <n v="351.5"/>
    <x v="855"/>
    <x v="863"/>
    <x v="0"/>
    <x v="7"/>
    <x v="7"/>
    <s v="Monday"/>
  </r>
  <r>
    <s v="TXN-00886"/>
    <d v="2024-03-05T00:00:00"/>
    <d v="1899-12-30T10:20:00"/>
    <s v="Nikhil Bansal"/>
    <s v="CUST0330"/>
    <x v="2"/>
    <x v="1"/>
    <x v="1"/>
    <s v="Food"/>
    <s v="Small"/>
    <n v="1"/>
    <n v="125"/>
    <n v="0.05"/>
    <n v="125"/>
    <n v="118.75"/>
    <x v="2"/>
    <x v="3"/>
    <x v="3"/>
    <x v="7"/>
    <x v="1"/>
    <x v="4"/>
    <n v="176"/>
    <n v="34"/>
    <x v="819"/>
    <x v="864"/>
    <x v="3"/>
    <x v="2"/>
    <n v="125"/>
    <x v="85"/>
    <n v="118.75"/>
    <x v="856"/>
    <x v="864"/>
    <x v="0"/>
    <x v="5"/>
    <x v="5"/>
    <s v="Tuesday"/>
  </r>
  <r>
    <s v="TXN-00887"/>
    <d v="2024-08-31T00:00:00"/>
    <d v="1899-12-30T18:30:00"/>
    <s v="Simran Malhotra"/>
    <s v="CUST0215"/>
    <x v="0"/>
    <x v="10"/>
    <x v="1"/>
    <s v="Food"/>
    <s v="Small"/>
    <n v="1"/>
    <n v="105"/>
    <n v="0.1"/>
    <n v="105"/>
    <n v="94.5"/>
    <x v="2"/>
    <x v="2"/>
    <x v="0"/>
    <x v="1"/>
    <x v="2"/>
    <x v="3"/>
    <n v="319"/>
    <n v="37"/>
    <x v="820"/>
    <x v="865"/>
    <x v="4"/>
    <x v="0"/>
    <n v="105"/>
    <x v="25"/>
    <n v="94.5"/>
    <x v="857"/>
    <x v="865"/>
    <x v="0"/>
    <x v="1"/>
    <x v="1"/>
    <s v="Saturday"/>
  </r>
  <r>
    <s v="TXN-00888"/>
    <d v="2024-08-30T00:00:00"/>
    <d v="1899-12-30T17:30:00"/>
    <s v="Vivaan Sharma"/>
    <s v="CUST0166"/>
    <x v="2"/>
    <x v="11"/>
    <x v="0"/>
    <s v="Hot"/>
    <s v="Large"/>
    <n v="4"/>
    <n v="90"/>
    <n v="0.1"/>
    <n v="360"/>
    <n v="324"/>
    <x v="2"/>
    <x v="3"/>
    <x v="1"/>
    <x v="6"/>
    <x v="0"/>
    <x v="4"/>
    <n v="59"/>
    <n v="38"/>
    <x v="475"/>
    <x v="866"/>
    <x v="1"/>
    <x v="0"/>
    <n v="360"/>
    <x v="72"/>
    <n v="324"/>
    <x v="858"/>
    <x v="866"/>
    <x v="0"/>
    <x v="1"/>
    <x v="1"/>
    <s v="Friday"/>
  </r>
  <r>
    <s v="TXN-00889"/>
    <d v="2024-10-09T00:00:00"/>
    <d v="1899-12-30T20:30:00"/>
    <s v="Sneha Kaur"/>
    <s v="CUST0266"/>
    <x v="2"/>
    <x v="2"/>
    <x v="1"/>
    <s v="Food"/>
    <s v="Large"/>
    <n v="2"/>
    <n v="75"/>
    <n v="0.1"/>
    <n v="150"/>
    <n v="135"/>
    <x v="0"/>
    <x v="0"/>
    <x v="6"/>
    <x v="1"/>
    <x v="0"/>
    <x v="4"/>
    <n v="61"/>
    <n v="42"/>
    <x v="821"/>
    <x v="867"/>
    <x v="4"/>
    <x v="2"/>
    <n v="150"/>
    <x v="51"/>
    <n v="135"/>
    <x v="859"/>
    <x v="867"/>
    <x v="0"/>
    <x v="10"/>
    <x v="10"/>
    <s v="Wednesday"/>
  </r>
  <r>
    <s v="TXN-00890"/>
    <d v="2024-04-23T00:00:00"/>
    <d v="1899-12-30T19:15:00"/>
    <s v="Aditya Sharma"/>
    <s v="CUST0253"/>
    <x v="2"/>
    <x v="9"/>
    <x v="2"/>
    <s v="Hot"/>
    <s v="Medium"/>
    <n v="3"/>
    <n v="85"/>
    <n v="0.1"/>
    <n v="255"/>
    <n v="229.5"/>
    <x v="0"/>
    <x v="0"/>
    <x v="6"/>
    <x v="5"/>
    <x v="0"/>
    <x v="0"/>
    <n v="270"/>
    <n v="18"/>
    <x v="822"/>
    <x v="868"/>
    <x v="0"/>
    <x v="3"/>
    <n v="255"/>
    <x v="38"/>
    <n v="229.5"/>
    <x v="860"/>
    <x v="868"/>
    <x v="0"/>
    <x v="8"/>
    <x v="8"/>
    <s v="Tuesday"/>
  </r>
  <r>
    <s v="TXN-00891"/>
    <d v="2024-06-06T00:00:00"/>
    <d v="1899-12-30T21:50:00"/>
    <s v="Sahil Gupta"/>
    <s v="CUST0309"/>
    <x v="2"/>
    <x v="14"/>
    <x v="3"/>
    <s v="Food"/>
    <s v="Large"/>
    <n v="5"/>
    <n v="180"/>
    <n v="0.05"/>
    <n v="900"/>
    <n v="855"/>
    <x v="3"/>
    <x v="3"/>
    <x v="1"/>
    <x v="4"/>
    <x v="0"/>
    <x v="1"/>
    <n v="458"/>
    <n v="15"/>
    <x v="823"/>
    <x v="869"/>
    <x v="3"/>
    <x v="0"/>
    <n v="900"/>
    <x v="15"/>
    <n v="855"/>
    <x v="861"/>
    <x v="869"/>
    <x v="0"/>
    <x v="4"/>
    <x v="4"/>
    <s v="Thursday"/>
  </r>
  <r>
    <s v="TXN-00892"/>
    <d v="2024-11-23T00:00:00"/>
    <d v="1899-12-30T14:15:00"/>
    <s v="Kavya Sharma"/>
    <s v="CUST0377"/>
    <x v="3"/>
    <x v="11"/>
    <x v="0"/>
    <s v="Hot"/>
    <s v="Medium"/>
    <n v="1"/>
    <n v="85"/>
    <n v="0"/>
    <n v="85"/>
    <n v="85"/>
    <x v="2"/>
    <x v="1"/>
    <x v="3"/>
    <x v="1"/>
    <x v="2"/>
    <x v="1"/>
    <n v="166"/>
    <n v="29"/>
    <x v="824"/>
    <x v="870"/>
    <x v="2"/>
    <x v="4"/>
    <n v="85"/>
    <x v="0"/>
    <n v="85"/>
    <x v="862"/>
    <x v="870"/>
    <x v="0"/>
    <x v="11"/>
    <x v="11"/>
    <s v="Saturday"/>
  </r>
  <r>
    <s v="TXN-00893"/>
    <d v="2024-02-10T00:00:00"/>
    <d v="1899-12-30T12:45:00"/>
    <s v="Sahil Chopra"/>
    <s v="CUST0105"/>
    <x v="2"/>
    <x v="15"/>
    <x v="4"/>
    <s v="Food"/>
    <s v="Small"/>
    <n v="2"/>
    <n v="190"/>
    <n v="0.15"/>
    <n v="380"/>
    <n v="323"/>
    <x v="2"/>
    <x v="0"/>
    <x v="2"/>
    <x v="7"/>
    <x v="2"/>
    <x v="2"/>
    <n v="379"/>
    <n v="39"/>
    <x v="825"/>
    <x v="871"/>
    <x v="2"/>
    <x v="3"/>
    <n v="380"/>
    <x v="80"/>
    <n v="323"/>
    <x v="863"/>
    <x v="871"/>
    <x v="0"/>
    <x v="3"/>
    <x v="3"/>
    <s v="Saturday"/>
  </r>
  <r>
    <s v="TXN-00894"/>
    <d v="2024-03-10T00:00:00"/>
    <d v="1899-12-30T08:15:00"/>
    <s v="Karan Singh"/>
    <s v="CUST0323"/>
    <x v="2"/>
    <x v="7"/>
    <x v="0"/>
    <s v="Hot"/>
    <s v="Medium"/>
    <n v="2"/>
    <n v="150"/>
    <n v="0.15"/>
    <n v="300"/>
    <n v="255"/>
    <x v="2"/>
    <x v="2"/>
    <x v="6"/>
    <x v="4"/>
    <x v="1"/>
    <x v="3"/>
    <n v="10"/>
    <n v="51"/>
    <x v="826"/>
    <x v="872"/>
    <x v="2"/>
    <x v="0"/>
    <n v="300"/>
    <x v="15"/>
    <n v="255"/>
    <x v="864"/>
    <x v="872"/>
    <x v="0"/>
    <x v="5"/>
    <x v="5"/>
    <s v="Sunday"/>
  </r>
  <r>
    <s v="TXN-00895"/>
    <d v="2024-01-31T00:00:00"/>
    <d v="1899-12-30T17:15:00"/>
    <s v="Rohan Bansal"/>
    <s v="CUST0208"/>
    <x v="3"/>
    <x v="9"/>
    <x v="2"/>
    <s v="Hot"/>
    <s v="Medium"/>
    <n v="1"/>
    <n v="80"/>
    <n v="0"/>
    <n v="80"/>
    <n v="80"/>
    <x v="0"/>
    <x v="1"/>
    <x v="1"/>
    <x v="1"/>
    <x v="0"/>
    <x v="0"/>
    <n v="82"/>
    <n v="16"/>
    <x v="827"/>
    <x v="873"/>
    <x v="4"/>
    <x v="3"/>
    <n v="80"/>
    <x v="0"/>
    <n v="80"/>
    <x v="865"/>
    <x v="873"/>
    <x v="0"/>
    <x v="2"/>
    <x v="2"/>
    <s v="Wednesday"/>
  </r>
  <r>
    <s v="TXN-00896"/>
    <d v="2024-01-16T00:00:00"/>
    <d v="1899-12-30T07:45:00"/>
    <s v="Priya Verma"/>
    <s v="CUST0270"/>
    <x v="3"/>
    <x v="2"/>
    <x v="1"/>
    <s v="Food"/>
    <s v="Large"/>
    <n v="1"/>
    <n v="70"/>
    <n v="0"/>
    <n v="70"/>
    <n v="70"/>
    <x v="2"/>
    <x v="1"/>
    <x v="6"/>
    <x v="0"/>
    <x v="0"/>
    <x v="2"/>
    <n v="47"/>
    <n v="11"/>
    <x v="828"/>
    <x v="874"/>
    <x v="0"/>
    <x v="1"/>
    <n v="70"/>
    <x v="0"/>
    <n v="70"/>
    <x v="866"/>
    <x v="874"/>
    <x v="0"/>
    <x v="2"/>
    <x v="2"/>
    <s v="Tuesday"/>
  </r>
  <r>
    <s v="TXN-00897"/>
    <d v="2024-03-07T00:00:00"/>
    <d v="1899-12-30T12:15:00"/>
    <s v="Manish Kaur"/>
    <s v="CUST0263"/>
    <x v="2"/>
    <x v="0"/>
    <x v="0"/>
    <s v="Hot"/>
    <s v="Unknown"/>
    <n v="1"/>
    <n v="130"/>
    <n v="0.05"/>
    <n v="130"/>
    <n v="123.5"/>
    <x v="2"/>
    <x v="3"/>
    <x v="3"/>
    <x v="0"/>
    <x v="1"/>
    <x v="1"/>
    <n v="164"/>
    <n v="38"/>
    <x v="829"/>
    <x v="875"/>
    <x v="3"/>
    <x v="2"/>
    <n v="130"/>
    <x v="41"/>
    <n v="123.5"/>
    <x v="867"/>
    <x v="875"/>
    <x v="0"/>
    <x v="5"/>
    <x v="5"/>
    <s v="Thursday"/>
  </r>
  <r>
    <s v="TXN-00898"/>
    <d v="2024-03-22T00:00:00"/>
    <d v="1899-12-30T20:50:00"/>
    <s v="Rohan Singh"/>
    <s v="CUST0185"/>
    <x v="2"/>
    <x v="9"/>
    <x v="2"/>
    <s v="Hot"/>
    <s v="Small"/>
    <n v="2"/>
    <n v="85"/>
    <n v="0"/>
    <n v="170"/>
    <n v="170"/>
    <x v="2"/>
    <x v="1"/>
    <x v="1"/>
    <x v="5"/>
    <x v="0"/>
    <x v="4"/>
    <n v="179"/>
    <n v="36"/>
    <x v="830"/>
    <x v="876"/>
    <x v="3"/>
    <x v="3"/>
    <n v="170"/>
    <x v="0"/>
    <n v="170"/>
    <x v="868"/>
    <x v="876"/>
    <x v="0"/>
    <x v="5"/>
    <x v="5"/>
    <s v="Friday"/>
  </r>
  <r>
    <s v="TXN-00899"/>
    <d v="2024-09-03T00:00:00"/>
    <d v="1899-12-30T14:20:00"/>
    <s v="Arjun Bansal"/>
    <s v="Unknown"/>
    <x v="3"/>
    <x v="12"/>
    <x v="1"/>
    <s v="Food"/>
    <s v="Large"/>
    <n v="1"/>
    <n v="90"/>
    <n v="0.15"/>
    <n v="90"/>
    <n v="76.5"/>
    <x v="1"/>
    <x v="0"/>
    <x v="2"/>
    <x v="2"/>
    <x v="0"/>
    <x v="4"/>
    <n v="92"/>
    <n v="18"/>
    <x v="831"/>
    <x v="877"/>
    <x v="4"/>
    <x v="2"/>
    <n v="90"/>
    <x v="46"/>
    <n v="76.5"/>
    <x v="869"/>
    <x v="877"/>
    <x v="0"/>
    <x v="0"/>
    <x v="0"/>
    <s v="Tuesday"/>
  </r>
  <r>
    <s v="TXN-00900"/>
    <d v="2024-11-08T00:00:00"/>
    <d v="1899-12-30T07:15:00"/>
    <s v="Meera Kaur"/>
    <s v="CUST0372"/>
    <x v="1"/>
    <x v="11"/>
    <x v="0"/>
    <s v="Hot"/>
    <s v="Unknown"/>
    <n v="2"/>
    <n v="95"/>
    <n v="0.1"/>
    <n v="190"/>
    <n v="171"/>
    <x v="2"/>
    <x v="0"/>
    <x v="3"/>
    <x v="6"/>
    <x v="1"/>
    <x v="2"/>
    <n v="404"/>
    <n v="39"/>
    <x v="832"/>
    <x v="532"/>
    <x v="4"/>
    <x v="3"/>
    <n v="190"/>
    <x v="29"/>
    <n v="171"/>
    <x v="870"/>
    <x v="532"/>
    <x v="0"/>
    <x v="11"/>
    <x v="11"/>
    <s v="Friday"/>
  </r>
  <r>
    <s v="TXN-00901"/>
    <d v="2024-08-17T00:00:00"/>
    <d v="1899-12-30T11:50:00"/>
    <s v="Vivaan Chopra"/>
    <s v="CUST0173"/>
    <x v="3"/>
    <x v="6"/>
    <x v="0"/>
    <s v="Hot"/>
    <s v="Medium"/>
    <n v="1"/>
    <n v="95"/>
    <n v="0.05"/>
    <n v="95"/>
    <n v="90.25"/>
    <x v="2"/>
    <x v="0"/>
    <x v="1"/>
    <x v="3"/>
    <x v="2"/>
    <x v="2"/>
    <n v="72"/>
    <n v="34"/>
    <x v="60"/>
    <x v="311"/>
    <x v="2"/>
    <x v="2"/>
    <n v="95"/>
    <x v="34"/>
    <n v="90.25"/>
    <x v="60"/>
    <x v="311"/>
    <x v="0"/>
    <x v="1"/>
    <x v="1"/>
    <s v="Saturday"/>
  </r>
  <r>
    <s v="TXN-00902"/>
    <d v="2024-09-14T00:00:00"/>
    <d v="1899-12-30T10:00:00"/>
    <s v="Kavya Malhotra"/>
    <s v="CUST0332"/>
    <x v="0"/>
    <x v="0"/>
    <x v="0"/>
    <s v="Hot"/>
    <s v="Large"/>
    <n v="2"/>
    <n v="140"/>
    <n v="0"/>
    <n v="280"/>
    <n v="280"/>
    <x v="2"/>
    <x v="0"/>
    <x v="6"/>
    <x v="6"/>
    <x v="1"/>
    <x v="4"/>
    <n v="474"/>
    <n v="34"/>
    <x v="833"/>
    <x v="878"/>
    <x v="0"/>
    <x v="3"/>
    <n v="280"/>
    <x v="0"/>
    <n v="280"/>
    <x v="871"/>
    <x v="878"/>
    <x v="0"/>
    <x v="0"/>
    <x v="0"/>
    <s v="Saturday"/>
  </r>
  <r>
    <s v="TXN-00903"/>
    <d v="2024-06-12T00:00:00"/>
    <d v="1899-12-30T19:10:00"/>
    <s v="Isha Malhotra"/>
    <s v="CUST0107"/>
    <x v="3"/>
    <x v="15"/>
    <x v="4"/>
    <s v="Food"/>
    <s v="Medium"/>
    <n v="1"/>
    <n v="200"/>
    <n v="0"/>
    <n v="200"/>
    <n v="200"/>
    <x v="1"/>
    <x v="1"/>
    <x v="2"/>
    <x v="2"/>
    <x v="0"/>
    <x v="1"/>
    <n v="319"/>
    <n v="36"/>
    <x v="834"/>
    <x v="879"/>
    <x v="3"/>
    <x v="2"/>
    <n v="200"/>
    <x v="0"/>
    <n v="200"/>
    <x v="872"/>
    <x v="879"/>
    <x v="0"/>
    <x v="4"/>
    <x v="4"/>
    <s v="Wednesday"/>
  </r>
  <r>
    <s v="TXN-00904"/>
    <d v="2024-07-19T00:00:00"/>
    <d v="1899-12-30T20:00:00"/>
    <s v="Arjun Bansal"/>
    <s v="CUST0309"/>
    <x v="0"/>
    <x v="14"/>
    <x v="3"/>
    <s v="Food"/>
    <s v="Large"/>
    <n v="1"/>
    <n v="175"/>
    <n v="0"/>
    <n v="175"/>
    <n v="175"/>
    <x v="0"/>
    <x v="0"/>
    <x v="2"/>
    <x v="2"/>
    <x v="2"/>
    <x v="1"/>
    <n v="142"/>
    <n v="47"/>
    <x v="835"/>
    <x v="880"/>
    <x v="0"/>
    <x v="4"/>
    <n v="175"/>
    <x v="0"/>
    <n v="175"/>
    <x v="873"/>
    <x v="880"/>
    <x v="0"/>
    <x v="7"/>
    <x v="7"/>
    <s v="Friday"/>
  </r>
  <r>
    <s v="TXN-00905"/>
    <d v="2024-02-14T00:00:00"/>
    <d v="1899-12-30T16:00:00"/>
    <s v="Aarav Chopra"/>
    <s v="CUST0149"/>
    <x v="3"/>
    <x v="3"/>
    <x v="0"/>
    <s v="Hot"/>
    <s v="Large"/>
    <n v="4"/>
    <n v="125"/>
    <n v="0"/>
    <n v="500"/>
    <n v="500"/>
    <x v="0"/>
    <x v="0"/>
    <x v="6"/>
    <x v="5"/>
    <x v="0"/>
    <x v="2"/>
    <n v="405"/>
    <n v="29"/>
    <x v="836"/>
    <x v="881"/>
    <x v="4"/>
    <x v="3"/>
    <n v="500"/>
    <x v="0"/>
    <n v="500"/>
    <x v="874"/>
    <x v="881"/>
    <x v="0"/>
    <x v="3"/>
    <x v="3"/>
    <s v="Wednesday"/>
  </r>
  <r>
    <s v="TXN-00906"/>
    <d v="2024-10-03T00:00:00"/>
    <d v="1899-12-30T09:10:00"/>
    <s v="Manish Singh"/>
    <s v="CUST0372"/>
    <x v="3"/>
    <x v="9"/>
    <x v="2"/>
    <s v="Hot"/>
    <s v="Medium"/>
    <n v="2"/>
    <n v="90"/>
    <n v="0"/>
    <n v="180"/>
    <n v="180"/>
    <x v="2"/>
    <x v="3"/>
    <x v="2"/>
    <x v="0"/>
    <x v="2"/>
    <x v="1"/>
    <n v="292"/>
    <n v="26"/>
    <x v="837"/>
    <x v="882"/>
    <x v="1"/>
    <x v="4"/>
    <n v="180"/>
    <x v="0"/>
    <n v="180"/>
    <x v="875"/>
    <x v="882"/>
    <x v="0"/>
    <x v="10"/>
    <x v="10"/>
    <s v="Thursday"/>
  </r>
  <r>
    <s v="TXN-00907"/>
    <d v="2024-11-18T00:00:00"/>
    <d v="1899-12-30T10:50:00"/>
    <s v="Sneha Chopra"/>
    <s v="CUST0328"/>
    <x v="0"/>
    <x v="13"/>
    <x v="2"/>
    <s v="Cold"/>
    <s v="Large"/>
    <n v="1"/>
    <n v="120"/>
    <n v="0.1"/>
    <n v="120"/>
    <n v="108"/>
    <x v="0"/>
    <x v="3"/>
    <x v="1"/>
    <x v="6"/>
    <x v="0"/>
    <x v="2"/>
    <n v="180"/>
    <n v="35"/>
    <x v="785"/>
    <x v="883"/>
    <x v="4"/>
    <x v="0"/>
    <n v="120"/>
    <x v="2"/>
    <n v="108"/>
    <x v="820"/>
    <x v="883"/>
    <x v="0"/>
    <x v="11"/>
    <x v="11"/>
    <s v="Monday"/>
  </r>
  <r>
    <s v="TXN-00908"/>
    <d v="2024-12-28T00:00:00"/>
    <d v="1899-12-30T19:30:00"/>
    <s v="Sahil Kaur"/>
    <s v="CUST0386"/>
    <x v="3"/>
    <x v="11"/>
    <x v="0"/>
    <s v="Hot"/>
    <s v="Medium"/>
    <n v="1"/>
    <n v="90"/>
    <n v="0.1"/>
    <n v="90"/>
    <n v="81"/>
    <x v="3"/>
    <x v="3"/>
    <x v="2"/>
    <x v="3"/>
    <x v="0"/>
    <x v="3"/>
    <n v="170"/>
    <n v="50"/>
    <x v="659"/>
    <x v="884"/>
    <x v="4"/>
    <x v="1"/>
    <n v="90"/>
    <x v="13"/>
    <n v="81"/>
    <x v="876"/>
    <x v="884"/>
    <x v="0"/>
    <x v="9"/>
    <x v="9"/>
    <s v="Saturday"/>
  </r>
  <r>
    <s v="TXN-00909"/>
    <d v="2024-04-11T00:00:00"/>
    <d v="1899-12-30T08:30:00"/>
    <s v="Neha Chopra"/>
    <s v="CUST0159"/>
    <x v="3"/>
    <x v="4"/>
    <x v="0"/>
    <s v="Cold"/>
    <s v="Medium"/>
    <n v="2"/>
    <n v="150"/>
    <n v="0"/>
    <n v="300"/>
    <n v="300"/>
    <x v="1"/>
    <x v="1"/>
    <x v="3"/>
    <x v="7"/>
    <x v="0"/>
    <x v="4"/>
    <n v="442"/>
    <n v="27"/>
    <x v="720"/>
    <x v="885"/>
    <x v="2"/>
    <x v="4"/>
    <n v="300"/>
    <x v="0"/>
    <n v="300"/>
    <x v="877"/>
    <x v="885"/>
    <x v="0"/>
    <x v="8"/>
    <x v="8"/>
    <s v="Thursday"/>
  </r>
  <r>
    <s v="TXN-00910"/>
    <d v="2024-03-03T00:00:00"/>
    <d v="1899-12-30T11:10:00"/>
    <s v="Pooja Malhotra"/>
    <s v="CUST0101"/>
    <x v="1"/>
    <x v="1"/>
    <x v="1"/>
    <s v="Food"/>
    <s v="Small"/>
    <n v="1"/>
    <n v="115"/>
    <n v="0"/>
    <n v="115"/>
    <n v="115"/>
    <x v="0"/>
    <x v="2"/>
    <x v="5"/>
    <x v="7"/>
    <x v="0"/>
    <x v="1"/>
    <n v="111"/>
    <n v="27"/>
    <x v="838"/>
    <x v="886"/>
    <x v="1"/>
    <x v="1"/>
    <n v="115"/>
    <x v="0"/>
    <n v="115"/>
    <x v="878"/>
    <x v="886"/>
    <x v="0"/>
    <x v="5"/>
    <x v="5"/>
    <s v="Sunday"/>
  </r>
  <r>
    <s v="TXN-00911"/>
    <d v="2024-07-03T00:00:00"/>
    <d v="1899-12-30T11:50:00"/>
    <s v="Neha Kapoor"/>
    <s v="CUST0137"/>
    <x v="1"/>
    <x v="7"/>
    <x v="0"/>
    <s v="Hot"/>
    <s v="Medium"/>
    <n v="2"/>
    <n v="145"/>
    <n v="0.05"/>
    <n v="290"/>
    <n v="275.5"/>
    <x v="0"/>
    <x v="3"/>
    <x v="2"/>
    <x v="1"/>
    <x v="2"/>
    <x v="4"/>
    <n v="126"/>
    <n v="31"/>
    <x v="839"/>
    <x v="887"/>
    <x v="2"/>
    <x v="4"/>
    <n v="290"/>
    <x v="47"/>
    <n v="275.5"/>
    <x v="879"/>
    <x v="887"/>
    <x v="0"/>
    <x v="7"/>
    <x v="7"/>
    <s v="Wednesday"/>
  </r>
  <r>
    <s v="TXN-00912"/>
    <d v="2024-06-25T00:00:00"/>
    <d v="1899-12-30T21:00:00"/>
    <s v="Rahul Bansal"/>
    <s v="CUST0145"/>
    <x v="1"/>
    <x v="7"/>
    <x v="0"/>
    <s v="Hot"/>
    <s v="Small"/>
    <n v="1"/>
    <n v="150"/>
    <n v="0"/>
    <n v="150"/>
    <n v="150"/>
    <x v="0"/>
    <x v="3"/>
    <x v="4"/>
    <x v="5"/>
    <x v="0"/>
    <x v="2"/>
    <n v="244"/>
    <n v="11"/>
    <x v="840"/>
    <x v="888"/>
    <x v="2"/>
    <x v="0"/>
    <n v="150"/>
    <x v="0"/>
    <n v="150"/>
    <x v="880"/>
    <x v="888"/>
    <x v="0"/>
    <x v="4"/>
    <x v="4"/>
    <s v="Tuesday"/>
  </r>
  <r>
    <s v="TXN-00913"/>
    <d v="2024-02-05T00:00:00"/>
    <d v="1899-12-30T10:10:00"/>
    <s v="Karan Kaur"/>
    <s v="CUST0184"/>
    <x v="2"/>
    <x v="9"/>
    <x v="2"/>
    <s v="Hot"/>
    <s v="Large"/>
    <n v="1"/>
    <n v="90"/>
    <n v="0.15"/>
    <n v="90"/>
    <n v="76.5"/>
    <x v="2"/>
    <x v="0"/>
    <x v="1"/>
    <x v="0"/>
    <x v="0"/>
    <x v="1"/>
    <n v="37"/>
    <n v="11"/>
    <x v="841"/>
    <x v="889"/>
    <x v="1"/>
    <x v="3"/>
    <n v="90"/>
    <x v="46"/>
    <n v="76.5"/>
    <x v="881"/>
    <x v="889"/>
    <x v="0"/>
    <x v="3"/>
    <x v="3"/>
    <s v="Monday"/>
  </r>
  <r>
    <s v="TXN-00914"/>
    <d v="2024-11-28T00:00:00"/>
    <d v="1899-12-30T13:00:00"/>
    <s v="Priya Verma"/>
    <s v="CUST0263"/>
    <x v="3"/>
    <x v="14"/>
    <x v="3"/>
    <s v="Food"/>
    <s v="Medium"/>
    <n v="1"/>
    <n v="180"/>
    <n v="0.1"/>
    <n v="180"/>
    <n v="162"/>
    <x v="3"/>
    <x v="0"/>
    <x v="2"/>
    <x v="4"/>
    <x v="2"/>
    <x v="2"/>
    <n v="31"/>
    <n v="39"/>
    <x v="842"/>
    <x v="890"/>
    <x v="0"/>
    <x v="0"/>
    <n v="180"/>
    <x v="23"/>
    <n v="162"/>
    <x v="882"/>
    <x v="890"/>
    <x v="0"/>
    <x v="11"/>
    <x v="11"/>
    <s v="Thursday"/>
  </r>
  <r>
    <s v="TXN-00915"/>
    <d v="2024-11-16T00:00:00"/>
    <d v="1899-12-30T18:20:00"/>
    <s v="Sahil Verma"/>
    <s v="CUST0180"/>
    <x v="3"/>
    <x v="7"/>
    <x v="0"/>
    <s v="Hot"/>
    <s v="Large"/>
    <n v="2"/>
    <n v="145"/>
    <n v="0.15"/>
    <n v="290"/>
    <n v="246.5"/>
    <x v="2"/>
    <x v="3"/>
    <x v="1"/>
    <x v="4"/>
    <x v="2"/>
    <x v="1"/>
    <n v="342"/>
    <n v="25"/>
    <x v="338"/>
    <x v="891"/>
    <x v="3"/>
    <x v="0"/>
    <n v="290"/>
    <x v="81"/>
    <n v="246.5"/>
    <x v="883"/>
    <x v="891"/>
    <x v="0"/>
    <x v="11"/>
    <x v="11"/>
    <s v="Saturday"/>
  </r>
  <r>
    <s v="TXN-00916"/>
    <d v="2024-07-20T00:00:00"/>
    <d v="1899-12-30T16:15:00"/>
    <s v="Sneha Kapoor"/>
    <s v="CUST0383"/>
    <x v="1"/>
    <x v="7"/>
    <x v="0"/>
    <s v="Hot"/>
    <s v="Small"/>
    <n v="1"/>
    <n v="140"/>
    <n v="0.05"/>
    <n v="140"/>
    <n v="133"/>
    <x v="0"/>
    <x v="3"/>
    <x v="0"/>
    <x v="7"/>
    <x v="0"/>
    <x v="3"/>
    <n v="364"/>
    <n v="22"/>
    <x v="843"/>
    <x v="892"/>
    <x v="2"/>
    <x v="1"/>
    <n v="140"/>
    <x v="22"/>
    <n v="133"/>
    <x v="884"/>
    <x v="892"/>
    <x v="0"/>
    <x v="7"/>
    <x v="7"/>
    <s v="Saturday"/>
  </r>
  <r>
    <s v="TXN-00917"/>
    <d v="2024-12-20T00:00:00"/>
    <d v="1899-12-30T08:50:00"/>
    <s v="Kavya Malhotra"/>
    <s v="CUST0118"/>
    <x v="2"/>
    <x v="14"/>
    <x v="3"/>
    <s v="Food"/>
    <s v="Small"/>
    <n v="1"/>
    <n v="190"/>
    <n v="0"/>
    <n v="190"/>
    <n v="190"/>
    <x v="1"/>
    <x v="2"/>
    <x v="3"/>
    <x v="5"/>
    <x v="0"/>
    <x v="4"/>
    <n v="377"/>
    <n v="18"/>
    <x v="844"/>
    <x v="893"/>
    <x v="0"/>
    <x v="2"/>
    <n v="190"/>
    <x v="0"/>
    <n v="190"/>
    <x v="885"/>
    <x v="893"/>
    <x v="0"/>
    <x v="9"/>
    <x v="9"/>
    <s v="Friday"/>
  </r>
  <r>
    <s v="TXN-00918"/>
    <d v="2024-11-03T00:00:00"/>
    <d v="1899-12-30T15:20:00"/>
    <s v="Priya Chopra"/>
    <s v="CUST0195"/>
    <x v="2"/>
    <x v="8"/>
    <x v="0"/>
    <s v="Cold"/>
    <s v="Large"/>
    <n v="2"/>
    <n v="160"/>
    <n v="0"/>
    <n v="320"/>
    <n v="320"/>
    <x v="0"/>
    <x v="2"/>
    <x v="2"/>
    <x v="1"/>
    <x v="0"/>
    <x v="4"/>
    <n v="102"/>
    <n v="32"/>
    <x v="845"/>
    <x v="894"/>
    <x v="3"/>
    <x v="4"/>
    <n v="320"/>
    <x v="0"/>
    <n v="320"/>
    <x v="886"/>
    <x v="894"/>
    <x v="0"/>
    <x v="11"/>
    <x v="11"/>
    <s v="Sunday"/>
  </r>
  <r>
    <s v="TXN-00919"/>
    <d v="2024-06-01T00:00:00"/>
    <d v="1899-12-30T10:20:00"/>
    <s v="Neha Singh"/>
    <s v="CUST0297"/>
    <x v="0"/>
    <x v="7"/>
    <x v="0"/>
    <s v="Hot"/>
    <s v="Large"/>
    <n v="1"/>
    <n v="140"/>
    <n v="0"/>
    <n v="140"/>
    <n v="140"/>
    <x v="2"/>
    <x v="0"/>
    <x v="6"/>
    <x v="3"/>
    <x v="0"/>
    <x v="4"/>
    <n v="244"/>
    <n v="10"/>
    <x v="846"/>
    <x v="895"/>
    <x v="3"/>
    <x v="0"/>
    <n v="140"/>
    <x v="0"/>
    <n v="140"/>
    <x v="887"/>
    <x v="895"/>
    <x v="0"/>
    <x v="4"/>
    <x v="4"/>
    <s v="Saturday"/>
  </r>
  <r>
    <s v="TXN-00920"/>
    <d v="2024-02-07T00:00:00"/>
    <d v="1899-12-30T11:45:00"/>
    <s v="Aarav Verma"/>
    <s v="CUST0190"/>
    <x v="2"/>
    <x v="4"/>
    <x v="0"/>
    <s v="Cold"/>
    <s v="Small"/>
    <n v="1"/>
    <n v="155"/>
    <n v="0.1"/>
    <n v="155"/>
    <n v="139.5"/>
    <x v="2"/>
    <x v="1"/>
    <x v="4"/>
    <x v="6"/>
    <x v="0"/>
    <x v="2"/>
    <n v="244"/>
    <n v="50"/>
    <x v="502"/>
    <x v="896"/>
    <x v="2"/>
    <x v="3"/>
    <n v="155"/>
    <x v="14"/>
    <n v="139.5"/>
    <x v="513"/>
    <x v="896"/>
    <x v="0"/>
    <x v="3"/>
    <x v="3"/>
    <s v="Wednesday"/>
  </r>
  <r>
    <s v="TXN-00921"/>
    <d v="2024-05-10T00:00:00"/>
    <d v="1899-12-30T12:45:00"/>
    <s v="Ananya Malhotra"/>
    <s v="CUST0191"/>
    <x v="2"/>
    <x v="15"/>
    <x v="4"/>
    <s v="Food"/>
    <s v="Medium"/>
    <n v="4"/>
    <n v="185"/>
    <n v="0.05"/>
    <n v="740"/>
    <n v="703"/>
    <x v="1"/>
    <x v="1"/>
    <x v="1"/>
    <x v="1"/>
    <x v="1"/>
    <x v="2"/>
    <n v="286"/>
    <n v="36"/>
    <x v="847"/>
    <x v="897"/>
    <x v="1"/>
    <x v="1"/>
    <n v="740"/>
    <x v="101"/>
    <n v="703"/>
    <x v="888"/>
    <x v="897"/>
    <x v="0"/>
    <x v="6"/>
    <x v="6"/>
    <s v="Friday"/>
  </r>
  <r>
    <s v="TXN-00922"/>
    <d v="2024-12-31T00:00:00"/>
    <d v="1899-12-30T08:50:00"/>
    <s v="Arjun Mehta"/>
    <s v="CUST0200"/>
    <x v="3"/>
    <x v="5"/>
    <x v="2"/>
    <s v="Hot"/>
    <s v="Medium"/>
    <n v="3"/>
    <n v="105"/>
    <n v="0.05"/>
    <n v="315"/>
    <n v="299.25"/>
    <x v="0"/>
    <x v="2"/>
    <x v="4"/>
    <x v="5"/>
    <x v="1"/>
    <x v="4"/>
    <n v="385"/>
    <n v="26"/>
    <x v="848"/>
    <x v="898"/>
    <x v="4"/>
    <x v="0"/>
    <n v="315"/>
    <x v="24"/>
    <n v="299.25"/>
    <x v="889"/>
    <x v="898"/>
    <x v="0"/>
    <x v="9"/>
    <x v="9"/>
    <s v="Tuesday"/>
  </r>
  <r>
    <s v="TXN-00923"/>
    <d v="2024-11-17T00:00:00"/>
    <d v="1899-12-30T17:30:00"/>
    <s v="Simran Mehta"/>
    <s v="Unknown"/>
    <x v="2"/>
    <x v="15"/>
    <x v="4"/>
    <s v="Food"/>
    <s v="Small"/>
    <n v="1"/>
    <n v="190"/>
    <n v="0"/>
    <n v="190"/>
    <n v="190"/>
    <x v="0"/>
    <x v="0"/>
    <x v="5"/>
    <x v="0"/>
    <x v="0"/>
    <x v="3"/>
    <n v="479"/>
    <n v="18"/>
    <x v="849"/>
    <x v="899"/>
    <x v="0"/>
    <x v="3"/>
    <n v="190"/>
    <x v="0"/>
    <n v="190"/>
    <x v="469"/>
    <x v="899"/>
    <x v="0"/>
    <x v="11"/>
    <x v="11"/>
    <s v="Sunday"/>
  </r>
  <r>
    <s v="TXN-00924"/>
    <d v="2024-02-23T00:00:00"/>
    <d v="1899-12-30T07:20:00"/>
    <s v="Sneha Malhotra"/>
    <s v="CUST0327"/>
    <x v="2"/>
    <x v="8"/>
    <x v="0"/>
    <s v="Cold"/>
    <s v="Large"/>
    <n v="3"/>
    <n v="160"/>
    <n v="0.1"/>
    <n v="480"/>
    <n v="432"/>
    <x v="2"/>
    <x v="3"/>
    <x v="3"/>
    <x v="7"/>
    <x v="2"/>
    <x v="2"/>
    <n v="244"/>
    <n v="36"/>
    <x v="588"/>
    <x v="900"/>
    <x v="4"/>
    <x v="2"/>
    <n v="480"/>
    <x v="75"/>
    <n v="432"/>
    <x v="890"/>
    <x v="900"/>
    <x v="0"/>
    <x v="3"/>
    <x v="3"/>
    <s v="Friday"/>
  </r>
  <r>
    <s v="TXN-00925"/>
    <d v="2024-12-22T00:00:00"/>
    <d v="1899-12-30T20:00:00"/>
    <s v="Manish Malhotra"/>
    <s v="CUST0292"/>
    <x v="2"/>
    <x v="12"/>
    <x v="1"/>
    <s v="Food"/>
    <s v="Small"/>
    <n v="1"/>
    <n v="95"/>
    <n v="0.15"/>
    <n v="95"/>
    <n v="80.75"/>
    <x v="2"/>
    <x v="0"/>
    <x v="2"/>
    <x v="7"/>
    <x v="0"/>
    <x v="4"/>
    <n v="251"/>
    <n v="50"/>
    <x v="850"/>
    <x v="901"/>
    <x v="4"/>
    <x v="0"/>
    <n v="95"/>
    <x v="36"/>
    <n v="80.75"/>
    <x v="891"/>
    <x v="901"/>
    <x v="0"/>
    <x v="9"/>
    <x v="9"/>
    <s v="Sunday"/>
  </r>
  <r>
    <s v="TXN-00926"/>
    <d v="2024-05-19T00:00:00"/>
    <d v="1899-12-30T08:10:00"/>
    <s v="Riya Verma"/>
    <s v="Unknown"/>
    <x v="3"/>
    <x v="9"/>
    <x v="2"/>
    <s v="Hot"/>
    <s v="Medium"/>
    <n v="1"/>
    <n v="85"/>
    <n v="0.05"/>
    <n v="85"/>
    <n v="80.75"/>
    <x v="1"/>
    <x v="1"/>
    <x v="2"/>
    <x v="5"/>
    <x v="0"/>
    <x v="2"/>
    <n v="471"/>
    <n v="24"/>
    <x v="353"/>
    <x v="902"/>
    <x v="0"/>
    <x v="3"/>
    <n v="85"/>
    <x v="12"/>
    <n v="80.75"/>
    <x v="892"/>
    <x v="902"/>
    <x v="0"/>
    <x v="6"/>
    <x v="6"/>
    <s v="Sunday"/>
  </r>
  <r>
    <s v="TXN-00927"/>
    <d v="2024-08-29T00:00:00"/>
    <d v="1899-12-30T07:15:00"/>
    <s v="Meera Chopra"/>
    <s v="CUST0329"/>
    <x v="1"/>
    <x v="9"/>
    <x v="2"/>
    <s v="Hot"/>
    <s v="Small"/>
    <n v="1"/>
    <n v="90"/>
    <n v="0"/>
    <n v="90"/>
    <n v="90"/>
    <x v="0"/>
    <x v="3"/>
    <x v="4"/>
    <x v="7"/>
    <x v="0"/>
    <x v="0"/>
    <n v="471"/>
    <n v="13"/>
    <x v="851"/>
    <x v="903"/>
    <x v="0"/>
    <x v="4"/>
    <n v="90"/>
    <x v="0"/>
    <n v="90"/>
    <x v="893"/>
    <x v="903"/>
    <x v="0"/>
    <x v="1"/>
    <x v="1"/>
    <s v="Thursday"/>
  </r>
  <r>
    <s v="TXN-00928"/>
    <d v="2024-01-07T00:00:00"/>
    <d v="1899-12-30T10:45:00"/>
    <s v="Manish Malhotra"/>
    <s v="Unknown"/>
    <x v="2"/>
    <x v="7"/>
    <x v="0"/>
    <s v="Hot"/>
    <s v="Large"/>
    <n v="1"/>
    <n v="140"/>
    <n v="0.15"/>
    <n v="140"/>
    <n v="119"/>
    <x v="2"/>
    <x v="0"/>
    <x v="3"/>
    <x v="4"/>
    <x v="0"/>
    <x v="0"/>
    <n v="87"/>
    <n v="40"/>
    <x v="690"/>
    <x v="904"/>
    <x v="2"/>
    <x v="0"/>
    <n v="140"/>
    <x v="66"/>
    <n v="119"/>
    <x v="894"/>
    <x v="904"/>
    <x v="0"/>
    <x v="2"/>
    <x v="2"/>
    <s v="Sunday"/>
  </r>
  <r>
    <s v="TXN-00929"/>
    <d v="2024-06-25T00:00:00"/>
    <d v="1899-12-30T17:45:00"/>
    <s v="Meera Mehta"/>
    <s v="CUST0175"/>
    <x v="0"/>
    <x v="3"/>
    <x v="0"/>
    <s v="Hot"/>
    <s v="Large"/>
    <n v="3"/>
    <n v="115"/>
    <n v="0"/>
    <n v="345"/>
    <n v="345"/>
    <x v="0"/>
    <x v="0"/>
    <x v="1"/>
    <x v="1"/>
    <x v="0"/>
    <x v="4"/>
    <n v="316"/>
    <n v="34"/>
    <x v="852"/>
    <x v="905"/>
    <x v="4"/>
    <x v="3"/>
    <n v="345"/>
    <x v="0"/>
    <n v="345"/>
    <x v="895"/>
    <x v="905"/>
    <x v="0"/>
    <x v="4"/>
    <x v="4"/>
    <s v="Tuesday"/>
  </r>
  <r>
    <s v="TXN-00930"/>
    <d v="2024-04-03T00:00:00"/>
    <d v="1899-12-30T09:15:00"/>
    <s v="Neha Chopra"/>
    <s v="CUST0173"/>
    <x v="2"/>
    <x v="8"/>
    <x v="0"/>
    <s v="Cold"/>
    <s v="Medium"/>
    <n v="1"/>
    <n v="160"/>
    <n v="0"/>
    <n v="160"/>
    <n v="160"/>
    <x v="2"/>
    <x v="0"/>
    <x v="4"/>
    <x v="3"/>
    <x v="0"/>
    <x v="3"/>
    <n v="194"/>
    <n v="34"/>
    <x v="358"/>
    <x v="906"/>
    <x v="2"/>
    <x v="2"/>
    <n v="160"/>
    <x v="0"/>
    <n v="160"/>
    <x v="365"/>
    <x v="906"/>
    <x v="0"/>
    <x v="8"/>
    <x v="8"/>
    <s v="Wednesday"/>
  </r>
  <r>
    <s v="TXN-00931"/>
    <d v="2024-10-02T00:00:00"/>
    <d v="1899-12-30T15:30:00"/>
    <s v="Kavya Mehta"/>
    <s v="CUST0235"/>
    <x v="2"/>
    <x v="4"/>
    <x v="0"/>
    <s v="Cold"/>
    <s v="Large"/>
    <n v="2"/>
    <n v="155"/>
    <n v="0"/>
    <n v="310"/>
    <n v="310"/>
    <x v="2"/>
    <x v="0"/>
    <x v="5"/>
    <x v="2"/>
    <x v="2"/>
    <x v="4"/>
    <n v="407"/>
    <n v="21"/>
    <x v="853"/>
    <x v="907"/>
    <x v="0"/>
    <x v="1"/>
    <n v="310"/>
    <x v="0"/>
    <n v="310"/>
    <x v="896"/>
    <x v="907"/>
    <x v="0"/>
    <x v="10"/>
    <x v="10"/>
    <s v="Wednesday"/>
  </r>
  <r>
    <s v="TXN-00932"/>
    <d v="2024-05-31T00:00:00"/>
    <d v="1899-12-30T20:00:00"/>
    <s v="Aarav Gupta"/>
    <s v="CUST0242"/>
    <x v="1"/>
    <x v="10"/>
    <x v="1"/>
    <s v="Food"/>
    <s v="Medium"/>
    <n v="3"/>
    <n v="95"/>
    <n v="0"/>
    <n v="285"/>
    <n v="285"/>
    <x v="0"/>
    <x v="0"/>
    <x v="6"/>
    <x v="3"/>
    <x v="2"/>
    <x v="1"/>
    <n v="161"/>
    <n v="18"/>
    <x v="18"/>
    <x v="908"/>
    <x v="2"/>
    <x v="0"/>
    <n v="285"/>
    <x v="0"/>
    <n v="285"/>
    <x v="897"/>
    <x v="908"/>
    <x v="0"/>
    <x v="6"/>
    <x v="6"/>
    <s v="Friday"/>
  </r>
  <r>
    <s v="TXN-00933"/>
    <d v="2024-01-14T00:00:00"/>
    <d v="1899-12-30T12:45:00"/>
    <s v="Rahul Mehta"/>
    <s v="CUST0239"/>
    <x v="2"/>
    <x v="7"/>
    <x v="0"/>
    <s v="Hot"/>
    <s v="Medium"/>
    <n v="1"/>
    <n v="145"/>
    <n v="0"/>
    <n v="145"/>
    <n v="145"/>
    <x v="0"/>
    <x v="3"/>
    <x v="6"/>
    <x v="4"/>
    <x v="0"/>
    <x v="2"/>
    <n v="244"/>
    <n v="35"/>
    <x v="854"/>
    <x v="909"/>
    <x v="4"/>
    <x v="2"/>
    <n v="145"/>
    <x v="0"/>
    <n v="145"/>
    <x v="898"/>
    <x v="909"/>
    <x v="0"/>
    <x v="2"/>
    <x v="2"/>
    <s v="Sunday"/>
  </r>
  <r>
    <s v="TXN-00934"/>
    <d v="2024-06-17T00:00:00"/>
    <d v="1899-12-30T12:20:00"/>
    <s v="Sneha Malhotra"/>
    <s v="CUST0299"/>
    <x v="3"/>
    <x v="13"/>
    <x v="2"/>
    <s v="Cold"/>
    <s v="Large"/>
    <n v="5"/>
    <n v="110"/>
    <n v="0"/>
    <n v="550"/>
    <n v="550"/>
    <x v="0"/>
    <x v="0"/>
    <x v="6"/>
    <x v="6"/>
    <x v="0"/>
    <x v="1"/>
    <n v="24"/>
    <n v="52"/>
    <x v="855"/>
    <x v="910"/>
    <x v="3"/>
    <x v="2"/>
    <n v="550"/>
    <x v="0"/>
    <n v="550"/>
    <x v="899"/>
    <x v="910"/>
    <x v="0"/>
    <x v="4"/>
    <x v="4"/>
    <s v="Monday"/>
  </r>
  <r>
    <s v="TXN-00935"/>
    <d v="2024-11-14T00:00:00"/>
    <d v="1899-12-30T09:15:00"/>
    <s v="Karan Malhotra"/>
    <s v="Unknown"/>
    <x v="2"/>
    <x v="4"/>
    <x v="0"/>
    <s v="Cold"/>
    <s v="Small"/>
    <n v="1"/>
    <n v="150"/>
    <n v="0.1"/>
    <n v="150"/>
    <n v="135"/>
    <x v="1"/>
    <x v="3"/>
    <x v="2"/>
    <x v="7"/>
    <x v="0"/>
    <x v="3"/>
    <n v="316"/>
    <n v="35"/>
    <x v="856"/>
    <x v="911"/>
    <x v="3"/>
    <x v="4"/>
    <n v="150"/>
    <x v="51"/>
    <n v="135"/>
    <x v="900"/>
    <x v="911"/>
    <x v="0"/>
    <x v="11"/>
    <x v="11"/>
    <s v="Thursday"/>
  </r>
  <r>
    <s v="TXN-00936"/>
    <d v="2024-07-13T00:00:00"/>
    <d v="1899-12-30T09:45:00"/>
    <s v="Meera Mehta"/>
    <s v="Unknown"/>
    <x v="1"/>
    <x v="15"/>
    <x v="4"/>
    <s v="Food"/>
    <s v="Medium"/>
    <n v="2"/>
    <n v="190"/>
    <n v="0"/>
    <n v="380"/>
    <n v="380"/>
    <x v="0"/>
    <x v="2"/>
    <x v="0"/>
    <x v="5"/>
    <x v="1"/>
    <x v="0"/>
    <n v="285"/>
    <n v="52"/>
    <x v="857"/>
    <x v="912"/>
    <x v="0"/>
    <x v="1"/>
    <n v="380"/>
    <x v="0"/>
    <n v="380"/>
    <x v="901"/>
    <x v="912"/>
    <x v="0"/>
    <x v="7"/>
    <x v="7"/>
    <s v="Saturday"/>
  </r>
  <r>
    <s v="TXN-00937"/>
    <d v="2024-12-08T00:00:00"/>
    <d v="1899-12-30T19:10:00"/>
    <s v="Sneha Verma"/>
    <s v="CUST0385"/>
    <x v="2"/>
    <x v="13"/>
    <x v="2"/>
    <s v="Cold"/>
    <s v="Small"/>
    <n v="3"/>
    <n v="115"/>
    <n v="0.1"/>
    <n v="345"/>
    <n v="310.5"/>
    <x v="1"/>
    <x v="0"/>
    <x v="3"/>
    <x v="3"/>
    <x v="0"/>
    <x v="4"/>
    <n v="90"/>
    <n v="19"/>
    <x v="839"/>
    <x v="913"/>
    <x v="3"/>
    <x v="2"/>
    <n v="345"/>
    <x v="74"/>
    <n v="310.5"/>
    <x v="902"/>
    <x v="913"/>
    <x v="0"/>
    <x v="9"/>
    <x v="9"/>
    <s v="Sunday"/>
  </r>
  <r>
    <s v="TXN-00938"/>
    <d v="2024-03-14T00:00:00"/>
    <d v="1899-12-30T20:50:00"/>
    <s v="Pooja Sharma"/>
    <s v="CUST0322"/>
    <x v="2"/>
    <x v="14"/>
    <x v="3"/>
    <s v="Food"/>
    <s v="Medium"/>
    <n v="1"/>
    <n v="180"/>
    <n v="0"/>
    <n v="180"/>
    <n v="180"/>
    <x v="1"/>
    <x v="3"/>
    <x v="4"/>
    <x v="5"/>
    <x v="0"/>
    <x v="3"/>
    <n v="293"/>
    <n v="53"/>
    <x v="858"/>
    <x v="914"/>
    <x v="0"/>
    <x v="2"/>
    <n v="180"/>
    <x v="0"/>
    <n v="180"/>
    <x v="903"/>
    <x v="914"/>
    <x v="0"/>
    <x v="5"/>
    <x v="5"/>
    <s v="Thursday"/>
  </r>
  <r>
    <s v="TXN-00939"/>
    <d v="2024-06-19T00:00:00"/>
    <d v="1899-12-30T15:45:00"/>
    <s v="Kavya Mehta"/>
    <s v="CUST0383"/>
    <x v="0"/>
    <x v="9"/>
    <x v="2"/>
    <s v="Hot"/>
    <s v="Medium"/>
    <n v="2"/>
    <n v="85"/>
    <n v="0.1"/>
    <n v="170"/>
    <n v="153"/>
    <x v="0"/>
    <x v="3"/>
    <x v="3"/>
    <x v="7"/>
    <x v="0"/>
    <x v="3"/>
    <n v="294"/>
    <n v="19"/>
    <x v="859"/>
    <x v="915"/>
    <x v="3"/>
    <x v="3"/>
    <n v="170"/>
    <x v="18"/>
    <n v="153"/>
    <x v="357"/>
    <x v="915"/>
    <x v="0"/>
    <x v="4"/>
    <x v="4"/>
    <s v="Wednesday"/>
  </r>
  <r>
    <s v="TXN-00940"/>
    <d v="2024-04-18T00:00:00"/>
    <d v="1899-12-30T20:20:00"/>
    <s v="Rohan Kapoor"/>
    <s v="CUST0186"/>
    <x v="3"/>
    <x v="7"/>
    <x v="0"/>
    <s v="Hot"/>
    <s v="Medium"/>
    <n v="2"/>
    <n v="140"/>
    <n v="0.1"/>
    <n v="280"/>
    <n v="252"/>
    <x v="0"/>
    <x v="2"/>
    <x v="3"/>
    <x v="4"/>
    <x v="0"/>
    <x v="3"/>
    <n v="458"/>
    <n v="20"/>
    <x v="424"/>
    <x v="916"/>
    <x v="2"/>
    <x v="4"/>
    <n v="280"/>
    <x v="100"/>
    <n v="252"/>
    <x v="432"/>
    <x v="916"/>
    <x v="0"/>
    <x v="8"/>
    <x v="8"/>
    <s v="Thursday"/>
  </r>
  <r>
    <s v="TXN-00941"/>
    <d v="2024-10-23T00:00:00"/>
    <d v="1899-12-30T15:45:00"/>
    <s v="Simran Sharma"/>
    <s v="CUST0343"/>
    <x v="3"/>
    <x v="11"/>
    <x v="0"/>
    <s v="Hot"/>
    <s v="Medium"/>
    <n v="1"/>
    <n v="95"/>
    <n v="0.15"/>
    <n v="95"/>
    <n v="80.75"/>
    <x v="0"/>
    <x v="3"/>
    <x v="6"/>
    <x v="7"/>
    <x v="0"/>
    <x v="4"/>
    <n v="453"/>
    <n v="29"/>
    <x v="860"/>
    <x v="917"/>
    <x v="1"/>
    <x v="0"/>
    <n v="95"/>
    <x v="36"/>
    <n v="80.75"/>
    <x v="904"/>
    <x v="917"/>
    <x v="0"/>
    <x v="10"/>
    <x v="10"/>
    <s v="Wednesday"/>
  </r>
  <r>
    <s v="TXN-00942"/>
    <d v="2024-11-19T00:00:00"/>
    <d v="1899-12-30T13:15:00"/>
    <s v="Aditya Chopra"/>
    <s v="CUST0201"/>
    <x v="2"/>
    <x v="8"/>
    <x v="0"/>
    <s v="Cold"/>
    <s v="Large"/>
    <n v="1"/>
    <n v="165"/>
    <n v="0.15"/>
    <n v="165"/>
    <n v="140.25"/>
    <x v="0"/>
    <x v="0"/>
    <x v="3"/>
    <x v="0"/>
    <x v="2"/>
    <x v="0"/>
    <n v="368"/>
    <n v="46"/>
    <x v="861"/>
    <x v="918"/>
    <x v="2"/>
    <x v="1"/>
    <n v="165"/>
    <x v="102"/>
    <n v="140.25"/>
    <x v="905"/>
    <x v="918"/>
    <x v="0"/>
    <x v="11"/>
    <x v="11"/>
    <s v="Tuesday"/>
  </r>
  <r>
    <s v="TXN-00943"/>
    <d v="2024-03-18T00:00:00"/>
    <d v="1899-12-30T07:30:00"/>
    <s v="Rohan Gupta"/>
    <s v="CUST0196"/>
    <x v="2"/>
    <x v="1"/>
    <x v="1"/>
    <s v="Food"/>
    <s v="Large"/>
    <n v="2"/>
    <n v="120"/>
    <n v="0.1"/>
    <n v="240"/>
    <n v="216"/>
    <x v="0"/>
    <x v="1"/>
    <x v="5"/>
    <x v="0"/>
    <x v="0"/>
    <x v="2"/>
    <n v="292"/>
    <n v="17"/>
    <x v="862"/>
    <x v="148"/>
    <x v="3"/>
    <x v="0"/>
    <n v="240"/>
    <x v="27"/>
    <n v="216"/>
    <x v="906"/>
    <x v="148"/>
    <x v="0"/>
    <x v="5"/>
    <x v="5"/>
    <s v="Monday"/>
  </r>
  <r>
    <s v="TXN-00944"/>
    <d v="2024-12-24T00:00:00"/>
    <d v="1899-12-30T16:45:00"/>
    <s v="Rohan Kaur"/>
    <s v="CUST0286"/>
    <x v="1"/>
    <x v="4"/>
    <x v="0"/>
    <s v="Cold"/>
    <s v="Medium"/>
    <n v="2"/>
    <n v="150"/>
    <n v="0.05"/>
    <n v="300"/>
    <n v="285"/>
    <x v="1"/>
    <x v="0"/>
    <x v="0"/>
    <x v="0"/>
    <x v="0"/>
    <x v="4"/>
    <n v="437"/>
    <n v="34"/>
    <x v="863"/>
    <x v="919"/>
    <x v="0"/>
    <x v="3"/>
    <n v="300"/>
    <x v="51"/>
    <n v="285"/>
    <x v="907"/>
    <x v="919"/>
    <x v="0"/>
    <x v="9"/>
    <x v="9"/>
    <s v="Tuesday"/>
  </r>
  <r>
    <s v="TXN-00945"/>
    <d v="2024-05-18T00:00:00"/>
    <d v="1899-12-30T17:15:00"/>
    <s v="Priya Malhotra"/>
    <s v="CUST0110"/>
    <x v="3"/>
    <x v="11"/>
    <x v="0"/>
    <s v="Hot"/>
    <s v="Medium"/>
    <n v="2"/>
    <n v="95"/>
    <n v="0"/>
    <n v="190"/>
    <n v="190"/>
    <x v="0"/>
    <x v="3"/>
    <x v="5"/>
    <x v="4"/>
    <x v="1"/>
    <x v="4"/>
    <n v="287"/>
    <n v="26"/>
    <x v="864"/>
    <x v="920"/>
    <x v="4"/>
    <x v="3"/>
    <n v="190"/>
    <x v="0"/>
    <n v="190"/>
    <x v="908"/>
    <x v="920"/>
    <x v="0"/>
    <x v="6"/>
    <x v="6"/>
    <s v="Saturday"/>
  </r>
  <r>
    <s v="TXN-00946"/>
    <d v="2024-08-23T00:00:00"/>
    <d v="1899-12-30T11:00:00"/>
    <s v="Simran Sharma"/>
    <s v="CUST0165"/>
    <x v="2"/>
    <x v="10"/>
    <x v="1"/>
    <s v="Food"/>
    <s v="Medium"/>
    <n v="1"/>
    <n v="95"/>
    <n v="0.1"/>
    <n v="95"/>
    <n v="85.5"/>
    <x v="0"/>
    <x v="3"/>
    <x v="2"/>
    <x v="4"/>
    <x v="1"/>
    <x v="4"/>
    <n v="392"/>
    <n v="21"/>
    <x v="865"/>
    <x v="921"/>
    <x v="2"/>
    <x v="1"/>
    <n v="95"/>
    <x v="10"/>
    <n v="85.5"/>
    <x v="909"/>
    <x v="921"/>
    <x v="0"/>
    <x v="1"/>
    <x v="1"/>
    <s v="Friday"/>
  </r>
  <r>
    <s v="TXN-00947"/>
    <d v="2024-02-23T00:00:00"/>
    <d v="1899-12-30T12:10:00"/>
    <s v="Manish Kapoor"/>
    <s v="CUST0367"/>
    <x v="3"/>
    <x v="13"/>
    <x v="2"/>
    <s v="Cold"/>
    <s v="Small"/>
    <n v="1"/>
    <n v="115"/>
    <n v="0"/>
    <n v="115"/>
    <n v="115"/>
    <x v="0"/>
    <x v="1"/>
    <x v="5"/>
    <x v="3"/>
    <x v="0"/>
    <x v="4"/>
    <n v="102"/>
    <n v="59"/>
    <x v="554"/>
    <x v="922"/>
    <x v="1"/>
    <x v="0"/>
    <n v="115"/>
    <x v="0"/>
    <n v="115"/>
    <x v="565"/>
    <x v="922"/>
    <x v="0"/>
    <x v="3"/>
    <x v="3"/>
    <s v="Friday"/>
  </r>
  <r>
    <s v="TXN-00948"/>
    <d v="2024-10-04T00:00:00"/>
    <d v="1899-12-30T21:15:00"/>
    <s v="Pooja Sharma"/>
    <s v="CUST0115"/>
    <x v="0"/>
    <x v="8"/>
    <x v="0"/>
    <s v="Cold"/>
    <s v="Large"/>
    <n v="1"/>
    <n v="160"/>
    <n v="0"/>
    <n v="160"/>
    <n v="160"/>
    <x v="2"/>
    <x v="3"/>
    <x v="4"/>
    <x v="4"/>
    <x v="0"/>
    <x v="4"/>
    <n v="27"/>
    <n v="60"/>
    <x v="255"/>
    <x v="923"/>
    <x v="4"/>
    <x v="4"/>
    <n v="160"/>
    <x v="0"/>
    <n v="160"/>
    <x v="258"/>
    <x v="923"/>
    <x v="0"/>
    <x v="10"/>
    <x v="10"/>
    <s v="Friday"/>
  </r>
  <r>
    <s v="TXN-00949"/>
    <d v="2024-04-17T00:00:00"/>
    <d v="1899-12-30T17:00:00"/>
    <s v="Ananya Bansal"/>
    <s v="CUST0115"/>
    <x v="1"/>
    <x v="3"/>
    <x v="0"/>
    <s v="Hot"/>
    <s v="Large"/>
    <n v="1"/>
    <n v="120"/>
    <n v="0"/>
    <n v="120"/>
    <n v="120"/>
    <x v="1"/>
    <x v="3"/>
    <x v="2"/>
    <x v="0"/>
    <x v="2"/>
    <x v="0"/>
    <n v="12"/>
    <n v="35"/>
    <x v="866"/>
    <x v="924"/>
    <x v="3"/>
    <x v="3"/>
    <n v="120"/>
    <x v="0"/>
    <n v="120"/>
    <x v="910"/>
    <x v="924"/>
    <x v="0"/>
    <x v="8"/>
    <x v="8"/>
    <s v="Wednesday"/>
  </r>
  <r>
    <s v="TXN-00950"/>
    <d v="2024-01-23T00:00:00"/>
    <d v="1899-12-30T12:10:00"/>
    <s v="Simran Singh"/>
    <s v="CUST0364"/>
    <x v="2"/>
    <x v="10"/>
    <x v="1"/>
    <s v="Food"/>
    <s v="Medium"/>
    <n v="3"/>
    <n v="100"/>
    <n v="0.1"/>
    <n v="300"/>
    <n v="270"/>
    <x v="2"/>
    <x v="1"/>
    <x v="5"/>
    <x v="1"/>
    <x v="0"/>
    <x v="0"/>
    <n v="325"/>
    <n v="57"/>
    <x v="867"/>
    <x v="925"/>
    <x v="1"/>
    <x v="3"/>
    <n v="300"/>
    <x v="89"/>
    <n v="270"/>
    <x v="911"/>
    <x v="925"/>
    <x v="0"/>
    <x v="2"/>
    <x v="2"/>
    <s v="Tuesday"/>
  </r>
  <r>
    <s v="TXN-00951"/>
    <d v="2024-09-10T00:00:00"/>
    <d v="1899-12-30T18:10:00"/>
    <s v="Karan Verma"/>
    <s v="CUST0187"/>
    <x v="2"/>
    <x v="2"/>
    <x v="1"/>
    <s v="Food"/>
    <s v="Medium"/>
    <n v="2"/>
    <n v="70"/>
    <n v="0.05"/>
    <n v="140"/>
    <n v="133"/>
    <x v="1"/>
    <x v="0"/>
    <x v="1"/>
    <x v="6"/>
    <x v="0"/>
    <x v="3"/>
    <n v="125"/>
    <n v="31"/>
    <x v="868"/>
    <x v="926"/>
    <x v="4"/>
    <x v="1"/>
    <n v="140"/>
    <x v="22"/>
    <n v="133"/>
    <x v="912"/>
    <x v="926"/>
    <x v="0"/>
    <x v="0"/>
    <x v="0"/>
    <s v="Tuesday"/>
  </r>
  <r>
    <s v="TXN-00952"/>
    <d v="2024-03-20T00:00:00"/>
    <d v="1899-12-30T10:00:00"/>
    <s v="Unknown"/>
    <s v="CUST0193"/>
    <x v="0"/>
    <x v="3"/>
    <x v="0"/>
    <s v="Hot"/>
    <s v="Large"/>
    <n v="3"/>
    <n v="130"/>
    <n v="0.1"/>
    <n v="390"/>
    <n v="351"/>
    <x v="0"/>
    <x v="2"/>
    <x v="2"/>
    <x v="0"/>
    <x v="2"/>
    <x v="4"/>
    <n v="409"/>
    <n v="58"/>
    <x v="869"/>
    <x v="927"/>
    <x v="1"/>
    <x v="0"/>
    <n v="390"/>
    <x v="21"/>
    <n v="351"/>
    <x v="913"/>
    <x v="927"/>
    <x v="0"/>
    <x v="5"/>
    <x v="5"/>
    <s v="Wednesday"/>
  </r>
  <r>
    <s v="TXN-00953"/>
    <d v="2024-09-02T00:00:00"/>
    <d v="1899-12-30T16:00:00"/>
    <s v="Kavya Mehta"/>
    <s v="CUST0197"/>
    <x v="1"/>
    <x v="1"/>
    <x v="1"/>
    <s v="Food"/>
    <s v="Medium"/>
    <n v="1"/>
    <n v="115"/>
    <n v="0.05"/>
    <n v="115"/>
    <n v="109.25"/>
    <x v="1"/>
    <x v="2"/>
    <x v="2"/>
    <x v="1"/>
    <x v="0"/>
    <x v="2"/>
    <n v="169"/>
    <n v="10"/>
    <x v="870"/>
    <x v="928"/>
    <x v="2"/>
    <x v="3"/>
    <n v="115"/>
    <x v="1"/>
    <n v="109.25"/>
    <x v="914"/>
    <x v="928"/>
    <x v="0"/>
    <x v="0"/>
    <x v="0"/>
    <s v="Monday"/>
  </r>
  <r>
    <s v="TXN-00954"/>
    <d v="2024-11-09T00:00:00"/>
    <d v="1899-12-30T12:45:00"/>
    <s v="Arjun Verma"/>
    <s v="CUST0160"/>
    <x v="2"/>
    <x v="5"/>
    <x v="2"/>
    <s v="Hot"/>
    <s v="Large"/>
    <n v="1"/>
    <n v="90"/>
    <n v="0"/>
    <n v="90"/>
    <n v="90"/>
    <x v="2"/>
    <x v="3"/>
    <x v="0"/>
    <x v="0"/>
    <x v="1"/>
    <x v="4"/>
    <n v="218"/>
    <n v="35"/>
    <x v="871"/>
    <x v="929"/>
    <x v="2"/>
    <x v="1"/>
    <n v="90"/>
    <x v="0"/>
    <n v="90"/>
    <x v="915"/>
    <x v="929"/>
    <x v="0"/>
    <x v="11"/>
    <x v="11"/>
    <s v="Saturday"/>
  </r>
  <r>
    <s v="TXN-00955"/>
    <d v="2024-11-02T00:00:00"/>
    <d v="1899-12-30T11:50:00"/>
    <s v="Isha Kapoor"/>
    <s v="CUST0278"/>
    <x v="3"/>
    <x v="0"/>
    <x v="0"/>
    <s v="Hot"/>
    <s v="Large"/>
    <n v="1"/>
    <n v="130"/>
    <n v="0"/>
    <n v="130"/>
    <n v="130"/>
    <x v="1"/>
    <x v="0"/>
    <x v="0"/>
    <x v="0"/>
    <x v="1"/>
    <x v="1"/>
    <n v="6"/>
    <n v="44"/>
    <x v="872"/>
    <x v="930"/>
    <x v="3"/>
    <x v="2"/>
    <n v="130"/>
    <x v="0"/>
    <n v="130"/>
    <x v="916"/>
    <x v="930"/>
    <x v="0"/>
    <x v="11"/>
    <x v="11"/>
    <s v="Saturday"/>
  </r>
  <r>
    <s v="TXN-00956"/>
    <d v="2024-12-11T00:00:00"/>
    <d v="1899-12-30T08:50:00"/>
    <s v="Kavya Kapoor"/>
    <s v="CUST0251"/>
    <x v="2"/>
    <x v="0"/>
    <x v="0"/>
    <s v="Hot"/>
    <s v="Small"/>
    <n v="3"/>
    <n v="140"/>
    <n v="0"/>
    <n v="420"/>
    <n v="420"/>
    <x v="0"/>
    <x v="1"/>
    <x v="3"/>
    <x v="6"/>
    <x v="2"/>
    <x v="4"/>
    <n v="464"/>
    <n v="36"/>
    <x v="873"/>
    <x v="931"/>
    <x v="3"/>
    <x v="4"/>
    <n v="420"/>
    <x v="0"/>
    <n v="420"/>
    <x v="917"/>
    <x v="931"/>
    <x v="0"/>
    <x v="9"/>
    <x v="9"/>
    <s v="Wednesday"/>
  </r>
  <r>
    <s v="TXN-00957"/>
    <d v="2024-02-15T00:00:00"/>
    <d v="1899-12-30T14:20:00"/>
    <s v="Pooja Sharma"/>
    <s v="CUST0336"/>
    <x v="3"/>
    <x v="13"/>
    <x v="2"/>
    <s v="Cold"/>
    <s v="Small"/>
    <n v="2"/>
    <n v="120"/>
    <n v="0"/>
    <n v="240"/>
    <n v="240"/>
    <x v="1"/>
    <x v="0"/>
    <x v="2"/>
    <x v="3"/>
    <x v="2"/>
    <x v="0"/>
    <n v="361"/>
    <n v="27"/>
    <x v="874"/>
    <x v="932"/>
    <x v="3"/>
    <x v="2"/>
    <n v="240"/>
    <x v="0"/>
    <n v="240"/>
    <x v="918"/>
    <x v="932"/>
    <x v="0"/>
    <x v="3"/>
    <x v="3"/>
    <s v="Thursday"/>
  </r>
  <r>
    <s v="TXN-00958"/>
    <d v="2024-12-30T00:00:00"/>
    <d v="1899-12-30T10:45:00"/>
    <s v="Kavya Gupta"/>
    <s v="CUST0225"/>
    <x v="2"/>
    <x v="15"/>
    <x v="4"/>
    <s v="Food"/>
    <s v="Unknown"/>
    <n v="2"/>
    <n v="190"/>
    <n v="0.1"/>
    <n v="380"/>
    <n v="342"/>
    <x v="1"/>
    <x v="0"/>
    <x v="0"/>
    <x v="5"/>
    <x v="0"/>
    <x v="3"/>
    <n v="191"/>
    <n v="36"/>
    <x v="875"/>
    <x v="933"/>
    <x v="1"/>
    <x v="0"/>
    <n v="380"/>
    <x v="54"/>
    <n v="342"/>
    <x v="919"/>
    <x v="933"/>
    <x v="0"/>
    <x v="9"/>
    <x v="9"/>
    <s v="Monday"/>
  </r>
  <r>
    <s v="TXN-00959"/>
    <d v="2024-12-21T00:00:00"/>
    <d v="1899-12-30T19:50:00"/>
    <s v="Manish Gupta"/>
    <s v="CUST0316"/>
    <x v="3"/>
    <x v="0"/>
    <x v="0"/>
    <s v="Hot"/>
    <s v="Unknown"/>
    <n v="1"/>
    <n v="130"/>
    <n v="0.1"/>
    <n v="130"/>
    <n v="117"/>
    <x v="0"/>
    <x v="3"/>
    <x v="0"/>
    <x v="3"/>
    <x v="1"/>
    <x v="0"/>
    <n v="443"/>
    <n v="16"/>
    <x v="876"/>
    <x v="934"/>
    <x v="0"/>
    <x v="2"/>
    <n v="130"/>
    <x v="17"/>
    <n v="117"/>
    <x v="920"/>
    <x v="934"/>
    <x v="0"/>
    <x v="9"/>
    <x v="9"/>
    <s v="Saturday"/>
  </r>
  <r>
    <s v="TXN-00960"/>
    <d v="2024-09-29T00:00:00"/>
    <d v="1899-12-30T13:20:00"/>
    <s v="Aditya Malhotra"/>
    <s v="CUST0100"/>
    <x v="3"/>
    <x v="11"/>
    <x v="0"/>
    <s v="Hot"/>
    <s v="Large"/>
    <n v="1"/>
    <n v="100"/>
    <n v="0"/>
    <n v="100"/>
    <n v="100"/>
    <x v="1"/>
    <x v="3"/>
    <x v="0"/>
    <x v="7"/>
    <x v="0"/>
    <x v="1"/>
    <n v="106"/>
    <n v="35"/>
    <x v="877"/>
    <x v="935"/>
    <x v="3"/>
    <x v="0"/>
    <n v="100"/>
    <x v="0"/>
    <n v="100"/>
    <x v="921"/>
    <x v="935"/>
    <x v="0"/>
    <x v="0"/>
    <x v="0"/>
    <s v="Sunday"/>
  </r>
  <r>
    <s v="TXN-00961"/>
    <d v="2024-10-10T00:00:00"/>
    <d v="1899-12-30T10:00:00"/>
    <s v="Aditya Gupta"/>
    <s v="CUST0353"/>
    <x v="0"/>
    <x v="8"/>
    <x v="0"/>
    <s v="Cold"/>
    <s v="Small"/>
    <n v="4"/>
    <n v="170"/>
    <n v="0.1"/>
    <n v="680"/>
    <n v="612"/>
    <x v="0"/>
    <x v="1"/>
    <x v="6"/>
    <x v="3"/>
    <x v="0"/>
    <x v="4"/>
    <n v="368"/>
    <n v="36"/>
    <x v="878"/>
    <x v="936"/>
    <x v="1"/>
    <x v="0"/>
    <n v="680"/>
    <x v="103"/>
    <n v="612"/>
    <x v="922"/>
    <x v="936"/>
    <x v="0"/>
    <x v="10"/>
    <x v="10"/>
    <s v="Thursday"/>
  </r>
  <r>
    <s v="TXN-00962"/>
    <d v="2024-07-13T00:00:00"/>
    <d v="1899-12-30T15:15:00"/>
    <s v="Simran Bansal"/>
    <s v="CUST0396"/>
    <x v="0"/>
    <x v="10"/>
    <x v="1"/>
    <s v="Food"/>
    <s v="Small"/>
    <n v="1"/>
    <n v="95"/>
    <n v="0"/>
    <n v="95"/>
    <n v="95"/>
    <x v="0"/>
    <x v="3"/>
    <x v="5"/>
    <x v="2"/>
    <x v="0"/>
    <x v="1"/>
    <n v="372"/>
    <n v="35"/>
    <x v="879"/>
    <x v="937"/>
    <x v="3"/>
    <x v="0"/>
    <n v="95"/>
    <x v="0"/>
    <n v="95"/>
    <x v="923"/>
    <x v="937"/>
    <x v="0"/>
    <x v="7"/>
    <x v="7"/>
    <s v="Saturday"/>
  </r>
  <r>
    <s v="TXN-00963"/>
    <d v="2024-12-10T00:00:00"/>
    <d v="1899-12-30T08:15:00"/>
    <s v="Vivaan Kapoor"/>
    <s v="CUST0332"/>
    <x v="3"/>
    <x v="11"/>
    <x v="0"/>
    <s v="Hot"/>
    <s v="Large"/>
    <n v="1"/>
    <n v="90"/>
    <n v="0"/>
    <n v="90"/>
    <n v="90"/>
    <x v="2"/>
    <x v="0"/>
    <x v="2"/>
    <x v="7"/>
    <x v="1"/>
    <x v="4"/>
    <n v="86"/>
    <n v="32"/>
    <x v="880"/>
    <x v="938"/>
    <x v="3"/>
    <x v="3"/>
    <n v="90"/>
    <x v="0"/>
    <n v="90"/>
    <x v="924"/>
    <x v="938"/>
    <x v="0"/>
    <x v="9"/>
    <x v="9"/>
    <s v="Tuesday"/>
  </r>
  <r>
    <s v="TXN-00964"/>
    <d v="2024-05-13T00:00:00"/>
    <d v="1899-12-30T16:50:00"/>
    <s v="Ananya Malhotra"/>
    <s v="CUST0246"/>
    <x v="3"/>
    <x v="14"/>
    <x v="3"/>
    <s v="Food"/>
    <s v="Unknown"/>
    <n v="1"/>
    <n v="190"/>
    <n v="0"/>
    <n v="190"/>
    <n v="190"/>
    <x v="1"/>
    <x v="0"/>
    <x v="5"/>
    <x v="7"/>
    <x v="0"/>
    <x v="3"/>
    <n v="392"/>
    <n v="34"/>
    <x v="881"/>
    <x v="939"/>
    <x v="3"/>
    <x v="0"/>
    <n v="190"/>
    <x v="0"/>
    <n v="190"/>
    <x v="925"/>
    <x v="939"/>
    <x v="0"/>
    <x v="6"/>
    <x v="6"/>
    <s v="Monday"/>
  </r>
  <r>
    <s v="TXN-00965"/>
    <d v="2024-08-05T00:00:00"/>
    <d v="1899-12-30T11:00:00"/>
    <s v="Simran Singh"/>
    <s v="CUST0280"/>
    <x v="3"/>
    <x v="14"/>
    <x v="3"/>
    <s v="Food"/>
    <s v="Unknown"/>
    <n v="1"/>
    <n v="175"/>
    <n v="0.05"/>
    <n v="175"/>
    <n v="166.25"/>
    <x v="3"/>
    <x v="1"/>
    <x v="5"/>
    <x v="5"/>
    <x v="0"/>
    <x v="3"/>
    <n v="90"/>
    <n v="42"/>
    <x v="882"/>
    <x v="940"/>
    <x v="0"/>
    <x v="2"/>
    <n v="175"/>
    <x v="95"/>
    <n v="166.25"/>
    <x v="926"/>
    <x v="940"/>
    <x v="0"/>
    <x v="1"/>
    <x v="1"/>
    <s v="Monday"/>
  </r>
  <r>
    <s v="TXN-00966"/>
    <d v="2024-09-02T00:00:00"/>
    <d v="1899-12-30T16:45:00"/>
    <s v="Meera Chopra"/>
    <s v="CUST0181"/>
    <x v="2"/>
    <x v="10"/>
    <x v="1"/>
    <s v="Food"/>
    <s v="Small"/>
    <n v="5"/>
    <n v="95"/>
    <n v="0.1"/>
    <n v="475"/>
    <n v="427.5"/>
    <x v="3"/>
    <x v="3"/>
    <x v="1"/>
    <x v="7"/>
    <x v="0"/>
    <x v="2"/>
    <n v="244"/>
    <n v="57"/>
    <x v="268"/>
    <x v="941"/>
    <x v="3"/>
    <x v="3"/>
    <n v="475"/>
    <x v="104"/>
    <n v="427.5"/>
    <x v="927"/>
    <x v="941"/>
    <x v="0"/>
    <x v="0"/>
    <x v="0"/>
    <s v="Monday"/>
  </r>
  <r>
    <s v="TXN-00967"/>
    <d v="2024-11-02T00:00:00"/>
    <d v="1899-12-30T21:50:00"/>
    <s v="Neha Kaur"/>
    <s v="Unknown"/>
    <x v="1"/>
    <x v="11"/>
    <x v="0"/>
    <s v="Hot"/>
    <s v="Medium"/>
    <n v="3"/>
    <n v="90"/>
    <n v="0.15"/>
    <n v="270"/>
    <n v="229.5"/>
    <x v="0"/>
    <x v="3"/>
    <x v="1"/>
    <x v="6"/>
    <x v="0"/>
    <x v="4"/>
    <n v="264"/>
    <n v="44"/>
    <x v="883"/>
    <x v="942"/>
    <x v="2"/>
    <x v="0"/>
    <n v="270"/>
    <x v="105"/>
    <n v="229.5"/>
    <x v="928"/>
    <x v="942"/>
    <x v="0"/>
    <x v="11"/>
    <x v="11"/>
    <s v="Saturday"/>
  </r>
  <r>
    <s v="TXN-00968"/>
    <d v="2024-11-24T00:00:00"/>
    <d v="1899-12-30T13:10:00"/>
    <s v="Riya Malhotra"/>
    <s v="CUST0384"/>
    <x v="0"/>
    <x v="4"/>
    <x v="0"/>
    <s v="Cold"/>
    <s v="Small"/>
    <n v="3"/>
    <n v="150"/>
    <n v="0.05"/>
    <n v="450"/>
    <n v="427.5"/>
    <x v="0"/>
    <x v="1"/>
    <x v="4"/>
    <x v="3"/>
    <x v="0"/>
    <x v="1"/>
    <n v="47"/>
    <n v="19"/>
    <x v="884"/>
    <x v="943"/>
    <x v="3"/>
    <x v="2"/>
    <n v="450"/>
    <x v="55"/>
    <n v="427.5"/>
    <x v="929"/>
    <x v="943"/>
    <x v="0"/>
    <x v="11"/>
    <x v="11"/>
    <s v="Sunday"/>
  </r>
  <r>
    <s v="TXN-00969"/>
    <d v="2024-06-14T00:00:00"/>
    <d v="1899-12-30T12:45:00"/>
    <s v="Riya Kaur"/>
    <s v="CUST0337"/>
    <x v="3"/>
    <x v="8"/>
    <x v="0"/>
    <s v="Cold"/>
    <s v="Small"/>
    <n v="1"/>
    <n v="160"/>
    <n v="0.05"/>
    <n v="160"/>
    <n v="152"/>
    <x v="0"/>
    <x v="3"/>
    <x v="0"/>
    <x v="0"/>
    <x v="0"/>
    <x v="3"/>
    <n v="396"/>
    <n v="35"/>
    <x v="885"/>
    <x v="944"/>
    <x v="3"/>
    <x v="0"/>
    <n v="160"/>
    <x v="7"/>
    <n v="152"/>
    <x v="930"/>
    <x v="944"/>
    <x v="0"/>
    <x v="4"/>
    <x v="4"/>
    <s v="Friday"/>
  </r>
  <r>
    <s v="TXN-00970"/>
    <d v="2024-09-08T00:00:00"/>
    <d v="1899-12-30T09:45:00"/>
    <s v="Rahul Chopra"/>
    <s v="CUST0188"/>
    <x v="2"/>
    <x v="10"/>
    <x v="1"/>
    <s v="Food"/>
    <s v="Large"/>
    <n v="1"/>
    <n v="95"/>
    <n v="0"/>
    <n v="95"/>
    <n v="95"/>
    <x v="0"/>
    <x v="2"/>
    <x v="1"/>
    <x v="1"/>
    <x v="2"/>
    <x v="3"/>
    <n v="303"/>
    <n v="45"/>
    <x v="886"/>
    <x v="864"/>
    <x v="1"/>
    <x v="0"/>
    <n v="95"/>
    <x v="0"/>
    <n v="95"/>
    <x v="931"/>
    <x v="864"/>
    <x v="0"/>
    <x v="0"/>
    <x v="0"/>
    <s v="Sunday"/>
  </r>
  <r>
    <s v="TXN-00971"/>
    <d v="2024-08-16T00:00:00"/>
    <d v="1899-12-30T18:10:00"/>
    <s v="Vivaan Kapoor"/>
    <s v="CUST0164"/>
    <x v="3"/>
    <x v="12"/>
    <x v="1"/>
    <s v="Food"/>
    <s v="Unknown"/>
    <n v="1"/>
    <n v="95"/>
    <n v="0"/>
    <n v="95"/>
    <n v="95"/>
    <x v="1"/>
    <x v="1"/>
    <x v="5"/>
    <x v="4"/>
    <x v="1"/>
    <x v="4"/>
    <n v="109"/>
    <n v="43"/>
    <x v="508"/>
    <x v="945"/>
    <x v="3"/>
    <x v="4"/>
    <n v="95"/>
    <x v="0"/>
    <n v="95"/>
    <x v="932"/>
    <x v="945"/>
    <x v="0"/>
    <x v="1"/>
    <x v="1"/>
    <s v="Friday"/>
  </r>
  <r>
    <s v="TXN-00972"/>
    <d v="2024-06-19T00:00:00"/>
    <d v="1899-12-30T16:00:00"/>
    <s v="Kavya Bansal"/>
    <s v="CUST0297"/>
    <x v="0"/>
    <x v="6"/>
    <x v="0"/>
    <s v="Hot"/>
    <s v="Large"/>
    <n v="2"/>
    <n v="100"/>
    <n v="0.15"/>
    <n v="200"/>
    <n v="170"/>
    <x v="3"/>
    <x v="3"/>
    <x v="0"/>
    <x v="2"/>
    <x v="0"/>
    <x v="4"/>
    <n v="278"/>
    <n v="35"/>
    <x v="887"/>
    <x v="946"/>
    <x v="0"/>
    <x v="3"/>
    <n v="200"/>
    <x v="89"/>
    <n v="170"/>
    <x v="933"/>
    <x v="946"/>
    <x v="0"/>
    <x v="4"/>
    <x v="4"/>
    <s v="Wednesday"/>
  </r>
  <r>
    <s v="TXN-00973"/>
    <d v="2024-04-07T00:00:00"/>
    <d v="1899-12-30T21:45:00"/>
    <s v="Ananya Chopra"/>
    <s v="CUST0186"/>
    <x v="3"/>
    <x v="11"/>
    <x v="0"/>
    <s v="Hot"/>
    <s v="Small"/>
    <n v="1"/>
    <n v="100"/>
    <n v="0"/>
    <n v="100"/>
    <n v="100"/>
    <x v="2"/>
    <x v="1"/>
    <x v="1"/>
    <x v="4"/>
    <x v="0"/>
    <x v="0"/>
    <n v="120"/>
    <n v="13"/>
    <x v="888"/>
    <x v="589"/>
    <x v="4"/>
    <x v="0"/>
    <n v="100"/>
    <x v="0"/>
    <n v="100"/>
    <x v="934"/>
    <x v="589"/>
    <x v="0"/>
    <x v="8"/>
    <x v="8"/>
    <s v="Sunday"/>
  </r>
  <r>
    <s v="TXN-00974"/>
    <d v="2024-03-25T00:00:00"/>
    <d v="1899-12-30T20:50:00"/>
    <s v="Simran Sharma"/>
    <s v="CUST0361"/>
    <x v="2"/>
    <x v="3"/>
    <x v="0"/>
    <s v="Hot"/>
    <s v="Small"/>
    <n v="1"/>
    <n v="130"/>
    <n v="0"/>
    <n v="130"/>
    <n v="130"/>
    <x v="2"/>
    <x v="3"/>
    <x v="1"/>
    <x v="5"/>
    <x v="0"/>
    <x v="1"/>
    <n v="498"/>
    <n v="39"/>
    <x v="189"/>
    <x v="947"/>
    <x v="4"/>
    <x v="1"/>
    <n v="130"/>
    <x v="0"/>
    <n v="130"/>
    <x v="935"/>
    <x v="947"/>
    <x v="0"/>
    <x v="5"/>
    <x v="5"/>
    <s v="Monday"/>
  </r>
  <r>
    <s v="TXN-00975"/>
    <d v="2024-02-18T00:00:00"/>
    <d v="1899-12-30T17:20:00"/>
    <s v="Sneha Bansal"/>
    <s v="CUST0347"/>
    <x v="2"/>
    <x v="13"/>
    <x v="2"/>
    <s v="Cold"/>
    <s v="Unknown"/>
    <n v="3"/>
    <n v="110"/>
    <n v="0.15"/>
    <n v="330"/>
    <n v="280.5"/>
    <x v="1"/>
    <x v="2"/>
    <x v="0"/>
    <x v="5"/>
    <x v="0"/>
    <x v="1"/>
    <n v="416"/>
    <n v="37"/>
    <x v="889"/>
    <x v="948"/>
    <x v="2"/>
    <x v="0"/>
    <n v="330"/>
    <x v="106"/>
    <n v="280.5"/>
    <x v="936"/>
    <x v="948"/>
    <x v="0"/>
    <x v="3"/>
    <x v="3"/>
    <s v="Sunday"/>
  </r>
  <r>
    <s v="TXN-00976"/>
    <d v="2024-11-16T00:00:00"/>
    <d v="1899-12-30T09:20:00"/>
    <s v="Simran Mehta"/>
    <s v="CUST0146"/>
    <x v="1"/>
    <x v="6"/>
    <x v="0"/>
    <s v="Hot"/>
    <s v="Unknown"/>
    <n v="4"/>
    <n v="110"/>
    <n v="0.05"/>
    <n v="440"/>
    <n v="418"/>
    <x v="1"/>
    <x v="0"/>
    <x v="5"/>
    <x v="7"/>
    <x v="1"/>
    <x v="0"/>
    <n v="236"/>
    <n v="39"/>
    <x v="890"/>
    <x v="949"/>
    <x v="0"/>
    <x v="1"/>
    <n v="440"/>
    <x v="78"/>
    <n v="418"/>
    <x v="937"/>
    <x v="949"/>
    <x v="0"/>
    <x v="11"/>
    <x v="11"/>
    <s v="Saturday"/>
  </r>
  <r>
    <s v="TXN-00977"/>
    <d v="2024-08-06T00:00:00"/>
    <d v="1899-12-30T09:10:00"/>
    <s v="Sneha Bansal"/>
    <s v="CUST0105"/>
    <x v="3"/>
    <x v="2"/>
    <x v="1"/>
    <s v="Food"/>
    <s v="Medium"/>
    <n v="1"/>
    <n v="70"/>
    <n v="0"/>
    <n v="70"/>
    <n v="70"/>
    <x v="1"/>
    <x v="1"/>
    <x v="0"/>
    <x v="6"/>
    <x v="0"/>
    <x v="2"/>
    <n v="419"/>
    <n v="30"/>
    <x v="891"/>
    <x v="950"/>
    <x v="0"/>
    <x v="4"/>
    <n v="70"/>
    <x v="0"/>
    <n v="70"/>
    <x v="938"/>
    <x v="950"/>
    <x v="0"/>
    <x v="1"/>
    <x v="1"/>
    <s v="Tuesday"/>
  </r>
  <r>
    <s v="TXN-00978"/>
    <d v="2024-02-04T00:00:00"/>
    <d v="1899-12-30T14:15:00"/>
    <s v="Kavya Verma"/>
    <s v="CUST0372"/>
    <x v="2"/>
    <x v="3"/>
    <x v="0"/>
    <s v="Hot"/>
    <s v="Small"/>
    <n v="1"/>
    <n v="115"/>
    <n v="0"/>
    <n v="115"/>
    <n v="115"/>
    <x v="0"/>
    <x v="1"/>
    <x v="2"/>
    <x v="5"/>
    <x v="0"/>
    <x v="2"/>
    <n v="2"/>
    <n v="57"/>
    <x v="892"/>
    <x v="951"/>
    <x v="3"/>
    <x v="0"/>
    <n v="115"/>
    <x v="0"/>
    <n v="115"/>
    <x v="939"/>
    <x v="951"/>
    <x v="0"/>
    <x v="3"/>
    <x v="3"/>
    <s v="Sunday"/>
  </r>
  <r>
    <s v="TXN-00979"/>
    <d v="2024-02-29T00:00:00"/>
    <d v="1899-12-30T14:20:00"/>
    <s v="Rohan Singh"/>
    <s v="CUST0245"/>
    <x v="3"/>
    <x v="10"/>
    <x v="1"/>
    <s v="Food"/>
    <s v="Small"/>
    <n v="1"/>
    <n v="95"/>
    <n v="0.05"/>
    <n v="95"/>
    <n v="90.25"/>
    <x v="0"/>
    <x v="1"/>
    <x v="6"/>
    <x v="7"/>
    <x v="0"/>
    <x v="2"/>
    <n v="317"/>
    <n v="45"/>
    <x v="893"/>
    <x v="952"/>
    <x v="0"/>
    <x v="1"/>
    <n v="95"/>
    <x v="34"/>
    <n v="90.25"/>
    <x v="940"/>
    <x v="952"/>
    <x v="0"/>
    <x v="3"/>
    <x v="3"/>
    <s v="Thursday"/>
  </r>
  <r>
    <s v="TXN-00980"/>
    <d v="2024-04-20T00:00:00"/>
    <d v="1899-12-30T14:00:00"/>
    <s v="Aditya Bansal"/>
    <s v="CUST0269"/>
    <x v="1"/>
    <x v="5"/>
    <x v="2"/>
    <s v="Hot"/>
    <s v="Large"/>
    <n v="2"/>
    <n v="105"/>
    <n v="0.1"/>
    <n v="210"/>
    <n v="189"/>
    <x v="2"/>
    <x v="0"/>
    <x v="2"/>
    <x v="1"/>
    <x v="0"/>
    <x v="1"/>
    <n v="23"/>
    <n v="38"/>
    <x v="894"/>
    <x v="953"/>
    <x v="0"/>
    <x v="0"/>
    <n v="210"/>
    <x v="66"/>
    <n v="189"/>
    <x v="941"/>
    <x v="953"/>
    <x v="0"/>
    <x v="8"/>
    <x v="8"/>
    <s v="Saturday"/>
  </r>
  <r>
    <s v="TXN-00981"/>
    <d v="2024-08-15T00:00:00"/>
    <d v="1899-12-30T07:00:00"/>
    <s v="Aarav Sharma"/>
    <s v="CUST0282"/>
    <x v="3"/>
    <x v="10"/>
    <x v="1"/>
    <s v="Food"/>
    <s v="Small"/>
    <n v="1"/>
    <n v="100"/>
    <n v="0"/>
    <n v="100"/>
    <n v="100"/>
    <x v="3"/>
    <x v="1"/>
    <x v="5"/>
    <x v="0"/>
    <x v="1"/>
    <x v="3"/>
    <n v="293"/>
    <n v="46"/>
    <x v="895"/>
    <x v="954"/>
    <x v="1"/>
    <x v="2"/>
    <n v="100"/>
    <x v="0"/>
    <n v="100"/>
    <x v="942"/>
    <x v="954"/>
    <x v="0"/>
    <x v="1"/>
    <x v="1"/>
    <s v="Thursday"/>
  </r>
  <r>
    <s v="TXN-00982"/>
    <d v="2024-01-25T00:00:00"/>
    <d v="1899-12-30T07:20:00"/>
    <s v="Sahil Bansal"/>
    <s v="Unknown"/>
    <x v="2"/>
    <x v="11"/>
    <x v="0"/>
    <s v="Hot"/>
    <s v="Medium"/>
    <n v="1"/>
    <n v="90"/>
    <n v="0.1"/>
    <n v="90"/>
    <n v="81"/>
    <x v="0"/>
    <x v="2"/>
    <x v="3"/>
    <x v="7"/>
    <x v="0"/>
    <x v="2"/>
    <n v="244"/>
    <n v="24"/>
    <x v="896"/>
    <x v="955"/>
    <x v="0"/>
    <x v="0"/>
    <n v="90"/>
    <x v="13"/>
    <n v="81"/>
    <x v="943"/>
    <x v="955"/>
    <x v="0"/>
    <x v="2"/>
    <x v="2"/>
    <s v="Thursday"/>
  </r>
  <r>
    <s v="TXN-00983"/>
    <d v="2024-12-17T00:00:00"/>
    <d v="1899-12-30T17:45:00"/>
    <s v="Nikhil Gupta"/>
    <s v="CUST0330"/>
    <x v="3"/>
    <x v="0"/>
    <x v="0"/>
    <s v="Hot"/>
    <s v="Large"/>
    <n v="2"/>
    <n v="130"/>
    <n v="0"/>
    <n v="260"/>
    <n v="260"/>
    <x v="2"/>
    <x v="1"/>
    <x v="5"/>
    <x v="7"/>
    <x v="1"/>
    <x v="3"/>
    <n v="436"/>
    <n v="38"/>
    <x v="897"/>
    <x v="956"/>
    <x v="4"/>
    <x v="2"/>
    <n v="260"/>
    <x v="0"/>
    <n v="260"/>
    <x v="944"/>
    <x v="956"/>
    <x v="0"/>
    <x v="9"/>
    <x v="9"/>
    <s v="Tuesday"/>
  </r>
  <r>
    <s v="TXN-00984"/>
    <d v="2024-06-26T00:00:00"/>
    <d v="1899-12-30T10:10:00"/>
    <s v="Unknown"/>
    <s v="CUST0283"/>
    <x v="3"/>
    <x v="9"/>
    <x v="2"/>
    <s v="Hot"/>
    <s v="Small"/>
    <n v="1"/>
    <n v="90"/>
    <n v="0.05"/>
    <n v="90"/>
    <n v="85.5"/>
    <x v="2"/>
    <x v="2"/>
    <x v="3"/>
    <x v="1"/>
    <x v="2"/>
    <x v="2"/>
    <n v="290"/>
    <n v="37"/>
    <x v="441"/>
    <x v="957"/>
    <x v="4"/>
    <x v="2"/>
    <n v="90"/>
    <x v="31"/>
    <n v="85.5"/>
    <x v="688"/>
    <x v="957"/>
    <x v="0"/>
    <x v="4"/>
    <x v="4"/>
    <s v="Wednesday"/>
  </r>
  <r>
    <s v="TXN-00985"/>
    <d v="2024-04-25T00:00:00"/>
    <d v="1899-12-30T07:45:00"/>
    <s v="Pooja Chopra"/>
    <s v="CUST0200"/>
    <x v="3"/>
    <x v="15"/>
    <x v="4"/>
    <s v="Food"/>
    <s v="Medium"/>
    <n v="1"/>
    <n v="190"/>
    <n v="0"/>
    <n v="190"/>
    <n v="190"/>
    <x v="0"/>
    <x v="3"/>
    <x v="1"/>
    <x v="3"/>
    <x v="2"/>
    <x v="4"/>
    <n v="240"/>
    <n v="52"/>
    <x v="898"/>
    <x v="958"/>
    <x v="2"/>
    <x v="0"/>
    <n v="190"/>
    <x v="0"/>
    <n v="190"/>
    <x v="945"/>
    <x v="958"/>
    <x v="0"/>
    <x v="8"/>
    <x v="8"/>
    <s v="Thursday"/>
  </r>
  <r>
    <s v="TXN-00986"/>
    <d v="2024-04-23T00:00:00"/>
    <d v="1899-12-30T11:30:00"/>
    <s v="Vivaan Mehta"/>
    <s v="CUST0106"/>
    <x v="2"/>
    <x v="9"/>
    <x v="2"/>
    <s v="Hot"/>
    <s v="Large"/>
    <n v="1"/>
    <n v="90"/>
    <n v="0"/>
    <n v="90"/>
    <n v="90"/>
    <x v="2"/>
    <x v="3"/>
    <x v="4"/>
    <x v="1"/>
    <x v="2"/>
    <x v="4"/>
    <n v="103"/>
    <n v="42"/>
    <x v="899"/>
    <x v="959"/>
    <x v="5"/>
    <x v="4"/>
    <n v="90"/>
    <x v="0"/>
    <n v="90"/>
    <x v="946"/>
    <x v="959"/>
    <x v="0"/>
    <x v="8"/>
    <x v="8"/>
    <s v="Tuesday"/>
  </r>
  <r>
    <s v="TXN-00987"/>
    <d v="2024-07-13T00:00:00"/>
    <d v="1899-12-30T11:30:00"/>
    <s v="Ananya Chopra"/>
    <s v="CUST0288"/>
    <x v="1"/>
    <x v="6"/>
    <x v="0"/>
    <s v="Hot"/>
    <s v="Unknown"/>
    <n v="5"/>
    <n v="110"/>
    <n v="0.05"/>
    <n v="550"/>
    <n v="522.5"/>
    <x v="1"/>
    <x v="2"/>
    <x v="6"/>
    <x v="5"/>
    <x v="0"/>
    <x v="0"/>
    <n v="204"/>
    <n v="37"/>
    <x v="900"/>
    <x v="960"/>
    <x v="4"/>
    <x v="3"/>
    <n v="550"/>
    <x v="107"/>
    <n v="522.5"/>
    <x v="947"/>
    <x v="960"/>
    <x v="0"/>
    <x v="7"/>
    <x v="7"/>
    <s v="Saturday"/>
  </r>
  <r>
    <s v="TXN-00988"/>
    <d v="2024-10-01T00:00:00"/>
    <d v="1899-12-30T19:15:00"/>
    <s v="Karan Verma"/>
    <s v="CUST0380"/>
    <x v="0"/>
    <x v="15"/>
    <x v="4"/>
    <s v="Food"/>
    <s v="Medium"/>
    <n v="2"/>
    <n v="190"/>
    <n v="0.05"/>
    <n v="380"/>
    <n v="361"/>
    <x v="0"/>
    <x v="0"/>
    <x v="3"/>
    <x v="5"/>
    <x v="0"/>
    <x v="0"/>
    <n v="110"/>
    <n v="17"/>
    <x v="901"/>
    <x v="961"/>
    <x v="3"/>
    <x v="0"/>
    <n v="380"/>
    <x v="29"/>
    <n v="361"/>
    <x v="948"/>
    <x v="961"/>
    <x v="0"/>
    <x v="10"/>
    <x v="10"/>
    <s v="Tuesday"/>
  </r>
  <r>
    <s v="TXN-00989"/>
    <d v="2024-07-03T00:00:00"/>
    <d v="1899-12-30T20:00:00"/>
    <s v="Isha Mehta"/>
    <s v="Unknown"/>
    <x v="3"/>
    <x v="9"/>
    <x v="2"/>
    <s v="Hot"/>
    <s v="Medium"/>
    <n v="1"/>
    <n v="80"/>
    <n v="0.05"/>
    <n v="80"/>
    <n v="76"/>
    <x v="3"/>
    <x v="1"/>
    <x v="2"/>
    <x v="4"/>
    <x v="0"/>
    <x v="4"/>
    <n v="338"/>
    <n v="50"/>
    <x v="902"/>
    <x v="962"/>
    <x v="3"/>
    <x v="3"/>
    <n v="80"/>
    <x v="96"/>
    <n v="76"/>
    <x v="949"/>
    <x v="962"/>
    <x v="0"/>
    <x v="7"/>
    <x v="7"/>
    <s v="Wednesday"/>
  </r>
  <r>
    <s v="TXN-00990"/>
    <d v="2024-05-27T00:00:00"/>
    <d v="1899-12-30T18:15:00"/>
    <s v="Pooja Bansal"/>
    <s v="CUST0101"/>
    <x v="3"/>
    <x v="9"/>
    <x v="2"/>
    <s v="Hot"/>
    <s v="Small"/>
    <n v="1"/>
    <n v="90"/>
    <n v="0"/>
    <n v="90"/>
    <n v="90"/>
    <x v="0"/>
    <x v="0"/>
    <x v="4"/>
    <x v="1"/>
    <x v="1"/>
    <x v="1"/>
    <n v="68"/>
    <n v="34"/>
    <x v="903"/>
    <x v="963"/>
    <x v="2"/>
    <x v="0"/>
    <n v="90"/>
    <x v="0"/>
    <n v="90"/>
    <x v="950"/>
    <x v="963"/>
    <x v="0"/>
    <x v="6"/>
    <x v="6"/>
    <s v="Monday"/>
  </r>
  <r>
    <s v="TXN-00991"/>
    <d v="2024-06-25T00:00:00"/>
    <d v="1899-12-30T10:50:00"/>
    <s v="Arjun Kaur"/>
    <s v="CUST0314"/>
    <x v="2"/>
    <x v="12"/>
    <x v="1"/>
    <s v="Food"/>
    <s v="Medium"/>
    <n v="4"/>
    <n v="90"/>
    <n v="0.05"/>
    <n v="360"/>
    <n v="342"/>
    <x v="1"/>
    <x v="1"/>
    <x v="0"/>
    <x v="5"/>
    <x v="0"/>
    <x v="3"/>
    <n v="156"/>
    <n v="43"/>
    <x v="904"/>
    <x v="964"/>
    <x v="0"/>
    <x v="2"/>
    <n v="360"/>
    <x v="23"/>
    <n v="342"/>
    <x v="951"/>
    <x v="964"/>
    <x v="0"/>
    <x v="4"/>
    <x v="4"/>
    <s v="Tuesday"/>
  </r>
  <r>
    <s v="TXN-00992"/>
    <d v="2024-08-24T00:00:00"/>
    <d v="1899-12-30T14:15:00"/>
    <s v="Sneha Singh"/>
    <s v="CUST0370"/>
    <x v="1"/>
    <x v="14"/>
    <x v="3"/>
    <s v="Food"/>
    <s v="Small"/>
    <n v="3"/>
    <n v="185"/>
    <n v="0.05"/>
    <n v="555"/>
    <n v="527.25"/>
    <x v="0"/>
    <x v="1"/>
    <x v="4"/>
    <x v="2"/>
    <x v="2"/>
    <x v="3"/>
    <n v="433"/>
    <n v="36"/>
    <x v="905"/>
    <x v="965"/>
    <x v="0"/>
    <x v="1"/>
    <n v="555"/>
    <x v="61"/>
    <n v="527.25"/>
    <x v="952"/>
    <x v="965"/>
    <x v="0"/>
    <x v="1"/>
    <x v="1"/>
    <s v="Saturday"/>
  </r>
  <r>
    <s v="TXN-00993"/>
    <d v="2024-03-10T00:00:00"/>
    <d v="1899-12-30T10:10:00"/>
    <s v="Karan Bansal"/>
    <s v="CUST0293"/>
    <x v="1"/>
    <x v="0"/>
    <x v="0"/>
    <s v="Hot"/>
    <s v="Medium"/>
    <n v="2"/>
    <n v="125"/>
    <n v="0"/>
    <n v="250"/>
    <n v="250"/>
    <x v="3"/>
    <x v="3"/>
    <x v="4"/>
    <x v="2"/>
    <x v="0"/>
    <x v="2"/>
    <n v="365"/>
    <n v="15"/>
    <x v="302"/>
    <x v="966"/>
    <x v="2"/>
    <x v="0"/>
    <n v="250"/>
    <x v="0"/>
    <n v="250"/>
    <x v="953"/>
    <x v="966"/>
    <x v="0"/>
    <x v="5"/>
    <x v="5"/>
    <s v="Sunday"/>
  </r>
  <r>
    <s v="TXN-00994"/>
    <d v="2024-04-30T00:00:00"/>
    <d v="1899-12-30T21:45:00"/>
    <s v="Aarav Malhotra"/>
    <s v="CUST0174"/>
    <x v="2"/>
    <x v="12"/>
    <x v="1"/>
    <s v="Food"/>
    <s v="Unknown"/>
    <n v="1"/>
    <n v="90"/>
    <n v="0.1"/>
    <n v="90"/>
    <n v="81"/>
    <x v="0"/>
    <x v="0"/>
    <x v="0"/>
    <x v="4"/>
    <x v="0"/>
    <x v="4"/>
    <n v="5"/>
    <n v="34"/>
    <x v="906"/>
    <x v="967"/>
    <x v="0"/>
    <x v="1"/>
    <n v="90"/>
    <x v="13"/>
    <n v="81"/>
    <x v="954"/>
    <x v="967"/>
    <x v="0"/>
    <x v="8"/>
    <x v="8"/>
    <s v="Tuesday"/>
  </r>
  <r>
    <s v="TXN-00995"/>
    <d v="2024-02-04T00:00:00"/>
    <d v="1899-12-30T08:15:00"/>
    <s v="Arjun Malhotra"/>
    <s v="CUST0277"/>
    <x v="1"/>
    <x v="12"/>
    <x v="1"/>
    <s v="Food"/>
    <s v="Large"/>
    <n v="1"/>
    <n v="95"/>
    <n v="0.1"/>
    <n v="95"/>
    <n v="85.5"/>
    <x v="1"/>
    <x v="3"/>
    <x v="4"/>
    <x v="5"/>
    <x v="2"/>
    <x v="2"/>
    <n v="77"/>
    <n v="35"/>
    <x v="907"/>
    <x v="968"/>
    <x v="1"/>
    <x v="3"/>
    <n v="95"/>
    <x v="10"/>
    <n v="85.5"/>
    <x v="955"/>
    <x v="968"/>
    <x v="0"/>
    <x v="3"/>
    <x v="3"/>
    <s v="Sunday"/>
  </r>
  <r>
    <s v="TXN-00996"/>
    <d v="2024-09-14T00:00:00"/>
    <d v="1899-12-30T15:20:00"/>
    <s v="Rahul Sharma"/>
    <s v="CUST0367"/>
    <x v="1"/>
    <x v="4"/>
    <x v="0"/>
    <s v="Cold"/>
    <s v="Small"/>
    <n v="1"/>
    <n v="145"/>
    <n v="0"/>
    <n v="145"/>
    <n v="145"/>
    <x v="0"/>
    <x v="1"/>
    <x v="5"/>
    <x v="7"/>
    <x v="2"/>
    <x v="4"/>
    <n v="106"/>
    <n v="42"/>
    <x v="260"/>
    <x v="261"/>
    <x v="3"/>
    <x v="1"/>
    <n v="145"/>
    <x v="0"/>
    <n v="145"/>
    <x v="263"/>
    <x v="261"/>
    <x v="0"/>
    <x v="0"/>
    <x v="0"/>
    <s v="Saturday"/>
  </r>
  <r>
    <s v="TXN-00997"/>
    <d v="2024-09-02T00:00:00"/>
    <d v="1899-12-30T10:00:00"/>
    <s v="Meera Kaur"/>
    <s v="CUST0299"/>
    <x v="2"/>
    <x v="11"/>
    <x v="0"/>
    <s v="Hot"/>
    <s v="Unknown"/>
    <n v="1"/>
    <n v="100"/>
    <n v="0.15"/>
    <n v="100"/>
    <n v="85"/>
    <x v="2"/>
    <x v="3"/>
    <x v="4"/>
    <x v="4"/>
    <x v="1"/>
    <x v="0"/>
    <n v="131"/>
    <n v="35"/>
    <x v="908"/>
    <x v="969"/>
    <x v="3"/>
    <x v="0"/>
    <n v="100"/>
    <x v="51"/>
    <n v="85"/>
    <x v="956"/>
    <x v="969"/>
    <x v="0"/>
    <x v="0"/>
    <x v="0"/>
    <s v="Monday"/>
  </r>
  <r>
    <s v="TXN-00998"/>
    <d v="2024-05-01T00:00:00"/>
    <d v="1899-12-30T16:15:00"/>
    <s v="Kavya Bansal"/>
    <s v="CUST0334"/>
    <x v="1"/>
    <x v="1"/>
    <x v="1"/>
    <s v="Food"/>
    <s v="Medium"/>
    <n v="1"/>
    <n v="120"/>
    <n v="0.1"/>
    <n v="120"/>
    <n v="108"/>
    <x v="1"/>
    <x v="0"/>
    <x v="2"/>
    <x v="2"/>
    <x v="0"/>
    <x v="4"/>
    <n v="465"/>
    <n v="60"/>
    <x v="532"/>
    <x v="970"/>
    <x v="2"/>
    <x v="2"/>
    <n v="120"/>
    <x v="2"/>
    <n v="108"/>
    <x v="544"/>
    <x v="970"/>
    <x v="0"/>
    <x v="6"/>
    <x v="6"/>
    <s v="Wednesday"/>
  </r>
  <r>
    <s v="TXN-00999"/>
    <d v="2024-01-16T00:00:00"/>
    <d v="1899-12-30T18:30:00"/>
    <s v="Karan Kaur"/>
    <s v="CUST0123"/>
    <x v="2"/>
    <x v="10"/>
    <x v="1"/>
    <s v="Food"/>
    <s v="Large"/>
    <n v="1"/>
    <n v="95"/>
    <n v="0.1"/>
    <n v="95"/>
    <n v="85.5"/>
    <x v="0"/>
    <x v="0"/>
    <x v="4"/>
    <x v="5"/>
    <x v="0"/>
    <x v="4"/>
    <n v="58"/>
    <n v="15"/>
    <x v="784"/>
    <x v="971"/>
    <x v="0"/>
    <x v="4"/>
    <n v="95"/>
    <x v="10"/>
    <n v="85.5"/>
    <x v="957"/>
    <x v="971"/>
    <x v="0"/>
    <x v="2"/>
    <x v="2"/>
    <s v="Tuesday"/>
  </r>
  <r>
    <s v="TXN-01000"/>
    <d v="2024-05-14T00:00:00"/>
    <d v="1899-12-30T08:00:00"/>
    <s v="Ananya Singh"/>
    <s v="CUST0338"/>
    <x v="2"/>
    <x v="12"/>
    <x v="1"/>
    <s v="Food"/>
    <s v="Medium"/>
    <n v="1"/>
    <n v="90"/>
    <n v="0.1"/>
    <n v="90"/>
    <n v="81"/>
    <x v="1"/>
    <x v="0"/>
    <x v="2"/>
    <x v="0"/>
    <x v="1"/>
    <x v="2"/>
    <n v="244"/>
    <n v="11"/>
    <x v="909"/>
    <x v="972"/>
    <x v="3"/>
    <x v="0"/>
    <n v="90"/>
    <x v="13"/>
    <n v="81"/>
    <x v="958"/>
    <x v="972"/>
    <x v="0"/>
    <x v="6"/>
    <x v="6"/>
    <s v="Tuesday"/>
  </r>
  <r>
    <s v="TXN-01001"/>
    <d v="2024-03-16T00:00:00"/>
    <d v="1899-12-30T21:00:00"/>
    <s v="Rohan Gupta"/>
    <s v="CUST0311"/>
    <x v="2"/>
    <x v="9"/>
    <x v="2"/>
    <s v="Hot"/>
    <s v="Small"/>
    <n v="2"/>
    <n v="80"/>
    <n v="0"/>
    <n v="160"/>
    <n v="160"/>
    <x v="0"/>
    <x v="2"/>
    <x v="6"/>
    <x v="3"/>
    <x v="0"/>
    <x v="3"/>
    <n v="492"/>
    <n v="25"/>
    <x v="910"/>
    <x v="973"/>
    <x v="4"/>
    <x v="3"/>
    <n v="160"/>
    <x v="0"/>
    <n v="160"/>
    <x v="959"/>
    <x v="973"/>
    <x v="0"/>
    <x v="5"/>
    <x v="5"/>
    <s v="Saturday"/>
  </r>
  <r>
    <s v="TXN-01002"/>
    <d v="2024-08-24T00:00:00"/>
    <d v="1899-12-30T21:00:00"/>
    <s v="Aarav Kaur"/>
    <s v="CUST0105"/>
    <x v="3"/>
    <x v="7"/>
    <x v="0"/>
    <s v="Hot"/>
    <s v="Small"/>
    <n v="3"/>
    <n v="140"/>
    <n v="0"/>
    <n v="420"/>
    <n v="420"/>
    <x v="2"/>
    <x v="0"/>
    <x v="5"/>
    <x v="4"/>
    <x v="2"/>
    <x v="2"/>
    <n v="438"/>
    <n v="22"/>
    <x v="911"/>
    <x v="974"/>
    <x v="4"/>
    <x v="4"/>
    <n v="420"/>
    <x v="0"/>
    <n v="420"/>
    <x v="960"/>
    <x v="974"/>
    <x v="0"/>
    <x v="1"/>
    <x v="1"/>
    <s v="Saturday"/>
  </r>
  <r>
    <s v="TXN-01003"/>
    <d v="2024-12-14T00:00:00"/>
    <d v="1899-12-30T09:10:00"/>
    <s v="Rahul Bansal"/>
    <s v="CUST0224"/>
    <x v="1"/>
    <x v="13"/>
    <x v="2"/>
    <s v="Cold"/>
    <s v="Medium"/>
    <n v="1"/>
    <n v="105"/>
    <n v="0.1"/>
    <n v="105"/>
    <n v="94.5"/>
    <x v="2"/>
    <x v="3"/>
    <x v="1"/>
    <x v="5"/>
    <x v="0"/>
    <x v="2"/>
    <n v="341"/>
    <n v="30"/>
    <x v="912"/>
    <x v="975"/>
    <x v="2"/>
    <x v="3"/>
    <n v="105"/>
    <x v="25"/>
    <n v="94.5"/>
    <x v="961"/>
    <x v="975"/>
    <x v="0"/>
    <x v="9"/>
    <x v="9"/>
    <s v="Saturday"/>
  </r>
  <r>
    <s v="TXN-01004"/>
    <d v="2024-04-27T00:00:00"/>
    <d v="1899-12-30T18:15:00"/>
    <s v="Priya Verma"/>
    <s v="CUST0367"/>
    <x v="3"/>
    <x v="1"/>
    <x v="1"/>
    <s v="Food"/>
    <s v="Large"/>
    <n v="2"/>
    <n v="120"/>
    <n v="0.05"/>
    <n v="240"/>
    <n v="228"/>
    <x v="2"/>
    <x v="2"/>
    <x v="6"/>
    <x v="1"/>
    <x v="0"/>
    <x v="3"/>
    <n v="193"/>
    <n v="11"/>
    <x v="913"/>
    <x v="976"/>
    <x v="3"/>
    <x v="1"/>
    <n v="240"/>
    <x v="2"/>
    <n v="228"/>
    <x v="962"/>
    <x v="976"/>
    <x v="0"/>
    <x v="8"/>
    <x v="8"/>
    <s v="Saturday"/>
  </r>
  <r>
    <s v="TXN-01005"/>
    <d v="2024-06-25T00:00:00"/>
    <d v="1899-12-30T17:30:00"/>
    <s v="Sahil Bansal"/>
    <s v="CUST0242"/>
    <x v="2"/>
    <x v="1"/>
    <x v="1"/>
    <s v="Food"/>
    <s v="Small"/>
    <n v="3"/>
    <n v="130"/>
    <n v="0"/>
    <n v="390"/>
    <n v="390"/>
    <x v="1"/>
    <x v="0"/>
    <x v="0"/>
    <x v="1"/>
    <x v="2"/>
    <x v="1"/>
    <n v="488"/>
    <n v="34"/>
    <x v="914"/>
    <x v="977"/>
    <x v="3"/>
    <x v="0"/>
    <n v="390"/>
    <x v="0"/>
    <n v="390"/>
    <x v="963"/>
    <x v="977"/>
    <x v="0"/>
    <x v="4"/>
    <x v="4"/>
    <s v="Tuesday"/>
  </r>
  <r>
    <s v="TXN-01006"/>
    <d v="2024-06-22T00:00:00"/>
    <d v="1899-12-30T08:20:00"/>
    <s v="Meera Sharma"/>
    <s v="CUST0351"/>
    <x v="2"/>
    <x v="4"/>
    <x v="0"/>
    <s v="Cold"/>
    <s v="Large"/>
    <n v="2"/>
    <n v="160"/>
    <n v="0.05"/>
    <n v="320"/>
    <n v="304"/>
    <x v="1"/>
    <x v="3"/>
    <x v="6"/>
    <x v="0"/>
    <x v="0"/>
    <x v="0"/>
    <n v="274"/>
    <n v="35"/>
    <x v="915"/>
    <x v="978"/>
    <x v="1"/>
    <x v="4"/>
    <n v="320"/>
    <x v="3"/>
    <n v="304"/>
    <x v="964"/>
    <x v="978"/>
    <x v="0"/>
    <x v="4"/>
    <x v="4"/>
    <s v="Saturday"/>
  </r>
  <r>
    <s v="TXN-01007"/>
    <d v="2024-10-06T00:00:00"/>
    <d v="1899-12-30T11:10:00"/>
    <s v="Ananya Verma"/>
    <s v="CUST0184"/>
    <x v="3"/>
    <x v="5"/>
    <x v="2"/>
    <s v="Hot"/>
    <s v="Unknown"/>
    <n v="1"/>
    <n v="95"/>
    <n v="0.05"/>
    <n v="95"/>
    <n v="90.25"/>
    <x v="2"/>
    <x v="2"/>
    <x v="2"/>
    <x v="3"/>
    <x v="1"/>
    <x v="2"/>
    <n v="64"/>
    <n v="25"/>
    <x v="547"/>
    <x v="979"/>
    <x v="3"/>
    <x v="1"/>
    <n v="95"/>
    <x v="34"/>
    <n v="90.25"/>
    <x v="558"/>
    <x v="979"/>
    <x v="0"/>
    <x v="10"/>
    <x v="10"/>
    <s v="Sunday"/>
  </r>
  <r>
    <s v="TXN-01008"/>
    <d v="2024-12-02T00:00:00"/>
    <d v="1899-12-30T10:20:00"/>
    <s v="Sahil Bansal"/>
    <s v="CUST0120"/>
    <x v="3"/>
    <x v="0"/>
    <x v="0"/>
    <s v="Hot"/>
    <s v="Small"/>
    <n v="1"/>
    <n v="125"/>
    <n v="0.05"/>
    <n v="125"/>
    <n v="118.75"/>
    <x v="0"/>
    <x v="3"/>
    <x v="4"/>
    <x v="5"/>
    <x v="0"/>
    <x v="2"/>
    <n v="413"/>
    <n v="22"/>
    <x v="916"/>
    <x v="980"/>
    <x v="1"/>
    <x v="4"/>
    <n v="125"/>
    <x v="85"/>
    <n v="118.75"/>
    <x v="965"/>
    <x v="980"/>
    <x v="0"/>
    <x v="9"/>
    <x v="9"/>
    <s v="Monday"/>
  </r>
  <r>
    <s v="TXN-01009"/>
    <d v="2024-06-25T00:00:00"/>
    <d v="1899-12-30T08:10:00"/>
    <s v="Priya Kapoor"/>
    <s v="CUST0266"/>
    <x v="2"/>
    <x v="9"/>
    <x v="2"/>
    <s v="Hot"/>
    <s v="Small"/>
    <n v="1"/>
    <n v="75"/>
    <n v="0"/>
    <n v="75"/>
    <n v="75"/>
    <x v="3"/>
    <x v="3"/>
    <x v="1"/>
    <x v="2"/>
    <x v="2"/>
    <x v="2"/>
    <n v="2"/>
    <n v="19"/>
    <x v="917"/>
    <x v="981"/>
    <x v="3"/>
    <x v="4"/>
    <n v="75"/>
    <x v="0"/>
    <n v="75"/>
    <x v="966"/>
    <x v="981"/>
    <x v="0"/>
    <x v="4"/>
    <x v="4"/>
    <s v="Tuesday"/>
  </r>
  <r>
    <s v="TXN-01010"/>
    <d v="2024-10-09T00:00:00"/>
    <d v="1899-12-30T13:45:00"/>
    <s v="Sneha Kapoor"/>
    <s v="CUST0147"/>
    <x v="3"/>
    <x v="7"/>
    <x v="0"/>
    <s v="Hot"/>
    <s v="Unknown"/>
    <n v="2"/>
    <n v="145"/>
    <n v="0"/>
    <n v="290"/>
    <n v="290"/>
    <x v="2"/>
    <x v="1"/>
    <x v="4"/>
    <x v="0"/>
    <x v="1"/>
    <x v="4"/>
    <n v="291"/>
    <n v="38"/>
    <x v="918"/>
    <x v="982"/>
    <x v="3"/>
    <x v="1"/>
    <n v="290"/>
    <x v="0"/>
    <n v="290"/>
    <x v="967"/>
    <x v="982"/>
    <x v="0"/>
    <x v="10"/>
    <x v="10"/>
    <s v="Wednesday"/>
  </r>
  <r>
    <s v="TXN-01011"/>
    <d v="2024-02-01T00:00:00"/>
    <d v="1899-12-30T17:15:00"/>
    <s v="Arjun Kaur"/>
    <s v="CUST0198"/>
    <x v="3"/>
    <x v="9"/>
    <x v="2"/>
    <s v="Hot"/>
    <s v="Large"/>
    <n v="1"/>
    <n v="75"/>
    <n v="0.05"/>
    <n v="75"/>
    <n v="71.25"/>
    <x v="3"/>
    <x v="3"/>
    <x v="0"/>
    <x v="4"/>
    <x v="0"/>
    <x v="2"/>
    <n v="297"/>
    <n v="36"/>
    <x v="919"/>
    <x v="16"/>
    <x v="3"/>
    <x v="4"/>
    <n v="75"/>
    <x v="57"/>
    <n v="71.25"/>
    <x v="968"/>
    <x v="16"/>
    <x v="0"/>
    <x v="3"/>
    <x v="3"/>
    <s v="Thursday"/>
  </r>
  <r>
    <s v="TXN-01012"/>
    <d v="2024-02-24T00:00:00"/>
    <d v="1899-12-30T19:45:00"/>
    <s v="Arjun Kaur"/>
    <s v="Unknown"/>
    <x v="3"/>
    <x v="0"/>
    <x v="0"/>
    <s v="Hot"/>
    <s v="Medium"/>
    <n v="2"/>
    <n v="135"/>
    <n v="0"/>
    <n v="270"/>
    <n v="270"/>
    <x v="2"/>
    <x v="3"/>
    <x v="5"/>
    <x v="7"/>
    <x v="0"/>
    <x v="4"/>
    <n v="103"/>
    <n v="12"/>
    <x v="920"/>
    <x v="983"/>
    <x v="3"/>
    <x v="2"/>
    <n v="270"/>
    <x v="0"/>
    <n v="270"/>
    <x v="969"/>
    <x v="983"/>
    <x v="0"/>
    <x v="3"/>
    <x v="3"/>
    <s v="Saturday"/>
  </r>
  <r>
    <s v="TXN-01013"/>
    <d v="2024-12-20T00:00:00"/>
    <d v="1899-12-30T14:30:00"/>
    <s v="Sneha Kaur"/>
    <s v="CUST0173"/>
    <x v="0"/>
    <x v="7"/>
    <x v="0"/>
    <s v="Hot"/>
    <s v="Medium"/>
    <n v="3"/>
    <n v="145"/>
    <n v="0.15"/>
    <n v="435"/>
    <n v="369.75"/>
    <x v="0"/>
    <x v="1"/>
    <x v="6"/>
    <x v="1"/>
    <x v="0"/>
    <x v="3"/>
    <n v="244"/>
    <n v="27"/>
    <x v="921"/>
    <x v="984"/>
    <x v="2"/>
    <x v="0"/>
    <n v="435"/>
    <x v="108"/>
    <n v="369.75"/>
    <x v="970"/>
    <x v="984"/>
    <x v="0"/>
    <x v="9"/>
    <x v="9"/>
    <s v="Friday"/>
  </r>
  <r>
    <s v="TXN-01014"/>
    <d v="2024-12-24T00:00:00"/>
    <d v="1899-12-30T20:15:00"/>
    <s v="Karan Bansal"/>
    <s v="CUST0113"/>
    <x v="2"/>
    <x v="12"/>
    <x v="1"/>
    <s v="Food"/>
    <s v="Large"/>
    <n v="2"/>
    <n v="90"/>
    <n v="0.05"/>
    <n v="180"/>
    <n v="171"/>
    <x v="2"/>
    <x v="2"/>
    <x v="3"/>
    <x v="4"/>
    <x v="0"/>
    <x v="0"/>
    <n v="98"/>
    <n v="39"/>
    <x v="116"/>
    <x v="985"/>
    <x v="0"/>
    <x v="2"/>
    <n v="180"/>
    <x v="13"/>
    <n v="171"/>
    <x v="971"/>
    <x v="985"/>
    <x v="0"/>
    <x v="9"/>
    <x v="9"/>
    <s v="Tuesday"/>
  </r>
  <r>
    <s v="TXN-01015"/>
    <d v="2024-03-26T00:00:00"/>
    <d v="1899-12-30T11:20:00"/>
    <s v="Rahul Gupta"/>
    <s v="CUST0299"/>
    <x v="3"/>
    <x v="4"/>
    <x v="0"/>
    <s v="Cold"/>
    <s v="Large"/>
    <n v="5"/>
    <n v="145"/>
    <n v="0.15"/>
    <n v="725"/>
    <n v="616.25"/>
    <x v="3"/>
    <x v="0"/>
    <x v="2"/>
    <x v="6"/>
    <x v="0"/>
    <x v="2"/>
    <n v="123"/>
    <n v="26"/>
    <x v="922"/>
    <x v="986"/>
    <x v="2"/>
    <x v="4"/>
    <n v="725"/>
    <x v="109"/>
    <n v="616.25"/>
    <x v="972"/>
    <x v="986"/>
    <x v="0"/>
    <x v="5"/>
    <x v="5"/>
    <s v="Tuesday"/>
  </r>
  <r>
    <s v="TXN-01016"/>
    <d v="2024-06-25T00:00:00"/>
    <d v="1899-12-30T14:50:00"/>
    <s v="Isha Verma"/>
    <s v="Unknown"/>
    <x v="3"/>
    <x v="14"/>
    <x v="3"/>
    <s v="Food"/>
    <s v="Medium"/>
    <n v="1"/>
    <n v="175"/>
    <n v="0"/>
    <n v="175"/>
    <n v="175"/>
    <x v="1"/>
    <x v="3"/>
    <x v="4"/>
    <x v="2"/>
    <x v="0"/>
    <x v="1"/>
    <n v="280"/>
    <n v="35"/>
    <x v="923"/>
    <x v="987"/>
    <x v="3"/>
    <x v="0"/>
    <n v="175"/>
    <x v="0"/>
    <n v="175"/>
    <x v="973"/>
    <x v="987"/>
    <x v="0"/>
    <x v="4"/>
    <x v="4"/>
    <s v="Tuesday"/>
  </r>
  <r>
    <s v="TXN-01017"/>
    <d v="2024-04-29T00:00:00"/>
    <d v="1899-12-30T13:45:00"/>
    <s v="Pooja Gupta"/>
    <s v="CUST0155"/>
    <x v="3"/>
    <x v="6"/>
    <x v="0"/>
    <s v="Hot"/>
    <s v="Medium"/>
    <n v="1"/>
    <n v="105"/>
    <n v="0.15"/>
    <n v="105"/>
    <n v="89.25"/>
    <x v="0"/>
    <x v="3"/>
    <x v="2"/>
    <x v="7"/>
    <x v="0"/>
    <x v="2"/>
    <n v="224"/>
    <n v="43"/>
    <x v="924"/>
    <x v="988"/>
    <x v="3"/>
    <x v="2"/>
    <n v="105"/>
    <x v="24"/>
    <n v="89.25"/>
    <x v="974"/>
    <x v="988"/>
    <x v="0"/>
    <x v="8"/>
    <x v="8"/>
    <s v="Monday"/>
  </r>
  <r>
    <s v="TXN-01018"/>
    <d v="2024-06-25T00:00:00"/>
    <d v="1899-12-30T11:00:00"/>
    <s v="Nikhil Verma"/>
    <s v="CUST0132"/>
    <x v="0"/>
    <x v="10"/>
    <x v="1"/>
    <s v="Food"/>
    <s v="Large"/>
    <n v="2"/>
    <n v="110"/>
    <n v="0"/>
    <n v="220"/>
    <n v="220"/>
    <x v="0"/>
    <x v="3"/>
    <x v="6"/>
    <x v="2"/>
    <x v="0"/>
    <x v="4"/>
    <n v="449"/>
    <n v="53"/>
    <x v="925"/>
    <x v="989"/>
    <x v="1"/>
    <x v="3"/>
    <n v="220"/>
    <x v="0"/>
    <n v="220"/>
    <x v="975"/>
    <x v="989"/>
    <x v="0"/>
    <x v="4"/>
    <x v="4"/>
    <s v="Tuesday"/>
  </r>
  <r>
    <s v="TXN-01019"/>
    <d v="2024-08-13T00:00:00"/>
    <d v="1899-12-30T15:30:00"/>
    <s v="Isha Verma"/>
    <s v="CUST0261"/>
    <x v="1"/>
    <x v="15"/>
    <x v="4"/>
    <s v="Food"/>
    <s v="Unknown"/>
    <n v="1"/>
    <n v="195"/>
    <n v="0"/>
    <n v="195"/>
    <n v="195"/>
    <x v="0"/>
    <x v="3"/>
    <x v="0"/>
    <x v="7"/>
    <x v="0"/>
    <x v="0"/>
    <n v="250"/>
    <n v="53"/>
    <x v="926"/>
    <x v="990"/>
    <x v="3"/>
    <x v="3"/>
    <n v="195"/>
    <x v="0"/>
    <n v="195"/>
    <x v="976"/>
    <x v="990"/>
    <x v="0"/>
    <x v="1"/>
    <x v="1"/>
    <s v="Tuesday"/>
  </r>
  <r>
    <s v="TXN-01020"/>
    <d v="2024-11-19T00:00:00"/>
    <d v="1899-12-30T13:00:00"/>
    <s v="Rahul Verma"/>
    <s v="CUST0139"/>
    <x v="2"/>
    <x v="12"/>
    <x v="1"/>
    <s v="Food"/>
    <s v="Small"/>
    <n v="1"/>
    <n v="85"/>
    <n v="0"/>
    <n v="85"/>
    <n v="85"/>
    <x v="1"/>
    <x v="0"/>
    <x v="3"/>
    <x v="0"/>
    <x v="0"/>
    <x v="2"/>
    <n v="287"/>
    <n v="39"/>
    <x v="752"/>
    <x v="991"/>
    <x v="3"/>
    <x v="3"/>
    <n v="85"/>
    <x v="0"/>
    <n v="85"/>
    <x v="977"/>
    <x v="991"/>
    <x v="0"/>
    <x v="11"/>
    <x v="11"/>
    <s v="Tuesday"/>
  </r>
  <r>
    <s v="TXN-01021"/>
    <d v="2024-06-25T00:00:00"/>
    <d v="1899-12-30T09:15:00"/>
    <s v="Aditya Kaur"/>
    <s v="Unknown"/>
    <x v="0"/>
    <x v="3"/>
    <x v="0"/>
    <s v="Hot"/>
    <s v="Medium"/>
    <n v="2"/>
    <n v="125"/>
    <n v="0"/>
    <n v="250"/>
    <n v="250"/>
    <x v="0"/>
    <x v="0"/>
    <x v="5"/>
    <x v="1"/>
    <x v="0"/>
    <x v="0"/>
    <n v="399"/>
    <n v="44"/>
    <x v="927"/>
    <x v="992"/>
    <x v="4"/>
    <x v="0"/>
    <n v="250"/>
    <x v="0"/>
    <n v="250"/>
    <x v="978"/>
    <x v="992"/>
    <x v="0"/>
    <x v="4"/>
    <x v="4"/>
    <s v="Tuesday"/>
  </r>
  <r>
    <s v="TXN-01022"/>
    <d v="2024-04-21T00:00:00"/>
    <d v="1899-12-30T10:50:00"/>
    <s v="Vivaan Malhotra"/>
    <s v="CUST0249"/>
    <x v="3"/>
    <x v="15"/>
    <x v="4"/>
    <s v="Food"/>
    <s v="Large"/>
    <n v="2"/>
    <n v="190"/>
    <n v="0.05"/>
    <n v="380"/>
    <n v="361"/>
    <x v="2"/>
    <x v="1"/>
    <x v="0"/>
    <x v="7"/>
    <x v="2"/>
    <x v="2"/>
    <n v="464"/>
    <n v="13"/>
    <x v="928"/>
    <x v="993"/>
    <x v="0"/>
    <x v="2"/>
    <n v="380"/>
    <x v="29"/>
    <n v="361"/>
    <x v="979"/>
    <x v="993"/>
    <x v="0"/>
    <x v="8"/>
    <x v="8"/>
    <s v="Sunday"/>
  </r>
  <r>
    <s v="TXN-01023"/>
    <d v="2024-06-25T00:00:00"/>
    <d v="1899-12-30T18:30:00"/>
    <s v="Aditya Mehta"/>
    <s v="CUST0102"/>
    <x v="2"/>
    <x v="15"/>
    <x v="4"/>
    <s v="Food"/>
    <s v="Small"/>
    <n v="2"/>
    <n v="190"/>
    <n v="0.1"/>
    <n v="380"/>
    <n v="342"/>
    <x v="2"/>
    <x v="3"/>
    <x v="0"/>
    <x v="4"/>
    <x v="0"/>
    <x v="2"/>
    <n v="40"/>
    <n v="28"/>
    <x v="782"/>
    <x v="994"/>
    <x v="2"/>
    <x v="0"/>
    <n v="380"/>
    <x v="54"/>
    <n v="342"/>
    <x v="980"/>
    <x v="994"/>
    <x v="0"/>
    <x v="4"/>
    <x v="4"/>
    <s v="Tuesday"/>
  </r>
  <r>
    <s v="TXN-01024"/>
    <d v="2024-10-24T00:00:00"/>
    <d v="1899-12-30T18:45:00"/>
    <s v="Isha Verma"/>
    <s v="CUST0159"/>
    <x v="0"/>
    <x v="13"/>
    <x v="2"/>
    <s v="Cold"/>
    <s v="Medium"/>
    <n v="1"/>
    <n v="120"/>
    <n v="0.15"/>
    <n v="120"/>
    <n v="102"/>
    <x v="0"/>
    <x v="2"/>
    <x v="4"/>
    <x v="1"/>
    <x v="0"/>
    <x v="0"/>
    <n v="244"/>
    <n v="40"/>
    <x v="929"/>
    <x v="995"/>
    <x v="3"/>
    <x v="1"/>
    <n v="120"/>
    <x v="23"/>
    <n v="102"/>
    <x v="981"/>
    <x v="995"/>
    <x v="0"/>
    <x v="10"/>
    <x v="10"/>
    <s v="Thursday"/>
  </r>
  <r>
    <s v="TXN-01025"/>
    <d v="2024-08-20T00:00:00"/>
    <d v="1899-12-30T18:10:00"/>
    <s v="Nikhil Mehta"/>
    <s v="CUST0368"/>
    <x v="2"/>
    <x v="10"/>
    <x v="1"/>
    <s v="Food"/>
    <s v="Medium"/>
    <n v="1"/>
    <n v="95"/>
    <n v="0"/>
    <n v="95"/>
    <n v="95"/>
    <x v="0"/>
    <x v="2"/>
    <x v="2"/>
    <x v="5"/>
    <x v="1"/>
    <x v="2"/>
    <n v="191"/>
    <n v="43"/>
    <x v="930"/>
    <x v="360"/>
    <x v="0"/>
    <x v="1"/>
    <n v="95"/>
    <x v="0"/>
    <n v="95"/>
    <x v="982"/>
    <x v="360"/>
    <x v="0"/>
    <x v="1"/>
    <x v="1"/>
    <s v="Tuesday"/>
  </r>
  <r>
    <s v="TXN-01026"/>
    <d v="2024-03-14T00:00:00"/>
    <d v="1899-12-30T12:20:00"/>
    <s v="Aarav Malhotra"/>
    <s v="CUST0223"/>
    <x v="1"/>
    <x v="2"/>
    <x v="1"/>
    <s v="Food"/>
    <s v="Medium"/>
    <n v="5"/>
    <n v="80"/>
    <n v="0.15"/>
    <n v="400"/>
    <n v="340"/>
    <x v="1"/>
    <x v="1"/>
    <x v="2"/>
    <x v="0"/>
    <x v="0"/>
    <x v="3"/>
    <n v="244"/>
    <n v="13"/>
    <x v="458"/>
    <x v="996"/>
    <x v="0"/>
    <x v="0"/>
    <n v="400"/>
    <x v="110"/>
    <n v="340"/>
    <x v="983"/>
    <x v="996"/>
    <x v="0"/>
    <x v="5"/>
    <x v="5"/>
    <s v="Thursday"/>
  </r>
  <r>
    <s v="TXN-01027"/>
    <d v="2024-04-21T00:00:00"/>
    <d v="1899-12-30T07:45:00"/>
    <s v="Meera Sharma"/>
    <s v="CUST0131"/>
    <x v="0"/>
    <x v="11"/>
    <x v="0"/>
    <s v="Hot"/>
    <s v="Medium"/>
    <n v="1"/>
    <n v="85"/>
    <n v="0"/>
    <n v="85"/>
    <n v="85"/>
    <x v="2"/>
    <x v="0"/>
    <x v="6"/>
    <x v="5"/>
    <x v="0"/>
    <x v="4"/>
    <n v="278"/>
    <n v="35"/>
    <x v="931"/>
    <x v="997"/>
    <x v="4"/>
    <x v="0"/>
    <n v="85"/>
    <x v="0"/>
    <n v="85"/>
    <x v="984"/>
    <x v="997"/>
    <x v="0"/>
    <x v="8"/>
    <x v="8"/>
    <s v="Sunday"/>
  </r>
  <r>
    <s v="TXN-01028"/>
    <d v="2024-02-08T00:00:00"/>
    <d v="1899-12-30T10:15:00"/>
    <s v="Sahil Chopra"/>
    <s v="Unknown"/>
    <x v="3"/>
    <x v="5"/>
    <x v="2"/>
    <s v="Hot"/>
    <s v="Large"/>
    <n v="1"/>
    <n v="95"/>
    <n v="0"/>
    <n v="95"/>
    <n v="95"/>
    <x v="0"/>
    <x v="0"/>
    <x v="3"/>
    <x v="6"/>
    <x v="2"/>
    <x v="4"/>
    <n v="442"/>
    <n v="16"/>
    <x v="224"/>
    <x v="998"/>
    <x v="0"/>
    <x v="2"/>
    <n v="95"/>
    <x v="0"/>
    <n v="95"/>
    <x v="227"/>
    <x v="998"/>
    <x v="0"/>
    <x v="3"/>
    <x v="3"/>
    <s v="Thursday"/>
  </r>
  <r>
    <s v="TXN-01029"/>
    <d v="2024-03-25T00:00:00"/>
    <d v="1899-12-30T21:10:00"/>
    <s v="Manish Singh"/>
    <s v="Unknown"/>
    <x v="2"/>
    <x v="14"/>
    <x v="3"/>
    <s v="Food"/>
    <s v="Medium"/>
    <n v="2"/>
    <n v="180"/>
    <n v="0.1"/>
    <n v="360"/>
    <n v="324"/>
    <x v="0"/>
    <x v="3"/>
    <x v="1"/>
    <x v="0"/>
    <x v="0"/>
    <x v="4"/>
    <n v="386"/>
    <n v="31"/>
    <x v="488"/>
    <x v="999"/>
    <x v="3"/>
    <x v="0"/>
    <n v="360"/>
    <x v="72"/>
    <n v="324"/>
    <x v="499"/>
    <x v="999"/>
    <x v="0"/>
    <x v="5"/>
    <x v="5"/>
    <s v="Monday"/>
  </r>
  <r>
    <s v="TXN-01030"/>
    <d v="2024-09-07T00:00:00"/>
    <d v="1899-12-30T10:45:00"/>
    <s v="Neha Kapoor"/>
    <s v="CUST0354"/>
    <x v="3"/>
    <x v="11"/>
    <x v="0"/>
    <s v="Hot"/>
    <s v="Medium"/>
    <n v="2"/>
    <n v="85"/>
    <n v="0"/>
    <n v="170"/>
    <n v="170"/>
    <x v="2"/>
    <x v="3"/>
    <x v="4"/>
    <x v="4"/>
    <x v="2"/>
    <x v="4"/>
    <n v="398"/>
    <n v="35"/>
    <x v="932"/>
    <x v="1000"/>
    <x v="4"/>
    <x v="2"/>
    <n v="170"/>
    <x v="0"/>
    <n v="170"/>
    <x v="985"/>
    <x v="1000"/>
    <x v="0"/>
    <x v="0"/>
    <x v="0"/>
    <s v="Saturday"/>
  </r>
  <r>
    <s v="TXN-01031"/>
    <d v="2024-11-30T00:00:00"/>
    <d v="1899-12-30T10:00:00"/>
    <s v="Aditya Kapoor"/>
    <s v="CUST0161"/>
    <x v="1"/>
    <x v="11"/>
    <x v="0"/>
    <s v="Hot"/>
    <s v="Medium"/>
    <n v="3"/>
    <n v="90"/>
    <n v="0"/>
    <n v="270"/>
    <n v="270"/>
    <x v="0"/>
    <x v="1"/>
    <x v="6"/>
    <x v="1"/>
    <x v="0"/>
    <x v="2"/>
    <n v="486"/>
    <n v="36"/>
    <x v="933"/>
    <x v="1001"/>
    <x v="3"/>
    <x v="4"/>
    <n v="270"/>
    <x v="0"/>
    <n v="270"/>
    <x v="986"/>
    <x v="1001"/>
    <x v="0"/>
    <x v="11"/>
    <x v="11"/>
    <s v="Saturday"/>
  </r>
  <r>
    <s v="TXN-01032"/>
    <d v="2024-12-30T00:00:00"/>
    <d v="1899-12-30T11:50:00"/>
    <s v="Rahul Mehta"/>
    <s v="CUST0368"/>
    <x v="1"/>
    <x v="10"/>
    <x v="1"/>
    <s v="Food"/>
    <s v="Large"/>
    <n v="1"/>
    <n v="100"/>
    <n v="0"/>
    <n v="100"/>
    <n v="100"/>
    <x v="0"/>
    <x v="3"/>
    <x v="4"/>
    <x v="0"/>
    <x v="0"/>
    <x v="2"/>
    <n v="442"/>
    <n v="51"/>
    <x v="934"/>
    <x v="731"/>
    <x v="3"/>
    <x v="4"/>
    <n v="100"/>
    <x v="0"/>
    <n v="100"/>
    <x v="987"/>
    <x v="731"/>
    <x v="0"/>
    <x v="9"/>
    <x v="9"/>
    <s v="Monday"/>
  </r>
  <r>
    <s v="TXN-01033"/>
    <d v="2024-07-04T00:00:00"/>
    <d v="1899-12-30T09:15:00"/>
    <s v="Nikhil Gupta"/>
    <s v="CUST0173"/>
    <x v="2"/>
    <x v="6"/>
    <x v="0"/>
    <s v="Hot"/>
    <s v="Small"/>
    <n v="4"/>
    <n v="100"/>
    <n v="0.1"/>
    <n v="400"/>
    <n v="360"/>
    <x v="1"/>
    <x v="1"/>
    <x v="0"/>
    <x v="3"/>
    <x v="0"/>
    <x v="4"/>
    <n v="244"/>
    <n v="36"/>
    <x v="935"/>
    <x v="1002"/>
    <x v="2"/>
    <x v="0"/>
    <n v="400"/>
    <x v="58"/>
    <n v="360"/>
    <x v="988"/>
    <x v="1002"/>
    <x v="0"/>
    <x v="7"/>
    <x v="7"/>
    <s v="Thursday"/>
  </r>
  <r>
    <s v="TXN-01034"/>
    <d v="2024-02-03T00:00:00"/>
    <d v="1899-12-30T13:20:00"/>
    <s v="Rahul Verma"/>
    <s v="CUST0266"/>
    <x v="2"/>
    <x v="8"/>
    <x v="0"/>
    <s v="Cold"/>
    <s v="Small"/>
    <n v="2"/>
    <n v="170"/>
    <n v="0"/>
    <n v="340"/>
    <n v="340"/>
    <x v="0"/>
    <x v="0"/>
    <x v="3"/>
    <x v="6"/>
    <x v="0"/>
    <x v="3"/>
    <n v="320"/>
    <n v="23"/>
    <x v="936"/>
    <x v="1003"/>
    <x v="0"/>
    <x v="1"/>
    <n v="340"/>
    <x v="0"/>
    <n v="340"/>
    <x v="989"/>
    <x v="1003"/>
    <x v="0"/>
    <x v="3"/>
    <x v="3"/>
    <s v="Saturday"/>
  </r>
  <r>
    <s v="TXN-01035"/>
    <d v="2024-05-16T00:00:00"/>
    <d v="1899-12-30T07:45:00"/>
    <s v="Unknown"/>
    <s v="CUST0161"/>
    <x v="3"/>
    <x v="6"/>
    <x v="0"/>
    <s v="Hot"/>
    <s v="Large"/>
    <n v="2"/>
    <n v="100"/>
    <n v="0"/>
    <n v="200"/>
    <n v="200"/>
    <x v="0"/>
    <x v="3"/>
    <x v="3"/>
    <x v="2"/>
    <x v="2"/>
    <x v="0"/>
    <n v="321"/>
    <n v="35"/>
    <x v="937"/>
    <x v="254"/>
    <x v="5"/>
    <x v="1"/>
    <n v="200"/>
    <x v="0"/>
    <n v="200"/>
    <x v="990"/>
    <x v="254"/>
    <x v="0"/>
    <x v="6"/>
    <x v="6"/>
    <s v="Thursday"/>
  </r>
  <r>
    <s v="TXN-01036"/>
    <d v="2024-12-28T00:00:00"/>
    <d v="1899-12-30T08:00:00"/>
    <s v="Sneha Kaur"/>
    <s v="CUST0108"/>
    <x v="2"/>
    <x v="2"/>
    <x v="1"/>
    <s v="Food"/>
    <s v="Medium"/>
    <n v="2"/>
    <n v="70"/>
    <n v="0.05"/>
    <n v="140"/>
    <n v="133"/>
    <x v="0"/>
    <x v="3"/>
    <x v="3"/>
    <x v="7"/>
    <x v="0"/>
    <x v="4"/>
    <n v="22"/>
    <n v="47"/>
    <x v="938"/>
    <x v="1004"/>
    <x v="0"/>
    <x v="2"/>
    <n v="140"/>
    <x v="22"/>
    <n v="133"/>
    <x v="991"/>
    <x v="1004"/>
    <x v="0"/>
    <x v="9"/>
    <x v="9"/>
    <s v="Saturday"/>
  </r>
  <r>
    <s v="TXN-01037"/>
    <d v="2024-02-03T00:00:00"/>
    <d v="1899-12-30T18:20:00"/>
    <s v="Sneha Chopra"/>
    <s v="CUST0153"/>
    <x v="2"/>
    <x v="4"/>
    <x v="0"/>
    <s v="Cold"/>
    <s v="Medium"/>
    <n v="1"/>
    <n v="150"/>
    <n v="0.1"/>
    <n v="150"/>
    <n v="135"/>
    <x v="3"/>
    <x v="0"/>
    <x v="4"/>
    <x v="6"/>
    <x v="0"/>
    <x v="3"/>
    <n v="157"/>
    <n v="40"/>
    <x v="939"/>
    <x v="1005"/>
    <x v="3"/>
    <x v="0"/>
    <n v="150"/>
    <x v="51"/>
    <n v="135"/>
    <x v="992"/>
    <x v="1005"/>
    <x v="0"/>
    <x v="3"/>
    <x v="3"/>
    <s v="Saturday"/>
  </r>
  <r>
    <s v="TXN-01038"/>
    <d v="2024-03-16T00:00:00"/>
    <d v="1899-12-30T10:15:00"/>
    <s v="Isha Chopra"/>
    <s v="CUST0132"/>
    <x v="2"/>
    <x v="6"/>
    <x v="0"/>
    <s v="Hot"/>
    <s v="Large"/>
    <n v="2"/>
    <n v="100"/>
    <n v="0.15"/>
    <n v="200"/>
    <n v="170"/>
    <x v="3"/>
    <x v="2"/>
    <x v="6"/>
    <x v="3"/>
    <x v="0"/>
    <x v="2"/>
    <n v="244"/>
    <n v="37"/>
    <x v="940"/>
    <x v="1006"/>
    <x v="0"/>
    <x v="1"/>
    <n v="200"/>
    <x v="89"/>
    <n v="170"/>
    <x v="993"/>
    <x v="1006"/>
    <x v="0"/>
    <x v="5"/>
    <x v="5"/>
    <s v="Saturday"/>
  </r>
  <r>
    <s v="TXN-01039"/>
    <d v="2024-12-03T00:00:00"/>
    <d v="1899-12-30T07:45:00"/>
    <s v="Simran Sharma"/>
    <s v="CUST0343"/>
    <x v="2"/>
    <x v="11"/>
    <x v="0"/>
    <s v="Hot"/>
    <s v="Unknown"/>
    <n v="5"/>
    <n v="90"/>
    <n v="0"/>
    <n v="450"/>
    <n v="450"/>
    <x v="3"/>
    <x v="1"/>
    <x v="3"/>
    <x v="6"/>
    <x v="0"/>
    <x v="4"/>
    <n v="134"/>
    <n v="59"/>
    <x v="941"/>
    <x v="1007"/>
    <x v="1"/>
    <x v="0"/>
    <n v="450"/>
    <x v="0"/>
    <n v="450"/>
    <x v="994"/>
    <x v="1007"/>
    <x v="0"/>
    <x v="9"/>
    <x v="9"/>
    <s v="Tuesday"/>
  </r>
  <r>
    <s v="TXN-01040"/>
    <d v="2024-06-25T00:00:00"/>
    <d v="1899-12-30T15:30:00"/>
    <s v="Sneha Sharma"/>
    <s v="CUST0263"/>
    <x v="0"/>
    <x v="13"/>
    <x v="2"/>
    <s v="Cold"/>
    <s v="Large"/>
    <n v="3"/>
    <n v="120"/>
    <n v="0.05"/>
    <n v="360"/>
    <n v="342"/>
    <x v="3"/>
    <x v="0"/>
    <x v="5"/>
    <x v="4"/>
    <x v="0"/>
    <x v="4"/>
    <n v="296"/>
    <n v="25"/>
    <x v="942"/>
    <x v="1008"/>
    <x v="3"/>
    <x v="0"/>
    <n v="360"/>
    <x v="23"/>
    <n v="342"/>
    <x v="995"/>
    <x v="1008"/>
    <x v="0"/>
    <x v="4"/>
    <x v="4"/>
    <s v="Tuesday"/>
  </r>
  <r>
    <s v="TXN-01041"/>
    <d v="2024-05-12T00:00:00"/>
    <d v="1899-12-30T10:30:00"/>
    <s v="Pooja Malhotra"/>
    <s v="CUST0243"/>
    <x v="1"/>
    <x v="0"/>
    <x v="0"/>
    <s v="Hot"/>
    <s v="Medium"/>
    <n v="2"/>
    <n v="135"/>
    <n v="0.1"/>
    <n v="270"/>
    <n v="243"/>
    <x v="2"/>
    <x v="1"/>
    <x v="0"/>
    <x v="1"/>
    <x v="0"/>
    <x v="4"/>
    <n v="344"/>
    <n v="36"/>
    <x v="943"/>
    <x v="1009"/>
    <x v="3"/>
    <x v="0"/>
    <n v="270"/>
    <x v="33"/>
    <n v="243"/>
    <x v="996"/>
    <x v="1009"/>
    <x v="0"/>
    <x v="6"/>
    <x v="6"/>
    <s v="Sunday"/>
  </r>
  <r>
    <s v="TXN-01042"/>
    <d v="2024-12-19T00:00:00"/>
    <d v="1899-12-30T09:20:00"/>
    <s v="Meera Singh"/>
    <s v="CUST0298"/>
    <x v="3"/>
    <x v="15"/>
    <x v="4"/>
    <s v="Food"/>
    <s v="Large"/>
    <n v="2"/>
    <n v="190"/>
    <n v="0"/>
    <n v="380"/>
    <n v="380"/>
    <x v="0"/>
    <x v="3"/>
    <x v="3"/>
    <x v="4"/>
    <x v="0"/>
    <x v="2"/>
    <n v="335"/>
    <n v="25"/>
    <x v="944"/>
    <x v="1010"/>
    <x v="0"/>
    <x v="2"/>
    <n v="380"/>
    <x v="0"/>
    <n v="380"/>
    <x v="997"/>
    <x v="1010"/>
    <x v="0"/>
    <x v="9"/>
    <x v="9"/>
    <s v="Thursday"/>
  </r>
  <r>
    <s v="TXN-01043"/>
    <d v="2024-10-23T00:00:00"/>
    <d v="1899-12-30T07:45:00"/>
    <s v="Nikhil Singh"/>
    <s v="CUST0216"/>
    <x v="2"/>
    <x v="15"/>
    <x v="4"/>
    <s v="Food"/>
    <s v="Unknown"/>
    <n v="1"/>
    <n v="195"/>
    <n v="0.15"/>
    <n v="195"/>
    <n v="165.75"/>
    <x v="0"/>
    <x v="3"/>
    <x v="5"/>
    <x v="5"/>
    <x v="0"/>
    <x v="2"/>
    <n v="81"/>
    <n v="20"/>
    <x v="945"/>
    <x v="1011"/>
    <x v="2"/>
    <x v="2"/>
    <n v="195"/>
    <x v="111"/>
    <n v="165.75"/>
    <x v="998"/>
    <x v="1011"/>
    <x v="0"/>
    <x v="10"/>
    <x v="10"/>
    <s v="Wednesday"/>
  </r>
  <r>
    <s v="TXN-01044"/>
    <d v="2024-05-29T00:00:00"/>
    <d v="1899-12-30T14:10:00"/>
    <s v="Pooja Mehta"/>
    <s v="CUST0151"/>
    <x v="1"/>
    <x v="13"/>
    <x v="2"/>
    <s v="Cold"/>
    <s v="Medium"/>
    <n v="1"/>
    <n v="110"/>
    <n v="0.15"/>
    <n v="110"/>
    <n v="93.5"/>
    <x v="2"/>
    <x v="3"/>
    <x v="6"/>
    <x v="2"/>
    <x v="0"/>
    <x v="0"/>
    <n v="463"/>
    <n v="37"/>
    <x v="946"/>
    <x v="1012"/>
    <x v="1"/>
    <x v="0"/>
    <n v="110"/>
    <x v="42"/>
    <n v="93.5"/>
    <x v="999"/>
    <x v="1012"/>
    <x v="0"/>
    <x v="6"/>
    <x v="6"/>
    <s v="Wednesday"/>
  </r>
  <r>
    <s v="TXN-01045"/>
    <d v="2024-01-29T00:00:00"/>
    <d v="1899-12-30T21:00:00"/>
    <s v="Rahul Mehta"/>
    <s v="CUST0139"/>
    <x v="1"/>
    <x v="3"/>
    <x v="0"/>
    <s v="Hot"/>
    <s v="Medium"/>
    <n v="1"/>
    <n v="125"/>
    <n v="0"/>
    <n v="125"/>
    <n v="125"/>
    <x v="2"/>
    <x v="3"/>
    <x v="4"/>
    <x v="3"/>
    <x v="0"/>
    <x v="3"/>
    <n v="457"/>
    <n v="57"/>
    <x v="947"/>
    <x v="1013"/>
    <x v="0"/>
    <x v="3"/>
    <n v="125"/>
    <x v="0"/>
    <n v="125"/>
    <x v="1000"/>
    <x v="1013"/>
    <x v="0"/>
    <x v="2"/>
    <x v="2"/>
    <s v="Monday"/>
  </r>
  <r>
    <s v="TXN-01046"/>
    <d v="2024-05-25T00:00:00"/>
    <d v="1899-12-30T08:50:00"/>
    <s v="Sneha Verma"/>
    <s v="CUST0294"/>
    <x v="1"/>
    <x v="4"/>
    <x v="0"/>
    <s v="Cold"/>
    <s v="Large"/>
    <n v="1"/>
    <n v="160"/>
    <n v="0.15"/>
    <n v="160"/>
    <n v="136"/>
    <x v="0"/>
    <x v="2"/>
    <x v="2"/>
    <x v="7"/>
    <x v="2"/>
    <x v="3"/>
    <n v="61"/>
    <n v="37"/>
    <x v="948"/>
    <x v="1014"/>
    <x v="3"/>
    <x v="4"/>
    <n v="160"/>
    <x v="27"/>
    <n v="136"/>
    <x v="1001"/>
    <x v="1014"/>
    <x v="0"/>
    <x v="6"/>
    <x v="6"/>
    <s v="Saturday"/>
  </r>
  <r>
    <s v="TXN-01047"/>
    <d v="2024-09-28T00:00:00"/>
    <d v="1899-12-30T11:30:00"/>
    <s v="Rahul Chopra"/>
    <s v="CUST0230"/>
    <x v="0"/>
    <x v="4"/>
    <x v="0"/>
    <s v="Cold"/>
    <s v="Medium"/>
    <n v="2"/>
    <n v="150"/>
    <n v="0"/>
    <n v="300"/>
    <n v="300"/>
    <x v="1"/>
    <x v="1"/>
    <x v="6"/>
    <x v="0"/>
    <x v="0"/>
    <x v="1"/>
    <n v="250"/>
    <n v="35"/>
    <x v="470"/>
    <x v="1015"/>
    <x v="2"/>
    <x v="4"/>
    <n v="300"/>
    <x v="0"/>
    <n v="300"/>
    <x v="1002"/>
    <x v="1015"/>
    <x v="0"/>
    <x v="0"/>
    <x v="0"/>
    <s v="Saturday"/>
  </r>
  <r>
    <s v="TXN-01048"/>
    <d v="2024-05-25T00:00:00"/>
    <d v="1899-12-30T12:50:00"/>
    <s v="Neha Kaur"/>
    <s v="CUST0332"/>
    <x v="1"/>
    <x v="9"/>
    <x v="2"/>
    <s v="Hot"/>
    <s v="Medium"/>
    <n v="1"/>
    <n v="90"/>
    <n v="0"/>
    <n v="90"/>
    <n v="90"/>
    <x v="3"/>
    <x v="3"/>
    <x v="6"/>
    <x v="7"/>
    <x v="0"/>
    <x v="3"/>
    <n v="251"/>
    <n v="21"/>
    <x v="949"/>
    <x v="1016"/>
    <x v="3"/>
    <x v="3"/>
    <n v="90"/>
    <x v="0"/>
    <n v="90"/>
    <x v="1003"/>
    <x v="1016"/>
    <x v="0"/>
    <x v="6"/>
    <x v="6"/>
    <s v="Saturday"/>
  </r>
  <r>
    <s v="TXN-01049"/>
    <d v="2024-08-26T00:00:00"/>
    <d v="1899-12-30T14:30:00"/>
    <s v="Simran Verma"/>
    <s v="CUST0118"/>
    <x v="2"/>
    <x v="1"/>
    <x v="1"/>
    <s v="Food"/>
    <s v="Small"/>
    <n v="3"/>
    <n v="120"/>
    <n v="0"/>
    <n v="360"/>
    <n v="360"/>
    <x v="0"/>
    <x v="1"/>
    <x v="6"/>
    <x v="0"/>
    <x v="1"/>
    <x v="1"/>
    <n v="458"/>
    <n v="35"/>
    <x v="950"/>
    <x v="1017"/>
    <x v="3"/>
    <x v="3"/>
    <n v="360"/>
    <x v="0"/>
    <n v="360"/>
    <x v="1004"/>
    <x v="1017"/>
    <x v="0"/>
    <x v="1"/>
    <x v="1"/>
    <s v="Monday"/>
  </r>
  <r>
    <s v="TXN-01050"/>
    <d v="2024-04-04T00:00:00"/>
    <d v="1899-12-30T12:50:00"/>
    <s v="Ananya Mehta"/>
    <s v="CUST0217"/>
    <x v="3"/>
    <x v="8"/>
    <x v="0"/>
    <s v="Cold"/>
    <s v="Medium"/>
    <n v="4"/>
    <n v="155"/>
    <n v="0.05"/>
    <n v="620"/>
    <n v="589"/>
    <x v="0"/>
    <x v="2"/>
    <x v="2"/>
    <x v="6"/>
    <x v="0"/>
    <x v="4"/>
    <n v="260"/>
    <n v="37"/>
    <x v="951"/>
    <x v="1018"/>
    <x v="1"/>
    <x v="4"/>
    <n v="620"/>
    <x v="53"/>
    <n v="589"/>
    <x v="1005"/>
    <x v="1018"/>
    <x v="0"/>
    <x v="8"/>
    <x v="8"/>
    <s v="Thursday"/>
  </r>
  <r>
    <s v="TXN-01051"/>
    <d v="2024-09-16T00:00:00"/>
    <d v="1899-12-30T19:45:00"/>
    <s v="Sahil Singh"/>
    <s v="CUST0356"/>
    <x v="2"/>
    <x v="5"/>
    <x v="2"/>
    <s v="Hot"/>
    <s v="Small"/>
    <n v="1"/>
    <n v="90"/>
    <n v="0.15"/>
    <n v="90"/>
    <n v="76.5"/>
    <x v="1"/>
    <x v="2"/>
    <x v="4"/>
    <x v="4"/>
    <x v="0"/>
    <x v="3"/>
    <n v="152"/>
    <n v="60"/>
    <x v="952"/>
    <x v="1019"/>
    <x v="3"/>
    <x v="0"/>
    <n v="90"/>
    <x v="46"/>
    <n v="76.5"/>
    <x v="1006"/>
    <x v="1019"/>
    <x v="0"/>
    <x v="0"/>
    <x v="0"/>
    <s v="Monday"/>
  </r>
  <r>
    <s v="TXN-01052"/>
    <d v="2024-01-22T00:00:00"/>
    <d v="1899-12-30T16:30:00"/>
    <s v="Aarav Gupta"/>
    <s v="CUST0268"/>
    <x v="3"/>
    <x v="8"/>
    <x v="0"/>
    <s v="Cold"/>
    <s v="Medium"/>
    <n v="1"/>
    <n v="170"/>
    <n v="0"/>
    <n v="170"/>
    <n v="170"/>
    <x v="2"/>
    <x v="2"/>
    <x v="4"/>
    <x v="5"/>
    <x v="0"/>
    <x v="1"/>
    <n v="109"/>
    <n v="18"/>
    <x v="605"/>
    <x v="1020"/>
    <x v="0"/>
    <x v="0"/>
    <n v="170"/>
    <x v="0"/>
    <n v="170"/>
    <x v="617"/>
    <x v="1020"/>
    <x v="0"/>
    <x v="2"/>
    <x v="2"/>
    <s v="Monday"/>
  </r>
  <r>
    <s v="TXN-01053"/>
    <d v="2024-04-05T00:00:00"/>
    <d v="1899-12-30T19:20:00"/>
    <s v="Kavya Kapoor"/>
    <s v="CUST0363"/>
    <x v="1"/>
    <x v="3"/>
    <x v="0"/>
    <s v="Hot"/>
    <s v="Small"/>
    <n v="1"/>
    <n v="120"/>
    <n v="0"/>
    <n v="120"/>
    <n v="120"/>
    <x v="0"/>
    <x v="1"/>
    <x v="3"/>
    <x v="0"/>
    <x v="0"/>
    <x v="2"/>
    <n v="150"/>
    <n v="45"/>
    <x v="953"/>
    <x v="1021"/>
    <x v="1"/>
    <x v="0"/>
    <n v="120"/>
    <x v="0"/>
    <n v="120"/>
    <x v="1007"/>
    <x v="1021"/>
    <x v="0"/>
    <x v="8"/>
    <x v="8"/>
    <s v="Friday"/>
  </r>
  <r>
    <s v="TXN-01054"/>
    <d v="2024-07-07T00:00:00"/>
    <d v="1899-12-30T15:00:00"/>
    <s v="Sneha Verma"/>
    <s v="CUST0364"/>
    <x v="2"/>
    <x v="12"/>
    <x v="1"/>
    <s v="Food"/>
    <s v="Medium"/>
    <n v="1"/>
    <n v="90"/>
    <n v="0.05"/>
    <n v="90"/>
    <n v="85.5"/>
    <x v="2"/>
    <x v="3"/>
    <x v="0"/>
    <x v="6"/>
    <x v="0"/>
    <x v="1"/>
    <n v="325"/>
    <n v="30"/>
    <x v="954"/>
    <x v="1022"/>
    <x v="3"/>
    <x v="2"/>
    <n v="90"/>
    <x v="31"/>
    <n v="85.5"/>
    <x v="1008"/>
    <x v="1022"/>
    <x v="0"/>
    <x v="7"/>
    <x v="7"/>
    <s v="Sunday"/>
  </r>
  <r>
    <s v="TXN-01055"/>
    <d v="2024-05-24T00:00:00"/>
    <d v="1899-12-30T09:10:00"/>
    <s v="Priya Kapoor"/>
    <s v="CUST0169"/>
    <x v="3"/>
    <x v="13"/>
    <x v="2"/>
    <s v="Cold"/>
    <s v="Large"/>
    <n v="2"/>
    <n v="110"/>
    <n v="0"/>
    <n v="220"/>
    <n v="220"/>
    <x v="2"/>
    <x v="3"/>
    <x v="3"/>
    <x v="0"/>
    <x v="0"/>
    <x v="4"/>
    <n v="259"/>
    <n v="25"/>
    <x v="955"/>
    <x v="1023"/>
    <x v="3"/>
    <x v="0"/>
    <n v="220"/>
    <x v="0"/>
    <n v="220"/>
    <x v="1009"/>
    <x v="1023"/>
    <x v="0"/>
    <x v="6"/>
    <x v="6"/>
    <s v="Friday"/>
  </r>
  <r>
    <s v="TXN-01056"/>
    <d v="2024-11-19T00:00:00"/>
    <d v="1899-12-30T13:30:00"/>
    <s v="Sneha Kaur"/>
    <s v="CUST0397"/>
    <x v="2"/>
    <x v="10"/>
    <x v="1"/>
    <s v="Food"/>
    <s v="Medium"/>
    <n v="4"/>
    <n v="100"/>
    <n v="0"/>
    <n v="400"/>
    <n v="400"/>
    <x v="0"/>
    <x v="1"/>
    <x v="3"/>
    <x v="3"/>
    <x v="2"/>
    <x v="2"/>
    <n v="467"/>
    <n v="36"/>
    <x v="956"/>
    <x v="1024"/>
    <x v="1"/>
    <x v="2"/>
    <n v="400"/>
    <x v="0"/>
    <n v="400"/>
    <x v="1010"/>
    <x v="1024"/>
    <x v="0"/>
    <x v="11"/>
    <x v="11"/>
    <s v="Tuesday"/>
  </r>
  <r>
    <s v="TXN-01057"/>
    <d v="2024-10-15T00:00:00"/>
    <d v="1899-12-30T07:10:00"/>
    <s v="Sahil Malhotra"/>
    <s v="CUST0215"/>
    <x v="2"/>
    <x v="14"/>
    <x v="3"/>
    <s v="Food"/>
    <s v="Large"/>
    <n v="1"/>
    <n v="180"/>
    <n v="0.1"/>
    <n v="180"/>
    <n v="162"/>
    <x v="1"/>
    <x v="1"/>
    <x v="3"/>
    <x v="5"/>
    <x v="0"/>
    <x v="3"/>
    <n v="217"/>
    <n v="57"/>
    <x v="957"/>
    <x v="489"/>
    <x v="0"/>
    <x v="3"/>
    <n v="180"/>
    <x v="23"/>
    <n v="162"/>
    <x v="1011"/>
    <x v="489"/>
    <x v="0"/>
    <x v="10"/>
    <x v="10"/>
    <s v="Tuesday"/>
  </r>
  <r>
    <s v="TXN-01058"/>
    <d v="2024-09-27T00:00:00"/>
    <d v="1899-12-30T15:45:00"/>
    <s v="Aditya Sharma"/>
    <s v="CUST0181"/>
    <x v="2"/>
    <x v="15"/>
    <x v="4"/>
    <s v="Food"/>
    <s v="Large"/>
    <n v="2"/>
    <n v="190"/>
    <n v="0"/>
    <n v="380"/>
    <n v="380"/>
    <x v="2"/>
    <x v="2"/>
    <x v="5"/>
    <x v="0"/>
    <x v="2"/>
    <x v="4"/>
    <n v="171"/>
    <n v="37"/>
    <x v="958"/>
    <x v="1025"/>
    <x v="0"/>
    <x v="0"/>
    <n v="380"/>
    <x v="0"/>
    <n v="380"/>
    <x v="1012"/>
    <x v="1025"/>
    <x v="0"/>
    <x v="0"/>
    <x v="0"/>
    <s v="Friday"/>
  </r>
  <r>
    <s v="TXN-01059"/>
    <d v="2024-05-25T00:00:00"/>
    <d v="1899-12-30T21:20:00"/>
    <s v="Rohan Chopra"/>
    <s v="CUST0173"/>
    <x v="1"/>
    <x v="9"/>
    <x v="2"/>
    <s v="Hot"/>
    <s v="Medium"/>
    <n v="1"/>
    <n v="80"/>
    <n v="0"/>
    <n v="80"/>
    <n v="80"/>
    <x v="2"/>
    <x v="3"/>
    <x v="0"/>
    <x v="1"/>
    <x v="2"/>
    <x v="4"/>
    <n v="437"/>
    <n v="51"/>
    <x v="959"/>
    <x v="1026"/>
    <x v="1"/>
    <x v="4"/>
    <n v="80"/>
    <x v="0"/>
    <n v="80"/>
    <x v="1013"/>
    <x v="1026"/>
    <x v="0"/>
    <x v="6"/>
    <x v="6"/>
    <s v="Saturday"/>
  </r>
  <r>
    <s v="TXN-01060"/>
    <d v="2024-08-01T00:00:00"/>
    <d v="1899-12-30T19:45:00"/>
    <s v="Sahil Verma"/>
    <s v="CUST0228"/>
    <x v="1"/>
    <x v="13"/>
    <x v="2"/>
    <s v="Cold"/>
    <s v="Large"/>
    <n v="1"/>
    <n v="110"/>
    <n v="0"/>
    <n v="110"/>
    <n v="110"/>
    <x v="2"/>
    <x v="3"/>
    <x v="1"/>
    <x v="6"/>
    <x v="0"/>
    <x v="3"/>
    <n v="244"/>
    <n v="59"/>
    <x v="960"/>
    <x v="1027"/>
    <x v="2"/>
    <x v="0"/>
    <n v="110"/>
    <x v="0"/>
    <n v="110"/>
    <x v="1014"/>
    <x v="1027"/>
    <x v="0"/>
    <x v="1"/>
    <x v="1"/>
    <s v="Thursday"/>
  </r>
  <r>
    <s v="TXN-01061"/>
    <d v="2024-09-01T00:00:00"/>
    <d v="1899-12-30T18:45:00"/>
    <s v="Rohan Chopra"/>
    <s v="CUST0317"/>
    <x v="3"/>
    <x v="12"/>
    <x v="1"/>
    <s v="Food"/>
    <s v="Unknown"/>
    <n v="1"/>
    <n v="90"/>
    <n v="0.05"/>
    <n v="90"/>
    <n v="85.5"/>
    <x v="0"/>
    <x v="1"/>
    <x v="6"/>
    <x v="3"/>
    <x v="0"/>
    <x v="4"/>
    <n v="450"/>
    <n v="36"/>
    <x v="961"/>
    <x v="1028"/>
    <x v="1"/>
    <x v="0"/>
    <n v="90"/>
    <x v="31"/>
    <n v="85.5"/>
    <x v="1015"/>
    <x v="1028"/>
    <x v="0"/>
    <x v="0"/>
    <x v="0"/>
    <s v="Sunday"/>
  </r>
  <r>
    <s v="TXN-01062"/>
    <d v="2024-06-15T00:00:00"/>
    <d v="1899-12-30T08:00:00"/>
    <s v="Meera Verma"/>
    <s v="CUST0125"/>
    <x v="0"/>
    <x v="1"/>
    <x v="1"/>
    <s v="Food"/>
    <s v="Large"/>
    <n v="1"/>
    <n v="130"/>
    <n v="0"/>
    <n v="130"/>
    <n v="130"/>
    <x v="1"/>
    <x v="3"/>
    <x v="6"/>
    <x v="4"/>
    <x v="0"/>
    <x v="2"/>
    <n v="400"/>
    <n v="35"/>
    <x v="204"/>
    <x v="1029"/>
    <x v="3"/>
    <x v="1"/>
    <n v="130"/>
    <x v="0"/>
    <n v="130"/>
    <x v="205"/>
    <x v="1029"/>
    <x v="0"/>
    <x v="4"/>
    <x v="4"/>
    <s v="Saturday"/>
  </r>
  <r>
    <s v="TXN-01063"/>
    <d v="2024-09-16T00:00:00"/>
    <d v="1899-12-30T17:20:00"/>
    <s v="Priya Chopra"/>
    <s v="CUST0356"/>
    <x v="0"/>
    <x v="7"/>
    <x v="0"/>
    <s v="Hot"/>
    <s v="Large"/>
    <n v="1"/>
    <n v="145"/>
    <n v="0"/>
    <n v="145"/>
    <n v="145"/>
    <x v="1"/>
    <x v="3"/>
    <x v="4"/>
    <x v="2"/>
    <x v="1"/>
    <x v="2"/>
    <n v="276"/>
    <n v="35"/>
    <x v="962"/>
    <x v="1030"/>
    <x v="0"/>
    <x v="1"/>
    <n v="145"/>
    <x v="0"/>
    <n v="145"/>
    <x v="1016"/>
    <x v="1030"/>
    <x v="0"/>
    <x v="0"/>
    <x v="0"/>
    <s v="Monday"/>
  </r>
  <r>
    <s v="TXN-01064"/>
    <d v="2024-06-24T00:00:00"/>
    <d v="1899-12-30T08:20:00"/>
    <s v="Aditya Mehta"/>
    <s v="CUST0377"/>
    <x v="2"/>
    <x v="15"/>
    <x v="4"/>
    <s v="Food"/>
    <s v="Small"/>
    <n v="1"/>
    <n v="190"/>
    <n v="0.05"/>
    <n v="190"/>
    <n v="180.5"/>
    <x v="2"/>
    <x v="3"/>
    <x v="0"/>
    <x v="6"/>
    <x v="0"/>
    <x v="3"/>
    <n v="53"/>
    <n v="35"/>
    <x v="963"/>
    <x v="1031"/>
    <x v="1"/>
    <x v="4"/>
    <n v="190"/>
    <x v="10"/>
    <n v="180.5"/>
    <x v="1017"/>
    <x v="1031"/>
    <x v="0"/>
    <x v="4"/>
    <x v="4"/>
    <s v="Monday"/>
  </r>
  <r>
    <s v="TXN-01065"/>
    <d v="2024-12-31T00:00:00"/>
    <d v="1899-12-30T09:30:00"/>
    <s v="Pooja Chopra"/>
    <s v="CUST0319"/>
    <x v="0"/>
    <x v="6"/>
    <x v="0"/>
    <s v="Hot"/>
    <s v="Medium"/>
    <n v="1"/>
    <n v="110"/>
    <n v="0"/>
    <n v="110"/>
    <n v="110"/>
    <x v="0"/>
    <x v="3"/>
    <x v="5"/>
    <x v="4"/>
    <x v="0"/>
    <x v="1"/>
    <n v="1"/>
    <n v="48"/>
    <x v="964"/>
    <x v="1032"/>
    <x v="3"/>
    <x v="0"/>
    <n v="110"/>
    <x v="0"/>
    <n v="110"/>
    <x v="1018"/>
    <x v="1032"/>
    <x v="0"/>
    <x v="9"/>
    <x v="9"/>
    <s v="Tuesday"/>
  </r>
  <r>
    <s v="TXN-01066"/>
    <d v="2024-01-01T00:00:00"/>
    <d v="1899-12-30T18:20:00"/>
    <s v="Arjun Verma"/>
    <s v="CUST0161"/>
    <x v="3"/>
    <x v="6"/>
    <x v="0"/>
    <s v="Hot"/>
    <s v="Small"/>
    <n v="1"/>
    <n v="100"/>
    <n v="0.05"/>
    <n v="100"/>
    <n v="95"/>
    <x v="0"/>
    <x v="0"/>
    <x v="0"/>
    <x v="4"/>
    <x v="2"/>
    <x v="2"/>
    <n v="244"/>
    <n v="25"/>
    <x v="965"/>
    <x v="1033"/>
    <x v="2"/>
    <x v="4"/>
    <n v="100"/>
    <x v="32"/>
    <n v="95"/>
    <x v="1019"/>
    <x v="1033"/>
    <x v="0"/>
    <x v="2"/>
    <x v="2"/>
    <s v="Monday"/>
  </r>
  <r>
    <s v="TXN-01067"/>
    <d v="2024-11-21T00:00:00"/>
    <d v="1899-12-30T17:10:00"/>
    <s v="Ananya Kaur"/>
    <s v="CUST0323"/>
    <x v="0"/>
    <x v="7"/>
    <x v="0"/>
    <s v="Hot"/>
    <s v="Small"/>
    <n v="2"/>
    <n v="145"/>
    <n v="0"/>
    <n v="290"/>
    <n v="290"/>
    <x v="3"/>
    <x v="3"/>
    <x v="3"/>
    <x v="3"/>
    <x v="1"/>
    <x v="3"/>
    <n v="38"/>
    <n v="35"/>
    <x v="966"/>
    <x v="1034"/>
    <x v="0"/>
    <x v="0"/>
    <n v="290"/>
    <x v="0"/>
    <n v="290"/>
    <x v="1020"/>
    <x v="1034"/>
    <x v="0"/>
    <x v="11"/>
    <x v="11"/>
    <s v="Thursday"/>
  </r>
  <r>
    <s v="TXN-01068"/>
    <d v="2024-09-13T00:00:00"/>
    <d v="1899-12-30T08:45:00"/>
    <s v="Neha Sharma"/>
    <s v="CUST0277"/>
    <x v="3"/>
    <x v="2"/>
    <x v="1"/>
    <s v="Food"/>
    <s v="Medium"/>
    <n v="2"/>
    <n v="65"/>
    <n v="0"/>
    <n v="130"/>
    <n v="130"/>
    <x v="2"/>
    <x v="3"/>
    <x v="1"/>
    <x v="2"/>
    <x v="0"/>
    <x v="2"/>
    <n v="244"/>
    <n v="35"/>
    <x v="967"/>
    <x v="1035"/>
    <x v="2"/>
    <x v="2"/>
    <n v="130"/>
    <x v="0"/>
    <n v="130"/>
    <x v="1021"/>
    <x v="1035"/>
    <x v="0"/>
    <x v="0"/>
    <x v="0"/>
    <s v="Friday"/>
  </r>
  <r>
    <s v="TXN-01069"/>
    <d v="2024-09-16T00:00:00"/>
    <d v="1899-12-30T14:00:00"/>
    <s v="Aditya Kaur"/>
    <s v="CUST0368"/>
    <x v="3"/>
    <x v="7"/>
    <x v="0"/>
    <s v="Hot"/>
    <s v="Unknown"/>
    <n v="4"/>
    <n v="145"/>
    <n v="0"/>
    <n v="580"/>
    <n v="580"/>
    <x v="2"/>
    <x v="0"/>
    <x v="1"/>
    <x v="3"/>
    <x v="1"/>
    <x v="0"/>
    <n v="364"/>
    <n v="58"/>
    <x v="968"/>
    <x v="1036"/>
    <x v="2"/>
    <x v="0"/>
    <n v="580"/>
    <x v="0"/>
    <n v="580"/>
    <x v="1022"/>
    <x v="1036"/>
    <x v="0"/>
    <x v="0"/>
    <x v="0"/>
    <s v="Monday"/>
  </r>
  <r>
    <s v="TXN-01070"/>
    <d v="2024-10-24T00:00:00"/>
    <d v="1899-12-30T13:20:00"/>
    <s v="Pooja Kapoor"/>
    <s v="CUST0331"/>
    <x v="3"/>
    <x v="12"/>
    <x v="1"/>
    <s v="Food"/>
    <s v="Small"/>
    <n v="1"/>
    <n v="100"/>
    <n v="0"/>
    <n v="100"/>
    <n v="100"/>
    <x v="0"/>
    <x v="1"/>
    <x v="4"/>
    <x v="1"/>
    <x v="0"/>
    <x v="4"/>
    <n v="8"/>
    <n v="36"/>
    <x v="149"/>
    <x v="1037"/>
    <x v="0"/>
    <x v="4"/>
    <n v="100"/>
    <x v="0"/>
    <n v="100"/>
    <x v="1023"/>
    <x v="1037"/>
    <x v="0"/>
    <x v="10"/>
    <x v="10"/>
    <s v="Thursday"/>
  </r>
  <r>
    <s v="TXN-01071"/>
    <d v="2024-04-22T00:00:00"/>
    <d v="1899-12-30T18:00:00"/>
    <s v="Sneha Kaur"/>
    <s v="CUST0329"/>
    <x v="2"/>
    <x v="10"/>
    <x v="1"/>
    <s v="Food"/>
    <s v="Medium"/>
    <n v="2"/>
    <n v="105"/>
    <n v="0.1"/>
    <n v="210"/>
    <n v="189"/>
    <x v="0"/>
    <x v="1"/>
    <x v="2"/>
    <x v="4"/>
    <x v="0"/>
    <x v="2"/>
    <n v="366"/>
    <n v="45"/>
    <x v="969"/>
    <x v="1038"/>
    <x v="4"/>
    <x v="0"/>
    <n v="210"/>
    <x v="66"/>
    <n v="189"/>
    <x v="1024"/>
    <x v="1038"/>
    <x v="0"/>
    <x v="8"/>
    <x v="8"/>
    <s v="Monday"/>
  </r>
  <r>
    <s v="TXN-01072"/>
    <d v="2024-01-25T00:00:00"/>
    <d v="1899-12-30T21:15:00"/>
    <s v="Aditya Kaur"/>
    <s v="CUST0165"/>
    <x v="1"/>
    <x v="1"/>
    <x v="1"/>
    <s v="Food"/>
    <s v="Large"/>
    <n v="1"/>
    <n v="120"/>
    <n v="0"/>
    <n v="120"/>
    <n v="120"/>
    <x v="1"/>
    <x v="0"/>
    <x v="5"/>
    <x v="0"/>
    <x v="0"/>
    <x v="2"/>
    <n v="7"/>
    <n v="15"/>
    <x v="970"/>
    <x v="1039"/>
    <x v="3"/>
    <x v="0"/>
    <n v="120"/>
    <x v="0"/>
    <n v="120"/>
    <x v="1025"/>
    <x v="1039"/>
    <x v="0"/>
    <x v="2"/>
    <x v="2"/>
    <s v="Thursday"/>
  </r>
  <r>
    <s v="TXN-01073"/>
    <d v="2024-10-29T00:00:00"/>
    <d v="1899-12-30T07:00:00"/>
    <s v="Priya Mehta"/>
    <s v="Unknown"/>
    <x v="1"/>
    <x v="1"/>
    <x v="1"/>
    <s v="Food"/>
    <s v="Large"/>
    <n v="2"/>
    <n v="120"/>
    <n v="0.05"/>
    <n v="240"/>
    <n v="228"/>
    <x v="1"/>
    <x v="1"/>
    <x v="5"/>
    <x v="1"/>
    <x v="1"/>
    <x v="4"/>
    <n v="258"/>
    <n v="43"/>
    <x v="971"/>
    <x v="1040"/>
    <x v="1"/>
    <x v="0"/>
    <n v="240"/>
    <x v="2"/>
    <n v="228"/>
    <x v="1026"/>
    <x v="1040"/>
    <x v="0"/>
    <x v="10"/>
    <x v="10"/>
    <s v="Tuesday"/>
  </r>
  <r>
    <s v="TXN-01074"/>
    <d v="2024-09-12T00:00:00"/>
    <d v="1899-12-30T15:20:00"/>
    <s v="Unknown"/>
    <s v="CUST0183"/>
    <x v="1"/>
    <x v="11"/>
    <x v="0"/>
    <s v="Hot"/>
    <s v="Medium"/>
    <n v="1"/>
    <n v="90"/>
    <n v="0"/>
    <n v="90"/>
    <n v="90"/>
    <x v="0"/>
    <x v="3"/>
    <x v="4"/>
    <x v="6"/>
    <x v="0"/>
    <x v="0"/>
    <n v="394"/>
    <n v="55"/>
    <x v="972"/>
    <x v="1041"/>
    <x v="3"/>
    <x v="0"/>
    <n v="90"/>
    <x v="0"/>
    <n v="90"/>
    <x v="1027"/>
    <x v="1041"/>
    <x v="0"/>
    <x v="0"/>
    <x v="0"/>
    <s v="Thursday"/>
  </r>
  <r>
    <s v="TXN-01075"/>
    <d v="2024-08-26T00:00:00"/>
    <d v="1899-12-30T18:10:00"/>
    <s v="Aditya Chopra"/>
    <s v="CUST0256"/>
    <x v="2"/>
    <x v="10"/>
    <x v="1"/>
    <s v="Food"/>
    <s v="Large"/>
    <n v="1"/>
    <n v="110"/>
    <n v="0.05"/>
    <n v="110"/>
    <n v="104.5"/>
    <x v="0"/>
    <x v="0"/>
    <x v="5"/>
    <x v="6"/>
    <x v="0"/>
    <x v="1"/>
    <n v="240"/>
    <n v="20"/>
    <x v="973"/>
    <x v="1042"/>
    <x v="3"/>
    <x v="4"/>
    <n v="110"/>
    <x v="52"/>
    <n v="104.5"/>
    <x v="1028"/>
    <x v="1042"/>
    <x v="0"/>
    <x v="1"/>
    <x v="1"/>
    <s v="Monday"/>
  </r>
  <r>
    <s v="TXN-01076"/>
    <d v="2024-11-21T00:00:00"/>
    <d v="1899-12-30T20:30:00"/>
    <s v="Meera Gupta"/>
    <s v="CUST0163"/>
    <x v="3"/>
    <x v="6"/>
    <x v="0"/>
    <s v="Hot"/>
    <s v="Large"/>
    <n v="2"/>
    <n v="105"/>
    <n v="0.1"/>
    <n v="210"/>
    <n v="189"/>
    <x v="2"/>
    <x v="2"/>
    <x v="3"/>
    <x v="7"/>
    <x v="1"/>
    <x v="4"/>
    <n v="414"/>
    <n v="13"/>
    <x v="974"/>
    <x v="715"/>
    <x v="3"/>
    <x v="0"/>
    <n v="210"/>
    <x v="66"/>
    <n v="189"/>
    <x v="1029"/>
    <x v="715"/>
    <x v="0"/>
    <x v="11"/>
    <x v="11"/>
    <s v="Thursday"/>
  </r>
  <r>
    <s v="TXN-01077"/>
    <d v="2024-04-09T00:00:00"/>
    <d v="1899-12-30T09:50:00"/>
    <s v="Sahil Mehta"/>
    <s v="CUST0161"/>
    <x v="3"/>
    <x v="11"/>
    <x v="0"/>
    <s v="Hot"/>
    <s v="Large"/>
    <n v="3"/>
    <n v="90"/>
    <n v="0.1"/>
    <n v="270"/>
    <n v="243"/>
    <x v="0"/>
    <x v="3"/>
    <x v="1"/>
    <x v="3"/>
    <x v="0"/>
    <x v="1"/>
    <n v="265"/>
    <n v="35"/>
    <x v="975"/>
    <x v="1043"/>
    <x v="0"/>
    <x v="2"/>
    <n v="270"/>
    <x v="33"/>
    <n v="243"/>
    <x v="1030"/>
    <x v="1043"/>
    <x v="0"/>
    <x v="8"/>
    <x v="8"/>
    <s v="Tuesday"/>
  </r>
  <r>
    <s v="TXN-01078"/>
    <d v="2024-05-02T00:00:00"/>
    <d v="1899-12-30T16:45:00"/>
    <s v="Nikhil Bansal"/>
    <s v="CUST0253"/>
    <x v="2"/>
    <x v="2"/>
    <x v="1"/>
    <s v="Food"/>
    <s v="Large"/>
    <n v="2"/>
    <n v="65"/>
    <n v="0.05"/>
    <n v="130"/>
    <n v="123.5"/>
    <x v="0"/>
    <x v="1"/>
    <x v="0"/>
    <x v="7"/>
    <x v="0"/>
    <x v="4"/>
    <n v="244"/>
    <n v="19"/>
    <x v="976"/>
    <x v="1044"/>
    <x v="1"/>
    <x v="3"/>
    <n v="130"/>
    <x v="41"/>
    <n v="123.5"/>
    <x v="1031"/>
    <x v="1044"/>
    <x v="0"/>
    <x v="6"/>
    <x v="6"/>
    <s v="Thursday"/>
  </r>
  <r>
    <s v="TXN-01079"/>
    <d v="2024-08-31T00:00:00"/>
    <d v="1899-12-30T20:45:00"/>
    <s v="Sneha Malhotra"/>
    <s v="CUST0264"/>
    <x v="2"/>
    <x v="12"/>
    <x v="1"/>
    <s v="Food"/>
    <s v="Large"/>
    <n v="2"/>
    <n v="100"/>
    <n v="0"/>
    <n v="200"/>
    <n v="200"/>
    <x v="0"/>
    <x v="2"/>
    <x v="1"/>
    <x v="3"/>
    <x v="0"/>
    <x v="1"/>
    <n v="176"/>
    <n v="37"/>
    <x v="977"/>
    <x v="1045"/>
    <x v="3"/>
    <x v="2"/>
    <n v="200"/>
    <x v="0"/>
    <n v="200"/>
    <x v="1032"/>
    <x v="1045"/>
    <x v="0"/>
    <x v="1"/>
    <x v="1"/>
    <s v="Saturday"/>
  </r>
  <r>
    <s v="TXN-01080"/>
    <d v="2024-06-20T00:00:00"/>
    <d v="1899-12-30T19:10:00"/>
    <s v="Neha Sharma"/>
    <s v="CUST0338"/>
    <x v="2"/>
    <x v="11"/>
    <x v="0"/>
    <s v="Hot"/>
    <s v="Large"/>
    <n v="1"/>
    <n v="85"/>
    <n v="0.1"/>
    <n v="85"/>
    <n v="76.5"/>
    <x v="2"/>
    <x v="1"/>
    <x v="1"/>
    <x v="5"/>
    <x v="0"/>
    <x v="2"/>
    <n v="338"/>
    <n v="36"/>
    <x v="441"/>
    <x v="1046"/>
    <x v="0"/>
    <x v="1"/>
    <n v="85"/>
    <x v="20"/>
    <n v="76.5"/>
    <x v="688"/>
    <x v="1046"/>
    <x v="0"/>
    <x v="4"/>
    <x v="4"/>
    <s v="Thursday"/>
  </r>
  <r>
    <s v="TXN-01081"/>
    <d v="2024-06-19T00:00:00"/>
    <d v="1899-12-30T15:20:00"/>
    <s v="Karan Sharma"/>
    <s v="CUST0394"/>
    <x v="1"/>
    <x v="11"/>
    <x v="0"/>
    <s v="Hot"/>
    <s v="Medium"/>
    <n v="1"/>
    <n v="100"/>
    <n v="0.15"/>
    <n v="100"/>
    <n v="85"/>
    <x v="1"/>
    <x v="0"/>
    <x v="3"/>
    <x v="5"/>
    <x v="0"/>
    <x v="2"/>
    <n v="262"/>
    <n v="40"/>
    <x v="978"/>
    <x v="1047"/>
    <x v="4"/>
    <x v="2"/>
    <n v="100"/>
    <x v="51"/>
    <n v="85"/>
    <x v="1033"/>
    <x v="1047"/>
    <x v="0"/>
    <x v="4"/>
    <x v="4"/>
    <s v="Wednesday"/>
  </r>
  <r>
    <s v="TXN-01082"/>
    <d v="2024-06-29T00:00:00"/>
    <d v="1899-12-30T15:10:00"/>
    <s v="Sahil Verma"/>
    <s v="CUST0312"/>
    <x v="2"/>
    <x v="0"/>
    <x v="0"/>
    <s v="Hot"/>
    <s v="Small"/>
    <n v="1"/>
    <n v="130"/>
    <n v="0"/>
    <n v="130"/>
    <n v="130"/>
    <x v="3"/>
    <x v="3"/>
    <x v="6"/>
    <x v="1"/>
    <x v="0"/>
    <x v="2"/>
    <n v="481"/>
    <n v="46"/>
    <x v="137"/>
    <x v="1048"/>
    <x v="2"/>
    <x v="3"/>
    <n v="130"/>
    <x v="0"/>
    <n v="130"/>
    <x v="1034"/>
    <x v="1048"/>
    <x v="0"/>
    <x v="4"/>
    <x v="4"/>
    <s v="Saturday"/>
  </r>
  <r>
    <s v="TXN-01083"/>
    <d v="2024-02-03T00:00:00"/>
    <d v="1899-12-30T20:20:00"/>
    <s v="Riya Verma"/>
    <s v="CUST0105"/>
    <x v="3"/>
    <x v="0"/>
    <x v="0"/>
    <s v="Hot"/>
    <s v="Medium"/>
    <n v="2"/>
    <n v="135"/>
    <n v="0.1"/>
    <n v="270"/>
    <n v="243"/>
    <x v="2"/>
    <x v="0"/>
    <x v="6"/>
    <x v="1"/>
    <x v="0"/>
    <x v="4"/>
    <n v="98"/>
    <n v="50"/>
    <x v="560"/>
    <x v="1049"/>
    <x v="3"/>
    <x v="1"/>
    <n v="270"/>
    <x v="33"/>
    <n v="243"/>
    <x v="1035"/>
    <x v="1049"/>
    <x v="0"/>
    <x v="3"/>
    <x v="3"/>
    <s v="Saturday"/>
  </r>
  <r>
    <s v="TXN-01084"/>
    <d v="2024-05-05T00:00:00"/>
    <d v="1899-12-30T17:30:00"/>
    <s v="Pooja Kaur"/>
    <s v="CUST0192"/>
    <x v="3"/>
    <x v="13"/>
    <x v="2"/>
    <s v="Cold"/>
    <s v="Small"/>
    <n v="1"/>
    <n v="120"/>
    <n v="0.1"/>
    <n v="120"/>
    <n v="108"/>
    <x v="0"/>
    <x v="1"/>
    <x v="2"/>
    <x v="6"/>
    <x v="0"/>
    <x v="2"/>
    <n v="447"/>
    <n v="52"/>
    <x v="913"/>
    <x v="1050"/>
    <x v="0"/>
    <x v="1"/>
    <n v="120"/>
    <x v="2"/>
    <n v="108"/>
    <x v="1036"/>
    <x v="1050"/>
    <x v="0"/>
    <x v="6"/>
    <x v="6"/>
    <s v="Sunday"/>
  </r>
  <r>
    <s v="TXN-01085"/>
    <d v="2024-05-19T00:00:00"/>
    <d v="1899-12-30T09:45:00"/>
    <s v="Rahul Malhotra"/>
    <s v="CUST0301"/>
    <x v="3"/>
    <x v="12"/>
    <x v="1"/>
    <s v="Food"/>
    <s v="Medium"/>
    <n v="4"/>
    <n v="90"/>
    <n v="0.1"/>
    <n v="360"/>
    <n v="324"/>
    <x v="2"/>
    <x v="3"/>
    <x v="5"/>
    <x v="3"/>
    <x v="1"/>
    <x v="4"/>
    <n v="49"/>
    <n v="34"/>
    <x v="979"/>
    <x v="1051"/>
    <x v="0"/>
    <x v="4"/>
    <n v="360"/>
    <x v="72"/>
    <n v="324"/>
    <x v="1037"/>
    <x v="1051"/>
    <x v="0"/>
    <x v="6"/>
    <x v="6"/>
    <s v="Sunday"/>
  </r>
  <r>
    <s v="TXN-01086"/>
    <d v="2024-06-10T00:00:00"/>
    <d v="1899-12-30T18:10:00"/>
    <s v="Simran Chopra"/>
    <s v="CUST0214"/>
    <x v="3"/>
    <x v="12"/>
    <x v="1"/>
    <s v="Food"/>
    <s v="Medium"/>
    <n v="2"/>
    <n v="100"/>
    <n v="0.05"/>
    <n v="200"/>
    <n v="190"/>
    <x v="0"/>
    <x v="2"/>
    <x v="6"/>
    <x v="3"/>
    <x v="0"/>
    <x v="4"/>
    <n v="335"/>
    <n v="26"/>
    <x v="359"/>
    <x v="1052"/>
    <x v="0"/>
    <x v="0"/>
    <n v="200"/>
    <x v="4"/>
    <n v="190"/>
    <x v="366"/>
    <x v="1052"/>
    <x v="0"/>
    <x v="4"/>
    <x v="4"/>
    <s v="Monday"/>
  </r>
  <r>
    <s v="TXN-01087"/>
    <d v="2024-09-10T00:00:00"/>
    <d v="1899-12-30T10:15:00"/>
    <s v="Karan Malhotra"/>
    <s v="CUST0174"/>
    <x v="2"/>
    <x v="8"/>
    <x v="0"/>
    <s v="Cold"/>
    <s v="Medium"/>
    <n v="1"/>
    <n v="165"/>
    <n v="0.05"/>
    <n v="165"/>
    <n v="156.75"/>
    <x v="1"/>
    <x v="1"/>
    <x v="5"/>
    <x v="4"/>
    <x v="0"/>
    <x v="0"/>
    <n v="211"/>
    <n v="36"/>
    <x v="980"/>
    <x v="1053"/>
    <x v="0"/>
    <x v="3"/>
    <n v="165"/>
    <x v="39"/>
    <n v="156.75"/>
    <x v="1038"/>
    <x v="1053"/>
    <x v="0"/>
    <x v="0"/>
    <x v="0"/>
    <s v="Tuesday"/>
  </r>
  <r>
    <s v="TXN-01088"/>
    <d v="2024-08-03T00:00:00"/>
    <d v="1899-12-30T10:30:00"/>
    <s v="Aarav Sharma"/>
    <s v="CUST0151"/>
    <x v="2"/>
    <x v="4"/>
    <x v="0"/>
    <s v="Cold"/>
    <s v="Small"/>
    <n v="1"/>
    <n v="150"/>
    <n v="0.1"/>
    <n v="150"/>
    <n v="135"/>
    <x v="2"/>
    <x v="0"/>
    <x v="6"/>
    <x v="1"/>
    <x v="0"/>
    <x v="1"/>
    <n v="244"/>
    <n v="19"/>
    <x v="981"/>
    <x v="1054"/>
    <x v="0"/>
    <x v="2"/>
    <n v="150"/>
    <x v="51"/>
    <n v="135"/>
    <x v="1039"/>
    <x v="1054"/>
    <x v="0"/>
    <x v="1"/>
    <x v="1"/>
    <s v="Saturday"/>
  </r>
  <r>
    <s v="TXN-01089"/>
    <d v="2024-05-30T00:00:00"/>
    <d v="1899-12-30T10:50:00"/>
    <s v="Nikhil Bansal"/>
    <s v="CUST0383"/>
    <x v="3"/>
    <x v="2"/>
    <x v="1"/>
    <s v="Food"/>
    <s v="Large"/>
    <n v="1"/>
    <n v="75"/>
    <n v="0"/>
    <n v="75"/>
    <n v="75"/>
    <x v="1"/>
    <x v="3"/>
    <x v="0"/>
    <x v="2"/>
    <x v="1"/>
    <x v="0"/>
    <n v="244"/>
    <n v="21"/>
    <x v="612"/>
    <x v="1055"/>
    <x v="4"/>
    <x v="2"/>
    <n v="75"/>
    <x v="0"/>
    <n v="75"/>
    <x v="1040"/>
    <x v="1055"/>
    <x v="0"/>
    <x v="6"/>
    <x v="6"/>
    <s v="Thursday"/>
  </r>
  <r>
    <s v="TXN-01090"/>
    <d v="2024-10-31T00:00:00"/>
    <d v="1899-12-30T09:30:00"/>
    <s v="Simran Sharma"/>
    <s v="CUST0231"/>
    <x v="1"/>
    <x v="1"/>
    <x v="1"/>
    <s v="Food"/>
    <s v="Large"/>
    <n v="3"/>
    <n v="120"/>
    <n v="0.1"/>
    <n v="360"/>
    <n v="324"/>
    <x v="1"/>
    <x v="2"/>
    <x v="6"/>
    <x v="2"/>
    <x v="0"/>
    <x v="3"/>
    <n v="202"/>
    <n v="48"/>
    <x v="982"/>
    <x v="1056"/>
    <x v="3"/>
    <x v="1"/>
    <n v="360"/>
    <x v="72"/>
    <n v="324"/>
    <x v="1041"/>
    <x v="1056"/>
    <x v="0"/>
    <x v="10"/>
    <x v="10"/>
    <s v="Thursday"/>
  </r>
  <r>
    <s v="TXN-01091"/>
    <d v="2024-08-26T00:00:00"/>
    <d v="1899-12-30T19:10:00"/>
    <s v="Rohan Kapoor"/>
    <s v="CUST0106"/>
    <x v="3"/>
    <x v="2"/>
    <x v="1"/>
    <s v="Food"/>
    <s v="Unknown"/>
    <n v="2"/>
    <n v="70"/>
    <n v="0.05"/>
    <n v="140"/>
    <n v="133"/>
    <x v="3"/>
    <x v="0"/>
    <x v="6"/>
    <x v="3"/>
    <x v="0"/>
    <x v="0"/>
    <n v="122"/>
    <n v="27"/>
    <x v="983"/>
    <x v="1057"/>
    <x v="2"/>
    <x v="0"/>
    <n v="140"/>
    <x v="22"/>
    <n v="133"/>
    <x v="1042"/>
    <x v="1057"/>
    <x v="0"/>
    <x v="1"/>
    <x v="1"/>
    <s v="Monday"/>
  </r>
  <r>
    <s v="TXN-01092"/>
    <d v="2024-05-25T00:00:00"/>
    <d v="1899-12-30T18:15:00"/>
    <s v="Simran Sharma"/>
    <s v="CUST0248"/>
    <x v="3"/>
    <x v="5"/>
    <x v="2"/>
    <s v="Hot"/>
    <s v="Unknown"/>
    <n v="1"/>
    <n v="95"/>
    <n v="0"/>
    <n v="95"/>
    <n v="95"/>
    <x v="2"/>
    <x v="0"/>
    <x v="6"/>
    <x v="6"/>
    <x v="0"/>
    <x v="2"/>
    <n v="453"/>
    <n v="34"/>
    <x v="984"/>
    <x v="1058"/>
    <x v="3"/>
    <x v="0"/>
    <n v="95"/>
    <x v="0"/>
    <n v="95"/>
    <x v="1043"/>
    <x v="1058"/>
    <x v="0"/>
    <x v="6"/>
    <x v="6"/>
    <s v="Saturday"/>
  </r>
  <r>
    <s v="TXN-01093"/>
    <d v="2024-12-16T00:00:00"/>
    <d v="1899-12-30T09:00:00"/>
    <s v="Isha Bansal"/>
    <s v="CUST0107"/>
    <x v="2"/>
    <x v="13"/>
    <x v="2"/>
    <s v="Cold"/>
    <s v="Large"/>
    <n v="3"/>
    <n v="110"/>
    <n v="0.05"/>
    <n v="330"/>
    <n v="313.5"/>
    <x v="0"/>
    <x v="0"/>
    <x v="6"/>
    <x v="1"/>
    <x v="0"/>
    <x v="2"/>
    <n v="375"/>
    <n v="23"/>
    <x v="985"/>
    <x v="1059"/>
    <x v="4"/>
    <x v="0"/>
    <n v="330"/>
    <x v="42"/>
    <n v="313.5"/>
    <x v="1044"/>
    <x v="1059"/>
    <x v="0"/>
    <x v="9"/>
    <x v="9"/>
    <s v="Monday"/>
  </r>
  <r>
    <s v="TXN-01094"/>
    <d v="2024-03-17T00:00:00"/>
    <d v="1899-12-30T14:15:00"/>
    <s v="Karan Mehta"/>
    <s v="CUST0302"/>
    <x v="3"/>
    <x v="9"/>
    <x v="2"/>
    <s v="Hot"/>
    <s v="Large"/>
    <n v="2"/>
    <n v="80"/>
    <n v="0.15"/>
    <n v="160"/>
    <n v="136"/>
    <x v="0"/>
    <x v="1"/>
    <x v="6"/>
    <x v="5"/>
    <x v="2"/>
    <x v="4"/>
    <n v="125"/>
    <n v="36"/>
    <x v="986"/>
    <x v="1060"/>
    <x v="1"/>
    <x v="0"/>
    <n v="160"/>
    <x v="27"/>
    <n v="136"/>
    <x v="1045"/>
    <x v="1060"/>
    <x v="0"/>
    <x v="5"/>
    <x v="5"/>
    <s v="Sunday"/>
  </r>
  <r>
    <s v="TXN-01095"/>
    <d v="2024-06-29T00:00:00"/>
    <d v="1899-12-30T10:15:00"/>
    <s v="Kavya Sharma"/>
    <s v="Unknown"/>
    <x v="2"/>
    <x v="9"/>
    <x v="2"/>
    <s v="Hot"/>
    <s v="Medium"/>
    <n v="2"/>
    <n v="90"/>
    <n v="0"/>
    <n v="180"/>
    <n v="180"/>
    <x v="1"/>
    <x v="3"/>
    <x v="6"/>
    <x v="2"/>
    <x v="0"/>
    <x v="4"/>
    <n v="77"/>
    <n v="32"/>
    <x v="987"/>
    <x v="1061"/>
    <x v="3"/>
    <x v="4"/>
    <n v="180"/>
    <x v="0"/>
    <n v="180"/>
    <x v="1046"/>
    <x v="1061"/>
    <x v="0"/>
    <x v="4"/>
    <x v="4"/>
    <s v="Saturday"/>
  </r>
  <r>
    <s v="TXN-01096"/>
    <d v="2024-03-14T00:00:00"/>
    <d v="1899-12-30T18:30:00"/>
    <s v="Rahul Chopra"/>
    <s v="CUST0128"/>
    <x v="2"/>
    <x v="15"/>
    <x v="4"/>
    <s v="Food"/>
    <s v="Unknown"/>
    <n v="1"/>
    <n v="190"/>
    <n v="0"/>
    <n v="190"/>
    <n v="190"/>
    <x v="2"/>
    <x v="0"/>
    <x v="3"/>
    <x v="2"/>
    <x v="0"/>
    <x v="4"/>
    <n v="177"/>
    <n v="37"/>
    <x v="988"/>
    <x v="1062"/>
    <x v="3"/>
    <x v="2"/>
    <n v="190"/>
    <x v="0"/>
    <n v="190"/>
    <x v="1047"/>
    <x v="1062"/>
    <x v="0"/>
    <x v="5"/>
    <x v="5"/>
    <s v="Thursday"/>
  </r>
  <r>
    <s v="TXN-01097"/>
    <d v="2024-05-21T00:00:00"/>
    <d v="1899-12-30T09:45:00"/>
    <s v="Vivaan Gupta"/>
    <s v="CUST0380"/>
    <x v="1"/>
    <x v="13"/>
    <x v="2"/>
    <s v="Cold"/>
    <s v="Large"/>
    <n v="1"/>
    <n v="110"/>
    <n v="0"/>
    <n v="110"/>
    <n v="110"/>
    <x v="2"/>
    <x v="3"/>
    <x v="6"/>
    <x v="6"/>
    <x v="0"/>
    <x v="1"/>
    <n v="375"/>
    <n v="35"/>
    <x v="989"/>
    <x v="1063"/>
    <x v="3"/>
    <x v="0"/>
    <n v="110"/>
    <x v="0"/>
    <n v="110"/>
    <x v="1048"/>
    <x v="1063"/>
    <x v="0"/>
    <x v="6"/>
    <x v="6"/>
    <s v="Tuesday"/>
  </r>
  <r>
    <s v="TXN-01098"/>
    <d v="2024-07-02T00:00:00"/>
    <d v="1899-12-30T16:10:00"/>
    <s v="Kavya Sharma"/>
    <s v="CUST0160"/>
    <x v="1"/>
    <x v="5"/>
    <x v="2"/>
    <s v="Hot"/>
    <s v="Small"/>
    <n v="1"/>
    <n v="100"/>
    <n v="0"/>
    <n v="100"/>
    <n v="100"/>
    <x v="0"/>
    <x v="3"/>
    <x v="5"/>
    <x v="0"/>
    <x v="0"/>
    <x v="0"/>
    <n v="389"/>
    <n v="13"/>
    <x v="990"/>
    <x v="1064"/>
    <x v="1"/>
    <x v="0"/>
    <n v="100"/>
    <x v="0"/>
    <n v="100"/>
    <x v="1049"/>
    <x v="1064"/>
    <x v="0"/>
    <x v="7"/>
    <x v="7"/>
    <s v="Tuesday"/>
  </r>
  <r>
    <s v="TXN-01099"/>
    <d v="2024-12-22T00:00:00"/>
    <d v="1899-12-30T19:00:00"/>
    <s v="Rahul Mehta"/>
    <s v="CUST0213"/>
    <x v="2"/>
    <x v="12"/>
    <x v="1"/>
    <s v="Food"/>
    <s v="Large"/>
    <n v="1"/>
    <n v="90"/>
    <n v="0.05"/>
    <n v="90"/>
    <n v="85.5"/>
    <x v="1"/>
    <x v="3"/>
    <x v="0"/>
    <x v="5"/>
    <x v="1"/>
    <x v="0"/>
    <n v="272"/>
    <n v="35"/>
    <x v="991"/>
    <x v="1065"/>
    <x v="1"/>
    <x v="0"/>
    <n v="90"/>
    <x v="31"/>
    <n v="85.5"/>
    <x v="1050"/>
    <x v="1065"/>
    <x v="0"/>
    <x v="9"/>
    <x v="9"/>
    <s v="Sunday"/>
  </r>
  <r>
    <s v="TXN-01100"/>
    <d v="2024-10-14T00:00:00"/>
    <d v="1899-12-30T09:45:00"/>
    <s v="Riya Gupta"/>
    <s v="CUST0249"/>
    <x v="2"/>
    <x v="0"/>
    <x v="0"/>
    <s v="Hot"/>
    <s v="Small"/>
    <n v="1"/>
    <n v="135"/>
    <n v="0"/>
    <n v="135"/>
    <n v="135"/>
    <x v="2"/>
    <x v="2"/>
    <x v="2"/>
    <x v="7"/>
    <x v="0"/>
    <x v="2"/>
    <n v="410"/>
    <n v="43"/>
    <x v="992"/>
    <x v="1066"/>
    <x v="4"/>
    <x v="3"/>
    <n v="135"/>
    <x v="0"/>
    <n v="135"/>
    <x v="1051"/>
    <x v="1066"/>
    <x v="0"/>
    <x v="10"/>
    <x v="10"/>
    <s v="Monday"/>
  </r>
  <r>
    <s v="TXN-01101"/>
    <d v="2024-03-10T00:00:00"/>
    <d v="1899-12-30T13:20:00"/>
    <s v="Kavya Sharma"/>
    <s v="CUST0138"/>
    <x v="0"/>
    <x v="15"/>
    <x v="4"/>
    <s v="Food"/>
    <s v="Small"/>
    <n v="1"/>
    <n v="190"/>
    <n v="0.05"/>
    <n v="190"/>
    <n v="180.5"/>
    <x v="3"/>
    <x v="3"/>
    <x v="0"/>
    <x v="0"/>
    <x v="1"/>
    <x v="4"/>
    <n v="162"/>
    <n v="50"/>
    <x v="993"/>
    <x v="1067"/>
    <x v="3"/>
    <x v="1"/>
    <n v="190"/>
    <x v="10"/>
    <n v="180.5"/>
    <x v="1052"/>
    <x v="1067"/>
    <x v="0"/>
    <x v="5"/>
    <x v="5"/>
    <s v="Sunday"/>
  </r>
  <r>
    <s v="TXN-01102"/>
    <d v="2024-03-26T00:00:00"/>
    <d v="1899-12-30T19:45:00"/>
    <s v="Rohan Gupta"/>
    <s v="CUST0286"/>
    <x v="2"/>
    <x v="5"/>
    <x v="2"/>
    <s v="Hot"/>
    <s v="Medium"/>
    <n v="1"/>
    <n v="90"/>
    <n v="0.15"/>
    <n v="90"/>
    <n v="76.5"/>
    <x v="3"/>
    <x v="1"/>
    <x v="3"/>
    <x v="7"/>
    <x v="0"/>
    <x v="2"/>
    <n v="0"/>
    <n v="32"/>
    <x v="738"/>
    <x v="1068"/>
    <x v="3"/>
    <x v="2"/>
    <n v="90"/>
    <x v="46"/>
    <n v="76.5"/>
    <x v="1053"/>
    <x v="1068"/>
    <x v="0"/>
    <x v="5"/>
    <x v="5"/>
    <s v="Tuesday"/>
  </r>
  <r>
    <s v="TXN-01103"/>
    <d v="2024-02-22T00:00:00"/>
    <d v="1899-12-30T17:45:00"/>
    <s v="Aarav Kaur"/>
    <s v="CUST0194"/>
    <x v="1"/>
    <x v="8"/>
    <x v="0"/>
    <s v="Cold"/>
    <s v="Small"/>
    <n v="1"/>
    <n v="155"/>
    <n v="0"/>
    <n v="155"/>
    <n v="155"/>
    <x v="0"/>
    <x v="3"/>
    <x v="6"/>
    <x v="4"/>
    <x v="0"/>
    <x v="4"/>
    <n v="244"/>
    <n v="35"/>
    <x v="994"/>
    <x v="1069"/>
    <x v="0"/>
    <x v="3"/>
    <n v="155"/>
    <x v="0"/>
    <n v="155"/>
    <x v="1054"/>
    <x v="1069"/>
    <x v="0"/>
    <x v="3"/>
    <x v="3"/>
    <s v="Thursday"/>
  </r>
  <r>
    <s v="TXN-01104"/>
    <d v="2024-03-17T00:00:00"/>
    <d v="1899-12-30T07:30:00"/>
    <s v="Vivaan Bansal"/>
    <s v="Unknown"/>
    <x v="0"/>
    <x v="0"/>
    <x v="0"/>
    <s v="Hot"/>
    <s v="Medium"/>
    <n v="1"/>
    <n v="135"/>
    <n v="0.15"/>
    <n v="135"/>
    <n v="114.75"/>
    <x v="0"/>
    <x v="1"/>
    <x v="5"/>
    <x v="5"/>
    <x v="0"/>
    <x v="1"/>
    <n v="423"/>
    <n v="22"/>
    <x v="995"/>
    <x v="1070"/>
    <x v="3"/>
    <x v="4"/>
    <n v="135"/>
    <x v="112"/>
    <n v="114.75"/>
    <x v="1055"/>
    <x v="1070"/>
    <x v="0"/>
    <x v="5"/>
    <x v="5"/>
    <s v="Sunday"/>
  </r>
  <r>
    <s v="TXN-01105"/>
    <d v="2024-05-03T00:00:00"/>
    <d v="1899-12-30T10:10:00"/>
    <s v="Karan Mehta"/>
    <s v="CUST0145"/>
    <x v="3"/>
    <x v="8"/>
    <x v="0"/>
    <s v="Cold"/>
    <s v="Small"/>
    <n v="1"/>
    <n v="165"/>
    <n v="0"/>
    <n v="165"/>
    <n v="165"/>
    <x v="0"/>
    <x v="1"/>
    <x v="2"/>
    <x v="1"/>
    <x v="2"/>
    <x v="4"/>
    <n v="420"/>
    <n v="53"/>
    <x v="996"/>
    <x v="1071"/>
    <x v="0"/>
    <x v="1"/>
    <n v="165"/>
    <x v="0"/>
    <n v="165"/>
    <x v="1056"/>
    <x v="1071"/>
    <x v="0"/>
    <x v="6"/>
    <x v="6"/>
    <s v="Friday"/>
  </r>
  <r>
    <s v="TXN-01106"/>
    <d v="2024-02-17T00:00:00"/>
    <d v="1899-12-30T09:45:00"/>
    <s v="Riya Sharma"/>
    <s v="CUST0124"/>
    <x v="3"/>
    <x v="12"/>
    <x v="1"/>
    <s v="Food"/>
    <s v="Large"/>
    <n v="1"/>
    <n v="90"/>
    <n v="0.15"/>
    <n v="90"/>
    <n v="76.5"/>
    <x v="2"/>
    <x v="2"/>
    <x v="0"/>
    <x v="0"/>
    <x v="0"/>
    <x v="4"/>
    <n v="184"/>
    <n v="37"/>
    <x v="997"/>
    <x v="1072"/>
    <x v="0"/>
    <x v="3"/>
    <n v="90"/>
    <x v="46"/>
    <n v="76.5"/>
    <x v="1057"/>
    <x v="1072"/>
    <x v="0"/>
    <x v="3"/>
    <x v="3"/>
    <s v="Saturday"/>
  </r>
  <r>
    <s v="TXN-01107"/>
    <d v="2024-04-03T00:00:00"/>
    <d v="1899-12-30T12:30:00"/>
    <s v="Ananya Malhotra"/>
    <s v="CUST0219"/>
    <x v="3"/>
    <x v="5"/>
    <x v="2"/>
    <s v="Hot"/>
    <s v="Large"/>
    <n v="1"/>
    <n v="90"/>
    <n v="0.1"/>
    <n v="90"/>
    <n v="81"/>
    <x v="0"/>
    <x v="2"/>
    <x v="2"/>
    <x v="0"/>
    <x v="1"/>
    <x v="2"/>
    <n v="220"/>
    <n v="46"/>
    <x v="998"/>
    <x v="1073"/>
    <x v="3"/>
    <x v="1"/>
    <n v="90"/>
    <x v="13"/>
    <n v="81"/>
    <x v="1058"/>
    <x v="1073"/>
    <x v="0"/>
    <x v="8"/>
    <x v="8"/>
    <s v="Wednesday"/>
  </r>
  <r>
    <s v="TXN-01108"/>
    <d v="2024-11-03T00:00:00"/>
    <d v="1899-12-30T20:00:00"/>
    <s v="Arjun Chopra"/>
    <s v="CUST0224"/>
    <x v="2"/>
    <x v="9"/>
    <x v="2"/>
    <s v="Hot"/>
    <s v="Small"/>
    <n v="2"/>
    <n v="80"/>
    <n v="0.1"/>
    <n v="160"/>
    <n v="144"/>
    <x v="2"/>
    <x v="0"/>
    <x v="1"/>
    <x v="3"/>
    <x v="0"/>
    <x v="0"/>
    <n v="42"/>
    <n v="26"/>
    <x v="999"/>
    <x v="354"/>
    <x v="0"/>
    <x v="2"/>
    <n v="160"/>
    <x v="3"/>
    <n v="144"/>
    <x v="1059"/>
    <x v="354"/>
    <x v="0"/>
    <x v="11"/>
    <x v="11"/>
    <s v="Sunday"/>
  </r>
  <r>
    <s v="TXN-01109"/>
    <d v="2024-06-25T00:00:00"/>
    <d v="1899-12-30T07:50:00"/>
    <s v="Unknown"/>
    <s v="CUST0210"/>
    <x v="2"/>
    <x v="10"/>
    <x v="1"/>
    <s v="Food"/>
    <s v="Medium"/>
    <n v="1"/>
    <n v="100"/>
    <n v="0"/>
    <n v="100"/>
    <n v="100"/>
    <x v="2"/>
    <x v="3"/>
    <x v="4"/>
    <x v="5"/>
    <x v="0"/>
    <x v="3"/>
    <n v="244"/>
    <n v="30"/>
    <x v="1000"/>
    <x v="1074"/>
    <x v="3"/>
    <x v="3"/>
    <n v="100"/>
    <x v="0"/>
    <n v="100"/>
    <x v="1060"/>
    <x v="1074"/>
    <x v="0"/>
    <x v="4"/>
    <x v="4"/>
    <s v="Tuesday"/>
  </r>
  <r>
    <s v="TXN-01110"/>
    <d v="2024-05-02T00:00:00"/>
    <d v="1899-12-30T07:10:00"/>
    <s v="Sahil Mehta"/>
    <s v="CUST0131"/>
    <x v="3"/>
    <x v="0"/>
    <x v="0"/>
    <s v="Hot"/>
    <s v="Small"/>
    <n v="3"/>
    <n v="130"/>
    <n v="0.05"/>
    <n v="390"/>
    <n v="370.5"/>
    <x v="3"/>
    <x v="3"/>
    <x v="2"/>
    <x v="2"/>
    <x v="2"/>
    <x v="0"/>
    <n v="80"/>
    <n v="21"/>
    <x v="1001"/>
    <x v="1075"/>
    <x v="2"/>
    <x v="3"/>
    <n v="390"/>
    <x v="50"/>
    <n v="370.5"/>
    <x v="1061"/>
    <x v="1075"/>
    <x v="0"/>
    <x v="6"/>
    <x v="6"/>
    <s v="Thursday"/>
  </r>
  <r>
    <s v="TXN-01111"/>
    <d v="2024-11-19T00:00:00"/>
    <d v="1899-12-30T10:30:00"/>
    <s v="Simran Gupta"/>
    <s v="CUST0362"/>
    <x v="1"/>
    <x v="5"/>
    <x v="2"/>
    <s v="Hot"/>
    <s v="Unknown"/>
    <n v="2"/>
    <n v="95"/>
    <n v="0.05"/>
    <n v="190"/>
    <n v="180.5"/>
    <x v="3"/>
    <x v="0"/>
    <x v="3"/>
    <x v="0"/>
    <x v="0"/>
    <x v="0"/>
    <n v="260"/>
    <n v="13"/>
    <x v="328"/>
    <x v="148"/>
    <x v="3"/>
    <x v="4"/>
    <n v="190"/>
    <x v="10"/>
    <n v="180.5"/>
    <x v="1062"/>
    <x v="148"/>
    <x v="0"/>
    <x v="11"/>
    <x v="11"/>
    <s v="Tuesday"/>
  </r>
  <r>
    <s v="TXN-01112"/>
    <d v="2024-11-06T00:00:00"/>
    <d v="1899-12-30T09:15:00"/>
    <s v="Pooja Malhotra"/>
    <s v="CUST0255"/>
    <x v="2"/>
    <x v="8"/>
    <x v="0"/>
    <s v="Cold"/>
    <s v="Medium"/>
    <n v="1"/>
    <n v="160"/>
    <n v="0.1"/>
    <n v="160"/>
    <n v="144"/>
    <x v="3"/>
    <x v="2"/>
    <x v="2"/>
    <x v="6"/>
    <x v="0"/>
    <x v="2"/>
    <n v="457"/>
    <n v="37"/>
    <x v="1002"/>
    <x v="1076"/>
    <x v="4"/>
    <x v="0"/>
    <n v="160"/>
    <x v="3"/>
    <n v="144"/>
    <x v="1063"/>
    <x v="1076"/>
    <x v="0"/>
    <x v="11"/>
    <x v="11"/>
    <s v="Wednesday"/>
  </r>
  <r>
    <s v="TXN-01113"/>
    <d v="2024-08-09T00:00:00"/>
    <d v="1899-12-30T17:10:00"/>
    <s v="Vivaan Sharma"/>
    <s v="CUST0186"/>
    <x v="0"/>
    <x v="9"/>
    <x v="2"/>
    <s v="Hot"/>
    <s v="Medium"/>
    <n v="2"/>
    <n v="90"/>
    <n v="0"/>
    <n v="180"/>
    <n v="180"/>
    <x v="0"/>
    <x v="0"/>
    <x v="3"/>
    <x v="6"/>
    <x v="2"/>
    <x v="4"/>
    <n v="144"/>
    <n v="34"/>
    <x v="622"/>
    <x v="1077"/>
    <x v="2"/>
    <x v="0"/>
    <n v="180"/>
    <x v="0"/>
    <n v="180"/>
    <x v="638"/>
    <x v="1077"/>
    <x v="0"/>
    <x v="1"/>
    <x v="1"/>
    <s v="Friday"/>
  </r>
  <r>
    <s v="TXN-01114"/>
    <d v="2024-11-12T00:00:00"/>
    <d v="1899-12-30T14:45:00"/>
    <s v="Kavya Kaur"/>
    <s v="CUST0164"/>
    <x v="3"/>
    <x v="8"/>
    <x v="0"/>
    <s v="Cold"/>
    <s v="Medium"/>
    <n v="1"/>
    <n v="160"/>
    <n v="0.1"/>
    <n v="160"/>
    <n v="144"/>
    <x v="0"/>
    <x v="3"/>
    <x v="6"/>
    <x v="5"/>
    <x v="0"/>
    <x v="0"/>
    <n v="25"/>
    <n v="32"/>
    <x v="1003"/>
    <x v="1078"/>
    <x v="1"/>
    <x v="2"/>
    <n v="160"/>
    <x v="3"/>
    <n v="144"/>
    <x v="1064"/>
    <x v="1078"/>
    <x v="0"/>
    <x v="11"/>
    <x v="11"/>
    <s v="Tuesday"/>
  </r>
  <r>
    <s v="TXN-01115"/>
    <d v="2024-06-24T00:00:00"/>
    <d v="1899-12-30T08:45:00"/>
    <s v="Aditya Gupta"/>
    <s v="CUST0296"/>
    <x v="2"/>
    <x v="9"/>
    <x v="2"/>
    <s v="Hot"/>
    <s v="Small"/>
    <n v="1"/>
    <n v="75"/>
    <n v="0"/>
    <n v="75"/>
    <n v="75"/>
    <x v="2"/>
    <x v="0"/>
    <x v="1"/>
    <x v="7"/>
    <x v="1"/>
    <x v="2"/>
    <n v="461"/>
    <n v="25"/>
    <x v="887"/>
    <x v="1079"/>
    <x v="0"/>
    <x v="0"/>
    <n v="75"/>
    <x v="0"/>
    <n v="75"/>
    <x v="1065"/>
    <x v="1079"/>
    <x v="0"/>
    <x v="4"/>
    <x v="4"/>
    <s v="Monday"/>
  </r>
  <r>
    <s v="TXN-01116"/>
    <d v="2024-12-02T00:00:00"/>
    <d v="1899-12-30T18:20:00"/>
    <s v="Nikhil Bansal"/>
    <s v="CUST0348"/>
    <x v="1"/>
    <x v="6"/>
    <x v="0"/>
    <s v="Hot"/>
    <s v="Small"/>
    <n v="4"/>
    <n v="105"/>
    <n v="0.1"/>
    <n v="420"/>
    <n v="378"/>
    <x v="0"/>
    <x v="1"/>
    <x v="6"/>
    <x v="3"/>
    <x v="0"/>
    <x v="2"/>
    <n v="465"/>
    <n v="33"/>
    <x v="1004"/>
    <x v="1080"/>
    <x v="0"/>
    <x v="0"/>
    <n v="420"/>
    <x v="28"/>
    <n v="378"/>
    <x v="1066"/>
    <x v="1080"/>
    <x v="0"/>
    <x v="9"/>
    <x v="9"/>
    <s v="Monday"/>
  </r>
  <r>
    <s v="TXN-01117"/>
    <d v="2024-02-13T00:00:00"/>
    <d v="1899-12-30T20:30:00"/>
    <s v="Sahil Sharma"/>
    <s v="CUST0164"/>
    <x v="2"/>
    <x v="8"/>
    <x v="0"/>
    <s v="Cold"/>
    <s v="Small"/>
    <n v="2"/>
    <n v="160"/>
    <n v="0.05"/>
    <n v="320"/>
    <n v="304"/>
    <x v="1"/>
    <x v="3"/>
    <x v="4"/>
    <x v="1"/>
    <x v="0"/>
    <x v="2"/>
    <n v="282"/>
    <n v="53"/>
    <x v="1005"/>
    <x v="1081"/>
    <x v="2"/>
    <x v="2"/>
    <n v="320"/>
    <x v="3"/>
    <n v="304"/>
    <x v="1067"/>
    <x v="1081"/>
    <x v="0"/>
    <x v="3"/>
    <x v="3"/>
    <s v="Tuesday"/>
  </r>
  <r>
    <s v="TXN-01118"/>
    <d v="2024-07-05T00:00:00"/>
    <d v="1899-12-30T10:00:00"/>
    <s v="Aditya Chopra"/>
    <s v="CUST0298"/>
    <x v="3"/>
    <x v="5"/>
    <x v="2"/>
    <s v="Hot"/>
    <s v="Large"/>
    <n v="1"/>
    <n v="90"/>
    <n v="0"/>
    <n v="90"/>
    <n v="90"/>
    <x v="1"/>
    <x v="0"/>
    <x v="6"/>
    <x v="7"/>
    <x v="0"/>
    <x v="3"/>
    <n v="96"/>
    <n v="34"/>
    <x v="1006"/>
    <x v="1082"/>
    <x v="0"/>
    <x v="0"/>
    <n v="90"/>
    <x v="0"/>
    <n v="90"/>
    <x v="1068"/>
    <x v="1082"/>
    <x v="0"/>
    <x v="7"/>
    <x v="7"/>
    <s v="Friday"/>
  </r>
  <r>
    <s v="TXN-01119"/>
    <d v="2024-09-14T00:00:00"/>
    <d v="1899-12-30T12:20:00"/>
    <s v="Simran Mehta"/>
    <s v="CUST0239"/>
    <x v="3"/>
    <x v="4"/>
    <x v="0"/>
    <s v="Cold"/>
    <s v="Small"/>
    <n v="1"/>
    <n v="155"/>
    <n v="0.1"/>
    <n v="155"/>
    <n v="139.5"/>
    <x v="2"/>
    <x v="0"/>
    <x v="5"/>
    <x v="6"/>
    <x v="0"/>
    <x v="3"/>
    <n v="290"/>
    <n v="16"/>
    <x v="1007"/>
    <x v="1083"/>
    <x v="3"/>
    <x v="0"/>
    <n v="155"/>
    <x v="14"/>
    <n v="139.5"/>
    <x v="1069"/>
    <x v="1083"/>
    <x v="0"/>
    <x v="0"/>
    <x v="0"/>
    <s v="Saturday"/>
  </r>
  <r>
    <s v="TXN-01120"/>
    <d v="2024-06-27T00:00:00"/>
    <d v="1899-12-30T18:00:00"/>
    <s v="Aarav Kaur"/>
    <s v="CUST0292"/>
    <x v="2"/>
    <x v="14"/>
    <x v="3"/>
    <s v="Food"/>
    <s v="Large"/>
    <n v="4"/>
    <n v="175"/>
    <n v="0"/>
    <n v="700"/>
    <n v="700"/>
    <x v="0"/>
    <x v="3"/>
    <x v="3"/>
    <x v="6"/>
    <x v="0"/>
    <x v="4"/>
    <n v="244"/>
    <n v="56"/>
    <x v="1008"/>
    <x v="1084"/>
    <x v="1"/>
    <x v="3"/>
    <n v="700"/>
    <x v="0"/>
    <n v="700"/>
    <x v="1070"/>
    <x v="1084"/>
    <x v="0"/>
    <x v="4"/>
    <x v="4"/>
    <s v="Thursday"/>
  </r>
  <r>
    <s v="TXN-01121"/>
    <d v="2024-11-15T00:00:00"/>
    <d v="1899-12-30T18:20:00"/>
    <s v="Karan Mehta"/>
    <s v="CUST0310"/>
    <x v="0"/>
    <x v="13"/>
    <x v="2"/>
    <s v="Cold"/>
    <s v="Medium"/>
    <n v="1"/>
    <n v="110"/>
    <n v="0"/>
    <n v="110"/>
    <n v="110"/>
    <x v="2"/>
    <x v="3"/>
    <x v="0"/>
    <x v="4"/>
    <x v="0"/>
    <x v="2"/>
    <n v="244"/>
    <n v="34"/>
    <x v="1009"/>
    <x v="1085"/>
    <x v="4"/>
    <x v="3"/>
    <n v="110"/>
    <x v="0"/>
    <n v="110"/>
    <x v="1071"/>
    <x v="1085"/>
    <x v="0"/>
    <x v="11"/>
    <x v="11"/>
    <s v="Friday"/>
  </r>
  <r>
    <s v="TXN-01122"/>
    <d v="2024-06-27T00:00:00"/>
    <d v="1899-12-30T13:15:00"/>
    <s v="Priya Kaur"/>
    <s v="CUST0220"/>
    <x v="3"/>
    <x v="2"/>
    <x v="1"/>
    <s v="Food"/>
    <s v="Large"/>
    <n v="3"/>
    <n v="70"/>
    <n v="0.1"/>
    <n v="210"/>
    <n v="189"/>
    <x v="2"/>
    <x v="1"/>
    <x v="6"/>
    <x v="3"/>
    <x v="1"/>
    <x v="3"/>
    <n v="484"/>
    <n v="28"/>
    <x v="1010"/>
    <x v="1086"/>
    <x v="2"/>
    <x v="4"/>
    <n v="210"/>
    <x v="66"/>
    <n v="189"/>
    <x v="1072"/>
    <x v="1086"/>
    <x v="0"/>
    <x v="4"/>
    <x v="4"/>
    <s v="Thursday"/>
  </r>
  <r>
    <s v="TXN-01123"/>
    <d v="2024-04-03T00:00:00"/>
    <d v="1899-12-30T12:45:00"/>
    <s v="Unknown"/>
    <s v="CUST0356"/>
    <x v="2"/>
    <x v="3"/>
    <x v="0"/>
    <s v="Hot"/>
    <s v="Small"/>
    <n v="1"/>
    <n v="120"/>
    <n v="0"/>
    <n v="120"/>
    <n v="120"/>
    <x v="0"/>
    <x v="2"/>
    <x v="1"/>
    <x v="7"/>
    <x v="0"/>
    <x v="0"/>
    <n v="398"/>
    <n v="37"/>
    <x v="1011"/>
    <x v="1087"/>
    <x v="1"/>
    <x v="2"/>
    <n v="120"/>
    <x v="0"/>
    <n v="120"/>
    <x v="1073"/>
    <x v="1087"/>
    <x v="0"/>
    <x v="8"/>
    <x v="8"/>
    <s v="Wednesday"/>
  </r>
  <r>
    <s v="TXN-01124"/>
    <d v="2024-06-18T00:00:00"/>
    <d v="1899-12-30T14:00:00"/>
    <s v="Aditya Malhotra"/>
    <s v="CUST0312"/>
    <x v="0"/>
    <x v="6"/>
    <x v="0"/>
    <s v="Hot"/>
    <s v="Small"/>
    <n v="1"/>
    <n v="100"/>
    <n v="0.05"/>
    <n v="100"/>
    <n v="95"/>
    <x v="2"/>
    <x v="0"/>
    <x v="5"/>
    <x v="6"/>
    <x v="1"/>
    <x v="3"/>
    <n v="337"/>
    <n v="34"/>
    <x v="1012"/>
    <x v="1088"/>
    <x v="3"/>
    <x v="0"/>
    <n v="100"/>
    <x v="32"/>
    <n v="95"/>
    <x v="1074"/>
    <x v="1088"/>
    <x v="0"/>
    <x v="4"/>
    <x v="4"/>
    <s v="Tuesday"/>
  </r>
  <r>
    <s v="TXN-01125"/>
    <d v="2024-08-01T00:00:00"/>
    <d v="1899-12-30T20:00:00"/>
    <s v="Isha Chopra"/>
    <s v="CUST0186"/>
    <x v="2"/>
    <x v="2"/>
    <x v="1"/>
    <s v="Food"/>
    <s v="Unknown"/>
    <n v="1"/>
    <n v="65"/>
    <n v="0.05"/>
    <n v="65"/>
    <n v="61.75"/>
    <x v="2"/>
    <x v="1"/>
    <x v="6"/>
    <x v="6"/>
    <x v="0"/>
    <x v="4"/>
    <n v="187"/>
    <n v="36"/>
    <x v="1013"/>
    <x v="1089"/>
    <x v="2"/>
    <x v="3"/>
    <n v="65"/>
    <x v="113"/>
    <n v="61.75"/>
    <x v="1075"/>
    <x v="1089"/>
    <x v="0"/>
    <x v="1"/>
    <x v="1"/>
    <s v="Thursday"/>
  </r>
  <r>
    <s v="TXN-01126"/>
    <d v="2024-12-21T00:00:00"/>
    <d v="1899-12-30T21:10:00"/>
    <s v="Manish Verma"/>
    <s v="CUST0355"/>
    <x v="3"/>
    <x v="13"/>
    <x v="2"/>
    <s v="Cold"/>
    <s v="Medium"/>
    <n v="1"/>
    <n v="120"/>
    <n v="0"/>
    <n v="120"/>
    <n v="120"/>
    <x v="2"/>
    <x v="3"/>
    <x v="3"/>
    <x v="5"/>
    <x v="1"/>
    <x v="2"/>
    <n v="309"/>
    <n v="52"/>
    <x v="1014"/>
    <x v="1090"/>
    <x v="3"/>
    <x v="4"/>
    <n v="120"/>
    <x v="0"/>
    <n v="120"/>
    <x v="1076"/>
    <x v="1090"/>
    <x v="0"/>
    <x v="9"/>
    <x v="9"/>
    <s v="Saturday"/>
  </r>
  <r>
    <s v="TXN-01127"/>
    <d v="2024-03-15T00:00:00"/>
    <d v="1899-12-30T14:30:00"/>
    <s v="Nikhil Chopra"/>
    <s v="CUST0283"/>
    <x v="0"/>
    <x v="4"/>
    <x v="0"/>
    <s v="Cold"/>
    <s v="Large"/>
    <n v="1"/>
    <n v="145"/>
    <n v="0.1"/>
    <n v="145"/>
    <n v="130.5"/>
    <x v="2"/>
    <x v="1"/>
    <x v="2"/>
    <x v="3"/>
    <x v="0"/>
    <x v="0"/>
    <n v="119"/>
    <n v="50"/>
    <x v="1015"/>
    <x v="1091"/>
    <x v="3"/>
    <x v="0"/>
    <n v="145"/>
    <x v="47"/>
    <n v="130.5"/>
    <x v="1077"/>
    <x v="1091"/>
    <x v="0"/>
    <x v="5"/>
    <x v="5"/>
    <s v="Friday"/>
  </r>
  <r>
    <s v="TXN-01128"/>
    <d v="2024-06-01T00:00:00"/>
    <d v="1899-12-30T18:50:00"/>
    <s v="Aditya Kapoor"/>
    <s v="CUST0377"/>
    <x v="3"/>
    <x v="10"/>
    <x v="1"/>
    <s v="Food"/>
    <s v="Medium"/>
    <n v="5"/>
    <n v="105"/>
    <n v="0.1"/>
    <n v="525"/>
    <n v="472.5"/>
    <x v="2"/>
    <x v="1"/>
    <x v="4"/>
    <x v="4"/>
    <x v="0"/>
    <x v="1"/>
    <n v="116"/>
    <n v="36"/>
    <x v="1016"/>
    <x v="1092"/>
    <x v="4"/>
    <x v="4"/>
    <n v="525"/>
    <x v="49"/>
    <n v="472.5"/>
    <x v="1078"/>
    <x v="1092"/>
    <x v="0"/>
    <x v="4"/>
    <x v="4"/>
    <s v="Saturday"/>
  </r>
  <r>
    <s v="TXN-01129"/>
    <d v="2024-02-28T00:00:00"/>
    <d v="1899-12-30T10:10:00"/>
    <s v="Nikhil Gupta"/>
    <s v="CUST0247"/>
    <x v="1"/>
    <x v="6"/>
    <x v="0"/>
    <s v="Hot"/>
    <s v="Medium"/>
    <n v="1"/>
    <n v="100"/>
    <n v="0"/>
    <n v="100"/>
    <n v="100"/>
    <x v="0"/>
    <x v="0"/>
    <x v="5"/>
    <x v="1"/>
    <x v="0"/>
    <x v="3"/>
    <n v="38"/>
    <n v="34"/>
    <x v="1017"/>
    <x v="1093"/>
    <x v="4"/>
    <x v="1"/>
    <n v="100"/>
    <x v="0"/>
    <n v="100"/>
    <x v="1079"/>
    <x v="1093"/>
    <x v="0"/>
    <x v="3"/>
    <x v="3"/>
    <s v="Wednesday"/>
  </r>
  <r>
    <s v="TXN-01130"/>
    <d v="2024-01-10T00:00:00"/>
    <d v="1899-12-30T15:15:00"/>
    <s v="Simran Verma"/>
    <s v="CUST0194"/>
    <x v="2"/>
    <x v="14"/>
    <x v="3"/>
    <s v="Food"/>
    <s v="Medium"/>
    <n v="2"/>
    <n v="180"/>
    <n v="0"/>
    <n v="360"/>
    <n v="360"/>
    <x v="0"/>
    <x v="3"/>
    <x v="3"/>
    <x v="6"/>
    <x v="0"/>
    <x v="3"/>
    <n v="200"/>
    <n v="60"/>
    <x v="1018"/>
    <x v="1094"/>
    <x v="0"/>
    <x v="1"/>
    <n v="360"/>
    <x v="0"/>
    <n v="360"/>
    <x v="1080"/>
    <x v="1094"/>
    <x v="0"/>
    <x v="2"/>
    <x v="2"/>
    <s v="Wednesday"/>
  </r>
  <r>
    <s v="TXN-01131"/>
    <d v="2024-02-07T00:00:00"/>
    <d v="1899-12-30T14:20:00"/>
    <s v="Karan Sharma"/>
    <s v="CUST0303"/>
    <x v="3"/>
    <x v="4"/>
    <x v="0"/>
    <s v="Cold"/>
    <s v="Small"/>
    <n v="1"/>
    <n v="145"/>
    <n v="0.15"/>
    <n v="145"/>
    <n v="123.25"/>
    <x v="1"/>
    <x v="3"/>
    <x v="5"/>
    <x v="7"/>
    <x v="0"/>
    <x v="0"/>
    <n v="129"/>
    <n v="35"/>
    <x v="1019"/>
    <x v="991"/>
    <x v="3"/>
    <x v="0"/>
    <n v="145"/>
    <x v="67"/>
    <n v="123.25"/>
    <x v="1081"/>
    <x v="991"/>
    <x v="0"/>
    <x v="3"/>
    <x v="3"/>
    <s v="Wednesday"/>
  </r>
  <r>
    <s v="TXN-01132"/>
    <d v="2024-12-29T00:00:00"/>
    <d v="1899-12-30T17:30:00"/>
    <s v="Aarav Verma"/>
    <s v="CUST0148"/>
    <x v="3"/>
    <x v="14"/>
    <x v="3"/>
    <s v="Food"/>
    <s v="Small"/>
    <n v="1"/>
    <n v="180"/>
    <n v="0.05"/>
    <n v="180"/>
    <n v="171"/>
    <x v="2"/>
    <x v="3"/>
    <x v="1"/>
    <x v="7"/>
    <x v="0"/>
    <x v="4"/>
    <n v="173"/>
    <n v="40"/>
    <x v="1020"/>
    <x v="1095"/>
    <x v="3"/>
    <x v="2"/>
    <n v="180"/>
    <x v="13"/>
    <n v="171"/>
    <x v="1082"/>
    <x v="1095"/>
    <x v="0"/>
    <x v="9"/>
    <x v="9"/>
    <s v="Sunday"/>
  </r>
  <r>
    <s v="TXN-01133"/>
    <d v="2024-01-02T00:00:00"/>
    <d v="1899-12-30T20:00:00"/>
    <s v="Sahil Chopra"/>
    <s v="CUST0368"/>
    <x v="2"/>
    <x v="15"/>
    <x v="4"/>
    <s v="Food"/>
    <s v="Small"/>
    <n v="1"/>
    <n v="200"/>
    <n v="0"/>
    <n v="200"/>
    <n v="200"/>
    <x v="2"/>
    <x v="3"/>
    <x v="6"/>
    <x v="2"/>
    <x v="0"/>
    <x v="2"/>
    <n v="220"/>
    <n v="47"/>
    <x v="1021"/>
    <x v="1096"/>
    <x v="0"/>
    <x v="0"/>
    <n v="200"/>
    <x v="0"/>
    <n v="200"/>
    <x v="1083"/>
    <x v="1096"/>
    <x v="0"/>
    <x v="2"/>
    <x v="2"/>
    <s v="Tuesday"/>
  </r>
  <r>
    <s v="TXN-01134"/>
    <d v="2024-07-05T00:00:00"/>
    <d v="1899-12-30T12:15:00"/>
    <s v="Meera Malhotra"/>
    <s v="CUST0106"/>
    <x v="1"/>
    <x v="9"/>
    <x v="2"/>
    <s v="Hot"/>
    <s v="Medium"/>
    <n v="1"/>
    <n v="90"/>
    <n v="0.15"/>
    <n v="90"/>
    <n v="76.5"/>
    <x v="0"/>
    <x v="0"/>
    <x v="6"/>
    <x v="6"/>
    <x v="2"/>
    <x v="3"/>
    <n v="205"/>
    <n v="37"/>
    <x v="1022"/>
    <x v="1097"/>
    <x v="4"/>
    <x v="0"/>
    <n v="90"/>
    <x v="46"/>
    <n v="76.5"/>
    <x v="1084"/>
    <x v="1097"/>
    <x v="0"/>
    <x v="7"/>
    <x v="7"/>
    <s v="Friday"/>
  </r>
  <r>
    <s v="TXN-01135"/>
    <d v="2024-06-22T00:00:00"/>
    <d v="1899-12-30T11:10:00"/>
    <s v="Arjun Mehta"/>
    <s v="CUST0164"/>
    <x v="2"/>
    <x v="11"/>
    <x v="0"/>
    <s v="Hot"/>
    <s v="Small"/>
    <n v="3"/>
    <n v="95"/>
    <n v="0.1"/>
    <n v="285"/>
    <n v="256.5"/>
    <x v="0"/>
    <x v="3"/>
    <x v="0"/>
    <x v="3"/>
    <x v="1"/>
    <x v="2"/>
    <n v="89"/>
    <n v="35"/>
    <x v="1023"/>
    <x v="1098"/>
    <x v="3"/>
    <x v="4"/>
    <n v="285"/>
    <x v="11"/>
    <n v="256.5"/>
    <x v="1085"/>
    <x v="1098"/>
    <x v="0"/>
    <x v="4"/>
    <x v="4"/>
    <s v="Saturday"/>
  </r>
  <r>
    <s v="TXN-01136"/>
    <d v="2024-09-10T00:00:00"/>
    <d v="1899-12-30T11:50:00"/>
    <s v="Rahul Malhotra"/>
    <s v="CUST0192"/>
    <x v="2"/>
    <x v="10"/>
    <x v="1"/>
    <s v="Food"/>
    <s v="Unknown"/>
    <n v="1"/>
    <n v="100"/>
    <n v="0"/>
    <n v="100"/>
    <n v="100"/>
    <x v="3"/>
    <x v="3"/>
    <x v="0"/>
    <x v="7"/>
    <x v="0"/>
    <x v="4"/>
    <n v="453"/>
    <n v="18"/>
    <x v="1024"/>
    <x v="704"/>
    <x v="0"/>
    <x v="0"/>
    <n v="100"/>
    <x v="0"/>
    <n v="100"/>
    <x v="1086"/>
    <x v="704"/>
    <x v="0"/>
    <x v="0"/>
    <x v="0"/>
    <s v="Tuesday"/>
  </r>
  <r>
    <s v="TXN-01137"/>
    <d v="2024-07-19T00:00:00"/>
    <d v="1899-12-30T10:15:00"/>
    <s v="Riya Bansal"/>
    <s v="CUST0168"/>
    <x v="3"/>
    <x v="10"/>
    <x v="1"/>
    <s v="Food"/>
    <s v="Small"/>
    <n v="2"/>
    <n v="100"/>
    <n v="0.05"/>
    <n v="200"/>
    <n v="190"/>
    <x v="0"/>
    <x v="0"/>
    <x v="2"/>
    <x v="1"/>
    <x v="1"/>
    <x v="2"/>
    <n v="436"/>
    <n v="34"/>
    <x v="1025"/>
    <x v="192"/>
    <x v="0"/>
    <x v="3"/>
    <n v="200"/>
    <x v="4"/>
    <n v="190"/>
    <x v="1087"/>
    <x v="192"/>
    <x v="0"/>
    <x v="7"/>
    <x v="7"/>
    <s v="Friday"/>
  </r>
  <r>
    <s v="TXN-01138"/>
    <d v="2024-02-17T00:00:00"/>
    <d v="1899-12-30T11:50:00"/>
    <s v="Meera Gupta"/>
    <s v="CUST0118"/>
    <x v="1"/>
    <x v="9"/>
    <x v="2"/>
    <s v="Hot"/>
    <s v="Medium"/>
    <n v="1"/>
    <n v="80"/>
    <n v="0.05"/>
    <n v="80"/>
    <n v="76"/>
    <x v="0"/>
    <x v="1"/>
    <x v="3"/>
    <x v="6"/>
    <x v="1"/>
    <x v="1"/>
    <n v="174"/>
    <n v="16"/>
    <x v="242"/>
    <x v="1099"/>
    <x v="2"/>
    <x v="2"/>
    <n v="80"/>
    <x v="96"/>
    <n v="76"/>
    <x v="245"/>
    <x v="1099"/>
    <x v="0"/>
    <x v="3"/>
    <x v="3"/>
    <s v="Saturday"/>
  </r>
  <r>
    <s v="TXN-01139"/>
    <d v="2024-12-24T00:00:00"/>
    <d v="1899-12-30T16:15:00"/>
    <s v="Sahil Malhotra"/>
    <s v="CUST0356"/>
    <x v="3"/>
    <x v="3"/>
    <x v="0"/>
    <s v="Hot"/>
    <s v="Small"/>
    <n v="1"/>
    <n v="125"/>
    <n v="0"/>
    <n v="125"/>
    <n v="125"/>
    <x v="3"/>
    <x v="0"/>
    <x v="3"/>
    <x v="0"/>
    <x v="0"/>
    <x v="4"/>
    <n v="209"/>
    <n v="34"/>
    <x v="1026"/>
    <x v="1100"/>
    <x v="3"/>
    <x v="0"/>
    <n v="125"/>
    <x v="0"/>
    <n v="125"/>
    <x v="1088"/>
    <x v="1100"/>
    <x v="0"/>
    <x v="9"/>
    <x v="9"/>
    <s v="Tuesday"/>
  </r>
  <r>
    <s v="TXN-01140"/>
    <d v="2024-03-14T00:00:00"/>
    <d v="1899-12-30T07:00:00"/>
    <s v="Aditya Kapoor"/>
    <s v="CUST0399"/>
    <x v="1"/>
    <x v="8"/>
    <x v="0"/>
    <s v="Cold"/>
    <s v="Medium"/>
    <n v="2"/>
    <n v="170"/>
    <n v="0"/>
    <n v="340"/>
    <n v="340"/>
    <x v="2"/>
    <x v="0"/>
    <x v="5"/>
    <x v="4"/>
    <x v="0"/>
    <x v="2"/>
    <n v="51"/>
    <n v="57"/>
    <x v="1027"/>
    <x v="1101"/>
    <x v="0"/>
    <x v="2"/>
    <n v="340"/>
    <x v="0"/>
    <n v="340"/>
    <x v="1089"/>
    <x v="1101"/>
    <x v="0"/>
    <x v="5"/>
    <x v="5"/>
    <s v="Thursday"/>
  </r>
  <r>
    <s v="TXN-01141"/>
    <d v="2024-11-10T00:00:00"/>
    <d v="1899-12-30T16:30:00"/>
    <s v="Priya Bansal"/>
    <s v="CUST0338"/>
    <x v="0"/>
    <x v="14"/>
    <x v="3"/>
    <s v="Food"/>
    <s v="Small"/>
    <n v="1"/>
    <n v="185"/>
    <n v="0"/>
    <n v="185"/>
    <n v="185"/>
    <x v="0"/>
    <x v="0"/>
    <x v="6"/>
    <x v="6"/>
    <x v="1"/>
    <x v="3"/>
    <n v="244"/>
    <n v="13"/>
    <x v="1028"/>
    <x v="1102"/>
    <x v="0"/>
    <x v="0"/>
    <n v="185"/>
    <x v="0"/>
    <n v="185"/>
    <x v="1090"/>
    <x v="1102"/>
    <x v="0"/>
    <x v="11"/>
    <x v="11"/>
    <s v="Sunday"/>
  </r>
  <r>
    <s v="TXN-01142"/>
    <d v="2024-12-28T00:00:00"/>
    <d v="1899-12-30T13:30:00"/>
    <s v="Priya Malhotra"/>
    <s v="CUST0378"/>
    <x v="2"/>
    <x v="3"/>
    <x v="0"/>
    <s v="Hot"/>
    <s v="Large"/>
    <n v="1"/>
    <n v="125"/>
    <n v="0.1"/>
    <n v="125"/>
    <n v="112.5"/>
    <x v="3"/>
    <x v="0"/>
    <x v="5"/>
    <x v="7"/>
    <x v="1"/>
    <x v="1"/>
    <n v="285"/>
    <n v="25"/>
    <x v="1029"/>
    <x v="1103"/>
    <x v="2"/>
    <x v="1"/>
    <n v="125"/>
    <x v="91"/>
    <n v="112.5"/>
    <x v="1091"/>
    <x v="1103"/>
    <x v="0"/>
    <x v="9"/>
    <x v="9"/>
    <s v="Saturday"/>
  </r>
  <r>
    <s v="TXN-01143"/>
    <d v="2024-06-21T00:00:00"/>
    <d v="1899-12-30T09:30:00"/>
    <s v="Priya Mehta"/>
    <s v="CUST0349"/>
    <x v="1"/>
    <x v="6"/>
    <x v="0"/>
    <s v="Hot"/>
    <s v="Large"/>
    <n v="1"/>
    <n v="110"/>
    <n v="0"/>
    <n v="110"/>
    <n v="110"/>
    <x v="2"/>
    <x v="1"/>
    <x v="4"/>
    <x v="2"/>
    <x v="2"/>
    <x v="1"/>
    <n v="499"/>
    <n v="45"/>
    <x v="1030"/>
    <x v="507"/>
    <x v="3"/>
    <x v="0"/>
    <n v="110"/>
    <x v="0"/>
    <n v="110"/>
    <x v="1092"/>
    <x v="507"/>
    <x v="0"/>
    <x v="4"/>
    <x v="4"/>
    <s v="Friday"/>
  </r>
  <r>
    <s v="TXN-01144"/>
    <d v="2024-11-13T00:00:00"/>
    <d v="1899-12-30T09:10:00"/>
    <s v="Unknown"/>
    <s v="CUST0389"/>
    <x v="3"/>
    <x v="9"/>
    <x v="2"/>
    <s v="Hot"/>
    <s v="Large"/>
    <n v="1"/>
    <n v="80"/>
    <n v="0.1"/>
    <n v="80"/>
    <n v="72"/>
    <x v="2"/>
    <x v="3"/>
    <x v="5"/>
    <x v="7"/>
    <x v="1"/>
    <x v="2"/>
    <n v="241"/>
    <n v="50"/>
    <x v="831"/>
    <x v="1104"/>
    <x v="1"/>
    <x v="2"/>
    <n v="80"/>
    <x v="7"/>
    <n v="72"/>
    <x v="869"/>
    <x v="1104"/>
    <x v="0"/>
    <x v="11"/>
    <x v="11"/>
    <s v="Wednesday"/>
  </r>
  <r>
    <s v="TXN-01145"/>
    <d v="2024-06-25T00:00:00"/>
    <d v="1899-12-30T12:30:00"/>
    <s v="Aditya Verma"/>
    <s v="CUST0186"/>
    <x v="3"/>
    <x v="12"/>
    <x v="1"/>
    <s v="Food"/>
    <s v="Unknown"/>
    <n v="2"/>
    <n v="95"/>
    <n v="0"/>
    <n v="190"/>
    <n v="190"/>
    <x v="3"/>
    <x v="3"/>
    <x v="1"/>
    <x v="3"/>
    <x v="0"/>
    <x v="2"/>
    <n v="107"/>
    <n v="14"/>
    <x v="1031"/>
    <x v="1105"/>
    <x v="0"/>
    <x v="0"/>
    <n v="190"/>
    <x v="0"/>
    <n v="190"/>
    <x v="1093"/>
    <x v="1105"/>
    <x v="0"/>
    <x v="4"/>
    <x v="4"/>
    <s v="Tuesday"/>
  </r>
  <r>
    <s v="TXN-01146"/>
    <d v="2024-12-07T00:00:00"/>
    <d v="1899-12-30T20:50:00"/>
    <s v="Rahul Singh"/>
    <s v="CUST0280"/>
    <x v="2"/>
    <x v="2"/>
    <x v="1"/>
    <s v="Food"/>
    <s v="Medium"/>
    <n v="1"/>
    <n v="75"/>
    <n v="0.05"/>
    <n v="75"/>
    <n v="71.25"/>
    <x v="0"/>
    <x v="1"/>
    <x v="2"/>
    <x v="1"/>
    <x v="1"/>
    <x v="1"/>
    <n v="278"/>
    <n v="46"/>
    <x v="1032"/>
    <x v="1106"/>
    <x v="1"/>
    <x v="0"/>
    <n v="75"/>
    <x v="57"/>
    <n v="71.25"/>
    <x v="1094"/>
    <x v="1106"/>
    <x v="0"/>
    <x v="9"/>
    <x v="9"/>
    <s v="Saturday"/>
  </r>
  <r>
    <s v="TXN-01147"/>
    <d v="2024-04-15T00:00:00"/>
    <d v="1899-12-30T19:00:00"/>
    <s v="Vivaan Malhotra"/>
    <s v="CUST0115"/>
    <x v="0"/>
    <x v="7"/>
    <x v="0"/>
    <s v="Hot"/>
    <s v="Small"/>
    <n v="2"/>
    <n v="140"/>
    <n v="0"/>
    <n v="280"/>
    <n v="280"/>
    <x v="1"/>
    <x v="3"/>
    <x v="4"/>
    <x v="5"/>
    <x v="1"/>
    <x v="2"/>
    <n v="244"/>
    <n v="55"/>
    <x v="1033"/>
    <x v="1107"/>
    <x v="1"/>
    <x v="0"/>
    <n v="280"/>
    <x v="0"/>
    <n v="280"/>
    <x v="1095"/>
    <x v="1107"/>
    <x v="0"/>
    <x v="8"/>
    <x v="8"/>
    <s v="Monday"/>
  </r>
  <r>
    <s v="TXN-01148"/>
    <d v="2024-08-18T00:00:00"/>
    <d v="1899-12-30T20:15:00"/>
    <s v="Pooja Bansal"/>
    <s v="CUST0166"/>
    <x v="2"/>
    <x v="14"/>
    <x v="3"/>
    <s v="Food"/>
    <s v="Small"/>
    <n v="1"/>
    <n v="180"/>
    <n v="0.05"/>
    <n v="180"/>
    <n v="171"/>
    <x v="1"/>
    <x v="2"/>
    <x v="2"/>
    <x v="3"/>
    <x v="0"/>
    <x v="4"/>
    <n v="400"/>
    <n v="56"/>
    <x v="1034"/>
    <x v="1108"/>
    <x v="3"/>
    <x v="4"/>
    <n v="180"/>
    <x v="13"/>
    <n v="171"/>
    <x v="1096"/>
    <x v="1108"/>
    <x v="0"/>
    <x v="1"/>
    <x v="1"/>
    <s v="Sunday"/>
  </r>
  <r>
    <s v="TXN-01149"/>
    <d v="2024-02-26T00:00:00"/>
    <d v="1899-12-30T12:10:00"/>
    <s v="Karan Verma"/>
    <s v="CUST0285"/>
    <x v="1"/>
    <x v="5"/>
    <x v="2"/>
    <s v="Hot"/>
    <s v="Medium"/>
    <n v="1"/>
    <n v="90"/>
    <n v="0.05"/>
    <n v="90"/>
    <n v="85.5"/>
    <x v="2"/>
    <x v="2"/>
    <x v="4"/>
    <x v="0"/>
    <x v="2"/>
    <x v="2"/>
    <n v="450"/>
    <n v="34"/>
    <x v="1035"/>
    <x v="1109"/>
    <x v="1"/>
    <x v="1"/>
    <n v="90"/>
    <x v="31"/>
    <n v="85.5"/>
    <x v="1097"/>
    <x v="1109"/>
    <x v="0"/>
    <x v="3"/>
    <x v="3"/>
    <s v="Monday"/>
  </r>
  <r>
    <s v="TXN-01150"/>
    <d v="2024-06-09T00:00:00"/>
    <d v="1899-12-30T15:15:00"/>
    <s v="Ananya Mehta"/>
    <s v="CUST0274"/>
    <x v="2"/>
    <x v="1"/>
    <x v="1"/>
    <s v="Food"/>
    <s v="Large"/>
    <n v="2"/>
    <n v="115"/>
    <n v="0"/>
    <n v="230"/>
    <n v="230"/>
    <x v="0"/>
    <x v="3"/>
    <x v="4"/>
    <x v="1"/>
    <x v="2"/>
    <x v="2"/>
    <n v="221"/>
    <n v="25"/>
    <x v="1036"/>
    <x v="1110"/>
    <x v="2"/>
    <x v="4"/>
    <n v="230"/>
    <x v="0"/>
    <n v="230"/>
    <x v="1098"/>
    <x v="1110"/>
    <x v="0"/>
    <x v="4"/>
    <x v="4"/>
    <s v="Sunday"/>
  </r>
  <r>
    <s v="TXN-01151"/>
    <d v="2024-03-05T00:00:00"/>
    <d v="1899-12-30T11:45:00"/>
    <s v="Kavya Gupta"/>
    <s v="CUST0292"/>
    <x v="3"/>
    <x v="8"/>
    <x v="0"/>
    <s v="Cold"/>
    <s v="Medium"/>
    <n v="2"/>
    <n v="160"/>
    <n v="0.1"/>
    <n v="320"/>
    <n v="288"/>
    <x v="2"/>
    <x v="3"/>
    <x v="1"/>
    <x v="1"/>
    <x v="0"/>
    <x v="4"/>
    <n v="238"/>
    <n v="15"/>
    <x v="844"/>
    <x v="1111"/>
    <x v="3"/>
    <x v="2"/>
    <n v="320"/>
    <x v="94"/>
    <n v="288"/>
    <x v="1099"/>
    <x v="1111"/>
    <x v="0"/>
    <x v="5"/>
    <x v="5"/>
    <s v="Tuesday"/>
  </r>
  <r>
    <s v="TXN-01152"/>
    <d v="2024-11-12T00:00:00"/>
    <d v="1899-12-30T07:00:00"/>
    <s v="Ananya Sharma"/>
    <s v="CUST0329"/>
    <x v="1"/>
    <x v="10"/>
    <x v="1"/>
    <s v="Food"/>
    <s v="Medium"/>
    <n v="2"/>
    <n v="100"/>
    <n v="0.1"/>
    <n v="200"/>
    <n v="180"/>
    <x v="1"/>
    <x v="2"/>
    <x v="6"/>
    <x v="1"/>
    <x v="2"/>
    <x v="0"/>
    <n v="81"/>
    <n v="45"/>
    <x v="1037"/>
    <x v="1112"/>
    <x v="1"/>
    <x v="1"/>
    <n v="200"/>
    <x v="5"/>
    <n v="180"/>
    <x v="1100"/>
    <x v="1112"/>
    <x v="0"/>
    <x v="11"/>
    <x v="11"/>
    <s v="Tuesday"/>
  </r>
  <r>
    <s v="TXN-01153"/>
    <d v="2024-11-11T00:00:00"/>
    <d v="1899-12-30T09:15:00"/>
    <s v="Sneha Singh"/>
    <s v="CUST0187"/>
    <x v="3"/>
    <x v="12"/>
    <x v="1"/>
    <s v="Food"/>
    <s v="Large"/>
    <n v="1"/>
    <n v="85"/>
    <n v="0"/>
    <n v="85"/>
    <n v="85"/>
    <x v="1"/>
    <x v="3"/>
    <x v="6"/>
    <x v="7"/>
    <x v="0"/>
    <x v="2"/>
    <n v="366"/>
    <n v="60"/>
    <x v="1038"/>
    <x v="1113"/>
    <x v="0"/>
    <x v="1"/>
    <n v="85"/>
    <x v="0"/>
    <n v="85"/>
    <x v="1101"/>
    <x v="1113"/>
    <x v="0"/>
    <x v="11"/>
    <x v="11"/>
    <s v="Monday"/>
  </r>
  <r>
    <s v="TXN-01154"/>
    <d v="2024-08-12T00:00:00"/>
    <d v="1899-12-30T15:10:00"/>
    <s v="Sneha Chopra"/>
    <s v="CUST0231"/>
    <x v="2"/>
    <x v="13"/>
    <x v="2"/>
    <s v="Cold"/>
    <s v="Small"/>
    <n v="1"/>
    <n v="110"/>
    <n v="0"/>
    <n v="110"/>
    <n v="110"/>
    <x v="3"/>
    <x v="3"/>
    <x v="3"/>
    <x v="6"/>
    <x v="0"/>
    <x v="1"/>
    <n v="132"/>
    <n v="32"/>
    <x v="1039"/>
    <x v="1114"/>
    <x v="3"/>
    <x v="0"/>
    <n v="110"/>
    <x v="0"/>
    <n v="110"/>
    <x v="1102"/>
    <x v="1114"/>
    <x v="0"/>
    <x v="1"/>
    <x v="1"/>
    <s v="Monday"/>
  </r>
  <r>
    <s v="TXN-01155"/>
    <d v="2024-01-21T00:00:00"/>
    <d v="1899-12-30T19:20:00"/>
    <s v="Vivaan Kaur"/>
    <s v="CUST0285"/>
    <x v="1"/>
    <x v="8"/>
    <x v="0"/>
    <s v="Cold"/>
    <s v="Medium"/>
    <n v="1"/>
    <n v="170"/>
    <n v="0.1"/>
    <n v="170"/>
    <n v="153"/>
    <x v="0"/>
    <x v="1"/>
    <x v="2"/>
    <x v="4"/>
    <x v="1"/>
    <x v="2"/>
    <n v="142"/>
    <n v="36"/>
    <x v="1040"/>
    <x v="757"/>
    <x v="3"/>
    <x v="2"/>
    <n v="170"/>
    <x v="18"/>
    <n v="153"/>
    <x v="1103"/>
    <x v="757"/>
    <x v="0"/>
    <x v="2"/>
    <x v="2"/>
    <s v="Sunday"/>
  </r>
  <r>
    <s v="TXN-01156"/>
    <d v="2024-09-14T00:00:00"/>
    <d v="1899-12-30T08:10:00"/>
    <s v="Riya Gupta"/>
    <s v="CUST0374"/>
    <x v="1"/>
    <x v="10"/>
    <x v="1"/>
    <s v="Food"/>
    <s v="Medium"/>
    <n v="1"/>
    <n v="95"/>
    <n v="0"/>
    <n v="95"/>
    <n v="95"/>
    <x v="0"/>
    <x v="2"/>
    <x v="0"/>
    <x v="7"/>
    <x v="0"/>
    <x v="2"/>
    <n v="244"/>
    <n v="27"/>
    <x v="1041"/>
    <x v="1115"/>
    <x v="0"/>
    <x v="1"/>
    <n v="95"/>
    <x v="0"/>
    <n v="95"/>
    <x v="1104"/>
    <x v="1115"/>
    <x v="0"/>
    <x v="0"/>
    <x v="0"/>
    <s v="Saturday"/>
  </r>
  <r>
    <s v="TXN-01157"/>
    <d v="2024-04-13T00:00:00"/>
    <d v="1899-12-30T09:15:00"/>
    <s v="Manish Sharma"/>
    <s v="CUST0167"/>
    <x v="0"/>
    <x v="3"/>
    <x v="0"/>
    <s v="Hot"/>
    <s v="Small"/>
    <n v="1"/>
    <n v="120"/>
    <n v="0"/>
    <n v="120"/>
    <n v="120"/>
    <x v="2"/>
    <x v="3"/>
    <x v="5"/>
    <x v="6"/>
    <x v="0"/>
    <x v="0"/>
    <n v="217"/>
    <n v="35"/>
    <x v="1042"/>
    <x v="1116"/>
    <x v="2"/>
    <x v="2"/>
    <n v="120"/>
    <x v="0"/>
    <n v="120"/>
    <x v="1105"/>
    <x v="1116"/>
    <x v="0"/>
    <x v="8"/>
    <x v="8"/>
    <s v="Saturday"/>
  </r>
  <r>
    <s v="TXN-01158"/>
    <d v="2024-01-05T00:00:00"/>
    <d v="1899-12-30T17:10:00"/>
    <s v="Simran Verma"/>
    <s v="CUST0283"/>
    <x v="0"/>
    <x v="0"/>
    <x v="0"/>
    <s v="Hot"/>
    <s v="Small"/>
    <n v="1"/>
    <n v="130"/>
    <n v="0"/>
    <n v="130"/>
    <n v="130"/>
    <x v="2"/>
    <x v="1"/>
    <x v="2"/>
    <x v="1"/>
    <x v="2"/>
    <x v="1"/>
    <n v="443"/>
    <n v="60"/>
    <x v="1043"/>
    <x v="1117"/>
    <x v="2"/>
    <x v="2"/>
    <n v="130"/>
    <x v="0"/>
    <n v="130"/>
    <x v="1106"/>
    <x v="1117"/>
    <x v="0"/>
    <x v="2"/>
    <x v="2"/>
    <s v="Friday"/>
  </r>
  <r>
    <s v="TXN-01159"/>
    <d v="2024-12-13T00:00:00"/>
    <d v="1899-12-30T09:15:00"/>
    <s v="Kavya Chopra"/>
    <s v="CUST0207"/>
    <x v="1"/>
    <x v="2"/>
    <x v="1"/>
    <s v="Food"/>
    <s v="Medium"/>
    <n v="2"/>
    <n v="65"/>
    <n v="0.1"/>
    <n v="130"/>
    <n v="117"/>
    <x v="0"/>
    <x v="3"/>
    <x v="6"/>
    <x v="7"/>
    <x v="1"/>
    <x v="2"/>
    <n v="267"/>
    <n v="35"/>
    <x v="626"/>
    <x v="1118"/>
    <x v="4"/>
    <x v="0"/>
    <n v="130"/>
    <x v="17"/>
    <n v="117"/>
    <x v="1107"/>
    <x v="1118"/>
    <x v="0"/>
    <x v="9"/>
    <x v="9"/>
    <s v="Friday"/>
  </r>
  <r>
    <s v="TXN-01160"/>
    <d v="2024-09-20T00:00:00"/>
    <d v="1899-12-30T20:30:00"/>
    <s v="Sahil Kaur"/>
    <s v="CUST0178"/>
    <x v="3"/>
    <x v="15"/>
    <x v="4"/>
    <s v="Food"/>
    <s v="Small"/>
    <n v="1"/>
    <n v="190"/>
    <n v="0.1"/>
    <n v="190"/>
    <n v="171"/>
    <x v="2"/>
    <x v="0"/>
    <x v="4"/>
    <x v="6"/>
    <x v="0"/>
    <x v="0"/>
    <n v="135"/>
    <n v="47"/>
    <x v="1044"/>
    <x v="1119"/>
    <x v="0"/>
    <x v="3"/>
    <n v="190"/>
    <x v="29"/>
    <n v="171"/>
    <x v="1108"/>
    <x v="1119"/>
    <x v="0"/>
    <x v="0"/>
    <x v="0"/>
    <s v="Friday"/>
  </r>
  <r>
    <s v="TXN-01161"/>
    <d v="2024-11-23T00:00:00"/>
    <d v="1899-12-30T16:10:00"/>
    <s v="Sneha Sharma"/>
    <s v="CUST0222"/>
    <x v="2"/>
    <x v="8"/>
    <x v="0"/>
    <s v="Cold"/>
    <s v="Medium"/>
    <n v="4"/>
    <n v="160"/>
    <n v="0"/>
    <n v="640"/>
    <n v="640"/>
    <x v="2"/>
    <x v="2"/>
    <x v="0"/>
    <x v="2"/>
    <x v="1"/>
    <x v="1"/>
    <n v="350"/>
    <n v="37"/>
    <x v="1045"/>
    <x v="1120"/>
    <x v="1"/>
    <x v="2"/>
    <n v="640"/>
    <x v="0"/>
    <n v="640"/>
    <x v="1109"/>
    <x v="1120"/>
    <x v="0"/>
    <x v="11"/>
    <x v="11"/>
    <s v="Saturday"/>
  </r>
  <r>
    <s v="TXN-01162"/>
    <d v="2024-05-05T00:00:00"/>
    <d v="1899-12-30T11:10:00"/>
    <s v="Vivaan Verma"/>
    <s v="CUST0359"/>
    <x v="3"/>
    <x v="5"/>
    <x v="2"/>
    <s v="Hot"/>
    <s v="Small"/>
    <n v="1"/>
    <n v="95"/>
    <n v="0.1"/>
    <n v="95"/>
    <n v="85.5"/>
    <x v="2"/>
    <x v="3"/>
    <x v="0"/>
    <x v="0"/>
    <x v="1"/>
    <x v="3"/>
    <n v="113"/>
    <n v="24"/>
    <x v="1046"/>
    <x v="1121"/>
    <x v="2"/>
    <x v="4"/>
    <n v="95"/>
    <x v="10"/>
    <n v="85.5"/>
    <x v="1110"/>
    <x v="1121"/>
    <x v="0"/>
    <x v="6"/>
    <x v="6"/>
    <s v="Sunday"/>
  </r>
  <r>
    <s v="TXN-01163"/>
    <d v="2024-05-09T00:00:00"/>
    <d v="1899-12-30T14:15:00"/>
    <s v="Arjun Gupta"/>
    <s v="CUST0162"/>
    <x v="1"/>
    <x v="7"/>
    <x v="0"/>
    <s v="Hot"/>
    <s v="Large"/>
    <n v="4"/>
    <n v="145"/>
    <n v="0.05"/>
    <n v="580"/>
    <n v="551"/>
    <x v="2"/>
    <x v="0"/>
    <x v="5"/>
    <x v="7"/>
    <x v="0"/>
    <x v="4"/>
    <n v="79"/>
    <n v="42"/>
    <x v="1047"/>
    <x v="1122"/>
    <x v="0"/>
    <x v="0"/>
    <n v="580"/>
    <x v="26"/>
    <n v="551"/>
    <x v="1111"/>
    <x v="1122"/>
    <x v="0"/>
    <x v="6"/>
    <x v="6"/>
    <s v="Thursday"/>
  </r>
  <r>
    <s v="TXN-01164"/>
    <d v="2024-02-15T00:00:00"/>
    <d v="1899-12-30T12:45:00"/>
    <s v="Isha Verma"/>
    <s v="CUST0185"/>
    <x v="1"/>
    <x v="3"/>
    <x v="0"/>
    <s v="Hot"/>
    <s v="Unknown"/>
    <n v="4"/>
    <n v="120"/>
    <n v="0.1"/>
    <n v="480"/>
    <n v="432"/>
    <x v="0"/>
    <x v="3"/>
    <x v="5"/>
    <x v="5"/>
    <x v="0"/>
    <x v="0"/>
    <n v="190"/>
    <n v="35"/>
    <x v="516"/>
    <x v="1123"/>
    <x v="3"/>
    <x v="3"/>
    <n v="480"/>
    <x v="75"/>
    <n v="432"/>
    <x v="1112"/>
    <x v="1123"/>
    <x v="0"/>
    <x v="3"/>
    <x v="3"/>
    <s v="Thursday"/>
  </r>
  <r>
    <s v="TXN-01165"/>
    <d v="2024-03-28T00:00:00"/>
    <d v="1899-12-30T07:15:00"/>
    <s v="Unknown"/>
    <s v="CUST0154"/>
    <x v="0"/>
    <x v="12"/>
    <x v="1"/>
    <s v="Food"/>
    <s v="Medium"/>
    <n v="1"/>
    <n v="90"/>
    <n v="0.15"/>
    <n v="90"/>
    <n v="76.5"/>
    <x v="2"/>
    <x v="3"/>
    <x v="6"/>
    <x v="2"/>
    <x v="0"/>
    <x v="4"/>
    <n v="278"/>
    <n v="35"/>
    <x v="970"/>
    <x v="1124"/>
    <x v="3"/>
    <x v="1"/>
    <n v="90"/>
    <x v="46"/>
    <n v="76.5"/>
    <x v="1025"/>
    <x v="1124"/>
    <x v="0"/>
    <x v="5"/>
    <x v="5"/>
    <s v="Thursday"/>
  </r>
  <r>
    <s v="TXN-01166"/>
    <d v="2024-06-24T00:00:00"/>
    <d v="1899-12-30T20:30:00"/>
    <s v="Rahul Verma"/>
    <s v="CUST0374"/>
    <x v="0"/>
    <x v="3"/>
    <x v="0"/>
    <s v="Hot"/>
    <s v="Large"/>
    <n v="1"/>
    <n v="120"/>
    <n v="0.1"/>
    <n v="120"/>
    <n v="108"/>
    <x v="2"/>
    <x v="3"/>
    <x v="4"/>
    <x v="7"/>
    <x v="0"/>
    <x v="0"/>
    <n v="234"/>
    <n v="31"/>
    <x v="392"/>
    <x v="1125"/>
    <x v="0"/>
    <x v="4"/>
    <n v="120"/>
    <x v="2"/>
    <n v="108"/>
    <x v="1113"/>
    <x v="1125"/>
    <x v="0"/>
    <x v="4"/>
    <x v="4"/>
    <s v="Monday"/>
  </r>
  <r>
    <s v="TXN-01167"/>
    <d v="2024-12-16T00:00:00"/>
    <d v="1899-12-30T07:30:00"/>
    <s v="Manish Kapoor"/>
    <s v="CUST0374"/>
    <x v="2"/>
    <x v="7"/>
    <x v="0"/>
    <s v="Hot"/>
    <s v="Unknown"/>
    <n v="2"/>
    <n v="145"/>
    <n v="0"/>
    <n v="290"/>
    <n v="290"/>
    <x v="2"/>
    <x v="1"/>
    <x v="6"/>
    <x v="0"/>
    <x v="2"/>
    <x v="3"/>
    <n v="244"/>
    <n v="55"/>
    <x v="1048"/>
    <x v="1126"/>
    <x v="3"/>
    <x v="0"/>
    <n v="290"/>
    <x v="0"/>
    <n v="290"/>
    <x v="1114"/>
    <x v="1126"/>
    <x v="0"/>
    <x v="9"/>
    <x v="9"/>
    <s v="Monday"/>
  </r>
  <r>
    <s v="TXN-01168"/>
    <d v="2024-05-16T00:00:00"/>
    <d v="1899-12-30T07:10:00"/>
    <s v="Ananya Gupta"/>
    <s v="CUST0200"/>
    <x v="1"/>
    <x v="7"/>
    <x v="0"/>
    <s v="Hot"/>
    <s v="Large"/>
    <n v="2"/>
    <n v="150"/>
    <n v="0.05"/>
    <n v="300"/>
    <n v="285"/>
    <x v="2"/>
    <x v="1"/>
    <x v="2"/>
    <x v="6"/>
    <x v="0"/>
    <x v="3"/>
    <n v="75"/>
    <n v="45"/>
    <x v="1049"/>
    <x v="1127"/>
    <x v="0"/>
    <x v="4"/>
    <n v="300"/>
    <x v="51"/>
    <n v="285"/>
    <x v="1115"/>
    <x v="1127"/>
    <x v="0"/>
    <x v="6"/>
    <x v="6"/>
    <s v="Thursday"/>
  </r>
  <r>
    <s v="TXN-01169"/>
    <d v="2024-04-27T00:00:00"/>
    <d v="1899-12-30T15:30:00"/>
    <s v="Manish Kaur"/>
    <s v="CUST0241"/>
    <x v="2"/>
    <x v="13"/>
    <x v="2"/>
    <s v="Cold"/>
    <s v="Medium"/>
    <n v="2"/>
    <n v="115"/>
    <n v="0"/>
    <n v="230"/>
    <n v="230"/>
    <x v="0"/>
    <x v="1"/>
    <x v="6"/>
    <x v="2"/>
    <x v="2"/>
    <x v="2"/>
    <n v="145"/>
    <n v="57"/>
    <x v="1050"/>
    <x v="1128"/>
    <x v="0"/>
    <x v="0"/>
    <n v="230"/>
    <x v="0"/>
    <n v="230"/>
    <x v="1116"/>
    <x v="1128"/>
    <x v="0"/>
    <x v="8"/>
    <x v="8"/>
    <s v="Saturday"/>
  </r>
  <r>
    <s v="TXN-01170"/>
    <d v="2024-12-02T00:00:00"/>
    <d v="1899-12-30T16:15:00"/>
    <s v="Neha Singh"/>
    <s v="CUST0257"/>
    <x v="3"/>
    <x v="13"/>
    <x v="2"/>
    <s v="Cold"/>
    <s v="Unknown"/>
    <n v="1"/>
    <n v="120"/>
    <n v="0"/>
    <n v="120"/>
    <n v="120"/>
    <x v="3"/>
    <x v="0"/>
    <x v="0"/>
    <x v="4"/>
    <x v="0"/>
    <x v="1"/>
    <n v="420"/>
    <n v="34"/>
    <x v="327"/>
    <x v="1129"/>
    <x v="1"/>
    <x v="4"/>
    <n v="120"/>
    <x v="0"/>
    <n v="120"/>
    <x v="1117"/>
    <x v="1129"/>
    <x v="0"/>
    <x v="9"/>
    <x v="9"/>
    <s v="Monday"/>
  </r>
  <r>
    <s v="TXN-01171"/>
    <d v="2024-10-20T00:00:00"/>
    <d v="1899-12-30T09:20:00"/>
    <s v="Aarav Kaur"/>
    <s v="CUST0214"/>
    <x v="3"/>
    <x v="2"/>
    <x v="1"/>
    <s v="Food"/>
    <s v="Medium"/>
    <n v="1"/>
    <n v="80"/>
    <n v="0"/>
    <n v="80"/>
    <n v="80"/>
    <x v="1"/>
    <x v="0"/>
    <x v="0"/>
    <x v="5"/>
    <x v="0"/>
    <x v="0"/>
    <n v="231"/>
    <n v="30"/>
    <x v="1051"/>
    <x v="1130"/>
    <x v="0"/>
    <x v="3"/>
    <n v="80"/>
    <x v="0"/>
    <n v="80"/>
    <x v="1118"/>
    <x v="1130"/>
    <x v="0"/>
    <x v="10"/>
    <x v="10"/>
    <s v="Sunday"/>
  </r>
  <r>
    <s v="TXN-01172"/>
    <d v="2024-08-27T00:00:00"/>
    <d v="1899-12-30T15:50:00"/>
    <s v="Priya Kapoor"/>
    <s v="CUST0111"/>
    <x v="3"/>
    <x v="2"/>
    <x v="1"/>
    <s v="Food"/>
    <s v="Medium"/>
    <n v="2"/>
    <n v="75"/>
    <n v="0.15"/>
    <n v="150"/>
    <n v="127.5"/>
    <x v="3"/>
    <x v="3"/>
    <x v="1"/>
    <x v="0"/>
    <x v="2"/>
    <x v="4"/>
    <n v="200"/>
    <n v="39"/>
    <x v="361"/>
    <x v="1131"/>
    <x v="1"/>
    <x v="3"/>
    <n v="150"/>
    <x v="55"/>
    <n v="127.5"/>
    <x v="1119"/>
    <x v="1131"/>
    <x v="0"/>
    <x v="1"/>
    <x v="1"/>
    <s v="Tuesday"/>
  </r>
  <r>
    <s v="TXN-01173"/>
    <d v="2024-08-10T00:00:00"/>
    <d v="1899-12-30T15:45:00"/>
    <s v="Rohan Kapoor"/>
    <s v="CUST0332"/>
    <x v="1"/>
    <x v="8"/>
    <x v="0"/>
    <s v="Cold"/>
    <s v="Medium"/>
    <n v="2"/>
    <n v="155"/>
    <n v="0"/>
    <n v="310"/>
    <n v="310"/>
    <x v="2"/>
    <x v="3"/>
    <x v="2"/>
    <x v="0"/>
    <x v="2"/>
    <x v="2"/>
    <n v="204"/>
    <n v="18"/>
    <x v="1052"/>
    <x v="1132"/>
    <x v="1"/>
    <x v="2"/>
    <n v="310"/>
    <x v="0"/>
    <n v="310"/>
    <x v="1120"/>
    <x v="1132"/>
    <x v="0"/>
    <x v="1"/>
    <x v="1"/>
    <s v="Saturday"/>
  </r>
  <r>
    <s v="TXN-01174"/>
    <d v="2024-12-06T00:00:00"/>
    <d v="1899-12-30T15:30:00"/>
    <s v="Neha Kapoor"/>
    <s v="CUST0154"/>
    <x v="3"/>
    <x v="14"/>
    <x v="3"/>
    <s v="Food"/>
    <s v="Medium"/>
    <n v="2"/>
    <n v="190"/>
    <n v="0.1"/>
    <n v="380"/>
    <n v="342"/>
    <x v="3"/>
    <x v="0"/>
    <x v="4"/>
    <x v="0"/>
    <x v="0"/>
    <x v="4"/>
    <n v="101"/>
    <n v="20"/>
    <x v="1053"/>
    <x v="1133"/>
    <x v="4"/>
    <x v="1"/>
    <n v="380"/>
    <x v="54"/>
    <n v="342"/>
    <x v="1121"/>
    <x v="1133"/>
    <x v="0"/>
    <x v="9"/>
    <x v="9"/>
    <s v="Friday"/>
  </r>
  <r>
    <s v="TXN-01175"/>
    <d v="2024-04-23T00:00:00"/>
    <d v="1899-12-30T20:00:00"/>
    <s v="Manish Malhotra"/>
    <s v="CUST0295"/>
    <x v="1"/>
    <x v="6"/>
    <x v="0"/>
    <s v="Hot"/>
    <s v="Medium"/>
    <n v="1"/>
    <n v="95"/>
    <n v="0"/>
    <n v="95"/>
    <n v="95"/>
    <x v="2"/>
    <x v="0"/>
    <x v="0"/>
    <x v="4"/>
    <x v="2"/>
    <x v="4"/>
    <n v="486"/>
    <n v="34"/>
    <x v="1054"/>
    <x v="1134"/>
    <x v="1"/>
    <x v="3"/>
    <n v="95"/>
    <x v="0"/>
    <n v="95"/>
    <x v="1122"/>
    <x v="1134"/>
    <x v="0"/>
    <x v="8"/>
    <x v="8"/>
    <s v="Tuesday"/>
  </r>
  <r>
    <s v="TXN-01176"/>
    <d v="2024-11-23T00:00:00"/>
    <d v="1899-12-30T19:10:00"/>
    <s v="Rohan Mehta"/>
    <s v="CUST0393"/>
    <x v="3"/>
    <x v="4"/>
    <x v="0"/>
    <s v="Cold"/>
    <s v="Large"/>
    <n v="2"/>
    <n v="150"/>
    <n v="0.05"/>
    <n v="300"/>
    <n v="285"/>
    <x v="3"/>
    <x v="2"/>
    <x v="3"/>
    <x v="4"/>
    <x v="0"/>
    <x v="4"/>
    <n v="137"/>
    <n v="44"/>
    <x v="1055"/>
    <x v="1135"/>
    <x v="1"/>
    <x v="3"/>
    <n v="300"/>
    <x v="51"/>
    <n v="285"/>
    <x v="1123"/>
    <x v="1135"/>
    <x v="0"/>
    <x v="11"/>
    <x v="11"/>
    <s v="Saturday"/>
  </r>
  <r>
    <s v="TXN-01177"/>
    <d v="2024-11-30T00:00:00"/>
    <d v="1899-12-30T18:50:00"/>
    <s v="Rohan Singh"/>
    <s v="CUST0250"/>
    <x v="3"/>
    <x v="8"/>
    <x v="0"/>
    <s v="Cold"/>
    <s v="Medium"/>
    <n v="1"/>
    <n v="165"/>
    <n v="0.1"/>
    <n v="165"/>
    <n v="148.5"/>
    <x v="2"/>
    <x v="2"/>
    <x v="3"/>
    <x v="4"/>
    <x v="0"/>
    <x v="2"/>
    <n v="497"/>
    <n v="37"/>
    <x v="1056"/>
    <x v="1136"/>
    <x v="3"/>
    <x v="4"/>
    <n v="165"/>
    <x v="42"/>
    <n v="148.5"/>
    <x v="1124"/>
    <x v="1136"/>
    <x v="0"/>
    <x v="11"/>
    <x v="11"/>
    <s v="Saturday"/>
  </r>
  <r>
    <s v="TXN-01178"/>
    <d v="2024-12-21T00:00:00"/>
    <d v="1899-12-30T17:20:00"/>
    <s v="Kavya Gupta"/>
    <s v="CUST0243"/>
    <x v="3"/>
    <x v="1"/>
    <x v="1"/>
    <s v="Food"/>
    <s v="Small"/>
    <n v="1"/>
    <n v="120"/>
    <n v="0"/>
    <n v="120"/>
    <n v="120"/>
    <x v="0"/>
    <x v="3"/>
    <x v="4"/>
    <x v="0"/>
    <x v="0"/>
    <x v="3"/>
    <n v="470"/>
    <n v="12"/>
    <x v="1057"/>
    <x v="1137"/>
    <x v="0"/>
    <x v="0"/>
    <n v="120"/>
    <x v="0"/>
    <n v="120"/>
    <x v="1125"/>
    <x v="1137"/>
    <x v="0"/>
    <x v="9"/>
    <x v="9"/>
    <s v="Saturday"/>
  </r>
  <r>
    <s v="TXN-01179"/>
    <d v="2024-02-24T00:00:00"/>
    <d v="1899-12-30T20:00:00"/>
    <s v="Simran Mehta"/>
    <s v="CUST0378"/>
    <x v="2"/>
    <x v="2"/>
    <x v="1"/>
    <s v="Food"/>
    <s v="Small"/>
    <n v="3"/>
    <n v="70"/>
    <n v="0.1"/>
    <n v="210"/>
    <n v="189"/>
    <x v="1"/>
    <x v="0"/>
    <x v="5"/>
    <x v="1"/>
    <x v="0"/>
    <x v="2"/>
    <n v="244"/>
    <n v="34"/>
    <x v="1058"/>
    <x v="1138"/>
    <x v="4"/>
    <x v="3"/>
    <n v="210"/>
    <x v="66"/>
    <n v="189"/>
    <x v="1126"/>
    <x v="1138"/>
    <x v="0"/>
    <x v="3"/>
    <x v="3"/>
    <s v="Saturday"/>
  </r>
  <r>
    <s v="TXN-01180"/>
    <d v="2024-04-14T00:00:00"/>
    <d v="1899-12-30T14:50:00"/>
    <s v="Rahul Kaur"/>
    <s v="CUST0286"/>
    <x v="2"/>
    <x v="12"/>
    <x v="1"/>
    <s v="Food"/>
    <s v="Small"/>
    <n v="3"/>
    <n v="90"/>
    <n v="0"/>
    <n v="270"/>
    <n v="270"/>
    <x v="2"/>
    <x v="0"/>
    <x v="4"/>
    <x v="5"/>
    <x v="2"/>
    <x v="2"/>
    <n v="347"/>
    <n v="34"/>
    <x v="1059"/>
    <x v="1139"/>
    <x v="0"/>
    <x v="2"/>
    <n v="270"/>
    <x v="0"/>
    <n v="270"/>
    <x v="1127"/>
    <x v="1139"/>
    <x v="0"/>
    <x v="8"/>
    <x v="8"/>
    <s v="Sunday"/>
  </r>
  <r>
    <s v="TXN-01181"/>
    <d v="2024-12-21T00:00:00"/>
    <d v="1899-12-30T13:50:00"/>
    <s v="Aditya Malhotra"/>
    <s v="CUST0360"/>
    <x v="3"/>
    <x v="0"/>
    <x v="0"/>
    <s v="Hot"/>
    <s v="Large"/>
    <n v="1"/>
    <n v="135"/>
    <n v="0.15"/>
    <n v="135"/>
    <n v="114.75"/>
    <x v="2"/>
    <x v="0"/>
    <x v="4"/>
    <x v="3"/>
    <x v="0"/>
    <x v="0"/>
    <n v="152"/>
    <n v="34"/>
    <x v="1060"/>
    <x v="1140"/>
    <x v="4"/>
    <x v="0"/>
    <n v="135"/>
    <x v="112"/>
    <n v="114.75"/>
    <x v="1128"/>
    <x v="1140"/>
    <x v="0"/>
    <x v="9"/>
    <x v="9"/>
    <s v="Saturday"/>
  </r>
  <r>
    <s v="TXN-01182"/>
    <d v="2024-06-03T00:00:00"/>
    <d v="1899-12-30T18:45:00"/>
    <s v="Riya Mehta"/>
    <s v="CUST0343"/>
    <x v="2"/>
    <x v="8"/>
    <x v="0"/>
    <s v="Cold"/>
    <s v="Unknown"/>
    <n v="1"/>
    <n v="160"/>
    <n v="0"/>
    <n v="160"/>
    <n v="160"/>
    <x v="0"/>
    <x v="1"/>
    <x v="3"/>
    <x v="6"/>
    <x v="0"/>
    <x v="4"/>
    <n v="220"/>
    <n v="50"/>
    <x v="1061"/>
    <x v="1141"/>
    <x v="0"/>
    <x v="0"/>
    <n v="160"/>
    <x v="0"/>
    <n v="160"/>
    <x v="1129"/>
    <x v="1141"/>
    <x v="0"/>
    <x v="4"/>
    <x v="4"/>
    <s v="Monday"/>
  </r>
  <r>
    <s v="TXN-01183"/>
    <d v="2024-09-22T00:00:00"/>
    <d v="1899-12-30T21:30:00"/>
    <s v="Vivaan Singh"/>
    <s v="CUST0307"/>
    <x v="3"/>
    <x v="1"/>
    <x v="1"/>
    <s v="Food"/>
    <s v="Large"/>
    <n v="2"/>
    <n v="130"/>
    <n v="0"/>
    <n v="260"/>
    <n v="260"/>
    <x v="1"/>
    <x v="3"/>
    <x v="1"/>
    <x v="4"/>
    <x v="0"/>
    <x v="1"/>
    <n v="179"/>
    <n v="43"/>
    <x v="1062"/>
    <x v="1142"/>
    <x v="0"/>
    <x v="1"/>
    <n v="260"/>
    <x v="0"/>
    <n v="260"/>
    <x v="1130"/>
    <x v="1142"/>
    <x v="0"/>
    <x v="0"/>
    <x v="0"/>
    <s v="Sunday"/>
  </r>
  <r>
    <s v="TXN-01184"/>
    <d v="2024-06-26T00:00:00"/>
    <d v="1899-12-30T15:00:00"/>
    <s v="Rahul Mehta"/>
    <s v="CUST0307"/>
    <x v="2"/>
    <x v="11"/>
    <x v="0"/>
    <s v="Hot"/>
    <s v="Large"/>
    <n v="5"/>
    <n v="90"/>
    <n v="0.1"/>
    <n v="450"/>
    <n v="405"/>
    <x v="0"/>
    <x v="3"/>
    <x v="1"/>
    <x v="1"/>
    <x v="2"/>
    <x v="3"/>
    <n v="244"/>
    <n v="35"/>
    <x v="1063"/>
    <x v="1143"/>
    <x v="3"/>
    <x v="1"/>
    <n v="450"/>
    <x v="15"/>
    <n v="405"/>
    <x v="1131"/>
    <x v="1143"/>
    <x v="0"/>
    <x v="4"/>
    <x v="4"/>
    <s v="Wednesday"/>
  </r>
  <r>
    <s v="TXN-01185"/>
    <d v="2024-05-01T00:00:00"/>
    <d v="1899-12-30T14:20:00"/>
    <s v="Sneha Chopra"/>
    <s v="CUST0360"/>
    <x v="2"/>
    <x v="0"/>
    <x v="0"/>
    <s v="Hot"/>
    <s v="Large"/>
    <n v="3"/>
    <n v="130"/>
    <n v="0.1"/>
    <n v="390"/>
    <n v="351"/>
    <x v="3"/>
    <x v="2"/>
    <x v="3"/>
    <x v="2"/>
    <x v="0"/>
    <x v="1"/>
    <n v="204"/>
    <n v="33"/>
    <x v="707"/>
    <x v="1144"/>
    <x v="3"/>
    <x v="4"/>
    <n v="390"/>
    <x v="21"/>
    <n v="351"/>
    <x v="1132"/>
    <x v="1144"/>
    <x v="0"/>
    <x v="6"/>
    <x v="6"/>
    <s v="Wednesday"/>
  </r>
  <r>
    <s v="TXN-01186"/>
    <d v="2024-03-08T00:00:00"/>
    <d v="1899-12-30T20:30:00"/>
    <s v="Manish Singh"/>
    <s v="CUST0127"/>
    <x v="2"/>
    <x v="6"/>
    <x v="0"/>
    <s v="Hot"/>
    <s v="Medium"/>
    <n v="3"/>
    <n v="100"/>
    <n v="0"/>
    <n v="300"/>
    <n v="300"/>
    <x v="2"/>
    <x v="3"/>
    <x v="1"/>
    <x v="6"/>
    <x v="0"/>
    <x v="0"/>
    <n v="244"/>
    <n v="21"/>
    <x v="1064"/>
    <x v="1145"/>
    <x v="0"/>
    <x v="3"/>
    <n v="300"/>
    <x v="0"/>
    <n v="300"/>
    <x v="1133"/>
    <x v="1145"/>
    <x v="0"/>
    <x v="5"/>
    <x v="5"/>
    <s v="Friday"/>
  </r>
  <r>
    <s v="TXN-01187"/>
    <d v="2024-11-01T00:00:00"/>
    <d v="1899-12-30T13:20:00"/>
    <s v="Sneha Malhotra"/>
    <s v="CUST0158"/>
    <x v="2"/>
    <x v="12"/>
    <x v="1"/>
    <s v="Food"/>
    <s v="Large"/>
    <n v="2"/>
    <n v="100"/>
    <n v="0"/>
    <n v="200"/>
    <n v="200"/>
    <x v="1"/>
    <x v="0"/>
    <x v="1"/>
    <x v="5"/>
    <x v="0"/>
    <x v="4"/>
    <n v="77"/>
    <n v="35"/>
    <x v="1065"/>
    <x v="1146"/>
    <x v="4"/>
    <x v="1"/>
    <n v="200"/>
    <x v="0"/>
    <n v="200"/>
    <x v="1134"/>
    <x v="1146"/>
    <x v="0"/>
    <x v="11"/>
    <x v="11"/>
    <s v="Friday"/>
  </r>
  <r>
    <s v="TXN-01188"/>
    <d v="2024-06-13T00:00:00"/>
    <d v="1899-12-30T19:45:00"/>
    <s v="Meera Chopra"/>
    <s v="CUST0393"/>
    <x v="2"/>
    <x v="6"/>
    <x v="0"/>
    <s v="Hot"/>
    <s v="Small"/>
    <n v="2"/>
    <n v="95"/>
    <n v="0.05"/>
    <n v="190"/>
    <n v="180.5"/>
    <x v="2"/>
    <x v="2"/>
    <x v="3"/>
    <x v="2"/>
    <x v="0"/>
    <x v="4"/>
    <n v="225"/>
    <n v="48"/>
    <x v="1066"/>
    <x v="1147"/>
    <x v="3"/>
    <x v="1"/>
    <n v="190"/>
    <x v="10"/>
    <n v="180.5"/>
    <x v="1135"/>
    <x v="1147"/>
    <x v="0"/>
    <x v="4"/>
    <x v="4"/>
    <s v="Thursday"/>
  </r>
  <r>
    <s v="TXN-01189"/>
    <d v="2024-03-24T00:00:00"/>
    <d v="1899-12-30T09:45:00"/>
    <s v="Vivaan Verma"/>
    <s v="CUST0340"/>
    <x v="1"/>
    <x v="9"/>
    <x v="2"/>
    <s v="Hot"/>
    <s v="Small"/>
    <n v="1"/>
    <n v="80"/>
    <n v="0.1"/>
    <n v="80"/>
    <n v="72"/>
    <x v="1"/>
    <x v="0"/>
    <x v="2"/>
    <x v="4"/>
    <x v="0"/>
    <x v="4"/>
    <n v="480"/>
    <n v="48"/>
    <x v="1067"/>
    <x v="1148"/>
    <x v="3"/>
    <x v="1"/>
    <n v="80"/>
    <x v="7"/>
    <n v="72"/>
    <x v="1136"/>
    <x v="1148"/>
    <x v="0"/>
    <x v="5"/>
    <x v="5"/>
    <s v="Sunday"/>
  </r>
  <r>
    <s v="TXN-01190"/>
    <d v="2024-02-21T00:00:00"/>
    <d v="1899-12-30T18:10:00"/>
    <s v="Karan Sharma"/>
    <s v="CUST0106"/>
    <x v="3"/>
    <x v="7"/>
    <x v="0"/>
    <s v="Hot"/>
    <s v="Medium"/>
    <n v="3"/>
    <n v="140"/>
    <n v="0.05"/>
    <n v="420"/>
    <n v="399"/>
    <x v="2"/>
    <x v="0"/>
    <x v="3"/>
    <x v="3"/>
    <x v="1"/>
    <x v="4"/>
    <n v="188"/>
    <n v="34"/>
    <x v="754"/>
    <x v="1149"/>
    <x v="0"/>
    <x v="4"/>
    <n v="420"/>
    <x v="66"/>
    <n v="399"/>
    <x v="1137"/>
    <x v="1149"/>
    <x v="0"/>
    <x v="3"/>
    <x v="3"/>
    <s v="Wednesday"/>
  </r>
  <r>
    <s v="TXN-01191"/>
    <d v="2024-02-02T00:00:00"/>
    <d v="1899-12-30T13:15:00"/>
    <s v="Manish Kapoor"/>
    <s v="CUST0134"/>
    <x v="3"/>
    <x v="7"/>
    <x v="0"/>
    <s v="Hot"/>
    <s v="Unknown"/>
    <n v="3"/>
    <n v="150"/>
    <n v="0"/>
    <n v="450"/>
    <n v="450"/>
    <x v="2"/>
    <x v="2"/>
    <x v="1"/>
    <x v="6"/>
    <x v="0"/>
    <x v="4"/>
    <n v="312"/>
    <n v="37"/>
    <x v="1068"/>
    <x v="1150"/>
    <x v="2"/>
    <x v="2"/>
    <n v="450"/>
    <x v="0"/>
    <n v="450"/>
    <x v="1138"/>
    <x v="1150"/>
    <x v="0"/>
    <x v="3"/>
    <x v="3"/>
    <s v="Friday"/>
  </r>
  <r>
    <s v="TXN-01192"/>
    <d v="2024-05-11T00:00:00"/>
    <d v="1899-12-30T21:00:00"/>
    <s v="Manish Mehta"/>
    <s v="CUST0343"/>
    <x v="1"/>
    <x v="8"/>
    <x v="0"/>
    <s v="Cold"/>
    <s v="Small"/>
    <n v="2"/>
    <n v="170"/>
    <n v="0"/>
    <n v="340"/>
    <n v="340"/>
    <x v="0"/>
    <x v="1"/>
    <x v="1"/>
    <x v="6"/>
    <x v="0"/>
    <x v="0"/>
    <n v="75"/>
    <n v="38"/>
    <x v="755"/>
    <x v="1151"/>
    <x v="0"/>
    <x v="4"/>
    <n v="340"/>
    <x v="0"/>
    <n v="340"/>
    <x v="1139"/>
    <x v="1151"/>
    <x v="0"/>
    <x v="6"/>
    <x v="6"/>
    <s v="Saturday"/>
  </r>
  <r>
    <s v="TXN-01193"/>
    <d v="2024-01-01T00:00:00"/>
    <d v="1899-12-30T18:00:00"/>
    <s v="Unknown"/>
    <s v="CUST0114"/>
    <x v="1"/>
    <x v="9"/>
    <x v="2"/>
    <s v="Hot"/>
    <s v="Unknown"/>
    <n v="1"/>
    <n v="80"/>
    <n v="0"/>
    <n v="80"/>
    <n v="80"/>
    <x v="2"/>
    <x v="0"/>
    <x v="4"/>
    <x v="1"/>
    <x v="1"/>
    <x v="2"/>
    <n v="327"/>
    <n v="38"/>
    <x v="965"/>
    <x v="1152"/>
    <x v="3"/>
    <x v="4"/>
    <n v="80"/>
    <x v="0"/>
    <n v="80"/>
    <x v="1019"/>
    <x v="1152"/>
    <x v="0"/>
    <x v="2"/>
    <x v="2"/>
    <s v="Monday"/>
  </r>
  <r>
    <s v="TXN-01194"/>
    <d v="2024-05-02T00:00:00"/>
    <d v="1899-12-30T15:50:00"/>
    <s v="Neha Kaur"/>
    <s v="CUST0348"/>
    <x v="3"/>
    <x v="2"/>
    <x v="1"/>
    <s v="Food"/>
    <s v="Medium"/>
    <n v="4"/>
    <n v="75"/>
    <n v="0.1"/>
    <n v="300"/>
    <n v="270"/>
    <x v="1"/>
    <x v="1"/>
    <x v="4"/>
    <x v="0"/>
    <x v="0"/>
    <x v="4"/>
    <n v="165"/>
    <n v="26"/>
    <x v="1069"/>
    <x v="1153"/>
    <x v="1"/>
    <x v="0"/>
    <n v="300"/>
    <x v="89"/>
    <n v="270"/>
    <x v="1140"/>
    <x v="1153"/>
    <x v="0"/>
    <x v="6"/>
    <x v="6"/>
    <s v="Thursday"/>
  </r>
  <r>
    <s v="TXN-01195"/>
    <d v="2024-03-11T00:00:00"/>
    <d v="1899-12-30T14:10:00"/>
    <s v="Unknown"/>
    <s v="CUST0151"/>
    <x v="3"/>
    <x v="6"/>
    <x v="0"/>
    <s v="Hot"/>
    <s v="Small"/>
    <n v="1"/>
    <n v="100"/>
    <n v="0"/>
    <n v="100"/>
    <n v="100"/>
    <x v="1"/>
    <x v="0"/>
    <x v="4"/>
    <x v="7"/>
    <x v="0"/>
    <x v="1"/>
    <n v="244"/>
    <n v="34"/>
    <x v="1070"/>
    <x v="755"/>
    <x v="4"/>
    <x v="0"/>
    <n v="100"/>
    <x v="0"/>
    <n v="100"/>
    <x v="1141"/>
    <x v="755"/>
    <x v="0"/>
    <x v="5"/>
    <x v="5"/>
    <s v="Monday"/>
  </r>
  <r>
    <s v="TXN-01196"/>
    <d v="2024-04-10T00:00:00"/>
    <d v="1899-12-30T15:20:00"/>
    <s v="Kavya Mehta"/>
    <s v="CUST0148"/>
    <x v="2"/>
    <x v="1"/>
    <x v="1"/>
    <s v="Food"/>
    <s v="Medium"/>
    <n v="1"/>
    <n v="115"/>
    <n v="0.1"/>
    <n v="115"/>
    <n v="103.5"/>
    <x v="0"/>
    <x v="2"/>
    <x v="5"/>
    <x v="7"/>
    <x v="0"/>
    <x v="4"/>
    <n v="180"/>
    <n v="60"/>
    <x v="1071"/>
    <x v="704"/>
    <x v="2"/>
    <x v="1"/>
    <n v="115"/>
    <x v="19"/>
    <n v="103.5"/>
    <x v="1142"/>
    <x v="704"/>
    <x v="0"/>
    <x v="8"/>
    <x v="8"/>
    <s v="Wednesday"/>
  </r>
  <r>
    <s v="TXN-01197"/>
    <d v="2024-12-29T00:00:00"/>
    <d v="1899-12-30T15:00:00"/>
    <s v="Manish Kapoor"/>
    <s v="CUST0164"/>
    <x v="1"/>
    <x v="12"/>
    <x v="1"/>
    <s v="Food"/>
    <s v="Unknown"/>
    <n v="1"/>
    <n v="85"/>
    <n v="0"/>
    <n v="85"/>
    <n v="85"/>
    <x v="0"/>
    <x v="0"/>
    <x v="3"/>
    <x v="7"/>
    <x v="2"/>
    <x v="3"/>
    <n v="271"/>
    <n v="13"/>
    <x v="1072"/>
    <x v="1154"/>
    <x v="0"/>
    <x v="4"/>
    <n v="85"/>
    <x v="0"/>
    <n v="85"/>
    <x v="1143"/>
    <x v="1154"/>
    <x v="0"/>
    <x v="9"/>
    <x v="9"/>
    <s v="Sunday"/>
  </r>
  <r>
    <s v="TXN-01198"/>
    <d v="2024-09-02T00:00:00"/>
    <d v="1899-12-30T14:50:00"/>
    <s v="Priya Bansal"/>
    <s v="CUST0114"/>
    <x v="3"/>
    <x v="15"/>
    <x v="4"/>
    <s v="Food"/>
    <s v="Unknown"/>
    <n v="2"/>
    <n v="190"/>
    <n v="0.1"/>
    <n v="380"/>
    <n v="342"/>
    <x v="1"/>
    <x v="0"/>
    <x v="0"/>
    <x v="7"/>
    <x v="1"/>
    <x v="1"/>
    <n v="76"/>
    <n v="40"/>
    <x v="1073"/>
    <x v="1155"/>
    <x v="3"/>
    <x v="1"/>
    <n v="380"/>
    <x v="54"/>
    <n v="342"/>
    <x v="1144"/>
    <x v="1155"/>
    <x v="0"/>
    <x v="0"/>
    <x v="0"/>
    <s v="Monday"/>
  </r>
  <r>
    <s v="TXN-01199"/>
    <d v="2024-12-12T00:00:00"/>
    <d v="1899-12-30T11:15:00"/>
    <s v="Karan Chopra"/>
    <s v="CUST0349"/>
    <x v="3"/>
    <x v="12"/>
    <x v="1"/>
    <s v="Food"/>
    <s v="Small"/>
    <n v="1"/>
    <n v="95"/>
    <n v="0"/>
    <n v="95"/>
    <n v="95"/>
    <x v="0"/>
    <x v="0"/>
    <x v="0"/>
    <x v="5"/>
    <x v="0"/>
    <x v="2"/>
    <n v="216"/>
    <n v="15"/>
    <x v="1074"/>
    <x v="1156"/>
    <x v="3"/>
    <x v="4"/>
    <n v="95"/>
    <x v="0"/>
    <n v="95"/>
    <x v="1145"/>
    <x v="1156"/>
    <x v="0"/>
    <x v="9"/>
    <x v="9"/>
    <s v="Thursday"/>
  </r>
  <r>
    <s v="TXN-01200"/>
    <d v="2024-12-18T00:00:00"/>
    <d v="1899-12-30T10:15:00"/>
    <s v="Sneha Gupta"/>
    <s v="CUST0131"/>
    <x v="1"/>
    <x v="13"/>
    <x v="2"/>
    <s v="Cold"/>
    <s v="Medium"/>
    <n v="2"/>
    <n v="110"/>
    <n v="0.1"/>
    <n v="220"/>
    <n v="198"/>
    <x v="1"/>
    <x v="3"/>
    <x v="1"/>
    <x v="4"/>
    <x v="2"/>
    <x v="4"/>
    <n v="382"/>
    <n v="60"/>
    <x v="1075"/>
    <x v="1157"/>
    <x v="4"/>
    <x v="3"/>
    <n v="220"/>
    <x v="78"/>
    <n v="198"/>
    <x v="1146"/>
    <x v="1157"/>
    <x v="0"/>
    <x v="9"/>
    <x v="9"/>
    <s v="Wednesday"/>
  </r>
  <r>
    <s v="TXN-01201"/>
    <d v="2024-08-20T00:00:00"/>
    <d v="1899-12-30T07:50:00"/>
    <s v="Vivaan Singh"/>
    <s v="CUST0239"/>
    <x v="1"/>
    <x v="5"/>
    <x v="2"/>
    <s v="Hot"/>
    <s v="Medium"/>
    <n v="1"/>
    <n v="90"/>
    <n v="0.1"/>
    <n v="90"/>
    <n v="81"/>
    <x v="2"/>
    <x v="0"/>
    <x v="2"/>
    <x v="7"/>
    <x v="1"/>
    <x v="2"/>
    <n v="382"/>
    <n v="27"/>
    <x v="415"/>
    <x v="1158"/>
    <x v="1"/>
    <x v="0"/>
    <n v="90"/>
    <x v="13"/>
    <n v="81"/>
    <x v="1147"/>
    <x v="1158"/>
    <x v="0"/>
    <x v="1"/>
    <x v="1"/>
    <s v="Tuesday"/>
  </r>
  <r>
    <s v="TXN-01202"/>
    <d v="2024-06-07T00:00:00"/>
    <d v="1899-12-30T12:20:00"/>
    <s v="Riya Bansal"/>
    <s v="CUST0378"/>
    <x v="3"/>
    <x v="2"/>
    <x v="1"/>
    <s v="Food"/>
    <s v="Small"/>
    <n v="1"/>
    <n v="80"/>
    <n v="0"/>
    <n v="80"/>
    <n v="80"/>
    <x v="3"/>
    <x v="0"/>
    <x v="6"/>
    <x v="7"/>
    <x v="1"/>
    <x v="2"/>
    <n v="94"/>
    <n v="60"/>
    <x v="1076"/>
    <x v="1159"/>
    <x v="0"/>
    <x v="3"/>
    <n v="80"/>
    <x v="0"/>
    <n v="80"/>
    <x v="1148"/>
    <x v="1159"/>
    <x v="0"/>
    <x v="4"/>
    <x v="4"/>
    <s v="Friday"/>
  </r>
  <r>
    <s v="TXN-01203"/>
    <d v="2024-08-03T00:00:00"/>
    <d v="1899-12-30T08:30:00"/>
    <s v="Arjun Kapoor"/>
    <s v="CUST0334"/>
    <x v="1"/>
    <x v="3"/>
    <x v="0"/>
    <s v="Hot"/>
    <s v="Medium"/>
    <n v="1"/>
    <n v="130"/>
    <n v="0.1"/>
    <n v="130"/>
    <n v="117"/>
    <x v="1"/>
    <x v="2"/>
    <x v="2"/>
    <x v="3"/>
    <x v="2"/>
    <x v="2"/>
    <n v="163"/>
    <n v="18"/>
    <x v="243"/>
    <x v="1160"/>
    <x v="0"/>
    <x v="0"/>
    <n v="130"/>
    <x v="17"/>
    <n v="117"/>
    <x v="1149"/>
    <x v="1160"/>
    <x v="0"/>
    <x v="1"/>
    <x v="1"/>
    <s v="Saturday"/>
  </r>
  <r>
    <s v="TXN-01204"/>
    <d v="2024-11-23T00:00:00"/>
    <d v="1899-12-30T17:15:00"/>
    <s v="Meera Malhotra"/>
    <s v="CUST0210"/>
    <x v="3"/>
    <x v="8"/>
    <x v="0"/>
    <s v="Cold"/>
    <s v="Medium"/>
    <n v="1"/>
    <n v="160"/>
    <n v="0"/>
    <n v="160"/>
    <n v="160"/>
    <x v="0"/>
    <x v="1"/>
    <x v="4"/>
    <x v="0"/>
    <x v="0"/>
    <x v="1"/>
    <n v="113"/>
    <n v="36"/>
    <x v="1077"/>
    <x v="1161"/>
    <x v="3"/>
    <x v="0"/>
    <n v="160"/>
    <x v="0"/>
    <n v="160"/>
    <x v="1150"/>
    <x v="1161"/>
    <x v="0"/>
    <x v="11"/>
    <x v="11"/>
    <s v="Saturday"/>
  </r>
  <r>
    <s v="TXN-01205"/>
    <d v="2024-12-23T00:00:00"/>
    <d v="1899-12-30T07:20:00"/>
    <s v="Vivaan Gupta"/>
    <s v="CUST0296"/>
    <x v="3"/>
    <x v="0"/>
    <x v="0"/>
    <s v="Hot"/>
    <s v="Medium"/>
    <n v="1"/>
    <n v="130"/>
    <n v="0"/>
    <n v="130"/>
    <n v="130"/>
    <x v="2"/>
    <x v="0"/>
    <x v="5"/>
    <x v="1"/>
    <x v="2"/>
    <x v="1"/>
    <n v="0"/>
    <n v="33"/>
    <x v="1078"/>
    <x v="1162"/>
    <x v="0"/>
    <x v="3"/>
    <n v="130"/>
    <x v="0"/>
    <n v="130"/>
    <x v="1151"/>
    <x v="1162"/>
    <x v="0"/>
    <x v="9"/>
    <x v="9"/>
    <s v="Monday"/>
  </r>
  <r>
    <s v="TXN-01206"/>
    <d v="2024-04-07T00:00:00"/>
    <d v="1899-12-30T07:45:00"/>
    <s v="Priya Mehta"/>
    <s v="CUST0140"/>
    <x v="3"/>
    <x v="13"/>
    <x v="2"/>
    <s v="Cold"/>
    <s v="Small"/>
    <n v="1"/>
    <n v="120"/>
    <n v="0"/>
    <n v="120"/>
    <n v="120"/>
    <x v="2"/>
    <x v="3"/>
    <x v="0"/>
    <x v="6"/>
    <x v="1"/>
    <x v="2"/>
    <n v="458"/>
    <n v="52"/>
    <x v="652"/>
    <x v="1163"/>
    <x v="0"/>
    <x v="1"/>
    <n v="120"/>
    <x v="0"/>
    <n v="120"/>
    <x v="1152"/>
    <x v="1163"/>
    <x v="0"/>
    <x v="8"/>
    <x v="8"/>
    <s v="Sunday"/>
  </r>
  <r>
    <s v="TXN-01207"/>
    <d v="2024-08-19T00:00:00"/>
    <d v="1899-12-30T17:50:00"/>
    <s v="Aarav Verma"/>
    <s v="CUST0154"/>
    <x v="3"/>
    <x v="8"/>
    <x v="0"/>
    <s v="Cold"/>
    <s v="Small"/>
    <n v="3"/>
    <n v="160"/>
    <n v="0.15"/>
    <n v="480"/>
    <n v="408"/>
    <x v="0"/>
    <x v="3"/>
    <x v="1"/>
    <x v="7"/>
    <x v="1"/>
    <x v="4"/>
    <n v="87"/>
    <n v="36"/>
    <x v="1079"/>
    <x v="1164"/>
    <x v="1"/>
    <x v="3"/>
    <n v="480"/>
    <x v="62"/>
    <n v="408"/>
    <x v="1153"/>
    <x v="1164"/>
    <x v="0"/>
    <x v="1"/>
    <x v="1"/>
    <s v="Monday"/>
  </r>
  <r>
    <s v="TXN-01208"/>
    <d v="2024-05-12T00:00:00"/>
    <d v="1899-12-30T21:45:00"/>
    <s v="Arjun Kapoor"/>
    <s v="CUST0262"/>
    <x v="0"/>
    <x v="2"/>
    <x v="1"/>
    <s v="Food"/>
    <s v="Medium"/>
    <n v="2"/>
    <n v="80"/>
    <n v="0.1"/>
    <n v="160"/>
    <n v="144"/>
    <x v="2"/>
    <x v="1"/>
    <x v="2"/>
    <x v="0"/>
    <x v="0"/>
    <x v="2"/>
    <n v="233"/>
    <n v="54"/>
    <x v="1080"/>
    <x v="1165"/>
    <x v="1"/>
    <x v="1"/>
    <n v="160"/>
    <x v="3"/>
    <n v="144"/>
    <x v="1154"/>
    <x v="1165"/>
    <x v="0"/>
    <x v="6"/>
    <x v="6"/>
    <s v="Sunday"/>
  </r>
  <r>
    <s v="TXN-01209"/>
    <d v="2024-02-13T00:00:00"/>
    <d v="1899-12-30T16:30:00"/>
    <s v="Karan Chopra"/>
    <s v="CUST0110"/>
    <x v="2"/>
    <x v="1"/>
    <x v="1"/>
    <s v="Food"/>
    <s v="Large"/>
    <n v="1"/>
    <n v="120"/>
    <n v="0.05"/>
    <n v="120"/>
    <n v="114"/>
    <x v="3"/>
    <x v="3"/>
    <x v="3"/>
    <x v="4"/>
    <x v="0"/>
    <x v="3"/>
    <n v="329"/>
    <n v="15"/>
    <x v="1081"/>
    <x v="1166"/>
    <x v="3"/>
    <x v="3"/>
    <n v="120"/>
    <x v="77"/>
    <n v="114"/>
    <x v="1155"/>
    <x v="1166"/>
    <x v="0"/>
    <x v="3"/>
    <x v="3"/>
    <s v="Tuesday"/>
  </r>
  <r>
    <s v="TXN-01210"/>
    <d v="2024-04-09T00:00:00"/>
    <d v="1899-12-30T17:20:00"/>
    <s v="Isha Kapoor"/>
    <s v="CUST0297"/>
    <x v="3"/>
    <x v="3"/>
    <x v="0"/>
    <s v="Hot"/>
    <s v="Small"/>
    <n v="1"/>
    <n v="120"/>
    <n v="0.1"/>
    <n v="120"/>
    <n v="108"/>
    <x v="2"/>
    <x v="0"/>
    <x v="5"/>
    <x v="7"/>
    <x v="1"/>
    <x v="0"/>
    <n v="267"/>
    <n v="34"/>
    <x v="1082"/>
    <x v="1167"/>
    <x v="3"/>
    <x v="4"/>
    <n v="120"/>
    <x v="2"/>
    <n v="108"/>
    <x v="1156"/>
    <x v="1167"/>
    <x v="0"/>
    <x v="8"/>
    <x v="8"/>
    <s v="Tuesday"/>
  </r>
  <r>
    <s v="TXN-01211"/>
    <d v="2024-08-20T00:00:00"/>
    <d v="1899-12-30T13:00:00"/>
    <s v="Aarav Kapoor"/>
    <s v="CUST0219"/>
    <x v="1"/>
    <x v="7"/>
    <x v="0"/>
    <s v="Hot"/>
    <s v="Medium"/>
    <n v="1"/>
    <n v="145"/>
    <n v="0"/>
    <n v="145"/>
    <n v="145"/>
    <x v="2"/>
    <x v="3"/>
    <x v="0"/>
    <x v="1"/>
    <x v="0"/>
    <x v="3"/>
    <n v="86"/>
    <n v="35"/>
    <x v="1083"/>
    <x v="1168"/>
    <x v="1"/>
    <x v="4"/>
    <n v="145"/>
    <x v="0"/>
    <n v="145"/>
    <x v="1157"/>
    <x v="1168"/>
    <x v="0"/>
    <x v="1"/>
    <x v="1"/>
    <s v="Tuesday"/>
  </r>
  <r>
    <s v="TXN-01212"/>
    <d v="2024-09-19T00:00:00"/>
    <d v="1899-12-30T18:10:00"/>
    <s v="Neha Mehta"/>
    <s v="CUST0314"/>
    <x v="2"/>
    <x v="2"/>
    <x v="1"/>
    <s v="Food"/>
    <s v="Large"/>
    <n v="1"/>
    <n v="75"/>
    <n v="0.05"/>
    <n v="75"/>
    <n v="71.25"/>
    <x v="0"/>
    <x v="3"/>
    <x v="6"/>
    <x v="6"/>
    <x v="0"/>
    <x v="2"/>
    <n v="244"/>
    <n v="38"/>
    <x v="1084"/>
    <x v="1169"/>
    <x v="1"/>
    <x v="1"/>
    <n v="75"/>
    <x v="57"/>
    <n v="71.25"/>
    <x v="1158"/>
    <x v="1169"/>
    <x v="0"/>
    <x v="0"/>
    <x v="0"/>
    <s v="Thursday"/>
  </r>
  <r>
    <s v="TXN-01213"/>
    <d v="2024-07-03T00:00:00"/>
    <d v="1899-12-30T13:30:00"/>
    <s v="Unknown"/>
    <s v="CUST0297"/>
    <x v="1"/>
    <x v="14"/>
    <x v="3"/>
    <s v="Food"/>
    <s v="Medium"/>
    <n v="4"/>
    <n v="180"/>
    <n v="0.1"/>
    <n v="720"/>
    <n v="648"/>
    <x v="1"/>
    <x v="0"/>
    <x v="6"/>
    <x v="5"/>
    <x v="0"/>
    <x v="0"/>
    <n v="480"/>
    <n v="21"/>
    <x v="1085"/>
    <x v="1170"/>
    <x v="1"/>
    <x v="0"/>
    <n v="720"/>
    <x v="62"/>
    <n v="648"/>
    <x v="1159"/>
    <x v="1170"/>
    <x v="0"/>
    <x v="7"/>
    <x v="7"/>
    <s v="Wednesday"/>
  </r>
  <r>
    <s v="TXN-01214"/>
    <d v="2024-02-01T00:00:00"/>
    <d v="1899-12-30T12:00:00"/>
    <s v="Nikhil Malhotra"/>
    <s v="CUST0161"/>
    <x v="2"/>
    <x v="7"/>
    <x v="0"/>
    <s v="Hot"/>
    <s v="Medium"/>
    <n v="2"/>
    <n v="145"/>
    <n v="0.15"/>
    <n v="290"/>
    <n v="246.5"/>
    <x v="0"/>
    <x v="0"/>
    <x v="1"/>
    <x v="1"/>
    <x v="2"/>
    <x v="4"/>
    <n v="236"/>
    <n v="51"/>
    <x v="1086"/>
    <x v="1171"/>
    <x v="0"/>
    <x v="0"/>
    <n v="290"/>
    <x v="81"/>
    <n v="246.5"/>
    <x v="1160"/>
    <x v="1171"/>
    <x v="0"/>
    <x v="3"/>
    <x v="3"/>
    <s v="Thursday"/>
  </r>
  <r>
    <s v="TXN-01215"/>
    <d v="2024-07-30T00:00:00"/>
    <d v="1899-12-30T10:15:00"/>
    <s v="Sahil Bansal"/>
    <s v="CUST0153"/>
    <x v="1"/>
    <x v="15"/>
    <x v="4"/>
    <s v="Food"/>
    <s v="Medium"/>
    <n v="1"/>
    <n v="185"/>
    <n v="0"/>
    <n v="185"/>
    <n v="185"/>
    <x v="0"/>
    <x v="1"/>
    <x v="6"/>
    <x v="1"/>
    <x v="0"/>
    <x v="2"/>
    <n v="404"/>
    <n v="33"/>
    <x v="1087"/>
    <x v="1172"/>
    <x v="3"/>
    <x v="0"/>
    <n v="185"/>
    <x v="0"/>
    <n v="185"/>
    <x v="1161"/>
    <x v="1172"/>
    <x v="0"/>
    <x v="7"/>
    <x v="7"/>
    <s v="Tuesday"/>
  </r>
  <r>
    <s v="TXN-01216"/>
    <d v="2024-09-27T00:00:00"/>
    <d v="1899-12-30T14:20:00"/>
    <s v="Pooja Mehta"/>
    <s v="CUST0360"/>
    <x v="2"/>
    <x v="0"/>
    <x v="0"/>
    <s v="Hot"/>
    <s v="Small"/>
    <n v="4"/>
    <n v="135"/>
    <n v="0.05"/>
    <n v="540"/>
    <n v="513"/>
    <x v="2"/>
    <x v="3"/>
    <x v="3"/>
    <x v="1"/>
    <x v="0"/>
    <x v="2"/>
    <n v="406"/>
    <n v="35"/>
    <x v="1088"/>
    <x v="1173"/>
    <x v="3"/>
    <x v="0"/>
    <n v="540"/>
    <x v="33"/>
    <n v="513"/>
    <x v="1162"/>
    <x v="1173"/>
    <x v="0"/>
    <x v="0"/>
    <x v="0"/>
    <s v="Friday"/>
  </r>
  <r>
    <s v="TXN-01217"/>
    <d v="2024-03-28T00:00:00"/>
    <d v="1899-12-30T21:30:00"/>
    <s v="Arjun Bansal"/>
    <s v="CUST0222"/>
    <x v="1"/>
    <x v="0"/>
    <x v="0"/>
    <s v="Hot"/>
    <s v="Unknown"/>
    <n v="3"/>
    <n v="140"/>
    <n v="0"/>
    <n v="420"/>
    <n v="420"/>
    <x v="1"/>
    <x v="2"/>
    <x v="0"/>
    <x v="3"/>
    <x v="1"/>
    <x v="4"/>
    <n v="415"/>
    <n v="14"/>
    <x v="1089"/>
    <x v="1174"/>
    <x v="1"/>
    <x v="0"/>
    <n v="420"/>
    <x v="0"/>
    <n v="420"/>
    <x v="1163"/>
    <x v="1174"/>
    <x v="0"/>
    <x v="5"/>
    <x v="5"/>
    <s v="Thursday"/>
  </r>
  <r>
    <s v="TXN-01218"/>
    <d v="2024-08-20T00:00:00"/>
    <d v="1899-12-30T09:00:00"/>
    <s v="Riya Chopra"/>
    <s v="CUST0377"/>
    <x v="2"/>
    <x v="5"/>
    <x v="2"/>
    <s v="Hot"/>
    <s v="Medium"/>
    <n v="1"/>
    <n v="90"/>
    <n v="0.05"/>
    <n v="90"/>
    <n v="85.5"/>
    <x v="2"/>
    <x v="0"/>
    <x v="6"/>
    <x v="1"/>
    <x v="1"/>
    <x v="2"/>
    <n v="392"/>
    <n v="34"/>
    <x v="1090"/>
    <x v="1055"/>
    <x v="1"/>
    <x v="0"/>
    <n v="90"/>
    <x v="31"/>
    <n v="85.5"/>
    <x v="1164"/>
    <x v="1055"/>
    <x v="0"/>
    <x v="1"/>
    <x v="1"/>
    <s v="Tuesday"/>
  </r>
  <r>
    <s v="TXN-01219"/>
    <d v="2024-12-15T00:00:00"/>
    <d v="1899-12-30T20:00:00"/>
    <s v="Riya Malhotra"/>
    <s v="CUST0241"/>
    <x v="3"/>
    <x v="8"/>
    <x v="0"/>
    <s v="Cold"/>
    <s v="Small"/>
    <n v="3"/>
    <n v="155"/>
    <n v="0"/>
    <n v="465"/>
    <n v="465"/>
    <x v="1"/>
    <x v="3"/>
    <x v="1"/>
    <x v="1"/>
    <x v="0"/>
    <x v="2"/>
    <n v="366"/>
    <n v="31"/>
    <x v="1091"/>
    <x v="1175"/>
    <x v="1"/>
    <x v="0"/>
    <n v="465"/>
    <x v="0"/>
    <n v="465"/>
    <x v="1165"/>
    <x v="1175"/>
    <x v="0"/>
    <x v="9"/>
    <x v="9"/>
    <s v="Sunday"/>
  </r>
  <r>
    <s v="TXN-01220"/>
    <d v="2024-10-13T00:00:00"/>
    <d v="1899-12-30T09:45:00"/>
    <s v="Manish Kapoor"/>
    <s v="CUST0375"/>
    <x v="2"/>
    <x v="8"/>
    <x v="0"/>
    <s v="Cold"/>
    <s v="Medium"/>
    <n v="1"/>
    <n v="170"/>
    <n v="0"/>
    <n v="170"/>
    <n v="170"/>
    <x v="2"/>
    <x v="3"/>
    <x v="0"/>
    <x v="4"/>
    <x v="0"/>
    <x v="4"/>
    <n v="221"/>
    <n v="55"/>
    <x v="1092"/>
    <x v="1176"/>
    <x v="3"/>
    <x v="0"/>
    <n v="170"/>
    <x v="0"/>
    <n v="170"/>
    <x v="1166"/>
    <x v="1176"/>
    <x v="0"/>
    <x v="10"/>
    <x v="10"/>
    <s v="Sunday"/>
  </r>
  <r>
    <s v="TXN-01221"/>
    <d v="2024-04-04T00:00:00"/>
    <d v="1899-12-30T18:30:00"/>
    <s v="Simran Verma"/>
    <s v="CUST0380"/>
    <x v="3"/>
    <x v="4"/>
    <x v="0"/>
    <s v="Cold"/>
    <s v="Small"/>
    <n v="1"/>
    <n v="155"/>
    <n v="0.05"/>
    <n v="155"/>
    <n v="147.25"/>
    <x v="2"/>
    <x v="0"/>
    <x v="5"/>
    <x v="1"/>
    <x v="0"/>
    <x v="4"/>
    <n v="139"/>
    <n v="30"/>
    <x v="1093"/>
    <x v="617"/>
    <x v="2"/>
    <x v="0"/>
    <n v="155"/>
    <x v="44"/>
    <n v="147.25"/>
    <x v="1167"/>
    <x v="617"/>
    <x v="0"/>
    <x v="8"/>
    <x v="8"/>
    <s v="Thursday"/>
  </r>
  <r>
    <s v="TXN-01222"/>
    <d v="2024-10-08T00:00:00"/>
    <d v="1899-12-30T12:30:00"/>
    <s v="Neha Bansal"/>
    <s v="CUST0154"/>
    <x v="2"/>
    <x v="0"/>
    <x v="0"/>
    <s v="Hot"/>
    <s v="Small"/>
    <n v="1"/>
    <n v="125"/>
    <n v="0.15"/>
    <n v="125"/>
    <n v="106.25"/>
    <x v="0"/>
    <x v="1"/>
    <x v="6"/>
    <x v="5"/>
    <x v="0"/>
    <x v="2"/>
    <n v="244"/>
    <n v="32"/>
    <x v="1094"/>
    <x v="1177"/>
    <x v="3"/>
    <x v="3"/>
    <n v="125"/>
    <x v="69"/>
    <n v="106.25"/>
    <x v="1168"/>
    <x v="1177"/>
    <x v="0"/>
    <x v="10"/>
    <x v="10"/>
    <s v="Tuesday"/>
  </r>
  <r>
    <s v="TXN-01223"/>
    <d v="2024-03-15T00:00:00"/>
    <d v="1899-12-30T07:50:00"/>
    <s v="Meera Singh"/>
    <s v="CUST0281"/>
    <x v="2"/>
    <x v="15"/>
    <x v="4"/>
    <s v="Food"/>
    <s v="Small"/>
    <n v="1"/>
    <n v="190"/>
    <n v="0.1"/>
    <n v="190"/>
    <n v="171"/>
    <x v="2"/>
    <x v="3"/>
    <x v="5"/>
    <x v="6"/>
    <x v="0"/>
    <x v="2"/>
    <n v="244"/>
    <n v="35"/>
    <x v="1095"/>
    <x v="1178"/>
    <x v="2"/>
    <x v="2"/>
    <n v="190"/>
    <x v="29"/>
    <n v="171"/>
    <x v="1169"/>
    <x v="1178"/>
    <x v="0"/>
    <x v="5"/>
    <x v="5"/>
    <s v="Friday"/>
  </r>
  <r>
    <s v="TXN-01224"/>
    <d v="2024-06-30T00:00:00"/>
    <d v="1899-12-30T21:20:00"/>
    <s v="Karan Singh"/>
    <s v="CUST0239"/>
    <x v="2"/>
    <x v="8"/>
    <x v="0"/>
    <s v="Cold"/>
    <s v="Small"/>
    <n v="2"/>
    <n v="155"/>
    <n v="0.05"/>
    <n v="310"/>
    <n v="294.5"/>
    <x v="1"/>
    <x v="2"/>
    <x v="1"/>
    <x v="3"/>
    <x v="1"/>
    <x v="2"/>
    <n v="330"/>
    <n v="15"/>
    <x v="1096"/>
    <x v="1179"/>
    <x v="4"/>
    <x v="4"/>
    <n v="310"/>
    <x v="14"/>
    <n v="294.5"/>
    <x v="1170"/>
    <x v="1179"/>
    <x v="0"/>
    <x v="4"/>
    <x v="4"/>
    <s v="Sunday"/>
  </r>
  <r>
    <s v="TXN-01225"/>
    <d v="2024-11-15T00:00:00"/>
    <d v="1899-12-30T11:20:00"/>
    <s v="Aarav Singh"/>
    <s v="CUST0394"/>
    <x v="2"/>
    <x v="11"/>
    <x v="0"/>
    <s v="Hot"/>
    <s v="Medium"/>
    <n v="2"/>
    <n v="90"/>
    <n v="0.1"/>
    <n v="180"/>
    <n v="162"/>
    <x v="3"/>
    <x v="0"/>
    <x v="0"/>
    <x v="3"/>
    <x v="0"/>
    <x v="2"/>
    <n v="406"/>
    <n v="48"/>
    <x v="1097"/>
    <x v="1180"/>
    <x v="0"/>
    <x v="3"/>
    <n v="180"/>
    <x v="23"/>
    <n v="162"/>
    <x v="1171"/>
    <x v="1180"/>
    <x v="0"/>
    <x v="11"/>
    <x v="11"/>
    <s v="Friday"/>
  </r>
  <r>
    <s v="TXN-01226"/>
    <d v="2024-02-04T00:00:00"/>
    <d v="1899-12-30T15:10:00"/>
    <s v="Pooja Gupta"/>
    <s v="CUST0286"/>
    <x v="3"/>
    <x v="3"/>
    <x v="0"/>
    <s v="Hot"/>
    <s v="Large"/>
    <n v="4"/>
    <n v="115"/>
    <n v="0"/>
    <n v="460"/>
    <n v="460"/>
    <x v="0"/>
    <x v="2"/>
    <x v="6"/>
    <x v="5"/>
    <x v="0"/>
    <x v="1"/>
    <n v="229"/>
    <n v="36"/>
    <x v="1098"/>
    <x v="1181"/>
    <x v="3"/>
    <x v="2"/>
    <n v="460"/>
    <x v="0"/>
    <n v="460"/>
    <x v="1172"/>
    <x v="1181"/>
    <x v="0"/>
    <x v="3"/>
    <x v="3"/>
    <s v="Sunday"/>
  </r>
  <r>
    <s v="TXN-01227"/>
    <d v="2024-03-25T00:00:00"/>
    <d v="1899-12-30T20:45:00"/>
    <s v="Vivaan Gupta"/>
    <s v="CUST0373"/>
    <x v="2"/>
    <x v="5"/>
    <x v="2"/>
    <s v="Hot"/>
    <s v="Medium"/>
    <n v="2"/>
    <n v="95"/>
    <n v="0.05"/>
    <n v="190"/>
    <n v="180.5"/>
    <x v="2"/>
    <x v="3"/>
    <x v="3"/>
    <x v="0"/>
    <x v="0"/>
    <x v="4"/>
    <n v="379"/>
    <n v="29"/>
    <x v="1099"/>
    <x v="1182"/>
    <x v="3"/>
    <x v="3"/>
    <n v="190"/>
    <x v="10"/>
    <n v="180.5"/>
    <x v="1173"/>
    <x v="1182"/>
    <x v="0"/>
    <x v="5"/>
    <x v="5"/>
    <s v="Monday"/>
  </r>
  <r>
    <s v="TXN-01228"/>
    <d v="2024-04-19T00:00:00"/>
    <d v="1899-12-30T21:00:00"/>
    <s v="Aarav Malhotra"/>
    <s v="CUST0334"/>
    <x v="0"/>
    <x v="11"/>
    <x v="0"/>
    <s v="Hot"/>
    <s v="Large"/>
    <n v="1"/>
    <n v="90"/>
    <n v="0.1"/>
    <n v="90"/>
    <n v="81"/>
    <x v="0"/>
    <x v="0"/>
    <x v="5"/>
    <x v="4"/>
    <x v="1"/>
    <x v="2"/>
    <n v="267"/>
    <n v="33"/>
    <x v="1100"/>
    <x v="1183"/>
    <x v="1"/>
    <x v="0"/>
    <n v="90"/>
    <x v="13"/>
    <n v="81"/>
    <x v="1174"/>
    <x v="1183"/>
    <x v="0"/>
    <x v="8"/>
    <x v="8"/>
    <s v="Friday"/>
  </r>
  <r>
    <s v="TXN-01229"/>
    <d v="2024-12-07T00:00:00"/>
    <d v="1899-12-30T19:20:00"/>
    <s v="Rahul Kaur"/>
    <s v="CUST0246"/>
    <x v="2"/>
    <x v="2"/>
    <x v="1"/>
    <s v="Food"/>
    <s v="Unknown"/>
    <n v="1"/>
    <n v="70"/>
    <n v="0.1"/>
    <n v="70"/>
    <n v="63"/>
    <x v="0"/>
    <x v="3"/>
    <x v="4"/>
    <x v="3"/>
    <x v="0"/>
    <x v="0"/>
    <n v="426"/>
    <n v="15"/>
    <x v="1101"/>
    <x v="484"/>
    <x v="0"/>
    <x v="3"/>
    <n v="70"/>
    <x v="22"/>
    <n v="63"/>
    <x v="1175"/>
    <x v="484"/>
    <x v="0"/>
    <x v="9"/>
    <x v="9"/>
    <s v="Saturday"/>
  </r>
  <r>
    <s v="TXN-01230"/>
    <d v="2024-10-25T00:00:00"/>
    <d v="1899-12-30T21:30:00"/>
    <s v="Pooja Sharma"/>
    <s v="CUST0314"/>
    <x v="2"/>
    <x v="10"/>
    <x v="1"/>
    <s v="Food"/>
    <s v="Small"/>
    <n v="3"/>
    <n v="110"/>
    <n v="0"/>
    <n v="330"/>
    <n v="330"/>
    <x v="0"/>
    <x v="2"/>
    <x v="4"/>
    <x v="4"/>
    <x v="1"/>
    <x v="4"/>
    <n v="495"/>
    <n v="37"/>
    <x v="1102"/>
    <x v="1184"/>
    <x v="3"/>
    <x v="0"/>
    <n v="330"/>
    <x v="0"/>
    <n v="330"/>
    <x v="1176"/>
    <x v="1184"/>
    <x v="0"/>
    <x v="10"/>
    <x v="10"/>
    <s v="Friday"/>
  </r>
  <r>
    <s v="TXN-01231"/>
    <d v="2024-05-17T00:00:00"/>
    <d v="1899-12-30T15:15:00"/>
    <s v="Arjun Kaur"/>
    <s v="CUST0137"/>
    <x v="3"/>
    <x v="3"/>
    <x v="0"/>
    <s v="Hot"/>
    <s v="Small"/>
    <n v="2"/>
    <n v="120"/>
    <n v="0"/>
    <n v="240"/>
    <n v="240"/>
    <x v="0"/>
    <x v="3"/>
    <x v="1"/>
    <x v="1"/>
    <x v="2"/>
    <x v="3"/>
    <n v="236"/>
    <n v="26"/>
    <x v="142"/>
    <x v="1153"/>
    <x v="1"/>
    <x v="4"/>
    <n v="240"/>
    <x v="0"/>
    <n v="240"/>
    <x v="1177"/>
    <x v="1153"/>
    <x v="0"/>
    <x v="6"/>
    <x v="6"/>
    <s v="Friday"/>
  </r>
  <r>
    <s v="TXN-01232"/>
    <d v="2024-03-19T00:00:00"/>
    <d v="1899-12-30T11:30:00"/>
    <s v="Pooja Bansal"/>
    <s v="CUST0120"/>
    <x v="3"/>
    <x v="2"/>
    <x v="1"/>
    <s v="Food"/>
    <s v="Medium"/>
    <n v="2"/>
    <n v="75"/>
    <n v="0"/>
    <n v="150"/>
    <n v="150"/>
    <x v="2"/>
    <x v="1"/>
    <x v="6"/>
    <x v="4"/>
    <x v="0"/>
    <x v="2"/>
    <n v="112"/>
    <n v="25"/>
    <x v="1103"/>
    <x v="1185"/>
    <x v="0"/>
    <x v="0"/>
    <n v="150"/>
    <x v="0"/>
    <n v="150"/>
    <x v="1178"/>
    <x v="1185"/>
    <x v="0"/>
    <x v="5"/>
    <x v="5"/>
    <s v="Tuesday"/>
  </r>
  <r>
    <s v="TXN-01233"/>
    <d v="2024-09-04T00:00:00"/>
    <d v="1899-12-30T11:50:00"/>
    <s v="Priya Malhotra"/>
    <s v="Unknown"/>
    <x v="0"/>
    <x v="5"/>
    <x v="2"/>
    <s v="Hot"/>
    <s v="Unknown"/>
    <n v="2"/>
    <n v="95"/>
    <n v="0.1"/>
    <n v="190"/>
    <n v="171"/>
    <x v="2"/>
    <x v="0"/>
    <x v="4"/>
    <x v="6"/>
    <x v="0"/>
    <x v="0"/>
    <n v="143"/>
    <n v="20"/>
    <x v="1104"/>
    <x v="1186"/>
    <x v="0"/>
    <x v="3"/>
    <n v="190"/>
    <x v="29"/>
    <n v="171"/>
    <x v="1179"/>
    <x v="1186"/>
    <x v="0"/>
    <x v="0"/>
    <x v="0"/>
    <s v="Wednesday"/>
  </r>
  <r>
    <s v="TXN-01234"/>
    <d v="2024-10-13T00:00:00"/>
    <d v="1899-12-30T13:10:00"/>
    <s v="Sneha Bansal"/>
    <s v="CUST0113"/>
    <x v="3"/>
    <x v="14"/>
    <x v="3"/>
    <s v="Food"/>
    <s v="Large"/>
    <n v="1"/>
    <n v="185"/>
    <n v="0.15"/>
    <n v="185"/>
    <n v="157.25"/>
    <x v="2"/>
    <x v="0"/>
    <x v="6"/>
    <x v="0"/>
    <x v="1"/>
    <x v="4"/>
    <n v="62"/>
    <n v="35"/>
    <x v="1105"/>
    <x v="1187"/>
    <x v="4"/>
    <x v="0"/>
    <n v="185"/>
    <x v="61"/>
    <n v="157.25"/>
    <x v="1180"/>
    <x v="1187"/>
    <x v="0"/>
    <x v="10"/>
    <x v="10"/>
    <s v="Sunday"/>
  </r>
  <r>
    <s v="TXN-01235"/>
    <d v="2024-05-14T00:00:00"/>
    <d v="1899-12-30T08:45:00"/>
    <s v="Neha Mehta"/>
    <s v="CUST0204"/>
    <x v="0"/>
    <x v="5"/>
    <x v="2"/>
    <s v="Hot"/>
    <s v="Small"/>
    <n v="1"/>
    <n v="95"/>
    <n v="0"/>
    <n v="95"/>
    <n v="95"/>
    <x v="3"/>
    <x v="0"/>
    <x v="0"/>
    <x v="5"/>
    <x v="0"/>
    <x v="0"/>
    <n v="433"/>
    <n v="43"/>
    <x v="418"/>
    <x v="1188"/>
    <x v="4"/>
    <x v="0"/>
    <n v="95"/>
    <x v="0"/>
    <n v="95"/>
    <x v="1181"/>
    <x v="1188"/>
    <x v="0"/>
    <x v="6"/>
    <x v="6"/>
    <s v="Tuesday"/>
  </r>
  <r>
    <s v="TXN-01236"/>
    <d v="2024-03-14T00:00:00"/>
    <d v="1899-12-30T12:30:00"/>
    <s v="Isha Gupta"/>
    <s v="CUST0341"/>
    <x v="3"/>
    <x v="11"/>
    <x v="0"/>
    <s v="Hot"/>
    <s v="Large"/>
    <n v="1"/>
    <n v="100"/>
    <n v="0"/>
    <n v="100"/>
    <n v="100"/>
    <x v="0"/>
    <x v="1"/>
    <x v="6"/>
    <x v="0"/>
    <x v="1"/>
    <x v="1"/>
    <n v="185"/>
    <n v="36"/>
    <x v="1106"/>
    <x v="1189"/>
    <x v="2"/>
    <x v="4"/>
    <n v="100"/>
    <x v="0"/>
    <n v="100"/>
    <x v="1182"/>
    <x v="1189"/>
    <x v="0"/>
    <x v="5"/>
    <x v="5"/>
    <s v="Thursday"/>
  </r>
  <r>
    <s v="TXN-01237"/>
    <d v="2024-06-16T00:00:00"/>
    <d v="1899-12-30T12:20:00"/>
    <s v="Meera Verma"/>
    <s v="CUST0210"/>
    <x v="2"/>
    <x v="2"/>
    <x v="1"/>
    <s v="Food"/>
    <s v="Medium"/>
    <n v="2"/>
    <n v="75"/>
    <n v="0"/>
    <n v="150"/>
    <n v="150"/>
    <x v="0"/>
    <x v="0"/>
    <x v="2"/>
    <x v="0"/>
    <x v="0"/>
    <x v="3"/>
    <n v="119"/>
    <n v="34"/>
    <x v="1107"/>
    <x v="1190"/>
    <x v="0"/>
    <x v="0"/>
    <n v="150"/>
    <x v="0"/>
    <n v="150"/>
    <x v="701"/>
    <x v="1190"/>
    <x v="0"/>
    <x v="4"/>
    <x v="4"/>
    <s v="Sunday"/>
  </r>
  <r>
    <s v="TXN-01238"/>
    <d v="2024-04-29T00:00:00"/>
    <d v="1899-12-30T13:00:00"/>
    <s v="Karan Chopra"/>
    <s v="CUST0365"/>
    <x v="1"/>
    <x v="10"/>
    <x v="1"/>
    <s v="Food"/>
    <s v="Large"/>
    <n v="1"/>
    <n v="95"/>
    <n v="0"/>
    <n v="95"/>
    <n v="95"/>
    <x v="0"/>
    <x v="0"/>
    <x v="3"/>
    <x v="5"/>
    <x v="1"/>
    <x v="4"/>
    <n v="80"/>
    <n v="34"/>
    <x v="1108"/>
    <x v="1191"/>
    <x v="1"/>
    <x v="0"/>
    <n v="95"/>
    <x v="0"/>
    <n v="95"/>
    <x v="1183"/>
    <x v="1191"/>
    <x v="0"/>
    <x v="8"/>
    <x v="8"/>
    <s v="Monday"/>
  </r>
  <r>
    <s v="TXN-01239"/>
    <d v="2024-01-26T00:00:00"/>
    <d v="1899-12-30T13:00:00"/>
    <s v="Aditya Kaur"/>
    <s v="CUST0350"/>
    <x v="2"/>
    <x v="6"/>
    <x v="0"/>
    <s v="Hot"/>
    <s v="Medium"/>
    <n v="3"/>
    <n v="110"/>
    <n v="0.05"/>
    <n v="330"/>
    <n v="313.5"/>
    <x v="1"/>
    <x v="0"/>
    <x v="6"/>
    <x v="0"/>
    <x v="1"/>
    <x v="4"/>
    <n v="488"/>
    <n v="34"/>
    <x v="1109"/>
    <x v="1192"/>
    <x v="0"/>
    <x v="0"/>
    <n v="330"/>
    <x v="42"/>
    <n v="313.5"/>
    <x v="1184"/>
    <x v="1192"/>
    <x v="0"/>
    <x v="2"/>
    <x v="2"/>
    <s v="Friday"/>
  </r>
  <r>
    <s v="TXN-01240"/>
    <d v="2024-07-11T00:00:00"/>
    <d v="1899-12-30T19:00:00"/>
    <s v="Riya Singh"/>
    <s v="CUST0123"/>
    <x v="3"/>
    <x v="14"/>
    <x v="3"/>
    <s v="Food"/>
    <s v="Large"/>
    <n v="3"/>
    <n v="185"/>
    <n v="0.05"/>
    <n v="555"/>
    <n v="527.25"/>
    <x v="2"/>
    <x v="2"/>
    <x v="4"/>
    <x v="5"/>
    <x v="1"/>
    <x v="1"/>
    <n v="244"/>
    <n v="55"/>
    <x v="1110"/>
    <x v="1193"/>
    <x v="2"/>
    <x v="3"/>
    <n v="555"/>
    <x v="61"/>
    <n v="527.25"/>
    <x v="1185"/>
    <x v="1193"/>
    <x v="0"/>
    <x v="7"/>
    <x v="7"/>
    <s v="Thursday"/>
  </r>
  <r>
    <s v="TXN-01241"/>
    <d v="2024-03-18T00:00:00"/>
    <d v="1899-12-30T08:10:00"/>
    <s v="Neha Bansal"/>
    <s v="CUST0217"/>
    <x v="2"/>
    <x v="1"/>
    <x v="1"/>
    <s v="Food"/>
    <s v="Small"/>
    <n v="1"/>
    <n v="120"/>
    <n v="0.15"/>
    <n v="120"/>
    <n v="102"/>
    <x v="2"/>
    <x v="2"/>
    <x v="6"/>
    <x v="0"/>
    <x v="0"/>
    <x v="2"/>
    <n v="61"/>
    <n v="12"/>
    <x v="1111"/>
    <x v="1194"/>
    <x v="0"/>
    <x v="2"/>
    <n v="120"/>
    <x v="23"/>
    <n v="102"/>
    <x v="1186"/>
    <x v="1194"/>
    <x v="0"/>
    <x v="5"/>
    <x v="5"/>
    <s v="Monday"/>
  </r>
  <r>
    <s v="TXN-01242"/>
    <d v="2024-05-15T00:00:00"/>
    <d v="1899-12-30T07:15:00"/>
    <s v="Priya Singh"/>
    <s v="CUST0184"/>
    <x v="0"/>
    <x v="10"/>
    <x v="1"/>
    <s v="Food"/>
    <s v="Large"/>
    <n v="1"/>
    <n v="110"/>
    <n v="0.05"/>
    <n v="110"/>
    <n v="104.5"/>
    <x v="0"/>
    <x v="3"/>
    <x v="1"/>
    <x v="3"/>
    <x v="0"/>
    <x v="4"/>
    <n v="83"/>
    <n v="38"/>
    <x v="1112"/>
    <x v="1195"/>
    <x v="3"/>
    <x v="0"/>
    <n v="110"/>
    <x v="52"/>
    <n v="104.5"/>
    <x v="1187"/>
    <x v="1195"/>
    <x v="0"/>
    <x v="6"/>
    <x v="6"/>
    <s v="Wednesday"/>
  </r>
  <r>
    <s v="TXN-01243"/>
    <d v="2024-08-24T00:00:00"/>
    <d v="1899-12-30T13:10:00"/>
    <s v="Pooja Gupta"/>
    <s v="CUST0321"/>
    <x v="1"/>
    <x v="4"/>
    <x v="0"/>
    <s v="Cold"/>
    <s v="Large"/>
    <n v="1"/>
    <n v="150"/>
    <n v="0"/>
    <n v="150"/>
    <n v="150"/>
    <x v="0"/>
    <x v="0"/>
    <x v="5"/>
    <x v="5"/>
    <x v="0"/>
    <x v="2"/>
    <n v="1"/>
    <n v="35"/>
    <x v="1113"/>
    <x v="1196"/>
    <x v="3"/>
    <x v="3"/>
    <n v="150"/>
    <x v="0"/>
    <n v="150"/>
    <x v="1188"/>
    <x v="1196"/>
    <x v="0"/>
    <x v="1"/>
    <x v="1"/>
    <s v="Saturday"/>
  </r>
  <r>
    <s v="TXN-01244"/>
    <d v="2024-11-09T00:00:00"/>
    <d v="1899-12-30T15:10:00"/>
    <s v="Arjun Gupta"/>
    <s v="CUST0282"/>
    <x v="0"/>
    <x v="13"/>
    <x v="2"/>
    <s v="Cold"/>
    <s v="Medium"/>
    <n v="1"/>
    <n v="105"/>
    <n v="0"/>
    <n v="105"/>
    <n v="105"/>
    <x v="1"/>
    <x v="2"/>
    <x v="2"/>
    <x v="0"/>
    <x v="0"/>
    <x v="4"/>
    <n v="273"/>
    <n v="51"/>
    <x v="1114"/>
    <x v="1197"/>
    <x v="1"/>
    <x v="4"/>
    <n v="105"/>
    <x v="0"/>
    <n v="105"/>
    <x v="1189"/>
    <x v="1197"/>
    <x v="0"/>
    <x v="11"/>
    <x v="11"/>
    <s v="Saturday"/>
  </r>
  <r>
    <s v="TXN-01245"/>
    <d v="2024-12-19T00:00:00"/>
    <d v="1899-12-30T20:50:00"/>
    <s v="Ananya Verma"/>
    <s v="CUST0319"/>
    <x v="3"/>
    <x v="3"/>
    <x v="0"/>
    <s v="Hot"/>
    <s v="Large"/>
    <n v="3"/>
    <n v="130"/>
    <n v="0.1"/>
    <n v="390"/>
    <n v="351"/>
    <x v="2"/>
    <x v="3"/>
    <x v="3"/>
    <x v="7"/>
    <x v="2"/>
    <x v="3"/>
    <n v="223"/>
    <n v="54"/>
    <x v="1115"/>
    <x v="1198"/>
    <x v="3"/>
    <x v="4"/>
    <n v="390"/>
    <x v="21"/>
    <n v="351"/>
    <x v="1190"/>
    <x v="1198"/>
    <x v="0"/>
    <x v="9"/>
    <x v="9"/>
    <s v="Thursday"/>
  </r>
  <r>
    <s v="TXN-01246"/>
    <d v="2024-05-25T00:00:00"/>
    <d v="1899-12-30T15:10:00"/>
    <s v="Simran Singh"/>
    <s v="CUST0209"/>
    <x v="2"/>
    <x v="11"/>
    <x v="0"/>
    <s v="Hot"/>
    <s v="Small"/>
    <n v="2"/>
    <n v="85"/>
    <n v="0"/>
    <n v="170"/>
    <n v="170"/>
    <x v="2"/>
    <x v="2"/>
    <x v="1"/>
    <x v="0"/>
    <x v="0"/>
    <x v="3"/>
    <n v="144"/>
    <n v="39"/>
    <x v="1116"/>
    <x v="1199"/>
    <x v="1"/>
    <x v="4"/>
    <n v="170"/>
    <x v="0"/>
    <n v="170"/>
    <x v="1191"/>
    <x v="1199"/>
    <x v="0"/>
    <x v="6"/>
    <x v="6"/>
    <s v="Saturday"/>
  </r>
  <r>
    <s v="TXN-01247"/>
    <d v="2024-07-21T00:00:00"/>
    <d v="1899-12-30T13:50:00"/>
    <s v="Riya Mehta"/>
    <s v="CUST0348"/>
    <x v="3"/>
    <x v="2"/>
    <x v="1"/>
    <s v="Food"/>
    <s v="Large"/>
    <n v="2"/>
    <n v="80"/>
    <n v="0.05"/>
    <n v="160"/>
    <n v="152"/>
    <x v="0"/>
    <x v="0"/>
    <x v="6"/>
    <x v="1"/>
    <x v="0"/>
    <x v="2"/>
    <n v="244"/>
    <n v="33"/>
    <x v="1117"/>
    <x v="1200"/>
    <x v="4"/>
    <x v="0"/>
    <n v="160"/>
    <x v="7"/>
    <n v="152"/>
    <x v="1192"/>
    <x v="1200"/>
    <x v="0"/>
    <x v="7"/>
    <x v="7"/>
    <s v="Sunday"/>
  </r>
  <r>
    <s v="TXN-01248"/>
    <d v="2024-11-02T00:00:00"/>
    <d v="1899-12-30T21:50:00"/>
    <s v="Priya Kaur"/>
    <s v="CUST0292"/>
    <x v="0"/>
    <x v="13"/>
    <x v="2"/>
    <s v="Cold"/>
    <s v="Large"/>
    <n v="1"/>
    <n v="110"/>
    <n v="0"/>
    <n v="110"/>
    <n v="110"/>
    <x v="0"/>
    <x v="3"/>
    <x v="5"/>
    <x v="2"/>
    <x v="0"/>
    <x v="3"/>
    <n v="82"/>
    <n v="15"/>
    <x v="1118"/>
    <x v="1201"/>
    <x v="1"/>
    <x v="1"/>
    <n v="110"/>
    <x v="0"/>
    <n v="110"/>
    <x v="1193"/>
    <x v="1201"/>
    <x v="0"/>
    <x v="11"/>
    <x v="11"/>
    <s v="Saturday"/>
  </r>
  <r>
    <s v="TXN-01249"/>
    <d v="2024-05-02T00:00:00"/>
    <d v="1899-12-30T21:30:00"/>
    <s v="Priya Sharma"/>
    <s v="CUST0383"/>
    <x v="3"/>
    <x v="2"/>
    <x v="1"/>
    <s v="Food"/>
    <s v="Large"/>
    <n v="1"/>
    <n v="70"/>
    <n v="0.05"/>
    <n v="70"/>
    <n v="66.5"/>
    <x v="1"/>
    <x v="1"/>
    <x v="4"/>
    <x v="0"/>
    <x v="0"/>
    <x v="0"/>
    <n v="147"/>
    <n v="12"/>
    <x v="1119"/>
    <x v="1202"/>
    <x v="3"/>
    <x v="0"/>
    <n v="70"/>
    <x v="35"/>
    <n v="66.5"/>
    <x v="1194"/>
    <x v="1202"/>
    <x v="0"/>
    <x v="6"/>
    <x v="6"/>
    <s v="Thursday"/>
  </r>
  <r>
    <s v="TXN-01250"/>
    <d v="2024-06-02T00:00:00"/>
    <d v="1899-12-30T18:20:00"/>
    <s v="Rohan Kapoor"/>
    <s v="CUST0339"/>
    <x v="2"/>
    <x v="4"/>
    <x v="0"/>
    <s v="Cold"/>
    <s v="Small"/>
    <n v="1"/>
    <n v="160"/>
    <n v="0.1"/>
    <n v="160"/>
    <n v="144"/>
    <x v="2"/>
    <x v="1"/>
    <x v="1"/>
    <x v="3"/>
    <x v="2"/>
    <x v="2"/>
    <n v="286"/>
    <n v="36"/>
    <x v="1120"/>
    <x v="1203"/>
    <x v="0"/>
    <x v="3"/>
    <n v="160"/>
    <x v="3"/>
    <n v="144"/>
    <x v="1195"/>
    <x v="1203"/>
    <x v="0"/>
    <x v="4"/>
    <x v="4"/>
    <s v="Sunday"/>
  </r>
  <r>
    <s v="TXN-01251"/>
    <d v="2024-12-11T00:00:00"/>
    <d v="1899-12-30T08:00:00"/>
    <s v="Unknown"/>
    <s v="CUST0272"/>
    <x v="3"/>
    <x v="10"/>
    <x v="1"/>
    <s v="Food"/>
    <s v="Small"/>
    <n v="1"/>
    <n v="100"/>
    <n v="0"/>
    <n v="100"/>
    <n v="100"/>
    <x v="1"/>
    <x v="1"/>
    <x v="3"/>
    <x v="1"/>
    <x v="0"/>
    <x v="1"/>
    <n v="381"/>
    <n v="57"/>
    <x v="1121"/>
    <x v="1204"/>
    <x v="0"/>
    <x v="4"/>
    <n v="100"/>
    <x v="0"/>
    <n v="100"/>
    <x v="1196"/>
    <x v="1204"/>
    <x v="0"/>
    <x v="9"/>
    <x v="9"/>
    <s v="Wednesday"/>
  </r>
  <r>
    <s v="TXN-01252"/>
    <d v="2024-10-06T00:00:00"/>
    <d v="1899-12-30T07:10:00"/>
    <s v="Kavya Mehta"/>
    <s v="CUST0192"/>
    <x v="3"/>
    <x v="3"/>
    <x v="0"/>
    <s v="Hot"/>
    <s v="Small"/>
    <n v="1"/>
    <n v="120"/>
    <n v="0.1"/>
    <n v="120"/>
    <n v="108"/>
    <x v="2"/>
    <x v="3"/>
    <x v="3"/>
    <x v="0"/>
    <x v="0"/>
    <x v="4"/>
    <n v="367"/>
    <n v="59"/>
    <x v="1122"/>
    <x v="1205"/>
    <x v="4"/>
    <x v="3"/>
    <n v="120"/>
    <x v="2"/>
    <n v="108"/>
    <x v="1197"/>
    <x v="1205"/>
    <x v="0"/>
    <x v="10"/>
    <x v="10"/>
    <s v="Sunday"/>
  </r>
  <r>
    <s v="TXN-01253"/>
    <d v="2024-12-30T00:00:00"/>
    <d v="1899-12-30T15:15:00"/>
    <s v="Rahul Kapoor"/>
    <s v="CUST0374"/>
    <x v="1"/>
    <x v="10"/>
    <x v="1"/>
    <s v="Food"/>
    <s v="Medium"/>
    <n v="1"/>
    <n v="95"/>
    <n v="0.05"/>
    <n v="95"/>
    <n v="90.25"/>
    <x v="2"/>
    <x v="2"/>
    <x v="6"/>
    <x v="2"/>
    <x v="0"/>
    <x v="4"/>
    <n v="142"/>
    <n v="15"/>
    <x v="1123"/>
    <x v="1206"/>
    <x v="3"/>
    <x v="2"/>
    <n v="95"/>
    <x v="34"/>
    <n v="90.25"/>
    <x v="1198"/>
    <x v="1206"/>
    <x v="0"/>
    <x v="9"/>
    <x v="9"/>
    <s v="Monday"/>
  </r>
  <r>
    <s v="TXN-01254"/>
    <d v="2024-03-11T00:00:00"/>
    <d v="1899-12-30T15:15:00"/>
    <s v="Karan Gupta"/>
    <s v="CUST0212"/>
    <x v="3"/>
    <x v="9"/>
    <x v="2"/>
    <s v="Hot"/>
    <s v="Small"/>
    <n v="1"/>
    <n v="85"/>
    <n v="0.15"/>
    <n v="85"/>
    <n v="72.25"/>
    <x v="1"/>
    <x v="0"/>
    <x v="3"/>
    <x v="5"/>
    <x v="1"/>
    <x v="3"/>
    <n v="262"/>
    <n v="52"/>
    <x v="1124"/>
    <x v="1207"/>
    <x v="1"/>
    <x v="0"/>
    <n v="85"/>
    <x v="114"/>
    <n v="72.25"/>
    <x v="1199"/>
    <x v="1207"/>
    <x v="0"/>
    <x v="5"/>
    <x v="5"/>
    <s v="Monday"/>
  </r>
  <r>
    <s v="TXN-01255"/>
    <d v="2024-01-18T00:00:00"/>
    <d v="1899-12-30T09:10:00"/>
    <s v="Manish Sharma"/>
    <s v="Unknown"/>
    <x v="3"/>
    <x v="4"/>
    <x v="0"/>
    <s v="Cold"/>
    <s v="Small"/>
    <n v="2"/>
    <n v="160"/>
    <n v="0.1"/>
    <n v="320"/>
    <n v="288"/>
    <x v="1"/>
    <x v="0"/>
    <x v="4"/>
    <x v="3"/>
    <x v="0"/>
    <x v="4"/>
    <n v="423"/>
    <n v="29"/>
    <x v="845"/>
    <x v="1208"/>
    <x v="2"/>
    <x v="2"/>
    <n v="320"/>
    <x v="94"/>
    <n v="288"/>
    <x v="886"/>
    <x v="1208"/>
    <x v="0"/>
    <x v="2"/>
    <x v="2"/>
    <s v="Thursday"/>
  </r>
  <r>
    <s v="TXN-01256"/>
    <d v="2024-06-15T00:00:00"/>
    <d v="1899-12-30T10:45:00"/>
    <s v="Kavya Gupta"/>
    <s v="CUST0383"/>
    <x v="2"/>
    <x v="1"/>
    <x v="1"/>
    <s v="Food"/>
    <s v="Small"/>
    <n v="2"/>
    <n v="125"/>
    <n v="0.05"/>
    <n v="250"/>
    <n v="237.5"/>
    <x v="2"/>
    <x v="3"/>
    <x v="4"/>
    <x v="3"/>
    <x v="0"/>
    <x v="4"/>
    <n v="285"/>
    <n v="35"/>
    <x v="1026"/>
    <x v="1209"/>
    <x v="4"/>
    <x v="0"/>
    <n v="250"/>
    <x v="91"/>
    <n v="237.5"/>
    <x v="1200"/>
    <x v="1209"/>
    <x v="0"/>
    <x v="4"/>
    <x v="4"/>
    <s v="Saturday"/>
  </r>
  <r>
    <s v="TXN-01257"/>
    <d v="2024-03-12T00:00:00"/>
    <d v="1899-12-30T07:10:00"/>
    <s v="Arjun Sharma"/>
    <s v="CUST0161"/>
    <x v="3"/>
    <x v="5"/>
    <x v="2"/>
    <s v="Hot"/>
    <s v="Medium"/>
    <n v="2"/>
    <n v="100"/>
    <n v="0"/>
    <n v="200"/>
    <n v="200"/>
    <x v="2"/>
    <x v="1"/>
    <x v="4"/>
    <x v="3"/>
    <x v="0"/>
    <x v="2"/>
    <n v="405"/>
    <n v="46"/>
    <x v="1125"/>
    <x v="1210"/>
    <x v="0"/>
    <x v="4"/>
    <n v="200"/>
    <x v="0"/>
    <n v="200"/>
    <x v="1201"/>
    <x v="1210"/>
    <x v="0"/>
    <x v="5"/>
    <x v="5"/>
    <s v="Tuesday"/>
  </r>
  <r>
    <s v="TXN-01258"/>
    <d v="2024-01-24T00:00:00"/>
    <d v="1899-12-30T07:10:00"/>
    <s v="Aarav Verma"/>
    <s v="CUST0270"/>
    <x v="0"/>
    <x v="3"/>
    <x v="0"/>
    <s v="Hot"/>
    <s v="Small"/>
    <n v="2"/>
    <n v="125"/>
    <n v="0.05"/>
    <n v="250"/>
    <n v="237.5"/>
    <x v="1"/>
    <x v="2"/>
    <x v="1"/>
    <x v="1"/>
    <x v="2"/>
    <x v="2"/>
    <n v="196"/>
    <n v="27"/>
    <x v="1126"/>
    <x v="1211"/>
    <x v="1"/>
    <x v="4"/>
    <n v="250"/>
    <x v="91"/>
    <n v="237.5"/>
    <x v="1202"/>
    <x v="1211"/>
    <x v="0"/>
    <x v="2"/>
    <x v="2"/>
    <s v="Wednesday"/>
  </r>
  <r>
    <s v="TXN-01259"/>
    <d v="2024-01-06T00:00:00"/>
    <d v="1899-12-30T19:45:00"/>
    <s v="Rohan Kaur"/>
    <s v="CUST0309"/>
    <x v="1"/>
    <x v="2"/>
    <x v="1"/>
    <s v="Food"/>
    <s v="Medium"/>
    <n v="1"/>
    <n v="75"/>
    <n v="0"/>
    <n v="75"/>
    <n v="75"/>
    <x v="3"/>
    <x v="3"/>
    <x v="5"/>
    <x v="0"/>
    <x v="0"/>
    <x v="4"/>
    <n v="244"/>
    <n v="33"/>
    <x v="1127"/>
    <x v="1212"/>
    <x v="2"/>
    <x v="1"/>
    <n v="75"/>
    <x v="0"/>
    <n v="75"/>
    <x v="1203"/>
    <x v="1212"/>
    <x v="0"/>
    <x v="2"/>
    <x v="2"/>
    <s v="Saturday"/>
  </r>
  <r>
    <s v="TXN-01260"/>
    <d v="2024-07-20T00:00:00"/>
    <d v="1899-12-30T07:45:00"/>
    <s v="Manish Mehta"/>
    <s v="CUST0357"/>
    <x v="3"/>
    <x v="3"/>
    <x v="0"/>
    <s v="Hot"/>
    <s v="Medium"/>
    <n v="1"/>
    <n v="130"/>
    <n v="0.05"/>
    <n v="130"/>
    <n v="123.5"/>
    <x v="3"/>
    <x v="3"/>
    <x v="0"/>
    <x v="5"/>
    <x v="0"/>
    <x v="1"/>
    <n v="172"/>
    <n v="35"/>
    <x v="1128"/>
    <x v="1213"/>
    <x v="0"/>
    <x v="4"/>
    <n v="130"/>
    <x v="41"/>
    <n v="123.5"/>
    <x v="1204"/>
    <x v="1213"/>
    <x v="0"/>
    <x v="7"/>
    <x v="7"/>
    <s v="Saturday"/>
  </r>
  <r>
    <s v="TXN-01261"/>
    <d v="2024-12-04T00:00:00"/>
    <d v="1899-12-30T08:00:00"/>
    <s v="Karan Sharma"/>
    <s v="CUST0320"/>
    <x v="3"/>
    <x v="12"/>
    <x v="1"/>
    <s v="Food"/>
    <s v="Large"/>
    <n v="4"/>
    <n v="85"/>
    <n v="0.05"/>
    <n v="340"/>
    <n v="323"/>
    <x v="1"/>
    <x v="3"/>
    <x v="3"/>
    <x v="2"/>
    <x v="0"/>
    <x v="1"/>
    <n v="210"/>
    <n v="27"/>
    <x v="31"/>
    <x v="1214"/>
    <x v="0"/>
    <x v="3"/>
    <n v="340"/>
    <x v="18"/>
    <n v="323"/>
    <x v="1205"/>
    <x v="1214"/>
    <x v="0"/>
    <x v="9"/>
    <x v="9"/>
    <s v="Wednesday"/>
  </r>
  <r>
    <s v="TXN-01262"/>
    <d v="2024-12-26T00:00:00"/>
    <d v="1899-12-30T10:50:00"/>
    <s v="Meera Bansal"/>
    <s v="CUST0159"/>
    <x v="3"/>
    <x v="8"/>
    <x v="0"/>
    <s v="Cold"/>
    <s v="Small"/>
    <n v="1"/>
    <n v="155"/>
    <n v="0.1"/>
    <n v="155"/>
    <n v="139.5"/>
    <x v="0"/>
    <x v="3"/>
    <x v="2"/>
    <x v="7"/>
    <x v="0"/>
    <x v="2"/>
    <n v="244"/>
    <n v="35"/>
    <x v="1129"/>
    <x v="1215"/>
    <x v="4"/>
    <x v="0"/>
    <n v="155"/>
    <x v="14"/>
    <n v="139.5"/>
    <x v="1206"/>
    <x v="1215"/>
    <x v="0"/>
    <x v="9"/>
    <x v="9"/>
    <s v="Thursday"/>
  </r>
  <r>
    <s v="TXN-01263"/>
    <d v="2024-01-09T00:00:00"/>
    <d v="1899-12-30T14:10:00"/>
    <s v="Manish Singh"/>
    <s v="CUST0334"/>
    <x v="0"/>
    <x v="10"/>
    <x v="1"/>
    <s v="Food"/>
    <s v="Small"/>
    <n v="1"/>
    <n v="105"/>
    <n v="0"/>
    <n v="105"/>
    <n v="105"/>
    <x v="2"/>
    <x v="1"/>
    <x v="5"/>
    <x v="2"/>
    <x v="0"/>
    <x v="4"/>
    <n v="129"/>
    <n v="41"/>
    <x v="662"/>
    <x v="1216"/>
    <x v="4"/>
    <x v="4"/>
    <n v="105"/>
    <x v="0"/>
    <n v="105"/>
    <x v="685"/>
    <x v="1216"/>
    <x v="0"/>
    <x v="2"/>
    <x v="2"/>
    <s v="Tuesday"/>
  </r>
  <r>
    <s v="TXN-01264"/>
    <d v="2024-10-01T00:00:00"/>
    <d v="1899-12-30T07:20:00"/>
    <s v="Aditya Kapoor"/>
    <s v="CUST0184"/>
    <x v="1"/>
    <x v="5"/>
    <x v="2"/>
    <s v="Hot"/>
    <s v="Small"/>
    <n v="2"/>
    <n v="105"/>
    <n v="0"/>
    <n v="210"/>
    <n v="210"/>
    <x v="2"/>
    <x v="1"/>
    <x v="2"/>
    <x v="5"/>
    <x v="0"/>
    <x v="4"/>
    <n v="374"/>
    <n v="32"/>
    <x v="564"/>
    <x v="1217"/>
    <x v="0"/>
    <x v="4"/>
    <n v="210"/>
    <x v="0"/>
    <n v="210"/>
    <x v="1207"/>
    <x v="1217"/>
    <x v="0"/>
    <x v="10"/>
    <x v="10"/>
    <s v="Tuesday"/>
  </r>
  <r>
    <s v="TXN-01265"/>
    <d v="2024-07-18T00:00:00"/>
    <d v="1899-12-30T07:10:00"/>
    <s v="Unknown"/>
    <s v="CUST0149"/>
    <x v="1"/>
    <x v="3"/>
    <x v="0"/>
    <s v="Hot"/>
    <s v="Medium"/>
    <n v="1"/>
    <n v="125"/>
    <n v="0.05"/>
    <n v="125"/>
    <n v="118.75"/>
    <x v="1"/>
    <x v="2"/>
    <x v="6"/>
    <x v="7"/>
    <x v="0"/>
    <x v="3"/>
    <n v="110"/>
    <n v="51"/>
    <x v="1130"/>
    <x v="1218"/>
    <x v="4"/>
    <x v="3"/>
    <n v="125"/>
    <x v="85"/>
    <n v="118.75"/>
    <x v="1208"/>
    <x v="1218"/>
    <x v="0"/>
    <x v="7"/>
    <x v="7"/>
    <s v="Thursday"/>
  </r>
  <r>
    <s v="TXN-01266"/>
    <d v="2024-08-22T00:00:00"/>
    <d v="1899-12-30T16:50:00"/>
    <s v="Neha Singh"/>
    <s v="CUST0188"/>
    <x v="1"/>
    <x v="9"/>
    <x v="2"/>
    <s v="Hot"/>
    <s v="Medium"/>
    <n v="2"/>
    <n v="85"/>
    <n v="0.05"/>
    <n v="170"/>
    <n v="161.5"/>
    <x v="2"/>
    <x v="0"/>
    <x v="0"/>
    <x v="5"/>
    <x v="1"/>
    <x v="0"/>
    <n v="258"/>
    <n v="53"/>
    <x v="1131"/>
    <x v="1219"/>
    <x v="0"/>
    <x v="0"/>
    <n v="170"/>
    <x v="20"/>
    <n v="161.5"/>
    <x v="1209"/>
    <x v="1219"/>
    <x v="0"/>
    <x v="1"/>
    <x v="1"/>
    <s v="Thursday"/>
  </r>
  <r>
    <s v="TXN-01267"/>
    <d v="2024-01-29T00:00:00"/>
    <d v="1899-12-30T17:10:00"/>
    <s v="Meera Malhotra"/>
    <s v="CUST0180"/>
    <x v="3"/>
    <x v="7"/>
    <x v="0"/>
    <s v="Hot"/>
    <s v="Large"/>
    <n v="2"/>
    <n v="155"/>
    <n v="0"/>
    <n v="310"/>
    <n v="310"/>
    <x v="0"/>
    <x v="3"/>
    <x v="5"/>
    <x v="0"/>
    <x v="0"/>
    <x v="3"/>
    <n v="40"/>
    <n v="55"/>
    <x v="781"/>
    <x v="1220"/>
    <x v="4"/>
    <x v="3"/>
    <n v="310"/>
    <x v="0"/>
    <n v="310"/>
    <x v="1210"/>
    <x v="1220"/>
    <x v="0"/>
    <x v="2"/>
    <x v="2"/>
    <s v="Monday"/>
  </r>
  <r>
    <s v="TXN-01268"/>
    <d v="2024-08-29T00:00:00"/>
    <d v="1899-12-30T21:10:00"/>
    <s v="Pooja Chopra"/>
    <s v="CUST0396"/>
    <x v="0"/>
    <x v="13"/>
    <x v="2"/>
    <s v="Cold"/>
    <s v="Large"/>
    <n v="3"/>
    <n v="110"/>
    <n v="0"/>
    <n v="330"/>
    <n v="330"/>
    <x v="1"/>
    <x v="3"/>
    <x v="4"/>
    <x v="1"/>
    <x v="0"/>
    <x v="1"/>
    <n v="328"/>
    <n v="35"/>
    <x v="1132"/>
    <x v="1221"/>
    <x v="3"/>
    <x v="3"/>
    <n v="330"/>
    <x v="0"/>
    <n v="330"/>
    <x v="1211"/>
    <x v="1221"/>
    <x v="0"/>
    <x v="1"/>
    <x v="1"/>
    <s v="Thursday"/>
  </r>
  <r>
    <s v="TXN-01269"/>
    <d v="2024-06-07T00:00:00"/>
    <d v="1899-12-30T15:00:00"/>
    <s v="Rohan Chopra"/>
    <s v="CUST0117"/>
    <x v="2"/>
    <x v="0"/>
    <x v="0"/>
    <s v="Hot"/>
    <s v="Unknown"/>
    <n v="2"/>
    <n v="130"/>
    <n v="0.05"/>
    <n v="260"/>
    <n v="247"/>
    <x v="0"/>
    <x v="3"/>
    <x v="5"/>
    <x v="4"/>
    <x v="0"/>
    <x v="2"/>
    <n v="235"/>
    <n v="30"/>
    <x v="482"/>
    <x v="1222"/>
    <x v="2"/>
    <x v="0"/>
    <n v="260"/>
    <x v="17"/>
    <n v="247"/>
    <x v="492"/>
    <x v="1222"/>
    <x v="0"/>
    <x v="4"/>
    <x v="4"/>
    <s v="Friday"/>
  </r>
  <r>
    <s v="TXN-01270"/>
    <d v="2024-01-18T00:00:00"/>
    <d v="1899-12-30T15:45:00"/>
    <s v="Neha Singh"/>
    <s v="CUST0161"/>
    <x v="3"/>
    <x v="4"/>
    <x v="0"/>
    <s v="Cold"/>
    <s v="Small"/>
    <n v="1"/>
    <n v="150"/>
    <n v="0.05"/>
    <n v="150"/>
    <n v="142.5"/>
    <x v="2"/>
    <x v="0"/>
    <x v="5"/>
    <x v="4"/>
    <x v="0"/>
    <x v="2"/>
    <n v="248"/>
    <n v="29"/>
    <x v="1133"/>
    <x v="1223"/>
    <x v="0"/>
    <x v="0"/>
    <n v="150"/>
    <x v="45"/>
    <n v="142.5"/>
    <x v="1212"/>
    <x v="1223"/>
    <x v="0"/>
    <x v="2"/>
    <x v="2"/>
    <s v="Thursday"/>
  </r>
  <r>
    <s v="TXN-01271"/>
    <d v="2024-01-03T00:00:00"/>
    <d v="1899-12-30T16:10:00"/>
    <s v="Sneha Bansal"/>
    <s v="CUST0296"/>
    <x v="3"/>
    <x v="10"/>
    <x v="1"/>
    <s v="Food"/>
    <s v="Large"/>
    <n v="2"/>
    <n v="95"/>
    <n v="0.05"/>
    <n v="190"/>
    <n v="180.5"/>
    <x v="0"/>
    <x v="1"/>
    <x v="1"/>
    <x v="2"/>
    <x v="0"/>
    <x v="4"/>
    <n v="209"/>
    <n v="58"/>
    <x v="1134"/>
    <x v="1224"/>
    <x v="2"/>
    <x v="0"/>
    <n v="190"/>
    <x v="10"/>
    <n v="180.5"/>
    <x v="1213"/>
    <x v="1224"/>
    <x v="0"/>
    <x v="2"/>
    <x v="2"/>
    <s v="Wednesday"/>
  </r>
  <r>
    <s v="TXN-01272"/>
    <d v="2024-07-01T00:00:00"/>
    <d v="1899-12-30T20:00:00"/>
    <s v="Karan Kapoor"/>
    <s v="CUST0147"/>
    <x v="3"/>
    <x v="5"/>
    <x v="2"/>
    <s v="Hot"/>
    <s v="Unknown"/>
    <n v="1"/>
    <n v="100"/>
    <n v="0"/>
    <n v="100"/>
    <n v="100"/>
    <x v="2"/>
    <x v="2"/>
    <x v="3"/>
    <x v="5"/>
    <x v="0"/>
    <x v="3"/>
    <n v="350"/>
    <n v="44"/>
    <x v="1135"/>
    <x v="1225"/>
    <x v="4"/>
    <x v="1"/>
    <n v="100"/>
    <x v="0"/>
    <n v="100"/>
    <x v="1214"/>
    <x v="1225"/>
    <x v="0"/>
    <x v="7"/>
    <x v="7"/>
    <s v="Monday"/>
  </r>
  <r>
    <s v="TXN-01273"/>
    <d v="2024-09-11T00:00:00"/>
    <d v="1899-12-30T11:20:00"/>
    <s v="Priya Kaur"/>
    <s v="CUST0383"/>
    <x v="3"/>
    <x v="15"/>
    <x v="4"/>
    <s v="Food"/>
    <s v="Large"/>
    <n v="2"/>
    <n v="190"/>
    <n v="0.1"/>
    <n v="380"/>
    <n v="342"/>
    <x v="0"/>
    <x v="0"/>
    <x v="0"/>
    <x v="3"/>
    <x v="2"/>
    <x v="4"/>
    <n v="344"/>
    <n v="24"/>
    <x v="1136"/>
    <x v="1226"/>
    <x v="3"/>
    <x v="3"/>
    <n v="380"/>
    <x v="54"/>
    <n v="342"/>
    <x v="1215"/>
    <x v="1226"/>
    <x v="0"/>
    <x v="0"/>
    <x v="0"/>
    <s v="Wednesday"/>
  </r>
  <r>
    <s v="TXN-01274"/>
    <d v="2024-07-21T00:00:00"/>
    <d v="1899-12-30T11:00:00"/>
    <s v="Arjun Singh"/>
    <s v="CUST0385"/>
    <x v="1"/>
    <x v="2"/>
    <x v="1"/>
    <s v="Food"/>
    <s v="Small"/>
    <n v="2"/>
    <n v="75"/>
    <n v="0"/>
    <n v="150"/>
    <n v="150"/>
    <x v="0"/>
    <x v="1"/>
    <x v="4"/>
    <x v="6"/>
    <x v="1"/>
    <x v="4"/>
    <n v="163"/>
    <n v="22"/>
    <x v="1137"/>
    <x v="1227"/>
    <x v="2"/>
    <x v="2"/>
    <n v="150"/>
    <x v="0"/>
    <n v="150"/>
    <x v="1216"/>
    <x v="1227"/>
    <x v="0"/>
    <x v="7"/>
    <x v="7"/>
    <s v="Sunday"/>
  </r>
  <r>
    <s v="TXN-01275"/>
    <d v="2024-03-27T00:00:00"/>
    <d v="1899-12-30T17:15:00"/>
    <s v="Isha Gupta"/>
    <s v="CUST0242"/>
    <x v="3"/>
    <x v="0"/>
    <x v="0"/>
    <s v="Hot"/>
    <s v="Large"/>
    <n v="2"/>
    <n v="130"/>
    <n v="0"/>
    <n v="260"/>
    <n v="260"/>
    <x v="3"/>
    <x v="3"/>
    <x v="3"/>
    <x v="4"/>
    <x v="2"/>
    <x v="3"/>
    <n v="413"/>
    <n v="58"/>
    <x v="1138"/>
    <x v="1228"/>
    <x v="4"/>
    <x v="0"/>
    <n v="260"/>
    <x v="0"/>
    <n v="260"/>
    <x v="1217"/>
    <x v="1228"/>
    <x v="0"/>
    <x v="5"/>
    <x v="5"/>
    <s v="Wednesday"/>
  </r>
  <r>
    <s v="TXN-01276"/>
    <d v="2024-07-01T00:00:00"/>
    <d v="1899-12-30T09:45:00"/>
    <s v="Aditya Malhotra"/>
    <s v="CUST0120"/>
    <x v="2"/>
    <x v="12"/>
    <x v="1"/>
    <s v="Food"/>
    <s v="Unknown"/>
    <n v="4"/>
    <n v="90"/>
    <n v="0"/>
    <n v="360"/>
    <n v="360"/>
    <x v="0"/>
    <x v="0"/>
    <x v="3"/>
    <x v="0"/>
    <x v="0"/>
    <x v="2"/>
    <n v="261"/>
    <n v="34"/>
    <x v="1139"/>
    <x v="1229"/>
    <x v="0"/>
    <x v="2"/>
    <n v="360"/>
    <x v="0"/>
    <n v="360"/>
    <x v="1218"/>
    <x v="1229"/>
    <x v="0"/>
    <x v="7"/>
    <x v="7"/>
    <s v="Monday"/>
  </r>
  <r>
    <s v="TXN-01277"/>
    <d v="2024-06-25T00:00:00"/>
    <d v="1899-12-30T15:00:00"/>
    <s v="Ananya Kapoor"/>
    <s v="CUST0278"/>
    <x v="2"/>
    <x v="15"/>
    <x v="4"/>
    <s v="Food"/>
    <s v="Medium"/>
    <n v="1"/>
    <n v="185"/>
    <n v="0.1"/>
    <n v="185"/>
    <n v="166.5"/>
    <x v="1"/>
    <x v="1"/>
    <x v="2"/>
    <x v="3"/>
    <x v="0"/>
    <x v="3"/>
    <n v="452"/>
    <n v="48"/>
    <x v="1140"/>
    <x v="1006"/>
    <x v="3"/>
    <x v="0"/>
    <n v="185"/>
    <x v="56"/>
    <n v="166.5"/>
    <x v="1219"/>
    <x v="1006"/>
    <x v="0"/>
    <x v="4"/>
    <x v="4"/>
    <s v="Tuesday"/>
  </r>
  <r>
    <s v="TXN-01278"/>
    <d v="2024-02-26T00:00:00"/>
    <d v="1899-12-30T07:00:00"/>
    <s v="Rahul Mehta"/>
    <s v="CUST0385"/>
    <x v="3"/>
    <x v="7"/>
    <x v="0"/>
    <s v="Hot"/>
    <s v="Unknown"/>
    <n v="1"/>
    <n v="155"/>
    <n v="0"/>
    <n v="155"/>
    <n v="155"/>
    <x v="0"/>
    <x v="0"/>
    <x v="6"/>
    <x v="3"/>
    <x v="0"/>
    <x v="1"/>
    <n v="104"/>
    <n v="46"/>
    <x v="1141"/>
    <x v="1230"/>
    <x v="2"/>
    <x v="0"/>
    <n v="155"/>
    <x v="0"/>
    <n v="155"/>
    <x v="1220"/>
    <x v="1230"/>
    <x v="0"/>
    <x v="3"/>
    <x v="3"/>
    <s v="Monday"/>
  </r>
  <r>
    <s v="TXN-01279"/>
    <d v="2024-10-15T00:00:00"/>
    <d v="1899-12-30T08:20:00"/>
    <s v="Vivaan Bansal"/>
    <s v="CUST0330"/>
    <x v="3"/>
    <x v="10"/>
    <x v="1"/>
    <s v="Food"/>
    <s v="Medium"/>
    <n v="4"/>
    <n v="110"/>
    <n v="0.05"/>
    <n v="440"/>
    <n v="418"/>
    <x v="0"/>
    <x v="3"/>
    <x v="5"/>
    <x v="2"/>
    <x v="0"/>
    <x v="4"/>
    <n v="460"/>
    <n v="11"/>
    <x v="1142"/>
    <x v="1231"/>
    <x v="2"/>
    <x v="4"/>
    <n v="440"/>
    <x v="78"/>
    <n v="418"/>
    <x v="1221"/>
    <x v="1231"/>
    <x v="0"/>
    <x v="10"/>
    <x v="10"/>
    <s v="Tuesday"/>
  </r>
  <r>
    <s v="TXN-01280"/>
    <d v="2024-12-08T00:00:00"/>
    <d v="1899-12-30T10:30:00"/>
    <s v="Pooja Singh"/>
    <s v="CUST0107"/>
    <x v="1"/>
    <x v="9"/>
    <x v="2"/>
    <s v="Hot"/>
    <s v="Small"/>
    <n v="1"/>
    <n v="80"/>
    <n v="0.05"/>
    <n v="80"/>
    <n v="76"/>
    <x v="1"/>
    <x v="2"/>
    <x v="1"/>
    <x v="4"/>
    <x v="0"/>
    <x v="3"/>
    <n v="11"/>
    <n v="41"/>
    <x v="1143"/>
    <x v="1232"/>
    <x v="4"/>
    <x v="3"/>
    <n v="80"/>
    <x v="96"/>
    <n v="76"/>
    <x v="1222"/>
    <x v="1232"/>
    <x v="0"/>
    <x v="9"/>
    <x v="9"/>
    <s v="Sunday"/>
  </r>
  <r>
    <s v="TXN-01281"/>
    <d v="2024-06-22T00:00:00"/>
    <d v="1899-12-30T07:30:00"/>
    <s v="Pooja Kapoor"/>
    <s v="CUST0296"/>
    <x v="2"/>
    <x v="6"/>
    <x v="0"/>
    <s v="Hot"/>
    <s v="Medium"/>
    <n v="4"/>
    <n v="110"/>
    <n v="0"/>
    <n v="440"/>
    <n v="440"/>
    <x v="0"/>
    <x v="1"/>
    <x v="2"/>
    <x v="2"/>
    <x v="1"/>
    <x v="0"/>
    <n v="474"/>
    <n v="24"/>
    <x v="1144"/>
    <x v="1233"/>
    <x v="0"/>
    <x v="0"/>
    <n v="440"/>
    <x v="0"/>
    <n v="440"/>
    <x v="1223"/>
    <x v="1233"/>
    <x v="0"/>
    <x v="4"/>
    <x v="4"/>
    <s v="Saturday"/>
  </r>
  <r>
    <s v="TXN-01282"/>
    <d v="2024-08-29T00:00:00"/>
    <d v="1899-12-30T20:45:00"/>
    <s v="Priya Verma"/>
    <s v="CUST0296"/>
    <x v="0"/>
    <x v="2"/>
    <x v="1"/>
    <s v="Food"/>
    <s v="Large"/>
    <n v="1"/>
    <n v="80"/>
    <n v="0.05"/>
    <n v="80"/>
    <n v="76"/>
    <x v="1"/>
    <x v="1"/>
    <x v="2"/>
    <x v="2"/>
    <x v="2"/>
    <x v="3"/>
    <n v="43"/>
    <n v="22"/>
    <x v="1145"/>
    <x v="1234"/>
    <x v="2"/>
    <x v="3"/>
    <n v="80"/>
    <x v="96"/>
    <n v="76"/>
    <x v="1224"/>
    <x v="1234"/>
    <x v="0"/>
    <x v="1"/>
    <x v="1"/>
    <s v="Thursday"/>
  </r>
  <r>
    <s v="TXN-01283"/>
    <d v="2024-12-25T00:00:00"/>
    <d v="1899-12-30T15:45:00"/>
    <s v="Karan Chopra"/>
    <s v="CUST0208"/>
    <x v="3"/>
    <x v="0"/>
    <x v="0"/>
    <s v="Hot"/>
    <s v="Large"/>
    <n v="2"/>
    <n v="140"/>
    <n v="0.1"/>
    <n v="280"/>
    <n v="252"/>
    <x v="0"/>
    <x v="3"/>
    <x v="4"/>
    <x v="5"/>
    <x v="1"/>
    <x v="4"/>
    <n v="223"/>
    <n v="55"/>
    <x v="1146"/>
    <x v="1235"/>
    <x v="3"/>
    <x v="0"/>
    <n v="280"/>
    <x v="100"/>
    <n v="252"/>
    <x v="1225"/>
    <x v="1235"/>
    <x v="0"/>
    <x v="9"/>
    <x v="9"/>
    <s v="Wednesday"/>
  </r>
  <r>
    <s v="TXN-01284"/>
    <d v="2024-01-04T00:00:00"/>
    <d v="1899-12-30T13:30:00"/>
    <s v="Aditya Singh"/>
    <s v="CUST0237"/>
    <x v="0"/>
    <x v="2"/>
    <x v="1"/>
    <s v="Food"/>
    <s v="Small"/>
    <n v="1"/>
    <n v="70"/>
    <n v="0"/>
    <n v="70"/>
    <n v="70"/>
    <x v="3"/>
    <x v="3"/>
    <x v="0"/>
    <x v="3"/>
    <x v="1"/>
    <x v="2"/>
    <n v="249"/>
    <n v="60"/>
    <x v="800"/>
    <x v="1236"/>
    <x v="3"/>
    <x v="0"/>
    <n v="70"/>
    <x v="0"/>
    <n v="70"/>
    <x v="1226"/>
    <x v="1236"/>
    <x v="0"/>
    <x v="2"/>
    <x v="2"/>
    <s v="Thursday"/>
  </r>
  <r>
    <s v="TXN-01285"/>
    <d v="2024-02-17T00:00:00"/>
    <d v="1899-12-30T08:45:00"/>
    <s v="Nikhil Kaur"/>
    <s v="CUST0187"/>
    <x v="3"/>
    <x v="1"/>
    <x v="1"/>
    <s v="Food"/>
    <s v="Medium"/>
    <n v="1"/>
    <n v="130"/>
    <n v="0.1"/>
    <n v="130"/>
    <n v="117"/>
    <x v="1"/>
    <x v="2"/>
    <x v="2"/>
    <x v="6"/>
    <x v="0"/>
    <x v="1"/>
    <n v="462"/>
    <n v="37"/>
    <x v="1147"/>
    <x v="1237"/>
    <x v="0"/>
    <x v="4"/>
    <n v="130"/>
    <x v="17"/>
    <n v="117"/>
    <x v="1227"/>
    <x v="1237"/>
    <x v="0"/>
    <x v="3"/>
    <x v="3"/>
    <s v="Saturday"/>
  </r>
  <r>
    <s v="TXN-01286"/>
    <d v="2024-01-18T00:00:00"/>
    <d v="1899-12-30T20:45:00"/>
    <s v="Isha Gupta"/>
    <s v="CUST0342"/>
    <x v="2"/>
    <x v="1"/>
    <x v="1"/>
    <s v="Food"/>
    <s v="Medium"/>
    <n v="2"/>
    <n v="115"/>
    <n v="0.1"/>
    <n v="230"/>
    <n v="207"/>
    <x v="3"/>
    <x v="0"/>
    <x v="1"/>
    <x v="4"/>
    <x v="0"/>
    <x v="0"/>
    <n v="381"/>
    <n v="21"/>
    <x v="1148"/>
    <x v="1238"/>
    <x v="1"/>
    <x v="2"/>
    <n v="230"/>
    <x v="48"/>
    <n v="207"/>
    <x v="1228"/>
    <x v="1238"/>
    <x v="0"/>
    <x v="2"/>
    <x v="2"/>
    <s v="Thursday"/>
  </r>
  <r>
    <s v="TXN-01287"/>
    <d v="2024-12-24T00:00:00"/>
    <d v="1899-12-30T20:30:00"/>
    <s v="Neha Kaur"/>
    <s v="CUST0320"/>
    <x v="2"/>
    <x v="15"/>
    <x v="4"/>
    <s v="Food"/>
    <s v="Large"/>
    <n v="1"/>
    <n v="190"/>
    <n v="0"/>
    <n v="190"/>
    <n v="190"/>
    <x v="0"/>
    <x v="0"/>
    <x v="5"/>
    <x v="7"/>
    <x v="0"/>
    <x v="1"/>
    <n v="331"/>
    <n v="55"/>
    <x v="1149"/>
    <x v="1239"/>
    <x v="2"/>
    <x v="0"/>
    <n v="190"/>
    <x v="0"/>
    <n v="190"/>
    <x v="1229"/>
    <x v="1239"/>
    <x v="0"/>
    <x v="9"/>
    <x v="9"/>
    <s v="Tuesday"/>
  </r>
  <r>
    <s v="TXN-01288"/>
    <d v="2024-05-20T00:00:00"/>
    <d v="1899-12-30T15:30:00"/>
    <s v="Rohan Sharma"/>
    <s v="CUST0241"/>
    <x v="3"/>
    <x v="12"/>
    <x v="1"/>
    <s v="Food"/>
    <s v="Large"/>
    <n v="1"/>
    <n v="85"/>
    <n v="0.15"/>
    <n v="85"/>
    <n v="72.25"/>
    <x v="1"/>
    <x v="3"/>
    <x v="6"/>
    <x v="4"/>
    <x v="0"/>
    <x v="4"/>
    <n v="322"/>
    <n v="56"/>
    <x v="1063"/>
    <x v="1240"/>
    <x v="0"/>
    <x v="1"/>
    <n v="85"/>
    <x v="114"/>
    <n v="72.25"/>
    <x v="1230"/>
    <x v="1240"/>
    <x v="0"/>
    <x v="6"/>
    <x v="6"/>
    <s v="Monday"/>
  </r>
  <r>
    <s v="TXN-01289"/>
    <d v="2024-08-09T00:00:00"/>
    <d v="1899-12-30T18:00:00"/>
    <s v="Riya Singh"/>
    <s v="CUST0120"/>
    <x v="2"/>
    <x v="2"/>
    <x v="1"/>
    <s v="Food"/>
    <s v="Large"/>
    <n v="1"/>
    <n v="75"/>
    <n v="0.1"/>
    <n v="75"/>
    <n v="67.5"/>
    <x v="2"/>
    <x v="0"/>
    <x v="5"/>
    <x v="4"/>
    <x v="0"/>
    <x v="4"/>
    <n v="125"/>
    <n v="55"/>
    <x v="1150"/>
    <x v="1241"/>
    <x v="2"/>
    <x v="3"/>
    <n v="75"/>
    <x v="45"/>
    <n v="67.5"/>
    <x v="1231"/>
    <x v="1241"/>
    <x v="0"/>
    <x v="1"/>
    <x v="1"/>
    <s v="Friday"/>
  </r>
  <r>
    <s v="TXN-01290"/>
    <d v="2024-04-10T00:00:00"/>
    <d v="1899-12-30T18:00:00"/>
    <s v="Priya Singh"/>
    <s v="CUST0237"/>
    <x v="2"/>
    <x v="4"/>
    <x v="0"/>
    <s v="Cold"/>
    <s v="Medium"/>
    <n v="1"/>
    <n v="145"/>
    <n v="0"/>
    <n v="145"/>
    <n v="145"/>
    <x v="3"/>
    <x v="3"/>
    <x v="1"/>
    <x v="7"/>
    <x v="0"/>
    <x v="4"/>
    <n v="132"/>
    <n v="35"/>
    <x v="897"/>
    <x v="1242"/>
    <x v="1"/>
    <x v="1"/>
    <n v="145"/>
    <x v="0"/>
    <n v="145"/>
    <x v="1232"/>
    <x v="1242"/>
    <x v="0"/>
    <x v="8"/>
    <x v="8"/>
    <s v="Wednesday"/>
  </r>
  <r>
    <s v="TXN-01291"/>
    <d v="2024-11-15T00:00:00"/>
    <d v="1899-12-30T14:45:00"/>
    <s v="Ananya Chopra"/>
    <s v="CUST0287"/>
    <x v="0"/>
    <x v="4"/>
    <x v="0"/>
    <s v="Cold"/>
    <s v="Medium"/>
    <n v="2"/>
    <n v="150"/>
    <n v="0.1"/>
    <n v="300"/>
    <n v="270"/>
    <x v="2"/>
    <x v="0"/>
    <x v="2"/>
    <x v="5"/>
    <x v="0"/>
    <x v="0"/>
    <n v="14"/>
    <n v="38"/>
    <x v="1151"/>
    <x v="1243"/>
    <x v="3"/>
    <x v="4"/>
    <n v="300"/>
    <x v="89"/>
    <n v="270"/>
    <x v="1233"/>
    <x v="1243"/>
    <x v="0"/>
    <x v="11"/>
    <x v="11"/>
    <s v="Friday"/>
  </r>
  <r>
    <s v="TXN-01292"/>
    <d v="2024-11-06T00:00:00"/>
    <d v="1899-12-30T21:30:00"/>
    <s v="Meera Chopra"/>
    <s v="CUST0132"/>
    <x v="3"/>
    <x v="1"/>
    <x v="1"/>
    <s v="Food"/>
    <s v="Unknown"/>
    <n v="2"/>
    <n v="120"/>
    <n v="0.1"/>
    <n v="240"/>
    <n v="216"/>
    <x v="1"/>
    <x v="3"/>
    <x v="5"/>
    <x v="2"/>
    <x v="0"/>
    <x v="4"/>
    <n v="451"/>
    <n v="50"/>
    <x v="50"/>
    <x v="1244"/>
    <x v="0"/>
    <x v="3"/>
    <n v="240"/>
    <x v="27"/>
    <n v="216"/>
    <x v="50"/>
    <x v="1244"/>
    <x v="0"/>
    <x v="11"/>
    <x v="11"/>
    <s v="Wednesday"/>
  </r>
  <r>
    <s v="TXN-01293"/>
    <d v="2024-06-25T00:00:00"/>
    <d v="1899-12-30T16:10:00"/>
    <s v="Pooja Kaur"/>
    <s v="CUST0359"/>
    <x v="3"/>
    <x v="10"/>
    <x v="1"/>
    <s v="Food"/>
    <s v="Small"/>
    <n v="2"/>
    <n v="100"/>
    <n v="0.1"/>
    <n v="200"/>
    <n v="180"/>
    <x v="0"/>
    <x v="1"/>
    <x v="2"/>
    <x v="6"/>
    <x v="0"/>
    <x v="4"/>
    <n v="244"/>
    <n v="33"/>
    <x v="1152"/>
    <x v="1245"/>
    <x v="1"/>
    <x v="0"/>
    <n v="200"/>
    <x v="5"/>
    <n v="180"/>
    <x v="1234"/>
    <x v="1245"/>
    <x v="0"/>
    <x v="4"/>
    <x v="4"/>
    <s v="Tuesday"/>
  </r>
  <r>
    <s v="TXN-01294"/>
    <d v="2024-02-13T00:00:00"/>
    <d v="1899-12-30T12:50:00"/>
    <s v="Meera Chopra"/>
    <s v="Unknown"/>
    <x v="3"/>
    <x v="12"/>
    <x v="1"/>
    <s v="Food"/>
    <s v="Medium"/>
    <n v="1"/>
    <n v="85"/>
    <n v="0"/>
    <n v="85"/>
    <n v="85"/>
    <x v="3"/>
    <x v="2"/>
    <x v="5"/>
    <x v="7"/>
    <x v="0"/>
    <x v="4"/>
    <n v="184"/>
    <n v="45"/>
    <x v="1065"/>
    <x v="1246"/>
    <x v="1"/>
    <x v="3"/>
    <n v="85"/>
    <x v="0"/>
    <n v="85"/>
    <x v="1235"/>
    <x v="1246"/>
    <x v="0"/>
    <x v="3"/>
    <x v="3"/>
    <s v="Tuesday"/>
  </r>
  <r>
    <s v="TXN-01295"/>
    <d v="2024-03-25T00:00:00"/>
    <d v="1899-12-30T17:30:00"/>
    <s v="Kavya Bansal"/>
    <s v="CUST0376"/>
    <x v="1"/>
    <x v="2"/>
    <x v="1"/>
    <s v="Food"/>
    <s v="Small"/>
    <n v="1"/>
    <n v="70"/>
    <n v="0"/>
    <n v="70"/>
    <n v="70"/>
    <x v="1"/>
    <x v="0"/>
    <x v="2"/>
    <x v="7"/>
    <x v="0"/>
    <x v="2"/>
    <n v="429"/>
    <n v="43"/>
    <x v="1153"/>
    <x v="1247"/>
    <x v="2"/>
    <x v="4"/>
    <n v="70"/>
    <x v="0"/>
    <n v="70"/>
    <x v="1236"/>
    <x v="1247"/>
    <x v="0"/>
    <x v="5"/>
    <x v="5"/>
    <s v="Monday"/>
  </r>
  <r>
    <s v="TXN-01296"/>
    <d v="2024-12-27T00:00:00"/>
    <d v="1899-12-30T10:50:00"/>
    <s v="Rohan Sharma"/>
    <s v="CUST0304"/>
    <x v="1"/>
    <x v="3"/>
    <x v="0"/>
    <s v="Hot"/>
    <s v="Medium"/>
    <n v="2"/>
    <n v="130"/>
    <n v="0.1"/>
    <n v="260"/>
    <n v="234"/>
    <x v="2"/>
    <x v="1"/>
    <x v="3"/>
    <x v="3"/>
    <x v="0"/>
    <x v="4"/>
    <n v="123"/>
    <n v="28"/>
    <x v="1154"/>
    <x v="1248"/>
    <x v="3"/>
    <x v="4"/>
    <n v="260"/>
    <x v="63"/>
    <n v="234"/>
    <x v="1237"/>
    <x v="1248"/>
    <x v="0"/>
    <x v="9"/>
    <x v="9"/>
    <s v="Friday"/>
  </r>
  <r>
    <s v="TXN-01297"/>
    <d v="2024-07-06T00:00:00"/>
    <d v="1899-12-30T13:20:00"/>
    <s v="Nikhil Gupta"/>
    <s v="Unknown"/>
    <x v="2"/>
    <x v="7"/>
    <x v="0"/>
    <s v="Hot"/>
    <s v="Small"/>
    <n v="2"/>
    <n v="150"/>
    <n v="0.15"/>
    <n v="300"/>
    <n v="255"/>
    <x v="1"/>
    <x v="3"/>
    <x v="2"/>
    <x v="6"/>
    <x v="0"/>
    <x v="2"/>
    <n v="156"/>
    <n v="27"/>
    <x v="445"/>
    <x v="1249"/>
    <x v="4"/>
    <x v="4"/>
    <n v="300"/>
    <x v="15"/>
    <n v="255"/>
    <x v="1238"/>
    <x v="1249"/>
    <x v="0"/>
    <x v="7"/>
    <x v="7"/>
    <s v="Saturday"/>
  </r>
  <r>
    <s v="TXN-01298"/>
    <d v="2024-07-12T00:00:00"/>
    <d v="1899-12-30T18:10:00"/>
    <s v="Isha Singh"/>
    <s v="CUST0385"/>
    <x v="1"/>
    <x v="5"/>
    <x v="2"/>
    <s v="Hot"/>
    <s v="Large"/>
    <n v="1"/>
    <n v="95"/>
    <n v="0"/>
    <n v="95"/>
    <n v="95"/>
    <x v="2"/>
    <x v="2"/>
    <x v="1"/>
    <x v="2"/>
    <x v="0"/>
    <x v="2"/>
    <n v="61"/>
    <n v="46"/>
    <x v="1155"/>
    <x v="60"/>
    <x v="3"/>
    <x v="3"/>
    <n v="95"/>
    <x v="0"/>
    <n v="95"/>
    <x v="1239"/>
    <x v="60"/>
    <x v="0"/>
    <x v="7"/>
    <x v="7"/>
    <s v="Friday"/>
  </r>
  <r>
    <s v="TXN-01299"/>
    <d v="2024-05-06T00:00:00"/>
    <d v="1899-12-30T07:50:00"/>
    <s v="Isha Malhotra"/>
    <s v="CUST0242"/>
    <x v="3"/>
    <x v="6"/>
    <x v="0"/>
    <s v="Hot"/>
    <s v="Small"/>
    <n v="4"/>
    <n v="110"/>
    <n v="0"/>
    <n v="440"/>
    <n v="440"/>
    <x v="2"/>
    <x v="2"/>
    <x v="3"/>
    <x v="5"/>
    <x v="1"/>
    <x v="2"/>
    <n v="158"/>
    <n v="37"/>
    <x v="832"/>
    <x v="1250"/>
    <x v="3"/>
    <x v="0"/>
    <n v="440"/>
    <x v="0"/>
    <n v="440"/>
    <x v="1240"/>
    <x v="1250"/>
    <x v="0"/>
    <x v="6"/>
    <x v="6"/>
    <s v="Monday"/>
  </r>
  <r>
    <s v="TXN-01300"/>
    <d v="2024-06-28T00:00:00"/>
    <d v="1899-12-30T07:20:00"/>
    <s v="Meera Chopra"/>
    <s v="CUST0342"/>
    <x v="2"/>
    <x v="1"/>
    <x v="1"/>
    <s v="Food"/>
    <s v="Large"/>
    <n v="2"/>
    <n v="115"/>
    <n v="0.05"/>
    <n v="230"/>
    <n v="218.5"/>
    <x v="0"/>
    <x v="0"/>
    <x v="2"/>
    <x v="6"/>
    <x v="0"/>
    <x v="4"/>
    <n v="147"/>
    <n v="29"/>
    <x v="1156"/>
    <x v="1251"/>
    <x v="3"/>
    <x v="4"/>
    <n v="230"/>
    <x v="19"/>
    <n v="218.5"/>
    <x v="1241"/>
    <x v="1251"/>
    <x v="0"/>
    <x v="4"/>
    <x v="4"/>
    <s v="Friday"/>
  </r>
  <r>
    <s v="TXN-01301"/>
    <d v="2024-06-25T00:00:00"/>
    <d v="1899-12-30T17:10:00"/>
    <s v="Simran Kapoor"/>
    <s v="CUST0292"/>
    <x v="2"/>
    <x v="12"/>
    <x v="1"/>
    <s v="Food"/>
    <s v="Medium"/>
    <n v="1"/>
    <n v="90"/>
    <n v="0.05"/>
    <n v="90"/>
    <n v="85.5"/>
    <x v="0"/>
    <x v="3"/>
    <x v="3"/>
    <x v="0"/>
    <x v="0"/>
    <x v="0"/>
    <n v="353"/>
    <n v="35"/>
    <x v="1157"/>
    <x v="1252"/>
    <x v="1"/>
    <x v="0"/>
    <n v="90"/>
    <x v="31"/>
    <n v="85.5"/>
    <x v="1242"/>
    <x v="1252"/>
    <x v="0"/>
    <x v="4"/>
    <x v="4"/>
    <s v="Tuesday"/>
  </r>
  <r>
    <s v="TXN-01302"/>
    <d v="2024-08-11T00:00:00"/>
    <d v="1899-12-30T08:30:00"/>
    <s v="Sneha Chopra"/>
    <s v="CUST0165"/>
    <x v="1"/>
    <x v="9"/>
    <x v="2"/>
    <s v="Hot"/>
    <s v="Large"/>
    <n v="1"/>
    <n v="80"/>
    <n v="0.1"/>
    <n v="80"/>
    <n v="72"/>
    <x v="2"/>
    <x v="3"/>
    <x v="0"/>
    <x v="2"/>
    <x v="0"/>
    <x v="1"/>
    <n v="244"/>
    <n v="35"/>
    <x v="1158"/>
    <x v="1253"/>
    <x v="3"/>
    <x v="3"/>
    <n v="80"/>
    <x v="7"/>
    <n v="72"/>
    <x v="1243"/>
    <x v="1253"/>
    <x v="0"/>
    <x v="1"/>
    <x v="1"/>
    <s v="Sunday"/>
  </r>
  <r>
    <s v="TXN-01303"/>
    <d v="2024-04-12T00:00:00"/>
    <d v="1899-12-30T16:30:00"/>
    <s v="Priya Malhotra"/>
    <s v="CUST0267"/>
    <x v="2"/>
    <x v="8"/>
    <x v="0"/>
    <s v="Cold"/>
    <s v="Unknown"/>
    <n v="2"/>
    <n v="160"/>
    <n v="0"/>
    <n v="320"/>
    <n v="320"/>
    <x v="0"/>
    <x v="2"/>
    <x v="0"/>
    <x v="4"/>
    <x v="0"/>
    <x v="2"/>
    <n v="476"/>
    <n v="35"/>
    <x v="1159"/>
    <x v="1254"/>
    <x v="0"/>
    <x v="0"/>
    <n v="320"/>
    <x v="0"/>
    <n v="320"/>
    <x v="1244"/>
    <x v="1254"/>
    <x v="0"/>
    <x v="8"/>
    <x v="8"/>
    <s v="Friday"/>
  </r>
  <r>
    <s v="TXN-01304"/>
    <d v="2024-03-01T00:00:00"/>
    <d v="1899-12-30T13:10:00"/>
    <s v="Isha Gupta"/>
    <s v="CUST0396"/>
    <x v="0"/>
    <x v="12"/>
    <x v="1"/>
    <s v="Food"/>
    <s v="Small"/>
    <n v="1"/>
    <n v="90"/>
    <n v="0"/>
    <n v="90"/>
    <n v="90"/>
    <x v="2"/>
    <x v="0"/>
    <x v="0"/>
    <x v="1"/>
    <x v="0"/>
    <x v="1"/>
    <n v="475"/>
    <n v="34"/>
    <x v="1160"/>
    <x v="1255"/>
    <x v="0"/>
    <x v="2"/>
    <n v="90"/>
    <x v="0"/>
    <n v="90"/>
    <x v="1245"/>
    <x v="1255"/>
    <x v="0"/>
    <x v="5"/>
    <x v="5"/>
    <s v="Friday"/>
  </r>
  <r>
    <s v="TXN-01305"/>
    <d v="2024-01-03T00:00:00"/>
    <d v="1899-12-30T21:15:00"/>
    <s v="Vivaan Kapoor"/>
    <s v="Unknown"/>
    <x v="2"/>
    <x v="12"/>
    <x v="1"/>
    <s v="Food"/>
    <s v="Small"/>
    <n v="2"/>
    <n v="95"/>
    <n v="0"/>
    <n v="190"/>
    <n v="190"/>
    <x v="0"/>
    <x v="3"/>
    <x v="1"/>
    <x v="4"/>
    <x v="2"/>
    <x v="1"/>
    <n v="223"/>
    <n v="59"/>
    <x v="1161"/>
    <x v="1256"/>
    <x v="1"/>
    <x v="0"/>
    <n v="190"/>
    <x v="0"/>
    <n v="190"/>
    <x v="1246"/>
    <x v="1256"/>
    <x v="0"/>
    <x v="2"/>
    <x v="2"/>
    <s v="Wednesday"/>
  </r>
  <r>
    <s v="TXN-01306"/>
    <d v="2024-05-15T00:00:00"/>
    <d v="1899-12-30T07:45:00"/>
    <s v="Manish Kaur"/>
    <s v="CUST0191"/>
    <x v="0"/>
    <x v="7"/>
    <x v="0"/>
    <s v="Hot"/>
    <s v="Medium"/>
    <n v="4"/>
    <n v="155"/>
    <n v="0.1"/>
    <n v="620"/>
    <n v="558"/>
    <x v="2"/>
    <x v="1"/>
    <x v="3"/>
    <x v="1"/>
    <x v="1"/>
    <x v="0"/>
    <n v="350"/>
    <n v="53"/>
    <x v="1162"/>
    <x v="1257"/>
    <x v="0"/>
    <x v="1"/>
    <n v="620"/>
    <x v="92"/>
    <n v="558"/>
    <x v="1247"/>
    <x v="1257"/>
    <x v="0"/>
    <x v="6"/>
    <x v="6"/>
    <s v="Wednesday"/>
  </r>
  <r>
    <s v="TXN-01307"/>
    <d v="2024-11-06T00:00:00"/>
    <d v="1899-12-30T07:15:00"/>
    <s v="Isha Mehta"/>
    <s v="CUST0117"/>
    <x v="3"/>
    <x v="12"/>
    <x v="1"/>
    <s v="Food"/>
    <s v="Medium"/>
    <n v="2"/>
    <n v="90"/>
    <n v="0"/>
    <n v="180"/>
    <n v="180"/>
    <x v="2"/>
    <x v="3"/>
    <x v="6"/>
    <x v="3"/>
    <x v="0"/>
    <x v="1"/>
    <n v="478"/>
    <n v="58"/>
    <x v="1163"/>
    <x v="1258"/>
    <x v="3"/>
    <x v="3"/>
    <n v="180"/>
    <x v="0"/>
    <n v="180"/>
    <x v="1248"/>
    <x v="1258"/>
    <x v="0"/>
    <x v="11"/>
    <x v="11"/>
    <s v="Wednesday"/>
  </r>
  <r>
    <s v="TXN-01308"/>
    <d v="2024-12-16T00:00:00"/>
    <d v="1899-12-30T16:30:00"/>
    <s v="Pooja Bansal"/>
    <s v="CUST0221"/>
    <x v="3"/>
    <x v="12"/>
    <x v="1"/>
    <s v="Food"/>
    <s v="Large"/>
    <n v="3"/>
    <n v="85"/>
    <n v="0.1"/>
    <n v="255"/>
    <n v="229.5"/>
    <x v="3"/>
    <x v="3"/>
    <x v="4"/>
    <x v="0"/>
    <x v="0"/>
    <x v="4"/>
    <n v="244"/>
    <n v="22"/>
    <x v="626"/>
    <x v="1259"/>
    <x v="0"/>
    <x v="1"/>
    <n v="255"/>
    <x v="38"/>
    <n v="229.5"/>
    <x v="1249"/>
    <x v="1259"/>
    <x v="0"/>
    <x v="9"/>
    <x v="9"/>
    <s v="Monday"/>
  </r>
  <r>
    <s v="TXN-01309"/>
    <d v="2024-01-06T00:00:00"/>
    <d v="1899-12-30T08:00:00"/>
    <s v="Sneha Gupta"/>
    <s v="CUST0261"/>
    <x v="2"/>
    <x v="2"/>
    <x v="1"/>
    <s v="Food"/>
    <s v="Unknown"/>
    <n v="1"/>
    <n v="65"/>
    <n v="0"/>
    <n v="65"/>
    <n v="65"/>
    <x v="2"/>
    <x v="3"/>
    <x v="3"/>
    <x v="3"/>
    <x v="0"/>
    <x v="0"/>
    <n v="380"/>
    <n v="50"/>
    <x v="1164"/>
    <x v="1260"/>
    <x v="1"/>
    <x v="2"/>
    <n v="65"/>
    <x v="0"/>
    <n v="65"/>
    <x v="1250"/>
    <x v="1260"/>
    <x v="0"/>
    <x v="2"/>
    <x v="2"/>
    <s v="Saturday"/>
  </r>
  <r>
    <s v="TXN-01310"/>
    <d v="2024-11-30T00:00:00"/>
    <d v="1899-12-30T11:30:00"/>
    <s v="Ananya Chopra"/>
    <s v="CUST0362"/>
    <x v="0"/>
    <x v="10"/>
    <x v="1"/>
    <s v="Food"/>
    <s v="Large"/>
    <n v="1"/>
    <n v="100"/>
    <n v="0"/>
    <n v="100"/>
    <n v="100"/>
    <x v="1"/>
    <x v="0"/>
    <x v="3"/>
    <x v="4"/>
    <x v="0"/>
    <x v="1"/>
    <n v="46"/>
    <n v="22"/>
    <x v="1165"/>
    <x v="1261"/>
    <x v="0"/>
    <x v="0"/>
    <n v="100"/>
    <x v="0"/>
    <n v="100"/>
    <x v="1119"/>
    <x v="1261"/>
    <x v="0"/>
    <x v="11"/>
    <x v="11"/>
    <s v="Saturday"/>
  </r>
  <r>
    <s v="TXN-01311"/>
    <d v="2024-11-08T00:00:00"/>
    <d v="1899-12-30T08:30:00"/>
    <s v="Priya Singh"/>
    <s v="CUST0319"/>
    <x v="3"/>
    <x v="6"/>
    <x v="0"/>
    <s v="Hot"/>
    <s v="Large"/>
    <n v="1"/>
    <n v="100"/>
    <n v="0.1"/>
    <n v="100"/>
    <n v="90"/>
    <x v="2"/>
    <x v="2"/>
    <x v="6"/>
    <x v="4"/>
    <x v="0"/>
    <x v="0"/>
    <n v="382"/>
    <n v="51"/>
    <x v="1166"/>
    <x v="1262"/>
    <x v="1"/>
    <x v="0"/>
    <n v="100"/>
    <x v="4"/>
    <n v="90"/>
    <x v="1251"/>
    <x v="1262"/>
    <x v="0"/>
    <x v="11"/>
    <x v="11"/>
    <s v="Friday"/>
  </r>
  <r>
    <s v="TXN-01312"/>
    <d v="2024-11-13T00:00:00"/>
    <d v="1899-12-30T16:10:00"/>
    <s v="Kavya Kapoor"/>
    <s v="CUST0312"/>
    <x v="0"/>
    <x v="7"/>
    <x v="0"/>
    <s v="Hot"/>
    <s v="Large"/>
    <n v="5"/>
    <n v="155"/>
    <n v="0.15"/>
    <n v="775"/>
    <n v="658.75"/>
    <x v="0"/>
    <x v="1"/>
    <x v="6"/>
    <x v="5"/>
    <x v="0"/>
    <x v="1"/>
    <n v="345"/>
    <n v="22"/>
    <x v="1167"/>
    <x v="1263"/>
    <x v="2"/>
    <x v="4"/>
    <n v="775"/>
    <x v="115"/>
    <n v="658.75"/>
    <x v="1252"/>
    <x v="1263"/>
    <x v="0"/>
    <x v="11"/>
    <x v="11"/>
    <s v="Wednesday"/>
  </r>
  <r>
    <s v="TXN-01313"/>
    <d v="2024-06-25T00:00:00"/>
    <d v="1899-12-30T08:45:00"/>
    <s v="Simran Malhotra"/>
    <s v="CUST0258"/>
    <x v="2"/>
    <x v="14"/>
    <x v="3"/>
    <s v="Food"/>
    <s v="Small"/>
    <n v="1"/>
    <n v="175"/>
    <n v="0.15"/>
    <n v="175"/>
    <n v="148.75"/>
    <x v="2"/>
    <x v="0"/>
    <x v="5"/>
    <x v="2"/>
    <x v="0"/>
    <x v="2"/>
    <n v="230"/>
    <n v="60"/>
    <x v="1168"/>
    <x v="1264"/>
    <x v="1"/>
    <x v="3"/>
    <n v="175"/>
    <x v="116"/>
    <n v="148.75"/>
    <x v="1253"/>
    <x v="1264"/>
    <x v="0"/>
    <x v="4"/>
    <x v="4"/>
    <s v="Tuesday"/>
  </r>
  <r>
    <s v="TXN-01314"/>
    <d v="2024-02-09T00:00:00"/>
    <d v="1899-12-30T19:20:00"/>
    <s v="Rohan Singh"/>
    <s v="CUST0399"/>
    <x v="0"/>
    <x v="14"/>
    <x v="3"/>
    <s v="Food"/>
    <s v="Medium"/>
    <n v="1"/>
    <n v="190"/>
    <n v="0.05"/>
    <n v="190"/>
    <n v="180.5"/>
    <x v="0"/>
    <x v="3"/>
    <x v="6"/>
    <x v="7"/>
    <x v="0"/>
    <x v="2"/>
    <n v="400"/>
    <n v="25"/>
    <x v="1169"/>
    <x v="1265"/>
    <x v="0"/>
    <x v="3"/>
    <n v="190"/>
    <x v="10"/>
    <n v="180.5"/>
    <x v="1254"/>
    <x v="1265"/>
    <x v="0"/>
    <x v="3"/>
    <x v="3"/>
    <s v="Friday"/>
  </r>
  <r>
    <s v="TXN-01315"/>
    <d v="2024-11-03T00:00:00"/>
    <d v="1899-12-30T07:50:00"/>
    <s v="Simran Sharma"/>
    <s v="CUST0263"/>
    <x v="0"/>
    <x v="11"/>
    <x v="0"/>
    <s v="Hot"/>
    <s v="Large"/>
    <n v="2"/>
    <n v="85"/>
    <n v="0"/>
    <n v="170"/>
    <n v="170"/>
    <x v="0"/>
    <x v="1"/>
    <x v="2"/>
    <x v="7"/>
    <x v="0"/>
    <x v="4"/>
    <n v="38"/>
    <n v="36"/>
    <x v="1170"/>
    <x v="1266"/>
    <x v="2"/>
    <x v="4"/>
    <n v="170"/>
    <x v="0"/>
    <n v="170"/>
    <x v="1255"/>
    <x v="1266"/>
    <x v="0"/>
    <x v="11"/>
    <x v="11"/>
    <s v="Sunday"/>
  </r>
  <r>
    <s v="TXN-01316"/>
    <d v="2024-08-14T00:00:00"/>
    <d v="1899-12-30T20:30:00"/>
    <s v="Arjun Chopra"/>
    <s v="Unknown"/>
    <x v="3"/>
    <x v="10"/>
    <x v="1"/>
    <s v="Food"/>
    <s v="Large"/>
    <n v="1"/>
    <n v="95"/>
    <n v="0.05"/>
    <n v="95"/>
    <n v="90.25"/>
    <x v="0"/>
    <x v="1"/>
    <x v="2"/>
    <x v="3"/>
    <x v="0"/>
    <x v="4"/>
    <n v="225"/>
    <n v="26"/>
    <x v="1171"/>
    <x v="1267"/>
    <x v="3"/>
    <x v="0"/>
    <n v="95"/>
    <x v="34"/>
    <n v="90.25"/>
    <x v="1256"/>
    <x v="1267"/>
    <x v="0"/>
    <x v="1"/>
    <x v="1"/>
    <s v="Wednesday"/>
  </r>
  <r>
    <s v="TXN-01317"/>
    <d v="2024-04-22T00:00:00"/>
    <d v="1899-12-30T13:10:00"/>
    <s v="Rahul Mehta"/>
    <s v="CUST0284"/>
    <x v="3"/>
    <x v="13"/>
    <x v="2"/>
    <s v="Cold"/>
    <s v="Large"/>
    <n v="1"/>
    <n v="120"/>
    <n v="0.1"/>
    <n v="120"/>
    <n v="108"/>
    <x v="2"/>
    <x v="3"/>
    <x v="5"/>
    <x v="4"/>
    <x v="0"/>
    <x v="1"/>
    <n v="452"/>
    <n v="15"/>
    <x v="1172"/>
    <x v="1268"/>
    <x v="3"/>
    <x v="3"/>
    <n v="120"/>
    <x v="2"/>
    <n v="108"/>
    <x v="1257"/>
    <x v="1268"/>
    <x v="0"/>
    <x v="8"/>
    <x v="8"/>
    <s v="Monday"/>
  </r>
  <r>
    <s v="TXN-01318"/>
    <d v="2024-08-03T00:00:00"/>
    <d v="1899-12-30T09:15:00"/>
    <s v="Ananya Sharma"/>
    <s v="CUST0383"/>
    <x v="1"/>
    <x v="13"/>
    <x v="2"/>
    <s v="Cold"/>
    <s v="Large"/>
    <n v="1"/>
    <n v="105"/>
    <n v="0.05"/>
    <n v="105"/>
    <n v="99.75"/>
    <x v="0"/>
    <x v="1"/>
    <x v="5"/>
    <x v="3"/>
    <x v="0"/>
    <x v="1"/>
    <n v="400"/>
    <n v="36"/>
    <x v="1173"/>
    <x v="1269"/>
    <x v="0"/>
    <x v="4"/>
    <n v="105"/>
    <x v="40"/>
    <n v="99.75"/>
    <x v="1258"/>
    <x v="1269"/>
    <x v="0"/>
    <x v="1"/>
    <x v="1"/>
    <s v="Saturday"/>
  </r>
  <r>
    <s v="TXN-01319"/>
    <d v="2024-08-16T00:00:00"/>
    <d v="1899-12-30T20:45:00"/>
    <s v="Pooja Kaur"/>
    <s v="Unknown"/>
    <x v="3"/>
    <x v="11"/>
    <x v="0"/>
    <s v="Hot"/>
    <s v="Large"/>
    <n v="2"/>
    <n v="90"/>
    <n v="0"/>
    <n v="180"/>
    <n v="180"/>
    <x v="0"/>
    <x v="2"/>
    <x v="6"/>
    <x v="2"/>
    <x v="0"/>
    <x v="2"/>
    <n v="324"/>
    <n v="53"/>
    <x v="1174"/>
    <x v="1270"/>
    <x v="4"/>
    <x v="1"/>
    <n v="180"/>
    <x v="0"/>
    <n v="180"/>
    <x v="1259"/>
    <x v="1270"/>
    <x v="0"/>
    <x v="1"/>
    <x v="1"/>
    <s v="Friday"/>
  </r>
  <r>
    <s v="TXN-01320"/>
    <d v="2024-09-01T00:00:00"/>
    <d v="1899-12-30T10:10:00"/>
    <s v="Priya Chopra"/>
    <s v="CUST0194"/>
    <x v="3"/>
    <x v="5"/>
    <x v="2"/>
    <s v="Hot"/>
    <s v="Medium"/>
    <n v="4"/>
    <n v="100"/>
    <n v="0.1"/>
    <n v="400"/>
    <n v="360"/>
    <x v="1"/>
    <x v="3"/>
    <x v="2"/>
    <x v="7"/>
    <x v="1"/>
    <x v="1"/>
    <n v="364"/>
    <n v="31"/>
    <x v="1175"/>
    <x v="1271"/>
    <x v="2"/>
    <x v="1"/>
    <n v="400"/>
    <x v="58"/>
    <n v="360"/>
    <x v="1260"/>
    <x v="1271"/>
    <x v="0"/>
    <x v="0"/>
    <x v="0"/>
    <s v="Sunday"/>
  </r>
  <r>
    <s v="TXN-01321"/>
    <d v="2024-05-29T00:00:00"/>
    <d v="1899-12-30T10:45:00"/>
    <s v="Sneha Gupta"/>
    <s v="CUST0295"/>
    <x v="0"/>
    <x v="3"/>
    <x v="0"/>
    <s v="Hot"/>
    <s v="Medium"/>
    <n v="1"/>
    <n v="120"/>
    <n v="0.05"/>
    <n v="120"/>
    <n v="114"/>
    <x v="2"/>
    <x v="3"/>
    <x v="4"/>
    <x v="1"/>
    <x v="2"/>
    <x v="2"/>
    <n v="268"/>
    <n v="49"/>
    <x v="1176"/>
    <x v="1272"/>
    <x v="1"/>
    <x v="3"/>
    <n v="120"/>
    <x v="77"/>
    <n v="114"/>
    <x v="1261"/>
    <x v="1272"/>
    <x v="0"/>
    <x v="6"/>
    <x v="6"/>
    <s v="Wednesday"/>
  </r>
  <r>
    <s v="TXN-01322"/>
    <d v="2024-10-29T00:00:00"/>
    <d v="1899-12-30T13:30:00"/>
    <s v="Neha Malhotra"/>
    <s v="CUST0233"/>
    <x v="0"/>
    <x v="2"/>
    <x v="1"/>
    <s v="Food"/>
    <s v="Large"/>
    <n v="1"/>
    <n v="65"/>
    <n v="0"/>
    <n v="65"/>
    <n v="65"/>
    <x v="2"/>
    <x v="1"/>
    <x v="1"/>
    <x v="3"/>
    <x v="0"/>
    <x v="3"/>
    <n v="425"/>
    <n v="31"/>
    <x v="1177"/>
    <x v="1273"/>
    <x v="3"/>
    <x v="1"/>
    <n v="65"/>
    <x v="0"/>
    <n v="65"/>
    <x v="1262"/>
    <x v="1273"/>
    <x v="0"/>
    <x v="10"/>
    <x v="10"/>
    <s v="Tuesday"/>
  </r>
  <r>
    <s v="TXN-01323"/>
    <d v="2024-03-11T00:00:00"/>
    <d v="1899-12-30T11:50:00"/>
    <s v="Kavya Bansal"/>
    <s v="Unknown"/>
    <x v="3"/>
    <x v="10"/>
    <x v="1"/>
    <s v="Food"/>
    <s v="Large"/>
    <n v="2"/>
    <n v="105"/>
    <n v="0"/>
    <n v="210"/>
    <n v="210"/>
    <x v="2"/>
    <x v="3"/>
    <x v="2"/>
    <x v="5"/>
    <x v="0"/>
    <x v="0"/>
    <n v="244"/>
    <n v="35"/>
    <x v="1178"/>
    <x v="1274"/>
    <x v="4"/>
    <x v="0"/>
    <n v="210"/>
    <x v="0"/>
    <n v="210"/>
    <x v="1263"/>
    <x v="1274"/>
    <x v="0"/>
    <x v="5"/>
    <x v="5"/>
    <s v="Monday"/>
  </r>
  <r>
    <s v="TXN-01324"/>
    <d v="2024-09-26T00:00:00"/>
    <d v="1899-12-30T10:15:00"/>
    <s v="Kavya Bansal"/>
    <s v="CUST0249"/>
    <x v="2"/>
    <x v="14"/>
    <x v="3"/>
    <s v="Food"/>
    <s v="Unknown"/>
    <n v="2"/>
    <n v="190"/>
    <n v="0"/>
    <n v="380"/>
    <n v="380"/>
    <x v="0"/>
    <x v="2"/>
    <x v="3"/>
    <x v="5"/>
    <x v="0"/>
    <x v="3"/>
    <n v="390"/>
    <n v="49"/>
    <x v="1179"/>
    <x v="1275"/>
    <x v="3"/>
    <x v="0"/>
    <n v="380"/>
    <x v="0"/>
    <n v="380"/>
    <x v="1264"/>
    <x v="1275"/>
    <x v="0"/>
    <x v="0"/>
    <x v="0"/>
    <s v="Thursday"/>
  </r>
  <r>
    <s v="TXN-01325"/>
    <d v="2024-02-04T00:00:00"/>
    <d v="1899-12-30T07:15:00"/>
    <s v="Vivaan Chopra"/>
    <s v="CUST0268"/>
    <x v="1"/>
    <x v="10"/>
    <x v="1"/>
    <s v="Food"/>
    <s v="Large"/>
    <n v="4"/>
    <n v="105"/>
    <n v="0.1"/>
    <n v="420"/>
    <n v="378"/>
    <x v="3"/>
    <x v="0"/>
    <x v="5"/>
    <x v="0"/>
    <x v="0"/>
    <x v="0"/>
    <n v="118"/>
    <n v="45"/>
    <x v="312"/>
    <x v="1276"/>
    <x v="0"/>
    <x v="2"/>
    <n v="420"/>
    <x v="28"/>
    <n v="378"/>
    <x v="1265"/>
    <x v="1276"/>
    <x v="0"/>
    <x v="3"/>
    <x v="3"/>
    <s v="Sunday"/>
  </r>
  <r>
    <s v="TXN-01326"/>
    <d v="2024-03-14T00:00:00"/>
    <d v="1899-12-30T07:15:00"/>
    <s v="Manish Kapoor"/>
    <s v="CUST0216"/>
    <x v="1"/>
    <x v="7"/>
    <x v="0"/>
    <s v="Hot"/>
    <s v="Medium"/>
    <n v="2"/>
    <n v="140"/>
    <n v="0"/>
    <n v="280"/>
    <n v="280"/>
    <x v="0"/>
    <x v="3"/>
    <x v="2"/>
    <x v="1"/>
    <x v="0"/>
    <x v="3"/>
    <n v="373"/>
    <n v="33"/>
    <x v="1180"/>
    <x v="1277"/>
    <x v="2"/>
    <x v="2"/>
    <n v="280"/>
    <x v="0"/>
    <n v="280"/>
    <x v="1266"/>
    <x v="1277"/>
    <x v="0"/>
    <x v="5"/>
    <x v="5"/>
    <s v="Thursday"/>
  </r>
  <r>
    <s v="TXN-01327"/>
    <d v="2024-10-21T00:00:00"/>
    <d v="1899-12-30T13:50:00"/>
    <s v="Priya Sharma"/>
    <s v="CUST0265"/>
    <x v="2"/>
    <x v="6"/>
    <x v="0"/>
    <s v="Hot"/>
    <s v="Medium"/>
    <n v="1"/>
    <n v="95"/>
    <n v="0.05"/>
    <n v="95"/>
    <n v="90.25"/>
    <x v="2"/>
    <x v="0"/>
    <x v="4"/>
    <x v="2"/>
    <x v="1"/>
    <x v="0"/>
    <n v="89"/>
    <n v="43"/>
    <x v="1181"/>
    <x v="1278"/>
    <x v="3"/>
    <x v="2"/>
    <n v="95"/>
    <x v="34"/>
    <n v="90.25"/>
    <x v="1267"/>
    <x v="1278"/>
    <x v="0"/>
    <x v="10"/>
    <x v="10"/>
    <s v="Monday"/>
  </r>
  <r>
    <s v="TXN-01328"/>
    <d v="2024-07-13T00:00:00"/>
    <d v="1899-12-30T08:30:00"/>
    <s v="Unknown"/>
    <s v="CUST0316"/>
    <x v="3"/>
    <x v="14"/>
    <x v="3"/>
    <s v="Food"/>
    <s v="Unknown"/>
    <n v="2"/>
    <n v="190"/>
    <n v="0"/>
    <n v="380"/>
    <n v="380"/>
    <x v="1"/>
    <x v="1"/>
    <x v="2"/>
    <x v="4"/>
    <x v="0"/>
    <x v="2"/>
    <n v="472"/>
    <n v="15"/>
    <x v="1182"/>
    <x v="1279"/>
    <x v="1"/>
    <x v="2"/>
    <n v="380"/>
    <x v="0"/>
    <n v="380"/>
    <x v="1268"/>
    <x v="1279"/>
    <x v="0"/>
    <x v="7"/>
    <x v="7"/>
    <s v="Saturday"/>
  </r>
  <r>
    <s v="TXN-01329"/>
    <d v="2024-03-07T00:00:00"/>
    <d v="1899-12-30T18:45:00"/>
    <s v="Arjun Malhotra"/>
    <s v="CUST0284"/>
    <x v="3"/>
    <x v="4"/>
    <x v="0"/>
    <s v="Cold"/>
    <s v="Small"/>
    <n v="1"/>
    <n v="160"/>
    <n v="0"/>
    <n v="160"/>
    <n v="160"/>
    <x v="2"/>
    <x v="1"/>
    <x v="5"/>
    <x v="2"/>
    <x v="0"/>
    <x v="0"/>
    <n v="90"/>
    <n v="40"/>
    <x v="1183"/>
    <x v="1266"/>
    <x v="1"/>
    <x v="1"/>
    <n v="160"/>
    <x v="0"/>
    <n v="160"/>
    <x v="1269"/>
    <x v="1266"/>
    <x v="0"/>
    <x v="5"/>
    <x v="5"/>
    <s v="Thursday"/>
  </r>
  <r>
    <s v="TXN-01330"/>
    <d v="2024-09-23T00:00:00"/>
    <d v="1899-12-30T18:00:00"/>
    <s v="Nikhil Singh"/>
    <s v="CUST0254"/>
    <x v="2"/>
    <x v="13"/>
    <x v="2"/>
    <s v="Cold"/>
    <s v="Small"/>
    <n v="1"/>
    <n v="110"/>
    <n v="0"/>
    <n v="110"/>
    <n v="110"/>
    <x v="0"/>
    <x v="2"/>
    <x v="2"/>
    <x v="5"/>
    <x v="0"/>
    <x v="1"/>
    <n v="69"/>
    <n v="37"/>
    <x v="894"/>
    <x v="1280"/>
    <x v="3"/>
    <x v="2"/>
    <n v="110"/>
    <x v="0"/>
    <n v="110"/>
    <x v="1270"/>
    <x v="1280"/>
    <x v="0"/>
    <x v="0"/>
    <x v="0"/>
    <s v="Monday"/>
  </r>
  <r>
    <s v="TXN-01331"/>
    <d v="2024-05-19T00:00:00"/>
    <d v="1899-12-30T20:20:00"/>
    <s v="Vivaan Kaur"/>
    <s v="CUST0269"/>
    <x v="2"/>
    <x v="8"/>
    <x v="0"/>
    <s v="Cold"/>
    <s v="Unknown"/>
    <n v="1"/>
    <n v="160"/>
    <n v="0.1"/>
    <n v="160"/>
    <n v="144"/>
    <x v="2"/>
    <x v="1"/>
    <x v="4"/>
    <x v="2"/>
    <x v="0"/>
    <x v="3"/>
    <n v="73"/>
    <n v="45"/>
    <x v="1184"/>
    <x v="1281"/>
    <x v="3"/>
    <x v="1"/>
    <n v="160"/>
    <x v="3"/>
    <n v="144"/>
    <x v="1271"/>
    <x v="1281"/>
    <x v="0"/>
    <x v="6"/>
    <x v="6"/>
    <s v="Sunday"/>
  </r>
  <r>
    <s v="TXN-01332"/>
    <d v="2024-04-10T00:00:00"/>
    <d v="1899-12-30T08:20:00"/>
    <s v="Aarav Bansal"/>
    <s v="CUST0292"/>
    <x v="0"/>
    <x v="15"/>
    <x v="4"/>
    <s v="Food"/>
    <s v="Small"/>
    <n v="1"/>
    <n v="195"/>
    <n v="0"/>
    <n v="195"/>
    <n v="195"/>
    <x v="0"/>
    <x v="1"/>
    <x v="6"/>
    <x v="0"/>
    <x v="0"/>
    <x v="1"/>
    <n v="83"/>
    <n v="36"/>
    <x v="1185"/>
    <x v="1282"/>
    <x v="0"/>
    <x v="2"/>
    <n v="195"/>
    <x v="0"/>
    <n v="195"/>
    <x v="1272"/>
    <x v="1282"/>
    <x v="0"/>
    <x v="8"/>
    <x v="8"/>
    <s v="Wednesday"/>
  </r>
  <r>
    <s v="TXN-01333"/>
    <d v="2024-03-25T00:00:00"/>
    <d v="1899-12-30T08:20:00"/>
    <s v="Aarav Chopra"/>
    <s v="CUST0231"/>
    <x v="2"/>
    <x v="13"/>
    <x v="2"/>
    <s v="Cold"/>
    <s v="Small"/>
    <n v="1"/>
    <n v="105"/>
    <n v="0"/>
    <n v="105"/>
    <n v="105"/>
    <x v="0"/>
    <x v="1"/>
    <x v="0"/>
    <x v="2"/>
    <x v="0"/>
    <x v="1"/>
    <n v="332"/>
    <n v="45"/>
    <x v="1186"/>
    <x v="1283"/>
    <x v="4"/>
    <x v="3"/>
    <n v="105"/>
    <x v="0"/>
    <n v="105"/>
    <x v="1273"/>
    <x v="1283"/>
    <x v="0"/>
    <x v="5"/>
    <x v="5"/>
    <s v="Monday"/>
  </r>
  <r>
    <s v="TXN-01334"/>
    <d v="2024-11-17T00:00:00"/>
    <d v="1899-12-30T15:10:00"/>
    <s v="Pooja Singh"/>
    <s v="Unknown"/>
    <x v="0"/>
    <x v="5"/>
    <x v="2"/>
    <s v="Hot"/>
    <s v="Medium"/>
    <n v="1"/>
    <n v="100"/>
    <n v="0"/>
    <n v="100"/>
    <n v="100"/>
    <x v="2"/>
    <x v="0"/>
    <x v="0"/>
    <x v="2"/>
    <x v="0"/>
    <x v="2"/>
    <n v="140"/>
    <n v="34"/>
    <x v="1187"/>
    <x v="1284"/>
    <x v="3"/>
    <x v="4"/>
    <n v="100"/>
    <x v="0"/>
    <n v="100"/>
    <x v="1274"/>
    <x v="1284"/>
    <x v="0"/>
    <x v="11"/>
    <x v="11"/>
    <s v="Sunday"/>
  </r>
  <r>
    <s v="TXN-01335"/>
    <d v="2024-06-25T00:00:00"/>
    <d v="1899-12-30T12:20:00"/>
    <s v="Karan Verma"/>
    <s v="CUST0235"/>
    <x v="0"/>
    <x v="13"/>
    <x v="2"/>
    <s v="Cold"/>
    <s v="Large"/>
    <n v="1"/>
    <n v="120"/>
    <n v="0.15"/>
    <n v="120"/>
    <n v="102"/>
    <x v="1"/>
    <x v="3"/>
    <x v="5"/>
    <x v="6"/>
    <x v="0"/>
    <x v="2"/>
    <n v="377"/>
    <n v="50"/>
    <x v="1188"/>
    <x v="1285"/>
    <x v="1"/>
    <x v="1"/>
    <n v="120"/>
    <x v="23"/>
    <n v="102"/>
    <x v="1275"/>
    <x v="1285"/>
    <x v="0"/>
    <x v="4"/>
    <x v="4"/>
    <s v="Tuesday"/>
  </r>
  <r>
    <s v="TXN-01336"/>
    <d v="2024-01-03T00:00:00"/>
    <d v="1899-12-30T12:45:00"/>
    <s v="Nikhil Kaur"/>
    <s v="CUST0342"/>
    <x v="2"/>
    <x v="14"/>
    <x v="3"/>
    <s v="Food"/>
    <s v="Unknown"/>
    <n v="1"/>
    <n v="175"/>
    <n v="0"/>
    <n v="175"/>
    <n v="175"/>
    <x v="1"/>
    <x v="0"/>
    <x v="2"/>
    <x v="4"/>
    <x v="0"/>
    <x v="3"/>
    <n v="53"/>
    <n v="34"/>
    <x v="1189"/>
    <x v="1286"/>
    <x v="0"/>
    <x v="0"/>
    <n v="175"/>
    <x v="0"/>
    <n v="175"/>
    <x v="1276"/>
    <x v="1286"/>
    <x v="0"/>
    <x v="2"/>
    <x v="2"/>
    <s v="Wednesday"/>
  </r>
  <r>
    <s v="TXN-01337"/>
    <d v="2024-04-20T00:00:00"/>
    <d v="1899-12-30T09:15:00"/>
    <s v="Aarav Verma"/>
    <s v="CUST0266"/>
    <x v="0"/>
    <x v="10"/>
    <x v="1"/>
    <s v="Food"/>
    <s v="Small"/>
    <n v="2"/>
    <n v="100"/>
    <n v="0"/>
    <n v="200"/>
    <n v="200"/>
    <x v="2"/>
    <x v="0"/>
    <x v="3"/>
    <x v="4"/>
    <x v="2"/>
    <x v="0"/>
    <n v="264"/>
    <n v="14"/>
    <x v="1190"/>
    <x v="1287"/>
    <x v="4"/>
    <x v="0"/>
    <n v="200"/>
    <x v="0"/>
    <n v="200"/>
    <x v="1277"/>
    <x v="1287"/>
    <x v="0"/>
    <x v="8"/>
    <x v="8"/>
    <s v="Saturday"/>
  </r>
  <r>
    <s v="TXN-01338"/>
    <d v="2024-01-12T00:00:00"/>
    <d v="1899-12-30T10:00:00"/>
    <s v="Aditya Gupta"/>
    <s v="CUST0319"/>
    <x v="2"/>
    <x v="3"/>
    <x v="0"/>
    <s v="Hot"/>
    <s v="Medium"/>
    <n v="2"/>
    <n v="115"/>
    <n v="0"/>
    <n v="230"/>
    <n v="230"/>
    <x v="2"/>
    <x v="1"/>
    <x v="0"/>
    <x v="0"/>
    <x v="0"/>
    <x v="2"/>
    <n v="261"/>
    <n v="34"/>
    <x v="704"/>
    <x v="1288"/>
    <x v="1"/>
    <x v="4"/>
    <n v="230"/>
    <x v="0"/>
    <n v="230"/>
    <x v="730"/>
    <x v="1288"/>
    <x v="0"/>
    <x v="2"/>
    <x v="2"/>
    <s v="Friday"/>
  </r>
  <r>
    <s v="TXN-01339"/>
    <d v="2024-08-29T00:00:00"/>
    <d v="1899-12-30T12:30:00"/>
    <s v="Aarav Sharma"/>
    <s v="CUST0365"/>
    <x v="2"/>
    <x v="9"/>
    <x v="2"/>
    <s v="Hot"/>
    <s v="Large"/>
    <n v="3"/>
    <n v="80"/>
    <n v="0"/>
    <n v="240"/>
    <n v="240"/>
    <x v="0"/>
    <x v="3"/>
    <x v="0"/>
    <x v="2"/>
    <x v="2"/>
    <x v="4"/>
    <n v="260"/>
    <n v="46"/>
    <x v="728"/>
    <x v="1289"/>
    <x v="0"/>
    <x v="1"/>
    <n v="240"/>
    <x v="0"/>
    <n v="240"/>
    <x v="1278"/>
    <x v="1289"/>
    <x v="0"/>
    <x v="1"/>
    <x v="1"/>
    <s v="Thursday"/>
  </r>
  <r>
    <s v="TXN-01340"/>
    <d v="2024-11-17T00:00:00"/>
    <d v="1899-12-30T14:00:00"/>
    <s v="Manish Verma"/>
    <s v="CUST0327"/>
    <x v="2"/>
    <x v="15"/>
    <x v="4"/>
    <s v="Food"/>
    <s v="Medium"/>
    <n v="1"/>
    <n v="185"/>
    <n v="0.1"/>
    <n v="185"/>
    <n v="166.5"/>
    <x v="0"/>
    <x v="0"/>
    <x v="0"/>
    <x v="3"/>
    <x v="0"/>
    <x v="0"/>
    <n v="244"/>
    <n v="41"/>
    <x v="1191"/>
    <x v="1290"/>
    <x v="2"/>
    <x v="1"/>
    <n v="185"/>
    <x v="56"/>
    <n v="166.5"/>
    <x v="1279"/>
    <x v="1290"/>
    <x v="0"/>
    <x v="11"/>
    <x v="11"/>
    <s v="Sunday"/>
  </r>
  <r>
    <s v="TXN-01341"/>
    <d v="2024-01-12T00:00:00"/>
    <d v="1899-12-30T09:30:00"/>
    <s v="Arjun Sharma"/>
    <s v="CUST0191"/>
    <x v="0"/>
    <x v="0"/>
    <x v="0"/>
    <s v="Hot"/>
    <s v="Medium"/>
    <n v="2"/>
    <n v="130"/>
    <n v="0.15"/>
    <n v="260"/>
    <n v="221"/>
    <x v="1"/>
    <x v="3"/>
    <x v="3"/>
    <x v="0"/>
    <x v="0"/>
    <x v="2"/>
    <n v="32"/>
    <n v="35"/>
    <x v="1192"/>
    <x v="1291"/>
    <x v="0"/>
    <x v="0"/>
    <n v="260"/>
    <x v="21"/>
    <n v="221"/>
    <x v="1280"/>
    <x v="1291"/>
    <x v="0"/>
    <x v="2"/>
    <x v="2"/>
    <s v="Friday"/>
  </r>
  <r>
    <s v="TXN-01342"/>
    <d v="2024-04-26T00:00:00"/>
    <d v="1899-12-30T14:15:00"/>
    <s v="Karan Mehta"/>
    <s v="CUST0249"/>
    <x v="0"/>
    <x v="3"/>
    <x v="0"/>
    <s v="Hot"/>
    <s v="Large"/>
    <n v="2"/>
    <n v="130"/>
    <n v="0"/>
    <n v="260"/>
    <n v="260"/>
    <x v="2"/>
    <x v="3"/>
    <x v="0"/>
    <x v="1"/>
    <x v="0"/>
    <x v="2"/>
    <n v="268"/>
    <n v="37"/>
    <x v="1193"/>
    <x v="1292"/>
    <x v="4"/>
    <x v="2"/>
    <n v="260"/>
    <x v="0"/>
    <n v="260"/>
    <x v="1281"/>
    <x v="1292"/>
    <x v="0"/>
    <x v="8"/>
    <x v="8"/>
    <s v="Friday"/>
  </r>
  <r>
    <s v="TXN-01343"/>
    <d v="2024-10-15T00:00:00"/>
    <d v="1899-12-30T15:10:00"/>
    <s v="Unknown"/>
    <s v="CUST0121"/>
    <x v="2"/>
    <x v="2"/>
    <x v="1"/>
    <s v="Food"/>
    <s v="Medium"/>
    <n v="1"/>
    <n v="65"/>
    <n v="0.1"/>
    <n v="65"/>
    <n v="58.5"/>
    <x v="1"/>
    <x v="1"/>
    <x v="2"/>
    <x v="1"/>
    <x v="2"/>
    <x v="2"/>
    <n v="491"/>
    <n v="35"/>
    <x v="1194"/>
    <x v="1293"/>
    <x v="3"/>
    <x v="2"/>
    <n v="65"/>
    <x v="41"/>
    <n v="58.5"/>
    <x v="1282"/>
    <x v="1293"/>
    <x v="0"/>
    <x v="10"/>
    <x v="10"/>
    <s v="Tuesday"/>
  </r>
  <r>
    <s v="TXN-01344"/>
    <d v="2024-10-28T00:00:00"/>
    <d v="1899-12-30T13:00:00"/>
    <s v="Karan Bansal"/>
    <s v="CUST0131"/>
    <x v="3"/>
    <x v="5"/>
    <x v="2"/>
    <s v="Hot"/>
    <s v="Medium"/>
    <n v="2"/>
    <n v="90"/>
    <n v="0.05"/>
    <n v="180"/>
    <n v="171"/>
    <x v="3"/>
    <x v="1"/>
    <x v="6"/>
    <x v="6"/>
    <x v="0"/>
    <x v="2"/>
    <n v="12"/>
    <n v="24"/>
    <x v="1195"/>
    <x v="1294"/>
    <x v="0"/>
    <x v="4"/>
    <n v="180"/>
    <x v="13"/>
    <n v="171"/>
    <x v="1283"/>
    <x v="1294"/>
    <x v="0"/>
    <x v="10"/>
    <x v="10"/>
    <s v="Monday"/>
  </r>
  <r>
    <s v="TXN-01345"/>
    <d v="2024-01-21T00:00:00"/>
    <d v="1899-12-30T11:15:00"/>
    <s v="Sahil Bansal"/>
    <s v="CUST0181"/>
    <x v="3"/>
    <x v="6"/>
    <x v="0"/>
    <s v="Hot"/>
    <s v="Large"/>
    <n v="1"/>
    <n v="100"/>
    <n v="0.1"/>
    <n v="100"/>
    <n v="90"/>
    <x v="2"/>
    <x v="3"/>
    <x v="6"/>
    <x v="5"/>
    <x v="0"/>
    <x v="1"/>
    <n v="113"/>
    <n v="35"/>
    <x v="1196"/>
    <x v="1295"/>
    <x v="1"/>
    <x v="0"/>
    <n v="100"/>
    <x v="4"/>
    <n v="90"/>
    <x v="1284"/>
    <x v="1295"/>
    <x v="0"/>
    <x v="2"/>
    <x v="2"/>
    <s v="Sunday"/>
  </r>
  <r>
    <s v="TXN-01346"/>
    <d v="2024-12-04T00:00:00"/>
    <d v="1899-12-30T19:30:00"/>
    <s v="Sneha Gupta"/>
    <s v="CUST0367"/>
    <x v="3"/>
    <x v="5"/>
    <x v="2"/>
    <s v="Hot"/>
    <s v="Large"/>
    <n v="1"/>
    <n v="95"/>
    <n v="0.1"/>
    <n v="95"/>
    <n v="85.5"/>
    <x v="0"/>
    <x v="2"/>
    <x v="1"/>
    <x v="4"/>
    <x v="0"/>
    <x v="2"/>
    <n v="311"/>
    <n v="49"/>
    <x v="1197"/>
    <x v="1296"/>
    <x v="0"/>
    <x v="3"/>
    <n v="95"/>
    <x v="10"/>
    <n v="85.5"/>
    <x v="1285"/>
    <x v="1296"/>
    <x v="0"/>
    <x v="9"/>
    <x v="9"/>
    <s v="Wednesday"/>
  </r>
  <r>
    <s v="TXN-01347"/>
    <d v="2024-11-01T00:00:00"/>
    <d v="1899-12-30T10:50:00"/>
    <s v="Pooja Singh"/>
    <s v="CUST0159"/>
    <x v="1"/>
    <x v="15"/>
    <x v="4"/>
    <s v="Food"/>
    <s v="Large"/>
    <n v="5"/>
    <n v="200"/>
    <n v="0"/>
    <n v="1000"/>
    <n v="1000"/>
    <x v="3"/>
    <x v="3"/>
    <x v="3"/>
    <x v="7"/>
    <x v="0"/>
    <x v="3"/>
    <n v="94"/>
    <n v="41"/>
    <x v="1198"/>
    <x v="1297"/>
    <x v="0"/>
    <x v="2"/>
    <n v="1000"/>
    <x v="0"/>
    <n v="1000"/>
    <x v="1286"/>
    <x v="1297"/>
    <x v="0"/>
    <x v="11"/>
    <x v="11"/>
    <s v="Friday"/>
  </r>
  <r>
    <s v="TXN-01348"/>
    <d v="2024-06-20T00:00:00"/>
    <d v="1899-12-30T21:15:00"/>
    <s v="Priya Mehta"/>
    <s v="CUST0140"/>
    <x v="2"/>
    <x v="9"/>
    <x v="2"/>
    <s v="Hot"/>
    <s v="Unknown"/>
    <n v="1"/>
    <n v="80"/>
    <n v="0"/>
    <n v="80"/>
    <n v="80"/>
    <x v="1"/>
    <x v="0"/>
    <x v="0"/>
    <x v="2"/>
    <x v="2"/>
    <x v="1"/>
    <n v="61"/>
    <n v="13"/>
    <x v="1022"/>
    <x v="1298"/>
    <x v="3"/>
    <x v="0"/>
    <n v="80"/>
    <x v="0"/>
    <n v="80"/>
    <x v="1084"/>
    <x v="1298"/>
    <x v="0"/>
    <x v="4"/>
    <x v="4"/>
    <s v="Thursday"/>
  </r>
  <r>
    <s v="TXN-01349"/>
    <d v="2024-10-02T00:00:00"/>
    <d v="1899-12-30T15:30:00"/>
    <s v="Aditya Gupta"/>
    <s v="CUST0276"/>
    <x v="3"/>
    <x v="5"/>
    <x v="2"/>
    <s v="Hot"/>
    <s v="Medium"/>
    <n v="2"/>
    <n v="100"/>
    <n v="0"/>
    <n v="200"/>
    <n v="200"/>
    <x v="0"/>
    <x v="1"/>
    <x v="6"/>
    <x v="7"/>
    <x v="0"/>
    <x v="0"/>
    <n v="337"/>
    <n v="48"/>
    <x v="1199"/>
    <x v="1299"/>
    <x v="3"/>
    <x v="4"/>
    <n v="200"/>
    <x v="0"/>
    <n v="200"/>
    <x v="1287"/>
    <x v="1299"/>
    <x v="0"/>
    <x v="10"/>
    <x v="10"/>
    <s v="Wednesday"/>
  </r>
  <r>
    <s v="TXN-01350"/>
    <d v="2024-07-04T00:00:00"/>
    <d v="1899-12-30T12:30:00"/>
    <s v="Rohan Mehta"/>
    <s v="CUST0149"/>
    <x v="0"/>
    <x v="3"/>
    <x v="0"/>
    <s v="Hot"/>
    <s v="Small"/>
    <n v="2"/>
    <n v="125"/>
    <n v="0.15"/>
    <n v="250"/>
    <n v="212.5"/>
    <x v="3"/>
    <x v="1"/>
    <x v="6"/>
    <x v="7"/>
    <x v="0"/>
    <x v="2"/>
    <n v="462"/>
    <n v="56"/>
    <x v="1200"/>
    <x v="1300"/>
    <x v="0"/>
    <x v="1"/>
    <n v="250"/>
    <x v="79"/>
    <n v="212.5"/>
    <x v="1288"/>
    <x v="1300"/>
    <x v="0"/>
    <x v="7"/>
    <x v="7"/>
    <s v="Thursday"/>
  </r>
  <r>
    <s v="TXN-01351"/>
    <d v="2024-01-29T00:00:00"/>
    <d v="1899-12-30T11:30:00"/>
    <s v="Aarav Mehta"/>
    <s v="CUST0344"/>
    <x v="3"/>
    <x v="3"/>
    <x v="0"/>
    <s v="Hot"/>
    <s v="Unknown"/>
    <n v="1"/>
    <n v="120"/>
    <n v="0.05"/>
    <n v="120"/>
    <n v="114"/>
    <x v="1"/>
    <x v="0"/>
    <x v="2"/>
    <x v="3"/>
    <x v="0"/>
    <x v="4"/>
    <n v="160"/>
    <n v="26"/>
    <x v="842"/>
    <x v="842"/>
    <x v="3"/>
    <x v="3"/>
    <n v="120"/>
    <x v="77"/>
    <n v="114"/>
    <x v="882"/>
    <x v="842"/>
    <x v="0"/>
    <x v="2"/>
    <x v="2"/>
    <s v="Monday"/>
  </r>
  <r>
    <s v="TXN-01352"/>
    <d v="2024-12-08T00:00:00"/>
    <d v="1899-12-30T13:30:00"/>
    <s v="Meera Kapoor"/>
    <s v="CUST0348"/>
    <x v="2"/>
    <x v="2"/>
    <x v="1"/>
    <s v="Food"/>
    <s v="Medium"/>
    <n v="1"/>
    <n v="65"/>
    <n v="0"/>
    <n v="65"/>
    <n v="65"/>
    <x v="0"/>
    <x v="2"/>
    <x v="4"/>
    <x v="6"/>
    <x v="2"/>
    <x v="2"/>
    <n v="426"/>
    <n v="55"/>
    <x v="1201"/>
    <x v="1301"/>
    <x v="0"/>
    <x v="3"/>
    <n v="65"/>
    <x v="0"/>
    <n v="65"/>
    <x v="1289"/>
    <x v="1301"/>
    <x v="0"/>
    <x v="9"/>
    <x v="9"/>
    <s v="Sunday"/>
  </r>
  <r>
    <s v="TXN-01353"/>
    <d v="2024-06-13T00:00:00"/>
    <d v="1899-12-30T11:15:00"/>
    <s v="Simran Bansal"/>
    <s v="CUST0220"/>
    <x v="2"/>
    <x v="10"/>
    <x v="1"/>
    <s v="Food"/>
    <s v="Unknown"/>
    <n v="1"/>
    <n v="110"/>
    <n v="0"/>
    <n v="110"/>
    <n v="110"/>
    <x v="2"/>
    <x v="0"/>
    <x v="3"/>
    <x v="2"/>
    <x v="1"/>
    <x v="0"/>
    <n v="101"/>
    <n v="57"/>
    <x v="1202"/>
    <x v="1302"/>
    <x v="5"/>
    <x v="3"/>
    <n v="110"/>
    <x v="0"/>
    <n v="110"/>
    <x v="1290"/>
    <x v="1302"/>
    <x v="0"/>
    <x v="4"/>
    <x v="4"/>
    <s v="Thursday"/>
  </r>
  <r>
    <s v="TXN-01354"/>
    <d v="2024-06-07T00:00:00"/>
    <d v="1899-12-30T14:45:00"/>
    <s v="Rahul Malhotra"/>
    <s v="Unknown"/>
    <x v="3"/>
    <x v="6"/>
    <x v="0"/>
    <s v="Hot"/>
    <s v="Large"/>
    <n v="2"/>
    <n v="105"/>
    <n v="0"/>
    <n v="210"/>
    <n v="210"/>
    <x v="0"/>
    <x v="1"/>
    <x v="6"/>
    <x v="5"/>
    <x v="2"/>
    <x v="1"/>
    <n v="244"/>
    <n v="16"/>
    <x v="1203"/>
    <x v="1303"/>
    <x v="2"/>
    <x v="0"/>
    <n v="210"/>
    <x v="0"/>
    <n v="210"/>
    <x v="1291"/>
    <x v="1303"/>
    <x v="0"/>
    <x v="4"/>
    <x v="4"/>
    <s v="Friday"/>
  </r>
  <r>
    <s v="TXN-01355"/>
    <d v="2024-12-19T00:00:00"/>
    <d v="1899-12-30T17:00:00"/>
    <s v="Sneha Sharma"/>
    <s v="CUST0186"/>
    <x v="1"/>
    <x v="7"/>
    <x v="0"/>
    <s v="Hot"/>
    <s v="Unknown"/>
    <n v="3"/>
    <n v="155"/>
    <n v="0.05"/>
    <n v="465"/>
    <n v="441.75"/>
    <x v="3"/>
    <x v="1"/>
    <x v="3"/>
    <x v="4"/>
    <x v="1"/>
    <x v="1"/>
    <n v="255"/>
    <n v="50"/>
    <x v="1204"/>
    <x v="1304"/>
    <x v="4"/>
    <x v="0"/>
    <n v="465"/>
    <x v="83"/>
    <n v="441.75"/>
    <x v="1292"/>
    <x v="1304"/>
    <x v="0"/>
    <x v="9"/>
    <x v="9"/>
    <s v="Thursday"/>
  </r>
  <r>
    <s v="TXN-01356"/>
    <d v="2024-06-25T00:00:00"/>
    <d v="1899-12-30T08:45:00"/>
    <s v="Aditya Mehta"/>
    <s v="CUST0355"/>
    <x v="3"/>
    <x v="8"/>
    <x v="0"/>
    <s v="Cold"/>
    <s v="Unknown"/>
    <n v="1"/>
    <n v="170"/>
    <n v="0"/>
    <n v="170"/>
    <n v="170"/>
    <x v="0"/>
    <x v="0"/>
    <x v="6"/>
    <x v="5"/>
    <x v="0"/>
    <x v="0"/>
    <n v="244"/>
    <n v="34"/>
    <x v="1205"/>
    <x v="1305"/>
    <x v="3"/>
    <x v="2"/>
    <n v="170"/>
    <x v="0"/>
    <n v="170"/>
    <x v="1293"/>
    <x v="1305"/>
    <x v="0"/>
    <x v="4"/>
    <x v="4"/>
    <s v="Tuesday"/>
  </r>
  <r>
    <s v="TXN-01357"/>
    <d v="2024-05-11T00:00:00"/>
    <d v="1899-12-30T11:45:00"/>
    <s v="Isha Mehta"/>
    <s v="CUST0137"/>
    <x v="3"/>
    <x v="6"/>
    <x v="0"/>
    <s v="Hot"/>
    <s v="Medium"/>
    <n v="1"/>
    <n v="105"/>
    <n v="0.1"/>
    <n v="105"/>
    <n v="94.5"/>
    <x v="1"/>
    <x v="0"/>
    <x v="0"/>
    <x v="5"/>
    <x v="0"/>
    <x v="3"/>
    <n v="134"/>
    <n v="36"/>
    <x v="689"/>
    <x v="1306"/>
    <x v="4"/>
    <x v="3"/>
    <n v="105"/>
    <x v="25"/>
    <n v="94.5"/>
    <x v="715"/>
    <x v="1306"/>
    <x v="0"/>
    <x v="6"/>
    <x v="6"/>
    <s v="Saturday"/>
  </r>
  <r>
    <s v="TXN-01358"/>
    <d v="2024-09-27T00:00:00"/>
    <d v="1899-12-30T20:10:00"/>
    <s v="Ananya Malhotra"/>
    <s v="CUST0216"/>
    <x v="3"/>
    <x v="8"/>
    <x v="0"/>
    <s v="Cold"/>
    <s v="Medium"/>
    <n v="2"/>
    <n v="170"/>
    <n v="0"/>
    <n v="340"/>
    <n v="340"/>
    <x v="3"/>
    <x v="2"/>
    <x v="3"/>
    <x v="1"/>
    <x v="0"/>
    <x v="4"/>
    <n v="176"/>
    <n v="21"/>
    <x v="633"/>
    <x v="1307"/>
    <x v="3"/>
    <x v="0"/>
    <n v="340"/>
    <x v="0"/>
    <n v="340"/>
    <x v="1294"/>
    <x v="1307"/>
    <x v="0"/>
    <x v="0"/>
    <x v="0"/>
    <s v="Friday"/>
  </r>
  <r>
    <s v="TXN-01359"/>
    <d v="2024-09-02T00:00:00"/>
    <d v="1899-12-30T14:20:00"/>
    <s v="Meera Verma"/>
    <s v="CUST0204"/>
    <x v="0"/>
    <x v="4"/>
    <x v="0"/>
    <s v="Cold"/>
    <s v="Small"/>
    <n v="1"/>
    <n v="150"/>
    <n v="0.1"/>
    <n v="150"/>
    <n v="135"/>
    <x v="0"/>
    <x v="1"/>
    <x v="4"/>
    <x v="7"/>
    <x v="2"/>
    <x v="2"/>
    <n v="343"/>
    <n v="36"/>
    <x v="487"/>
    <x v="1280"/>
    <x v="0"/>
    <x v="0"/>
    <n v="150"/>
    <x v="51"/>
    <n v="135"/>
    <x v="1295"/>
    <x v="1280"/>
    <x v="0"/>
    <x v="0"/>
    <x v="0"/>
    <s v="Monday"/>
  </r>
  <r>
    <s v="TXN-01360"/>
    <d v="2024-08-22T00:00:00"/>
    <d v="1899-12-30T12:10:00"/>
    <s v="Karan Kaur"/>
    <s v="CUST0268"/>
    <x v="2"/>
    <x v="10"/>
    <x v="1"/>
    <s v="Food"/>
    <s v="Small"/>
    <n v="2"/>
    <n v="100"/>
    <n v="0"/>
    <n v="200"/>
    <n v="200"/>
    <x v="1"/>
    <x v="2"/>
    <x v="0"/>
    <x v="5"/>
    <x v="1"/>
    <x v="0"/>
    <n v="471"/>
    <n v="37"/>
    <x v="1206"/>
    <x v="1308"/>
    <x v="3"/>
    <x v="3"/>
    <n v="200"/>
    <x v="0"/>
    <n v="200"/>
    <x v="1296"/>
    <x v="1308"/>
    <x v="0"/>
    <x v="1"/>
    <x v="1"/>
    <s v="Thursday"/>
  </r>
  <r>
    <s v="TXN-01361"/>
    <d v="2024-02-27T00:00:00"/>
    <d v="1899-12-30T19:45:00"/>
    <s v="Ananya Bansal"/>
    <s v="CUST0113"/>
    <x v="0"/>
    <x v="14"/>
    <x v="3"/>
    <s v="Food"/>
    <s v="Medium"/>
    <n v="1"/>
    <n v="185"/>
    <n v="0.1"/>
    <n v="185"/>
    <n v="166.5"/>
    <x v="2"/>
    <x v="0"/>
    <x v="6"/>
    <x v="0"/>
    <x v="1"/>
    <x v="2"/>
    <n v="244"/>
    <n v="34"/>
    <x v="363"/>
    <x v="1309"/>
    <x v="3"/>
    <x v="0"/>
    <n v="185"/>
    <x v="56"/>
    <n v="166.5"/>
    <x v="370"/>
    <x v="1309"/>
    <x v="0"/>
    <x v="3"/>
    <x v="3"/>
    <s v="Tuesday"/>
  </r>
  <r>
    <s v="TXN-01362"/>
    <d v="2024-03-21T00:00:00"/>
    <d v="1899-12-30T16:45:00"/>
    <s v="Riya Sharma"/>
    <s v="CUST0111"/>
    <x v="3"/>
    <x v="10"/>
    <x v="1"/>
    <s v="Food"/>
    <s v="Medium"/>
    <n v="2"/>
    <n v="100"/>
    <n v="0.05"/>
    <n v="200"/>
    <n v="190"/>
    <x v="2"/>
    <x v="2"/>
    <x v="5"/>
    <x v="5"/>
    <x v="1"/>
    <x v="4"/>
    <n v="194"/>
    <n v="39"/>
    <x v="1207"/>
    <x v="1310"/>
    <x v="0"/>
    <x v="0"/>
    <n v="200"/>
    <x v="4"/>
    <n v="190"/>
    <x v="1297"/>
    <x v="1310"/>
    <x v="0"/>
    <x v="5"/>
    <x v="5"/>
    <s v="Thursday"/>
  </r>
  <r>
    <s v="TXN-01363"/>
    <d v="2024-08-29T00:00:00"/>
    <d v="1899-12-30T09:50:00"/>
    <s v="Meera Malhotra"/>
    <s v="CUST0194"/>
    <x v="1"/>
    <x v="7"/>
    <x v="0"/>
    <s v="Hot"/>
    <s v="Medium"/>
    <n v="2"/>
    <n v="145"/>
    <n v="0"/>
    <n v="290"/>
    <n v="290"/>
    <x v="2"/>
    <x v="1"/>
    <x v="4"/>
    <x v="6"/>
    <x v="2"/>
    <x v="4"/>
    <n v="140"/>
    <n v="30"/>
    <x v="1208"/>
    <x v="1311"/>
    <x v="3"/>
    <x v="0"/>
    <n v="290"/>
    <x v="0"/>
    <n v="290"/>
    <x v="268"/>
    <x v="1311"/>
    <x v="0"/>
    <x v="1"/>
    <x v="1"/>
    <s v="Thursday"/>
  </r>
  <r>
    <s v="TXN-01364"/>
    <d v="2024-04-01T00:00:00"/>
    <d v="1899-12-30T21:15:00"/>
    <s v="Neha Singh"/>
    <s v="CUST0379"/>
    <x v="0"/>
    <x v="15"/>
    <x v="4"/>
    <s v="Food"/>
    <s v="Medium"/>
    <n v="1"/>
    <n v="185"/>
    <n v="0"/>
    <n v="185"/>
    <n v="185"/>
    <x v="1"/>
    <x v="0"/>
    <x v="4"/>
    <x v="4"/>
    <x v="0"/>
    <x v="3"/>
    <n v="362"/>
    <n v="34"/>
    <x v="1209"/>
    <x v="1312"/>
    <x v="2"/>
    <x v="2"/>
    <n v="185"/>
    <x v="0"/>
    <n v="185"/>
    <x v="1298"/>
    <x v="1312"/>
    <x v="0"/>
    <x v="8"/>
    <x v="8"/>
    <s v="Monday"/>
  </r>
  <r>
    <s v="TXN-01365"/>
    <d v="2024-10-08T00:00:00"/>
    <d v="1899-12-30T14:00:00"/>
    <s v="Isha Malhotra"/>
    <s v="CUST0109"/>
    <x v="3"/>
    <x v="4"/>
    <x v="0"/>
    <s v="Cold"/>
    <s v="Unknown"/>
    <n v="2"/>
    <n v="150"/>
    <n v="0"/>
    <n v="300"/>
    <n v="300"/>
    <x v="2"/>
    <x v="2"/>
    <x v="3"/>
    <x v="2"/>
    <x v="1"/>
    <x v="2"/>
    <n v="136"/>
    <n v="18"/>
    <x v="1210"/>
    <x v="1313"/>
    <x v="3"/>
    <x v="2"/>
    <n v="300"/>
    <x v="0"/>
    <n v="300"/>
    <x v="1299"/>
    <x v="1313"/>
    <x v="0"/>
    <x v="10"/>
    <x v="10"/>
    <s v="Tuesday"/>
  </r>
  <r>
    <s v="TXN-01366"/>
    <d v="2024-02-15T00:00:00"/>
    <d v="1899-12-30T19:45:00"/>
    <s v="Kavya Bansal"/>
    <s v="Unknown"/>
    <x v="2"/>
    <x v="3"/>
    <x v="0"/>
    <s v="Hot"/>
    <s v="Unknown"/>
    <n v="4"/>
    <n v="120"/>
    <n v="0"/>
    <n v="480"/>
    <n v="480"/>
    <x v="0"/>
    <x v="2"/>
    <x v="6"/>
    <x v="7"/>
    <x v="1"/>
    <x v="4"/>
    <n v="437"/>
    <n v="59"/>
    <x v="1211"/>
    <x v="1314"/>
    <x v="1"/>
    <x v="3"/>
    <n v="480"/>
    <x v="0"/>
    <n v="480"/>
    <x v="1300"/>
    <x v="1314"/>
    <x v="0"/>
    <x v="3"/>
    <x v="3"/>
    <s v="Thursday"/>
  </r>
  <r>
    <s v="TXN-01367"/>
    <d v="2024-08-13T00:00:00"/>
    <d v="1899-12-30T17:30:00"/>
    <s v="Priya Gupta"/>
    <s v="CUST0396"/>
    <x v="0"/>
    <x v="14"/>
    <x v="3"/>
    <s v="Food"/>
    <s v="Large"/>
    <n v="3"/>
    <n v="190"/>
    <n v="0.1"/>
    <n v="570"/>
    <n v="513"/>
    <x v="2"/>
    <x v="1"/>
    <x v="6"/>
    <x v="2"/>
    <x v="1"/>
    <x v="4"/>
    <n v="13"/>
    <n v="36"/>
    <x v="1212"/>
    <x v="1315"/>
    <x v="2"/>
    <x v="0"/>
    <n v="570"/>
    <x v="80"/>
    <n v="513"/>
    <x v="1301"/>
    <x v="1315"/>
    <x v="0"/>
    <x v="1"/>
    <x v="1"/>
    <s v="Tuesday"/>
  </r>
  <r>
    <s v="TXN-01368"/>
    <d v="2024-05-27T00:00:00"/>
    <d v="1899-12-30T15:15:00"/>
    <s v="Aarav Gupta"/>
    <s v="CUST0170"/>
    <x v="1"/>
    <x v="12"/>
    <x v="1"/>
    <s v="Food"/>
    <s v="Small"/>
    <n v="1"/>
    <n v="90"/>
    <n v="0"/>
    <n v="90"/>
    <n v="90"/>
    <x v="2"/>
    <x v="1"/>
    <x v="1"/>
    <x v="2"/>
    <x v="0"/>
    <x v="2"/>
    <n v="352"/>
    <n v="40"/>
    <x v="1213"/>
    <x v="292"/>
    <x v="3"/>
    <x v="3"/>
    <n v="90"/>
    <x v="0"/>
    <n v="90"/>
    <x v="1302"/>
    <x v="292"/>
    <x v="0"/>
    <x v="6"/>
    <x v="6"/>
    <s v="Monday"/>
  </r>
  <r>
    <s v="TXN-01369"/>
    <d v="2024-03-20T00:00:00"/>
    <d v="1899-12-30T08:15:00"/>
    <s v="Unknown"/>
    <s v="CUST0229"/>
    <x v="2"/>
    <x v="9"/>
    <x v="2"/>
    <s v="Hot"/>
    <s v="Small"/>
    <n v="2"/>
    <n v="80"/>
    <n v="0"/>
    <n v="160"/>
    <n v="160"/>
    <x v="0"/>
    <x v="1"/>
    <x v="3"/>
    <x v="2"/>
    <x v="0"/>
    <x v="0"/>
    <n v="336"/>
    <n v="14"/>
    <x v="1161"/>
    <x v="1316"/>
    <x v="3"/>
    <x v="0"/>
    <n v="160"/>
    <x v="0"/>
    <n v="160"/>
    <x v="1246"/>
    <x v="1316"/>
    <x v="0"/>
    <x v="5"/>
    <x v="5"/>
    <s v="Wednesday"/>
  </r>
  <r>
    <s v="TXN-01370"/>
    <d v="2024-06-25T00:00:00"/>
    <d v="1899-12-30T09:15:00"/>
    <s v="Priya Verma"/>
    <s v="CUST0220"/>
    <x v="2"/>
    <x v="11"/>
    <x v="0"/>
    <s v="Hot"/>
    <s v="Small"/>
    <n v="1"/>
    <n v="100"/>
    <n v="0.05"/>
    <n v="100"/>
    <n v="95"/>
    <x v="2"/>
    <x v="0"/>
    <x v="1"/>
    <x v="3"/>
    <x v="0"/>
    <x v="2"/>
    <n v="74"/>
    <n v="11"/>
    <x v="190"/>
    <x v="1317"/>
    <x v="2"/>
    <x v="4"/>
    <n v="100"/>
    <x v="32"/>
    <n v="95"/>
    <x v="224"/>
    <x v="1317"/>
    <x v="0"/>
    <x v="4"/>
    <x v="4"/>
    <s v="Tuesday"/>
  </r>
  <r>
    <s v="TXN-01371"/>
    <d v="2024-12-21T00:00:00"/>
    <d v="1899-12-30T12:30:00"/>
    <s v="Karan Singh"/>
    <s v="CUST0265"/>
    <x v="2"/>
    <x v="15"/>
    <x v="4"/>
    <s v="Food"/>
    <s v="Large"/>
    <n v="3"/>
    <n v="185"/>
    <n v="0.15"/>
    <n v="555"/>
    <n v="471.75"/>
    <x v="2"/>
    <x v="2"/>
    <x v="3"/>
    <x v="6"/>
    <x v="0"/>
    <x v="0"/>
    <n v="151"/>
    <n v="18"/>
    <x v="1214"/>
    <x v="1318"/>
    <x v="3"/>
    <x v="1"/>
    <n v="555"/>
    <x v="117"/>
    <n v="471.75"/>
    <x v="1303"/>
    <x v="1318"/>
    <x v="0"/>
    <x v="9"/>
    <x v="9"/>
    <s v="Saturday"/>
  </r>
  <r>
    <s v="TXN-01372"/>
    <d v="2024-09-30T00:00:00"/>
    <d v="1899-12-30T11:10:00"/>
    <s v="Arjun Kaur"/>
    <s v="CUST0273"/>
    <x v="3"/>
    <x v="2"/>
    <x v="1"/>
    <s v="Food"/>
    <s v="Medium"/>
    <n v="2"/>
    <n v="80"/>
    <n v="0.05"/>
    <n v="160"/>
    <n v="152"/>
    <x v="0"/>
    <x v="3"/>
    <x v="4"/>
    <x v="3"/>
    <x v="0"/>
    <x v="0"/>
    <n v="123"/>
    <n v="19"/>
    <x v="1215"/>
    <x v="1319"/>
    <x v="4"/>
    <x v="3"/>
    <n v="160"/>
    <x v="7"/>
    <n v="152"/>
    <x v="1304"/>
    <x v="1319"/>
    <x v="0"/>
    <x v="0"/>
    <x v="0"/>
    <s v="Monday"/>
  </r>
  <r>
    <s v="TXN-01373"/>
    <d v="2024-01-11T00:00:00"/>
    <d v="1899-12-30T19:00:00"/>
    <s v="Aditya Kapoor"/>
    <s v="CUST0158"/>
    <x v="3"/>
    <x v="8"/>
    <x v="0"/>
    <s v="Cold"/>
    <s v="Large"/>
    <n v="1"/>
    <n v="155"/>
    <n v="0.1"/>
    <n v="155"/>
    <n v="139.5"/>
    <x v="1"/>
    <x v="2"/>
    <x v="0"/>
    <x v="5"/>
    <x v="0"/>
    <x v="0"/>
    <n v="114"/>
    <n v="37"/>
    <x v="1216"/>
    <x v="1320"/>
    <x v="2"/>
    <x v="3"/>
    <n v="155"/>
    <x v="14"/>
    <n v="139.5"/>
    <x v="1305"/>
    <x v="1320"/>
    <x v="0"/>
    <x v="2"/>
    <x v="2"/>
    <s v="Thursday"/>
  </r>
  <r>
    <s v="TXN-01374"/>
    <d v="2024-05-25T00:00:00"/>
    <d v="1899-12-30T18:15:00"/>
    <s v="Vivaan Gupta"/>
    <s v="CUST0163"/>
    <x v="2"/>
    <x v="0"/>
    <x v="0"/>
    <s v="Hot"/>
    <s v="Large"/>
    <n v="1"/>
    <n v="130"/>
    <n v="0"/>
    <n v="130"/>
    <n v="130"/>
    <x v="3"/>
    <x v="1"/>
    <x v="2"/>
    <x v="5"/>
    <x v="1"/>
    <x v="4"/>
    <n v="422"/>
    <n v="28"/>
    <x v="1217"/>
    <x v="1321"/>
    <x v="3"/>
    <x v="2"/>
    <n v="130"/>
    <x v="0"/>
    <n v="130"/>
    <x v="1306"/>
    <x v="1321"/>
    <x v="0"/>
    <x v="6"/>
    <x v="6"/>
    <s v="Saturday"/>
  </r>
  <r>
    <s v="TXN-01375"/>
    <d v="2024-12-21T00:00:00"/>
    <d v="1899-12-30T08:30:00"/>
    <s v="Isha Kaur"/>
    <s v="CUST0359"/>
    <x v="0"/>
    <x v="8"/>
    <x v="0"/>
    <s v="Cold"/>
    <s v="Large"/>
    <n v="4"/>
    <n v="155"/>
    <n v="0"/>
    <n v="620"/>
    <n v="620"/>
    <x v="1"/>
    <x v="3"/>
    <x v="0"/>
    <x v="7"/>
    <x v="0"/>
    <x v="3"/>
    <n v="254"/>
    <n v="50"/>
    <x v="1218"/>
    <x v="1322"/>
    <x v="3"/>
    <x v="1"/>
    <n v="620"/>
    <x v="0"/>
    <n v="620"/>
    <x v="1307"/>
    <x v="1322"/>
    <x v="0"/>
    <x v="9"/>
    <x v="9"/>
    <s v="Saturday"/>
  </r>
  <r>
    <s v="TXN-01376"/>
    <d v="2024-01-01T00:00:00"/>
    <d v="1899-12-30T13:00:00"/>
    <s v="Rohan Mehta"/>
    <s v="CUST0351"/>
    <x v="1"/>
    <x v="13"/>
    <x v="2"/>
    <s v="Cold"/>
    <s v="Small"/>
    <n v="2"/>
    <n v="120"/>
    <n v="0.15"/>
    <n v="240"/>
    <n v="204"/>
    <x v="2"/>
    <x v="1"/>
    <x v="6"/>
    <x v="7"/>
    <x v="0"/>
    <x v="4"/>
    <n v="481"/>
    <n v="57"/>
    <x v="1219"/>
    <x v="1323"/>
    <x v="0"/>
    <x v="1"/>
    <n v="240"/>
    <x v="72"/>
    <n v="204"/>
    <x v="1308"/>
    <x v="1323"/>
    <x v="0"/>
    <x v="2"/>
    <x v="2"/>
    <s v="Monday"/>
  </r>
  <r>
    <s v="TXN-01377"/>
    <d v="2024-05-24T00:00:00"/>
    <d v="1899-12-30T12:15:00"/>
    <s v="Aditya Singh"/>
    <s v="CUST0312"/>
    <x v="2"/>
    <x v="6"/>
    <x v="0"/>
    <s v="Hot"/>
    <s v="Small"/>
    <n v="2"/>
    <n v="105"/>
    <n v="0.1"/>
    <n v="210"/>
    <n v="189"/>
    <x v="0"/>
    <x v="3"/>
    <x v="5"/>
    <x v="5"/>
    <x v="0"/>
    <x v="1"/>
    <n v="361"/>
    <n v="35"/>
    <x v="473"/>
    <x v="1324"/>
    <x v="3"/>
    <x v="0"/>
    <n v="210"/>
    <x v="66"/>
    <n v="189"/>
    <x v="1309"/>
    <x v="1324"/>
    <x v="0"/>
    <x v="6"/>
    <x v="6"/>
    <s v="Friday"/>
  </r>
  <r>
    <s v="TXN-01378"/>
    <d v="2024-02-06T00:00:00"/>
    <d v="1899-12-30T07:30:00"/>
    <s v="Aarav Mehta"/>
    <s v="CUST0281"/>
    <x v="2"/>
    <x v="15"/>
    <x v="4"/>
    <s v="Food"/>
    <s v="Large"/>
    <n v="1"/>
    <n v="190"/>
    <n v="0.05"/>
    <n v="190"/>
    <n v="180.5"/>
    <x v="3"/>
    <x v="1"/>
    <x v="6"/>
    <x v="0"/>
    <x v="2"/>
    <x v="0"/>
    <n v="78"/>
    <n v="12"/>
    <x v="1220"/>
    <x v="10"/>
    <x v="4"/>
    <x v="3"/>
    <n v="190"/>
    <x v="10"/>
    <n v="180.5"/>
    <x v="1310"/>
    <x v="10"/>
    <x v="0"/>
    <x v="3"/>
    <x v="3"/>
    <s v="Tuesday"/>
  </r>
  <r>
    <s v="TXN-01379"/>
    <d v="2024-06-25T00:00:00"/>
    <d v="1899-12-30T10:00:00"/>
    <s v="Vivaan Singh"/>
    <s v="CUST0347"/>
    <x v="0"/>
    <x v="14"/>
    <x v="3"/>
    <s v="Food"/>
    <s v="Unknown"/>
    <n v="1"/>
    <n v="185"/>
    <n v="0"/>
    <n v="185"/>
    <n v="185"/>
    <x v="3"/>
    <x v="1"/>
    <x v="1"/>
    <x v="0"/>
    <x v="0"/>
    <x v="4"/>
    <n v="177"/>
    <n v="13"/>
    <x v="1221"/>
    <x v="1325"/>
    <x v="0"/>
    <x v="1"/>
    <n v="185"/>
    <x v="0"/>
    <n v="185"/>
    <x v="1311"/>
    <x v="1325"/>
    <x v="0"/>
    <x v="4"/>
    <x v="4"/>
    <s v="Tuesday"/>
  </r>
  <r>
    <s v="TXN-01380"/>
    <d v="2024-03-13T00:00:00"/>
    <d v="1899-12-30T12:50:00"/>
    <s v="Rohan Kapoor"/>
    <s v="Unknown"/>
    <x v="1"/>
    <x v="8"/>
    <x v="0"/>
    <s v="Cold"/>
    <s v="Unknown"/>
    <n v="2"/>
    <n v="165"/>
    <n v="0.05"/>
    <n v="330"/>
    <n v="313.5"/>
    <x v="0"/>
    <x v="3"/>
    <x v="2"/>
    <x v="7"/>
    <x v="0"/>
    <x v="2"/>
    <n v="460"/>
    <n v="36"/>
    <x v="1212"/>
    <x v="1326"/>
    <x v="4"/>
    <x v="2"/>
    <n v="330"/>
    <x v="42"/>
    <n v="313.5"/>
    <x v="1312"/>
    <x v="1326"/>
    <x v="0"/>
    <x v="5"/>
    <x v="5"/>
    <s v="Wednesday"/>
  </r>
  <r>
    <s v="TXN-01381"/>
    <d v="2024-04-08T00:00:00"/>
    <d v="1899-12-30T08:45:00"/>
    <s v="Neha Mehta"/>
    <s v="CUST0177"/>
    <x v="3"/>
    <x v="1"/>
    <x v="1"/>
    <s v="Food"/>
    <s v="Medium"/>
    <n v="2"/>
    <n v="120"/>
    <n v="0.15"/>
    <n v="240"/>
    <n v="204"/>
    <x v="0"/>
    <x v="0"/>
    <x v="0"/>
    <x v="5"/>
    <x v="0"/>
    <x v="4"/>
    <n v="374"/>
    <n v="28"/>
    <x v="1222"/>
    <x v="1327"/>
    <x v="3"/>
    <x v="3"/>
    <n v="240"/>
    <x v="72"/>
    <n v="204"/>
    <x v="1313"/>
    <x v="1327"/>
    <x v="0"/>
    <x v="8"/>
    <x v="8"/>
    <s v="Monday"/>
  </r>
  <r>
    <s v="TXN-01382"/>
    <d v="2024-12-26T00:00:00"/>
    <d v="1899-12-30T07:45:00"/>
    <s v="Karan Mehta"/>
    <s v="CUST0198"/>
    <x v="3"/>
    <x v="11"/>
    <x v="0"/>
    <s v="Hot"/>
    <s v="Small"/>
    <n v="1"/>
    <n v="95"/>
    <n v="0.1"/>
    <n v="95"/>
    <n v="85.5"/>
    <x v="1"/>
    <x v="3"/>
    <x v="0"/>
    <x v="6"/>
    <x v="2"/>
    <x v="1"/>
    <n v="385"/>
    <n v="35"/>
    <x v="1223"/>
    <x v="1328"/>
    <x v="3"/>
    <x v="0"/>
    <n v="95"/>
    <x v="10"/>
    <n v="85.5"/>
    <x v="1314"/>
    <x v="1328"/>
    <x v="0"/>
    <x v="9"/>
    <x v="9"/>
    <s v="Thursday"/>
  </r>
  <r>
    <s v="TXN-01383"/>
    <d v="2024-02-25T00:00:00"/>
    <d v="1899-12-30T09:50:00"/>
    <s v="Rohan Bansal"/>
    <s v="CUST0206"/>
    <x v="1"/>
    <x v="12"/>
    <x v="1"/>
    <s v="Food"/>
    <s v="Medium"/>
    <n v="1"/>
    <n v="90"/>
    <n v="0"/>
    <n v="90"/>
    <n v="90"/>
    <x v="2"/>
    <x v="0"/>
    <x v="0"/>
    <x v="2"/>
    <x v="0"/>
    <x v="1"/>
    <n v="104"/>
    <n v="34"/>
    <x v="1224"/>
    <x v="1329"/>
    <x v="0"/>
    <x v="2"/>
    <n v="90"/>
    <x v="0"/>
    <n v="90"/>
    <x v="1315"/>
    <x v="1329"/>
    <x v="0"/>
    <x v="3"/>
    <x v="3"/>
    <s v="Sunday"/>
  </r>
  <r>
    <s v="TXN-01384"/>
    <d v="2024-03-23T00:00:00"/>
    <d v="1899-12-30T11:00:00"/>
    <s v="Priya Gupta"/>
    <s v="Unknown"/>
    <x v="3"/>
    <x v="3"/>
    <x v="0"/>
    <s v="Hot"/>
    <s v="Small"/>
    <n v="2"/>
    <n v="120"/>
    <n v="0.05"/>
    <n v="240"/>
    <n v="228"/>
    <x v="2"/>
    <x v="3"/>
    <x v="0"/>
    <x v="4"/>
    <x v="0"/>
    <x v="2"/>
    <n v="481"/>
    <n v="35"/>
    <x v="1225"/>
    <x v="1330"/>
    <x v="0"/>
    <x v="0"/>
    <n v="240"/>
    <x v="2"/>
    <n v="228"/>
    <x v="1316"/>
    <x v="1330"/>
    <x v="0"/>
    <x v="5"/>
    <x v="5"/>
    <s v="Saturday"/>
  </r>
  <r>
    <s v="TXN-01385"/>
    <d v="2024-11-21T00:00:00"/>
    <d v="1899-12-30T14:10:00"/>
    <s v="Kavya Kaur"/>
    <s v="CUST0140"/>
    <x v="0"/>
    <x v="12"/>
    <x v="1"/>
    <s v="Food"/>
    <s v="Large"/>
    <n v="1"/>
    <n v="100"/>
    <n v="0.1"/>
    <n v="100"/>
    <n v="90"/>
    <x v="0"/>
    <x v="1"/>
    <x v="1"/>
    <x v="2"/>
    <x v="0"/>
    <x v="2"/>
    <n v="194"/>
    <n v="44"/>
    <x v="1226"/>
    <x v="1194"/>
    <x v="3"/>
    <x v="1"/>
    <n v="100"/>
    <x v="4"/>
    <n v="90"/>
    <x v="1317"/>
    <x v="1194"/>
    <x v="0"/>
    <x v="11"/>
    <x v="11"/>
    <s v="Thursday"/>
  </r>
  <r>
    <s v="TXN-01386"/>
    <d v="2024-08-22T00:00:00"/>
    <d v="1899-12-30T07:30:00"/>
    <s v="Sahil Verma"/>
    <s v="CUST0120"/>
    <x v="2"/>
    <x v="5"/>
    <x v="2"/>
    <s v="Hot"/>
    <s v="Small"/>
    <n v="3"/>
    <n v="100"/>
    <n v="0.05"/>
    <n v="300"/>
    <n v="285"/>
    <x v="0"/>
    <x v="3"/>
    <x v="0"/>
    <x v="3"/>
    <x v="0"/>
    <x v="4"/>
    <n v="291"/>
    <n v="25"/>
    <x v="1227"/>
    <x v="1331"/>
    <x v="2"/>
    <x v="1"/>
    <n v="300"/>
    <x v="51"/>
    <n v="285"/>
    <x v="1318"/>
    <x v="1331"/>
    <x v="0"/>
    <x v="1"/>
    <x v="1"/>
    <s v="Thursday"/>
  </r>
  <r>
    <s v="TXN-01387"/>
    <d v="2024-04-13T00:00:00"/>
    <d v="1899-12-30T11:10:00"/>
    <s v="Riya Malhotra"/>
    <s v="CUST0376"/>
    <x v="3"/>
    <x v="6"/>
    <x v="0"/>
    <s v="Hot"/>
    <s v="Unknown"/>
    <n v="1"/>
    <n v="95"/>
    <n v="0"/>
    <n v="95"/>
    <n v="95"/>
    <x v="2"/>
    <x v="3"/>
    <x v="4"/>
    <x v="4"/>
    <x v="0"/>
    <x v="2"/>
    <n v="113"/>
    <n v="44"/>
    <x v="1228"/>
    <x v="1332"/>
    <x v="4"/>
    <x v="4"/>
    <n v="95"/>
    <x v="0"/>
    <n v="95"/>
    <x v="1319"/>
    <x v="1332"/>
    <x v="0"/>
    <x v="8"/>
    <x v="8"/>
    <s v="Saturday"/>
  </r>
  <r>
    <s v="TXN-01388"/>
    <d v="2024-10-12T00:00:00"/>
    <d v="1899-12-30T21:15:00"/>
    <s v="Unknown"/>
    <s v="CUST0321"/>
    <x v="0"/>
    <x v="13"/>
    <x v="2"/>
    <s v="Cold"/>
    <s v="Unknown"/>
    <n v="3"/>
    <n v="105"/>
    <n v="0"/>
    <n v="315"/>
    <n v="315"/>
    <x v="2"/>
    <x v="0"/>
    <x v="4"/>
    <x v="0"/>
    <x v="0"/>
    <x v="2"/>
    <n v="290"/>
    <n v="34"/>
    <x v="1229"/>
    <x v="1333"/>
    <x v="3"/>
    <x v="4"/>
    <n v="315"/>
    <x v="0"/>
    <n v="315"/>
    <x v="1320"/>
    <x v="1333"/>
    <x v="0"/>
    <x v="10"/>
    <x v="10"/>
    <s v="Saturday"/>
  </r>
  <r>
    <s v="TXN-01389"/>
    <d v="2024-09-10T00:00:00"/>
    <d v="1899-12-30T09:30:00"/>
    <s v="Manish Bansal"/>
    <s v="CUST0127"/>
    <x v="3"/>
    <x v="9"/>
    <x v="2"/>
    <s v="Hot"/>
    <s v="Small"/>
    <n v="2"/>
    <n v="90"/>
    <n v="0"/>
    <n v="180"/>
    <n v="180"/>
    <x v="0"/>
    <x v="0"/>
    <x v="2"/>
    <x v="0"/>
    <x v="0"/>
    <x v="4"/>
    <n v="59"/>
    <n v="46"/>
    <x v="518"/>
    <x v="1334"/>
    <x v="0"/>
    <x v="0"/>
    <n v="180"/>
    <x v="0"/>
    <n v="180"/>
    <x v="1321"/>
    <x v="1334"/>
    <x v="0"/>
    <x v="0"/>
    <x v="0"/>
    <s v="Tuesday"/>
  </r>
  <r>
    <s v="TXN-01390"/>
    <d v="2024-09-29T00:00:00"/>
    <d v="1899-12-30T20:15:00"/>
    <s v="Pooja Singh"/>
    <s v="CUST0213"/>
    <x v="0"/>
    <x v="0"/>
    <x v="0"/>
    <s v="Hot"/>
    <s v="Small"/>
    <n v="1"/>
    <n v="130"/>
    <n v="0.1"/>
    <n v="130"/>
    <n v="117"/>
    <x v="2"/>
    <x v="3"/>
    <x v="5"/>
    <x v="3"/>
    <x v="0"/>
    <x v="4"/>
    <n v="73"/>
    <n v="35"/>
    <x v="619"/>
    <x v="1335"/>
    <x v="2"/>
    <x v="1"/>
    <n v="130"/>
    <x v="17"/>
    <n v="117"/>
    <x v="635"/>
    <x v="1335"/>
    <x v="0"/>
    <x v="0"/>
    <x v="0"/>
    <s v="Sunday"/>
  </r>
  <r>
    <s v="TXN-01391"/>
    <d v="2024-07-30T00:00:00"/>
    <d v="1899-12-30T14:50:00"/>
    <s v="Karan Singh"/>
    <s v="CUST0247"/>
    <x v="2"/>
    <x v="10"/>
    <x v="1"/>
    <s v="Food"/>
    <s v="Medium"/>
    <n v="1"/>
    <n v="95"/>
    <n v="0"/>
    <n v="95"/>
    <n v="95"/>
    <x v="0"/>
    <x v="2"/>
    <x v="4"/>
    <x v="6"/>
    <x v="0"/>
    <x v="4"/>
    <n v="445"/>
    <n v="37"/>
    <x v="1230"/>
    <x v="1336"/>
    <x v="0"/>
    <x v="1"/>
    <n v="95"/>
    <x v="0"/>
    <n v="95"/>
    <x v="1322"/>
    <x v="1336"/>
    <x v="0"/>
    <x v="7"/>
    <x v="7"/>
    <s v="Tuesday"/>
  </r>
  <r>
    <s v="TXN-01392"/>
    <d v="2024-11-20T00:00:00"/>
    <d v="1899-12-30T13:50:00"/>
    <s v="Neha Kaur"/>
    <s v="CUST0210"/>
    <x v="3"/>
    <x v="1"/>
    <x v="1"/>
    <s v="Food"/>
    <s v="Unknown"/>
    <n v="1"/>
    <n v="120"/>
    <n v="0"/>
    <n v="120"/>
    <n v="120"/>
    <x v="2"/>
    <x v="2"/>
    <x v="4"/>
    <x v="5"/>
    <x v="0"/>
    <x v="2"/>
    <n v="8"/>
    <n v="50"/>
    <x v="1231"/>
    <x v="561"/>
    <x v="0"/>
    <x v="1"/>
    <n v="120"/>
    <x v="0"/>
    <n v="120"/>
    <x v="1323"/>
    <x v="561"/>
    <x v="0"/>
    <x v="11"/>
    <x v="11"/>
    <s v="Wednesday"/>
  </r>
  <r>
    <s v="TXN-01393"/>
    <d v="2024-08-25T00:00:00"/>
    <d v="1899-12-30T09:30:00"/>
    <s v="Sneha Kapoor"/>
    <s v="CUST0344"/>
    <x v="0"/>
    <x v="1"/>
    <x v="1"/>
    <s v="Food"/>
    <s v="Small"/>
    <n v="4"/>
    <n v="130"/>
    <n v="0"/>
    <n v="520"/>
    <n v="520"/>
    <x v="0"/>
    <x v="3"/>
    <x v="4"/>
    <x v="6"/>
    <x v="0"/>
    <x v="2"/>
    <n v="59"/>
    <n v="42"/>
    <x v="1232"/>
    <x v="1337"/>
    <x v="0"/>
    <x v="4"/>
    <n v="520"/>
    <x v="0"/>
    <n v="520"/>
    <x v="1324"/>
    <x v="1337"/>
    <x v="0"/>
    <x v="1"/>
    <x v="1"/>
    <s v="Sunday"/>
  </r>
  <r>
    <s v="TXN-01394"/>
    <d v="2024-11-11T00:00:00"/>
    <d v="1899-12-30T08:45:00"/>
    <s v="Manish Kapoor"/>
    <s v="CUST0139"/>
    <x v="3"/>
    <x v="5"/>
    <x v="2"/>
    <s v="Hot"/>
    <s v="Large"/>
    <n v="1"/>
    <n v="95"/>
    <n v="0.1"/>
    <n v="95"/>
    <n v="85.5"/>
    <x v="2"/>
    <x v="3"/>
    <x v="0"/>
    <x v="1"/>
    <x v="1"/>
    <x v="0"/>
    <n v="486"/>
    <n v="28"/>
    <x v="1233"/>
    <x v="1338"/>
    <x v="2"/>
    <x v="0"/>
    <n v="95"/>
    <x v="10"/>
    <n v="85.5"/>
    <x v="1325"/>
    <x v="1338"/>
    <x v="0"/>
    <x v="11"/>
    <x v="11"/>
    <s v="Monday"/>
  </r>
  <r>
    <s v="TXN-01395"/>
    <d v="2024-08-04T00:00:00"/>
    <d v="1899-12-30T18:10:00"/>
    <s v="Priya Sharma"/>
    <s v="CUST0364"/>
    <x v="2"/>
    <x v="4"/>
    <x v="0"/>
    <s v="Cold"/>
    <s v="Medium"/>
    <n v="1"/>
    <n v="145"/>
    <n v="0"/>
    <n v="145"/>
    <n v="145"/>
    <x v="0"/>
    <x v="0"/>
    <x v="4"/>
    <x v="1"/>
    <x v="0"/>
    <x v="3"/>
    <n v="244"/>
    <n v="30"/>
    <x v="1234"/>
    <x v="1339"/>
    <x v="3"/>
    <x v="0"/>
    <n v="145"/>
    <x v="0"/>
    <n v="145"/>
    <x v="1326"/>
    <x v="1339"/>
    <x v="0"/>
    <x v="1"/>
    <x v="1"/>
    <s v="Sunday"/>
  </r>
  <r>
    <s v="TXN-01396"/>
    <d v="2024-05-16T00:00:00"/>
    <d v="1899-12-30T08:50:00"/>
    <s v="Pooja Sharma"/>
    <s v="CUST0122"/>
    <x v="2"/>
    <x v="15"/>
    <x v="4"/>
    <s v="Food"/>
    <s v="Large"/>
    <n v="1"/>
    <n v="185"/>
    <n v="0.05"/>
    <n v="185"/>
    <n v="175.75"/>
    <x v="2"/>
    <x v="0"/>
    <x v="0"/>
    <x v="6"/>
    <x v="0"/>
    <x v="2"/>
    <n v="260"/>
    <n v="47"/>
    <x v="1235"/>
    <x v="344"/>
    <x v="1"/>
    <x v="0"/>
    <n v="185"/>
    <x v="73"/>
    <n v="175.75"/>
    <x v="1327"/>
    <x v="344"/>
    <x v="0"/>
    <x v="6"/>
    <x v="6"/>
    <s v="Thursday"/>
  </r>
  <r>
    <s v="TXN-01397"/>
    <d v="2024-05-15T00:00:00"/>
    <d v="1899-12-30T09:50:00"/>
    <s v="Aditya Kaur"/>
    <s v="CUST0279"/>
    <x v="0"/>
    <x v="8"/>
    <x v="0"/>
    <s v="Cold"/>
    <s v="Unknown"/>
    <n v="1"/>
    <n v="160"/>
    <n v="0"/>
    <n v="160"/>
    <n v="160"/>
    <x v="1"/>
    <x v="2"/>
    <x v="1"/>
    <x v="1"/>
    <x v="0"/>
    <x v="4"/>
    <n v="193"/>
    <n v="37"/>
    <x v="682"/>
    <x v="1340"/>
    <x v="0"/>
    <x v="4"/>
    <n v="160"/>
    <x v="0"/>
    <n v="160"/>
    <x v="707"/>
    <x v="1340"/>
    <x v="0"/>
    <x v="6"/>
    <x v="6"/>
    <s v="Wednesday"/>
  </r>
  <r>
    <s v="TXN-01398"/>
    <d v="2024-10-21T00:00:00"/>
    <d v="1899-12-30T07:50:00"/>
    <s v="Manish Kaur"/>
    <s v="CUST0388"/>
    <x v="3"/>
    <x v="8"/>
    <x v="0"/>
    <s v="Cold"/>
    <s v="Small"/>
    <n v="2"/>
    <n v="155"/>
    <n v="0"/>
    <n v="310"/>
    <n v="310"/>
    <x v="1"/>
    <x v="1"/>
    <x v="5"/>
    <x v="7"/>
    <x v="1"/>
    <x v="1"/>
    <n v="444"/>
    <n v="10"/>
    <x v="1236"/>
    <x v="1341"/>
    <x v="1"/>
    <x v="0"/>
    <n v="310"/>
    <x v="0"/>
    <n v="310"/>
    <x v="1328"/>
    <x v="1341"/>
    <x v="0"/>
    <x v="10"/>
    <x v="10"/>
    <s v="Monday"/>
  </r>
  <r>
    <s v="TXN-01399"/>
    <d v="2024-03-21T00:00:00"/>
    <d v="1899-12-30T09:45:00"/>
    <s v="Unknown"/>
    <s v="Unknown"/>
    <x v="3"/>
    <x v="9"/>
    <x v="2"/>
    <s v="Hot"/>
    <s v="Small"/>
    <n v="2"/>
    <n v="75"/>
    <n v="0"/>
    <n v="150"/>
    <n v="150"/>
    <x v="2"/>
    <x v="0"/>
    <x v="0"/>
    <x v="6"/>
    <x v="0"/>
    <x v="2"/>
    <n v="481"/>
    <n v="33"/>
    <x v="1237"/>
    <x v="1342"/>
    <x v="4"/>
    <x v="1"/>
    <n v="150"/>
    <x v="0"/>
    <n v="150"/>
    <x v="1329"/>
    <x v="1342"/>
    <x v="0"/>
    <x v="5"/>
    <x v="5"/>
    <s v="Thursday"/>
  </r>
  <r>
    <s v="TXN-01400"/>
    <d v="2024-02-27T00:00:00"/>
    <d v="1899-12-30T10:00:00"/>
    <s v="Aditya Gupta"/>
    <s v="CUST0254"/>
    <x v="2"/>
    <x v="10"/>
    <x v="1"/>
    <s v="Food"/>
    <s v="Small"/>
    <n v="4"/>
    <n v="105"/>
    <n v="0"/>
    <n v="420"/>
    <n v="420"/>
    <x v="0"/>
    <x v="3"/>
    <x v="0"/>
    <x v="7"/>
    <x v="0"/>
    <x v="0"/>
    <n v="93"/>
    <n v="26"/>
    <x v="1238"/>
    <x v="1343"/>
    <x v="3"/>
    <x v="3"/>
    <n v="420"/>
    <x v="0"/>
    <n v="420"/>
    <x v="1330"/>
    <x v="1343"/>
    <x v="0"/>
    <x v="3"/>
    <x v="3"/>
    <s v="Tuesday"/>
  </r>
  <r>
    <s v="TXN-01401"/>
    <d v="2024-04-19T00:00:00"/>
    <d v="1899-12-30T14:00:00"/>
    <s v="Sneha Sharma"/>
    <s v="CUST0102"/>
    <x v="3"/>
    <x v="15"/>
    <x v="4"/>
    <s v="Food"/>
    <s v="Small"/>
    <n v="1"/>
    <n v="200"/>
    <n v="0.1"/>
    <n v="200"/>
    <n v="180"/>
    <x v="2"/>
    <x v="0"/>
    <x v="1"/>
    <x v="3"/>
    <x v="0"/>
    <x v="4"/>
    <n v="418"/>
    <n v="34"/>
    <x v="1239"/>
    <x v="1344"/>
    <x v="0"/>
    <x v="0"/>
    <n v="200"/>
    <x v="5"/>
    <n v="180"/>
    <x v="1331"/>
    <x v="1344"/>
    <x v="0"/>
    <x v="8"/>
    <x v="8"/>
    <s v="Friday"/>
  </r>
  <r>
    <s v="TXN-01402"/>
    <d v="2024-05-06T00:00:00"/>
    <d v="1899-12-30T17:10:00"/>
    <s v="Nikhil Kaur"/>
    <s v="CUST0229"/>
    <x v="0"/>
    <x v="12"/>
    <x v="1"/>
    <s v="Food"/>
    <s v="Small"/>
    <n v="2"/>
    <n v="90"/>
    <n v="0"/>
    <n v="180"/>
    <n v="180"/>
    <x v="0"/>
    <x v="0"/>
    <x v="2"/>
    <x v="3"/>
    <x v="0"/>
    <x v="4"/>
    <n v="350"/>
    <n v="34"/>
    <x v="1240"/>
    <x v="1345"/>
    <x v="2"/>
    <x v="3"/>
    <n v="180"/>
    <x v="0"/>
    <n v="180"/>
    <x v="339"/>
    <x v="1345"/>
    <x v="0"/>
    <x v="6"/>
    <x v="6"/>
    <s v="Monday"/>
  </r>
  <r>
    <s v="TXN-01403"/>
    <d v="2024-04-19T00:00:00"/>
    <d v="1899-12-30T20:00:00"/>
    <s v="Vivaan Sharma"/>
    <s v="CUST0109"/>
    <x v="2"/>
    <x v="1"/>
    <x v="1"/>
    <s v="Food"/>
    <s v="Unknown"/>
    <n v="5"/>
    <n v="120"/>
    <n v="0.15"/>
    <n v="600"/>
    <n v="510"/>
    <x v="1"/>
    <x v="3"/>
    <x v="3"/>
    <x v="1"/>
    <x v="0"/>
    <x v="4"/>
    <n v="492"/>
    <n v="35"/>
    <x v="1241"/>
    <x v="1346"/>
    <x v="4"/>
    <x v="0"/>
    <n v="600"/>
    <x v="118"/>
    <n v="510"/>
    <x v="1332"/>
    <x v="1346"/>
    <x v="0"/>
    <x v="8"/>
    <x v="8"/>
    <s v="Friday"/>
  </r>
  <r>
    <s v="TXN-01404"/>
    <d v="2024-03-26T00:00:00"/>
    <d v="1899-12-30T18:50:00"/>
    <s v="Rohan Bansal"/>
    <s v="CUST0366"/>
    <x v="2"/>
    <x v="5"/>
    <x v="2"/>
    <s v="Hot"/>
    <s v="Large"/>
    <n v="5"/>
    <n v="100"/>
    <n v="0.05"/>
    <n v="500"/>
    <n v="475"/>
    <x v="2"/>
    <x v="2"/>
    <x v="6"/>
    <x v="4"/>
    <x v="2"/>
    <x v="2"/>
    <n v="247"/>
    <n v="17"/>
    <x v="1242"/>
    <x v="1347"/>
    <x v="3"/>
    <x v="0"/>
    <n v="500"/>
    <x v="37"/>
    <n v="475"/>
    <x v="1333"/>
    <x v="1347"/>
    <x v="0"/>
    <x v="5"/>
    <x v="5"/>
    <s v="Tuesday"/>
  </r>
  <r>
    <s v="TXN-01405"/>
    <d v="2024-06-04T00:00:00"/>
    <d v="1899-12-30T07:00:00"/>
    <s v="Sahil Malhotra"/>
    <s v="CUST0129"/>
    <x v="2"/>
    <x v="3"/>
    <x v="0"/>
    <s v="Hot"/>
    <s v="Small"/>
    <n v="1"/>
    <n v="115"/>
    <n v="0.05"/>
    <n v="115"/>
    <n v="109.25"/>
    <x v="0"/>
    <x v="1"/>
    <x v="4"/>
    <x v="3"/>
    <x v="1"/>
    <x v="4"/>
    <n v="483"/>
    <n v="26"/>
    <x v="1243"/>
    <x v="1348"/>
    <x v="4"/>
    <x v="4"/>
    <n v="115"/>
    <x v="1"/>
    <n v="109.25"/>
    <x v="1334"/>
    <x v="1348"/>
    <x v="0"/>
    <x v="4"/>
    <x v="4"/>
    <s v="Tuesday"/>
  </r>
  <r>
    <s v="TXN-01406"/>
    <d v="2024-04-11T00:00:00"/>
    <d v="1899-12-30T12:20:00"/>
    <s v="Priya Sharma"/>
    <s v="Unknown"/>
    <x v="3"/>
    <x v="10"/>
    <x v="1"/>
    <s v="Food"/>
    <s v="Small"/>
    <n v="2"/>
    <n v="105"/>
    <n v="0"/>
    <n v="210"/>
    <n v="210"/>
    <x v="0"/>
    <x v="0"/>
    <x v="1"/>
    <x v="5"/>
    <x v="0"/>
    <x v="3"/>
    <n v="437"/>
    <n v="40"/>
    <x v="1244"/>
    <x v="1349"/>
    <x v="0"/>
    <x v="3"/>
    <n v="210"/>
    <x v="0"/>
    <n v="210"/>
    <x v="1335"/>
    <x v="1349"/>
    <x v="0"/>
    <x v="8"/>
    <x v="8"/>
    <s v="Thursday"/>
  </r>
  <r>
    <s v="TXN-01407"/>
    <d v="2024-01-01T00:00:00"/>
    <d v="1899-12-30T21:45:00"/>
    <s v="Ananya Kapoor"/>
    <s v="CUST0367"/>
    <x v="3"/>
    <x v="9"/>
    <x v="2"/>
    <s v="Hot"/>
    <s v="Large"/>
    <n v="1"/>
    <n v="80"/>
    <n v="0"/>
    <n v="80"/>
    <n v="80"/>
    <x v="1"/>
    <x v="0"/>
    <x v="2"/>
    <x v="4"/>
    <x v="0"/>
    <x v="0"/>
    <n v="47"/>
    <n v="12"/>
    <x v="1245"/>
    <x v="1177"/>
    <x v="0"/>
    <x v="2"/>
    <n v="80"/>
    <x v="0"/>
    <n v="80"/>
    <x v="1336"/>
    <x v="1177"/>
    <x v="0"/>
    <x v="2"/>
    <x v="2"/>
    <s v="Monday"/>
  </r>
  <r>
    <s v="TXN-01408"/>
    <d v="2024-01-17T00:00:00"/>
    <d v="1899-12-30T21:30:00"/>
    <s v="Priya Kapoor"/>
    <s v="Unknown"/>
    <x v="1"/>
    <x v="4"/>
    <x v="0"/>
    <s v="Cold"/>
    <s v="Large"/>
    <n v="1"/>
    <n v="145"/>
    <n v="0.1"/>
    <n v="145"/>
    <n v="130.5"/>
    <x v="3"/>
    <x v="1"/>
    <x v="1"/>
    <x v="0"/>
    <x v="1"/>
    <x v="4"/>
    <n v="120"/>
    <n v="38"/>
    <x v="1246"/>
    <x v="1350"/>
    <x v="0"/>
    <x v="0"/>
    <n v="145"/>
    <x v="47"/>
    <n v="130.5"/>
    <x v="1337"/>
    <x v="1350"/>
    <x v="0"/>
    <x v="2"/>
    <x v="2"/>
    <s v="Wednesday"/>
  </r>
  <r>
    <s v="TXN-01409"/>
    <d v="2024-06-03T00:00:00"/>
    <d v="1899-12-30T20:00:00"/>
    <s v="Vivaan Verma"/>
    <s v="CUST0261"/>
    <x v="3"/>
    <x v="11"/>
    <x v="0"/>
    <s v="Hot"/>
    <s v="Small"/>
    <n v="3"/>
    <n v="90"/>
    <n v="0.15"/>
    <n v="270"/>
    <n v="229.5"/>
    <x v="2"/>
    <x v="3"/>
    <x v="3"/>
    <x v="2"/>
    <x v="0"/>
    <x v="2"/>
    <n v="369"/>
    <n v="35"/>
    <x v="1247"/>
    <x v="1351"/>
    <x v="2"/>
    <x v="4"/>
    <n v="270"/>
    <x v="105"/>
    <n v="229.5"/>
    <x v="1338"/>
    <x v="1351"/>
    <x v="0"/>
    <x v="4"/>
    <x v="4"/>
    <s v="Monday"/>
  </r>
  <r>
    <s v="TXN-01410"/>
    <d v="2024-10-07T00:00:00"/>
    <d v="1899-12-30T12:45:00"/>
    <s v="Riya Malhotra"/>
    <s v="Unknown"/>
    <x v="3"/>
    <x v="0"/>
    <x v="0"/>
    <s v="Hot"/>
    <s v="Unknown"/>
    <n v="1"/>
    <n v="140"/>
    <n v="0"/>
    <n v="140"/>
    <n v="140"/>
    <x v="0"/>
    <x v="2"/>
    <x v="3"/>
    <x v="4"/>
    <x v="0"/>
    <x v="4"/>
    <n v="499"/>
    <n v="49"/>
    <x v="1248"/>
    <x v="1352"/>
    <x v="0"/>
    <x v="3"/>
    <n v="140"/>
    <x v="0"/>
    <n v="140"/>
    <x v="1339"/>
    <x v="1352"/>
    <x v="0"/>
    <x v="10"/>
    <x v="10"/>
    <s v="Monday"/>
  </r>
  <r>
    <s v="TXN-01411"/>
    <d v="2024-03-25T00:00:00"/>
    <d v="1899-12-30T19:45:00"/>
    <s v="Kavya Verma"/>
    <s v="CUST0236"/>
    <x v="2"/>
    <x v="7"/>
    <x v="0"/>
    <s v="Hot"/>
    <s v="Small"/>
    <n v="2"/>
    <n v="145"/>
    <n v="0.05"/>
    <n v="290"/>
    <n v="275.5"/>
    <x v="2"/>
    <x v="2"/>
    <x v="0"/>
    <x v="2"/>
    <x v="2"/>
    <x v="4"/>
    <n v="21"/>
    <n v="24"/>
    <x v="1249"/>
    <x v="1353"/>
    <x v="3"/>
    <x v="2"/>
    <n v="290"/>
    <x v="47"/>
    <n v="275.5"/>
    <x v="1340"/>
    <x v="1353"/>
    <x v="0"/>
    <x v="5"/>
    <x v="5"/>
    <s v="Monday"/>
  </r>
  <r>
    <s v="TXN-01412"/>
    <d v="2024-10-01T00:00:00"/>
    <d v="1899-12-30T15:00:00"/>
    <s v="Karan Kapoor"/>
    <s v="CUST0198"/>
    <x v="2"/>
    <x v="13"/>
    <x v="2"/>
    <s v="Cold"/>
    <s v="Small"/>
    <n v="1"/>
    <n v="120"/>
    <n v="0"/>
    <n v="120"/>
    <n v="120"/>
    <x v="0"/>
    <x v="0"/>
    <x v="6"/>
    <x v="2"/>
    <x v="1"/>
    <x v="3"/>
    <n v="281"/>
    <n v="22"/>
    <x v="1250"/>
    <x v="1354"/>
    <x v="1"/>
    <x v="0"/>
    <n v="120"/>
    <x v="0"/>
    <n v="120"/>
    <x v="1341"/>
    <x v="1354"/>
    <x v="0"/>
    <x v="10"/>
    <x v="10"/>
    <s v="Tuesday"/>
  </r>
  <r>
    <s v="TXN-01413"/>
    <d v="2024-10-13T00:00:00"/>
    <d v="1899-12-30T13:50:00"/>
    <s v="Pooja Malhotra"/>
    <s v="CUST0354"/>
    <x v="3"/>
    <x v="0"/>
    <x v="0"/>
    <s v="Hot"/>
    <s v="Large"/>
    <n v="4"/>
    <n v="135"/>
    <n v="0"/>
    <n v="540"/>
    <n v="540"/>
    <x v="1"/>
    <x v="0"/>
    <x v="3"/>
    <x v="2"/>
    <x v="1"/>
    <x v="1"/>
    <n v="17"/>
    <n v="34"/>
    <x v="1251"/>
    <x v="1355"/>
    <x v="2"/>
    <x v="0"/>
    <n v="540"/>
    <x v="0"/>
    <n v="540"/>
    <x v="1342"/>
    <x v="1355"/>
    <x v="0"/>
    <x v="10"/>
    <x v="10"/>
    <s v="Sunday"/>
  </r>
  <r>
    <s v="TXN-01414"/>
    <d v="2024-07-19T00:00:00"/>
    <d v="1899-12-30T13:15:00"/>
    <s v="Neha Singh"/>
    <s v="CUST0184"/>
    <x v="2"/>
    <x v="13"/>
    <x v="2"/>
    <s v="Cold"/>
    <s v="Unknown"/>
    <n v="1"/>
    <n v="105"/>
    <n v="0.15"/>
    <n v="105"/>
    <n v="89.25"/>
    <x v="2"/>
    <x v="0"/>
    <x v="0"/>
    <x v="1"/>
    <x v="0"/>
    <x v="3"/>
    <n v="260"/>
    <n v="13"/>
    <x v="1252"/>
    <x v="1356"/>
    <x v="1"/>
    <x v="0"/>
    <n v="105"/>
    <x v="24"/>
    <n v="89.25"/>
    <x v="1343"/>
    <x v="1356"/>
    <x v="0"/>
    <x v="7"/>
    <x v="7"/>
    <s v="Friday"/>
  </r>
  <r>
    <s v="TXN-01415"/>
    <d v="2024-01-08T00:00:00"/>
    <d v="1899-12-30T19:15:00"/>
    <s v="Sahil Kapoor"/>
    <s v="CUST0133"/>
    <x v="0"/>
    <x v="9"/>
    <x v="2"/>
    <s v="Hot"/>
    <s v="Large"/>
    <n v="2"/>
    <n v="85"/>
    <n v="0.15"/>
    <n v="170"/>
    <n v="144.5"/>
    <x v="2"/>
    <x v="3"/>
    <x v="0"/>
    <x v="0"/>
    <x v="0"/>
    <x v="2"/>
    <n v="240"/>
    <n v="35"/>
    <x v="1253"/>
    <x v="1357"/>
    <x v="3"/>
    <x v="4"/>
    <n v="170"/>
    <x v="38"/>
    <n v="144.5"/>
    <x v="1344"/>
    <x v="1357"/>
    <x v="0"/>
    <x v="2"/>
    <x v="2"/>
    <s v="Monday"/>
  </r>
  <r>
    <s v="TXN-01416"/>
    <d v="2024-08-05T00:00:00"/>
    <d v="1899-12-30T12:15:00"/>
    <s v="Karan Bansal"/>
    <s v="CUST0300"/>
    <x v="3"/>
    <x v="4"/>
    <x v="0"/>
    <s v="Cold"/>
    <s v="Small"/>
    <n v="4"/>
    <n v="150"/>
    <n v="0.05"/>
    <n v="600"/>
    <n v="570"/>
    <x v="2"/>
    <x v="3"/>
    <x v="6"/>
    <x v="1"/>
    <x v="1"/>
    <x v="2"/>
    <n v="244"/>
    <n v="14"/>
    <x v="1254"/>
    <x v="1358"/>
    <x v="4"/>
    <x v="4"/>
    <n v="600"/>
    <x v="89"/>
    <n v="570"/>
    <x v="1345"/>
    <x v="1358"/>
    <x v="0"/>
    <x v="1"/>
    <x v="1"/>
    <s v="Monday"/>
  </r>
  <r>
    <s v="TXN-01417"/>
    <d v="2024-09-29T00:00:00"/>
    <d v="1899-12-30T13:30:00"/>
    <s v="Neha Chopra"/>
    <s v="CUST0151"/>
    <x v="3"/>
    <x v="12"/>
    <x v="1"/>
    <s v="Food"/>
    <s v="Large"/>
    <n v="2"/>
    <n v="90"/>
    <n v="0.1"/>
    <n v="180"/>
    <n v="162"/>
    <x v="2"/>
    <x v="3"/>
    <x v="5"/>
    <x v="6"/>
    <x v="0"/>
    <x v="2"/>
    <n v="158"/>
    <n v="12"/>
    <x v="952"/>
    <x v="272"/>
    <x v="0"/>
    <x v="0"/>
    <n v="180"/>
    <x v="23"/>
    <n v="162"/>
    <x v="1346"/>
    <x v="272"/>
    <x v="0"/>
    <x v="0"/>
    <x v="0"/>
    <s v="Sunday"/>
  </r>
  <r>
    <s v="TXN-01418"/>
    <d v="2024-04-20T00:00:00"/>
    <d v="1899-12-30T12:20:00"/>
    <s v="Sneha Chopra"/>
    <s v="CUST0107"/>
    <x v="3"/>
    <x v="8"/>
    <x v="0"/>
    <s v="Cold"/>
    <s v="Medium"/>
    <n v="1"/>
    <n v="160"/>
    <n v="0.15"/>
    <n v="160"/>
    <n v="136"/>
    <x v="0"/>
    <x v="3"/>
    <x v="5"/>
    <x v="6"/>
    <x v="1"/>
    <x v="1"/>
    <n v="289"/>
    <n v="55"/>
    <x v="1255"/>
    <x v="1359"/>
    <x v="0"/>
    <x v="0"/>
    <n v="160"/>
    <x v="27"/>
    <n v="136"/>
    <x v="1347"/>
    <x v="1359"/>
    <x v="0"/>
    <x v="8"/>
    <x v="8"/>
    <s v="Saturday"/>
  </r>
  <r>
    <s v="TXN-01419"/>
    <d v="2024-08-11T00:00:00"/>
    <d v="1899-12-30T20:00:00"/>
    <s v="Riya Bansal"/>
    <s v="CUST0278"/>
    <x v="3"/>
    <x v="2"/>
    <x v="1"/>
    <s v="Food"/>
    <s v="Small"/>
    <n v="3"/>
    <n v="75"/>
    <n v="0"/>
    <n v="225"/>
    <n v="225"/>
    <x v="3"/>
    <x v="2"/>
    <x v="0"/>
    <x v="2"/>
    <x v="2"/>
    <x v="4"/>
    <n v="90"/>
    <n v="46"/>
    <x v="1256"/>
    <x v="1360"/>
    <x v="0"/>
    <x v="0"/>
    <n v="225"/>
    <x v="0"/>
    <n v="225"/>
    <x v="1348"/>
    <x v="1360"/>
    <x v="0"/>
    <x v="1"/>
    <x v="1"/>
    <s v="Sunday"/>
  </r>
  <r>
    <s v="TXN-01420"/>
    <d v="2024-06-25T00:00:00"/>
    <d v="1899-12-30T08:45:00"/>
    <s v="Aarav Malhotra"/>
    <s v="CUST0202"/>
    <x v="1"/>
    <x v="12"/>
    <x v="1"/>
    <s v="Food"/>
    <s v="Medium"/>
    <n v="1"/>
    <n v="90"/>
    <n v="0"/>
    <n v="90"/>
    <n v="90"/>
    <x v="0"/>
    <x v="0"/>
    <x v="6"/>
    <x v="6"/>
    <x v="0"/>
    <x v="2"/>
    <n v="465"/>
    <n v="10"/>
    <x v="1257"/>
    <x v="1063"/>
    <x v="0"/>
    <x v="2"/>
    <n v="90"/>
    <x v="0"/>
    <n v="90"/>
    <x v="1349"/>
    <x v="1063"/>
    <x v="0"/>
    <x v="4"/>
    <x v="4"/>
    <s v="Tuesday"/>
  </r>
  <r>
    <s v="TXN-01421"/>
    <d v="2024-08-30T00:00:00"/>
    <d v="1899-12-30T15:10:00"/>
    <s v="Karan Chopra"/>
    <s v="CUST0274"/>
    <x v="2"/>
    <x v="0"/>
    <x v="0"/>
    <s v="Hot"/>
    <s v="Unknown"/>
    <n v="3"/>
    <n v="125"/>
    <n v="0"/>
    <n v="375"/>
    <n v="375"/>
    <x v="0"/>
    <x v="0"/>
    <x v="1"/>
    <x v="6"/>
    <x v="0"/>
    <x v="0"/>
    <n v="92"/>
    <n v="34"/>
    <x v="1258"/>
    <x v="1361"/>
    <x v="3"/>
    <x v="4"/>
    <n v="375"/>
    <x v="0"/>
    <n v="375"/>
    <x v="1350"/>
    <x v="1361"/>
    <x v="0"/>
    <x v="1"/>
    <x v="1"/>
    <s v="Friday"/>
  </r>
  <r>
    <s v="TXN-01422"/>
    <d v="2024-11-03T00:00:00"/>
    <d v="1899-12-30T11:00:00"/>
    <s v="Rohan Mehta"/>
    <s v="CUST0276"/>
    <x v="3"/>
    <x v="8"/>
    <x v="0"/>
    <s v="Cold"/>
    <s v="Small"/>
    <n v="1"/>
    <n v="160"/>
    <n v="0.1"/>
    <n v="160"/>
    <n v="144"/>
    <x v="2"/>
    <x v="0"/>
    <x v="0"/>
    <x v="4"/>
    <x v="0"/>
    <x v="1"/>
    <n v="256"/>
    <n v="33"/>
    <x v="1259"/>
    <x v="1362"/>
    <x v="3"/>
    <x v="2"/>
    <n v="160"/>
    <x v="3"/>
    <n v="144"/>
    <x v="1351"/>
    <x v="1362"/>
    <x v="0"/>
    <x v="11"/>
    <x v="11"/>
    <s v="Sunday"/>
  </r>
  <r>
    <s v="TXN-01423"/>
    <d v="2024-09-24T00:00:00"/>
    <d v="1899-12-30T18:00:00"/>
    <s v="Vivaan Kaur"/>
    <s v="CUST0276"/>
    <x v="0"/>
    <x v="5"/>
    <x v="2"/>
    <s v="Hot"/>
    <s v="Medium"/>
    <n v="1"/>
    <n v="90"/>
    <n v="0.05"/>
    <n v="90"/>
    <n v="85.5"/>
    <x v="2"/>
    <x v="1"/>
    <x v="6"/>
    <x v="1"/>
    <x v="0"/>
    <x v="1"/>
    <n v="325"/>
    <n v="28"/>
    <x v="798"/>
    <x v="842"/>
    <x v="1"/>
    <x v="0"/>
    <n v="90"/>
    <x v="31"/>
    <n v="85.5"/>
    <x v="834"/>
    <x v="842"/>
    <x v="0"/>
    <x v="0"/>
    <x v="0"/>
    <s v="Tuesday"/>
  </r>
  <r>
    <s v="TXN-01424"/>
    <d v="2024-06-25T00:00:00"/>
    <d v="1899-12-30T09:30:00"/>
    <s v="Kavya Kapoor"/>
    <s v="CUST0166"/>
    <x v="0"/>
    <x v="1"/>
    <x v="1"/>
    <s v="Food"/>
    <s v="Large"/>
    <n v="2"/>
    <n v="115"/>
    <n v="0.05"/>
    <n v="230"/>
    <n v="218.5"/>
    <x v="0"/>
    <x v="1"/>
    <x v="1"/>
    <x v="2"/>
    <x v="0"/>
    <x v="3"/>
    <n v="244"/>
    <n v="55"/>
    <x v="1260"/>
    <x v="128"/>
    <x v="0"/>
    <x v="1"/>
    <n v="230"/>
    <x v="19"/>
    <n v="218.5"/>
    <x v="1352"/>
    <x v="128"/>
    <x v="0"/>
    <x v="4"/>
    <x v="4"/>
    <s v="Tuesday"/>
  </r>
  <r>
    <s v="TXN-01425"/>
    <d v="2024-09-06T00:00:00"/>
    <d v="1899-12-30T18:15:00"/>
    <s v="Vivaan Gupta"/>
    <s v="CUST0173"/>
    <x v="3"/>
    <x v="2"/>
    <x v="1"/>
    <s v="Food"/>
    <s v="Unknown"/>
    <n v="5"/>
    <n v="70"/>
    <n v="0"/>
    <n v="350"/>
    <n v="350"/>
    <x v="0"/>
    <x v="0"/>
    <x v="4"/>
    <x v="7"/>
    <x v="0"/>
    <x v="4"/>
    <n v="474"/>
    <n v="17"/>
    <x v="1261"/>
    <x v="1363"/>
    <x v="5"/>
    <x v="4"/>
    <n v="350"/>
    <x v="0"/>
    <n v="350"/>
    <x v="1353"/>
    <x v="1363"/>
    <x v="0"/>
    <x v="0"/>
    <x v="0"/>
    <s v="Friday"/>
  </r>
  <r>
    <s v="TXN-01426"/>
    <d v="2024-11-04T00:00:00"/>
    <d v="1899-12-30T16:15:00"/>
    <s v="Simran Mehta"/>
    <s v="CUST0311"/>
    <x v="3"/>
    <x v="9"/>
    <x v="2"/>
    <s v="Hot"/>
    <s v="Large"/>
    <n v="2"/>
    <n v="80"/>
    <n v="0.1"/>
    <n v="160"/>
    <n v="144"/>
    <x v="0"/>
    <x v="0"/>
    <x v="5"/>
    <x v="2"/>
    <x v="0"/>
    <x v="0"/>
    <n v="7"/>
    <n v="15"/>
    <x v="1262"/>
    <x v="1364"/>
    <x v="0"/>
    <x v="3"/>
    <n v="160"/>
    <x v="3"/>
    <n v="144"/>
    <x v="1354"/>
    <x v="1364"/>
    <x v="0"/>
    <x v="11"/>
    <x v="11"/>
    <s v="Monday"/>
  </r>
  <r>
    <s v="TXN-01427"/>
    <d v="2024-12-23T00:00:00"/>
    <d v="1899-12-30T14:45:00"/>
    <s v="Aarav Kapoor"/>
    <s v="CUST0294"/>
    <x v="2"/>
    <x v="2"/>
    <x v="1"/>
    <s v="Food"/>
    <s v="Medium"/>
    <n v="4"/>
    <n v="70"/>
    <n v="0.05"/>
    <n v="280"/>
    <n v="266"/>
    <x v="1"/>
    <x v="3"/>
    <x v="2"/>
    <x v="7"/>
    <x v="2"/>
    <x v="0"/>
    <n v="244"/>
    <n v="53"/>
    <x v="1263"/>
    <x v="1365"/>
    <x v="3"/>
    <x v="1"/>
    <n v="280"/>
    <x v="9"/>
    <n v="266"/>
    <x v="1355"/>
    <x v="1365"/>
    <x v="0"/>
    <x v="9"/>
    <x v="9"/>
    <s v="Monday"/>
  </r>
  <r>
    <s v="TXN-01428"/>
    <d v="2024-04-10T00:00:00"/>
    <d v="1899-12-30T12:10:00"/>
    <s v="Rohan Chopra"/>
    <s v="CUST0346"/>
    <x v="3"/>
    <x v="10"/>
    <x v="1"/>
    <s v="Food"/>
    <s v="Large"/>
    <n v="3"/>
    <n v="100"/>
    <n v="0"/>
    <n v="300"/>
    <n v="300"/>
    <x v="2"/>
    <x v="3"/>
    <x v="2"/>
    <x v="7"/>
    <x v="0"/>
    <x v="2"/>
    <n v="167"/>
    <n v="53"/>
    <x v="1264"/>
    <x v="1366"/>
    <x v="4"/>
    <x v="0"/>
    <n v="300"/>
    <x v="0"/>
    <n v="300"/>
    <x v="1356"/>
    <x v="1366"/>
    <x v="0"/>
    <x v="8"/>
    <x v="8"/>
    <s v="Wednesday"/>
  </r>
  <r>
    <s v="TXN-01429"/>
    <d v="2024-11-24T00:00:00"/>
    <d v="1899-12-30T14:00:00"/>
    <s v="Riya Gupta"/>
    <s v="CUST0315"/>
    <x v="2"/>
    <x v="13"/>
    <x v="2"/>
    <s v="Cold"/>
    <s v="Large"/>
    <n v="1"/>
    <n v="120"/>
    <n v="0"/>
    <n v="120"/>
    <n v="120"/>
    <x v="2"/>
    <x v="1"/>
    <x v="3"/>
    <x v="6"/>
    <x v="0"/>
    <x v="0"/>
    <n v="277"/>
    <n v="50"/>
    <x v="1265"/>
    <x v="1367"/>
    <x v="1"/>
    <x v="0"/>
    <n v="120"/>
    <x v="0"/>
    <n v="120"/>
    <x v="1357"/>
    <x v="1367"/>
    <x v="0"/>
    <x v="11"/>
    <x v="11"/>
    <s v="Sunday"/>
  </r>
  <r>
    <s v="TXN-01430"/>
    <d v="2024-09-28T00:00:00"/>
    <d v="1899-12-30T14:15:00"/>
    <s v="Ananya Malhotra"/>
    <s v="CUST0114"/>
    <x v="1"/>
    <x v="14"/>
    <x v="3"/>
    <s v="Food"/>
    <s v="Large"/>
    <n v="1"/>
    <n v="175"/>
    <n v="0"/>
    <n v="175"/>
    <n v="175"/>
    <x v="2"/>
    <x v="1"/>
    <x v="4"/>
    <x v="0"/>
    <x v="1"/>
    <x v="2"/>
    <n v="131"/>
    <n v="13"/>
    <x v="620"/>
    <x v="1368"/>
    <x v="3"/>
    <x v="2"/>
    <n v="175"/>
    <x v="0"/>
    <n v="175"/>
    <x v="1358"/>
    <x v="1368"/>
    <x v="0"/>
    <x v="0"/>
    <x v="0"/>
    <s v="Saturday"/>
  </r>
  <r>
    <s v="TXN-01431"/>
    <d v="2024-02-28T00:00:00"/>
    <d v="1899-12-30T19:20:00"/>
    <s v="Isha Chopra"/>
    <s v="CUST0291"/>
    <x v="0"/>
    <x v="10"/>
    <x v="1"/>
    <s v="Food"/>
    <s v="Medium"/>
    <n v="1"/>
    <n v="100"/>
    <n v="0.15"/>
    <n v="100"/>
    <n v="85"/>
    <x v="3"/>
    <x v="0"/>
    <x v="2"/>
    <x v="6"/>
    <x v="1"/>
    <x v="2"/>
    <n v="335"/>
    <n v="34"/>
    <x v="1266"/>
    <x v="652"/>
    <x v="1"/>
    <x v="0"/>
    <n v="100"/>
    <x v="51"/>
    <n v="85"/>
    <x v="1359"/>
    <x v="652"/>
    <x v="0"/>
    <x v="3"/>
    <x v="3"/>
    <s v="Wednesday"/>
  </r>
  <r>
    <s v="TXN-01432"/>
    <d v="2024-03-23T00:00:00"/>
    <d v="1899-12-30T15:50:00"/>
    <s v="Pooja Singh"/>
    <s v="CUST0144"/>
    <x v="2"/>
    <x v="11"/>
    <x v="0"/>
    <s v="Hot"/>
    <s v="Unknown"/>
    <n v="1"/>
    <n v="90"/>
    <n v="0.1"/>
    <n v="90"/>
    <n v="81"/>
    <x v="0"/>
    <x v="3"/>
    <x v="4"/>
    <x v="3"/>
    <x v="0"/>
    <x v="3"/>
    <n v="303"/>
    <n v="35"/>
    <x v="1267"/>
    <x v="1369"/>
    <x v="1"/>
    <x v="4"/>
    <n v="90"/>
    <x v="13"/>
    <n v="81"/>
    <x v="1360"/>
    <x v="1369"/>
    <x v="0"/>
    <x v="5"/>
    <x v="5"/>
    <s v="Saturday"/>
  </r>
  <r>
    <s v="TXN-01433"/>
    <d v="2024-01-14T00:00:00"/>
    <d v="1899-12-30T07:20:00"/>
    <s v="Unknown"/>
    <s v="CUST0220"/>
    <x v="3"/>
    <x v="12"/>
    <x v="1"/>
    <s v="Food"/>
    <s v="Unknown"/>
    <n v="1"/>
    <n v="90"/>
    <n v="0.05"/>
    <n v="90"/>
    <n v="85.5"/>
    <x v="1"/>
    <x v="0"/>
    <x v="5"/>
    <x v="5"/>
    <x v="1"/>
    <x v="2"/>
    <n v="490"/>
    <n v="16"/>
    <x v="1268"/>
    <x v="1195"/>
    <x v="3"/>
    <x v="4"/>
    <n v="90"/>
    <x v="31"/>
    <n v="85.5"/>
    <x v="1361"/>
    <x v="1195"/>
    <x v="0"/>
    <x v="2"/>
    <x v="2"/>
    <s v="Sunday"/>
  </r>
  <r>
    <s v="TXN-01434"/>
    <d v="2024-08-11T00:00:00"/>
    <d v="1899-12-30T20:15:00"/>
    <s v="Kavya Malhotra"/>
    <s v="CUST0236"/>
    <x v="2"/>
    <x v="3"/>
    <x v="0"/>
    <s v="Hot"/>
    <s v="Large"/>
    <n v="1"/>
    <n v="115"/>
    <n v="0"/>
    <n v="115"/>
    <n v="115"/>
    <x v="1"/>
    <x v="2"/>
    <x v="4"/>
    <x v="4"/>
    <x v="0"/>
    <x v="1"/>
    <n v="235"/>
    <n v="37"/>
    <x v="1269"/>
    <x v="1370"/>
    <x v="0"/>
    <x v="2"/>
    <n v="115"/>
    <x v="0"/>
    <n v="115"/>
    <x v="1362"/>
    <x v="1370"/>
    <x v="0"/>
    <x v="1"/>
    <x v="1"/>
    <s v="Sunday"/>
  </r>
  <r>
    <s v="TXN-01435"/>
    <d v="2024-01-07T00:00:00"/>
    <d v="1899-12-30T14:45:00"/>
    <s v="Rohan Gupta"/>
    <s v="CUST0333"/>
    <x v="3"/>
    <x v="8"/>
    <x v="0"/>
    <s v="Cold"/>
    <s v="Medium"/>
    <n v="1"/>
    <n v="165"/>
    <n v="0.1"/>
    <n v="165"/>
    <n v="148.5"/>
    <x v="0"/>
    <x v="3"/>
    <x v="1"/>
    <x v="7"/>
    <x v="0"/>
    <x v="4"/>
    <n v="192"/>
    <n v="38"/>
    <x v="1270"/>
    <x v="1371"/>
    <x v="4"/>
    <x v="1"/>
    <n v="165"/>
    <x v="42"/>
    <n v="148.5"/>
    <x v="1363"/>
    <x v="1371"/>
    <x v="0"/>
    <x v="2"/>
    <x v="2"/>
    <s v="Sunday"/>
  </r>
  <r>
    <s v="TXN-01436"/>
    <d v="2024-07-29T00:00:00"/>
    <d v="1899-12-30T08:15:00"/>
    <s v="Neha Singh"/>
    <s v="CUST0218"/>
    <x v="1"/>
    <x v="10"/>
    <x v="1"/>
    <s v="Food"/>
    <s v="Medium"/>
    <n v="1"/>
    <n v="100"/>
    <n v="0"/>
    <n v="100"/>
    <n v="100"/>
    <x v="2"/>
    <x v="0"/>
    <x v="0"/>
    <x v="7"/>
    <x v="0"/>
    <x v="4"/>
    <n v="477"/>
    <n v="34"/>
    <x v="1271"/>
    <x v="1372"/>
    <x v="4"/>
    <x v="0"/>
    <n v="100"/>
    <x v="0"/>
    <n v="100"/>
    <x v="1364"/>
    <x v="1372"/>
    <x v="0"/>
    <x v="7"/>
    <x v="7"/>
    <s v="Monday"/>
  </r>
  <r>
    <s v="TXN-01437"/>
    <d v="2024-06-25T00:00:00"/>
    <d v="1899-12-30T07:30:00"/>
    <s v="Kavya Verma"/>
    <s v="CUST0266"/>
    <x v="2"/>
    <x v="0"/>
    <x v="0"/>
    <s v="Hot"/>
    <s v="Unknown"/>
    <n v="1"/>
    <n v="130"/>
    <n v="0"/>
    <n v="130"/>
    <n v="130"/>
    <x v="2"/>
    <x v="2"/>
    <x v="3"/>
    <x v="3"/>
    <x v="2"/>
    <x v="3"/>
    <n v="339"/>
    <n v="14"/>
    <x v="1272"/>
    <x v="1373"/>
    <x v="1"/>
    <x v="0"/>
    <n v="130"/>
    <x v="0"/>
    <n v="130"/>
    <x v="1365"/>
    <x v="1373"/>
    <x v="0"/>
    <x v="4"/>
    <x v="4"/>
    <s v="Tuesday"/>
  </r>
  <r>
    <s v="TXN-01438"/>
    <d v="2024-07-25T00:00:00"/>
    <d v="1899-12-30T18:10:00"/>
    <s v="Neha Kaur"/>
    <s v="CUST0180"/>
    <x v="1"/>
    <x v="14"/>
    <x v="3"/>
    <s v="Food"/>
    <s v="Large"/>
    <n v="2"/>
    <n v="180"/>
    <n v="0"/>
    <n v="360"/>
    <n v="360"/>
    <x v="3"/>
    <x v="3"/>
    <x v="4"/>
    <x v="6"/>
    <x v="0"/>
    <x v="1"/>
    <n v="409"/>
    <n v="35"/>
    <x v="1273"/>
    <x v="1374"/>
    <x v="3"/>
    <x v="1"/>
    <n v="360"/>
    <x v="0"/>
    <n v="360"/>
    <x v="1366"/>
    <x v="1374"/>
    <x v="0"/>
    <x v="7"/>
    <x v="7"/>
    <s v="Thursday"/>
  </r>
  <r>
    <s v="TXN-01439"/>
    <d v="2024-09-30T00:00:00"/>
    <d v="1899-12-30T19:50:00"/>
    <s v="Aditya Gupta"/>
    <s v="Unknown"/>
    <x v="0"/>
    <x v="8"/>
    <x v="0"/>
    <s v="Cold"/>
    <s v="Medium"/>
    <n v="1"/>
    <n v="155"/>
    <n v="0.1"/>
    <n v="155"/>
    <n v="139.5"/>
    <x v="0"/>
    <x v="0"/>
    <x v="6"/>
    <x v="5"/>
    <x v="0"/>
    <x v="2"/>
    <n v="155"/>
    <n v="10"/>
    <x v="1274"/>
    <x v="1375"/>
    <x v="2"/>
    <x v="1"/>
    <n v="155"/>
    <x v="14"/>
    <n v="139.5"/>
    <x v="1367"/>
    <x v="1375"/>
    <x v="0"/>
    <x v="0"/>
    <x v="0"/>
    <s v="Monday"/>
  </r>
  <r>
    <s v="TXN-01440"/>
    <d v="2024-07-20T00:00:00"/>
    <d v="1899-12-30T10:50:00"/>
    <s v="Isha Verma"/>
    <s v="CUST0158"/>
    <x v="3"/>
    <x v="6"/>
    <x v="0"/>
    <s v="Hot"/>
    <s v="Small"/>
    <n v="1"/>
    <n v="95"/>
    <n v="0"/>
    <n v="95"/>
    <n v="95"/>
    <x v="2"/>
    <x v="0"/>
    <x v="4"/>
    <x v="6"/>
    <x v="2"/>
    <x v="3"/>
    <n v="32"/>
    <n v="31"/>
    <x v="1275"/>
    <x v="1376"/>
    <x v="0"/>
    <x v="2"/>
    <n v="95"/>
    <x v="0"/>
    <n v="95"/>
    <x v="1368"/>
    <x v="1376"/>
    <x v="0"/>
    <x v="7"/>
    <x v="7"/>
    <s v="Saturday"/>
  </r>
  <r>
    <s v="TXN-01441"/>
    <d v="2024-09-03T00:00:00"/>
    <d v="1899-12-30T16:45:00"/>
    <s v="Manish Singh"/>
    <s v="CUST0180"/>
    <x v="0"/>
    <x v="8"/>
    <x v="0"/>
    <s v="Cold"/>
    <s v="Large"/>
    <n v="2"/>
    <n v="170"/>
    <n v="0"/>
    <n v="340"/>
    <n v="340"/>
    <x v="0"/>
    <x v="2"/>
    <x v="6"/>
    <x v="7"/>
    <x v="1"/>
    <x v="4"/>
    <n v="86"/>
    <n v="37"/>
    <x v="1276"/>
    <x v="1377"/>
    <x v="3"/>
    <x v="2"/>
    <n v="340"/>
    <x v="0"/>
    <n v="340"/>
    <x v="1369"/>
    <x v="1377"/>
    <x v="0"/>
    <x v="0"/>
    <x v="0"/>
    <s v="Tuesday"/>
  </r>
  <r>
    <s v="TXN-01442"/>
    <d v="2024-07-29T00:00:00"/>
    <d v="1899-12-30T09:45:00"/>
    <s v="Rahul Singh"/>
    <s v="CUST0257"/>
    <x v="2"/>
    <x v="4"/>
    <x v="0"/>
    <s v="Cold"/>
    <s v="Small"/>
    <n v="1"/>
    <n v="150"/>
    <n v="0"/>
    <n v="150"/>
    <n v="150"/>
    <x v="0"/>
    <x v="3"/>
    <x v="6"/>
    <x v="7"/>
    <x v="0"/>
    <x v="2"/>
    <n v="235"/>
    <n v="53"/>
    <x v="1277"/>
    <x v="1378"/>
    <x v="2"/>
    <x v="3"/>
    <n v="150"/>
    <x v="0"/>
    <n v="150"/>
    <x v="1370"/>
    <x v="1378"/>
    <x v="0"/>
    <x v="7"/>
    <x v="7"/>
    <s v="Monday"/>
  </r>
  <r>
    <s v="TXN-01443"/>
    <d v="2024-07-23T00:00:00"/>
    <d v="1899-12-30T14:20:00"/>
    <s v="Meera Singh"/>
    <s v="CUST0383"/>
    <x v="2"/>
    <x v="2"/>
    <x v="1"/>
    <s v="Food"/>
    <s v="Small"/>
    <n v="2"/>
    <n v="65"/>
    <n v="0.1"/>
    <n v="130"/>
    <n v="117"/>
    <x v="3"/>
    <x v="3"/>
    <x v="2"/>
    <x v="3"/>
    <x v="0"/>
    <x v="0"/>
    <n v="8"/>
    <n v="31"/>
    <x v="1278"/>
    <x v="880"/>
    <x v="0"/>
    <x v="2"/>
    <n v="130"/>
    <x v="17"/>
    <n v="117"/>
    <x v="406"/>
    <x v="880"/>
    <x v="0"/>
    <x v="7"/>
    <x v="7"/>
    <s v="Tuesday"/>
  </r>
  <r>
    <s v="TXN-01444"/>
    <d v="2024-09-16T00:00:00"/>
    <d v="1899-12-30T08:45:00"/>
    <s v="Ananya Kaur"/>
    <s v="CUST0122"/>
    <x v="2"/>
    <x v="13"/>
    <x v="2"/>
    <s v="Cold"/>
    <s v="Small"/>
    <n v="3"/>
    <n v="120"/>
    <n v="0.15"/>
    <n v="360"/>
    <n v="306"/>
    <x v="1"/>
    <x v="1"/>
    <x v="5"/>
    <x v="7"/>
    <x v="0"/>
    <x v="4"/>
    <n v="442"/>
    <n v="36"/>
    <x v="1125"/>
    <x v="1379"/>
    <x v="2"/>
    <x v="1"/>
    <n v="360"/>
    <x v="43"/>
    <n v="306"/>
    <x v="1371"/>
    <x v="1379"/>
    <x v="0"/>
    <x v="0"/>
    <x v="0"/>
    <s v="Monday"/>
  </r>
  <r>
    <s v="TXN-01445"/>
    <d v="2024-05-06T00:00:00"/>
    <d v="1899-12-30T07:50:00"/>
    <s v="Rahul Mehta"/>
    <s v="CUST0322"/>
    <x v="0"/>
    <x v="2"/>
    <x v="1"/>
    <s v="Food"/>
    <s v="Small"/>
    <n v="1"/>
    <n v="65"/>
    <n v="0.05"/>
    <n v="65"/>
    <n v="61.75"/>
    <x v="0"/>
    <x v="2"/>
    <x v="4"/>
    <x v="0"/>
    <x v="0"/>
    <x v="3"/>
    <n v="294"/>
    <n v="30"/>
    <x v="1279"/>
    <x v="1380"/>
    <x v="0"/>
    <x v="0"/>
    <n v="65"/>
    <x v="113"/>
    <n v="61.75"/>
    <x v="1372"/>
    <x v="1380"/>
    <x v="0"/>
    <x v="6"/>
    <x v="6"/>
    <s v="Monday"/>
  </r>
  <r>
    <s v="TXN-01446"/>
    <d v="2024-07-22T00:00:00"/>
    <d v="1899-12-30T12:15:00"/>
    <s v="Kavya Verma"/>
    <s v="CUST0365"/>
    <x v="0"/>
    <x v="4"/>
    <x v="0"/>
    <s v="Cold"/>
    <s v="Medium"/>
    <n v="1"/>
    <n v="145"/>
    <n v="0.15"/>
    <n v="145"/>
    <n v="123.25"/>
    <x v="2"/>
    <x v="3"/>
    <x v="6"/>
    <x v="1"/>
    <x v="1"/>
    <x v="2"/>
    <n v="444"/>
    <n v="14"/>
    <x v="1280"/>
    <x v="399"/>
    <x v="4"/>
    <x v="1"/>
    <n v="145"/>
    <x v="67"/>
    <n v="123.25"/>
    <x v="1373"/>
    <x v="399"/>
    <x v="0"/>
    <x v="7"/>
    <x v="7"/>
    <s v="Monday"/>
  </r>
  <r>
    <s v="TXN-01447"/>
    <d v="2024-05-05T00:00:00"/>
    <d v="1899-12-30T19:10:00"/>
    <s v="Nikhil Kaur"/>
    <s v="CUST0118"/>
    <x v="1"/>
    <x v="14"/>
    <x v="3"/>
    <s v="Food"/>
    <s v="Small"/>
    <n v="1"/>
    <n v="185"/>
    <n v="0.05"/>
    <n v="185"/>
    <n v="175.75"/>
    <x v="1"/>
    <x v="1"/>
    <x v="0"/>
    <x v="0"/>
    <x v="1"/>
    <x v="0"/>
    <n v="309"/>
    <n v="10"/>
    <x v="1281"/>
    <x v="1381"/>
    <x v="0"/>
    <x v="0"/>
    <n v="185"/>
    <x v="73"/>
    <n v="175.75"/>
    <x v="1374"/>
    <x v="1381"/>
    <x v="0"/>
    <x v="6"/>
    <x v="6"/>
    <s v="Sunday"/>
  </r>
  <r>
    <s v="TXN-01448"/>
    <d v="2024-10-22T00:00:00"/>
    <d v="1899-12-30T10:45:00"/>
    <s v="Priya Malhotra"/>
    <s v="Unknown"/>
    <x v="1"/>
    <x v="1"/>
    <x v="1"/>
    <s v="Food"/>
    <s v="Small"/>
    <n v="1"/>
    <n v="115"/>
    <n v="0.05"/>
    <n v="115"/>
    <n v="109.25"/>
    <x v="1"/>
    <x v="0"/>
    <x v="5"/>
    <x v="5"/>
    <x v="0"/>
    <x v="4"/>
    <n v="477"/>
    <n v="44"/>
    <x v="1282"/>
    <x v="1382"/>
    <x v="0"/>
    <x v="2"/>
    <n v="115"/>
    <x v="1"/>
    <n v="109.25"/>
    <x v="1375"/>
    <x v="1382"/>
    <x v="0"/>
    <x v="10"/>
    <x v="10"/>
    <s v="Tuesday"/>
  </r>
  <r>
    <s v="TXN-01449"/>
    <d v="2024-11-04T00:00:00"/>
    <d v="1899-12-30T12:15:00"/>
    <s v="Aarav Kaur"/>
    <s v="CUST0319"/>
    <x v="2"/>
    <x v="0"/>
    <x v="0"/>
    <s v="Hot"/>
    <s v="Unknown"/>
    <n v="2"/>
    <n v="135"/>
    <n v="0.05"/>
    <n v="270"/>
    <n v="256.5"/>
    <x v="0"/>
    <x v="2"/>
    <x v="1"/>
    <x v="0"/>
    <x v="0"/>
    <x v="1"/>
    <n v="174"/>
    <n v="37"/>
    <x v="1283"/>
    <x v="1383"/>
    <x v="2"/>
    <x v="3"/>
    <n v="270"/>
    <x v="46"/>
    <n v="256.5"/>
    <x v="1376"/>
    <x v="1383"/>
    <x v="0"/>
    <x v="11"/>
    <x v="11"/>
    <s v="Monday"/>
  </r>
  <r>
    <s v="TXN-01450"/>
    <d v="2024-12-08T00:00:00"/>
    <d v="1899-12-30T17:50:00"/>
    <s v="Aditya Mehta"/>
    <s v="CUST0384"/>
    <x v="0"/>
    <x v="10"/>
    <x v="1"/>
    <s v="Food"/>
    <s v="Unknown"/>
    <n v="1"/>
    <n v="105"/>
    <n v="0.1"/>
    <n v="105"/>
    <n v="94.5"/>
    <x v="2"/>
    <x v="0"/>
    <x v="2"/>
    <x v="2"/>
    <x v="0"/>
    <x v="3"/>
    <n v="291"/>
    <n v="34"/>
    <x v="756"/>
    <x v="1384"/>
    <x v="2"/>
    <x v="3"/>
    <n v="105"/>
    <x v="25"/>
    <n v="94.5"/>
    <x v="788"/>
    <x v="1384"/>
    <x v="0"/>
    <x v="9"/>
    <x v="9"/>
    <s v="Sunday"/>
  </r>
  <r>
    <s v="TXN-01451"/>
    <d v="2024-09-24T00:00:00"/>
    <d v="1899-12-30T08:30:00"/>
    <s v="Priya Mehta"/>
    <s v="CUST0263"/>
    <x v="1"/>
    <x v="12"/>
    <x v="1"/>
    <s v="Food"/>
    <s v="Unknown"/>
    <n v="2"/>
    <n v="90"/>
    <n v="0.05"/>
    <n v="180"/>
    <n v="171"/>
    <x v="3"/>
    <x v="3"/>
    <x v="6"/>
    <x v="4"/>
    <x v="0"/>
    <x v="1"/>
    <n v="276"/>
    <n v="35"/>
    <x v="1284"/>
    <x v="1385"/>
    <x v="3"/>
    <x v="1"/>
    <n v="180"/>
    <x v="13"/>
    <n v="171"/>
    <x v="1377"/>
    <x v="1385"/>
    <x v="0"/>
    <x v="0"/>
    <x v="0"/>
    <s v="Tuesday"/>
  </r>
  <r>
    <s v="TXN-01452"/>
    <d v="2024-11-23T00:00:00"/>
    <d v="1899-12-30T12:50:00"/>
    <s v="Priya Kaur"/>
    <s v="CUST0205"/>
    <x v="2"/>
    <x v="13"/>
    <x v="2"/>
    <s v="Cold"/>
    <s v="Small"/>
    <n v="2"/>
    <n v="110"/>
    <n v="0.1"/>
    <n v="220"/>
    <n v="198"/>
    <x v="1"/>
    <x v="2"/>
    <x v="1"/>
    <x v="1"/>
    <x v="1"/>
    <x v="2"/>
    <n v="73"/>
    <n v="37"/>
    <x v="1285"/>
    <x v="1386"/>
    <x v="1"/>
    <x v="3"/>
    <n v="220"/>
    <x v="78"/>
    <n v="198"/>
    <x v="1378"/>
    <x v="1386"/>
    <x v="0"/>
    <x v="11"/>
    <x v="11"/>
    <s v="Saturday"/>
  </r>
  <r>
    <s v="TXN-01453"/>
    <d v="2024-06-25T00:00:00"/>
    <d v="1899-12-30T18:45:00"/>
    <s v="Pooja Singh"/>
    <s v="CUST0278"/>
    <x v="3"/>
    <x v="13"/>
    <x v="2"/>
    <s v="Cold"/>
    <s v="Large"/>
    <n v="1"/>
    <n v="105"/>
    <n v="0"/>
    <n v="105"/>
    <n v="105"/>
    <x v="3"/>
    <x v="3"/>
    <x v="3"/>
    <x v="4"/>
    <x v="0"/>
    <x v="1"/>
    <n v="230"/>
    <n v="55"/>
    <x v="1017"/>
    <x v="1387"/>
    <x v="4"/>
    <x v="2"/>
    <n v="105"/>
    <x v="0"/>
    <n v="105"/>
    <x v="1079"/>
    <x v="1387"/>
    <x v="0"/>
    <x v="4"/>
    <x v="4"/>
    <s v="Tuesday"/>
  </r>
  <r>
    <s v="TXN-01454"/>
    <d v="2024-02-12T00:00:00"/>
    <d v="1899-12-30T10:00:00"/>
    <s v="Priya Singh"/>
    <s v="CUST0209"/>
    <x v="3"/>
    <x v="0"/>
    <x v="0"/>
    <s v="Hot"/>
    <s v="Medium"/>
    <n v="1"/>
    <n v="130"/>
    <n v="0"/>
    <n v="130"/>
    <n v="130"/>
    <x v="2"/>
    <x v="2"/>
    <x v="0"/>
    <x v="1"/>
    <x v="0"/>
    <x v="2"/>
    <n v="375"/>
    <n v="43"/>
    <x v="1286"/>
    <x v="1388"/>
    <x v="1"/>
    <x v="1"/>
    <n v="130"/>
    <x v="0"/>
    <n v="130"/>
    <x v="1379"/>
    <x v="1388"/>
    <x v="0"/>
    <x v="3"/>
    <x v="3"/>
    <s v="Monday"/>
  </r>
  <r>
    <s v="TXN-01455"/>
    <d v="2024-11-25T00:00:00"/>
    <d v="1899-12-30T14:20:00"/>
    <s v="Manish Bansal"/>
    <s v="CUST0229"/>
    <x v="1"/>
    <x v="6"/>
    <x v="0"/>
    <s v="Hot"/>
    <s v="Small"/>
    <n v="1"/>
    <n v="95"/>
    <n v="0"/>
    <n v="95"/>
    <n v="95"/>
    <x v="0"/>
    <x v="0"/>
    <x v="0"/>
    <x v="4"/>
    <x v="1"/>
    <x v="0"/>
    <n v="390"/>
    <n v="54"/>
    <x v="200"/>
    <x v="1389"/>
    <x v="4"/>
    <x v="3"/>
    <n v="95"/>
    <x v="0"/>
    <n v="95"/>
    <x v="1380"/>
    <x v="1389"/>
    <x v="0"/>
    <x v="11"/>
    <x v="11"/>
    <s v="Monday"/>
  </r>
  <r>
    <s v="TXN-01456"/>
    <d v="2024-10-01T00:00:00"/>
    <d v="1899-12-30T08:10:00"/>
    <s v="Arjun Bansal"/>
    <s v="CUST0346"/>
    <x v="1"/>
    <x v="12"/>
    <x v="1"/>
    <s v="Food"/>
    <s v="Small"/>
    <n v="1"/>
    <n v="95"/>
    <n v="0.1"/>
    <n v="95"/>
    <n v="85.5"/>
    <x v="1"/>
    <x v="2"/>
    <x v="5"/>
    <x v="6"/>
    <x v="1"/>
    <x v="4"/>
    <n v="286"/>
    <n v="36"/>
    <x v="1287"/>
    <x v="1390"/>
    <x v="0"/>
    <x v="0"/>
    <n v="95"/>
    <x v="10"/>
    <n v="85.5"/>
    <x v="1381"/>
    <x v="1390"/>
    <x v="0"/>
    <x v="10"/>
    <x v="10"/>
    <s v="Tuesday"/>
  </r>
  <r>
    <s v="TXN-01457"/>
    <d v="2024-08-23T00:00:00"/>
    <d v="1899-12-30T14:15:00"/>
    <s v="Riya Mehta"/>
    <s v="CUST0215"/>
    <x v="3"/>
    <x v="12"/>
    <x v="1"/>
    <s v="Food"/>
    <s v="Medium"/>
    <n v="1"/>
    <n v="85"/>
    <n v="0"/>
    <n v="85"/>
    <n v="85"/>
    <x v="2"/>
    <x v="2"/>
    <x v="0"/>
    <x v="6"/>
    <x v="2"/>
    <x v="4"/>
    <n v="250"/>
    <n v="29"/>
    <x v="1288"/>
    <x v="1391"/>
    <x v="0"/>
    <x v="3"/>
    <n v="85"/>
    <x v="0"/>
    <n v="85"/>
    <x v="1382"/>
    <x v="1391"/>
    <x v="0"/>
    <x v="1"/>
    <x v="1"/>
    <s v="Friday"/>
  </r>
  <r>
    <s v="TXN-01458"/>
    <d v="2024-01-21T00:00:00"/>
    <d v="1899-12-30T12:30:00"/>
    <s v="Rohan Sharma"/>
    <s v="CUST0206"/>
    <x v="1"/>
    <x v="5"/>
    <x v="2"/>
    <s v="Hot"/>
    <s v="Small"/>
    <n v="3"/>
    <n v="95"/>
    <n v="0"/>
    <n v="285"/>
    <n v="285"/>
    <x v="1"/>
    <x v="1"/>
    <x v="6"/>
    <x v="3"/>
    <x v="0"/>
    <x v="4"/>
    <n v="365"/>
    <n v="16"/>
    <x v="1127"/>
    <x v="1392"/>
    <x v="3"/>
    <x v="2"/>
    <n v="285"/>
    <x v="0"/>
    <n v="285"/>
    <x v="1383"/>
    <x v="1392"/>
    <x v="0"/>
    <x v="2"/>
    <x v="2"/>
    <s v="Sunday"/>
  </r>
  <r>
    <s v="TXN-01459"/>
    <d v="2024-11-17T00:00:00"/>
    <d v="1899-12-30T18:45:00"/>
    <s v="Nikhil Verma"/>
    <s v="Unknown"/>
    <x v="3"/>
    <x v="4"/>
    <x v="0"/>
    <s v="Cold"/>
    <s v="Large"/>
    <n v="1"/>
    <n v="150"/>
    <n v="0.1"/>
    <n v="150"/>
    <n v="135"/>
    <x v="3"/>
    <x v="1"/>
    <x v="6"/>
    <x v="0"/>
    <x v="2"/>
    <x v="2"/>
    <n v="288"/>
    <n v="36"/>
    <x v="992"/>
    <x v="1066"/>
    <x v="2"/>
    <x v="0"/>
    <n v="150"/>
    <x v="51"/>
    <n v="135"/>
    <x v="1051"/>
    <x v="1066"/>
    <x v="0"/>
    <x v="11"/>
    <x v="11"/>
    <s v="Sunday"/>
  </r>
  <r>
    <s v="TXN-01460"/>
    <d v="2024-06-16T00:00:00"/>
    <d v="1899-12-30T21:15:00"/>
    <s v="Vivaan Chopra"/>
    <s v="CUST0117"/>
    <x v="2"/>
    <x v="1"/>
    <x v="1"/>
    <s v="Food"/>
    <s v="Unknown"/>
    <n v="2"/>
    <n v="125"/>
    <n v="0.1"/>
    <n v="250"/>
    <n v="225"/>
    <x v="2"/>
    <x v="3"/>
    <x v="4"/>
    <x v="5"/>
    <x v="0"/>
    <x v="2"/>
    <n v="248"/>
    <n v="47"/>
    <x v="330"/>
    <x v="1393"/>
    <x v="3"/>
    <x v="3"/>
    <n v="250"/>
    <x v="37"/>
    <n v="225"/>
    <x v="1384"/>
    <x v="1393"/>
    <x v="0"/>
    <x v="4"/>
    <x v="4"/>
    <s v="Sunday"/>
  </r>
  <r>
    <s v="TXN-01461"/>
    <d v="2024-12-27T00:00:00"/>
    <d v="1899-12-30T13:30:00"/>
    <s v="Priya Sharma"/>
    <s v="CUST0147"/>
    <x v="0"/>
    <x v="14"/>
    <x v="3"/>
    <s v="Food"/>
    <s v="Medium"/>
    <n v="1"/>
    <n v="180"/>
    <n v="0.05"/>
    <n v="180"/>
    <n v="171"/>
    <x v="0"/>
    <x v="0"/>
    <x v="3"/>
    <x v="3"/>
    <x v="0"/>
    <x v="0"/>
    <n v="242"/>
    <n v="28"/>
    <x v="1289"/>
    <x v="1394"/>
    <x v="1"/>
    <x v="2"/>
    <n v="180"/>
    <x v="13"/>
    <n v="171"/>
    <x v="1385"/>
    <x v="1394"/>
    <x v="0"/>
    <x v="9"/>
    <x v="9"/>
    <s v="Friday"/>
  </r>
  <r>
    <s v="TXN-01462"/>
    <d v="2024-08-01T00:00:00"/>
    <d v="1899-12-30T18:50:00"/>
    <s v="Neha Sharma"/>
    <s v="CUST0341"/>
    <x v="3"/>
    <x v="6"/>
    <x v="0"/>
    <s v="Hot"/>
    <s v="Small"/>
    <n v="4"/>
    <n v="110"/>
    <n v="0.05"/>
    <n v="440"/>
    <n v="418"/>
    <x v="1"/>
    <x v="0"/>
    <x v="4"/>
    <x v="6"/>
    <x v="1"/>
    <x v="4"/>
    <n v="416"/>
    <n v="58"/>
    <x v="1127"/>
    <x v="1395"/>
    <x v="3"/>
    <x v="2"/>
    <n v="440"/>
    <x v="78"/>
    <n v="418"/>
    <x v="1386"/>
    <x v="1395"/>
    <x v="0"/>
    <x v="1"/>
    <x v="1"/>
    <s v="Thursday"/>
  </r>
  <r>
    <s v="TXN-01463"/>
    <d v="2024-08-03T00:00:00"/>
    <d v="1899-12-30T13:45:00"/>
    <s v="Manish Kapoor"/>
    <s v="CUST0152"/>
    <x v="2"/>
    <x v="6"/>
    <x v="0"/>
    <s v="Hot"/>
    <s v="Unknown"/>
    <n v="1"/>
    <n v="110"/>
    <n v="0.1"/>
    <n v="110"/>
    <n v="99"/>
    <x v="2"/>
    <x v="3"/>
    <x v="6"/>
    <x v="4"/>
    <x v="0"/>
    <x v="2"/>
    <n v="453"/>
    <n v="15"/>
    <x v="1290"/>
    <x v="1396"/>
    <x v="2"/>
    <x v="3"/>
    <n v="110"/>
    <x v="30"/>
    <n v="99"/>
    <x v="1387"/>
    <x v="1396"/>
    <x v="0"/>
    <x v="1"/>
    <x v="1"/>
    <s v="Saturday"/>
  </r>
  <r>
    <s v="TXN-01464"/>
    <d v="2024-04-11T00:00:00"/>
    <d v="1899-12-30T16:20:00"/>
    <s v="Isha Kaur"/>
    <s v="CUST0366"/>
    <x v="3"/>
    <x v="12"/>
    <x v="1"/>
    <s v="Food"/>
    <s v="Medium"/>
    <n v="3"/>
    <n v="90"/>
    <n v="0.05"/>
    <n v="270"/>
    <n v="256.5"/>
    <x v="0"/>
    <x v="3"/>
    <x v="3"/>
    <x v="5"/>
    <x v="0"/>
    <x v="2"/>
    <n v="136"/>
    <n v="35"/>
    <x v="1291"/>
    <x v="1397"/>
    <x v="1"/>
    <x v="2"/>
    <n v="270"/>
    <x v="46"/>
    <n v="256.5"/>
    <x v="1388"/>
    <x v="1397"/>
    <x v="0"/>
    <x v="8"/>
    <x v="8"/>
    <s v="Thursday"/>
  </r>
  <r>
    <s v="TXN-01465"/>
    <d v="2024-10-28T00:00:00"/>
    <d v="1899-12-30T17:50:00"/>
    <s v="Priya Malhotra"/>
    <s v="CUST0108"/>
    <x v="3"/>
    <x v="0"/>
    <x v="0"/>
    <s v="Hot"/>
    <s v="Small"/>
    <n v="1"/>
    <n v="130"/>
    <n v="0.1"/>
    <n v="130"/>
    <n v="117"/>
    <x v="0"/>
    <x v="0"/>
    <x v="6"/>
    <x v="7"/>
    <x v="0"/>
    <x v="0"/>
    <n v="462"/>
    <n v="29"/>
    <x v="1033"/>
    <x v="1398"/>
    <x v="0"/>
    <x v="3"/>
    <n v="130"/>
    <x v="17"/>
    <n v="117"/>
    <x v="1389"/>
    <x v="1398"/>
    <x v="0"/>
    <x v="10"/>
    <x v="10"/>
    <s v="Monday"/>
  </r>
  <r>
    <s v="TXN-01466"/>
    <d v="2024-05-22T00:00:00"/>
    <d v="1899-12-30T08:20:00"/>
    <s v="Aarav Gupta"/>
    <s v="CUST0220"/>
    <x v="0"/>
    <x v="15"/>
    <x v="4"/>
    <s v="Food"/>
    <s v="Large"/>
    <n v="2"/>
    <n v="190"/>
    <n v="0.1"/>
    <n v="380"/>
    <n v="342"/>
    <x v="0"/>
    <x v="0"/>
    <x v="2"/>
    <x v="6"/>
    <x v="0"/>
    <x v="3"/>
    <n v="244"/>
    <n v="46"/>
    <x v="1292"/>
    <x v="1399"/>
    <x v="3"/>
    <x v="0"/>
    <n v="380"/>
    <x v="54"/>
    <n v="342"/>
    <x v="1390"/>
    <x v="1399"/>
    <x v="0"/>
    <x v="6"/>
    <x v="6"/>
    <s v="Wednesday"/>
  </r>
  <r>
    <s v="TXN-01467"/>
    <d v="2024-07-21T00:00:00"/>
    <d v="1899-12-30T14:30:00"/>
    <s v="Neha Kapoor"/>
    <s v="CUST0161"/>
    <x v="2"/>
    <x v="1"/>
    <x v="1"/>
    <s v="Food"/>
    <s v="Large"/>
    <n v="2"/>
    <n v="125"/>
    <n v="0.15"/>
    <n v="250"/>
    <n v="212.5"/>
    <x v="0"/>
    <x v="0"/>
    <x v="5"/>
    <x v="5"/>
    <x v="2"/>
    <x v="1"/>
    <n v="375"/>
    <n v="28"/>
    <x v="1293"/>
    <x v="1400"/>
    <x v="1"/>
    <x v="2"/>
    <n v="250"/>
    <x v="79"/>
    <n v="212.5"/>
    <x v="1391"/>
    <x v="1400"/>
    <x v="0"/>
    <x v="7"/>
    <x v="7"/>
    <s v="Sunday"/>
  </r>
  <r>
    <s v="TXN-01468"/>
    <d v="2024-06-15T00:00:00"/>
    <d v="1899-12-30T15:00:00"/>
    <s v="Nikhil Mehta"/>
    <s v="CUST0193"/>
    <x v="0"/>
    <x v="5"/>
    <x v="2"/>
    <s v="Hot"/>
    <s v="Medium"/>
    <n v="1"/>
    <n v="95"/>
    <n v="0"/>
    <n v="95"/>
    <n v="95"/>
    <x v="0"/>
    <x v="3"/>
    <x v="5"/>
    <x v="1"/>
    <x v="0"/>
    <x v="1"/>
    <n v="222"/>
    <n v="13"/>
    <x v="1294"/>
    <x v="1401"/>
    <x v="1"/>
    <x v="1"/>
    <n v="95"/>
    <x v="0"/>
    <n v="95"/>
    <x v="1392"/>
    <x v="1401"/>
    <x v="0"/>
    <x v="4"/>
    <x v="4"/>
    <s v="Saturday"/>
  </r>
  <r>
    <s v="TXN-01469"/>
    <d v="2024-05-10T00:00:00"/>
    <d v="1899-12-30T12:20:00"/>
    <s v="Priya Bansal"/>
    <s v="CUST0180"/>
    <x v="2"/>
    <x v="9"/>
    <x v="2"/>
    <s v="Hot"/>
    <s v="Large"/>
    <n v="2"/>
    <n v="75"/>
    <n v="0.1"/>
    <n v="150"/>
    <n v="135"/>
    <x v="2"/>
    <x v="3"/>
    <x v="5"/>
    <x v="6"/>
    <x v="0"/>
    <x v="4"/>
    <n v="129"/>
    <n v="17"/>
    <x v="1295"/>
    <x v="1402"/>
    <x v="3"/>
    <x v="4"/>
    <n v="150"/>
    <x v="51"/>
    <n v="135"/>
    <x v="1393"/>
    <x v="1402"/>
    <x v="0"/>
    <x v="6"/>
    <x v="6"/>
    <s v="Friday"/>
  </r>
  <r>
    <s v="TXN-01470"/>
    <d v="2024-10-04T00:00:00"/>
    <d v="1899-12-30T18:50:00"/>
    <s v="Manish Gupta"/>
    <s v="CUST0107"/>
    <x v="0"/>
    <x v="13"/>
    <x v="2"/>
    <s v="Cold"/>
    <s v="Medium"/>
    <n v="3"/>
    <n v="120"/>
    <n v="0"/>
    <n v="360"/>
    <n v="360"/>
    <x v="2"/>
    <x v="0"/>
    <x v="0"/>
    <x v="5"/>
    <x v="0"/>
    <x v="0"/>
    <n v="250"/>
    <n v="34"/>
    <x v="228"/>
    <x v="1403"/>
    <x v="1"/>
    <x v="0"/>
    <n v="360"/>
    <x v="0"/>
    <n v="360"/>
    <x v="1394"/>
    <x v="1403"/>
    <x v="0"/>
    <x v="10"/>
    <x v="10"/>
    <s v="Friday"/>
  </r>
  <r>
    <s v="TXN-01471"/>
    <d v="2024-09-07T00:00:00"/>
    <d v="1899-12-30T09:50:00"/>
    <s v="Arjun Chopra"/>
    <s v="CUST0394"/>
    <x v="3"/>
    <x v="5"/>
    <x v="2"/>
    <s v="Hot"/>
    <s v="Unknown"/>
    <n v="2"/>
    <n v="105"/>
    <n v="0.1"/>
    <n v="210"/>
    <n v="189"/>
    <x v="0"/>
    <x v="0"/>
    <x v="5"/>
    <x v="3"/>
    <x v="0"/>
    <x v="2"/>
    <n v="197"/>
    <n v="34"/>
    <x v="279"/>
    <x v="1404"/>
    <x v="4"/>
    <x v="4"/>
    <n v="210"/>
    <x v="66"/>
    <n v="189"/>
    <x v="1395"/>
    <x v="1404"/>
    <x v="0"/>
    <x v="0"/>
    <x v="0"/>
    <s v="Saturday"/>
  </r>
  <r>
    <s v="TXN-01472"/>
    <d v="2024-04-26T00:00:00"/>
    <d v="1899-12-30T20:50:00"/>
    <s v="Isha Malhotra"/>
    <s v="CUST0194"/>
    <x v="0"/>
    <x v="11"/>
    <x v="0"/>
    <s v="Hot"/>
    <s v="Unknown"/>
    <n v="1"/>
    <n v="90"/>
    <n v="0.1"/>
    <n v="90"/>
    <n v="81"/>
    <x v="2"/>
    <x v="1"/>
    <x v="0"/>
    <x v="0"/>
    <x v="1"/>
    <x v="0"/>
    <n v="217"/>
    <n v="45"/>
    <x v="252"/>
    <x v="1405"/>
    <x v="4"/>
    <x v="1"/>
    <n v="90"/>
    <x v="13"/>
    <n v="81"/>
    <x v="255"/>
    <x v="1405"/>
    <x v="0"/>
    <x v="8"/>
    <x v="8"/>
    <s v="Friday"/>
  </r>
  <r>
    <s v="TXN-01473"/>
    <d v="2024-03-22T00:00:00"/>
    <d v="1899-12-30T21:45:00"/>
    <s v="Ananya Singh"/>
    <s v="Unknown"/>
    <x v="0"/>
    <x v="3"/>
    <x v="0"/>
    <s v="Hot"/>
    <s v="Medium"/>
    <n v="1"/>
    <n v="120"/>
    <n v="0.1"/>
    <n v="120"/>
    <n v="108"/>
    <x v="0"/>
    <x v="1"/>
    <x v="0"/>
    <x v="1"/>
    <x v="0"/>
    <x v="1"/>
    <n v="180"/>
    <n v="25"/>
    <x v="781"/>
    <x v="1028"/>
    <x v="3"/>
    <x v="4"/>
    <n v="120"/>
    <x v="2"/>
    <n v="108"/>
    <x v="1396"/>
    <x v="1028"/>
    <x v="0"/>
    <x v="5"/>
    <x v="5"/>
    <s v="Friday"/>
  </r>
  <r>
    <s v="TXN-01474"/>
    <d v="2024-10-20T00:00:00"/>
    <d v="1899-12-30T11:10:00"/>
    <s v="Rahul Bansal"/>
    <s v="CUST0163"/>
    <x v="3"/>
    <x v="5"/>
    <x v="2"/>
    <s v="Hot"/>
    <s v="Small"/>
    <n v="1"/>
    <n v="100"/>
    <n v="0"/>
    <n v="100"/>
    <n v="100"/>
    <x v="0"/>
    <x v="3"/>
    <x v="5"/>
    <x v="1"/>
    <x v="0"/>
    <x v="2"/>
    <n v="42"/>
    <n v="35"/>
    <x v="1296"/>
    <x v="1406"/>
    <x v="0"/>
    <x v="3"/>
    <n v="100"/>
    <x v="0"/>
    <n v="100"/>
    <x v="1397"/>
    <x v="1406"/>
    <x v="0"/>
    <x v="10"/>
    <x v="10"/>
    <s v="Sunday"/>
  </r>
  <r>
    <s v="TXN-01475"/>
    <d v="2024-09-25T00:00:00"/>
    <d v="1899-12-30T14:15:00"/>
    <s v="Arjun Malhotra"/>
    <s v="CUST0305"/>
    <x v="3"/>
    <x v="7"/>
    <x v="0"/>
    <s v="Hot"/>
    <s v="Small"/>
    <n v="1"/>
    <n v="145"/>
    <n v="0.15"/>
    <n v="145"/>
    <n v="123.25"/>
    <x v="2"/>
    <x v="0"/>
    <x v="2"/>
    <x v="7"/>
    <x v="0"/>
    <x v="2"/>
    <n v="496"/>
    <n v="52"/>
    <x v="1297"/>
    <x v="1407"/>
    <x v="3"/>
    <x v="3"/>
    <n v="145"/>
    <x v="67"/>
    <n v="123.25"/>
    <x v="1398"/>
    <x v="1407"/>
    <x v="0"/>
    <x v="0"/>
    <x v="0"/>
    <s v="Wednesday"/>
  </r>
  <r>
    <s v="TXN-01476"/>
    <d v="2024-09-25T00:00:00"/>
    <d v="1899-12-30T08:30:00"/>
    <s v="Unknown"/>
    <s v="CUST0142"/>
    <x v="1"/>
    <x v="14"/>
    <x v="3"/>
    <s v="Food"/>
    <s v="Medium"/>
    <n v="1"/>
    <n v="180"/>
    <n v="0.05"/>
    <n v="180"/>
    <n v="171"/>
    <x v="1"/>
    <x v="0"/>
    <x v="0"/>
    <x v="4"/>
    <x v="2"/>
    <x v="0"/>
    <n v="7"/>
    <n v="34"/>
    <x v="1298"/>
    <x v="1408"/>
    <x v="1"/>
    <x v="0"/>
    <n v="180"/>
    <x v="13"/>
    <n v="171"/>
    <x v="1399"/>
    <x v="1408"/>
    <x v="0"/>
    <x v="0"/>
    <x v="0"/>
    <s v="Wednesday"/>
  </r>
  <r>
    <s v="TXN-01477"/>
    <d v="2024-11-23T00:00:00"/>
    <d v="1899-12-30T11:15:00"/>
    <s v="Meera Chopra"/>
    <s v="CUST0103"/>
    <x v="3"/>
    <x v="2"/>
    <x v="1"/>
    <s v="Food"/>
    <s v="Medium"/>
    <n v="2"/>
    <n v="70"/>
    <n v="0"/>
    <n v="140"/>
    <n v="140"/>
    <x v="3"/>
    <x v="2"/>
    <x v="3"/>
    <x v="5"/>
    <x v="0"/>
    <x v="2"/>
    <n v="321"/>
    <n v="36"/>
    <x v="1299"/>
    <x v="1409"/>
    <x v="3"/>
    <x v="4"/>
    <n v="140"/>
    <x v="0"/>
    <n v="140"/>
    <x v="657"/>
    <x v="1409"/>
    <x v="0"/>
    <x v="11"/>
    <x v="11"/>
    <s v="Saturday"/>
  </r>
  <r>
    <s v="TXN-01478"/>
    <d v="2024-06-03T00:00:00"/>
    <d v="1899-12-30T11:00:00"/>
    <s v="Ananya Chopra"/>
    <s v="CUST0292"/>
    <x v="2"/>
    <x v="10"/>
    <x v="1"/>
    <s v="Food"/>
    <s v="Medium"/>
    <n v="1"/>
    <n v="100"/>
    <n v="0"/>
    <n v="100"/>
    <n v="100"/>
    <x v="2"/>
    <x v="0"/>
    <x v="0"/>
    <x v="0"/>
    <x v="0"/>
    <x v="2"/>
    <n v="47"/>
    <n v="45"/>
    <x v="194"/>
    <x v="1410"/>
    <x v="0"/>
    <x v="0"/>
    <n v="100"/>
    <x v="0"/>
    <n v="100"/>
    <x v="195"/>
    <x v="1410"/>
    <x v="0"/>
    <x v="4"/>
    <x v="4"/>
    <s v="Monday"/>
  </r>
  <r>
    <s v="TXN-01479"/>
    <d v="2024-07-27T00:00:00"/>
    <d v="1899-12-30T14:15:00"/>
    <s v="Manish Singh"/>
    <s v="CUST0146"/>
    <x v="2"/>
    <x v="14"/>
    <x v="3"/>
    <s v="Food"/>
    <s v="Small"/>
    <n v="1"/>
    <n v="185"/>
    <n v="0"/>
    <n v="185"/>
    <n v="185"/>
    <x v="0"/>
    <x v="3"/>
    <x v="4"/>
    <x v="2"/>
    <x v="1"/>
    <x v="1"/>
    <n v="76"/>
    <n v="35"/>
    <x v="1300"/>
    <x v="302"/>
    <x v="2"/>
    <x v="3"/>
    <n v="185"/>
    <x v="0"/>
    <n v="185"/>
    <x v="1400"/>
    <x v="302"/>
    <x v="0"/>
    <x v="7"/>
    <x v="7"/>
    <s v="Saturday"/>
  </r>
  <r>
    <s v="TXN-01480"/>
    <d v="2024-12-27T00:00:00"/>
    <d v="1899-12-30T16:45:00"/>
    <s v="Nikhil Bansal"/>
    <s v="CUST0337"/>
    <x v="2"/>
    <x v="10"/>
    <x v="1"/>
    <s v="Food"/>
    <s v="Medium"/>
    <n v="1"/>
    <n v="105"/>
    <n v="0"/>
    <n v="105"/>
    <n v="105"/>
    <x v="1"/>
    <x v="3"/>
    <x v="4"/>
    <x v="2"/>
    <x v="0"/>
    <x v="2"/>
    <n v="263"/>
    <n v="28"/>
    <x v="624"/>
    <x v="1411"/>
    <x v="1"/>
    <x v="2"/>
    <n v="105"/>
    <x v="0"/>
    <n v="105"/>
    <x v="640"/>
    <x v="1411"/>
    <x v="0"/>
    <x v="9"/>
    <x v="9"/>
    <s v="Friday"/>
  </r>
  <r>
    <s v="TXN-01481"/>
    <d v="2024-10-23T00:00:00"/>
    <d v="1899-12-30T16:10:00"/>
    <s v="Rohan Malhotra"/>
    <s v="CUST0130"/>
    <x v="0"/>
    <x v="1"/>
    <x v="1"/>
    <s v="Food"/>
    <s v="Large"/>
    <n v="1"/>
    <n v="130"/>
    <n v="0.05"/>
    <n v="130"/>
    <n v="123.5"/>
    <x v="1"/>
    <x v="3"/>
    <x v="0"/>
    <x v="2"/>
    <x v="0"/>
    <x v="1"/>
    <n v="307"/>
    <n v="35"/>
    <x v="1301"/>
    <x v="1412"/>
    <x v="2"/>
    <x v="0"/>
    <n v="130"/>
    <x v="41"/>
    <n v="123.5"/>
    <x v="1401"/>
    <x v="1412"/>
    <x v="0"/>
    <x v="10"/>
    <x v="10"/>
    <s v="Wednesday"/>
  </r>
  <r>
    <s v="TXN-01482"/>
    <d v="2024-07-07T00:00:00"/>
    <d v="1899-12-30T15:10:00"/>
    <s v="Riya Gupta"/>
    <s v="CUST0260"/>
    <x v="2"/>
    <x v="12"/>
    <x v="1"/>
    <s v="Food"/>
    <s v="Medium"/>
    <n v="1"/>
    <n v="90"/>
    <n v="0.1"/>
    <n v="90"/>
    <n v="81"/>
    <x v="1"/>
    <x v="0"/>
    <x v="1"/>
    <x v="2"/>
    <x v="1"/>
    <x v="4"/>
    <n v="320"/>
    <n v="44"/>
    <x v="1017"/>
    <x v="1413"/>
    <x v="4"/>
    <x v="4"/>
    <n v="90"/>
    <x v="13"/>
    <n v="81"/>
    <x v="1079"/>
    <x v="1413"/>
    <x v="0"/>
    <x v="7"/>
    <x v="7"/>
    <s v="Sunday"/>
  </r>
  <r>
    <s v="TXN-01483"/>
    <d v="2024-10-14T00:00:00"/>
    <d v="1899-12-30T17:00:00"/>
    <s v="Neha Kapoor"/>
    <s v="CUST0349"/>
    <x v="2"/>
    <x v="12"/>
    <x v="1"/>
    <s v="Food"/>
    <s v="Medium"/>
    <n v="1"/>
    <n v="90"/>
    <n v="0.05"/>
    <n v="90"/>
    <n v="85.5"/>
    <x v="1"/>
    <x v="2"/>
    <x v="4"/>
    <x v="7"/>
    <x v="1"/>
    <x v="4"/>
    <n v="492"/>
    <n v="27"/>
    <x v="1302"/>
    <x v="245"/>
    <x v="4"/>
    <x v="3"/>
    <n v="90"/>
    <x v="31"/>
    <n v="85.5"/>
    <x v="1402"/>
    <x v="245"/>
    <x v="0"/>
    <x v="10"/>
    <x v="10"/>
    <s v="Monday"/>
  </r>
  <r>
    <s v="TXN-01484"/>
    <d v="2024-11-29T00:00:00"/>
    <d v="1899-12-30T15:50:00"/>
    <s v="Manish Bansal"/>
    <s v="CUST0294"/>
    <x v="0"/>
    <x v="13"/>
    <x v="2"/>
    <s v="Cold"/>
    <s v="Unknown"/>
    <n v="1"/>
    <n v="110"/>
    <n v="0"/>
    <n v="110"/>
    <n v="110"/>
    <x v="0"/>
    <x v="2"/>
    <x v="0"/>
    <x v="4"/>
    <x v="0"/>
    <x v="3"/>
    <n v="207"/>
    <n v="21"/>
    <x v="1303"/>
    <x v="1414"/>
    <x v="3"/>
    <x v="0"/>
    <n v="110"/>
    <x v="0"/>
    <n v="110"/>
    <x v="1403"/>
    <x v="1414"/>
    <x v="0"/>
    <x v="11"/>
    <x v="11"/>
    <s v="Friday"/>
  </r>
  <r>
    <s v="TXN-01485"/>
    <d v="2024-02-16T00:00:00"/>
    <d v="1899-12-30T09:20:00"/>
    <s v="Riya Sharma"/>
    <s v="CUST0187"/>
    <x v="2"/>
    <x v="4"/>
    <x v="0"/>
    <s v="Cold"/>
    <s v="Unknown"/>
    <n v="2"/>
    <n v="150"/>
    <n v="0.1"/>
    <n v="300"/>
    <n v="270"/>
    <x v="0"/>
    <x v="3"/>
    <x v="2"/>
    <x v="3"/>
    <x v="1"/>
    <x v="4"/>
    <n v="244"/>
    <n v="35"/>
    <x v="1304"/>
    <x v="1415"/>
    <x v="1"/>
    <x v="0"/>
    <n v="300"/>
    <x v="89"/>
    <n v="270"/>
    <x v="1404"/>
    <x v="1415"/>
    <x v="0"/>
    <x v="3"/>
    <x v="3"/>
    <s v="Friday"/>
  </r>
  <r>
    <s v="TXN-01486"/>
    <d v="2024-08-05T00:00:00"/>
    <d v="1899-12-30T16:50:00"/>
    <s v="Riya Gupta"/>
    <s v="CUST0382"/>
    <x v="0"/>
    <x v="11"/>
    <x v="0"/>
    <s v="Hot"/>
    <s v="Small"/>
    <n v="1"/>
    <n v="85"/>
    <n v="0"/>
    <n v="85"/>
    <n v="85"/>
    <x v="1"/>
    <x v="0"/>
    <x v="4"/>
    <x v="4"/>
    <x v="0"/>
    <x v="4"/>
    <n v="406"/>
    <n v="34"/>
    <x v="1305"/>
    <x v="1416"/>
    <x v="3"/>
    <x v="4"/>
    <n v="85"/>
    <x v="0"/>
    <n v="85"/>
    <x v="1405"/>
    <x v="1416"/>
    <x v="0"/>
    <x v="1"/>
    <x v="1"/>
    <s v="Monday"/>
  </r>
  <r>
    <s v="TXN-01487"/>
    <d v="2024-10-05T00:00:00"/>
    <d v="1899-12-30T17:10:00"/>
    <s v="Riya Kaur"/>
    <s v="Unknown"/>
    <x v="3"/>
    <x v="9"/>
    <x v="2"/>
    <s v="Hot"/>
    <s v="Large"/>
    <n v="1"/>
    <n v="85"/>
    <n v="0"/>
    <n v="85"/>
    <n v="85"/>
    <x v="1"/>
    <x v="1"/>
    <x v="5"/>
    <x v="5"/>
    <x v="0"/>
    <x v="4"/>
    <n v="52"/>
    <n v="22"/>
    <x v="1306"/>
    <x v="1417"/>
    <x v="3"/>
    <x v="0"/>
    <n v="85"/>
    <x v="0"/>
    <n v="85"/>
    <x v="1406"/>
    <x v="1417"/>
    <x v="0"/>
    <x v="10"/>
    <x v="10"/>
    <s v="Saturday"/>
  </r>
  <r>
    <s v="TXN-01488"/>
    <d v="2024-10-14T00:00:00"/>
    <d v="1899-12-30T17:30:00"/>
    <s v="Rahul Malhotra"/>
    <s v="CUST0352"/>
    <x v="3"/>
    <x v="0"/>
    <x v="0"/>
    <s v="Hot"/>
    <s v="Large"/>
    <n v="1"/>
    <n v="130"/>
    <n v="0.1"/>
    <n v="130"/>
    <n v="117"/>
    <x v="2"/>
    <x v="0"/>
    <x v="1"/>
    <x v="7"/>
    <x v="2"/>
    <x v="4"/>
    <n v="333"/>
    <n v="50"/>
    <x v="1307"/>
    <x v="1418"/>
    <x v="3"/>
    <x v="0"/>
    <n v="130"/>
    <x v="17"/>
    <n v="117"/>
    <x v="1407"/>
    <x v="1418"/>
    <x v="0"/>
    <x v="10"/>
    <x v="10"/>
    <s v="Monday"/>
  </r>
  <r>
    <s v="TXN-01489"/>
    <d v="2024-01-16T00:00:00"/>
    <d v="1899-12-30T09:30:00"/>
    <s v="Aditya Mehta"/>
    <s v="CUST0161"/>
    <x v="3"/>
    <x v="12"/>
    <x v="1"/>
    <s v="Food"/>
    <s v="Large"/>
    <n v="2"/>
    <n v="90"/>
    <n v="0.05"/>
    <n v="180"/>
    <n v="171"/>
    <x v="2"/>
    <x v="3"/>
    <x v="6"/>
    <x v="0"/>
    <x v="0"/>
    <x v="2"/>
    <n v="194"/>
    <n v="35"/>
    <x v="1308"/>
    <x v="1419"/>
    <x v="3"/>
    <x v="1"/>
    <n v="180"/>
    <x v="13"/>
    <n v="171"/>
    <x v="1408"/>
    <x v="1419"/>
    <x v="0"/>
    <x v="2"/>
    <x v="2"/>
    <s v="Tuesday"/>
  </r>
  <r>
    <s v="TXN-01490"/>
    <d v="2024-04-08T00:00:00"/>
    <d v="1899-12-30T08:15:00"/>
    <s v="Riya Gupta"/>
    <s v="CUST0143"/>
    <x v="2"/>
    <x v="5"/>
    <x v="2"/>
    <s v="Hot"/>
    <s v="Medium"/>
    <n v="1"/>
    <n v="105"/>
    <n v="0.05"/>
    <n v="105"/>
    <n v="99.75"/>
    <x v="0"/>
    <x v="0"/>
    <x v="3"/>
    <x v="7"/>
    <x v="0"/>
    <x v="4"/>
    <n v="385"/>
    <n v="26"/>
    <x v="1309"/>
    <x v="1420"/>
    <x v="4"/>
    <x v="0"/>
    <n v="105"/>
    <x v="40"/>
    <n v="99.75"/>
    <x v="1409"/>
    <x v="1420"/>
    <x v="0"/>
    <x v="8"/>
    <x v="8"/>
    <s v="Monday"/>
  </r>
  <r>
    <s v="TXN-01491"/>
    <d v="2024-12-08T00:00:00"/>
    <d v="1899-12-30T19:50:00"/>
    <s v="Sahil Malhotra"/>
    <s v="CUST0316"/>
    <x v="2"/>
    <x v="1"/>
    <x v="1"/>
    <s v="Food"/>
    <s v="Medium"/>
    <n v="1"/>
    <n v="120"/>
    <n v="0"/>
    <n v="120"/>
    <n v="120"/>
    <x v="0"/>
    <x v="3"/>
    <x v="4"/>
    <x v="7"/>
    <x v="0"/>
    <x v="1"/>
    <n v="307"/>
    <n v="45"/>
    <x v="163"/>
    <x v="1421"/>
    <x v="2"/>
    <x v="3"/>
    <n v="120"/>
    <x v="0"/>
    <n v="120"/>
    <x v="1410"/>
    <x v="1421"/>
    <x v="0"/>
    <x v="9"/>
    <x v="9"/>
    <s v="Sunday"/>
  </r>
  <r>
    <s v="TXN-01492"/>
    <d v="2024-08-09T00:00:00"/>
    <d v="1899-12-30T08:10:00"/>
    <s v="Aditya Kaur"/>
    <s v="CUST0299"/>
    <x v="0"/>
    <x v="15"/>
    <x v="4"/>
    <s v="Food"/>
    <s v="Large"/>
    <n v="1"/>
    <n v="200"/>
    <n v="0.15"/>
    <n v="200"/>
    <n v="170"/>
    <x v="2"/>
    <x v="0"/>
    <x v="1"/>
    <x v="3"/>
    <x v="0"/>
    <x v="2"/>
    <n v="14"/>
    <n v="38"/>
    <x v="1310"/>
    <x v="1422"/>
    <x v="0"/>
    <x v="0"/>
    <n v="200"/>
    <x v="89"/>
    <n v="170"/>
    <x v="1411"/>
    <x v="1422"/>
    <x v="0"/>
    <x v="1"/>
    <x v="1"/>
    <s v="Friday"/>
  </r>
  <r>
    <s v="TXN-01493"/>
    <d v="2024-12-14T00:00:00"/>
    <d v="1899-12-30T16:30:00"/>
    <s v="Nikhil Kapoor"/>
    <s v="CUST0387"/>
    <x v="2"/>
    <x v="10"/>
    <x v="1"/>
    <s v="Food"/>
    <s v="Unknown"/>
    <n v="2"/>
    <n v="100"/>
    <n v="0"/>
    <n v="200"/>
    <n v="200"/>
    <x v="2"/>
    <x v="0"/>
    <x v="2"/>
    <x v="2"/>
    <x v="0"/>
    <x v="2"/>
    <n v="155"/>
    <n v="55"/>
    <x v="1311"/>
    <x v="1423"/>
    <x v="0"/>
    <x v="0"/>
    <n v="200"/>
    <x v="0"/>
    <n v="200"/>
    <x v="1412"/>
    <x v="1423"/>
    <x v="0"/>
    <x v="9"/>
    <x v="9"/>
    <s v="Saturday"/>
  </r>
  <r>
    <s v="TXN-01494"/>
    <d v="2024-06-25T00:00:00"/>
    <d v="1899-12-30T21:30:00"/>
    <s v="Rohan Kaur"/>
    <s v="Unknown"/>
    <x v="2"/>
    <x v="6"/>
    <x v="0"/>
    <s v="Hot"/>
    <s v="Medium"/>
    <n v="1"/>
    <n v="110"/>
    <n v="0.05"/>
    <n v="110"/>
    <n v="104.5"/>
    <x v="0"/>
    <x v="0"/>
    <x v="4"/>
    <x v="1"/>
    <x v="0"/>
    <x v="2"/>
    <n v="151"/>
    <n v="59"/>
    <x v="1312"/>
    <x v="1424"/>
    <x v="0"/>
    <x v="0"/>
    <n v="110"/>
    <x v="52"/>
    <n v="104.5"/>
    <x v="1413"/>
    <x v="1424"/>
    <x v="0"/>
    <x v="4"/>
    <x v="4"/>
    <s v="Tuesday"/>
  </r>
  <r>
    <s v="TXN-01495"/>
    <d v="2024-05-19T00:00:00"/>
    <d v="1899-12-30T11:20:00"/>
    <s v="Sahil Bansal"/>
    <s v="CUST0176"/>
    <x v="2"/>
    <x v="15"/>
    <x v="4"/>
    <s v="Food"/>
    <s v="Unknown"/>
    <n v="1"/>
    <n v="195"/>
    <n v="0.1"/>
    <n v="195"/>
    <n v="175.5"/>
    <x v="1"/>
    <x v="0"/>
    <x v="1"/>
    <x v="7"/>
    <x v="2"/>
    <x v="0"/>
    <n v="465"/>
    <n v="25"/>
    <x v="1313"/>
    <x v="1425"/>
    <x v="3"/>
    <x v="0"/>
    <n v="195"/>
    <x v="50"/>
    <n v="175.5"/>
    <x v="546"/>
    <x v="1425"/>
    <x v="0"/>
    <x v="6"/>
    <x v="6"/>
    <s v="Sunday"/>
  </r>
  <r>
    <s v="TXN-01496"/>
    <d v="2024-02-03T00:00:00"/>
    <d v="1899-12-30T21:45:00"/>
    <s v="Aditya Mehta"/>
    <s v="CUST0184"/>
    <x v="1"/>
    <x v="2"/>
    <x v="1"/>
    <s v="Food"/>
    <s v="Unknown"/>
    <n v="1"/>
    <n v="70"/>
    <n v="0.1"/>
    <n v="70"/>
    <n v="63"/>
    <x v="2"/>
    <x v="3"/>
    <x v="4"/>
    <x v="0"/>
    <x v="0"/>
    <x v="3"/>
    <n v="244"/>
    <n v="32"/>
    <x v="1314"/>
    <x v="1426"/>
    <x v="0"/>
    <x v="4"/>
    <n v="70"/>
    <x v="22"/>
    <n v="63"/>
    <x v="1414"/>
    <x v="1426"/>
    <x v="0"/>
    <x v="3"/>
    <x v="3"/>
    <s v="Saturday"/>
  </r>
  <r>
    <s v="TXN-01497"/>
    <d v="2024-04-09T00:00:00"/>
    <d v="1899-12-30T15:00:00"/>
    <s v="Karan Singh"/>
    <s v="CUST0264"/>
    <x v="3"/>
    <x v="15"/>
    <x v="4"/>
    <s v="Food"/>
    <s v="Medium"/>
    <n v="4"/>
    <n v="190"/>
    <n v="0"/>
    <n v="760"/>
    <n v="760"/>
    <x v="2"/>
    <x v="1"/>
    <x v="1"/>
    <x v="1"/>
    <x v="1"/>
    <x v="1"/>
    <n v="228"/>
    <n v="36"/>
    <x v="901"/>
    <x v="1427"/>
    <x v="3"/>
    <x v="2"/>
    <n v="760"/>
    <x v="0"/>
    <n v="760"/>
    <x v="1415"/>
    <x v="1427"/>
    <x v="0"/>
    <x v="8"/>
    <x v="8"/>
    <s v="Tuesday"/>
  </r>
  <r>
    <s v="TXN-01498"/>
    <d v="2024-10-25T00:00:00"/>
    <d v="1899-12-30T16:10:00"/>
    <s v="Arjun Kapoor"/>
    <s v="CUST0172"/>
    <x v="3"/>
    <x v="9"/>
    <x v="2"/>
    <s v="Hot"/>
    <s v="Large"/>
    <n v="1"/>
    <n v="80"/>
    <n v="0.05"/>
    <n v="80"/>
    <n v="76"/>
    <x v="2"/>
    <x v="2"/>
    <x v="4"/>
    <x v="7"/>
    <x v="0"/>
    <x v="0"/>
    <n v="273"/>
    <n v="56"/>
    <x v="44"/>
    <x v="1428"/>
    <x v="3"/>
    <x v="2"/>
    <n v="80"/>
    <x v="96"/>
    <n v="76"/>
    <x v="1416"/>
    <x v="1428"/>
    <x v="0"/>
    <x v="10"/>
    <x v="10"/>
    <s v="Friday"/>
  </r>
  <r>
    <s v="TXN-01499"/>
    <d v="2024-01-01T00:00:00"/>
    <d v="1899-12-30T15:30:00"/>
    <s v="Ananya Malhotra"/>
    <s v="CUST0376"/>
    <x v="3"/>
    <x v="15"/>
    <x v="4"/>
    <s v="Food"/>
    <s v="Medium"/>
    <n v="1"/>
    <n v="200"/>
    <n v="0.15"/>
    <n v="200"/>
    <n v="170"/>
    <x v="3"/>
    <x v="2"/>
    <x v="4"/>
    <x v="2"/>
    <x v="2"/>
    <x v="3"/>
    <n v="310"/>
    <n v="54"/>
    <x v="1315"/>
    <x v="1429"/>
    <x v="4"/>
    <x v="2"/>
    <n v="200"/>
    <x v="89"/>
    <n v="170"/>
    <x v="1417"/>
    <x v="1429"/>
    <x v="0"/>
    <x v="2"/>
    <x v="2"/>
    <s v="Monday"/>
  </r>
  <r>
    <s v="TXN-01500"/>
    <d v="2024-02-01T00:00:00"/>
    <d v="1899-12-30T15:50:00"/>
    <s v="Meera Kapoor"/>
    <s v="CUST0200"/>
    <x v="1"/>
    <x v="15"/>
    <x v="4"/>
    <s v="Food"/>
    <s v="Small"/>
    <n v="2"/>
    <n v="190"/>
    <n v="0.05"/>
    <n v="380"/>
    <n v="361"/>
    <x v="0"/>
    <x v="1"/>
    <x v="6"/>
    <x v="1"/>
    <x v="0"/>
    <x v="0"/>
    <n v="140"/>
    <n v="36"/>
    <x v="1316"/>
    <x v="1430"/>
    <x v="3"/>
    <x v="2"/>
    <n v="380"/>
    <x v="29"/>
    <n v="361"/>
    <x v="1418"/>
    <x v="1430"/>
    <x v="0"/>
    <x v="3"/>
    <x v="3"/>
    <s v="Thursday"/>
  </r>
  <r>
    <s v="TXN-01501"/>
    <d v="2024-02-08T00:00:00"/>
    <d v="1899-12-30T18:45:00"/>
    <s v="Manish Verma"/>
    <s v="CUST0358"/>
    <x v="3"/>
    <x v="0"/>
    <x v="0"/>
    <s v="Hot"/>
    <s v="Medium"/>
    <n v="2"/>
    <n v="130"/>
    <n v="0.1"/>
    <n v="260"/>
    <n v="234"/>
    <x v="1"/>
    <x v="2"/>
    <x v="6"/>
    <x v="6"/>
    <x v="2"/>
    <x v="4"/>
    <n v="203"/>
    <n v="38"/>
    <x v="713"/>
    <x v="1431"/>
    <x v="0"/>
    <x v="4"/>
    <n v="260"/>
    <x v="63"/>
    <n v="234"/>
    <x v="1419"/>
    <x v="1431"/>
    <x v="0"/>
    <x v="3"/>
    <x v="3"/>
    <s v="Thursday"/>
  </r>
  <r>
    <s v="TXN-01502"/>
    <d v="2024-02-27T00:00:00"/>
    <d v="1899-12-30T20:15:00"/>
    <s v="Sneha Mehta"/>
    <s v="CUST0205"/>
    <x v="0"/>
    <x v="3"/>
    <x v="0"/>
    <s v="Hot"/>
    <s v="Unknown"/>
    <n v="2"/>
    <n v="130"/>
    <n v="0"/>
    <n v="260"/>
    <n v="260"/>
    <x v="0"/>
    <x v="3"/>
    <x v="2"/>
    <x v="2"/>
    <x v="1"/>
    <x v="0"/>
    <n v="157"/>
    <n v="57"/>
    <x v="1317"/>
    <x v="1432"/>
    <x v="2"/>
    <x v="3"/>
    <n v="260"/>
    <x v="0"/>
    <n v="260"/>
    <x v="1420"/>
    <x v="1432"/>
    <x v="0"/>
    <x v="3"/>
    <x v="3"/>
    <s v="Tuesday"/>
  </r>
  <r>
    <s v="TXN-01503"/>
    <d v="2024-04-03T00:00:00"/>
    <d v="1899-12-30T15:30:00"/>
    <s v="Arjun Kaur"/>
    <s v="Unknown"/>
    <x v="3"/>
    <x v="5"/>
    <x v="2"/>
    <s v="Hot"/>
    <s v="Large"/>
    <n v="1"/>
    <n v="90"/>
    <n v="0"/>
    <n v="90"/>
    <n v="90"/>
    <x v="3"/>
    <x v="3"/>
    <x v="2"/>
    <x v="7"/>
    <x v="0"/>
    <x v="4"/>
    <n v="155"/>
    <n v="35"/>
    <x v="1318"/>
    <x v="830"/>
    <x v="3"/>
    <x v="4"/>
    <n v="90"/>
    <x v="0"/>
    <n v="90"/>
    <x v="1421"/>
    <x v="830"/>
    <x v="0"/>
    <x v="8"/>
    <x v="8"/>
    <s v="Wednesday"/>
  </r>
  <r>
    <s v="TXN-01504"/>
    <d v="2024-01-03T00:00:00"/>
    <d v="1899-12-30T17:50:00"/>
    <s v="Ananya Sharma"/>
    <s v="CUST0215"/>
    <x v="2"/>
    <x v="12"/>
    <x v="1"/>
    <s v="Food"/>
    <s v="Unknown"/>
    <n v="1"/>
    <n v="90"/>
    <n v="0"/>
    <n v="90"/>
    <n v="90"/>
    <x v="0"/>
    <x v="1"/>
    <x v="6"/>
    <x v="0"/>
    <x v="0"/>
    <x v="2"/>
    <n v="244"/>
    <n v="48"/>
    <x v="1319"/>
    <x v="1433"/>
    <x v="1"/>
    <x v="3"/>
    <n v="90"/>
    <x v="0"/>
    <n v="90"/>
    <x v="1422"/>
    <x v="1433"/>
    <x v="0"/>
    <x v="2"/>
    <x v="2"/>
    <s v="Wednesday"/>
  </r>
  <r>
    <s v="TXN-01505"/>
    <d v="2024-10-30T00:00:00"/>
    <d v="1899-12-30T15:15:00"/>
    <s v="Kavya Sharma"/>
    <s v="CUST0224"/>
    <x v="3"/>
    <x v="8"/>
    <x v="0"/>
    <s v="Cold"/>
    <s v="Medium"/>
    <n v="1"/>
    <n v="165"/>
    <n v="0.15"/>
    <n v="165"/>
    <n v="140.25"/>
    <x v="0"/>
    <x v="0"/>
    <x v="5"/>
    <x v="2"/>
    <x v="0"/>
    <x v="4"/>
    <n v="490"/>
    <n v="54"/>
    <x v="1320"/>
    <x v="1434"/>
    <x v="4"/>
    <x v="0"/>
    <n v="165"/>
    <x v="102"/>
    <n v="140.25"/>
    <x v="1423"/>
    <x v="1434"/>
    <x v="0"/>
    <x v="10"/>
    <x v="10"/>
    <s v="Wednesday"/>
  </r>
  <r>
    <s v="TXN-01506"/>
    <d v="2024-03-25T00:00:00"/>
    <d v="1899-12-30T13:15:00"/>
    <s v="Karan Singh"/>
    <s v="CUST0192"/>
    <x v="2"/>
    <x v="0"/>
    <x v="0"/>
    <s v="Hot"/>
    <s v="Medium"/>
    <n v="1"/>
    <n v="140"/>
    <n v="0.05"/>
    <n v="140"/>
    <n v="133"/>
    <x v="2"/>
    <x v="2"/>
    <x v="5"/>
    <x v="3"/>
    <x v="0"/>
    <x v="2"/>
    <n v="236"/>
    <n v="58"/>
    <x v="1321"/>
    <x v="1435"/>
    <x v="2"/>
    <x v="0"/>
    <n v="140"/>
    <x v="22"/>
    <n v="133"/>
    <x v="1424"/>
    <x v="1435"/>
    <x v="0"/>
    <x v="5"/>
    <x v="5"/>
    <s v="Monday"/>
  </r>
  <r>
    <s v="TXN-01507"/>
    <d v="2024-08-28T00:00:00"/>
    <d v="1899-12-30T12:50:00"/>
    <s v="Kavya Sharma"/>
    <s v="CUST0199"/>
    <x v="3"/>
    <x v="2"/>
    <x v="1"/>
    <s v="Food"/>
    <s v="Large"/>
    <n v="3"/>
    <n v="65"/>
    <n v="0.15"/>
    <n v="195"/>
    <n v="165.75"/>
    <x v="3"/>
    <x v="3"/>
    <x v="0"/>
    <x v="7"/>
    <x v="0"/>
    <x v="3"/>
    <n v="168"/>
    <n v="35"/>
    <x v="1322"/>
    <x v="1436"/>
    <x v="0"/>
    <x v="0"/>
    <n v="195"/>
    <x v="111"/>
    <n v="165.75"/>
    <x v="1425"/>
    <x v="1436"/>
    <x v="0"/>
    <x v="1"/>
    <x v="1"/>
    <s v="Wednesday"/>
  </r>
  <r>
    <s v="TXN-01508"/>
    <d v="2024-08-15T00:00:00"/>
    <d v="1899-12-30T13:15:00"/>
    <s v="Priya Bansal"/>
    <s v="CUST0121"/>
    <x v="2"/>
    <x v="7"/>
    <x v="0"/>
    <s v="Hot"/>
    <s v="Medium"/>
    <n v="2"/>
    <n v="140"/>
    <n v="0"/>
    <n v="280"/>
    <n v="280"/>
    <x v="0"/>
    <x v="2"/>
    <x v="3"/>
    <x v="0"/>
    <x v="0"/>
    <x v="2"/>
    <n v="19"/>
    <n v="28"/>
    <x v="249"/>
    <x v="435"/>
    <x v="1"/>
    <x v="1"/>
    <n v="280"/>
    <x v="0"/>
    <n v="280"/>
    <x v="252"/>
    <x v="435"/>
    <x v="0"/>
    <x v="1"/>
    <x v="1"/>
    <s v="Thursday"/>
  </r>
  <r>
    <s v="TXN-01509"/>
    <d v="2024-01-26T00:00:00"/>
    <d v="1899-12-30T16:10:00"/>
    <s v="Isha Chopra"/>
    <s v="CUST0340"/>
    <x v="2"/>
    <x v="0"/>
    <x v="0"/>
    <s v="Hot"/>
    <s v="Small"/>
    <n v="2"/>
    <n v="135"/>
    <n v="0"/>
    <n v="270"/>
    <n v="270"/>
    <x v="2"/>
    <x v="3"/>
    <x v="4"/>
    <x v="6"/>
    <x v="1"/>
    <x v="0"/>
    <n v="254"/>
    <n v="35"/>
    <x v="1323"/>
    <x v="99"/>
    <x v="0"/>
    <x v="3"/>
    <n v="270"/>
    <x v="0"/>
    <n v="270"/>
    <x v="1426"/>
    <x v="99"/>
    <x v="0"/>
    <x v="2"/>
    <x v="2"/>
    <s v="Friday"/>
  </r>
  <r>
    <s v="TXN-01510"/>
    <d v="2024-02-08T00:00:00"/>
    <d v="1899-12-30T07:10:00"/>
    <s v="Karan Bansal"/>
    <s v="CUST0348"/>
    <x v="3"/>
    <x v="7"/>
    <x v="0"/>
    <s v="Hot"/>
    <s v="Medium"/>
    <n v="2"/>
    <n v="150"/>
    <n v="0"/>
    <n v="300"/>
    <n v="300"/>
    <x v="1"/>
    <x v="1"/>
    <x v="1"/>
    <x v="1"/>
    <x v="0"/>
    <x v="2"/>
    <n v="241"/>
    <n v="43"/>
    <x v="1324"/>
    <x v="1437"/>
    <x v="3"/>
    <x v="4"/>
    <n v="300"/>
    <x v="0"/>
    <n v="300"/>
    <x v="1427"/>
    <x v="1437"/>
    <x v="0"/>
    <x v="3"/>
    <x v="3"/>
    <s v="Thursday"/>
  </r>
  <r>
    <s v="TXN-01511"/>
    <d v="2024-09-29T00:00:00"/>
    <d v="1899-12-30T16:30:00"/>
    <s v="Sahil Gupta"/>
    <s v="CUST0140"/>
    <x v="2"/>
    <x v="12"/>
    <x v="1"/>
    <s v="Food"/>
    <s v="Small"/>
    <n v="1"/>
    <n v="95"/>
    <n v="0.1"/>
    <n v="95"/>
    <n v="85.5"/>
    <x v="3"/>
    <x v="2"/>
    <x v="4"/>
    <x v="5"/>
    <x v="0"/>
    <x v="4"/>
    <n v="328"/>
    <n v="24"/>
    <x v="1155"/>
    <x v="1438"/>
    <x v="0"/>
    <x v="1"/>
    <n v="95"/>
    <x v="10"/>
    <n v="85.5"/>
    <x v="1239"/>
    <x v="1438"/>
    <x v="0"/>
    <x v="0"/>
    <x v="0"/>
    <s v="Sunday"/>
  </r>
  <r>
    <s v="TXN-01512"/>
    <d v="2024-07-11T00:00:00"/>
    <d v="1899-12-30T12:10:00"/>
    <s v="Vivaan Singh"/>
    <s v="CUST0229"/>
    <x v="3"/>
    <x v="7"/>
    <x v="0"/>
    <s v="Hot"/>
    <s v="Medium"/>
    <n v="2"/>
    <n v="145"/>
    <n v="0.1"/>
    <n v="290"/>
    <n v="261"/>
    <x v="2"/>
    <x v="2"/>
    <x v="5"/>
    <x v="6"/>
    <x v="0"/>
    <x v="2"/>
    <n v="210"/>
    <n v="52"/>
    <x v="1325"/>
    <x v="1439"/>
    <x v="2"/>
    <x v="1"/>
    <n v="290"/>
    <x v="26"/>
    <n v="261"/>
    <x v="1428"/>
    <x v="1439"/>
    <x v="0"/>
    <x v="7"/>
    <x v="7"/>
    <s v="Thursday"/>
  </r>
  <r>
    <s v="TXN-01513"/>
    <d v="2024-08-09T00:00:00"/>
    <d v="1899-12-30T19:45:00"/>
    <s v="Sneha Kaur"/>
    <s v="CUST0101"/>
    <x v="3"/>
    <x v="1"/>
    <x v="1"/>
    <s v="Food"/>
    <s v="Unknown"/>
    <n v="1"/>
    <n v="120"/>
    <n v="0.05"/>
    <n v="120"/>
    <n v="114"/>
    <x v="2"/>
    <x v="0"/>
    <x v="1"/>
    <x v="5"/>
    <x v="0"/>
    <x v="3"/>
    <n v="283"/>
    <n v="24"/>
    <x v="710"/>
    <x v="1401"/>
    <x v="1"/>
    <x v="2"/>
    <n v="120"/>
    <x v="77"/>
    <n v="114"/>
    <x v="1429"/>
    <x v="1401"/>
    <x v="0"/>
    <x v="1"/>
    <x v="1"/>
    <s v="Friday"/>
  </r>
  <r>
    <s v="TXN-01514"/>
    <d v="2024-05-05T00:00:00"/>
    <d v="1899-12-30T19:50:00"/>
    <s v="Aditya Singh"/>
    <s v="CUST0195"/>
    <x v="3"/>
    <x v="10"/>
    <x v="1"/>
    <s v="Food"/>
    <s v="Medium"/>
    <n v="1"/>
    <n v="105"/>
    <n v="0.15"/>
    <n v="105"/>
    <n v="89.25"/>
    <x v="1"/>
    <x v="3"/>
    <x v="2"/>
    <x v="4"/>
    <x v="0"/>
    <x v="4"/>
    <n v="229"/>
    <n v="35"/>
    <x v="955"/>
    <x v="1440"/>
    <x v="1"/>
    <x v="1"/>
    <n v="105"/>
    <x v="24"/>
    <n v="89.25"/>
    <x v="1430"/>
    <x v="1440"/>
    <x v="0"/>
    <x v="6"/>
    <x v="6"/>
    <s v="Sunday"/>
  </r>
  <r>
    <s v="TXN-01515"/>
    <d v="2024-05-15T00:00:00"/>
    <d v="1899-12-30T19:30:00"/>
    <s v="Kavya Malhotra"/>
    <s v="CUST0385"/>
    <x v="3"/>
    <x v="3"/>
    <x v="0"/>
    <s v="Hot"/>
    <s v="Medium"/>
    <n v="1"/>
    <n v="120"/>
    <n v="0.1"/>
    <n v="120"/>
    <n v="108"/>
    <x v="1"/>
    <x v="3"/>
    <x v="1"/>
    <x v="0"/>
    <x v="1"/>
    <x v="0"/>
    <n v="369"/>
    <n v="37"/>
    <x v="259"/>
    <x v="1441"/>
    <x v="2"/>
    <x v="1"/>
    <n v="120"/>
    <x v="2"/>
    <n v="108"/>
    <x v="1431"/>
    <x v="1441"/>
    <x v="0"/>
    <x v="6"/>
    <x v="6"/>
    <s v="Wednesday"/>
  </r>
  <r>
    <s v="TXN-01516"/>
    <d v="2024-08-28T00:00:00"/>
    <d v="1899-12-30T17:15:00"/>
    <s v="Aditya Malhotra"/>
    <s v="Unknown"/>
    <x v="3"/>
    <x v="9"/>
    <x v="2"/>
    <s v="Hot"/>
    <s v="Medium"/>
    <n v="5"/>
    <n v="90"/>
    <n v="0.15"/>
    <n v="450"/>
    <n v="382.5"/>
    <x v="0"/>
    <x v="3"/>
    <x v="2"/>
    <x v="1"/>
    <x v="0"/>
    <x v="4"/>
    <n v="259"/>
    <n v="28"/>
    <x v="1164"/>
    <x v="1442"/>
    <x v="0"/>
    <x v="1"/>
    <n v="450"/>
    <x v="86"/>
    <n v="382.5"/>
    <x v="1432"/>
    <x v="1442"/>
    <x v="0"/>
    <x v="1"/>
    <x v="1"/>
    <s v="Wednesday"/>
  </r>
  <r>
    <s v="TXN-01517"/>
    <d v="2024-05-25T00:00:00"/>
    <d v="1899-12-30T16:20:00"/>
    <s v="Rohan Kaur"/>
    <s v="CUST0292"/>
    <x v="2"/>
    <x v="14"/>
    <x v="3"/>
    <s v="Food"/>
    <s v="Large"/>
    <n v="1"/>
    <n v="190"/>
    <n v="0.15"/>
    <n v="190"/>
    <n v="161.5"/>
    <x v="2"/>
    <x v="0"/>
    <x v="3"/>
    <x v="1"/>
    <x v="0"/>
    <x v="4"/>
    <n v="460"/>
    <n v="60"/>
    <x v="1326"/>
    <x v="1443"/>
    <x v="0"/>
    <x v="2"/>
    <n v="190"/>
    <x v="11"/>
    <n v="161.5"/>
    <x v="1433"/>
    <x v="1443"/>
    <x v="0"/>
    <x v="6"/>
    <x v="6"/>
    <s v="Saturday"/>
  </r>
  <r>
    <s v="TXN-01518"/>
    <d v="2024-06-29T00:00:00"/>
    <d v="1899-12-30T10:15:00"/>
    <s v="Rahul Malhotra"/>
    <s v="CUST0235"/>
    <x v="2"/>
    <x v="15"/>
    <x v="4"/>
    <s v="Food"/>
    <s v="Medium"/>
    <n v="1"/>
    <n v="195"/>
    <n v="0.05"/>
    <n v="195"/>
    <n v="185.25"/>
    <x v="1"/>
    <x v="1"/>
    <x v="2"/>
    <x v="0"/>
    <x v="0"/>
    <x v="3"/>
    <n v="396"/>
    <n v="36"/>
    <x v="1327"/>
    <x v="1444"/>
    <x v="3"/>
    <x v="2"/>
    <n v="195"/>
    <x v="76"/>
    <n v="185.25"/>
    <x v="1434"/>
    <x v="1444"/>
    <x v="0"/>
    <x v="4"/>
    <x v="4"/>
    <s v="Saturday"/>
  </r>
  <r>
    <s v="TXN-01519"/>
    <d v="2024-05-08T00:00:00"/>
    <d v="1899-12-30T10:10:00"/>
    <s v="Manish Bansal"/>
    <s v="CUST0183"/>
    <x v="3"/>
    <x v="1"/>
    <x v="1"/>
    <s v="Food"/>
    <s v="Large"/>
    <n v="2"/>
    <n v="120"/>
    <n v="0"/>
    <n v="240"/>
    <n v="240"/>
    <x v="1"/>
    <x v="0"/>
    <x v="3"/>
    <x v="0"/>
    <x v="0"/>
    <x v="2"/>
    <n v="391"/>
    <n v="40"/>
    <x v="1328"/>
    <x v="1445"/>
    <x v="2"/>
    <x v="1"/>
    <n v="240"/>
    <x v="0"/>
    <n v="240"/>
    <x v="1435"/>
    <x v="1445"/>
    <x v="0"/>
    <x v="6"/>
    <x v="6"/>
    <s v="Wednesday"/>
  </r>
  <r>
    <s v="TXN-01520"/>
    <d v="2024-08-20T00:00:00"/>
    <d v="1899-12-30T16:50:00"/>
    <s v="Aditya Bansal"/>
    <s v="CUST0370"/>
    <x v="1"/>
    <x v="3"/>
    <x v="0"/>
    <s v="Hot"/>
    <s v="Small"/>
    <n v="2"/>
    <n v="130"/>
    <n v="0.05"/>
    <n v="260"/>
    <n v="247"/>
    <x v="3"/>
    <x v="0"/>
    <x v="0"/>
    <x v="4"/>
    <x v="0"/>
    <x v="0"/>
    <n v="244"/>
    <n v="34"/>
    <x v="1329"/>
    <x v="1446"/>
    <x v="3"/>
    <x v="0"/>
    <n v="260"/>
    <x v="17"/>
    <n v="247"/>
    <x v="1436"/>
    <x v="1446"/>
    <x v="0"/>
    <x v="1"/>
    <x v="1"/>
    <s v="Tuesday"/>
  </r>
  <r>
    <s v="TXN-01521"/>
    <d v="2024-10-17T00:00:00"/>
    <d v="1899-12-30T07:00:00"/>
    <s v="Rahul Kaur"/>
    <s v="CUST0294"/>
    <x v="3"/>
    <x v="6"/>
    <x v="0"/>
    <s v="Hot"/>
    <s v="Large"/>
    <n v="1"/>
    <n v="95"/>
    <n v="0.1"/>
    <n v="95"/>
    <n v="85.5"/>
    <x v="0"/>
    <x v="2"/>
    <x v="0"/>
    <x v="6"/>
    <x v="0"/>
    <x v="1"/>
    <n v="80"/>
    <n v="37"/>
    <x v="1330"/>
    <x v="1447"/>
    <x v="3"/>
    <x v="3"/>
    <n v="95"/>
    <x v="10"/>
    <n v="85.5"/>
    <x v="1437"/>
    <x v="1447"/>
    <x v="0"/>
    <x v="10"/>
    <x v="10"/>
    <s v="Thursday"/>
  </r>
  <r>
    <s v="TXN-01522"/>
    <d v="2024-04-16T00:00:00"/>
    <d v="1899-12-30T18:20:00"/>
    <s v="Unknown"/>
    <s v="CUST0137"/>
    <x v="3"/>
    <x v="8"/>
    <x v="0"/>
    <s v="Cold"/>
    <s v="Small"/>
    <n v="1"/>
    <n v="160"/>
    <n v="0.05"/>
    <n v="160"/>
    <n v="152"/>
    <x v="2"/>
    <x v="3"/>
    <x v="3"/>
    <x v="5"/>
    <x v="2"/>
    <x v="2"/>
    <n v="433"/>
    <n v="25"/>
    <x v="1272"/>
    <x v="1448"/>
    <x v="0"/>
    <x v="3"/>
    <n v="160"/>
    <x v="7"/>
    <n v="152"/>
    <x v="1365"/>
    <x v="1448"/>
    <x v="0"/>
    <x v="8"/>
    <x v="8"/>
    <s v="Tuesday"/>
  </r>
  <r>
    <s v="TXN-01523"/>
    <d v="2024-12-30T00:00:00"/>
    <d v="1899-12-30T19:30:00"/>
    <s v="Nikhil Kapoor"/>
    <s v="Unknown"/>
    <x v="2"/>
    <x v="4"/>
    <x v="0"/>
    <s v="Cold"/>
    <s v="Medium"/>
    <n v="1"/>
    <n v="145"/>
    <n v="0.1"/>
    <n v="145"/>
    <n v="130.5"/>
    <x v="1"/>
    <x v="1"/>
    <x v="6"/>
    <x v="6"/>
    <x v="0"/>
    <x v="1"/>
    <n v="204"/>
    <n v="50"/>
    <x v="756"/>
    <x v="1449"/>
    <x v="0"/>
    <x v="0"/>
    <n v="145"/>
    <x v="47"/>
    <n v="130.5"/>
    <x v="788"/>
    <x v="1449"/>
    <x v="0"/>
    <x v="9"/>
    <x v="9"/>
    <s v="Monday"/>
  </r>
  <r>
    <s v="TXN-01524"/>
    <d v="2024-03-01T00:00:00"/>
    <d v="1899-12-30T17:00:00"/>
    <s v="Simran Mehta"/>
    <s v="CUST0153"/>
    <x v="2"/>
    <x v="1"/>
    <x v="1"/>
    <s v="Food"/>
    <s v="Large"/>
    <n v="1"/>
    <n v="120"/>
    <n v="0.1"/>
    <n v="120"/>
    <n v="108"/>
    <x v="2"/>
    <x v="3"/>
    <x v="0"/>
    <x v="6"/>
    <x v="2"/>
    <x v="2"/>
    <n v="368"/>
    <n v="35"/>
    <x v="1331"/>
    <x v="1450"/>
    <x v="0"/>
    <x v="3"/>
    <n v="120"/>
    <x v="2"/>
    <n v="108"/>
    <x v="1438"/>
    <x v="1450"/>
    <x v="0"/>
    <x v="5"/>
    <x v="5"/>
    <s v="Friday"/>
  </r>
  <r>
    <s v="TXN-01525"/>
    <d v="2024-11-12T00:00:00"/>
    <d v="1899-12-30T13:30:00"/>
    <s v="Nikhil Bansal"/>
    <s v="CUST0329"/>
    <x v="2"/>
    <x v="4"/>
    <x v="0"/>
    <s v="Cold"/>
    <s v="Unknown"/>
    <n v="1"/>
    <n v="150"/>
    <n v="0.05"/>
    <n v="150"/>
    <n v="142.5"/>
    <x v="1"/>
    <x v="3"/>
    <x v="2"/>
    <x v="6"/>
    <x v="1"/>
    <x v="1"/>
    <n v="329"/>
    <n v="35"/>
    <x v="1332"/>
    <x v="1451"/>
    <x v="1"/>
    <x v="0"/>
    <n v="150"/>
    <x v="45"/>
    <n v="142.5"/>
    <x v="1439"/>
    <x v="1451"/>
    <x v="0"/>
    <x v="11"/>
    <x v="11"/>
    <s v="Tuesday"/>
  </r>
  <r>
    <s v="TXN-01526"/>
    <d v="2024-04-22T00:00:00"/>
    <d v="1899-12-30T15:50:00"/>
    <s v="Meera Gupta"/>
    <s v="CUST0262"/>
    <x v="3"/>
    <x v="8"/>
    <x v="0"/>
    <s v="Cold"/>
    <s v="Small"/>
    <n v="1"/>
    <n v="160"/>
    <n v="0.05"/>
    <n v="160"/>
    <n v="152"/>
    <x v="2"/>
    <x v="2"/>
    <x v="6"/>
    <x v="3"/>
    <x v="0"/>
    <x v="4"/>
    <n v="28"/>
    <n v="22"/>
    <x v="1333"/>
    <x v="1452"/>
    <x v="2"/>
    <x v="0"/>
    <n v="160"/>
    <x v="7"/>
    <n v="152"/>
    <x v="1440"/>
    <x v="1452"/>
    <x v="0"/>
    <x v="8"/>
    <x v="8"/>
    <s v="Monday"/>
  </r>
  <r>
    <s v="TXN-01527"/>
    <d v="2024-02-19T00:00:00"/>
    <d v="1899-12-30T07:15:00"/>
    <s v="Rohan Sharma"/>
    <s v="CUST0215"/>
    <x v="3"/>
    <x v="10"/>
    <x v="1"/>
    <s v="Food"/>
    <s v="Large"/>
    <n v="3"/>
    <n v="105"/>
    <n v="0"/>
    <n v="315"/>
    <n v="315"/>
    <x v="2"/>
    <x v="0"/>
    <x v="5"/>
    <x v="3"/>
    <x v="0"/>
    <x v="0"/>
    <n v="244"/>
    <n v="33"/>
    <x v="1334"/>
    <x v="1453"/>
    <x v="0"/>
    <x v="2"/>
    <n v="315"/>
    <x v="0"/>
    <n v="315"/>
    <x v="1441"/>
    <x v="1453"/>
    <x v="0"/>
    <x v="3"/>
    <x v="3"/>
    <s v="Monday"/>
  </r>
  <r>
    <s v="TXN-01528"/>
    <d v="2024-01-06T00:00:00"/>
    <d v="1899-12-30T19:00:00"/>
    <s v="Aditya Sharma"/>
    <s v="CUST0309"/>
    <x v="3"/>
    <x v="11"/>
    <x v="0"/>
    <s v="Hot"/>
    <s v="Large"/>
    <n v="2"/>
    <n v="85"/>
    <n v="0.05"/>
    <n v="170"/>
    <n v="161.5"/>
    <x v="1"/>
    <x v="1"/>
    <x v="6"/>
    <x v="1"/>
    <x v="2"/>
    <x v="4"/>
    <n v="71"/>
    <n v="36"/>
    <x v="1335"/>
    <x v="1454"/>
    <x v="4"/>
    <x v="0"/>
    <n v="170"/>
    <x v="20"/>
    <n v="161.5"/>
    <x v="1442"/>
    <x v="1454"/>
    <x v="0"/>
    <x v="2"/>
    <x v="2"/>
    <s v="Saturday"/>
  </r>
  <r>
    <s v="TXN-01529"/>
    <d v="2024-10-12T00:00:00"/>
    <d v="1899-12-30T11:15:00"/>
    <s v="Ananya Kapoor"/>
    <s v="CUST0349"/>
    <x v="1"/>
    <x v="2"/>
    <x v="1"/>
    <s v="Food"/>
    <s v="Small"/>
    <n v="1"/>
    <n v="80"/>
    <n v="0"/>
    <n v="80"/>
    <n v="80"/>
    <x v="0"/>
    <x v="1"/>
    <x v="2"/>
    <x v="1"/>
    <x v="0"/>
    <x v="2"/>
    <n v="345"/>
    <n v="32"/>
    <x v="1336"/>
    <x v="1455"/>
    <x v="3"/>
    <x v="4"/>
    <n v="80"/>
    <x v="0"/>
    <n v="80"/>
    <x v="1443"/>
    <x v="1455"/>
    <x v="0"/>
    <x v="10"/>
    <x v="10"/>
    <s v="Saturday"/>
  </r>
  <r>
    <s v="TXN-01530"/>
    <d v="2024-09-19T00:00:00"/>
    <d v="1899-12-30T16:10:00"/>
    <s v="Pooja Kaur"/>
    <s v="CUST0345"/>
    <x v="0"/>
    <x v="0"/>
    <x v="0"/>
    <s v="Hot"/>
    <s v="Medium"/>
    <n v="1"/>
    <n v="130"/>
    <n v="0.05"/>
    <n v="130"/>
    <n v="123.5"/>
    <x v="1"/>
    <x v="0"/>
    <x v="3"/>
    <x v="6"/>
    <x v="2"/>
    <x v="1"/>
    <n v="159"/>
    <n v="23"/>
    <x v="16"/>
    <x v="1456"/>
    <x v="0"/>
    <x v="4"/>
    <n v="130"/>
    <x v="41"/>
    <n v="123.5"/>
    <x v="16"/>
    <x v="1456"/>
    <x v="0"/>
    <x v="0"/>
    <x v="0"/>
    <s v="Thursday"/>
  </r>
  <r>
    <s v="TXN-01531"/>
    <d v="2024-03-15T00:00:00"/>
    <d v="1899-12-30T13:45:00"/>
    <s v="Ananya Sharma"/>
    <s v="CUST0105"/>
    <x v="1"/>
    <x v="4"/>
    <x v="0"/>
    <s v="Cold"/>
    <s v="Unknown"/>
    <n v="2"/>
    <n v="150"/>
    <n v="0"/>
    <n v="300"/>
    <n v="300"/>
    <x v="1"/>
    <x v="1"/>
    <x v="5"/>
    <x v="2"/>
    <x v="0"/>
    <x v="2"/>
    <n v="76"/>
    <n v="36"/>
    <x v="1324"/>
    <x v="1437"/>
    <x v="0"/>
    <x v="0"/>
    <n v="300"/>
    <x v="0"/>
    <n v="300"/>
    <x v="1427"/>
    <x v="1437"/>
    <x v="0"/>
    <x v="5"/>
    <x v="5"/>
    <s v="Friday"/>
  </r>
  <r>
    <s v="TXN-01532"/>
    <d v="2024-10-24T00:00:00"/>
    <d v="1899-12-30T19:10:00"/>
    <s v="Simran Bansal"/>
    <s v="Unknown"/>
    <x v="2"/>
    <x v="10"/>
    <x v="1"/>
    <s v="Food"/>
    <s v="Small"/>
    <n v="1"/>
    <n v="100"/>
    <n v="0"/>
    <n v="100"/>
    <n v="100"/>
    <x v="1"/>
    <x v="1"/>
    <x v="1"/>
    <x v="3"/>
    <x v="2"/>
    <x v="0"/>
    <n v="138"/>
    <n v="43"/>
    <x v="90"/>
    <x v="1457"/>
    <x v="2"/>
    <x v="0"/>
    <n v="100"/>
    <x v="0"/>
    <n v="100"/>
    <x v="90"/>
    <x v="1457"/>
    <x v="0"/>
    <x v="10"/>
    <x v="10"/>
    <s v="Thursday"/>
  </r>
  <r>
    <s v="TXN-01533"/>
    <d v="2024-10-20T00:00:00"/>
    <d v="1899-12-30T08:20:00"/>
    <s v="Arjun Malhotra"/>
    <s v="CUST0112"/>
    <x v="2"/>
    <x v="13"/>
    <x v="2"/>
    <s v="Cold"/>
    <s v="Medium"/>
    <n v="1"/>
    <n v="110"/>
    <n v="0"/>
    <n v="110"/>
    <n v="110"/>
    <x v="1"/>
    <x v="3"/>
    <x v="5"/>
    <x v="6"/>
    <x v="1"/>
    <x v="3"/>
    <n v="378"/>
    <n v="35"/>
    <x v="1337"/>
    <x v="1458"/>
    <x v="2"/>
    <x v="0"/>
    <n v="110"/>
    <x v="0"/>
    <n v="110"/>
    <x v="1444"/>
    <x v="1458"/>
    <x v="0"/>
    <x v="10"/>
    <x v="10"/>
    <s v="Sunday"/>
  </r>
  <r>
    <s v="TXN-01534"/>
    <d v="2024-07-21T00:00:00"/>
    <d v="1899-12-30T11:45:00"/>
    <s v="Aditya Malhotra"/>
    <s v="CUST0142"/>
    <x v="0"/>
    <x v="9"/>
    <x v="2"/>
    <s v="Hot"/>
    <s v="Medium"/>
    <n v="1"/>
    <n v="80"/>
    <n v="0"/>
    <n v="80"/>
    <n v="80"/>
    <x v="2"/>
    <x v="2"/>
    <x v="4"/>
    <x v="2"/>
    <x v="0"/>
    <x v="1"/>
    <n v="434"/>
    <n v="39"/>
    <x v="1338"/>
    <x v="1459"/>
    <x v="0"/>
    <x v="3"/>
    <n v="80"/>
    <x v="0"/>
    <n v="80"/>
    <x v="1445"/>
    <x v="1459"/>
    <x v="0"/>
    <x v="7"/>
    <x v="7"/>
    <s v="Sunday"/>
  </r>
  <r>
    <s v="TXN-01535"/>
    <d v="2024-11-30T00:00:00"/>
    <d v="1899-12-30T15:15:00"/>
    <s v="Karan Verma"/>
    <s v="CUST0336"/>
    <x v="2"/>
    <x v="8"/>
    <x v="0"/>
    <s v="Cold"/>
    <s v="Small"/>
    <n v="1"/>
    <n v="170"/>
    <n v="0"/>
    <n v="170"/>
    <n v="170"/>
    <x v="0"/>
    <x v="3"/>
    <x v="0"/>
    <x v="3"/>
    <x v="0"/>
    <x v="2"/>
    <n v="124"/>
    <n v="32"/>
    <x v="1339"/>
    <x v="1460"/>
    <x v="2"/>
    <x v="1"/>
    <n v="170"/>
    <x v="0"/>
    <n v="170"/>
    <x v="1446"/>
    <x v="1460"/>
    <x v="0"/>
    <x v="11"/>
    <x v="11"/>
    <s v="Saturday"/>
  </r>
  <r>
    <s v="TXN-01536"/>
    <d v="2024-07-25T00:00:00"/>
    <d v="1899-12-30T18:50:00"/>
    <s v="Rahul Malhotra"/>
    <s v="CUST0371"/>
    <x v="1"/>
    <x v="2"/>
    <x v="1"/>
    <s v="Food"/>
    <s v="Large"/>
    <n v="2"/>
    <n v="75"/>
    <n v="0.1"/>
    <n v="150"/>
    <n v="135"/>
    <x v="0"/>
    <x v="0"/>
    <x v="3"/>
    <x v="4"/>
    <x v="1"/>
    <x v="1"/>
    <n v="237"/>
    <n v="19"/>
    <x v="990"/>
    <x v="1461"/>
    <x v="2"/>
    <x v="1"/>
    <n v="150"/>
    <x v="51"/>
    <n v="135"/>
    <x v="1447"/>
    <x v="1461"/>
    <x v="0"/>
    <x v="7"/>
    <x v="7"/>
    <s v="Thursday"/>
  </r>
  <r>
    <s v="TXN-01537"/>
    <d v="2024-03-08T00:00:00"/>
    <d v="1899-12-30T21:30:00"/>
    <s v="Manish Mehta"/>
    <s v="CUST0138"/>
    <x v="3"/>
    <x v="5"/>
    <x v="2"/>
    <s v="Hot"/>
    <s v="Large"/>
    <n v="1"/>
    <n v="100"/>
    <n v="0.15"/>
    <n v="100"/>
    <n v="85"/>
    <x v="0"/>
    <x v="1"/>
    <x v="6"/>
    <x v="6"/>
    <x v="0"/>
    <x v="3"/>
    <n v="38"/>
    <n v="36"/>
    <x v="325"/>
    <x v="330"/>
    <x v="3"/>
    <x v="0"/>
    <n v="100"/>
    <x v="51"/>
    <n v="85"/>
    <x v="332"/>
    <x v="330"/>
    <x v="0"/>
    <x v="5"/>
    <x v="5"/>
    <s v="Friday"/>
  </r>
  <r>
    <s v="TXN-01538"/>
    <d v="2024-05-07T00:00:00"/>
    <d v="1899-12-30T08:50:00"/>
    <s v="Rohan Chopra"/>
    <s v="Unknown"/>
    <x v="1"/>
    <x v="4"/>
    <x v="0"/>
    <s v="Cold"/>
    <s v="Medium"/>
    <n v="2"/>
    <n v="160"/>
    <n v="0.1"/>
    <n v="320"/>
    <n v="288"/>
    <x v="0"/>
    <x v="0"/>
    <x v="0"/>
    <x v="2"/>
    <x v="0"/>
    <x v="4"/>
    <n v="244"/>
    <n v="10"/>
    <x v="1340"/>
    <x v="1462"/>
    <x v="4"/>
    <x v="1"/>
    <n v="320"/>
    <x v="94"/>
    <n v="288"/>
    <x v="1448"/>
    <x v="1462"/>
    <x v="0"/>
    <x v="6"/>
    <x v="6"/>
    <s v="Tuesday"/>
  </r>
  <r>
    <s v="TXN-01539"/>
    <d v="2024-01-24T00:00:00"/>
    <d v="1899-12-30T09:20:00"/>
    <s v="Pooja Bansal"/>
    <s v="Unknown"/>
    <x v="2"/>
    <x v="6"/>
    <x v="0"/>
    <s v="Hot"/>
    <s v="Small"/>
    <n v="2"/>
    <n v="110"/>
    <n v="0"/>
    <n v="220"/>
    <n v="220"/>
    <x v="2"/>
    <x v="1"/>
    <x v="0"/>
    <x v="3"/>
    <x v="0"/>
    <x v="3"/>
    <n v="426"/>
    <n v="36"/>
    <x v="1341"/>
    <x v="1463"/>
    <x v="0"/>
    <x v="1"/>
    <n v="220"/>
    <x v="0"/>
    <n v="220"/>
    <x v="1449"/>
    <x v="1463"/>
    <x v="0"/>
    <x v="2"/>
    <x v="2"/>
    <s v="Wednesday"/>
  </r>
  <r>
    <s v="TXN-01540"/>
    <d v="2024-06-15T00:00:00"/>
    <d v="1899-12-30T21:10:00"/>
    <s v="Pooja Malhotra"/>
    <s v="CUST0162"/>
    <x v="0"/>
    <x v="6"/>
    <x v="0"/>
    <s v="Hot"/>
    <s v="Large"/>
    <n v="3"/>
    <n v="100"/>
    <n v="0"/>
    <n v="300"/>
    <n v="300"/>
    <x v="0"/>
    <x v="0"/>
    <x v="3"/>
    <x v="4"/>
    <x v="0"/>
    <x v="1"/>
    <n v="0"/>
    <n v="29"/>
    <x v="1012"/>
    <x v="1464"/>
    <x v="0"/>
    <x v="2"/>
    <n v="300"/>
    <x v="0"/>
    <n v="300"/>
    <x v="1450"/>
    <x v="1464"/>
    <x v="0"/>
    <x v="4"/>
    <x v="4"/>
    <s v="Saturday"/>
  </r>
  <r>
    <s v="TXN-01541"/>
    <d v="2024-06-25T00:00:00"/>
    <d v="1899-12-30T14:10:00"/>
    <s v="Kavya Verma"/>
    <s v="CUST0185"/>
    <x v="3"/>
    <x v="2"/>
    <x v="1"/>
    <s v="Food"/>
    <s v="Unknown"/>
    <n v="2"/>
    <n v="80"/>
    <n v="0.1"/>
    <n v="160"/>
    <n v="144"/>
    <x v="2"/>
    <x v="2"/>
    <x v="5"/>
    <x v="1"/>
    <x v="0"/>
    <x v="3"/>
    <n v="92"/>
    <n v="37"/>
    <x v="453"/>
    <x v="413"/>
    <x v="3"/>
    <x v="0"/>
    <n v="160"/>
    <x v="3"/>
    <n v="144"/>
    <x v="462"/>
    <x v="413"/>
    <x v="0"/>
    <x v="4"/>
    <x v="4"/>
    <s v="Tuesday"/>
  </r>
  <r>
    <s v="TXN-01542"/>
    <d v="2024-01-17T00:00:00"/>
    <d v="1899-12-30T18:10:00"/>
    <s v="Ananya Kapoor"/>
    <s v="CUST0355"/>
    <x v="2"/>
    <x v="5"/>
    <x v="2"/>
    <s v="Hot"/>
    <s v="Medium"/>
    <n v="1"/>
    <n v="105"/>
    <n v="0.15"/>
    <n v="105"/>
    <n v="89.25"/>
    <x v="0"/>
    <x v="3"/>
    <x v="2"/>
    <x v="6"/>
    <x v="0"/>
    <x v="1"/>
    <n v="0"/>
    <n v="30"/>
    <x v="79"/>
    <x v="1465"/>
    <x v="3"/>
    <x v="4"/>
    <n v="105"/>
    <x v="24"/>
    <n v="89.25"/>
    <x v="1451"/>
    <x v="1465"/>
    <x v="0"/>
    <x v="2"/>
    <x v="2"/>
    <s v="Wednesday"/>
  </r>
  <r>
    <s v="TXN-01543"/>
    <d v="2024-03-01T00:00:00"/>
    <d v="1899-12-30T13:00:00"/>
    <s v="Sneha Bansal"/>
    <s v="CUST0380"/>
    <x v="2"/>
    <x v="2"/>
    <x v="1"/>
    <s v="Food"/>
    <s v="Unknown"/>
    <n v="1"/>
    <n v="80"/>
    <n v="0.1"/>
    <n v="80"/>
    <n v="72"/>
    <x v="0"/>
    <x v="0"/>
    <x v="2"/>
    <x v="2"/>
    <x v="0"/>
    <x v="2"/>
    <n v="225"/>
    <n v="14"/>
    <x v="1342"/>
    <x v="1466"/>
    <x v="3"/>
    <x v="0"/>
    <n v="80"/>
    <x v="7"/>
    <n v="72"/>
    <x v="1452"/>
    <x v="1466"/>
    <x v="0"/>
    <x v="5"/>
    <x v="5"/>
    <s v="Friday"/>
  </r>
  <r>
    <s v="TXN-01544"/>
    <d v="2024-01-12T00:00:00"/>
    <d v="1899-12-30T17:50:00"/>
    <s v="Simran Sharma"/>
    <s v="CUST0350"/>
    <x v="3"/>
    <x v="9"/>
    <x v="2"/>
    <s v="Hot"/>
    <s v="Small"/>
    <n v="2"/>
    <n v="80"/>
    <n v="0"/>
    <n v="160"/>
    <n v="160"/>
    <x v="0"/>
    <x v="3"/>
    <x v="1"/>
    <x v="6"/>
    <x v="0"/>
    <x v="4"/>
    <n v="440"/>
    <n v="45"/>
    <x v="636"/>
    <x v="1467"/>
    <x v="0"/>
    <x v="3"/>
    <n v="160"/>
    <x v="0"/>
    <n v="160"/>
    <x v="1453"/>
    <x v="1467"/>
    <x v="0"/>
    <x v="2"/>
    <x v="2"/>
    <s v="Friday"/>
  </r>
  <r>
    <s v="TXN-01545"/>
    <d v="2024-01-31T00:00:00"/>
    <d v="1899-12-30T14:15:00"/>
    <s v="Kavya Bansal"/>
    <s v="CUST0141"/>
    <x v="0"/>
    <x v="13"/>
    <x v="2"/>
    <s v="Cold"/>
    <s v="Large"/>
    <n v="2"/>
    <n v="105"/>
    <n v="0"/>
    <n v="210"/>
    <n v="210"/>
    <x v="2"/>
    <x v="1"/>
    <x v="4"/>
    <x v="2"/>
    <x v="1"/>
    <x v="1"/>
    <n v="335"/>
    <n v="36"/>
    <x v="1343"/>
    <x v="1468"/>
    <x v="3"/>
    <x v="2"/>
    <n v="210"/>
    <x v="0"/>
    <n v="210"/>
    <x v="1454"/>
    <x v="1468"/>
    <x v="0"/>
    <x v="2"/>
    <x v="2"/>
    <s v="Wednesday"/>
  </r>
  <r>
    <s v="TXN-01546"/>
    <d v="2024-12-06T00:00:00"/>
    <d v="1899-12-30T12:00:00"/>
    <s v="Rahul Verma"/>
    <s v="CUST0274"/>
    <x v="3"/>
    <x v="4"/>
    <x v="0"/>
    <s v="Cold"/>
    <s v="Unknown"/>
    <n v="2"/>
    <n v="160"/>
    <n v="0.15"/>
    <n v="320"/>
    <n v="272"/>
    <x v="2"/>
    <x v="3"/>
    <x v="0"/>
    <x v="6"/>
    <x v="0"/>
    <x v="3"/>
    <n v="305"/>
    <n v="11"/>
    <x v="1344"/>
    <x v="1469"/>
    <x v="4"/>
    <x v="3"/>
    <n v="320"/>
    <x v="75"/>
    <n v="272"/>
    <x v="1455"/>
    <x v="1469"/>
    <x v="0"/>
    <x v="9"/>
    <x v="9"/>
    <s v="Friday"/>
  </r>
  <r>
    <s v="TXN-01547"/>
    <d v="2024-01-01T00:00:00"/>
    <d v="1899-12-30T21:30:00"/>
    <s v="Aditya Gupta"/>
    <s v="CUST0228"/>
    <x v="2"/>
    <x v="6"/>
    <x v="0"/>
    <s v="Hot"/>
    <s v="Small"/>
    <n v="4"/>
    <n v="95"/>
    <n v="0.1"/>
    <n v="380"/>
    <n v="342"/>
    <x v="0"/>
    <x v="3"/>
    <x v="4"/>
    <x v="2"/>
    <x v="1"/>
    <x v="2"/>
    <n v="232"/>
    <n v="43"/>
    <x v="1161"/>
    <x v="1470"/>
    <x v="3"/>
    <x v="3"/>
    <n v="380"/>
    <x v="54"/>
    <n v="342"/>
    <x v="1456"/>
    <x v="1470"/>
    <x v="0"/>
    <x v="2"/>
    <x v="2"/>
    <s v="Monday"/>
  </r>
  <r>
    <s v="TXN-01548"/>
    <d v="2024-01-05T00:00:00"/>
    <d v="1899-12-30T07:30:00"/>
    <s v="Vivaan Sharma"/>
    <s v="CUST0264"/>
    <x v="1"/>
    <x v="4"/>
    <x v="0"/>
    <s v="Cold"/>
    <s v="Small"/>
    <n v="1"/>
    <n v="150"/>
    <n v="0"/>
    <n v="150"/>
    <n v="150"/>
    <x v="0"/>
    <x v="3"/>
    <x v="2"/>
    <x v="7"/>
    <x v="0"/>
    <x v="4"/>
    <n v="244"/>
    <n v="29"/>
    <x v="1345"/>
    <x v="1471"/>
    <x v="2"/>
    <x v="0"/>
    <n v="150"/>
    <x v="0"/>
    <n v="150"/>
    <x v="1457"/>
    <x v="1471"/>
    <x v="0"/>
    <x v="2"/>
    <x v="2"/>
    <s v="Friday"/>
  </r>
  <r>
    <s v="TXN-01549"/>
    <d v="2024-03-17T00:00:00"/>
    <d v="1899-12-30T14:10:00"/>
    <s v="Priya Sharma"/>
    <s v="CUST0350"/>
    <x v="0"/>
    <x v="14"/>
    <x v="3"/>
    <s v="Food"/>
    <s v="Large"/>
    <n v="1"/>
    <n v="180"/>
    <n v="0.05"/>
    <n v="180"/>
    <n v="171"/>
    <x v="3"/>
    <x v="1"/>
    <x v="4"/>
    <x v="2"/>
    <x v="0"/>
    <x v="4"/>
    <n v="204"/>
    <n v="36"/>
    <x v="1346"/>
    <x v="1472"/>
    <x v="3"/>
    <x v="4"/>
    <n v="180"/>
    <x v="13"/>
    <n v="171"/>
    <x v="1458"/>
    <x v="1472"/>
    <x v="0"/>
    <x v="5"/>
    <x v="5"/>
    <s v="Sunday"/>
  </r>
  <r>
    <s v="TXN-01550"/>
    <d v="2024-02-19T00:00:00"/>
    <d v="1899-12-30T15:10:00"/>
    <s v="Rahul Kapoor"/>
    <s v="CUST0309"/>
    <x v="2"/>
    <x v="8"/>
    <x v="0"/>
    <s v="Cold"/>
    <s v="Small"/>
    <n v="2"/>
    <n v="165"/>
    <n v="0.15"/>
    <n v="330"/>
    <n v="280.5"/>
    <x v="0"/>
    <x v="3"/>
    <x v="5"/>
    <x v="5"/>
    <x v="0"/>
    <x v="1"/>
    <n v="10"/>
    <n v="39"/>
    <x v="1347"/>
    <x v="978"/>
    <x v="3"/>
    <x v="3"/>
    <n v="330"/>
    <x v="106"/>
    <n v="280.5"/>
    <x v="1459"/>
    <x v="978"/>
    <x v="0"/>
    <x v="3"/>
    <x v="3"/>
    <s v="Monday"/>
  </r>
  <r>
    <s v="TXN-01551"/>
    <d v="2024-06-25T00:00:00"/>
    <d v="1899-12-30T13:20:00"/>
    <s v="Arjun Verma"/>
    <s v="CUST0147"/>
    <x v="2"/>
    <x v="11"/>
    <x v="0"/>
    <s v="Hot"/>
    <s v="Medium"/>
    <n v="1"/>
    <n v="90"/>
    <n v="0"/>
    <n v="90"/>
    <n v="90"/>
    <x v="3"/>
    <x v="1"/>
    <x v="0"/>
    <x v="6"/>
    <x v="0"/>
    <x v="2"/>
    <n v="363"/>
    <n v="12"/>
    <x v="1348"/>
    <x v="1473"/>
    <x v="3"/>
    <x v="0"/>
    <n v="90"/>
    <x v="0"/>
    <n v="90"/>
    <x v="1460"/>
    <x v="1473"/>
    <x v="0"/>
    <x v="4"/>
    <x v="4"/>
    <s v="Tuesday"/>
  </r>
  <r>
    <s v="TXN-01552"/>
    <d v="2024-08-03T00:00:00"/>
    <d v="1899-12-30T20:30:00"/>
    <s v="Karan Singh"/>
    <s v="CUST0103"/>
    <x v="3"/>
    <x v="5"/>
    <x v="2"/>
    <s v="Hot"/>
    <s v="Large"/>
    <n v="2"/>
    <n v="100"/>
    <n v="0.05"/>
    <n v="200"/>
    <n v="190"/>
    <x v="0"/>
    <x v="3"/>
    <x v="3"/>
    <x v="1"/>
    <x v="0"/>
    <x v="1"/>
    <n v="18"/>
    <n v="35"/>
    <x v="1349"/>
    <x v="1474"/>
    <x v="1"/>
    <x v="1"/>
    <n v="200"/>
    <x v="4"/>
    <n v="190"/>
    <x v="1461"/>
    <x v="1474"/>
    <x v="0"/>
    <x v="1"/>
    <x v="1"/>
    <s v="Saturday"/>
  </r>
  <r>
    <s v="TXN-01553"/>
    <d v="2024-04-03T00:00:00"/>
    <d v="1899-12-30T08:30:00"/>
    <s v="Nikhil Malhotra"/>
    <s v="CUST0263"/>
    <x v="3"/>
    <x v="3"/>
    <x v="0"/>
    <s v="Hot"/>
    <s v="Small"/>
    <n v="3"/>
    <n v="120"/>
    <n v="0"/>
    <n v="360"/>
    <n v="360"/>
    <x v="2"/>
    <x v="3"/>
    <x v="3"/>
    <x v="2"/>
    <x v="0"/>
    <x v="0"/>
    <n v="202"/>
    <n v="46"/>
    <x v="1350"/>
    <x v="1475"/>
    <x v="3"/>
    <x v="1"/>
    <n v="360"/>
    <x v="0"/>
    <n v="360"/>
    <x v="1462"/>
    <x v="1475"/>
    <x v="0"/>
    <x v="8"/>
    <x v="8"/>
    <s v="Wednesday"/>
  </r>
  <r>
    <s v="TXN-01554"/>
    <d v="2024-10-05T00:00:00"/>
    <d v="1899-12-30T19:00:00"/>
    <s v="Pooja Mehta"/>
    <s v="Unknown"/>
    <x v="3"/>
    <x v="9"/>
    <x v="2"/>
    <s v="Hot"/>
    <s v="Medium"/>
    <n v="3"/>
    <n v="90"/>
    <n v="0"/>
    <n v="270"/>
    <n v="270"/>
    <x v="2"/>
    <x v="1"/>
    <x v="2"/>
    <x v="2"/>
    <x v="0"/>
    <x v="4"/>
    <n v="456"/>
    <n v="43"/>
    <x v="1134"/>
    <x v="1476"/>
    <x v="2"/>
    <x v="2"/>
    <n v="270"/>
    <x v="0"/>
    <n v="270"/>
    <x v="1463"/>
    <x v="1476"/>
    <x v="0"/>
    <x v="10"/>
    <x v="10"/>
    <s v="Saturday"/>
  </r>
  <r>
    <s v="TXN-01555"/>
    <d v="2024-01-04T00:00:00"/>
    <d v="1899-12-30T15:15:00"/>
    <s v="Sahil Chopra"/>
    <s v="CUST0282"/>
    <x v="3"/>
    <x v="12"/>
    <x v="1"/>
    <s v="Food"/>
    <s v="Medium"/>
    <n v="3"/>
    <n v="90"/>
    <n v="0.05"/>
    <n v="270"/>
    <n v="256.5"/>
    <x v="1"/>
    <x v="1"/>
    <x v="3"/>
    <x v="6"/>
    <x v="0"/>
    <x v="2"/>
    <n v="212"/>
    <n v="52"/>
    <x v="16"/>
    <x v="1477"/>
    <x v="1"/>
    <x v="4"/>
    <n v="270"/>
    <x v="46"/>
    <n v="256.5"/>
    <x v="1464"/>
    <x v="1477"/>
    <x v="0"/>
    <x v="2"/>
    <x v="2"/>
    <s v="Thursday"/>
  </r>
  <r>
    <s v="TXN-01556"/>
    <d v="2024-12-19T00:00:00"/>
    <d v="1899-12-30T16:00:00"/>
    <s v="Rahul Bansal"/>
    <s v="CUST0247"/>
    <x v="2"/>
    <x v="11"/>
    <x v="0"/>
    <s v="Hot"/>
    <s v="Small"/>
    <n v="1"/>
    <n v="90"/>
    <n v="0.1"/>
    <n v="90"/>
    <n v="81"/>
    <x v="0"/>
    <x v="2"/>
    <x v="1"/>
    <x v="2"/>
    <x v="0"/>
    <x v="4"/>
    <n v="210"/>
    <n v="46"/>
    <x v="1351"/>
    <x v="1478"/>
    <x v="0"/>
    <x v="1"/>
    <n v="90"/>
    <x v="13"/>
    <n v="81"/>
    <x v="1465"/>
    <x v="1478"/>
    <x v="0"/>
    <x v="9"/>
    <x v="9"/>
    <s v="Thursday"/>
  </r>
  <r>
    <s v="TXN-01557"/>
    <d v="2024-04-07T00:00:00"/>
    <d v="1899-12-30T07:15:00"/>
    <s v="Rahul Sharma"/>
    <s v="CUST0352"/>
    <x v="2"/>
    <x v="11"/>
    <x v="0"/>
    <s v="Hot"/>
    <s v="Small"/>
    <n v="1"/>
    <n v="90"/>
    <n v="0"/>
    <n v="90"/>
    <n v="90"/>
    <x v="2"/>
    <x v="3"/>
    <x v="0"/>
    <x v="0"/>
    <x v="0"/>
    <x v="3"/>
    <n v="224"/>
    <n v="55"/>
    <x v="1352"/>
    <x v="1479"/>
    <x v="0"/>
    <x v="0"/>
    <n v="90"/>
    <x v="0"/>
    <n v="90"/>
    <x v="1466"/>
    <x v="1479"/>
    <x v="0"/>
    <x v="8"/>
    <x v="8"/>
    <s v="Sunday"/>
  </r>
  <r>
    <s v="TXN-01558"/>
    <d v="2024-01-14T00:00:00"/>
    <d v="1899-12-30T14:30:00"/>
    <s v="Pooja Kaur"/>
    <s v="CUST0354"/>
    <x v="1"/>
    <x v="6"/>
    <x v="0"/>
    <s v="Hot"/>
    <s v="Small"/>
    <n v="1"/>
    <n v="110"/>
    <n v="0.1"/>
    <n v="110"/>
    <n v="99"/>
    <x v="2"/>
    <x v="3"/>
    <x v="3"/>
    <x v="5"/>
    <x v="0"/>
    <x v="4"/>
    <n v="4"/>
    <n v="48"/>
    <x v="645"/>
    <x v="1480"/>
    <x v="1"/>
    <x v="3"/>
    <n v="110"/>
    <x v="30"/>
    <n v="99"/>
    <x v="664"/>
    <x v="1480"/>
    <x v="0"/>
    <x v="2"/>
    <x v="2"/>
    <s v="Sunday"/>
  </r>
  <r>
    <s v="TXN-01559"/>
    <d v="2024-03-02T00:00:00"/>
    <d v="1899-12-30T11:50:00"/>
    <s v="Pooja Mehta"/>
    <s v="CUST0372"/>
    <x v="0"/>
    <x v="13"/>
    <x v="2"/>
    <s v="Cold"/>
    <s v="Large"/>
    <n v="1"/>
    <n v="110"/>
    <n v="0.1"/>
    <n v="110"/>
    <n v="99"/>
    <x v="2"/>
    <x v="3"/>
    <x v="1"/>
    <x v="4"/>
    <x v="0"/>
    <x v="4"/>
    <n v="73"/>
    <n v="37"/>
    <x v="829"/>
    <x v="1481"/>
    <x v="5"/>
    <x v="2"/>
    <n v="110"/>
    <x v="30"/>
    <n v="99"/>
    <x v="867"/>
    <x v="1481"/>
    <x v="0"/>
    <x v="5"/>
    <x v="5"/>
    <s v="Saturday"/>
  </r>
  <r>
    <s v="TXN-01560"/>
    <d v="2024-09-20T00:00:00"/>
    <d v="1899-12-30T08:20:00"/>
    <s v="Sahil Malhotra"/>
    <s v="CUST0303"/>
    <x v="1"/>
    <x v="13"/>
    <x v="2"/>
    <s v="Cold"/>
    <s v="Small"/>
    <n v="1"/>
    <n v="110"/>
    <n v="0.1"/>
    <n v="110"/>
    <n v="99"/>
    <x v="2"/>
    <x v="3"/>
    <x v="4"/>
    <x v="5"/>
    <x v="0"/>
    <x v="4"/>
    <n v="168"/>
    <n v="35"/>
    <x v="492"/>
    <x v="1482"/>
    <x v="2"/>
    <x v="4"/>
    <n v="110"/>
    <x v="30"/>
    <n v="99"/>
    <x v="503"/>
    <x v="1482"/>
    <x v="0"/>
    <x v="0"/>
    <x v="0"/>
    <s v="Friday"/>
  </r>
  <r>
    <s v="TXN-01561"/>
    <d v="2024-10-19T00:00:00"/>
    <d v="1899-12-30T20:30:00"/>
    <s v="Sneha Verma"/>
    <s v="CUST0352"/>
    <x v="1"/>
    <x v="6"/>
    <x v="0"/>
    <s v="Hot"/>
    <s v="Medium"/>
    <n v="1"/>
    <n v="105"/>
    <n v="0"/>
    <n v="105"/>
    <n v="105"/>
    <x v="1"/>
    <x v="3"/>
    <x v="6"/>
    <x v="4"/>
    <x v="0"/>
    <x v="2"/>
    <n v="353"/>
    <n v="13"/>
    <x v="1353"/>
    <x v="1483"/>
    <x v="3"/>
    <x v="3"/>
    <n v="105"/>
    <x v="0"/>
    <n v="105"/>
    <x v="1467"/>
    <x v="1483"/>
    <x v="0"/>
    <x v="10"/>
    <x v="10"/>
    <s v="Saturday"/>
  </r>
  <r>
    <s v="TXN-01562"/>
    <d v="2024-12-26T00:00:00"/>
    <d v="1899-12-30T17:20:00"/>
    <s v="Kavya Singh"/>
    <s v="CUST0285"/>
    <x v="1"/>
    <x v="14"/>
    <x v="3"/>
    <s v="Food"/>
    <s v="Medium"/>
    <n v="1"/>
    <n v="185"/>
    <n v="0.05"/>
    <n v="185"/>
    <n v="175.75"/>
    <x v="3"/>
    <x v="3"/>
    <x v="4"/>
    <x v="4"/>
    <x v="0"/>
    <x v="2"/>
    <n v="182"/>
    <n v="35"/>
    <x v="1354"/>
    <x v="1484"/>
    <x v="2"/>
    <x v="3"/>
    <n v="185"/>
    <x v="73"/>
    <n v="175.75"/>
    <x v="1468"/>
    <x v="1484"/>
    <x v="0"/>
    <x v="9"/>
    <x v="9"/>
    <s v="Thursday"/>
  </r>
  <r>
    <s v="TXN-01563"/>
    <d v="2024-09-20T00:00:00"/>
    <d v="1899-12-30T14:50:00"/>
    <s v="Arjun Sharma"/>
    <s v="CUST0286"/>
    <x v="2"/>
    <x v="2"/>
    <x v="1"/>
    <s v="Food"/>
    <s v="Small"/>
    <n v="1"/>
    <n v="70"/>
    <n v="0"/>
    <n v="70"/>
    <n v="70"/>
    <x v="3"/>
    <x v="0"/>
    <x v="1"/>
    <x v="6"/>
    <x v="1"/>
    <x v="4"/>
    <n v="56"/>
    <n v="34"/>
    <x v="1355"/>
    <x v="63"/>
    <x v="3"/>
    <x v="4"/>
    <n v="70"/>
    <x v="0"/>
    <n v="70"/>
    <x v="1469"/>
    <x v="63"/>
    <x v="0"/>
    <x v="0"/>
    <x v="0"/>
    <s v="Friday"/>
  </r>
  <r>
    <s v="TXN-01564"/>
    <d v="2024-08-17T00:00:00"/>
    <d v="1899-12-30T18:45:00"/>
    <s v="Rahul Verma"/>
    <s v="CUST0121"/>
    <x v="3"/>
    <x v="1"/>
    <x v="1"/>
    <s v="Food"/>
    <s v="Small"/>
    <n v="1"/>
    <n v="115"/>
    <n v="0.1"/>
    <n v="115"/>
    <n v="103.5"/>
    <x v="0"/>
    <x v="3"/>
    <x v="1"/>
    <x v="2"/>
    <x v="0"/>
    <x v="4"/>
    <n v="282"/>
    <n v="23"/>
    <x v="1356"/>
    <x v="1485"/>
    <x v="3"/>
    <x v="0"/>
    <n v="115"/>
    <x v="19"/>
    <n v="103.5"/>
    <x v="1470"/>
    <x v="1485"/>
    <x v="0"/>
    <x v="1"/>
    <x v="1"/>
    <s v="Saturday"/>
  </r>
  <r>
    <s v="TXN-01565"/>
    <d v="2024-01-01T00:00:00"/>
    <d v="1899-12-30T07:15:00"/>
    <s v="Arjun Chopra"/>
    <s v="CUST0196"/>
    <x v="0"/>
    <x v="10"/>
    <x v="1"/>
    <s v="Food"/>
    <s v="Medium"/>
    <n v="1"/>
    <n v="110"/>
    <n v="0"/>
    <n v="110"/>
    <n v="110"/>
    <x v="1"/>
    <x v="1"/>
    <x v="6"/>
    <x v="6"/>
    <x v="0"/>
    <x v="3"/>
    <n v="405"/>
    <n v="58"/>
    <x v="1357"/>
    <x v="1486"/>
    <x v="2"/>
    <x v="3"/>
    <n v="110"/>
    <x v="0"/>
    <n v="110"/>
    <x v="1471"/>
    <x v="1486"/>
    <x v="0"/>
    <x v="2"/>
    <x v="2"/>
    <s v="Monday"/>
  </r>
  <r>
    <s v="TXN-01566"/>
    <d v="2024-06-25T00:00:00"/>
    <d v="1899-12-30T17:10:00"/>
    <s v="Neha Mehta"/>
    <s v="CUST0337"/>
    <x v="0"/>
    <x v="3"/>
    <x v="0"/>
    <s v="Hot"/>
    <s v="Medium"/>
    <n v="1"/>
    <n v="120"/>
    <n v="0"/>
    <n v="120"/>
    <n v="120"/>
    <x v="2"/>
    <x v="0"/>
    <x v="2"/>
    <x v="4"/>
    <x v="0"/>
    <x v="1"/>
    <n v="160"/>
    <n v="32"/>
    <x v="1358"/>
    <x v="607"/>
    <x v="1"/>
    <x v="2"/>
    <n v="120"/>
    <x v="0"/>
    <n v="120"/>
    <x v="1472"/>
    <x v="607"/>
    <x v="0"/>
    <x v="4"/>
    <x v="4"/>
    <s v="Tuesday"/>
  </r>
  <r>
    <s v="TXN-01567"/>
    <d v="2024-02-21T00:00:00"/>
    <d v="1899-12-30T07:45:00"/>
    <s v="Priya Kaur"/>
    <s v="CUST0152"/>
    <x v="1"/>
    <x v="1"/>
    <x v="1"/>
    <s v="Food"/>
    <s v="Medium"/>
    <n v="2"/>
    <n v="130"/>
    <n v="0.1"/>
    <n v="260"/>
    <n v="234"/>
    <x v="1"/>
    <x v="3"/>
    <x v="2"/>
    <x v="3"/>
    <x v="2"/>
    <x v="1"/>
    <n v="91"/>
    <n v="36"/>
    <x v="1359"/>
    <x v="1487"/>
    <x v="0"/>
    <x v="2"/>
    <n v="260"/>
    <x v="63"/>
    <n v="234"/>
    <x v="1473"/>
    <x v="1487"/>
    <x v="0"/>
    <x v="3"/>
    <x v="3"/>
    <s v="Wednesday"/>
  </r>
  <r>
    <s v="TXN-01568"/>
    <d v="2024-12-06T00:00:00"/>
    <d v="1899-12-30T12:20:00"/>
    <s v="Rohan Mehta"/>
    <s v="CUST0224"/>
    <x v="0"/>
    <x v="13"/>
    <x v="2"/>
    <s v="Cold"/>
    <s v="Large"/>
    <n v="1"/>
    <n v="120"/>
    <n v="0.05"/>
    <n v="120"/>
    <n v="114"/>
    <x v="0"/>
    <x v="0"/>
    <x v="2"/>
    <x v="3"/>
    <x v="2"/>
    <x v="4"/>
    <n v="361"/>
    <n v="34"/>
    <x v="1360"/>
    <x v="1488"/>
    <x v="3"/>
    <x v="1"/>
    <n v="120"/>
    <x v="77"/>
    <n v="114"/>
    <x v="1474"/>
    <x v="1488"/>
    <x v="0"/>
    <x v="9"/>
    <x v="9"/>
    <s v="Friday"/>
  </r>
  <r>
    <s v="TXN-01569"/>
    <d v="2024-05-31T00:00:00"/>
    <d v="1899-12-30T07:15:00"/>
    <s v="Manish Singh"/>
    <s v="CUST0382"/>
    <x v="0"/>
    <x v="7"/>
    <x v="0"/>
    <s v="Hot"/>
    <s v="Medium"/>
    <n v="1"/>
    <n v="145"/>
    <n v="0.1"/>
    <n v="145"/>
    <n v="130.5"/>
    <x v="0"/>
    <x v="2"/>
    <x v="1"/>
    <x v="6"/>
    <x v="2"/>
    <x v="4"/>
    <n v="244"/>
    <n v="46"/>
    <x v="1361"/>
    <x v="1489"/>
    <x v="0"/>
    <x v="2"/>
    <n v="145"/>
    <x v="47"/>
    <n v="130.5"/>
    <x v="1475"/>
    <x v="1489"/>
    <x v="0"/>
    <x v="6"/>
    <x v="6"/>
    <s v="Friday"/>
  </r>
  <r>
    <s v="TXN-01570"/>
    <d v="2024-10-04T00:00:00"/>
    <d v="1899-12-30T19:10:00"/>
    <s v="Aarav Kaur"/>
    <s v="CUST0308"/>
    <x v="3"/>
    <x v="1"/>
    <x v="1"/>
    <s v="Food"/>
    <s v="Large"/>
    <n v="1"/>
    <n v="120"/>
    <n v="0.05"/>
    <n v="120"/>
    <n v="114"/>
    <x v="2"/>
    <x v="2"/>
    <x v="3"/>
    <x v="1"/>
    <x v="0"/>
    <x v="4"/>
    <n v="229"/>
    <n v="30"/>
    <x v="1362"/>
    <x v="1490"/>
    <x v="3"/>
    <x v="0"/>
    <n v="120"/>
    <x v="77"/>
    <n v="114"/>
    <x v="1476"/>
    <x v="1490"/>
    <x v="0"/>
    <x v="10"/>
    <x v="10"/>
    <s v="Friday"/>
  </r>
  <r>
    <s v="TXN-01571"/>
    <d v="2024-11-03T00:00:00"/>
    <d v="1899-12-30T09:15:00"/>
    <s v="Meera Bansal"/>
    <s v="Unknown"/>
    <x v="3"/>
    <x v="9"/>
    <x v="2"/>
    <s v="Hot"/>
    <s v="Medium"/>
    <n v="2"/>
    <n v="80"/>
    <n v="0"/>
    <n v="160"/>
    <n v="160"/>
    <x v="0"/>
    <x v="0"/>
    <x v="6"/>
    <x v="2"/>
    <x v="0"/>
    <x v="4"/>
    <n v="100"/>
    <n v="20"/>
    <x v="1363"/>
    <x v="1491"/>
    <x v="3"/>
    <x v="3"/>
    <n v="160"/>
    <x v="0"/>
    <n v="160"/>
    <x v="1477"/>
    <x v="1491"/>
    <x v="0"/>
    <x v="11"/>
    <x v="11"/>
    <s v="Sunday"/>
  </r>
  <r>
    <s v="TXN-01572"/>
    <d v="2024-01-27T00:00:00"/>
    <d v="1899-12-30T08:45:00"/>
    <s v="Pooja Bansal"/>
    <s v="CUST0357"/>
    <x v="3"/>
    <x v="7"/>
    <x v="0"/>
    <s v="Hot"/>
    <s v="Small"/>
    <n v="1"/>
    <n v="145"/>
    <n v="0.05"/>
    <n v="145"/>
    <n v="137.75"/>
    <x v="0"/>
    <x v="3"/>
    <x v="2"/>
    <x v="7"/>
    <x v="0"/>
    <x v="3"/>
    <n v="244"/>
    <n v="35"/>
    <x v="1364"/>
    <x v="1492"/>
    <x v="4"/>
    <x v="0"/>
    <n v="145"/>
    <x v="6"/>
    <n v="137.75"/>
    <x v="1478"/>
    <x v="1492"/>
    <x v="0"/>
    <x v="2"/>
    <x v="2"/>
    <s v="Saturday"/>
  </r>
  <r>
    <s v="TXN-01573"/>
    <d v="2024-08-28T00:00:00"/>
    <d v="1899-12-30T20:30:00"/>
    <s v="Pooja Malhotra"/>
    <s v="CUST0285"/>
    <x v="3"/>
    <x v="10"/>
    <x v="1"/>
    <s v="Food"/>
    <s v="Large"/>
    <n v="1"/>
    <n v="100"/>
    <n v="0"/>
    <n v="100"/>
    <n v="100"/>
    <x v="2"/>
    <x v="0"/>
    <x v="6"/>
    <x v="6"/>
    <x v="0"/>
    <x v="2"/>
    <n v="244"/>
    <n v="34"/>
    <x v="1365"/>
    <x v="1493"/>
    <x v="3"/>
    <x v="3"/>
    <n v="100"/>
    <x v="0"/>
    <n v="100"/>
    <x v="1479"/>
    <x v="1493"/>
    <x v="0"/>
    <x v="1"/>
    <x v="1"/>
    <s v="Wednesday"/>
  </r>
  <r>
    <s v="TXN-01574"/>
    <d v="2024-02-13T00:00:00"/>
    <d v="1899-12-30T14:00:00"/>
    <s v="Ananya Kapoor"/>
    <s v="CUST0397"/>
    <x v="2"/>
    <x v="2"/>
    <x v="1"/>
    <s v="Food"/>
    <s v="Large"/>
    <n v="2"/>
    <n v="80"/>
    <n v="0.1"/>
    <n v="160"/>
    <n v="144"/>
    <x v="2"/>
    <x v="3"/>
    <x v="5"/>
    <x v="3"/>
    <x v="0"/>
    <x v="0"/>
    <n v="127"/>
    <n v="54"/>
    <x v="1366"/>
    <x v="1494"/>
    <x v="3"/>
    <x v="4"/>
    <n v="160"/>
    <x v="3"/>
    <n v="144"/>
    <x v="1480"/>
    <x v="1494"/>
    <x v="0"/>
    <x v="3"/>
    <x v="3"/>
    <s v="Tuesday"/>
  </r>
  <r>
    <s v="TXN-01575"/>
    <d v="2024-07-17T00:00:00"/>
    <d v="1899-12-30T14:00:00"/>
    <s v="Karan Gupta"/>
    <s v="CUST0306"/>
    <x v="2"/>
    <x v="10"/>
    <x v="1"/>
    <s v="Food"/>
    <s v="Unknown"/>
    <n v="1"/>
    <n v="100"/>
    <n v="0.15"/>
    <n v="100"/>
    <n v="85"/>
    <x v="2"/>
    <x v="1"/>
    <x v="2"/>
    <x v="6"/>
    <x v="0"/>
    <x v="4"/>
    <n v="376"/>
    <n v="51"/>
    <x v="1367"/>
    <x v="1495"/>
    <x v="3"/>
    <x v="0"/>
    <n v="100"/>
    <x v="51"/>
    <n v="85"/>
    <x v="1481"/>
    <x v="1495"/>
    <x v="0"/>
    <x v="7"/>
    <x v="7"/>
    <s v="Wednesday"/>
  </r>
  <r>
    <s v="TXN-01576"/>
    <d v="2024-05-23T00:00:00"/>
    <d v="1899-12-30T13:30:00"/>
    <s v="Priya Bansal"/>
    <s v="CUST0278"/>
    <x v="2"/>
    <x v="1"/>
    <x v="1"/>
    <s v="Food"/>
    <s v="Small"/>
    <n v="1"/>
    <n v="120"/>
    <n v="0.05"/>
    <n v="120"/>
    <n v="114"/>
    <x v="1"/>
    <x v="3"/>
    <x v="1"/>
    <x v="4"/>
    <x v="2"/>
    <x v="3"/>
    <n v="107"/>
    <n v="15"/>
    <x v="1368"/>
    <x v="1496"/>
    <x v="0"/>
    <x v="3"/>
    <n v="120"/>
    <x v="77"/>
    <n v="114"/>
    <x v="1482"/>
    <x v="1496"/>
    <x v="0"/>
    <x v="6"/>
    <x v="6"/>
    <s v="Thursday"/>
  </r>
  <r>
    <s v="TXN-01577"/>
    <d v="2024-09-09T00:00:00"/>
    <d v="1899-12-30T17:45:00"/>
    <s v="Rahul Mehta"/>
    <s v="CUST0234"/>
    <x v="1"/>
    <x v="8"/>
    <x v="0"/>
    <s v="Cold"/>
    <s v="Small"/>
    <n v="2"/>
    <n v="155"/>
    <n v="0"/>
    <n v="310"/>
    <n v="310"/>
    <x v="1"/>
    <x v="3"/>
    <x v="3"/>
    <x v="2"/>
    <x v="0"/>
    <x v="1"/>
    <n v="224"/>
    <n v="43"/>
    <x v="1369"/>
    <x v="1497"/>
    <x v="0"/>
    <x v="0"/>
    <n v="310"/>
    <x v="0"/>
    <n v="310"/>
    <x v="1483"/>
    <x v="1497"/>
    <x v="0"/>
    <x v="0"/>
    <x v="0"/>
    <s v="Monday"/>
  </r>
  <r>
    <s v="TXN-01578"/>
    <d v="2024-06-25T00:00:00"/>
    <d v="1899-12-30T20:20:00"/>
    <s v="Karan Malhotra"/>
    <s v="CUST0327"/>
    <x v="2"/>
    <x v="11"/>
    <x v="0"/>
    <s v="Hot"/>
    <s v="Unknown"/>
    <n v="3"/>
    <n v="100"/>
    <n v="0.15"/>
    <n v="300"/>
    <n v="255"/>
    <x v="2"/>
    <x v="3"/>
    <x v="1"/>
    <x v="5"/>
    <x v="0"/>
    <x v="1"/>
    <n v="244"/>
    <n v="23"/>
    <x v="1370"/>
    <x v="1498"/>
    <x v="2"/>
    <x v="3"/>
    <n v="300"/>
    <x v="15"/>
    <n v="255"/>
    <x v="1484"/>
    <x v="1498"/>
    <x v="0"/>
    <x v="4"/>
    <x v="4"/>
    <s v="Tuesday"/>
  </r>
  <r>
    <s v="TXN-01579"/>
    <d v="2024-11-05T00:00:00"/>
    <d v="1899-12-30T08:45:00"/>
    <s v="Riya Bansal"/>
    <s v="CUST0374"/>
    <x v="2"/>
    <x v="7"/>
    <x v="0"/>
    <s v="Hot"/>
    <s v="Large"/>
    <n v="1"/>
    <n v="150"/>
    <n v="0.15"/>
    <n v="150"/>
    <n v="127.5"/>
    <x v="0"/>
    <x v="2"/>
    <x v="0"/>
    <x v="5"/>
    <x v="0"/>
    <x v="3"/>
    <n v="466"/>
    <n v="49"/>
    <x v="1371"/>
    <x v="1088"/>
    <x v="0"/>
    <x v="1"/>
    <n v="150"/>
    <x v="55"/>
    <n v="127.5"/>
    <x v="1485"/>
    <x v="1088"/>
    <x v="0"/>
    <x v="11"/>
    <x v="11"/>
    <s v="Tuesday"/>
  </r>
  <r>
    <s v="TXN-01580"/>
    <d v="2024-06-29T00:00:00"/>
    <d v="1899-12-30T14:00:00"/>
    <s v="Ananya Singh"/>
    <s v="Unknown"/>
    <x v="3"/>
    <x v="7"/>
    <x v="0"/>
    <s v="Hot"/>
    <s v="Small"/>
    <n v="3"/>
    <n v="140"/>
    <n v="0"/>
    <n v="420"/>
    <n v="420"/>
    <x v="0"/>
    <x v="3"/>
    <x v="5"/>
    <x v="1"/>
    <x v="0"/>
    <x v="0"/>
    <n v="254"/>
    <n v="55"/>
    <x v="1372"/>
    <x v="1499"/>
    <x v="1"/>
    <x v="2"/>
    <n v="420"/>
    <x v="0"/>
    <n v="420"/>
    <x v="1486"/>
    <x v="1499"/>
    <x v="0"/>
    <x v="4"/>
    <x v="4"/>
    <s v="Saturday"/>
  </r>
  <r>
    <s v="TXN-01581"/>
    <d v="2024-10-23T00:00:00"/>
    <d v="1899-12-30T11:15:00"/>
    <s v="Arjun Sharma"/>
    <s v="CUST0303"/>
    <x v="3"/>
    <x v="1"/>
    <x v="1"/>
    <s v="Food"/>
    <s v="Medium"/>
    <n v="1"/>
    <n v="125"/>
    <n v="0.05"/>
    <n v="125"/>
    <n v="118.75"/>
    <x v="0"/>
    <x v="0"/>
    <x v="5"/>
    <x v="1"/>
    <x v="0"/>
    <x v="0"/>
    <n v="341"/>
    <n v="58"/>
    <x v="1373"/>
    <x v="1500"/>
    <x v="4"/>
    <x v="0"/>
    <n v="125"/>
    <x v="85"/>
    <n v="118.75"/>
    <x v="1487"/>
    <x v="1500"/>
    <x v="0"/>
    <x v="10"/>
    <x v="10"/>
    <s v="Wednesday"/>
  </r>
  <r>
    <s v="TXN-01582"/>
    <d v="2024-11-02T00:00:00"/>
    <d v="1899-12-30T09:00:00"/>
    <s v="Meera Bansal"/>
    <s v="CUST0160"/>
    <x v="1"/>
    <x v="0"/>
    <x v="0"/>
    <s v="Hot"/>
    <s v="Unknown"/>
    <n v="2"/>
    <n v="130"/>
    <n v="0.05"/>
    <n v="260"/>
    <n v="247"/>
    <x v="0"/>
    <x v="3"/>
    <x v="2"/>
    <x v="5"/>
    <x v="2"/>
    <x v="1"/>
    <n v="298"/>
    <n v="12"/>
    <x v="1325"/>
    <x v="1501"/>
    <x v="1"/>
    <x v="2"/>
    <n v="260"/>
    <x v="17"/>
    <n v="247"/>
    <x v="1428"/>
    <x v="1501"/>
    <x v="0"/>
    <x v="11"/>
    <x v="11"/>
    <s v="Saturday"/>
  </r>
  <r>
    <s v="TXN-01583"/>
    <d v="2024-08-24T00:00:00"/>
    <d v="1899-12-30T09:45:00"/>
    <s v="Vivaan Chopra"/>
    <s v="CUST0353"/>
    <x v="1"/>
    <x v="14"/>
    <x v="3"/>
    <s v="Food"/>
    <s v="Medium"/>
    <n v="1"/>
    <n v="190"/>
    <n v="0.05"/>
    <n v="190"/>
    <n v="180.5"/>
    <x v="2"/>
    <x v="0"/>
    <x v="2"/>
    <x v="2"/>
    <x v="1"/>
    <x v="3"/>
    <n v="34"/>
    <n v="34"/>
    <x v="1374"/>
    <x v="1502"/>
    <x v="3"/>
    <x v="0"/>
    <n v="190"/>
    <x v="10"/>
    <n v="180.5"/>
    <x v="1488"/>
    <x v="1502"/>
    <x v="0"/>
    <x v="1"/>
    <x v="1"/>
    <s v="Saturday"/>
  </r>
  <r>
    <s v="TXN-01584"/>
    <d v="2024-02-27T00:00:00"/>
    <d v="1899-12-30T15:15:00"/>
    <s v="Pooja Chopra"/>
    <s v="CUST0162"/>
    <x v="1"/>
    <x v="3"/>
    <x v="0"/>
    <s v="Hot"/>
    <s v="Small"/>
    <n v="3"/>
    <n v="115"/>
    <n v="0.05"/>
    <n v="345"/>
    <n v="327.75"/>
    <x v="2"/>
    <x v="3"/>
    <x v="3"/>
    <x v="7"/>
    <x v="2"/>
    <x v="3"/>
    <n v="427"/>
    <n v="35"/>
    <x v="1375"/>
    <x v="1503"/>
    <x v="0"/>
    <x v="4"/>
    <n v="345"/>
    <x v="68"/>
    <n v="327.75"/>
    <x v="1489"/>
    <x v="1503"/>
    <x v="0"/>
    <x v="3"/>
    <x v="3"/>
    <s v="Tuesday"/>
  </r>
  <r>
    <s v="TXN-01585"/>
    <d v="2024-09-21T00:00:00"/>
    <d v="1899-12-30T16:10:00"/>
    <s v="Simran Malhotra"/>
    <s v="CUST0324"/>
    <x v="0"/>
    <x v="15"/>
    <x v="4"/>
    <s v="Food"/>
    <s v="Large"/>
    <n v="4"/>
    <n v="190"/>
    <n v="0"/>
    <n v="760"/>
    <n v="760"/>
    <x v="2"/>
    <x v="0"/>
    <x v="3"/>
    <x v="2"/>
    <x v="1"/>
    <x v="4"/>
    <n v="314"/>
    <n v="34"/>
    <x v="186"/>
    <x v="1504"/>
    <x v="1"/>
    <x v="0"/>
    <n v="760"/>
    <x v="0"/>
    <n v="760"/>
    <x v="1490"/>
    <x v="1504"/>
    <x v="0"/>
    <x v="0"/>
    <x v="0"/>
    <s v="Saturday"/>
  </r>
  <r>
    <s v="TXN-01586"/>
    <d v="2024-01-23T00:00:00"/>
    <d v="1899-12-30T16:10:00"/>
    <s v="Neha Sharma"/>
    <s v="CUST0373"/>
    <x v="3"/>
    <x v="8"/>
    <x v="0"/>
    <s v="Cold"/>
    <s v="Small"/>
    <n v="1"/>
    <n v="170"/>
    <n v="0"/>
    <n v="170"/>
    <n v="170"/>
    <x v="1"/>
    <x v="0"/>
    <x v="5"/>
    <x v="5"/>
    <x v="0"/>
    <x v="2"/>
    <n v="435"/>
    <n v="34"/>
    <x v="1376"/>
    <x v="1505"/>
    <x v="0"/>
    <x v="3"/>
    <n v="170"/>
    <x v="0"/>
    <n v="170"/>
    <x v="1491"/>
    <x v="1505"/>
    <x v="0"/>
    <x v="2"/>
    <x v="2"/>
    <s v="Tuesday"/>
  </r>
  <r>
    <s v="TXN-01587"/>
    <d v="2024-03-21T00:00:00"/>
    <d v="1899-12-30T20:50:00"/>
    <s v="Arjun Gupta"/>
    <s v="CUST0151"/>
    <x v="3"/>
    <x v="12"/>
    <x v="1"/>
    <s v="Food"/>
    <s v="Unknown"/>
    <n v="1"/>
    <n v="90"/>
    <n v="0"/>
    <n v="90"/>
    <n v="90"/>
    <x v="2"/>
    <x v="3"/>
    <x v="0"/>
    <x v="5"/>
    <x v="0"/>
    <x v="4"/>
    <n v="261"/>
    <n v="35"/>
    <x v="1377"/>
    <x v="507"/>
    <x v="4"/>
    <x v="1"/>
    <n v="90"/>
    <x v="0"/>
    <n v="90"/>
    <x v="1492"/>
    <x v="507"/>
    <x v="0"/>
    <x v="5"/>
    <x v="5"/>
    <s v="Thursday"/>
  </r>
  <r>
    <s v="TXN-01588"/>
    <d v="2024-03-29T00:00:00"/>
    <d v="1899-12-30T19:50:00"/>
    <s v="Manish Kapoor"/>
    <s v="CUST0249"/>
    <x v="3"/>
    <x v="1"/>
    <x v="1"/>
    <s v="Food"/>
    <s v="Medium"/>
    <n v="2"/>
    <n v="130"/>
    <n v="0.05"/>
    <n v="260"/>
    <n v="247"/>
    <x v="2"/>
    <x v="0"/>
    <x v="6"/>
    <x v="6"/>
    <x v="0"/>
    <x v="1"/>
    <n v="85"/>
    <n v="36"/>
    <x v="884"/>
    <x v="1506"/>
    <x v="2"/>
    <x v="3"/>
    <n v="260"/>
    <x v="17"/>
    <n v="247"/>
    <x v="1493"/>
    <x v="1506"/>
    <x v="0"/>
    <x v="5"/>
    <x v="5"/>
    <s v="Friday"/>
  </r>
  <r>
    <s v="TXN-01589"/>
    <d v="2024-07-21T00:00:00"/>
    <d v="1899-12-30T13:50:00"/>
    <s v="Neha Gupta"/>
    <s v="CUST0355"/>
    <x v="0"/>
    <x v="11"/>
    <x v="0"/>
    <s v="Hot"/>
    <s v="Unknown"/>
    <n v="1"/>
    <n v="90"/>
    <n v="0"/>
    <n v="90"/>
    <n v="90"/>
    <x v="0"/>
    <x v="1"/>
    <x v="4"/>
    <x v="5"/>
    <x v="0"/>
    <x v="2"/>
    <n v="118"/>
    <n v="10"/>
    <x v="1378"/>
    <x v="452"/>
    <x v="0"/>
    <x v="2"/>
    <n v="90"/>
    <x v="0"/>
    <n v="90"/>
    <x v="1494"/>
    <x v="452"/>
    <x v="0"/>
    <x v="7"/>
    <x v="7"/>
    <s v="Sunday"/>
  </r>
  <r>
    <s v="TXN-01590"/>
    <d v="2024-12-09T00:00:00"/>
    <d v="1899-12-30T15:30:00"/>
    <s v="Karan Bansal"/>
    <s v="CUST0108"/>
    <x v="1"/>
    <x v="1"/>
    <x v="1"/>
    <s v="Food"/>
    <s v="Large"/>
    <n v="1"/>
    <n v="120"/>
    <n v="0.05"/>
    <n v="120"/>
    <n v="114"/>
    <x v="2"/>
    <x v="1"/>
    <x v="6"/>
    <x v="7"/>
    <x v="0"/>
    <x v="2"/>
    <n v="244"/>
    <n v="37"/>
    <x v="36"/>
    <x v="1507"/>
    <x v="0"/>
    <x v="1"/>
    <n v="120"/>
    <x v="77"/>
    <n v="114"/>
    <x v="36"/>
    <x v="1507"/>
    <x v="0"/>
    <x v="9"/>
    <x v="9"/>
    <s v="Monday"/>
  </r>
  <r>
    <s v="TXN-01591"/>
    <d v="2024-07-04T00:00:00"/>
    <d v="1899-12-30T14:30:00"/>
    <s v="Neha Verma"/>
    <s v="Unknown"/>
    <x v="0"/>
    <x v="6"/>
    <x v="0"/>
    <s v="Hot"/>
    <s v="Large"/>
    <n v="2"/>
    <n v="110"/>
    <n v="0"/>
    <n v="220"/>
    <n v="220"/>
    <x v="0"/>
    <x v="0"/>
    <x v="3"/>
    <x v="4"/>
    <x v="0"/>
    <x v="2"/>
    <n v="33"/>
    <n v="19"/>
    <x v="1173"/>
    <x v="1508"/>
    <x v="4"/>
    <x v="0"/>
    <n v="220"/>
    <x v="0"/>
    <n v="220"/>
    <x v="1495"/>
    <x v="1508"/>
    <x v="0"/>
    <x v="7"/>
    <x v="7"/>
    <s v="Thursday"/>
  </r>
  <r>
    <s v="TXN-01592"/>
    <d v="2024-06-20T00:00:00"/>
    <d v="1899-12-30T20:20:00"/>
    <s v="Pooja Kaur"/>
    <s v="CUST0187"/>
    <x v="3"/>
    <x v="7"/>
    <x v="0"/>
    <s v="Hot"/>
    <s v="Medium"/>
    <n v="1"/>
    <n v="145"/>
    <n v="0.05"/>
    <n v="145"/>
    <n v="137.75"/>
    <x v="2"/>
    <x v="2"/>
    <x v="1"/>
    <x v="2"/>
    <x v="0"/>
    <x v="1"/>
    <n v="244"/>
    <n v="52"/>
    <x v="1379"/>
    <x v="1509"/>
    <x v="0"/>
    <x v="2"/>
    <n v="145"/>
    <x v="6"/>
    <n v="137.75"/>
    <x v="1496"/>
    <x v="1509"/>
    <x v="0"/>
    <x v="4"/>
    <x v="4"/>
    <s v="Thursday"/>
  </r>
  <r>
    <s v="TXN-01593"/>
    <d v="2024-06-25T00:00:00"/>
    <d v="1899-12-30T08:50:00"/>
    <s v="Aditya Bansal"/>
    <s v="Unknown"/>
    <x v="2"/>
    <x v="3"/>
    <x v="0"/>
    <s v="Hot"/>
    <s v="Large"/>
    <n v="1"/>
    <n v="115"/>
    <n v="0"/>
    <n v="115"/>
    <n v="115"/>
    <x v="2"/>
    <x v="1"/>
    <x v="4"/>
    <x v="0"/>
    <x v="2"/>
    <x v="4"/>
    <n v="173"/>
    <n v="58"/>
    <x v="1380"/>
    <x v="1479"/>
    <x v="0"/>
    <x v="4"/>
    <n v="115"/>
    <x v="0"/>
    <n v="115"/>
    <x v="1497"/>
    <x v="1479"/>
    <x v="0"/>
    <x v="4"/>
    <x v="4"/>
    <s v="Tuesday"/>
  </r>
  <r>
    <s v="TXN-01594"/>
    <d v="2024-07-24T00:00:00"/>
    <d v="1899-12-30T19:15:00"/>
    <s v="Aarav Sharma"/>
    <s v="CUST0301"/>
    <x v="2"/>
    <x v="7"/>
    <x v="0"/>
    <s v="Hot"/>
    <s v="Small"/>
    <n v="3"/>
    <n v="145"/>
    <n v="0"/>
    <n v="435"/>
    <n v="435"/>
    <x v="3"/>
    <x v="0"/>
    <x v="5"/>
    <x v="4"/>
    <x v="0"/>
    <x v="2"/>
    <n v="1"/>
    <n v="46"/>
    <x v="1381"/>
    <x v="1510"/>
    <x v="2"/>
    <x v="0"/>
    <n v="435"/>
    <x v="0"/>
    <n v="435"/>
    <x v="1498"/>
    <x v="1510"/>
    <x v="0"/>
    <x v="7"/>
    <x v="7"/>
    <s v="Wednesday"/>
  </r>
  <r>
    <s v="TXN-01595"/>
    <d v="2024-04-21T00:00:00"/>
    <d v="1899-12-30T08:10:00"/>
    <s v="Neha Malhotra"/>
    <s v="CUST0385"/>
    <x v="1"/>
    <x v="5"/>
    <x v="2"/>
    <s v="Hot"/>
    <s v="Unknown"/>
    <n v="3"/>
    <n v="95"/>
    <n v="0"/>
    <n v="285"/>
    <n v="285"/>
    <x v="0"/>
    <x v="0"/>
    <x v="6"/>
    <x v="6"/>
    <x v="0"/>
    <x v="2"/>
    <n v="300"/>
    <n v="23"/>
    <x v="1382"/>
    <x v="1511"/>
    <x v="4"/>
    <x v="3"/>
    <n v="285"/>
    <x v="0"/>
    <n v="285"/>
    <x v="1499"/>
    <x v="1511"/>
    <x v="0"/>
    <x v="8"/>
    <x v="8"/>
    <s v="Sunday"/>
  </r>
  <r>
    <s v="TXN-01596"/>
    <d v="2024-09-29T00:00:00"/>
    <d v="1899-12-30T14:45:00"/>
    <s v="Manish Chopra"/>
    <s v="Unknown"/>
    <x v="3"/>
    <x v="11"/>
    <x v="0"/>
    <s v="Hot"/>
    <s v="Medium"/>
    <n v="1"/>
    <n v="95"/>
    <n v="0"/>
    <n v="95"/>
    <n v="95"/>
    <x v="0"/>
    <x v="0"/>
    <x v="5"/>
    <x v="4"/>
    <x v="0"/>
    <x v="4"/>
    <n v="119"/>
    <n v="35"/>
    <x v="1383"/>
    <x v="1512"/>
    <x v="0"/>
    <x v="0"/>
    <n v="95"/>
    <x v="0"/>
    <n v="95"/>
    <x v="1500"/>
    <x v="1512"/>
    <x v="0"/>
    <x v="0"/>
    <x v="0"/>
    <s v="Sunday"/>
  </r>
  <r>
    <s v="TXN-01597"/>
    <d v="2024-10-24T00:00:00"/>
    <d v="1899-12-30T11:00:00"/>
    <s v="Rahul Kapoor"/>
    <s v="CUST0132"/>
    <x v="2"/>
    <x v="3"/>
    <x v="0"/>
    <s v="Hot"/>
    <s v="Small"/>
    <n v="1"/>
    <n v="120"/>
    <n v="0.1"/>
    <n v="120"/>
    <n v="108"/>
    <x v="1"/>
    <x v="0"/>
    <x v="3"/>
    <x v="1"/>
    <x v="2"/>
    <x v="2"/>
    <n v="244"/>
    <n v="31"/>
    <x v="1384"/>
    <x v="1513"/>
    <x v="3"/>
    <x v="1"/>
    <n v="120"/>
    <x v="2"/>
    <n v="108"/>
    <x v="1501"/>
    <x v="1513"/>
    <x v="0"/>
    <x v="10"/>
    <x v="10"/>
    <s v="Thursday"/>
  </r>
  <r>
    <s v="TXN-01598"/>
    <d v="2024-11-26T00:00:00"/>
    <d v="1899-12-30T16:10:00"/>
    <s v="Manish Kapoor"/>
    <s v="CUST0247"/>
    <x v="2"/>
    <x v="1"/>
    <x v="1"/>
    <s v="Food"/>
    <s v="Medium"/>
    <n v="2"/>
    <n v="125"/>
    <n v="0.05"/>
    <n v="250"/>
    <n v="237.5"/>
    <x v="0"/>
    <x v="3"/>
    <x v="2"/>
    <x v="6"/>
    <x v="0"/>
    <x v="1"/>
    <n v="170"/>
    <n v="38"/>
    <x v="317"/>
    <x v="1514"/>
    <x v="3"/>
    <x v="3"/>
    <n v="250"/>
    <x v="91"/>
    <n v="237.5"/>
    <x v="324"/>
    <x v="1514"/>
    <x v="0"/>
    <x v="11"/>
    <x v="11"/>
    <s v="Tuesday"/>
  </r>
  <r>
    <s v="TXN-01599"/>
    <d v="2024-02-03T00:00:00"/>
    <d v="1899-12-30T16:15:00"/>
    <s v="Karan Bansal"/>
    <s v="CUST0175"/>
    <x v="1"/>
    <x v="2"/>
    <x v="1"/>
    <s v="Food"/>
    <s v="Large"/>
    <n v="1"/>
    <n v="70"/>
    <n v="0"/>
    <n v="70"/>
    <n v="70"/>
    <x v="0"/>
    <x v="1"/>
    <x v="2"/>
    <x v="1"/>
    <x v="0"/>
    <x v="2"/>
    <n v="320"/>
    <n v="56"/>
    <x v="1385"/>
    <x v="1515"/>
    <x v="2"/>
    <x v="0"/>
    <n v="70"/>
    <x v="0"/>
    <n v="70"/>
    <x v="1502"/>
    <x v="1515"/>
    <x v="0"/>
    <x v="3"/>
    <x v="3"/>
    <s v="Saturday"/>
  </r>
  <r>
    <s v="TXN-01600"/>
    <d v="2024-01-31T00:00:00"/>
    <d v="1899-12-30T17:45:00"/>
    <s v="Neha Singh"/>
    <s v="CUST0251"/>
    <x v="1"/>
    <x v="3"/>
    <x v="0"/>
    <s v="Hot"/>
    <s v="Large"/>
    <n v="1"/>
    <n v="120"/>
    <n v="0"/>
    <n v="120"/>
    <n v="120"/>
    <x v="0"/>
    <x v="0"/>
    <x v="3"/>
    <x v="7"/>
    <x v="0"/>
    <x v="2"/>
    <n v="498"/>
    <n v="29"/>
    <x v="1386"/>
    <x v="1516"/>
    <x v="2"/>
    <x v="4"/>
    <n v="120"/>
    <x v="0"/>
    <n v="120"/>
    <x v="1503"/>
    <x v="1516"/>
    <x v="0"/>
    <x v="2"/>
    <x v="2"/>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374DC0-D92A-4D10-A2D3-7A6692A0CA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3:B145" firstHeaderRow="1" firstDataRow="1" firstDataCol="1"/>
  <pivotFields count="36">
    <pivotField showAll="0"/>
    <pivotField numFmtId="165" showAll="0"/>
    <pivotField numFmtId="20" showAll="0"/>
    <pivotField showAll="0"/>
    <pivotField showAll="0"/>
    <pivotField showAll="0"/>
    <pivotField showAll="0">
      <items count="17">
        <item x="6"/>
        <item x="1"/>
        <item x="0"/>
        <item x="15"/>
        <item x="8"/>
        <item x="2"/>
        <item x="10"/>
        <item x="11"/>
        <item x="5"/>
        <item x="4"/>
        <item x="13"/>
        <item x="3"/>
        <item x="9"/>
        <item x="7"/>
        <item x="12"/>
        <item x="14"/>
        <item t="default"/>
      </items>
    </pivotField>
    <pivotField showAll="0">
      <items count="6">
        <item x="1"/>
        <item x="0"/>
        <item x="4"/>
        <item x="3"/>
        <item x="2"/>
        <item t="default"/>
      </items>
    </pivotField>
    <pivotField showAll="0"/>
    <pivotField showAll="0"/>
    <pivotField numFmtId="1" showAll="0"/>
    <pivotField numFmtId="166" showAll="0"/>
    <pivotField numFmtId="9" showAll="0"/>
    <pivotField numFmtId="166" showAll="0"/>
    <pivotField dataField="1" numFmtId="166" showAll="0"/>
    <pivotField showAll="0"/>
    <pivotField showAll="0"/>
    <pivotField axis="axisRow" showAll="0">
      <items count="8">
        <item x="0"/>
        <item x="3"/>
        <item x="4"/>
        <item x="5"/>
        <item x="2"/>
        <item x="1"/>
        <item x="6"/>
        <item t="default"/>
      </items>
    </pivotField>
    <pivotField showAll="0"/>
    <pivotField showAll="0"/>
    <pivotField numFmtId="1" showAll="0"/>
    <pivotField numFmtId="1" showAll="0"/>
    <pivotField numFmtId="1" showAll="0"/>
    <pivotField numFmtId="166" showAll="0"/>
    <pivotField numFmtId="166" showAll="0"/>
    <pivotField showAll="0"/>
    <pivotField showAll="0"/>
    <pivotField numFmtId="166" showAll="0"/>
    <pivotField numFmtId="166" showAll="0"/>
    <pivotField numFmtId="166" showAll="0"/>
    <pivotField numFmtId="166" showAll="0"/>
    <pivotField numFmtId="166" showAll="0"/>
    <pivotField numFmtId="1" showAll="0"/>
    <pivotField numFmtId="1" showAll="0"/>
    <pivotField axis="axisRow" showAll="0">
      <items count="13">
        <item x="2"/>
        <item x="3"/>
        <item x="5"/>
        <item x="8"/>
        <item x="6"/>
        <item x="4"/>
        <item x="7"/>
        <item x="1"/>
        <item x="0"/>
        <item x="10"/>
        <item x="11"/>
        <item x="9"/>
        <item t="default"/>
      </items>
    </pivotField>
    <pivotField showAll="0"/>
  </pivotFields>
  <rowFields count="2">
    <field x="17"/>
    <field x="34"/>
  </rowFields>
  <rowItems count="9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0"/>
    </i>
    <i r="1">
      <x v="11"/>
    </i>
    <i t="grand">
      <x/>
    </i>
  </rowItems>
  <colItems count="1">
    <i/>
  </colItems>
  <dataFields count="1">
    <dataField name="Sum of Net Sales" fld="14" baseField="0" baseItem="0" numFmtId="166"/>
  </dataFields>
  <chartFormats count="9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7" count="1" selected="0">
            <x v="0"/>
          </reference>
        </references>
      </pivotArea>
    </chartFormat>
    <chartFormat chart="2" format="3">
      <pivotArea type="data" outline="0" fieldPosition="0">
        <references count="2">
          <reference field="4294967294" count="1" selected="0">
            <x v="0"/>
          </reference>
          <reference field="17" count="1" selected="0">
            <x v="1"/>
          </reference>
        </references>
      </pivotArea>
    </chartFormat>
    <chartFormat chart="2" format="4">
      <pivotArea type="data" outline="0" fieldPosition="0">
        <references count="2">
          <reference field="4294967294" count="1" selected="0">
            <x v="0"/>
          </reference>
          <reference field="17" count="1" selected="0">
            <x v="2"/>
          </reference>
        </references>
      </pivotArea>
    </chartFormat>
    <chartFormat chart="2" format="5">
      <pivotArea type="data" outline="0" fieldPosition="0">
        <references count="2">
          <reference field="4294967294" count="1" selected="0">
            <x v="0"/>
          </reference>
          <reference field="17" count="1" selected="0">
            <x v="3"/>
          </reference>
        </references>
      </pivotArea>
    </chartFormat>
    <chartFormat chart="2" format="6">
      <pivotArea type="data" outline="0" fieldPosition="0">
        <references count="2">
          <reference field="4294967294" count="1" selected="0">
            <x v="0"/>
          </reference>
          <reference field="17" count="1" selected="0">
            <x v="4"/>
          </reference>
        </references>
      </pivotArea>
    </chartFormat>
    <chartFormat chart="2" format="7">
      <pivotArea type="data" outline="0" fieldPosition="0">
        <references count="2">
          <reference field="4294967294" count="1" selected="0">
            <x v="0"/>
          </reference>
          <reference field="17" count="1" selected="0">
            <x v="5"/>
          </reference>
        </references>
      </pivotArea>
    </chartFormat>
    <chartFormat chart="2" format="8">
      <pivotArea type="data" outline="0" fieldPosition="0">
        <references count="2">
          <reference field="4294967294" count="1" selected="0">
            <x v="0"/>
          </reference>
          <reference field="17" count="1" selected="0">
            <x v="6"/>
          </reference>
        </references>
      </pivotArea>
    </chartFormat>
    <chartFormat chart="2" format="21">
      <pivotArea type="data" outline="0" fieldPosition="0">
        <references count="3">
          <reference field="4294967294" count="1" selected="0">
            <x v="0"/>
          </reference>
          <reference field="17" count="1" selected="0">
            <x v="0"/>
          </reference>
          <reference field="34" count="1" selected="0">
            <x v="0"/>
          </reference>
        </references>
      </pivotArea>
    </chartFormat>
    <chartFormat chart="2" format="22">
      <pivotArea type="data" outline="0" fieldPosition="0">
        <references count="3">
          <reference field="4294967294" count="1" selected="0">
            <x v="0"/>
          </reference>
          <reference field="17" count="1" selected="0">
            <x v="0"/>
          </reference>
          <reference field="34" count="1" selected="0">
            <x v="1"/>
          </reference>
        </references>
      </pivotArea>
    </chartFormat>
    <chartFormat chart="2" format="23">
      <pivotArea type="data" outline="0" fieldPosition="0">
        <references count="3">
          <reference field="4294967294" count="1" selected="0">
            <x v="0"/>
          </reference>
          <reference field="17" count="1" selected="0">
            <x v="0"/>
          </reference>
          <reference field="34" count="1" selected="0">
            <x v="2"/>
          </reference>
        </references>
      </pivotArea>
    </chartFormat>
    <chartFormat chart="2" format="24">
      <pivotArea type="data" outline="0" fieldPosition="0">
        <references count="3">
          <reference field="4294967294" count="1" selected="0">
            <x v="0"/>
          </reference>
          <reference field="17" count="1" selected="0">
            <x v="0"/>
          </reference>
          <reference field="34" count="1" selected="0">
            <x v="3"/>
          </reference>
        </references>
      </pivotArea>
    </chartFormat>
    <chartFormat chart="2" format="25">
      <pivotArea type="data" outline="0" fieldPosition="0">
        <references count="3">
          <reference field="4294967294" count="1" selected="0">
            <x v="0"/>
          </reference>
          <reference field="17" count="1" selected="0">
            <x v="0"/>
          </reference>
          <reference field="34" count="1" selected="0">
            <x v="4"/>
          </reference>
        </references>
      </pivotArea>
    </chartFormat>
    <chartFormat chart="2" format="26">
      <pivotArea type="data" outline="0" fieldPosition="0">
        <references count="3">
          <reference field="4294967294" count="1" selected="0">
            <x v="0"/>
          </reference>
          <reference field="17" count="1" selected="0">
            <x v="0"/>
          </reference>
          <reference field="34" count="1" selected="0">
            <x v="5"/>
          </reference>
        </references>
      </pivotArea>
    </chartFormat>
    <chartFormat chart="2" format="27">
      <pivotArea type="data" outline="0" fieldPosition="0">
        <references count="3">
          <reference field="4294967294" count="1" selected="0">
            <x v="0"/>
          </reference>
          <reference field="17" count="1" selected="0">
            <x v="0"/>
          </reference>
          <reference field="34" count="1" selected="0">
            <x v="6"/>
          </reference>
        </references>
      </pivotArea>
    </chartFormat>
    <chartFormat chart="2" format="28">
      <pivotArea type="data" outline="0" fieldPosition="0">
        <references count="3">
          <reference field="4294967294" count="1" selected="0">
            <x v="0"/>
          </reference>
          <reference field="17" count="1" selected="0">
            <x v="0"/>
          </reference>
          <reference field="34" count="1" selected="0">
            <x v="7"/>
          </reference>
        </references>
      </pivotArea>
    </chartFormat>
    <chartFormat chart="2" format="29">
      <pivotArea type="data" outline="0" fieldPosition="0">
        <references count="3">
          <reference field="4294967294" count="1" selected="0">
            <x v="0"/>
          </reference>
          <reference field="17" count="1" selected="0">
            <x v="0"/>
          </reference>
          <reference field="34" count="1" selected="0">
            <x v="8"/>
          </reference>
        </references>
      </pivotArea>
    </chartFormat>
    <chartFormat chart="2" format="30">
      <pivotArea type="data" outline="0" fieldPosition="0">
        <references count="3">
          <reference field="4294967294" count="1" selected="0">
            <x v="0"/>
          </reference>
          <reference field="17" count="1" selected="0">
            <x v="0"/>
          </reference>
          <reference field="34" count="1" selected="0">
            <x v="9"/>
          </reference>
        </references>
      </pivotArea>
    </chartFormat>
    <chartFormat chart="2" format="31">
      <pivotArea type="data" outline="0" fieldPosition="0">
        <references count="3">
          <reference field="4294967294" count="1" selected="0">
            <x v="0"/>
          </reference>
          <reference field="17" count="1" selected="0">
            <x v="0"/>
          </reference>
          <reference field="34" count="1" selected="0">
            <x v="10"/>
          </reference>
        </references>
      </pivotArea>
    </chartFormat>
    <chartFormat chart="2" format="32">
      <pivotArea type="data" outline="0" fieldPosition="0">
        <references count="3">
          <reference field="4294967294" count="1" selected="0">
            <x v="0"/>
          </reference>
          <reference field="17" count="1" selected="0">
            <x v="0"/>
          </reference>
          <reference field="34" count="1" selected="0">
            <x v="11"/>
          </reference>
        </references>
      </pivotArea>
    </chartFormat>
    <chartFormat chart="2" format="33">
      <pivotArea type="data" outline="0" fieldPosition="0">
        <references count="3">
          <reference field="4294967294" count="1" selected="0">
            <x v="0"/>
          </reference>
          <reference field="17" count="1" selected="0">
            <x v="1"/>
          </reference>
          <reference field="34" count="1" selected="0">
            <x v="0"/>
          </reference>
        </references>
      </pivotArea>
    </chartFormat>
    <chartFormat chart="2" format="34">
      <pivotArea type="data" outline="0" fieldPosition="0">
        <references count="3">
          <reference field="4294967294" count="1" selected="0">
            <x v="0"/>
          </reference>
          <reference field="17" count="1" selected="0">
            <x v="1"/>
          </reference>
          <reference field="34" count="1" selected="0">
            <x v="1"/>
          </reference>
        </references>
      </pivotArea>
    </chartFormat>
    <chartFormat chart="2" format="35">
      <pivotArea type="data" outline="0" fieldPosition="0">
        <references count="3">
          <reference field="4294967294" count="1" selected="0">
            <x v="0"/>
          </reference>
          <reference field="17" count="1" selected="0">
            <x v="1"/>
          </reference>
          <reference field="34" count="1" selected="0">
            <x v="2"/>
          </reference>
        </references>
      </pivotArea>
    </chartFormat>
    <chartFormat chart="2" format="36">
      <pivotArea type="data" outline="0" fieldPosition="0">
        <references count="3">
          <reference field="4294967294" count="1" selected="0">
            <x v="0"/>
          </reference>
          <reference field="17" count="1" selected="0">
            <x v="1"/>
          </reference>
          <reference field="34" count="1" selected="0">
            <x v="3"/>
          </reference>
        </references>
      </pivotArea>
    </chartFormat>
    <chartFormat chart="2" format="37">
      <pivotArea type="data" outline="0" fieldPosition="0">
        <references count="3">
          <reference field="4294967294" count="1" selected="0">
            <x v="0"/>
          </reference>
          <reference field="17" count="1" selected="0">
            <x v="1"/>
          </reference>
          <reference field="34" count="1" selected="0">
            <x v="4"/>
          </reference>
        </references>
      </pivotArea>
    </chartFormat>
    <chartFormat chart="2" format="38">
      <pivotArea type="data" outline="0" fieldPosition="0">
        <references count="3">
          <reference field="4294967294" count="1" selected="0">
            <x v="0"/>
          </reference>
          <reference field="17" count="1" selected="0">
            <x v="1"/>
          </reference>
          <reference field="34" count="1" selected="0">
            <x v="5"/>
          </reference>
        </references>
      </pivotArea>
    </chartFormat>
    <chartFormat chart="2" format="39">
      <pivotArea type="data" outline="0" fieldPosition="0">
        <references count="3">
          <reference field="4294967294" count="1" selected="0">
            <x v="0"/>
          </reference>
          <reference field="17" count="1" selected="0">
            <x v="1"/>
          </reference>
          <reference field="34" count="1" selected="0">
            <x v="6"/>
          </reference>
        </references>
      </pivotArea>
    </chartFormat>
    <chartFormat chart="2" format="40">
      <pivotArea type="data" outline="0" fieldPosition="0">
        <references count="3">
          <reference field="4294967294" count="1" selected="0">
            <x v="0"/>
          </reference>
          <reference field="17" count="1" selected="0">
            <x v="1"/>
          </reference>
          <reference field="34" count="1" selected="0">
            <x v="7"/>
          </reference>
        </references>
      </pivotArea>
    </chartFormat>
    <chartFormat chart="2" format="41">
      <pivotArea type="data" outline="0" fieldPosition="0">
        <references count="3">
          <reference field="4294967294" count="1" selected="0">
            <x v="0"/>
          </reference>
          <reference field="17" count="1" selected="0">
            <x v="1"/>
          </reference>
          <reference field="34" count="1" selected="0">
            <x v="8"/>
          </reference>
        </references>
      </pivotArea>
    </chartFormat>
    <chartFormat chart="2" format="42">
      <pivotArea type="data" outline="0" fieldPosition="0">
        <references count="3">
          <reference field="4294967294" count="1" selected="0">
            <x v="0"/>
          </reference>
          <reference field="17" count="1" selected="0">
            <x v="1"/>
          </reference>
          <reference field="34" count="1" selected="0">
            <x v="9"/>
          </reference>
        </references>
      </pivotArea>
    </chartFormat>
    <chartFormat chart="2" format="43">
      <pivotArea type="data" outline="0" fieldPosition="0">
        <references count="3">
          <reference field="4294967294" count="1" selected="0">
            <x v="0"/>
          </reference>
          <reference field="17" count="1" selected="0">
            <x v="1"/>
          </reference>
          <reference field="34" count="1" selected="0">
            <x v="10"/>
          </reference>
        </references>
      </pivotArea>
    </chartFormat>
    <chartFormat chart="2" format="44">
      <pivotArea type="data" outline="0" fieldPosition="0">
        <references count="3">
          <reference field="4294967294" count="1" selected="0">
            <x v="0"/>
          </reference>
          <reference field="17" count="1" selected="0">
            <x v="1"/>
          </reference>
          <reference field="34" count="1" selected="0">
            <x v="11"/>
          </reference>
        </references>
      </pivotArea>
    </chartFormat>
    <chartFormat chart="2" format="45">
      <pivotArea type="data" outline="0" fieldPosition="0">
        <references count="3">
          <reference field="4294967294" count="1" selected="0">
            <x v="0"/>
          </reference>
          <reference field="17" count="1" selected="0">
            <x v="2"/>
          </reference>
          <reference field="34" count="1" selected="0">
            <x v="0"/>
          </reference>
        </references>
      </pivotArea>
    </chartFormat>
    <chartFormat chart="2" format="46">
      <pivotArea type="data" outline="0" fieldPosition="0">
        <references count="3">
          <reference field="4294967294" count="1" selected="0">
            <x v="0"/>
          </reference>
          <reference field="17" count="1" selected="0">
            <x v="2"/>
          </reference>
          <reference field="34" count="1" selected="0">
            <x v="1"/>
          </reference>
        </references>
      </pivotArea>
    </chartFormat>
    <chartFormat chart="2" format="47">
      <pivotArea type="data" outline="0" fieldPosition="0">
        <references count="3">
          <reference field="4294967294" count="1" selected="0">
            <x v="0"/>
          </reference>
          <reference field="17" count="1" selected="0">
            <x v="2"/>
          </reference>
          <reference field="34" count="1" selected="0">
            <x v="2"/>
          </reference>
        </references>
      </pivotArea>
    </chartFormat>
    <chartFormat chart="2" format="48">
      <pivotArea type="data" outline="0" fieldPosition="0">
        <references count="3">
          <reference field="4294967294" count="1" selected="0">
            <x v="0"/>
          </reference>
          <reference field="17" count="1" selected="0">
            <x v="2"/>
          </reference>
          <reference field="34" count="1" selected="0">
            <x v="3"/>
          </reference>
        </references>
      </pivotArea>
    </chartFormat>
    <chartFormat chart="2" format="49">
      <pivotArea type="data" outline="0" fieldPosition="0">
        <references count="3">
          <reference field="4294967294" count="1" selected="0">
            <x v="0"/>
          </reference>
          <reference field="17" count="1" selected="0">
            <x v="2"/>
          </reference>
          <reference field="34" count="1" selected="0">
            <x v="4"/>
          </reference>
        </references>
      </pivotArea>
    </chartFormat>
    <chartFormat chart="2" format="50">
      <pivotArea type="data" outline="0" fieldPosition="0">
        <references count="3">
          <reference field="4294967294" count="1" selected="0">
            <x v="0"/>
          </reference>
          <reference field="17" count="1" selected="0">
            <x v="2"/>
          </reference>
          <reference field="34" count="1" selected="0">
            <x v="5"/>
          </reference>
        </references>
      </pivotArea>
    </chartFormat>
    <chartFormat chart="2" format="51">
      <pivotArea type="data" outline="0" fieldPosition="0">
        <references count="3">
          <reference field="4294967294" count="1" selected="0">
            <x v="0"/>
          </reference>
          <reference field="17" count="1" selected="0">
            <x v="2"/>
          </reference>
          <reference field="34" count="1" selected="0">
            <x v="6"/>
          </reference>
        </references>
      </pivotArea>
    </chartFormat>
    <chartFormat chart="2" format="52">
      <pivotArea type="data" outline="0" fieldPosition="0">
        <references count="3">
          <reference field="4294967294" count="1" selected="0">
            <x v="0"/>
          </reference>
          <reference field="17" count="1" selected="0">
            <x v="2"/>
          </reference>
          <reference field="34" count="1" selected="0">
            <x v="7"/>
          </reference>
        </references>
      </pivotArea>
    </chartFormat>
    <chartFormat chart="2" format="53">
      <pivotArea type="data" outline="0" fieldPosition="0">
        <references count="3">
          <reference field="4294967294" count="1" selected="0">
            <x v="0"/>
          </reference>
          <reference field="17" count="1" selected="0">
            <x v="2"/>
          </reference>
          <reference field="34" count="1" selected="0">
            <x v="8"/>
          </reference>
        </references>
      </pivotArea>
    </chartFormat>
    <chartFormat chart="2" format="54">
      <pivotArea type="data" outline="0" fieldPosition="0">
        <references count="3">
          <reference field="4294967294" count="1" selected="0">
            <x v="0"/>
          </reference>
          <reference field="17" count="1" selected="0">
            <x v="2"/>
          </reference>
          <reference field="34" count="1" selected="0">
            <x v="9"/>
          </reference>
        </references>
      </pivotArea>
    </chartFormat>
    <chartFormat chart="2" format="55">
      <pivotArea type="data" outline="0" fieldPosition="0">
        <references count="3">
          <reference field="4294967294" count="1" selected="0">
            <x v="0"/>
          </reference>
          <reference field="17" count="1" selected="0">
            <x v="2"/>
          </reference>
          <reference field="34" count="1" selected="0">
            <x v="10"/>
          </reference>
        </references>
      </pivotArea>
    </chartFormat>
    <chartFormat chart="2" format="56">
      <pivotArea type="data" outline="0" fieldPosition="0">
        <references count="3">
          <reference field="4294967294" count="1" selected="0">
            <x v="0"/>
          </reference>
          <reference field="17" count="1" selected="0">
            <x v="2"/>
          </reference>
          <reference field="34" count="1" selected="0">
            <x v="11"/>
          </reference>
        </references>
      </pivotArea>
    </chartFormat>
    <chartFormat chart="2" format="57">
      <pivotArea type="data" outline="0" fieldPosition="0">
        <references count="3">
          <reference field="4294967294" count="1" selected="0">
            <x v="0"/>
          </reference>
          <reference field="17" count="1" selected="0">
            <x v="3"/>
          </reference>
          <reference field="34" count="1" selected="0">
            <x v="0"/>
          </reference>
        </references>
      </pivotArea>
    </chartFormat>
    <chartFormat chart="2" format="58">
      <pivotArea type="data" outline="0" fieldPosition="0">
        <references count="3">
          <reference field="4294967294" count="1" selected="0">
            <x v="0"/>
          </reference>
          <reference field="17" count="1" selected="0">
            <x v="3"/>
          </reference>
          <reference field="34" count="1" selected="0">
            <x v="1"/>
          </reference>
        </references>
      </pivotArea>
    </chartFormat>
    <chartFormat chart="2" format="59">
      <pivotArea type="data" outline="0" fieldPosition="0">
        <references count="3">
          <reference field="4294967294" count="1" selected="0">
            <x v="0"/>
          </reference>
          <reference field="17" count="1" selected="0">
            <x v="3"/>
          </reference>
          <reference field="34" count="1" selected="0">
            <x v="2"/>
          </reference>
        </references>
      </pivotArea>
    </chartFormat>
    <chartFormat chart="2" format="60">
      <pivotArea type="data" outline="0" fieldPosition="0">
        <references count="3">
          <reference field="4294967294" count="1" selected="0">
            <x v="0"/>
          </reference>
          <reference field="17" count="1" selected="0">
            <x v="3"/>
          </reference>
          <reference field="34" count="1" selected="0">
            <x v="3"/>
          </reference>
        </references>
      </pivotArea>
    </chartFormat>
    <chartFormat chart="2" format="61">
      <pivotArea type="data" outline="0" fieldPosition="0">
        <references count="3">
          <reference field="4294967294" count="1" selected="0">
            <x v="0"/>
          </reference>
          <reference field="17" count="1" selected="0">
            <x v="3"/>
          </reference>
          <reference field="34" count="1" selected="0">
            <x v="4"/>
          </reference>
        </references>
      </pivotArea>
    </chartFormat>
    <chartFormat chart="2" format="62">
      <pivotArea type="data" outline="0" fieldPosition="0">
        <references count="3">
          <reference field="4294967294" count="1" selected="0">
            <x v="0"/>
          </reference>
          <reference field="17" count="1" selected="0">
            <x v="3"/>
          </reference>
          <reference field="34" count="1" selected="0">
            <x v="5"/>
          </reference>
        </references>
      </pivotArea>
    </chartFormat>
    <chartFormat chart="2" format="63">
      <pivotArea type="data" outline="0" fieldPosition="0">
        <references count="3">
          <reference field="4294967294" count="1" selected="0">
            <x v="0"/>
          </reference>
          <reference field="17" count="1" selected="0">
            <x v="3"/>
          </reference>
          <reference field="34" count="1" selected="0">
            <x v="6"/>
          </reference>
        </references>
      </pivotArea>
    </chartFormat>
    <chartFormat chart="2" format="64">
      <pivotArea type="data" outline="0" fieldPosition="0">
        <references count="3">
          <reference field="4294967294" count="1" selected="0">
            <x v="0"/>
          </reference>
          <reference field="17" count="1" selected="0">
            <x v="3"/>
          </reference>
          <reference field="34" count="1" selected="0">
            <x v="7"/>
          </reference>
        </references>
      </pivotArea>
    </chartFormat>
    <chartFormat chart="2" format="65">
      <pivotArea type="data" outline="0" fieldPosition="0">
        <references count="3">
          <reference field="4294967294" count="1" selected="0">
            <x v="0"/>
          </reference>
          <reference field="17" count="1" selected="0">
            <x v="3"/>
          </reference>
          <reference field="34" count="1" selected="0">
            <x v="8"/>
          </reference>
        </references>
      </pivotArea>
    </chartFormat>
    <chartFormat chart="2" format="66">
      <pivotArea type="data" outline="0" fieldPosition="0">
        <references count="3">
          <reference field="4294967294" count="1" selected="0">
            <x v="0"/>
          </reference>
          <reference field="17" count="1" selected="0">
            <x v="3"/>
          </reference>
          <reference field="34" count="1" selected="0">
            <x v="9"/>
          </reference>
        </references>
      </pivotArea>
    </chartFormat>
    <chartFormat chart="2" format="67">
      <pivotArea type="data" outline="0" fieldPosition="0">
        <references count="3">
          <reference field="4294967294" count="1" selected="0">
            <x v="0"/>
          </reference>
          <reference field="17" count="1" selected="0">
            <x v="3"/>
          </reference>
          <reference field="34" count="1" selected="0">
            <x v="10"/>
          </reference>
        </references>
      </pivotArea>
    </chartFormat>
    <chartFormat chart="2" format="68">
      <pivotArea type="data" outline="0" fieldPosition="0">
        <references count="3">
          <reference field="4294967294" count="1" selected="0">
            <x v="0"/>
          </reference>
          <reference field="17" count="1" selected="0">
            <x v="3"/>
          </reference>
          <reference field="34" count="1" selected="0">
            <x v="11"/>
          </reference>
        </references>
      </pivotArea>
    </chartFormat>
    <chartFormat chart="2" format="69">
      <pivotArea type="data" outline="0" fieldPosition="0">
        <references count="3">
          <reference field="4294967294" count="1" selected="0">
            <x v="0"/>
          </reference>
          <reference field="17" count="1" selected="0">
            <x v="4"/>
          </reference>
          <reference field="34" count="1" selected="0">
            <x v="0"/>
          </reference>
        </references>
      </pivotArea>
    </chartFormat>
    <chartFormat chart="2" format="70">
      <pivotArea type="data" outline="0" fieldPosition="0">
        <references count="3">
          <reference field="4294967294" count="1" selected="0">
            <x v="0"/>
          </reference>
          <reference field="17" count="1" selected="0">
            <x v="4"/>
          </reference>
          <reference field="34" count="1" selected="0">
            <x v="1"/>
          </reference>
        </references>
      </pivotArea>
    </chartFormat>
    <chartFormat chart="2" format="71">
      <pivotArea type="data" outline="0" fieldPosition="0">
        <references count="3">
          <reference field="4294967294" count="1" selected="0">
            <x v="0"/>
          </reference>
          <reference field="17" count="1" selected="0">
            <x v="4"/>
          </reference>
          <reference field="34" count="1" selected="0">
            <x v="2"/>
          </reference>
        </references>
      </pivotArea>
    </chartFormat>
    <chartFormat chart="2" format="72">
      <pivotArea type="data" outline="0" fieldPosition="0">
        <references count="3">
          <reference field="4294967294" count="1" selected="0">
            <x v="0"/>
          </reference>
          <reference field="17" count="1" selected="0">
            <x v="4"/>
          </reference>
          <reference field="34" count="1" selected="0">
            <x v="3"/>
          </reference>
        </references>
      </pivotArea>
    </chartFormat>
    <chartFormat chart="2" format="73">
      <pivotArea type="data" outline="0" fieldPosition="0">
        <references count="3">
          <reference field="4294967294" count="1" selected="0">
            <x v="0"/>
          </reference>
          <reference field="17" count="1" selected="0">
            <x v="4"/>
          </reference>
          <reference field="34" count="1" selected="0">
            <x v="4"/>
          </reference>
        </references>
      </pivotArea>
    </chartFormat>
    <chartFormat chart="2" format="74">
      <pivotArea type="data" outline="0" fieldPosition="0">
        <references count="3">
          <reference field="4294967294" count="1" selected="0">
            <x v="0"/>
          </reference>
          <reference field="17" count="1" selected="0">
            <x v="4"/>
          </reference>
          <reference field="34" count="1" selected="0">
            <x v="5"/>
          </reference>
        </references>
      </pivotArea>
    </chartFormat>
    <chartFormat chart="2" format="75">
      <pivotArea type="data" outline="0" fieldPosition="0">
        <references count="3">
          <reference field="4294967294" count="1" selected="0">
            <x v="0"/>
          </reference>
          <reference field="17" count="1" selected="0">
            <x v="4"/>
          </reference>
          <reference field="34" count="1" selected="0">
            <x v="6"/>
          </reference>
        </references>
      </pivotArea>
    </chartFormat>
    <chartFormat chart="2" format="76">
      <pivotArea type="data" outline="0" fieldPosition="0">
        <references count="3">
          <reference field="4294967294" count="1" selected="0">
            <x v="0"/>
          </reference>
          <reference field="17" count="1" selected="0">
            <x v="4"/>
          </reference>
          <reference field="34" count="1" selected="0">
            <x v="7"/>
          </reference>
        </references>
      </pivotArea>
    </chartFormat>
    <chartFormat chart="2" format="77">
      <pivotArea type="data" outline="0" fieldPosition="0">
        <references count="3">
          <reference field="4294967294" count="1" selected="0">
            <x v="0"/>
          </reference>
          <reference field="17" count="1" selected="0">
            <x v="4"/>
          </reference>
          <reference field="34" count="1" selected="0">
            <x v="8"/>
          </reference>
        </references>
      </pivotArea>
    </chartFormat>
    <chartFormat chart="2" format="78">
      <pivotArea type="data" outline="0" fieldPosition="0">
        <references count="3">
          <reference field="4294967294" count="1" selected="0">
            <x v="0"/>
          </reference>
          <reference field="17" count="1" selected="0">
            <x v="4"/>
          </reference>
          <reference field="34" count="1" selected="0">
            <x v="9"/>
          </reference>
        </references>
      </pivotArea>
    </chartFormat>
    <chartFormat chart="2" format="79">
      <pivotArea type="data" outline="0" fieldPosition="0">
        <references count="3">
          <reference field="4294967294" count="1" selected="0">
            <x v="0"/>
          </reference>
          <reference field="17" count="1" selected="0">
            <x v="4"/>
          </reference>
          <reference field="34" count="1" selected="0">
            <x v="10"/>
          </reference>
        </references>
      </pivotArea>
    </chartFormat>
    <chartFormat chart="2" format="80">
      <pivotArea type="data" outline="0" fieldPosition="0">
        <references count="3">
          <reference field="4294967294" count="1" selected="0">
            <x v="0"/>
          </reference>
          <reference field="17" count="1" selected="0">
            <x v="4"/>
          </reference>
          <reference field="34" count="1" selected="0">
            <x v="11"/>
          </reference>
        </references>
      </pivotArea>
    </chartFormat>
    <chartFormat chart="2" format="81">
      <pivotArea type="data" outline="0" fieldPosition="0">
        <references count="3">
          <reference field="4294967294" count="1" selected="0">
            <x v="0"/>
          </reference>
          <reference field="17" count="1" selected="0">
            <x v="5"/>
          </reference>
          <reference field="34" count="1" selected="0">
            <x v="0"/>
          </reference>
        </references>
      </pivotArea>
    </chartFormat>
    <chartFormat chart="2" format="82">
      <pivotArea type="data" outline="0" fieldPosition="0">
        <references count="3">
          <reference field="4294967294" count="1" selected="0">
            <x v="0"/>
          </reference>
          <reference field="17" count="1" selected="0">
            <x v="5"/>
          </reference>
          <reference field="34" count="1" selected="0">
            <x v="1"/>
          </reference>
        </references>
      </pivotArea>
    </chartFormat>
    <chartFormat chart="2" format="83">
      <pivotArea type="data" outline="0" fieldPosition="0">
        <references count="3">
          <reference field="4294967294" count="1" selected="0">
            <x v="0"/>
          </reference>
          <reference field="17" count="1" selected="0">
            <x v="5"/>
          </reference>
          <reference field="34" count="1" selected="0">
            <x v="2"/>
          </reference>
        </references>
      </pivotArea>
    </chartFormat>
    <chartFormat chart="2" format="84">
      <pivotArea type="data" outline="0" fieldPosition="0">
        <references count="3">
          <reference field="4294967294" count="1" selected="0">
            <x v="0"/>
          </reference>
          <reference field="17" count="1" selected="0">
            <x v="5"/>
          </reference>
          <reference field="34" count="1" selected="0">
            <x v="3"/>
          </reference>
        </references>
      </pivotArea>
    </chartFormat>
    <chartFormat chart="2" format="85">
      <pivotArea type="data" outline="0" fieldPosition="0">
        <references count="3">
          <reference field="4294967294" count="1" selected="0">
            <x v="0"/>
          </reference>
          <reference field="17" count="1" selected="0">
            <x v="5"/>
          </reference>
          <reference field="34" count="1" selected="0">
            <x v="4"/>
          </reference>
        </references>
      </pivotArea>
    </chartFormat>
    <chartFormat chart="2" format="86">
      <pivotArea type="data" outline="0" fieldPosition="0">
        <references count="3">
          <reference field="4294967294" count="1" selected="0">
            <x v="0"/>
          </reference>
          <reference field="17" count="1" selected="0">
            <x v="5"/>
          </reference>
          <reference field="34" count="1" selected="0">
            <x v="5"/>
          </reference>
        </references>
      </pivotArea>
    </chartFormat>
    <chartFormat chart="2" format="87">
      <pivotArea type="data" outline="0" fieldPosition="0">
        <references count="3">
          <reference field="4294967294" count="1" selected="0">
            <x v="0"/>
          </reference>
          <reference field="17" count="1" selected="0">
            <x v="5"/>
          </reference>
          <reference field="34" count="1" selected="0">
            <x v="6"/>
          </reference>
        </references>
      </pivotArea>
    </chartFormat>
    <chartFormat chart="2" format="88">
      <pivotArea type="data" outline="0" fieldPosition="0">
        <references count="3">
          <reference field="4294967294" count="1" selected="0">
            <x v="0"/>
          </reference>
          <reference field="17" count="1" selected="0">
            <x v="5"/>
          </reference>
          <reference field="34" count="1" selected="0">
            <x v="7"/>
          </reference>
        </references>
      </pivotArea>
    </chartFormat>
    <chartFormat chart="2" format="89">
      <pivotArea type="data" outline="0" fieldPosition="0">
        <references count="3">
          <reference field="4294967294" count="1" selected="0">
            <x v="0"/>
          </reference>
          <reference field="17" count="1" selected="0">
            <x v="5"/>
          </reference>
          <reference field="34" count="1" selected="0">
            <x v="8"/>
          </reference>
        </references>
      </pivotArea>
    </chartFormat>
    <chartFormat chart="2" format="90">
      <pivotArea type="data" outline="0" fieldPosition="0">
        <references count="3">
          <reference field="4294967294" count="1" selected="0">
            <x v="0"/>
          </reference>
          <reference field="17" count="1" selected="0">
            <x v="5"/>
          </reference>
          <reference field="34" count="1" selected="0">
            <x v="9"/>
          </reference>
        </references>
      </pivotArea>
    </chartFormat>
    <chartFormat chart="2" format="91">
      <pivotArea type="data" outline="0" fieldPosition="0">
        <references count="3">
          <reference field="4294967294" count="1" selected="0">
            <x v="0"/>
          </reference>
          <reference field="17" count="1" selected="0">
            <x v="5"/>
          </reference>
          <reference field="34" count="1" selected="0">
            <x v="10"/>
          </reference>
        </references>
      </pivotArea>
    </chartFormat>
    <chartFormat chart="2" format="92">
      <pivotArea type="data" outline="0" fieldPosition="0">
        <references count="3">
          <reference field="4294967294" count="1" selected="0">
            <x v="0"/>
          </reference>
          <reference field="17" count="1" selected="0">
            <x v="5"/>
          </reference>
          <reference field="34" count="1" selected="0">
            <x v="11"/>
          </reference>
        </references>
      </pivotArea>
    </chartFormat>
    <chartFormat chart="2" format="93">
      <pivotArea type="data" outline="0" fieldPosition="0">
        <references count="3">
          <reference field="4294967294" count="1" selected="0">
            <x v="0"/>
          </reference>
          <reference field="17" count="1" selected="0">
            <x v="6"/>
          </reference>
          <reference field="34" count="1" selected="0">
            <x v="0"/>
          </reference>
        </references>
      </pivotArea>
    </chartFormat>
    <chartFormat chart="2" format="94">
      <pivotArea type="data" outline="0" fieldPosition="0">
        <references count="3">
          <reference field="4294967294" count="1" selected="0">
            <x v="0"/>
          </reference>
          <reference field="17" count="1" selected="0">
            <x v="6"/>
          </reference>
          <reference field="34" count="1" selected="0">
            <x v="1"/>
          </reference>
        </references>
      </pivotArea>
    </chartFormat>
    <chartFormat chart="2" format="95">
      <pivotArea type="data" outline="0" fieldPosition="0">
        <references count="3">
          <reference field="4294967294" count="1" selected="0">
            <x v="0"/>
          </reference>
          <reference field="17" count="1" selected="0">
            <x v="6"/>
          </reference>
          <reference field="34" count="1" selected="0">
            <x v="2"/>
          </reference>
        </references>
      </pivotArea>
    </chartFormat>
    <chartFormat chart="2" format="96">
      <pivotArea type="data" outline="0" fieldPosition="0">
        <references count="3">
          <reference field="4294967294" count="1" selected="0">
            <x v="0"/>
          </reference>
          <reference field="17" count="1" selected="0">
            <x v="6"/>
          </reference>
          <reference field="34" count="1" selected="0">
            <x v="3"/>
          </reference>
        </references>
      </pivotArea>
    </chartFormat>
    <chartFormat chart="2" format="97">
      <pivotArea type="data" outline="0" fieldPosition="0">
        <references count="3">
          <reference field="4294967294" count="1" selected="0">
            <x v="0"/>
          </reference>
          <reference field="17" count="1" selected="0">
            <x v="6"/>
          </reference>
          <reference field="34" count="1" selected="0">
            <x v="4"/>
          </reference>
        </references>
      </pivotArea>
    </chartFormat>
    <chartFormat chart="2" format="98">
      <pivotArea type="data" outline="0" fieldPosition="0">
        <references count="3">
          <reference field="4294967294" count="1" selected="0">
            <x v="0"/>
          </reference>
          <reference field="17" count="1" selected="0">
            <x v="6"/>
          </reference>
          <reference field="34" count="1" selected="0">
            <x v="5"/>
          </reference>
        </references>
      </pivotArea>
    </chartFormat>
    <chartFormat chart="2" format="99">
      <pivotArea type="data" outline="0" fieldPosition="0">
        <references count="3">
          <reference field="4294967294" count="1" selected="0">
            <x v="0"/>
          </reference>
          <reference field="17" count="1" selected="0">
            <x v="6"/>
          </reference>
          <reference field="34" count="1" selected="0">
            <x v="6"/>
          </reference>
        </references>
      </pivotArea>
    </chartFormat>
    <chartFormat chart="2" format="100">
      <pivotArea type="data" outline="0" fieldPosition="0">
        <references count="3">
          <reference field="4294967294" count="1" selected="0">
            <x v="0"/>
          </reference>
          <reference field="17" count="1" selected="0">
            <x v="6"/>
          </reference>
          <reference field="34" count="1" selected="0">
            <x v="7"/>
          </reference>
        </references>
      </pivotArea>
    </chartFormat>
    <chartFormat chart="2" format="101">
      <pivotArea type="data" outline="0" fieldPosition="0">
        <references count="3">
          <reference field="4294967294" count="1" selected="0">
            <x v="0"/>
          </reference>
          <reference field="17" count="1" selected="0">
            <x v="6"/>
          </reference>
          <reference field="34" count="1" selected="0">
            <x v="8"/>
          </reference>
        </references>
      </pivotArea>
    </chartFormat>
    <chartFormat chart="2" format="102">
      <pivotArea type="data" outline="0" fieldPosition="0">
        <references count="3">
          <reference field="4294967294" count="1" selected="0">
            <x v="0"/>
          </reference>
          <reference field="17" count="1" selected="0">
            <x v="6"/>
          </reference>
          <reference field="34" count="1" selected="0">
            <x v="9"/>
          </reference>
        </references>
      </pivotArea>
    </chartFormat>
    <chartFormat chart="2" format="103">
      <pivotArea type="data" outline="0" fieldPosition="0">
        <references count="3">
          <reference field="4294967294" count="1" selected="0">
            <x v="0"/>
          </reference>
          <reference field="17" count="1" selected="0">
            <x v="6"/>
          </reference>
          <reference field="34" count="1" selected="0">
            <x v="10"/>
          </reference>
        </references>
      </pivotArea>
    </chartFormat>
    <chartFormat chart="2" format="104">
      <pivotArea type="data" outline="0" fieldPosition="0">
        <references count="3">
          <reference field="4294967294" count="1" selected="0">
            <x v="0"/>
          </reference>
          <reference field="17" count="1" selected="0">
            <x v="6"/>
          </reference>
          <reference field="3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E3DE22-58E0-48BE-B855-8F6C1478AB7C}" name="ptFeedback"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V45:Y50"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0"/>
        <item x="4"/>
        <item x="2"/>
        <item x="1"/>
      </items>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6"/>
  </rowFields>
  <rowItems count="5">
    <i>
      <x/>
    </i>
    <i>
      <x v="1"/>
    </i>
    <i>
      <x v="2"/>
    </i>
    <i>
      <x v="3"/>
    </i>
    <i>
      <x v="4"/>
    </i>
  </rowItems>
  <colFields count="1">
    <field x="-2"/>
  </colFields>
  <colItems count="3">
    <i>
      <x/>
    </i>
    <i i="1">
      <x v="1"/>
    </i>
    <i i="2">
      <x v="2"/>
    </i>
  </colItems>
  <dataFields count="3">
    <dataField name="Orders" fld="0" subtotal="count" baseField="0" baseItem="0" numFmtId="3"/>
    <dataField name="Total Net Sales" fld="14" baseField="0" baseItem="0" numFmtId="167"/>
    <dataField name="Average of Customer Rating" fld="20" subtotal="average" baseField="0" baseItem="0" numFmtId="168"/>
  </dataFields>
  <formats count="10">
    <format dxfId="1572">
      <pivotArea type="all" dataOnly="0" outline="0" fieldPosition="0"/>
    </format>
    <format dxfId="1571">
      <pivotArea outline="0" collapsedLevelsAreSubtotals="1" fieldPosition="0"/>
    </format>
    <format dxfId="1570">
      <pivotArea field="26" type="button" dataOnly="0" labelOnly="1" outline="0" axis="axisRow" fieldPosition="0"/>
    </format>
    <format dxfId="1569">
      <pivotArea dataOnly="0" labelOnly="1" outline="0" fieldPosition="0">
        <references count="1">
          <reference field="26" count="0"/>
        </references>
      </pivotArea>
    </format>
    <format dxfId="1568">
      <pivotArea dataOnly="0" labelOnly="1" outline="0" fieldPosition="0">
        <references count="1">
          <reference field="4294967294" count="3">
            <x v="0"/>
            <x v="1"/>
            <x v="2"/>
          </reference>
        </references>
      </pivotArea>
    </format>
    <format dxfId="1567">
      <pivotArea type="all" dataOnly="0" outline="0" fieldPosition="0"/>
    </format>
    <format dxfId="1566">
      <pivotArea outline="0" collapsedLevelsAreSubtotals="1" fieldPosition="0"/>
    </format>
    <format dxfId="1565">
      <pivotArea field="26" type="button" dataOnly="0" labelOnly="1" outline="0" axis="axisRow" fieldPosition="0"/>
    </format>
    <format dxfId="1564">
      <pivotArea dataOnly="0" labelOnly="1" outline="0" fieldPosition="0">
        <references count="1">
          <reference field="26" count="0"/>
        </references>
      </pivotArea>
    </format>
    <format dxfId="1563">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C21022-8784-4D79-8413-666EE4A63905}" name="ptStaff"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V28:Z36"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axis="axisRow" compact="0" outline="0" showAll="0" defaultSubtotal="0">
      <items count="8">
        <item x="7"/>
        <item x="4"/>
        <item x="2"/>
        <item x="0"/>
        <item x="3"/>
        <item x="1"/>
        <item x="6"/>
        <item x="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8"/>
  </rowFields>
  <rowItems count="8">
    <i>
      <x/>
    </i>
    <i>
      <x v="1"/>
    </i>
    <i>
      <x v="2"/>
    </i>
    <i>
      <x v="3"/>
    </i>
    <i>
      <x v="4"/>
    </i>
    <i>
      <x v="5"/>
    </i>
    <i>
      <x v="6"/>
    </i>
    <i>
      <x v="7"/>
    </i>
  </rowItems>
  <colFields count="1">
    <field x="-2"/>
  </colFields>
  <colItems count="4">
    <i>
      <x/>
    </i>
    <i i="1">
      <x v="1"/>
    </i>
    <i i="2">
      <x v="2"/>
    </i>
    <i i="3">
      <x v="3"/>
    </i>
  </colItems>
  <dataFields count="4">
    <dataField name="Total Net Sales" fld="14" baseField="0" baseItem="0" numFmtId="167"/>
    <dataField name="Total Profit" fld="31" baseField="0" baseItem="0" numFmtId="167"/>
    <dataField name="Orders" fld="0" subtotal="count" baseField="0" baseItem="0" numFmtId="3"/>
    <dataField name="Average of Customer Rating" fld="20" subtotal="average" baseField="0" baseItem="0" numFmtId="168"/>
  </dataFields>
  <formats count="10">
    <format dxfId="1582">
      <pivotArea type="all" dataOnly="0" outline="0" fieldPosition="0"/>
    </format>
    <format dxfId="1581">
      <pivotArea outline="0" collapsedLevelsAreSubtotals="1" fieldPosition="0"/>
    </format>
    <format dxfId="1580">
      <pivotArea field="18" type="button" dataOnly="0" labelOnly="1" outline="0" axis="axisRow" fieldPosition="0"/>
    </format>
    <format dxfId="1579">
      <pivotArea dataOnly="0" labelOnly="1" outline="0" fieldPosition="0">
        <references count="1">
          <reference field="18" count="0"/>
        </references>
      </pivotArea>
    </format>
    <format dxfId="1578">
      <pivotArea dataOnly="0" labelOnly="1" outline="0" fieldPosition="0">
        <references count="1">
          <reference field="4294967294" count="4">
            <x v="0"/>
            <x v="1"/>
            <x v="2"/>
            <x v="3"/>
          </reference>
        </references>
      </pivotArea>
    </format>
    <format dxfId="1577">
      <pivotArea type="all" dataOnly="0" outline="0" fieldPosition="0"/>
    </format>
    <format dxfId="1576">
      <pivotArea outline="0" collapsedLevelsAreSubtotals="1" fieldPosition="0"/>
    </format>
    <format dxfId="1575">
      <pivotArea field="18" type="button" dataOnly="0" labelOnly="1" outline="0" axis="axisRow" fieldPosition="0"/>
    </format>
    <format dxfId="1574">
      <pivotArea dataOnly="0" labelOnly="1" outline="0" fieldPosition="0">
        <references count="1">
          <reference field="18" count="0"/>
        </references>
      </pivotArea>
    </format>
    <format dxfId="1573">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E01775-8AEA-4B80-ADD1-93B6D7EC7AA9}" name="ptChannel"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28:E32"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3"/>
        <item x="1"/>
        <item x="0"/>
      </items>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6"/>
  </rowFields>
  <rowItems count="4">
    <i>
      <x/>
    </i>
    <i>
      <x v="1"/>
    </i>
    <i>
      <x v="2"/>
    </i>
    <i>
      <x v="3"/>
    </i>
  </rowItems>
  <colFields count="1">
    <field x="-2"/>
  </colFields>
  <colItems count="4">
    <i>
      <x/>
    </i>
    <i i="1">
      <x v="1"/>
    </i>
    <i i="2">
      <x v="2"/>
    </i>
    <i i="3">
      <x v="3"/>
    </i>
  </colItems>
  <dataFields count="4">
    <dataField name="Total Net Sales" fld="14" baseField="0" baseItem="0" numFmtId="167"/>
    <dataField name="Total Profit" fld="31" baseField="0" baseItem="0" numFmtId="167"/>
    <dataField name="Orders" fld="0" subtotal="count" baseField="0" baseItem="0" numFmtId="3"/>
    <dataField name="Average of Delivery Minutes" fld="22" subtotal="average" baseField="0" baseItem="0" numFmtId="168"/>
  </dataFields>
  <formats count="10">
    <format dxfId="1592">
      <pivotArea type="all" dataOnly="0" outline="0" fieldPosition="0"/>
    </format>
    <format dxfId="1591">
      <pivotArea outline="0" collapsedLevelsAreSubtotals="1" fieldPosition="0"/>
    </format>
    <format dxfId="1590">
      <pivotArea field="16" type="button" dataOnly="0" labelOnly="1" outline="0" axis="axisRow" fieldPosition="0"/>
    </format>
    <format dxfId="1589">
      <pivotArea dataOnly="0" labelOnly="1" outline="0" fieldPosition="0">
        <references count="1">
          <reference field="16" count="0"/>
        </references>
      </pivotArea>
    </format>
    <format dxfId="1588">
      <pivotArea dataOnly="0" labelOnly="1" outline="0" fieldPosition="0">
        <references count="1">
          <reference field="4294967294" count="4">
            <x v="0"/>
            <x v="1"/>
            <x v="2"/>
            <x v="3"/>
          </reference>
        </references>
      </pivotArea>
    </format>
    <format dxfId="1587">
      <pivotArea type="all" dataOnly="0" outline="0" fieldPosition="0"/>
    </format>
    <format dxfId="1586">
      <pivotArea outline="0" collapsedLevelsAreSubtotals="1" fieldPosition="0"/>
    </format>
    <format dxfId="1585">
      <pivotArea field="16" type="button" dataOnly="0" labelOnly="1" outline="0" axis="axisRow" fieldPosition="0"/>
    </format>
    <format dxfId="1584">
      <pivotArea dataOnly="0" labelOnly="1" outline="0" fieldPosition="0">
        <references count="1">
          <reference field="16" count="0"/>
        </references>
      </pivotArea>
    </format>
    <format dxfId="1583">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D2A51C-A1EE-4BB3-A9EA-F7F26FB33ABA}" name="ptCustomerType"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A45:E49"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2"/>
        <item x="0"/>
        <item x="3"/>
        <item x="1"/>
      </items>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5"/>
  </rowFields>
  <rowItems count="4">
    <i>
      <x/>
    </i>
    <i>
      <x v="1"/>
    </i>
    <i>
      <x v="2"/>
    </i>
    <i>
      <x v="3"/>
    </i>
  </rowItems>
  <colFields count="1">
    <field x="-2"/>
  </colFields>
  <colItems count="4">
    <i>
      <x/>
    </i>
    <i i="1">
      <x v="1"/>
    </i>
    <i i="2">
      <x v="2"/>
    </i>
    <i i="3">
      <x v="3"/>
    </i>
  </colItems>
  <dataFields count="4">
    <dataField name="Total Net Sales" fld="14" baseField="0" baseItem="0" numFmtId="167"/>
    <dataField name="Total Profit" fld="31" baseField="0" baseItem="0" numFmtId="167"/>
    <dataField name="Orders" fld="0" subtotal="count" baseField="0" baseItem="0" numFmtId="3"/>
    <dataField name="Average of Customer Rating" fld="20" subtotal="average" baseField="0" baseItem="0" numFmtId="168"/>
  </dataFields>
  <formats count="10">
    <format dxfId="1602">
      <pivotArea type="all" dataOnly="0" outline="0" fieldPosition="0"/>
    </format>
    <format dxfId="1601">
      <pivotArea outline="0" collapsedLevelsAreSubtotals="1" fieldPosition="0"/>
    </format>
    <format dxfId="1600">
      <pivotArea field="5" type="button" dataOnly="0" labelOnly="1" outline="0" axis="axisRow" fieldPosition="0"/>
    </format>
    <format dxfId="1599">
      <pivotArea dataOnly="0" labelOnly="1" outline="0" fieldPosition="0">
        <references count="1">
          <reference field="5" count="0"/>
        </references>
      </pivotArea>
    </format>
    <format dxfId="1598">
      <pivotArea dataOnly="0" labelOnly="1" outline="0" fieldPosition="0">
        <references count="1">
          <reference field="4294967294" count="4">
            <x v="0"/>
            <x v="1"/>
            <x v="2"/>
            <x v="3"/>
          </reference>
        </references>
      </pivotArea>
    </format>
    <format dxfId="1597">
      <pivotArea type="all" dataOnly="0" outline="0" fieldPosition="0"/>
    </format>
    <format dxfId="1596">
      <pivotArea outline="0" collapsedLevelsAreSubtotals="1" fieldPosition="0"/>
    </format>
    <format dxfId="1595">
      <pivotArea field="5" type="button" dataOnly="0" labelOnly="1" outline="0" axis="axisRow" fieldPosition="0"/>
    </format>
    <format dxfId="1594">
      <pivotArea dataOnly="0" labelOnly="1" outline="0" fieldPosition="0">
        <references count="1">
          <reference field="5" count="0"/>
        </references>
      </pivotArea>
    </format>
    <format dxfId="1593">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9FEC33-9680-4F98-A844-66AD43CE1051}" name="ptLocation"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V5:Z12"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7"/>
  </rowFields>
  <rowItems count="7">
    <i>
      <x/>
    </i>
    <i>
      <x v="1"/>
    </i>
    <i>
      <x v="2"/>
    </i>
    <i>
      <x v="3"/>
    </i>
    <i>
      <x v="4"/>
    </i>
    <i>
      <x v="5"/>
    </i>
    <i>
      <x v="6"/>
    </i>
  </rowItems>
  <colFields count="1">
    <field x="-2"/>
  </colFields>
  <colItems count="4">
    <i>
      <x/>
    </i>
    <i i="1">
      <x v="1"/>
    </i>
    <i i="2">
      <x v="2"/>
    </i>
    <i i="3">
      <x v="3"/>
    </i>
  </colItems>
  <dataFields count="4">
    <dataField name="Total Net Sales" fld="14" baseField="0" baseItem="0" numFmtId="167"/>
    <dataField name="Total Profit" fld="31" baseField="0" baseItem="0" numFmtId="167"/>
    <dataField name="Orders" fld="0" subtotal="count" baseField="0" baseItem="0" numFmtId="3"/>
    <dataField name="Average of Delivery Minutes" fld="22" subtotal="average" baseField="0" baseItem="0" numFmtId="168"/>
  </dataFields>
  <formats count="10">
    <format dxfId="1612">
      <pivotArea type="all" dataOnly="0" outline="0" fieldPosition="0"/>
    </format>
    <format dxfId="1611">
      <pivotArea outline="0" collapsedLevelsAreSubtotals="1" fieldPosition="0"/>
    </format>
    <format dxfId="1610">
      <pivotArea field="17" type="button" dataOnly="0" labelOnly="1" outline="0" axis="axisRow" fieldPosition="0"/>
    </format>
    <format dxfId="1609">
      <pivotArea dataOnly="0" labelOnly="1" outline="0" fieldPosition="0">
        <references count="1">
          <reference field="17" count="0"/>
        </references>
      </pivotArea>
    </format>
    <format dxfId="1608">
      <pivotArea dataOnly="0" labelOnly="1" outline="0" fieldPosition="0">
        <references count="1">
          <reference field="4294967294" count="4">
            <x v="0"/>
            <x v="1"/>
            <x v="2"/>
            <x v="3"/>
          </reference>
        </references>
      </pivotArea>
    </format>
    <format dxfId="1607">
      <pivotArea type="all" dataOnly="0" outline="0" fieldPosition="0"/>
    </format>
    <format dxfId="1606">
      <pivotArea outline="0" collapsedLevelsAreSubtotals="1" fieldPosition="0"/>
    </format>
    <format dxfId="1605">
      <pivotArea field="17" type="button" dataOnly="0" labelOnly="1" outline="0" axis="axisRow" fieldPosition="0"/>
    </format>
    <format dxfId="1604">
      <pivotArea dataOnly="0" labelOnly="1" outline="0" fieldPosition="0">
        <references count="1">
          <reference field="17" count="0"/>
        </references>
      </pivotArea>
    </format>
    <format dxfId="1603">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6F00FB-FC50-41E2-BA1E-D83C85DFE217}" name="ptPayment"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H28:K32"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1"/>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5"/>
  </rowFields>
  <rowItems count="4">
    <i>
      <x/>
    </i>
    <i>
      <x v="1"/>
    </i>
    <i>
      <x v="2"/>
    </i>
    <i>
      <x v="3"/>
    </i>
  </rowItems>
  <colFields count="1">
    <field x="-2"/>
  </colFields>
  <colItems count="3">
    <i>
      <x/>
    </i>
    <i i="1">
      <x v="1"/>
    </i>
    <i i="2">
      <x v="2"/>
    </i>
  </colItems>
  <dataFields count="3">
    <dataField name="Total Net Sales" fld="14" baseField="0" baseItem="0" numFmtId="167"/>
    <dataField name="Orders" fld="0" subtotal="count" baseField="0" baseItem="0" numFmtId="3"/>
    <dataField name="Total Profit" fld="31" baseField="0" baseItem="0" numFmtId="167"/>
  </dataFields>
  <formats count="10">
    <format dxfId="1622">
      <pivotArea type="all" dataOnly="0" outline="0" fieldPosition="0"/>
    </format>
    <format dxfId="1621">
      <pivotArea outline="0" collapsedLevelsAreSubtotals="1" fieldPosition="0"/>
    </format>
    <format dxfId="1620">
      <pivotArea field="15" type="button" dataOnly="0" labelOnly="1" outline="0" axis="axisRow" fieldPosition="0"/>
    </format>
    <format dxfId="1619">
      <pivotArea dataOnly="0" labelOnly="1" outline="0" fieldPosition="0">
        <references count="1">
          <reference field="15" count="0"/>
        </references>
      </pivotArea>
    </format>
    <format dxfId="1618">
      <pivotArea dataOnly="0" labelOnly="1" outline="0" fieldPosition="0">
        <references count="1">
          <reference field="4294967294" count="3">
            <x v="0"/>
            <x v="1"/>
            <x v="2"/>
          </reference>
        </references>
      </pivotArea>
    </format>
    <format dxfId="1617">
      <pivotArea type="all" dataOnly="0" outline="0" fieldPosition="0"/>
    </format>
    <format dxfId="1616">
      <pivotArea outline="0" collapsedLevelsAreSubtotals="1" fieldPosition="0"/>
    </format>
    <format dxfId="1615">
      <pivotArea field="15" type="button" dataOnly="0" labelOnly="1" outline="0" axis="axisRow" fieldPosition="0"/>
    </format>
    <format dxfId="1614">
      <pivotArea dataOnly="0" labelOnly="1" outline="0" fieldPosition="0">
        <references count="1">
          <reference field="15" count="0"/>
        </references>
      </pivotArea>
    </format>
    <format dxfId="1613">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143D76-CCA8-4E73-85AE-B4F99461F034}" name="ptRating"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N45:P50"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1" outline="0" showAll="0" defaultSubtotal="0">
      <items count="5">
        <item x="3"/>
        <item x="0"/>
        <item x="2"/>
        <item x="1"/>
        <item x="4"/>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0"/>
  </rowFields>
  <rowItems count="5">
    <i>
      <x/>
    </i>
    <i>
      <x v="1"/>
    </i>
    <i>
      <x v="2"/>
    </i>
    <i>
      <x v="3"/>
    </i>
    <i>
      <x v="4"/>
    </i>
  </rowItems>
  <colFields count="1">
    <field x="-2"/>
  </colFields>
  <colItems count="2">
    <i>
      <x/>
    </i>
    <i i="1">
      <x v="1"/>
    </i>
  </colItems>
  <dataFields count="2">
    <dataField name="Orders" fld="0" subtotal="count" baseField="0" baseItem="0" numFmtId="3"/>
    <dataField name="Total Net Sales" fld="14" baseField="0" baseItem="0" numFmtId="167"/>
  </dataFields>
  <formats count="10">
    <format dxfId="1632">
      <pivotArea type="all" dataOnly="0" outline="0" fieldPosition="0"/>
    </format>
    <format dxfId="1631">
      <pivotArea outline="0" collapsedLevelsAreSubtotals="1" fieldPosition="0"/>
    </format>
    <format dxfId="1630">
      <pivotArea field="20" type="button" dataOnly="0" labelOnly="1" outline="0" axis="axisRow" fieldPosition="0"/>
    </format>
    <format dxfId="1629">
      <pivotArea dataOnly="0" labelOnly="1" outline="0" fieldPosition="0">
        <references count="1">
          <reference field="20" count="0"/>
        </references>
      </pivotArea>
    </format>
    <format dxfId="1628">
      <pivotArea dataOnly="0" labelOnly="1" outline="0" fieldPosition="0">
        <references count="1">
          <reference field="4294967294" count="2">
            <x v="0"/>
            <x v="1"/>
          </reference>
        </references>
      </pivotArea>
    </format>
    <format dxfId="1627">
      <pivotArea type="all" dataOnly="0" outline="0" fieldPosition="0"/>
    </format>
    <format dxfId="1626">
      <pivotArea outline="0" collapsedLevelsAreSubtotals="1" fieldPosition="0"/>
    </format>
    <format dxfId="1625">
      <pivotArea field="20" type="button" dataOnly="0" labelOnly="1" outline="0" axis="axisRow" fieldPosition="0"/>
    </format>
    <format dxfId="1624">
      <pivotArea dataOnly="0" labelOnly="1" outline="0" fieldPosition="0">
        <references count="1">
          <reference field="20" count="0"/>
        </references>
      </pivotArea>
    </format>
    <format dxfId="1623">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51C6A7D-BA3C-4327-8D4E-AC646F7B3CF0}" name="ptMonthly"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3">
  <location ref="A5:E17"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axis="axisRow"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4"/>
  </rowFields>
  <rowItems count="12">
    <i>
      <x/>
    </i>
    <i>
      <x v="1"/>
    </i>
    <i>
      <x v="2"/>
    </i>
    <i>
      <x v="3"/>
    </i>
    <i>
      <x v="4"/>
    </i>
    <i>
      <x v="5"/>
    </i>
    <i>
      <x v="6"/>
    </i>
    <i>
      <x v="7"/>
    </i>
    <i>
      <x v="8"/>
    </i>
    <i>
      <x v="9"/>
    </i>
    <i>
      <x v="10"/>
    </i>
    <i>
      <x v="11"/>
    </i>
  </rowItems>
  <colFields count="1">
    <field x="-2"/>
  </colFields>
  <colItems count="4">
    <i>
      <x/>
    </i>
    <i i="1">
      <x v="1"/>
    </i>
    <i i="2">
      <x v="2"/>
    </i>
    <i i="3">
      <x v="3"/>
    </i>
  </colItems>
  <dataFields count="4">
    <dataField name="Total Net Sales" fld="14" baseField="0" baseItem="0" numFmtId="167"/>
    <dataField name="Total Profit" fld="31" baseField="0" baseItem="0" numFmtId="167"/>
    <dataField name="Orders" fld="0" subtotal="count" baseField="0" baseItem="0" numFmtId="3"/>
    <dataField name="Units" fld="10" baseField="0" baseItem="0" numFmtId="3"/>
  </dataFields>
  <formats count="10">
    <format dxfId="1642">
      <pivotArea type="all" dataOnly="0" outline="0" fieldPosition="0"/>
    </format>
    <format dxfId="1641">
      <pivotArea outline="0" collapsedLevelsAreSubtotals="1" fieldPosition="0"/>
    </format>
    <format dxfId="1640">
      <pivotArea field="33" type="button" dataOnly="0" labelOnly="1" outline="0"/>
    </format>
    <format dxfId="1639">
      <pivotArea field="34" type="button" dataOnly="0" labelOnly="1" outline="0" axis="axisRow" fieldPosition="0"/>
    </format>
    <format dxfId="1638">
      <pivotArea dataOnly="0" labelOnly="1" outline="0" fieldPosition="0">
        <references count="1">
          <reference field="4294967294" count="4">
            <x v="0"/>
            <x v="1"/>
            <x v="2"/>
            <x v="3"/>
          </reference>
        </references>
      </pivotArea>
    </format>
    <format dxfId="1637">
      <pivotArea type="all" dataOnly="0" outline="0" fieldPosition="0"/>
    </format>
    <format dxfId="1636">
      <pivotArea outline="0" collapsedLevelsAreSubtotals="1" fieldPosition="0"/>
    </format>
    <format dxfId="1635">
      <pivotArea field="33" type="button" dataOnly="0" labelOnly="1" outline="0"/>
    </format>
    <format dxfId="1634">
      <pivotArea field="34" type="button" dataOnly="0" labelOnly="1" outline="0" axis="axisRow" fieldPosition="0"/>
    </format>
    <format dxfId="1633">
      <pivotArea dataOnly="0" labelOnly="1" outline="0" fieldPosition="0">
        <references count="1">
          <reference field="4294967294" count="4">
            <x v="0"/>
            <x v="1"/>
            <x v="2"/>
            <x v="3"/>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7920CF-D7D2-4276-82D8-606D8AF39571}" name="ptStatus"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H45:K48"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9"/>
  </rowFields>
  <rowItems count="3">
    <i>
      <x/>
    </i>
    <i>
      <x v="1"/>
    </i>
    <i>
      <x v="2"/>
    </i>
  </rowItems>
  <colFields count="1">
    <field x="-2"/>
  </colFields>
  <colItems count="3">
    <i>
      <x/>
    </i>
    <i i="1">
      <x v="1"/>
    </i>
    <i i="2">
      <x v="2"/>
    </i>
  </colItems>
  <dataFields count="3">
    <dataField name="Total Net Sales" fld="14" baseField="0" baseItem="0" numFmtId="167"/>
    <dataField name="Total Profit" fld="31" baseField="0" baseItem="0" numFmtId="167"/>
    <dataField name="Orders" fld="0" subtotal="count" baseField="0" baseItem="0" numFmtId="3"/>
  </dataFields>
  <formats count="10">
    <format dxfId="1652">
      <pivotArea type="all" dataOnly="0" outline="0" fieldPosition="0"/>
    </format>
    <format dxfId="1651">
      <pivotArea outline="0" collapsedLevelsAreSubtotals="1" fieldPosition="0"/>
    </format>
    <format dxfId="1650">
      <pivotArea field="19" type="button" dataOnly="0" labelOnly="1" outline="0" axis="axisRow" fieldPosition="0"/>
    </format>
    <format dxfId="1649">
      <pivotArea dataOnly="0" labelOnly="1" outline="0" fieldPosition="0">
        <references count="1">
          <reference field="19" count="0"/>
        </references>
      </pivotArea>
    </format>
    <format dxfId="1648">
      <pivotArea dataOnly="0" labelOnly="1" outline="0" fieldPosition="0">
        <references count="1">
          <reference field="4294967294" count="3">
            <x v="0"/>
            <x v="1"/>
            <x v="2"/>
          </reference>
        </references>
      </pivotArea>
    </format>
    <format dxfId="1647">
      <pivotArea type="all" dataOnly="0" outline="0" fieldPosition="0"/>
    </format>
    <format dxfId="1646">
      <pivotArea outline="0" collapsedLevelsAreSubtotals="1" fieldPosition="0"/>
    </format>
    <format dxfId="1645">
      <pivotArea field="19" type="button" dataOnly="0" labelOnly="1" outline="0" axis="axisRow" fieldPosition="0"/>
    </format>
    <format dxfId="1644">
      <pivotArea dataOnly="0" labelOnly="1" outline="0" fieldPosition="0">
        <references count="1">
          <reference field="19" count="0"/>
        </references>
      </pivotArea>
    </format>
    <format dxfId="1643">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CB5D96-88C3-43D4-B56D-71E0B85B7D1D}" name="ptCategory"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9">
  <location ref="H5:L10" firstHeaderRow="0" firstDataRow="1" firstDataCol="1"/>
  <pivotFields count="36">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axis="axisRow"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5">
    <i>
      <x/>
    </i>
    <i>
      <x v="1"/>
    </i>
    <i>
      <x v="2"/>
    </i>
    <i>
      <x v="3"/>
    </i>
    <i>
      <x v="4"/>
    </i>
  </rowItems>
  <colFields count="1">
    <field x="-2"/>
  </colFields>
  <colItems count="4">
    <i>
      <x/>
    </i>
    <i i="1">
      <x v="1"/>
    </i>
    <i i="2">
      <x v="2"/>
    </i>
    <i i="3">
      <x v="3"/>
    </i>
  </colItems>
  <dataFields count="4">
    <dataField name="Total Net Sales" fld="14" baseField="0" baseItem="0" numFmtId="167"/>
    <dataField name="Total Profit" fld="31" baseField="0" baseItem="0" numFmtId="167"/>
    <dataField name="Units" fld="10" baseField="0" baseItem="0" numFmtId="3"/>
    <dataField name="Average of Customer Rating" fld="20" subtotal="average" baseField="0" baseItem="0" numFmtId="168"/>
  </dataFields>
  <formats count="10">
    <format dxfId="1662">
      <pivotArea type="all" dataOnly="0" outline="0" fieldPosition="0"/>
    </format>
    <format dxfId="1661">
      <pivotArea outline="0" collapsedLevelsAreSubtotals="1" fieldPosition="0"/>
    </format>
    <format dxfId="1660">
      <pivotArea field="7" type="button" dataOnly="0" labelOnly="1" outline="0" axis="axisRow" fieldPosition="0"/>
    </format>
    <format dxfId="1659">
      <pivotArea dataOnly="0" labelOnly="1" outline="0" fieldPosition="0">
        <references count="1">
          <reference field="7" count="0"/>
        </references>
      </pivotArea>
    </format>
    <format dxfId="1658">
      <pivotArea dataOnly="0" labelOnly="1" outline="0" fieldPosition="0">
        <references count="1">
          <reference field="4294967294" count="4">
            <x v="0"/>
            <x v="1"/>
            <x v="2"/>
            <x v="3"/>
          </reference>
        </references>
      </pivotArea>
    </format>
    <format dxfId="1657">
      <pivotArea type="all" dataOnly="0" outline="0" fieldPosition="0"/>
    </format>
    <format dxfId="1656">
      <pivotArea outline="0" collapsedLevelsAreSubtotals="1" fieldPosition="0"/>
    </format>
    <format dxfId="1655">
      <pivotArea field="7" type="button" dataOnly="0" labelOnly="1" outline="0" axis="axisRow" fieldPosition="0"/>
    </format>
    <format dxfId="1654">
      <pivotArea dataOnly="0" labelOnly="1" outline="0" fieldPosition="0">
        <references count="1">
          <reference field="7" count="0"/>
        </references>
      </pivotArea>
    </format>
    <format dxfId="1653">
      <pivotArea dataOnly="0" labelOnly="1" outline="0" fieldPosition="0">
        <references count="1">
          <reference field="4294967294" count="4">
            <x v="0"/>
            <x v="1"/>
            <x v="2"/>
            <x v="3"/>
          </reference>
        </references>
      </pivotArea>
    </format>
  </formats>
  <chartFormats count="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B6A6B0-3A8F-41D2-95D5-2CA6EEEA43B8}" name="ptCampaign"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N28:R34"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4"/>
        <item x="3"/>
        <item x="5"/>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5"/>
  </rowFields>
  <rowItems count="6">
    <i>
      <x/>
    </i>
    <i>
      <x v="1"/>
    </i>
    <i>
      <x v="2"/>
    </i>
    <i>
      <x v="3"/>
    </i>
    <i>
      <x v="4"/>
    </i>
    <i>
      <x v="5"/>
    </i>
  </rowItems>
  <colFields count="1">
    <field x="-2"/>
  </colFields>
  <colItems count="4">
    <i>
      <x/>
    </i>
    <i i="1">
      <x v="1"/>
    </i>
    <i i="2">
      <x v="2"/>
    </i>
    <i i="3">
      <x v="3"/>
    </i>
  </colItems>
  <dataFields count="4">
    <dataField name="Total Net Sales" fld="14" baseField="0" baseItem="0" numFmtId="167"/>
    <dataField name="Total Profit" fld="31" baseField="0" baseItem="0" numFmtId="167"/>
    <dataField name="Orders" fld="0" subtotal="count" baseField="0" baseItem="0" numFmtId="3"/>
    <dataField name="Average of Customer Rating" fld="20" subtotal="average" baseField="0" baseItem="0" numFmtId="168"/>
  </dataFields>
  <formats count="10">
    <format dxfId="1672">
      <pivotArea type="all" dataOnly="0" outline="0" fieldPosition="0"/>
    </format>
    <format dxfId="1671">
      <pivotArea outline="0" collapsedLevelsAreSubtotals="1" fieldPosition="0"/>
    </format>
    <format dxfId="1670">
      <pivotArea field="25" type="button" dataOnly="0" labelOnly="1" outline="0" axis="axisRow" fieldPosition="0"/>
    </format>
    <format dxfId="1669">
      <pivotArea dataOnly="0" labelOnly="1" outline="0" fieldPosition="0">
        <references count="1">
          <reference field="25" count="0"/>
        </references>
      </pivotArea>
    </format>
    <format dxfId="1668">
      <pivotArea dataOnly="0" labelOnly="1" outline="0" fieldPosition="0">
        <references count="1">
          <reference field="4294967294" count="4">
            <x v="0"/>
            <x v="1"/>
            <x v="2"/>
            <x v="3"/>
          </reference>
        </references>
      </pivotArea>
    </format>
    <format dxfId="1667">
      <pivotArea type="all" dataOnly="0" outline="0" fieldPosition="0"/>
    </format>
    <format dxfId="1666">
      <pivotArea outline="0" collapsedLevelsAreSubtotals="1" fieldPosition="0"/>
    </format>
    <format dxfId="1665">
      <pivotArea field="25" type="button" dataOnly="0" labelOnly="1" outline="0" axis="axisRow" fieldPosition="0"/>
    </format>
    <format dxfId="1664">
      <pivotArea dataOnly="0" labelOnly="1" outline="0" fieldPosition="0">
        <references count="1">
          <reference field="25" count="0"/>
        </references>
      </pivotArea>
    </format>
    <format dxfId="1663">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B2986B0-21C5-4F0C-A3FA-E5781876FF47}" name="ptProduct"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4">
  <location ref="N5:R21" firstHeaderRow="0" firstDataRow="1" firstDataCol="1"/>
  <pivotFields count="36">
    <pivotField dataField="1"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2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6">
        <item x="6"/>
        <item x="1"/>
        <item x="0"/>
        <item x="15"/>
        <item x="8"/>
        <item x="2"/>
        <item x="10"/>
        <item x="11"/>
        <item x="5"/>
        <item x="4"/>
        <item x="13"/>
        <item x="3"/>
        <item x="9"/>
        <item x="7"/>
        <item x="12"/>
        <item x="14"/>
      </items>
      <extLst>
        <ext xmlns:x14="http://schemas.microsoft.com/office/spreadsheetml/2009/9/main" uri="{2946ED86-A175-432a-8AC1-64E0C546D7DE}">
          <x14:pivotField fillDownLabels="1"/>
        </ext>
      </extLst>
    </pivotField>
    <pivotField compact="0" outline="0" showAll="0" defaultSubtotal="0">
      <items count="5">
        <item x="1"/>
        <item x="0"/>
        <item x="4"/>
        <item x="3"/>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3"/>
        <item x="4"/>
        <item x="5"/>
        <item x="2"/>
        <item x="1"/>
        <item x="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dataField="1" compact="0" numFmtId="166"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items count="12">
        <item x="2"/>
        <item x="3"/>
        <item x="5"/>
        <item x="8"/>
        <item x="6"/>
        <item x="4"/>
        <item x="7"/>
        <item x="1"/>
        <item x="0"/>
        <item x="10"/>
        <item x="11"/>
        <item x="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6"/>
  </rowFields>
  <rowItems count="16">
    <i>
      <x/>
    </i>
    <i>
      <x v="1"/>
    </i>
    <i>
      <x v="2"/>
    </i>
    <i>
      <x v="3"/>
    </i>
    <i>
      <x v="4"/>
    </i>
    <i>
      <x v="5"/>
    </i>
    <i>
      <x v="6"/>
    </i>
    <i>
      <x v="7"/>
    </i>
    <i>
      <x v="8"/>
    </i>
    <i>
      <x v="9"/>
    </i>
    <i>
      <x v="10"/>
    </i>
    <i>
      <x v="11"/>
    </i>
    <i>
      <x v="12"/>
    </i>
    <i>
      <x v="13"/>
    </i>
    <i>
      <x v="14"/>
    </i>
    <i>
      <x v="15"/>
    </i>
  </rowItems>
  <colFields count="1">
    <field x="-2"/>
  </colFields>
  <colItems count="4">
    <i>
      <x/>
    </i>
    <i i="1">
      <x v="1"/>
    </i>
    <i i="2">
      <x v="2"/>
    </i>
    <i i="3">
      <x v="3"/>
    </i>
  </colItems>
  <dataFields count="4">
    <dataField name="Total Net Sales" fld="14" baseField="0" baseItem="0" numFmtId="167"/>
    <dataField name="Total Profit" fld="31" baseField="0" baseItem="0" numFmtId="167"/>
    <dataField name="Orders" fld="0" subtotal="count" baseField="0" baseItem="0" numFmtId="3"/>
    <dataField name="Units" fld="10" baseField="0" baseItem="0" numFmtId="3"/>
  </dataFields>
  <formats count="10">
    <format dxfId="1682">
      <pivotArea type="all" dataOnly="0" outline="0" fieldPosition="0"/>
    </format>
    <format dxfId="1681">
      <pivotArea outline="0" collapsedLevelsAreSubtotals="1" fieldPosition="0"/>
    </format>
    <format dxfId="1680">
      <pivotArea field="6" type="button" dataOnly="0" labelOnly="1" outline="0" axis="axisRow" fieldPosition="0"/>
    </format>
    <format dxfId="1679">
      <pivotArea dataOnly="0" labelOnly="1" outline="0" fieldPosition="0">
        <references count="1">
          <reference field="6" count="0"/>
        </references>
      </pivotArea>
    </format>
    <format dxfId="1678">
      <pivotArea dataOnly="0" labelOnly="1" outline="0" fieldPosition="0">
        <references count="1">
          <reference field="4294967294" count="4">
            <x v="0"/>
            <x v="1"/>
            <x v="2"/>
            <x v="3"/>
          </reference>
        </references>
      </pivotArea>
    </format>
    <format dxfId="1677">
      <pivotArea type="all" dataOnly="0" outline="0" fieldPosition="0"/>
    </format>
    <format dxfId="1676">
      <pivotArea outline="0" collapsedLevelsAreSubtotals="1" fieldPosition="0"/>
    </format>
    <format dxfId="1675">
      <pivotArea field="6" type="button" dataOnly="0" labelOnly="1" outline="0" axis="axisRow" fieldPosition="0"/>
    </format>
    <format dxfId="1674">
      <pivotArea dataOnly="0" labelOnly="1" outline="0" fieldPosition="0">
        <references count="1">
          <reference field="6" count="0"/>
        </references>
      </pivotArea>
    </format>
    <format dxfId="1673">
      <pivotArea dataOnly="0" labelOnly="1" outline="0" fieldPosition="0">
        <references count="1">
          <reference field="4294967294" count="4">
            <x v="0"/>
            <x v="1"/>
            <x v="2"/>
            <x v="3"/>
          </reference>
        </references>
      </pivotArea>
    </format>
  </formats>
  <chartFormats count="4">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1" format="7" series="1">
      <pivotArea type="data" outline="0" fieldPosition="0">
        <references count="1">
          <reference field="4294967294"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DDE45C-8C3B-4DD2-8BF5-61EA25DA4933}" sourceName="Month">
  <pivotTables>
    <pivotTable tabId="4" name="ptMonthly"/>
    <pivotTable tabId="4" name="PivotTable2"/>
    <pivotTable tabId="4" name="ptCampaign"/>
    <pivotTable tabId="4" name="ptCategory"/>
    <pivotTable tabId="4" name="ptChannel"/>
    <pivotTable tabId="4" name="ptCustomerType"/>
    <pivotTable tabId="4" name="ptFeedback"/>
    <pivotTable tabId="4" name="ptLocation"/>
    <pivotTable tabId="4" name="ptPayment"/>
    <pivotTable tabId="4" name="ptProduct"/>
    <pivotTable tabId="4" name="ptRating"/>
    <pivotTable tabId="4" name="ptStaff"/>
    <pivotTable tabId="4" name="ptStatus"/>
  </pivotTables>
  <data>
    <tabular pivotCacheId="182089872">
      <items count="12">
        <i x="2" s="1"/>
        <i x="3" s="1"/>
        <i x="5" s="1"/>
        <i x="8" s="1"/>
        <i x="6" s="1"/>
        <i x="4" s="1"/>
        <i x="7" s="1"/>
        <i x="1" s="1"/>
        <i x="0" s="1"/>
        <i x="10" s="1"/>
        <i x="1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9502F98-A9A2-46C3-8D20-6618078EC14D}" sourceName="Category">
  <pivotTables>
    <pivotTable tabId="4" name="ptCategory"/>
    <pivotTable tabId="4" name="PivotTable2"/>
    <pivotTable tabId="4" name="ptCampaign"/>
    <pivotTable tabId="4" name="ptChannel"/>
    <pivotTable tabId="4" name="ptCustomerType"/>
    <pivotTable tabId="4" name="ptFeedback"/>
    <pivotTable tabId="4" name="ptLocation"/>
    <pivotTable tabId="4" name="ptMonthly"/>
    <pivotTable tabId="4" name="ptPayment"/>
    <pivotTable tabId="4" name="ptProduct"/>
    <pivotTable tabId="4" name="ptRating"/>
    <pivotTable tabId="4" name="ptStaff"/>
    <pivotTable tabId="4" name="ptStatus"/>
  </pivotTables>
  <data>
    <tabular pivotCacheId="182089872">
      <items count="5">
        <i x="1" s="1"/>
        <i x="0" s="1"/>
        <i x="4"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71799268-7F59-4C07-A396-7EB5567647E8}" sourceName="Product">
  <pivotTables>
    <pivotTable tabId="4" name="ptProduct"/>
    <pivotTable tabId="4" name="PivotTable2"/>
    <pivotTable tabId="4" name="ptCampaign"/>
    <pivotTable tabId="4" name="ptCategory"/>
    <pivotTable tabId="4" name="ptChannel"/>
    <pivotTable tabId="4" name="ptCustomerType"/>
    <pivotTable tabId="4" name="ptFeedback"/>
    <pivotTable tabId="4" name="ptLocation"/>
    <pivotTable tabId="4" name="ptMonthly"/>
    <pivotTable tabId="4" name="ptPayment"/>
    <pivotTable tabId="4" name="ptRating"/>
    <pivotTable tabId="4" name="ptStaff"/>
    <pivotTable tabId="4" name="ptStatus"/>
  </pivotTables>
  <data>
    <tabular pivotCacheId="182089872">
      <items count="16">
        <i x="6" s="1"/>
        <i x="1" s="1"/>
        <i x="0" s="1"/>
        <i x="15" s="1"/>
        <i x="8" s="1"/>
        <i x="2" s="1"/>
        <i x="10" s="1"/>
        <i x="11" s="1"/>
        <i x="5" s="1"/>
        <i x="4" s="1"/>
        <i x="13" s="1"/>
        <i x="3" s="1"/>
        <i x="9" s="1"/>
        <i x="7" s="1"/>
        <i x="12" s="1"/>
        <i x="1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F941900D-92E9-4E95-B154-6BA200A19E8A}" sourceName="Store Location">
  <pivotTables>
    <pivotTable tabId="4" name="PivotTable2"/>
    <pivotTable tabId="4" name="ptCampaign"/>
    <pivotTable tabId="4" name="ptCategory"/>
    <pivotTable tabId="4" name="ptCustomerType"/>
    <pivotTable tabId="4" name="ptFeedback"/>
    <pivotTable tabId="4" name="ptLocation"/>
    <pivotTable tabId="4" name="ptMonthly"/>
    <pivotTable tabId="4" name="ptPayment"/>
    <pivotTable tabId="4" name="ptProduct"/>
    <pivotTable tabId="4" name="ptRating"/>
    <pivotTable tabId="4" name="ptStaff"/>
    <pivotTable tabId="4" name="ptStatus"/>
    <pivotTable tabId="4" name="ptChannel"/>
  </pivotTables>
  <data>
    <tabular pivotCacheId="182089872">
      <items count="7">
        <i x="0" s="1"/>
        <i x="3" s="1"/>
        <i x="4" s="1"/>
        <i x="5" s="1"/>
        <i x="2" s="1"/>
        <i x="1"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36F7A6-D73B-4F6B-811D-D5F64953DF70}" sourceName="Product">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2C4E5B24-0211-49CA-9CD3-E91006FA7C4D}"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369FFBD-BCCA-4CF3-849F-61A06416E52D}" cache="Slicer_Month" caption="Month" rowHeight="234950"/>
  <slicer name="Category" xr10:uid="{E6CA365E-7802-4EFF-BAB3-5345EA693015}" cache="Slicer_Category" caption="Category" rowHeight="234950"/>
  <slicer name="Product 1" xr10:uid="{C4901203-B73F-41DB-B4A5-B1F624FB7FDB}" cache="Slicer_Product1" caption="Product" rowHeight="234950"/>
  <slicer name="Store Location" xr10:uid="{FDF572D9-71B7-42CF-AEE4-58146159062B}" cache="Slicer_Store_Location" caption="Store Lo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C9DD05-588E-4980-BB0B-5826254DB795}" name="CleanTransactions" displayName="CleanTransactions" ref="A1:AJ1601" totalsRowShown="0" headerRowDxfId="1720" dataDxfId="1719">
  <autoFilter ref="A1:AJ1601" xr:uid="{26C9DD05-588E-4980-BB0B-5826254DB795}"/>
  <tableColumns count="36">
    <tableColumn id="1" xr3:uid="{1F58832D-405E-4764-8397-C7B27F407AC9}" name="Transaction ID" dataDxfId="1718"/>
    <tableColumn id="2" xr3:uid="{92ED123B-1878-44C7-B412-EC4AD5BC17A9}" name="Date" dataDxfId="1717"/>
    <tableColumn id="3" xr3:uid="{7BCD8428-7E68-4958-B49D-B179CF5ADF6E}" name="Time" dataDxfId="1716"/>
    <tableColumn id="4" xr3:uid="{1FE3BD8A-5A6A-4A00-8838-17D262ECC096}" name="Customer Name" dataDxfId="1715"/>
    <tableColumn id="5" xr3:uid="{EDE25638-5D04-4072-96EA-575E987E2AD1}" name="Customer ID" dataDxfId="1714"/>
    <tableColumn id="6" xr3:uid="{1E166349-9B98-45B4-9466-276BF494533F}" name="Customer Type" dataDxfId="1713"/>
    <tableColumn id="7" xr3:uid="{89D14DD2-5E19-4445-B0B9-B18BC4F6E91F}" name="Product" dataDxfId="1712"/>
    <tableColumn id="8" xr3:uid="{23692028-5675-4FED-89AD-E88AF20F6C07}" name="Category" dataDxfId="1711"/>
    <tableColumn id="9" xr3:uid="{A7E5BA0C-71DA-4020-A8F3-D63B9CC3FAC6}" name="Temperature" dataDxfId="1710"/>
    <tableColumn id="10" xr3:uid="{6D38433C-2D8C-4913-9832-8510BF9CC3A2}" name="Size" dataDxfId="1709"/>
    <tableColumn id="11" xr3:uid="{FF9E1D90-2A13-45DC-9291-0B4A11AB761D}" name="Quantity" dataDxfId="1708"/>
    <tableColumn id="12" xr3:uid="{BF9B42C4-F7D4-4C96-AFDB-366D21058136}" name="Unit Price" dataDxfId="1707"/>
    <tableColumn id="13" xr3:uid="{E3292D52-B8B5-4177-8D89-927412CCDB99}" name="Discount" dataDxfId="1706"/>
    <tableColumn id="14" xr3:uid="{CAAAA9B8-9D28-4912-BD51-299E30BEF3D5}" name="Gross Sales" dataDxfId="1705">
      <calculatedColumnFormula>IFERROR(K2*L2,"")</calculatedColumnFormula>
    </tableColumn>
    <tableColumn id="15" xr3:uid="{9DA42866-DE38-4D84-9226-0CC3BC4A1002}" name="Net Sales" dataDxfId="1704">
      <calculatedColumnFormula>IF(N2="","",N2*(1-IF(M2="",0,M2)))</calculatedColumnFormula>
    </tableColumn>
    <tableColumn id="16" xr3:uid="{8667CF12-3FF4-40EB-BFDF-9C063D901E81}" name="Payment Method" dataDxfId="1703"/>
    <tableColumn id="17" xr3:uid="{CDA5186A-FA13-4EF3-A19A-6D160EEDB65E}" name="Sales Channel" dataDxfId="1702"/>
    <tableColumn id="18" xr3:uid="{8C26B321-AB2B-44EB-A91A-C64E6F1BBA33}" name="Store Location" dataDxfId="1701"/>
    <tableColumn id="19" xr3:uid="{417A754A-1457-47B9-9E8D-2F97D41EA587}" name="Staff Name" dataDxfId="1700"/>
    <tableColumn id="20" xr3:uid="{F89F1C18-386C-496D-B8AB-38FE2DF1B9E5}" name="Order Status" dataDxfId="1699"/>
    <tableColumn id="21" xr3:uid="{E8131F52-7EFE-489C-9E63-7BFB50B89C6A}" name="Customer Rating" dataDxfId="1698"/>
    <tableColumn id="22" xr3:uid="{55DE8DD6-EF54-404C-B8A8-83FE14003F9A}" name="Loyalty Points" dataDxfId="1697"/>
    <tableColumn id="23" xr3:uid="{7530A768-F32D-427C-A222-42BD4DFC13ED}" name="Delivery Minutes" dataDxfId="1696"/>
    <tableColumn id="24" xr3:uid="{15B0BD93-DC91-43FF-BA1E-CF9F1BC4E5A8}" name="Cost Per Item" dataDxfId="1695"/>
    <tableColumn id="25" xr3:uid="{88580009-4478-471B-A3AA-054D221FB463}" name="Profit" dataDxfId="1694">
      <calculatedColumnFormula>IF(OR(O2="",K2="",X2=""),"",O2-K2*X2)</calculatedColumnFormula>
    </tableColumn>
    <tableColumn id="26" xr3:uid="{7B44FA47-5404-4A82-82B7-CB9A65694791}" name="Campaign" dataDxfId="1693"/>
    <tableColumn id="27" xr3:uid="{EE06B329-0EEC-4B6C-888E-21C47166204B}" name="Feedback" dataDxfId="1692"/>
    <tableColumn id="28" xr3:uid="{D9A6343B-2D21-4956-A337-D0D7023065EB}" name="Calculated Gross Sales" dataDxfId="1691">
      <calculatedColumnFormula>N2</calculatedColumnFormula>
    </tableColumn>
    <tableColumn id="29" xr3:uid="{95D386BA-1482-4AB3-8EA4-91C59B48DFC1}" name="Discount Amount" dataDxfId="1690">
      <calculatedColumnFormula>IF(N2="","",N2*IF(M2="",0,M2))</calculatedColumnFormula>
    </tableColumn>
    <tableColumn id="30" xr3:uid="{A5D801C0-3DFD-42E9-B28B-68D048F2E29E}" name="Calculated Net Sales" dataDxfId="1689">
      <calculatedColumnFormula>O2</calculatedColumnFormula>
    </tableColumn>
    <tableColumn id="31" xr3:uid="{1ED7F3DC-6859-47D9-850C-F1C306775F7C}" name="Total Cost" dataDxfId="1688">
      <calculatedColumnFormula>IF(OR(K2="",X2=""),"",K2*X2)</calculatedColumnFormula>
    </tableColumn>
    <tableColumn id="32" xr3:uid="{4DAE2073-3298-4917-B9B9-440468F7A8F7}" name="Calculated Profit" dataDxfId="1687">
      <calculatedColumnFormula>Y2</calculatedColumnFormula>
    </tableColumn>
    <tableColumn id="33" xr3:uid="{BF2EF529-C690-42C8-A62E-5E94DCC58545}" name="Year" dataDxfId="1686">
      <calculatedColumnFormula>IF(B2="","",YEAR(B2))</calculatedColumnFormula>
    </tableColumn>
    <tableColumn id="34" xr3:uid="{D94D4029-582A-48D8-9D1D-975305FF8717}" name="Month Number" dataDxfId="1685">
      <calculatedColumnFormula>IF(B2="","",MONTH(B2))</calculatedColumnFormula>
    </tableColumn>
    <tableColumn id="35" xr3:uid="{76980CDB-8F44-46C9-AD8D-04FDBC5BF77A}" name="Month" dataDxfId="1684">
      <calculatedColumnFormula>IF(B2="","",TEXT(B2,"mmm"))</calculatedColumnFormula>
    </tableColumn>
    <tableColumn id="36" xr3:uid="{31072743-F3D3-44CF-B569-2CF8E7EDAACC}" name="Day" dataDxfId="1683">
      <calculatedColumnFormula>IF(B2="","",TEXT(B2,"dddd"))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Berlin">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601"/>
  <sheetViews>
    <sheetView workbookViewId="0"/>
  </sheetViews>
  <sheetFormatPr defaultRowHeight="14.4"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t="s">
        <v>36</v>
      </c>
      <c r="B2" s="2">
        <v>45553</v>
      </c>
      <c r="C2" t="s">
        <v>1636</v>
      </c>
      <c r="D2" t="s">
        <v>1741</v>
      </c>
      <c r="E2" t="s">
        <v>1942</v>
      </c>
      <c r="F2" t="s">
        <v>2238</v>
      </c>
      <c r="G2" t="s">
        <v>2241</v>
      </c>
      <c r="H2" t="s">
        <v>2257</v>
      </c>
      <c r="I2" t="s">
        <v>2262</v>
      </c>
      <c r="K2">
        <v>2</v>
      </c>
      <c r="L2">
        <v>130</v>
      </c>
      <c r="N2">
        <v>260</v>
      </c>
      <c r="P2" t="s">
        <v>2267</v>
      </c>
      <c r="Q2" t="s">
        <v>2270</v>
      </c>
      <c r="R2" t="s">
        <v>2273</v>
      </c>
      <c r="S2" t="s">
        <v>2280</v>
      </c>
      <c r="T2" t="s">
        <v>2288</v>
      </c>
      <c r="U2">
        <v>2</v>
      </c>
      <c r="V2">
        <v>233</v>
      </c>
      <c r="W2">
        <v>56</v>
      </c>
      <c r="X2">
        <v>56.78</v>
      </c>
      <c r="Z2" t="s">
        <v>1761</v>
      </c>
      <c r="AA2" t="s">
        <v>2296</v>
      </c>
      <c r="AB2">
        <v>260</v>
      </c>
      <c r="AC2">
        <v>0</v>
      </c>
      <c r="AD2">
        <v>260</v>
      </c>
      <c r="AE2">
        <v>113.56</v>
      </c>
      <c r="AF2">
        <v>146.44</v>
      </c>
      <c r="AG2">
        <v>2024</v>
      </c>
      <c r="AH2">
        <v>9</v>
      </c>
      <c r="AI2" t="s">
        <v>2300</v>
      </c>
      <c r="AJ2" t="s">
        <v>2312</v>
      </c>
    </row>
    <row r="3" spans="1:36" x14ac:dyDescent="0.3">
      <c r="A3" t="s">
        <v>37</v>
      </c>
      <c r="B3" s="2">
        <v>45517</v>
      </c>
      <c r="C3" t="s">
        <v>1637</v>
      </c>
      <c r="D3" t="s">
        <v>1742</v>
      </c>
      <c r="E3" t="s">
        <v>1943</v>
      </c>
      <c r="F3" t="s">
        <v>1761</v>
      </c>
      <c r="G3" t="s">
        <v>2242</v>
      </c>
      <c r="H3" t="s">
        <v>2258</v>
      </c>
      <c r="I3" t="s">
        <v>2260</v>
      </c>
      <c r="J3" t="s">
        <v>2264</v>
      </c>
      <c r="K3">
        <v>1</v>
      </c>
      <c r="L3">
        <v>115</v>
      </c>
      <c r="M3">
        <v>0.05</v>
      </c>
      <c r="N3">
        <v>115</v>
      </c>
      <c r="O3">
        <v>109.25</v>
      </c>
      <c r="P3" t="s">
        <v>2267</v>
      </c>
      <c r="Q3" t="s">
        <v>2270</v>
      </c>
      <c r="R3" t="s">
        <v>2273</v>
      </c>
      <c r="S3" t="s">
        <v>2281</v>
      </c>
      <c r="T3" t="s">
        <v>2288</v>
      </c>
      <c r="U3">
        <v>4</v>
      </c>
      <c r="V3">
        <v>304</v>
      </c>
      <c r="X3">
        <v>59.12</v>
      </c>
      <c r="Y3">
        <v>50.13</v>
      </c>
      <c r="Z3" t="s">
        <v>2291</v>
      </c>
      <c r="AA3" t="s">
        <v>1761</v>
      </c>
      <c r="AB3">
        <v>115</v>
      </c>
      <c r="AC3">
        <v>5.75</v>
      </c>
      <c r="AD3">
        <v>109.25</v>
      </c>
      <c r="AE3">
        <v>59.12</v>
      </c>
      <c r="AF3">
        <v>50.13</v>
      </c>
      <c r="AG3">
        <v>2024</v>
      </c>
      <c r="AH3">
        <v>8</v>
      </c>
      <c r="AI3" t="s">
        <v>2301</v>
      </c>
      <c r="AJ3" t="s">
        <v>2313</v>
      </c>
    </row>
    <row r="4" spans="1:36" x14ac:dyDescent="0.3">
      <c r="A4" t="s">
        <v>38</v>
      </c>
      <c r="B4" s="2">
        <v>45293</v>
      </c>
      <c r="C4" t="s">
        <v>1638</v>
      </c>
      <c r="D4" t="s">
        <v>1743</v>
      </c>
      <c r="E4" t="s">
        <v>1944</v>
      </c>
      <c r="F4" t="s">
        <v>2239</v>
      </c>
      <c r="G4" t="s">
        <v>2243</v>
      </c>
      <c r="H4" t="s">
        <v>2258</v>
      </c>
      <c r="I4" t="s">
        <v>2260</v>
      </c>
      <c r="J4" t="s">
        <v>2264</v>
      </c>
      <c r="K4">
        <v>1</v>
      </c>
      <c r="L4">
        <v>70</v>
      </c>
      <c r="N4">
        <v>70</v>
      </c>
      <c r="P4" t="s">
        <v>2268</v>
      </c>
      <c r="Q4" t="s">
        <v>2270</v>
      </c>
      <c r="R4" t="s">
        <v>2274</v>
      </c>
      <c r="S4" t="s">
        <v>2282</v>
      </c>
      <c r="T4" t="s">
        <v>2288</v>
      </c>
      <c r="V4">
        <v>237</v>
      </c>
      <c r="X4">
        <v>24.95</v>
      </c>
      <c r="Z4" t="s">
        <v>2292</v>
      </c>
      <c r="AA4" t="s">
        <v>2297</v>
      </c>
      <c r="AB4">
        <v>70</v>
      </c>
      <c r="AC4">
        <v>0</v>
      </c>
      <c r="AD4">
        <v>70</v>
      </c>
      <c r="AE4">
        <v>24.95</v>
      </c>
      <c r="AF4">
        <v>45.05</v>
      </c>
      <c r="AG4">
        <v>2024</v>
      </c>
      <c r="AH4">
        <v>1</v>
      </c>
      <c r="AI4" t="s">
        <v>2302</v>
      </c>
      <c r="AJ4" t="s">
        <v>2313</v>
      </c>
    </row>
    <row r="5" spans="1:36" x14ac:dyDescent="0.3">
      <c r="A5" t="s">
        <v>39</v>
      </c>
      <c r="B5" s="2">
        <v>45335</v>
      </c>
      <c r="C5" t="s">
        <v>1639</v>
      </c>
      <c r="D5" t="s">
        <v>1744</v>
      </c>
      <c r="E5" t="s">
        <v>1945</v>
      </c>
      <c r="F5" t="s">
        <v>2239</v>
      </c>
      <c r="G5" t="s">
        <v>2244</v>
      </c>
      <c r="H5" t="s">
        <v>2257</v>
      </c>
      <c r="I5" t="s">
        <v>2262</v>
      </c>
      <c r="J5" t="s">
        <v>2265</v>
      </c>
      <c r="K5">
        <v>1</v>
      </c>
      <c r="L5">
        <v>120</v>
      </c>
      <c r="M5">
        <v>0.1</v>
      </c>
      <c r="N5">
        <v>120</v>
      </c>
      <c r="O5">
        <v>108</v>
      </c>
      <c r="P5" t="s">
        <v>2267</v>
      </c>
      <c r="R5" t="s">
        <v>2275</v>
      </c>
      <c r="S5" t="s">
        <v>2283</v>
      </c>
      <c r="T5" t="s">
        <v>2288</v>
      </c>
      <c r="U5">
        <v>2</v>
      </c>
      <c r="V5">
        <v>162</v>
      </c>
      <c r="X5">
        <v>54.9</v>
      </c>
      <c r="Y5">
        <v>53.1</v>
      </c>
      <c r="Z5" t="s">
        <v>1761</v>
      </c>
      <c r="AA5" t="s">
        <v>2298</v>
      </c>
      <c r="AB5">
        <v>120</v>
      </c>
      <c r="AC5">
        <v>12</v>
      </c>
      <c r="AD5">
        <v>108</v>
      </c>
      <c r="AE5">
        <v>54.9</v>
      </c>
      <c r="AF5">
        <v>53.1</v>
      </c>
      <c r="AG5">
        <v>2024</v>
      </c>
      <c r="AH5">
        <v>2</v>
      </c>
      <c r="AI5" t="s">
        <v>2303</v>
      </c>
      <c r="AJ5" t="s">
        <v>2313</v>
      </c>
    </row>
    <row r="6" spans="1:36" x14ac:dyDescent="0.3">
      <c r="A6" t="s">
        <v>40</v>
      </c>
      <c r="B6" s="2">
        <v>45530</v>
      </c>
      <c r="C6" t="s">
        <v>1640</v>
      </c>
      <c r="D6" t="s">
        <v>1745</v>
      </c>
      <c r="E6" t="s">
        <v>1946</v>
      </c>
      <c r="F6" t="s">
        <v>1761</v>
      </c>
      <c r="G6" t="s">
        <v>2245</v>
      </c>
      <c r="H6" t="s">
        <v>2257</v>
      </c>
      <c r="I6" t="s">
        <v>2263</v>
      </c>
      <c r="J6" t="s">
        <v>2264</v>
      </c>
      <c r="K6">
        <v>1</v>
      </c>
      <c r="L6">
        <v>160</v>
      </c>
      <c r="M6">
        <v>0.1</v>
      </c>
      <c r="N6">
        <v>160</v>
      </c>
      <c r="O6">
        <v>144</v>
      </c>
      <c r="P6" t="s">
        <v>2269</v>
      </c>
      <c r="Q6" t="s">
        <v>2270</v>
      </c>
      <c r="R6" t="s">
        <v>2275</v>
      </c>
      <c r="S6" t="s">
        <v>2280</v>
      </c>
      <c r="T6" t="s">
        <v>2288</v>
      </c>
      <c r="U6">
        <v>1</v>
      </c>
      <c r="V6">
        <v>476</v>
      </c>
      <c r="X6">
        <v>57.6</v>
      </c>
      <c r="Y6">
        <v>86.4</v>
      </c>
      <c r="Z6" t="s">
        <v>2292</v>
      </c>
      <c r="AA6" t="s">
        <v>2296</v>
      </c>
      <c r="AB6">
        <v>160</v>
      </c>
      <c r="AC6">
        <v>16</v>
      </c>
      <c r="AD6">
        <v>144</v>
      </c>
      <c r="AE6">
        <v>57.6</v>
      </c>
      <c r="AF6">
        <v>86.4</v>
      </c>
      <c r="AG6">
        <v>2024</v>
      </c>
      <c r="AH6">
        <v>8</v>
      </c>
      <c r="AI6" t="s">
        <v>2301</v>
      </c>
      <c r="AJ6" t="s">
        <v>2314</v>
      </c>
    </row>
    <row r="7" spans="1:36" x14ac:dyDescent="0.3">
      <c r="A7" t="s">
        <v>41</v>
      </c>
      <c r="B7" s="2">
        <v>45460</v>
      </c>
      <c r="C7" t="s">
        <v>1641</v>
      </c>
      <c r="D7" t="s">
        <v>1746</v>
      </c>
      <c r="E7" t="s">
        <v>1947</v>
      </c>
      <c r="F7" t="s">
        <v>2238</v>
      </c>
      <c r="G7" t="s">
        <v>2246</v>
      </c>
      <c r="H7" t="s">
        <v>2259</v>
      </c>
      <c r="I7" t="s">
        <v>2262</v>
      </c>
      <c r="J7" t="s">
        <v>2266</v>
      </c>
      <c r="K7">
        <v>2</v>
      </c>
      <c r="L7">
        <v>100</v>
      </c>
      <c r="M7">
        <v>0.05</v>
      </c>
      <c r="N7">
        <v>200</v>
      </c>
      <c r="O7">
        <v>190</v>
      </c>
      <c r="P7" t="s">
        <v>2268</v>
      </c>
      <c r="Q7" t="s">
        <v>2270</v>
      </c>
      <c r="R7" t="s">
        <v>2276</v>
      </c>
      <c r="S7" t="s">
        <v>2282</v>
      </c>
      <c r="T7" t="s">
        <v>2288</v>
      </c>
      <c r="U7">
        <v>1</v>
      </c>
      <c r="V7">
        <v>200</v>
      </c>
      <c r="X7">
        <v>43.82</v>
      </c>
      <c r="Y7">
        <v>102.36</v>
      </c>
      <c r="Z7" t="s">
        <v>2293</v>
      </c>
      <c r="AA7" t="s">
        <v>2299</v>
      </c>
      <c r="AB7">
        <v>200</v>
      </c>
      <c r="AC7">
        <v>10</v>
      </c>
      <c r="AD7">
        <v>190</v>
      </c>
      <c r="AE7">
        <v>87.64</v>
      </c>
      <c r="AF7">
        <v>102.36</v>
      </c>
      <c r="AG7">
        <v>2024</v>
      </c>
      <c r="AH7">
        <v>6</v>
      </c>
      <c r="AI7" t="s">
        <v>2304</v>
      </c>
      <c r="AJ7" t="s">
        <v>2314</v>
      </c>
    </row>
    <row r="8" spans="1:36" x14ac:dyDescent="0.3">
      <c r="A8" t="s">
        <v>42</v>
      </c>
      <c r="C8" t="s">
        <v>1642</v>
      </c>
      <c r="D8" t="s">
        <v>1747</v>
      </c>
      <c r="E8" t="s">
        <v>1948</v>
      </c>
      <c r="F8" t="s">
        <v>1761</v>
      </c>
      <c r="G8" t="s">
        <v>2243</v>
      </c>
      <c r="H8" t="s">
        <v>2258</v>
      </c>
      <c r="I8" t="s">
        <v>2260</v>
      </c>
      <c r="J8" t="s">
        <v>2266</v>
      </c>
      <c r="K8">
        <v>2</v>
      </c>
      <c r="L8">
        <v>70</v>
      </c>
      <c r="N8">
        <v>140</v>
      </c>
      <c r="P8" t="s">
        <v>2267</v>
      </c>
      <c r="Q8" t="s">
        <v>2270</v>
      </c>
      <c r="R8" t="s">
        <v>2273</v>
      </c>
      <c r="S8" t="s">
        <v>2281</v>
      </c>
      <c r="T8" t="s">
        <v>2288</v>
      </c>
      <c r="U8">
        <v>1</v>
      </c>
      <c r="V8">
        <v>159</v>
      </c>
      <c r="W8">
        <v>47</v>
      </c>
      <c r="X8">
        <v>26.09</v>
      </c>
      <c r="Z8" t="s">
        <v>2293</v>
      </c>
      <c r="AA8" t="s">
        <v>2298</v>
      </c>
      <c r="AB8">
        <v>140</v>
      </c>
      <c r="AC8">
        <v>0</v>
      </c>
      <c r="AD8">
        <v>140</v>
      </c>
      <c r="AE8">
        <v>52.18</v>
      </c>
      <c r="AF8">
        <v>87.82</v>
      </c>
    </row>
    <row r="9" spans="1:36" x14ac:dyDescent="0.3">
      <c r="A9" t="s">
        <v>43</v>
      </c>
      <c r="B9" s="2">
        <v>45469</v>
      </c>
      <c r="C9" t="s">
        <v>1643</v>
      </c>
      <c r="D9" t="s">
        <v>1748</v>
      </c>
      <c r="E9" t="s">
        <v>1949</v>
      </c>
      <c r="F9" t="s">
        <v>2240</v>
      </c>
      <c r="G9" t="s">
        <v>2247</v>
      </c>
      <c r="H9" t="s">
        <v>2257</v>
      </c>
      <c r="I9" t="s">
        <v>2262</v>
      </c>
      <c r="J9" t="s">
        <v>2264</v>
      </c>
      <c r="K9">
        <v>2</v>
      </c>
      <c r="L9">
        <v>100</v>
      </c>
      <c r="M9">
        <v>0.1</v>
      </c>
      <c r="N9">
        <v>200</v>
      </c>
      <c r="O9">
        <v>180</v>
      </c>
      <c r="P9" t="s">
        <v>2268</v>
      </c>
      <c r="Q9" t="s">
        <v>2270</v>
      </c>
      <c r="R9" t="s">
        <v>2275</v>
      </c>
      <c r="S9" t="s">
        <v>2284</v>
      </c>
      <c r="T9" t="s">
        <v>2288</v>
      </c>
      <c r="U9">
        <v>5</v>
      </c>
      <c r="V9">
        <v>158</v>
      </c>
      <c r="W9">
        <v>16</v>
      </c>
      <c r="X9">
        <v>40.53</v>
      </c>
      <c r="Y9">
        <v>98.94</v>
      </c>
      <c r="Z9" t="s">
        <v>1761</v>
      </c>
      <c r="AA9" t="s">
        <v>2297</v>
      </c>
      <c r="AB9">
        <v>200</v>
      </c>
      <c r="AC9">
        <v>20</v>
      </c>
      <c r="AD9">
        <v>180</v>
      </c>
      <c r="AE9">
        <v>81.06</v>
      </c>
      <c r="AF9">
        <v>98.94</v>
      </c>
      <c r="AG9">
        <v>2024</v>
      </c>
      <c r="AH9">
        <v>6</v>
      </c>
      <c r="AI9" t="s">
        <v>2304</v>
      </c>
      <c r="AJ9" t="s">
        <v>2312</v>
      </c>
    </row>
    <row r="10" spans="1:36" x14ac:dyDescent="0.3">
      <c r="A10" t="s">
        <v>44</v>
      </c>
      <c r="B10" s="2">
        <v>45371</v>
      </c>
      <c r="C10" t="s">
        <v>1644</v>
      </c>
      <c r="D10" t="s">
        <v>1749</v>
      </c>
      <c r="E10" t="s">
        <v>1943</v>
      </c>
      <c r="F10" t="s">
        <v>1761</v>
      </c>
      <c r="G10" t="s">
        <v>2242</v>
      </c>
      <c r="H10" t="s">
        <v>2258</v>
      </c>
      <c r="I10" t="s">
        <v>2260</v>
      </c>
      <c r="J10" t="s">
        <v>2266</v>
      </c>
      <c r="K10">
        <v>2</v>
      </c>
      <c r="L10">
        <v>120</v>
      </c>
      <c r="N10">
        <v>240</v>
      </c>
      <c r="P10" t="s">
        <v>2267</v>
      </c>
      <c r="Q10" t="s">
        <v>2271</v>
      </c>
      <c r="R10" t="s">
        <v>2274</v>
      </c>
      <c r="S10" t="s">
        <v>2281</v>
      </c>
      <c r="T10" t="s">
        <v>2288</v>
      </c>
      <c r="U10">
        <v>5</v>
      </c>
      <c r="V10">
        <v>134</v>
      </c>
      <c r="W10">
        <v>37</v>
      </c>
      <c r="X10">
        <v>63.46</v>
      </c>
      <c r="Z10" t="s">
        <v>1761</v>
      </c>
      <c r="AA10" t="s">
        <v>2296</v>
      </c>
      <c r="AB10">
        <v>240</v>
      </c>
      <c r="AC10">
        <v>0</v>
      </c>
      <c r="AD10">
        <v>240</v>
      </c>
      <c r="AE10">
        <v>126.92</v>
      </c>
      <c r="AF10">
        <v>113.08</v>
      </c>
      <c r="AG10">
        <v>2024</v>
      </c>
      <c r="AH10">
        <v>3</v>
      </c>
      <c r="AI10" t="s">
        <v>2305</v>
      </c>
      <c r="AJ10" t="s">
        <v>2312</v>
      </c>
    </row>
    <row r="11" spans="1:36" x14ac:dyDescent="0.3">
      <c r="A11" t="s">
        <v>45</v>
      </c>
      <c r="B11" s="2">
        <v>45429</v>
      </c>
      <c r="C11" t="s">
        <v>1645</v>
      </c>
      <c r="D11" t="s">
        <v>1750</v>
      </c>
      <c r="E11" t="s">
        <v>1950</v>
      </c>
      <c r="F11" t="s">
        <v>2240</v>
      </c>
      <c r="G11" t="s">
        <v>2248</v>
      </c>
      <c r="H11" t="s">
        <v>2257</v>
      </c>
      <c r="I11" t="s">
        <v>2262</v>
      </c>
      <c r="J11" t="s">
        <v>2266</v>
      </c>
      <c r="K11">
        <v>1</v>
      </c>
      <c r="L11">
        <v>145</v>
      </c>
      <c r="M11">
        <v>0.05</v>
      </c>
      <c r="N11">
        <v>145</v>
      </c>
      <c r="O11">
        <v>137.75</v>
      </c>
      <c r="P11" t="s">
        <v>2267</v>
      </c>
      <c r="Q11" t="s">
        <v>2272</v>
      </c>
      <c r="R11" t="s">
        <v>2277</v>
      </c>
      <c r="S11" t="s">
        <v>2285</v>
      </c>
      <c r="T11" t="s">
        <v>2288</v>
      </c>
      <c r="U11">
        <v>1</v>
      </c>
      <c r="V11">
        <v>352</v>
      </c>
      <c r="W11">
        <v>33</v>
      </c>
      <c r="X11">
        <v>86.8</v>
      </c>
      <c r="Y11">
        <v>50.95</v>
      </c>
      <c r="Z11" t="s">
        <v>2294</v>
      </c>
      <c r="AA11" t="s">
        <v>2298</v>
      </c>
      <c r="AB11">
        <v>145</v>
      </c>
      <c r="AC11">
        <v>7.25</v>
      </c>
      <c r="AD11">
        <v>137.75</v>
      </c>
      <c r="AE11">
        <v>86.8</v>
      </c>
      <c r="AF11">
        <v>50.95</v>
      </c>
      <c r="AG11">
        <v>2024</v>
      </c>
      <c r="AH11">
        <v>5</v>
      </c>
      <c r="AI11" t="s">
        <v>2306</v>
      </c>
      <c r="AJ11" t="s">
        <v>2315</v>
      </c>
    </row>
    <row r="12" spans="1:36" x14ac:dyDescent="0.3">
      <c r="A12" t="s">
        <v>46</v>
      </c>
      <c r="B12" s="2">
        <v>45477</v>
      </c>
      <c r="C12" t="s">
        <v>1646</v>
      </c>
      <c r="D12" t="s">
        <v>1751</v>
      </c>
      <c r="E12" t="s">
        <v>1951</v>
      </c>
      <c r="F12" t="s">
        <v>2240</v>
      </c>
      <c r="G12" t="s">
        <v>2248</v>
      </c>
      <c r="H12" t="s">
        <v>2257</v>
      </c>
      <c r="I12" t="s">
        <v>2262</v>
      </c>
      <c r="J12" t="s">
        <v>2264</v>
      </c>
      <c r="K12">
        <v>1</v>
      </c>
      <c r="L12">
        <v>145</v>
      </c>
      <c r="M12">
        <v>0</v>
      </c>
      <c r="N12">
        <v>145</v>
      </c>
      <c r="O12">
        <v>145</v>
      </c>
      <c r="P12" t="s">
        <v>2268</v>
      </c>
      <c r="Q12" t="s">
        <v>2270</v>
      </c>
      <c r="R12" t="s">
        <v>2274</v>
      </c>
      <c r="S12" t="s">
        <v>2281</v>
      </c>
      <c r="T12" t="s">
        <v>2288</v>
      </c>
      <c r="U12">
        <v>1</v>
      </c>
      <c r="V12">
        <v>403</v>
      </c>
      <c r="W12">
        <v>52</v>
      </c>
      <c r="X12">
        <v>54.97</v>
      </c>
      <c r="Y12">
        <v>90.03</v>
      </c>
      <c r="Z12" t="s">
        <v>2292</v>
      </c>
      <c r="AA12" t="s">
        <v>2299</v>
      </c>
      <c r="AB12">
        <v>145</v>
      </c>
      <c r="AC12">
        <v>0</v>
      </c>
      <c r="AD12">
        <v>145</v>
      </c>
      <c r="AE12">
        <v>54.97</v>
      </c>
      <c r="AF12">
        <v>90.03</v>
      </c>
      <c r="AG12">
        <v>2024</v>
      </c>
      <c r="AH12">
        <v>7</v>
      </c>
      <c r="AI12" t="s">
        <v>2307</v>
      </c>
      <c r="AJ12" t="s">
        <v>2316</v>
      </c>
    </row>
    <row r="13" spans="1:36" x14ac:dyDescent="0.3">
      <c r="A13" t="s">
        <v>47</v>
      </c>
      <c r="B13" s="2">
        <v>45565</v>
      </c>
      <c r="C13" t="s">
        <v>1647</v>
      </c>
      <c r="D13" t="s">
        <v>1752</v>
      </c>
      <c r="E13" t="s">
        <v>1952</v>
      </c>
      <c r="F13" t="s">
        <v>2240</v>
      </c>
      <c r="G13" t="s">
        <v>2249</v>
      </c>
      <c r="H13" t="s">
        <v>2257</v>
      </c>
      <c r="I13" t="s">
        <v>2263</v>
      </c>
      <c r="J13" t="s">
        <v>2264</v>
      </c>
      <c r="K13">
        <v>1</v>
      </c>
      <c r="L13">
        <v>160</v>
      </c>
      <c r="M13">
        <v>0.05</v>
      </c>
      <c r="N13">
        <v>160</v>
      </c>
      <c r="O13">
        <v>152</v>
      </c>
      <c r="P13" t="s">
        <v>2269</v>
      </c>
      <c r="Q13" t="s">
        <v>2271</v>
      </c>
      <c r="R13" t="s">
        <v>2273</v>
      </c>
      <c r="S13" t="s">
        <v>2286</v>
      </c>
      <c r="T13" t="s">
        <v>2288</v>
      </c>
      <c r="U13">
        <v>5</v>
      </c>
      <c r="V13">
        <v>99</v>
      </c>
      <c r="W13">
        <v>12</v>
      </c>
      <c r="X13">
        <v>93.45</v>
      </c>
      <c r="Y13">
        <v>58.55</v>
      </c>
      <c r="Z13" t="s">
        <v>2293</v>
      </c>
      <c r="AA13" t="s">
        <v>2298</v>
      </c>
      <c r="AB13">
        <v>160</v>
      </c>
      <c r="AC13">
        <v>8</v>
      </c>
      <c r="AD13">
        <v>152</v>
      </c>
      <c r="AE13">
        <v>93.45</v>
      </c>
      <c r="AF13">
        <v>58.55</v>
      </c>
      <c r="AG13">
        <v>2024</v>
      </c>
      <c r="AH13">
        <v>9</v>
      </c>
      <c r="AI13" t="s">
        <v>2300</v>
      </c>
      <c r="AJ13" t="s">
        <v>2314</v>
      </c>
    </row>
    <row r="14" spans="1:36" x14ac:dyDescent="0.3">
      <c r="A14" t="s">
        <v>48</v>
      </c>
      <c r="B14" s="2">
        <v>45387</v>
      </c>
      <c r="C14" t="s">
        <v>1648</v>
      </c>
      <c r="D14" t="s">
        <v>1753</v>
      </c>
      <c r="E14" t="s">
        <v>1953</v>
      </c>
      <c r="F14" t="s">
        <v>2240</v>
      </c>
      <c r="G14" t="s">
        <v>2250</v>
      </c>
      <c r="H14" t="s">
        <v>2259</v>
      </c>
      <c r="I14" t="s">
        <v>2262</v>
      </c>
      <c r="J14" t="s">
        <v>2265</v>
      </c>
      <c r="K14">
        <v>3</v>
      </c>
      <c r="L14">
        <v>75</v>
      </c>
      <c r="M14">
        <v>0.05</v>
      </c>
      <c r="N14">
        <v>225</v>
      </c>
      <c r="O14">
        <v>213.75</v>
      </c>
      <c r="P14" t="s">
        <v>2267</v>
      </c>
      <c r="Q14" t="s">
        <v>2270</v>
      </c>
      <c r="R14" t="s">
        <v>2278</v>
      </c>
      <c r="S14" t="s">
        <v>2283</v>
      </c>
      <c r="T14" t="s">
        <v>2288</v>
      </c>
      <c r="U14">
        <v>4</v>
      </c>
      <c r="V14">
        <v>435</v>
      </c>
      <c r="W14">
        <v>44</v>
      </c>
      <c r="X14">
        <v>45.93</v>
      </c>
      <c r="Y14">
        <v>75.959999999999994</v>
      </c>
      <c r="Z14" t="s">
        <v>2291</v>
      </c>
      <c r="AA14" t="s">
        <v>2299</v>
      </c>
      <c r="AB14">
        <v>225</v>
      </c>
      <c r="AC14">
        <v>11.25</v>
      </c>
      <c r="AD14">
        <v>213.75</v>
      </c>
      <c r="AE14">
        <v>137.79</v>
      </c>
      <c r="AF14">
        <v>75.960000000000008</v>
      </c>
      <c r="AG14">
        <v>2024</v>
      </c>
      <c r="AH14">
        <v>4</v>
      </c>
      <c r="AI14" t="s">
        <v>2308</v>
      </c>
      <c r="AJ14" t="s">
        <v>2315</v>
      </c>
    </row>
    <row r="15" spans="1:36" x14ac:dyDescent="0.3">
      <c r="A15" t="s">
        <v>49</v>
      </c>
      <c r="B15" s="2">
        <v>45402</v>
      </c>
      <c r="C15" t="s">
        <v>1649</v>
      </c>
      <c r="D15" t="s">
        <v>1754</v>
      </c>
      <c r="E15" t="s">
        <v>1954</v>
      </c>
      <c r="F15" t="s">
        <v>2240</v>
      </c>
      <c r="G15" t="s">
        <v>2241</v>
      </c>
      <c r="H15" t="s">
        <v>2257</v>
      </c>
      <c r="I15" t="s">
        <v>2262</v>
      </c>
      <c r="J15" t="s">
        <v>2266</v>
      </c>
      <c r="K15">
        <v>2</v>
      </c>
      <c r="L15">
        <v>140</v>
      </c>
      <c r="M15">
        <v>0.05</v>
      </c>
      <c r="N15">
        <v>280</v>
      </c>
      <c r="O15">
        <v>266</v>
      </c>
      <c r="P15" t="s">
        <v>2268</v>
      </c>
      <c r="R15" t="s">
        <v>2277</v>
      </c>
      <c r="S15" t="s">
        <v>2286</v>
      </c>
      <c r="T15" t="s">
        <v>2288</v>
      </c>
      <c r="U15">
        <v>4</v>
      </c>
      <c r="V15">
        <v>77</v>
      </c>
      <c r="W15">
        <v>18</v>
      </c>
      <c r="X15">
        <v>48.6</v>
      </c>
      <c r="Y15">
        <v>168.8</v>
      </c>
      <c r="Z15" t="s">
        <v>1761</v>
      </c>
      <c r="AA15" t="s">
        <v>2298</v>
      </c>
      <c r="AB15">
        <v>280</v>
      </c>
      <c r="AC15">
        <v>14</v>
      </c>
      <c r="AD15">
        <v>266</v>
      </c>
      <c r="AE15">
        <v>97.2</v>
      </c>
      <c r="AF15">
        <v>168.8</v>
      </c>
      <c r="AG15">
        <v>2024</v>
      </c>
      <c r="AH15">
        <v>4</v>
      </c>
      <c r="AI15" t="s">
        <v>2308</v>
      </c>
      <c r="AJ15" t="s">
        <v>2317</v>
      </c>
    </row>
    <row r="16" spans="1:36" x14ac:dyDescent="0.3">
      <c r="A16" t="s">
        <v>50</v>
      </c>
      <c r="B16" s="2">
        <v>45441</v>
      </c>
      <c r="C16" t="s">
        <v>1650</v>
      </c>
      <c r="D16" t="s">
        <v>1755</v>
      </c>
      <c r="E16" t="s">
        <v>1949</v>
      </c>
      <c r="F16" t="s">
        <v>2239</v>
      </c>
      <c r="G16" t="s">
        <v>2251</v>
      </c>
      <c r="H16" t="s">
        <v>2258</v>
      </c>
      <c r="I16" t="s">
        <v>2260</v>
      </c>
      <c r="J16" t="s">
        <v>2265</v>
      </c>
      <c r="K16">
        <v>1</v>
      </c>
      <c r="L16">
        <v>95</v>
      </c>
      <c r="M16">
        <v>0.1</v>
      </c>
      <c r="N16">
        <v>95</v>
      </c>
      <c r="O16">
        <v>85.5</v>
      </c>
      <c r="P16" t="s">
        <v>2267</v>
      </c>
      <c r="Q16" t="s">
        <v>2271</v>
      </c>
      <c r="R16" t="s">
        <v>2273</v>
      </c>
      <c r="S16" t="s">
        <v>2283</v>
      </c>
      <c r="T16" t="s">
        <v>2289</v>
      </c>
      <c r="U16">
        <v>5</v>
      </c>
      <c r="V16">
        <v>206</v>
      </c>
      <c r="W16">
        <v>40</v>
      </c>
      <c r="X16">
        <v>58.59</v>
      </c>
      <c r="Y16">
        <v>26.91</v>
      </c>
      <c r="Z16" t="s">
        <v>1761</v>
      </c>
      <c r="AA16" t="s">
        <v>2296</v>
      </c>
      <c r="AB16">
        <v>95</v>
      </c>
      <c r="AC16">
        <v>9.5</v>
      </c>
      <c r="AD16">
        <v>85.5</v>
      </c>
      <c r="AE16">
        <v>58.59</v>
      </c>
      <c r="AF16">
        <v>26.91</v>
      </c>
      <c r="AG16">
        <v>2024</v>
      </c>
      <c r="AH16">
        <v>5</v>
      </c>
      <c r="AI16" t="s">
        <v>2306</v>
      </c>
      <c r="AJ16" t="s">
        <v>2312</v>
      </c>
    </row>
    <row r="17" spans="1:36" x14ac:dyDescent="0.3">
      <c r="A17" t="s">
        <v>51</v>
      </c>
      <c r="B17" s="2">
        <v>45371</v>
      </c>
      <c r="C17" t="s">
        <v>1651</v>
      </c>
      <c r="D17" t="s">
        <v>1756</v>
      </c>
      <c r="E17" t="s">
        <v>1955</v>
      </c>
      <c r="F17" t="s">
        <v>2238</v>
      </c>
      <c r="G17" t="s">
        <v>2252</v>
      </c>
      <c r="H17" t="s">
        <v>2257</v>
      </c>
      <c r="I17" t="s">
        <v>2262</v>
      </c>
      <c r="J17" t="s">
        <v>2264</v>
      </c>
      <c r="K17">
        <v>2</v>
      </c>
      <c r="L17">
        <v>95</v>
      </c>
      <c r="M17">
        <v>0.15</v>
      </c>
      <c r="N17">
        <v>190</v>
      </c>
      <c r="O17">
        <v>161.5</v>
      </c>
      <c r="P17" t="s">
        <v>2267</v>
      </c>
      <c r="R17" t="s">
        <v>2273</v>
      </c>
      <c r="S17" t="s">
        <v>2285</v>
      </c>
      <c r="T17" t="s">
        <v>2289</v>
      </c>
      <c r="U17">
        <v>1</v>
      </c>
      <c r="V17">
        <v>17</v>
      </c>
      <c r="W17">
        <v>49</v>
      </c>
      <c r="X17">
        <v>34.9</v>
      </c>
      <c r="Y17">
        <v>91.7</v>
      </c>
      <c r="Z17" t="s">
        <v>2292</v>
      </c>
      <c r="AA17" t="s">
        <v>2299</v>
      </c>
      <c r="AB17">
        <v>190</v>
      </c>
      <c r="AC17">
        <v>28.5</v>
      </c>
      <c r="AD17">
        <v>161.5</v>
      </c>
      <c r="AE17">
        <v>69.8</v>
      </c>
      <c r="AF17">
        <v>91.7</v>
      </c>
      <c r="AG17">
        <v>2024</v>
      </c>
      <c r="AH17">
        <v>3</v>
      </c>
      <c r="AI17" t="s">
        <v>2305</v>
      </c>
      <c r="AJ17" t="s">
        <v>2312</v>
      </c>
    </row>
    <row r="18" spans="1:36" x14ac:dyDescent="0.3">
      <c r="A18" t="s">
        <v>52</v>
      </c>
      <c r="B18" s="2">
        <v>45426</v>
      </c>
      <c r="C18" t="s">
        <v>1652</v>
      </c>
      <c r="D18" t="s">
        <v>1755</v>
      </c>
      <c r="E18" t="s">
        <v>1956</v>
      </c>
      <c r="F18" t="s">
        <v>2240</v>
      </c>
      <c r="G18" t="s">
        <v>2253</v>
      </c>
      <c r="H18" t="s">
        <v>2258</v>
      </c>
      <c r="I18" t="s">
        <v>2260</v>
      </c>
      <c r="J18" t="s">
        <v>2265</v>
      </c>
      <c r="K18">
        <v>1</v>
      </c>
      <c r="L18">
        <v>85</v>
      </c>
      <c r="M18">
        <v>0.05</v>
      </c>
      <c r="N18">
        <v>85</v>
      </c>
      <c r="O18">
        <v>80.75</v>
      </c>
      <c r="P18" t="s">
        <v>2268</v>
      </c>
      <c r="Q18" t="s">
        <v>2271</v>
      </c>
      <c r="R18" t="s">
        <v>2278</v>
      </c>
      <c r="S18" t="s">
        <v>2282</v>
      </c>
      <c r="T18" t="s">
        <v>2288</v>
      </c>
      <c r="U18">
        <v>3</v>
      </c>
      <c r="V18">
        <v>162</v>
      </c>
      <c r="W18">
        <v>43</v>
      </c>
      <c r="X18">
        <v>46.65</v>
      </c>
      <c r="Y18">
        <v>34.1</v>
      </c>
      <c r="Z18" t="s">
        <v>2293</v>
      </c>
      <c r="AA18" t="s">
        <v>2296</v>
      </c>
      <c r="AB18">
        <v>85</v>
      </c>
      <c r="AC18">
        <v>4.25</v>
      </c>
      <c r="AD18">
        <v>80.75</v>
      </c>
      <c r="AE18">
        <v>46.65</v>
      </c>
      <c r="AF18">
        <v>34.1</v>
      </c>
      <c r="AG18">
        <v>2024</v>
      </c>
      <c r="AH18">
        <v>5</v>
      </c>
      <c r="AI18" t="s">
        <v>2306</v>
      </c>
      <c r="AJ18" t="s">
        <v>2313</v>
      </c>
    </row>
    <row r="19" spans="1:36" x14ac:dyDescent="0.3">
      <c r="A19" t="s">
        <v>53</v>
      </c>
      <c r="B19" s="2">
        <v>45309</v>
      </c>
      <c r="C19" t="s">
        <v>1653</v>
      </c>
      <c r="D19" t="s">
        <v>1743</v>
      </c>
      <c r="E19" t="s">
        <v>1957</v>
      </c>
      <c r="F19" t="s">
        <v>2240</v>
      </c>
      <c r="G19" t="s">
        <v>2249</v>
      </c>
      <c r="H19" t="s">
        <v>2257</v>
      </c>
      <c r="I19" t="s">
        <v>2263</v>
      </c>
      <c r="L19">
        <v>155</v>
      </c>
      <c r="M19">
        <v>0</v>
      </c>
      <c r="N19">
        <v>465</v>
      </c>
      <c r="O19">
        <v>465</v>
      </c>
      <c r="P19" t="s">
        <v>2267</v>
      </c>
      <c r="Q19" t="s">
        <v>2271</v>
      </c>
      <c r="R19" t="s">
        <v>2277</v>
      </c>
      <c r="S19" t="s">
        <v>2286</v>
      </c>
      <c r="T19" t="s">
        <v>2289</v>
      </c>
      <c r="U19">
        <v>4</v>
      </c>
      <c r="V19">
        <v>255</v>
      </c>
      <c r="W19">
        <v>43</v>
      </c>
      <c r="X19">
        <v>66.17</v>
      </c>
      <c r="Y19">
        <v>266.49</v>
      </c>
      <c r="Z19" t="s">
        <v>1761</v>
      </c>
      <c r="AA19" t="s">
        <v>2299</v>
      </c>
      <c r="AG19">
        <v>2024</v>
      </c>
      <c r="AH19">
        <v>1</v>
      </c>
      <c r="AI19" t="s">
        <v>2302</v>
      </c>
      <c r="AJ19" t="s">
        <v>2316</v>
      </c>
    </row>
    <row r="20" spans="1:36" x14ac:dyDescent="0.3">
      <c r="A20" t="s">
        <v>54</v>
      </c>
      <c r="B20" s="2">
        <v>45643</v>
      </c>
      <c r="C20" t="s">
        <v>1636</v>
      </c>
      <c r="D20" t="s">
        <v>1757</v>
      </c>
      <c r="E20" t="s">
        <v>1958</v>
      </c>
      <c r="F20" t="s">
        <v>2239</v>
      </c>
      <c r="G20" t="s">
        <v>2253</v>
      </c>
      <c r="H20" t="s">
        <v>2258</v>
      </c>
      <c r="I20" t="s">
        <v>2260</v>
      </c>
      <c r="J20" t="s">
        <v>2265</v>
      </c>
      <c r="K20">
        <v>1</v>
      </c>
      <c r="L20">
        <v>90</v>
      </c>
      <c r="M20">
        <v>0.1</v>
      </c>
      <c r="N20">
        <v>90</v>
      </c>
      <c r="O20">
        <v>81</v>
      </c>
      <c r="P20" t="s">
        <v>2267</v>
      </c>
      <c r="Q20" t="s">
        <v>2270</v>
      </c>
      <c r="R20" t="s">
        <v>2276</v>
      </c>
      <c r="S20" t="s">
        <v>2285</v>
      </c>
      <c r="T20" t="s">
        <v>2288</v>
      </c>
      <c r="V20">
        <v>269</v>
      </c>
      <c r="X20">
        <v>41.86</v>
      </c>
      <c r="Y20">
        <v>39.14</v>
      </c>
      <c r="Z20" t="s">
        <v>1761</v>
      </c>
      <c r="AA20" t="s">
        <v>2296</v>
      </c>
      <c r="AB20">
        <v>90</v>
      </c>
      <c r="AC20">
        <v>9</v>
      </c>
      <c r="AD20">
        <v>81</v>
      </c>
      <c r="AE20">
        <v>41.86</v>
      </c>
      <c r="AF20">
        <v>39.14</v>
      </c>
      <c r="AG20">
        <v>2024</v>
      </c>
      <c r="AH20">
        <v>12</v>
      </c>
      <c r="AI20" t="s">
        <v>2309</v>
      </c>
      <c r="AJ20" t="s">
        <v>2313</v>
      </c>
    </row>
    <row r="21" spans="1:36" x14ac:dyDescent="0.3">
      <c r="A21" t="s">
        <v>55</v>
      </c>
      <c r="B21" s="2">
        <v>45544</v>
      </c>
      <c r="C21" t="s">
        <v>1653</v>
      </c>
      <c r="D21" t="s">
        <v>1758</v>
      </c>
      <c r="E21" t="s">
        <v>1959</v>
      </c>
      <c r="F21" t="s">
        <v>2240</v>
      </c>
      <c r="G21" t="s">
        <v>2248</v>
      </c>
      <c r="H21" t="s">
        <v>2257</v>
      </c>
      <c r="I21" t="s">
        <v>2262</v>
      </c>
      <c r="J21" t="s">
        <v>2264</v>
      </c>
      <c r="K21">
        <v>2</v>
      </c>
      <c r="L21">
        <v>155</v>
      </c>
      <c r="M21">
        <v>0.05</v>
      </c>
      <c r="N21">
        <v>310</v>
      </c>
      <c r="O21">
        <v>294.5</v>
      </c>
      <c r="P21" t="s">
        <v>2269</v>
      </c>
      <c r="R21" t="s">
        <v>2278</v>
      </c>
      <c r="S21" t="s">
        <v>2284</v>
      </c>
      <c r="T21" t="s">
        <v>2290</v>
      </c>
      <c r="U21">
        <v>1</v>
      </c>
      <c r="V21">
        <v>468</v>
      </c>
      <c r="X21">
        <v>78.33</v>
      </c>
      <c r="Y21">
        <v>137.84</v>
      </c>
      <c r="Z21" t="s">
        <v>2292</v>
      </c>
      <c r="AA21" t="s">
        <v>2296</v>
      </c>
      <c r="AB21">
        <v>310</v>
      </c>
      <c r="AC21">
        <v>15.5</v>
      </c>
      <c r="AD21">
        <v>294.5</v>
      </c>
      <c r="AE21">
        <v>156.66</v>
      </c>
      <c r="AF21">
        <v>137.84</v>
      </c>
      <c r="AG21">
        <v>2024</v>
      </c>
      <c r="AH21">
        <v>9</v>
      </c>
      <c r="AI21" t="s">
        <v>2300</v>
      </c>
      <c r="AJ21" t="s">
        <v>2314</v>
      </c>
    </row>
    <row r="22" spans="1:36" x14ac:dyDescent="0.3">
      <c r="A22" t="s">
        <v>56</v>
      </c>
      <c r="B22" s="2">
        <v>45460</v>
      </c>
      <c r="C22" t="s">
        <v>1654</v>
      </c>
      <c r="D22" t="s">
        <v>1759</v>
      </c>
      <c r="E22" t="s">
        <v>1960</v>
      </c>
      <c r="F22" t="s">
        <v>2240</v>
      </c>
      <c r="G22" t="s">
        <v>2245</v>
      </c>
      <c r="H22" t="s">
        <v>2257</v>
      </c>
      <c r="I22" t="s">
        <v>2263</v>
      </c>
      <c r="K22">
        <v>4</v>
      </c>
      <c r="L22">
        <v>160</v>
      </c>
      <c r="N22">
        <v>640</v>
      </c>
      <c r="P22" t="s">
        <v>2267</v>
      </c>
      <c r="Q22" t="s">
        <v>2270</v>
      </c>
      <c r="R22" t="s">
        <v>2277</v>
      </c>
      <c r="S22" t="s">
        <v>2280</v>
      </c>
      <c r="T22" t="s">
        <v>2288</v>
      </c>
      <c r="U22">
        <v>4</v>
      </c>
      <c r="V22">
        <v>13</v>
      </c>
      <c r="W22">
        <v>51</v>
      </c>
      <c r="X22">
        <v>82.51</v>
      </c>
      <c r="Z22" t="s">
        <v>2293</v>
      </c>
      <c r="AA22" t="s">
        <v>1761</v>
      </c>
      <c r="AB22">
        <v>640</v>
      </c>
      <c r="AC22">
        <v>0</v>
      </c>
      <c r="AD22">
        <v>640</v>
      </c>
      <c r="AE22">
        <v>330.04</v>
      </c>
      <c r="AF22">
        <v>309.95999999999998</v>
      </c>
      <c r="AG22">
        <v>2024</v>
      </c>
      <c r="AH22">
        <v>6</v>
      </c>
      <c r="AI22" t="s">
        <v>2304</v>
      </c>
      <c r="AJ22" t="s">
        <v>2314</v>
      </c>
    </row>
    <row r="23" spans="1:36" x14ac:dyDescent="0.3">
      <c r="A23" t="s">
        <v>57</v>
      </c>
      <c r="B23" s="2">
        <v>45475</v>
      </c>
      <c r="C23" t="s">
        <v>1655</v>
      </c>
      <c r="D23" t="s">
        <v>1760</v>
      </c>
      <c r="E23" t="s">
        <v>1961</v>
      </c>
      <c r="F23" t="s">
        <v>2239</v>
      </c>
      <c r="G23" t="s">
        <v>2248</v>
      </c>
      <c r="H23" t="s">
        <v>2257</v>
      </c>
      <c r="I23" t="s">
        <v>2262</v>
      </c>
      <c r="J23" t="s">
        <v>2264</v>
      </c>
      <c r="K23">
        <v>2</v>
      </c>
      <c r="L23">
        <v>150</v>
      </c>
      <c r="M23">
        <v>0.15</v>
      </c>
      <c r="N23">
        <v>300</v>
      </c>
      <c r="O23">
        <v>255</v>
      </c>
      <c r="Q23" t="s">
        <v>2272</v>
      </c>
      <c r="R23" t="s">
        <v>2277</v>
      </c>
      <c r="S23" t="s">
        <v>2283</v>
      </c>
      <c r="T23" t="s">
        <v>2288</v>
      </c>
      <c r="U23">
        <v>3</v>
      </c>
      <c r="V23">
        <v>271</v>
      </c>
      <c r="W23">
        <v>49</v>
      </c>
      <c r="X23">
        <v>61.6</v>
      </c>
      <c r="Y23">
        <v>131.80000000000001</v>
      </c>
      <c r="Z23" t="s">
        <v>2291</v>
      </c>
      <c r="AA23" t="s">
        <v>2299</v>
      </c>
      <c r="AB23">
        <v>300</v>
      </c>
      <c r="AC23">
        <v>45</v>
      </c>
      <c r="AD23">
        <v>255</v>
      </c>
      <c r="AE23">
        <v>123.2</v>
      </c>
      <c r="AF23">
        <v>131.80000000000001</v>
      </c>
      <c r="AG23">
        <v>2024</v>
      </c>
      <c r="AH23">
        <v>7</v>
      </c>
      <c r="AI23" t="s">
        <v>2307</v>
      </c>
      <c r="AJ23" t="s">
        <v>2313</v>
      </c>
    </row>
    <row r="24" spans="1:36" x14ac:dyDescent="0.3">
      <c r="A24" t="s">
        <v>58</v>
      </c>
      <c r="B24" s="2">
        <v>45585</v>
      </c>
      <c r="C24" t="s">
        <v>1638</v>
      </c>
      <c r="D24" t="s">
        <v>1761</v>
      </c>
      <c r="E24" t="s">
        <v>1962</v>
      </c>
      <c r="F24" t="s">
        <v>2238</v>
      </c>
      <c r="G24" t="s">
        <v>2243</v>
      </c>
      <c r="H24" t="s">
        <v>2258</v>
      </c>
      <c r="I24" t="s">
        <v>2260</v>
      </c>
      <c r="J24" t="s">
        <v>2264</v>
      </c>
      <c r="K24">
        <v>1</v>
      </c>
      <c r="L24">
        <v>70</v>
      </c>
      <c r="M24">
        <v>0</v>
      </c>
      <c r="N24">
        <v>70</v>
      </c>
      <c r="O24">
        <v>70</v>
      </c>
      <c r="P24" t="s">
        <v>2268</v>
      </c>
      <c r="Q24" t="s">
        <v>2272</v>
      </c>
      <c r="R24" t="s">
        <v>2278</v>
      </c>
      <c r="S24" t="s">
        <v>2285</v>
      </c>
      <c r="T24" t="s">
        <v>2288</v>
      </c>
      <c r="U24">
        <v>2</v>
      </c>
      <c r="V24">
        <v>436</v>
      </c>
      <c r="W24">
        <v>11</v>
      </c>
      <c r="X24">
        <v>38.36</v>
      </c>
      <c r="Y24">
        <v>31.64</v>
      </c>
      <c r="Z24" t="s">
        <v>2293</v>
      </c>
      <c r="AA24" t="s">
        <v>2297</v>
      </c>
      <c r="AB24">
        <v>70</v>
      </c>
      <c r="AC24">
        <v>0</v>
      </c>
      <c r="AD24">
        <v>70</v>
      </c>
      <c r="AE24">
        <v>38.36</v>
      </c>
      <c r="AF24">
        <v>31.64</v>
      </c>
      <c r="AG24">
        <v>2024</v>
      </c>
      <c r="AH24">
        <v>10</v>
      </c>
      <c r="AI24" t="s">
        <v>2310</v>
      </c>
      <c r="AJ24" t="s">
        <v>2318</v>
      </c>
    </row>
    <row r="25" spans="1:36" x14ac:dyDescent="0.3">
      <c r="A25" t="s">
        <v>59</v>
      </c>
      <c r="B25" s="2">
        <v>45446</v>
      </c>
      <c r="C25" t="s">
        <v>1656</v>
      </c>
      <c r="D25" t="s">
        <v>1746</v>
      </c>
      <c r="E25" t="s">
        <v>1963</v>
      </c>
      <c r="F25" t="s">
        <v>2238</v>
      </c>
      <c r="G25" t="s">
        <v>2246</v>
      </c>
      <c r="H25" t="s">
        <v>2259</v>
      </c>
      <c r="I25" t="s">
        <v>2262</v>
      </c>
      <c r="J25" t="s">
        <v>2265</v>
      </c>
      <c r="K25">
        <v>1</v>
      </c>
      <c r="L25">
        <v>100</v>
      </c>
      <c r="M25">
        <v>0</v>
      </c>
      <c r="N25">
        <v>100</v>
      </c>
      <c r="O25">
        <v>100</v>
      </c>
      <c r="P25" t="s">
        <v>2267</v>
      </c>
      <c r="Q25" t="s">
        <v>2270</v>
      </c>
      <c r="R25" t="s">
        <v>2275</v>
      </c>
      <c r="S25" t="s">
        <v>2282</v>
      </c>
      <c r="T25" t="s">
        <v>2288</v>
      </c>
      <c r="U25">
        <v>2</v>
      </c>
      <c r="V25">
        <v>397</v>
      </c>
      <c r="W25">
        <v>50</v>
      </c>
      <c r="X25">
        <v>39.28</v>
      </c>
      <c r="Y25">
        <v>60.72</v>
      </c>
      <c r="Z25" t="s">
        <v>2294</v>
      </c>
      <c r="AA25" t="s">
        <v>2297</v>
      </c>
      <c r="AB25">
        <v>100</v>
      </c>
      <c r="AC25">
        <v>0</v>
      </c>
      <c r="AD25">
        <v>100</v>
      </c>
      <c r="AE25">
        <v>39.28</v>
      </c>
      <c r="AF25">
        <v>60.72</v>
      </c>
      <c r="AG25">
        <v>2024</v>
      </c>
      <c r="AH25">
        <v>6</v>
      </c>
      <c r="AI25" t="s">
        <v>2304</v>
      </c>
      <c r="AJ25" t="s">
        <v>2314</v>
      </c>
    </row>
    <row r="26" spans="1:36" x14ac:dyDescent="0.3">
      <c r="A26" t="s">
        <v>60</v>
      </c>
      <c r="B26" s="2">
        <v>45299</v>
      </c>
      <c r="C26" t="s">
        <v>1657</v>
      </c>
      <c r="D26" t="s">
        <v>1762</v>
      </c>
      <c r="E26" t="s">
        <v>1964</v>
      </c>
      <c r="F26" t="s">
        <v>2238</v>
      </c>
      <c r="G26" t="s">
        <v>2243</v>
      </c>
      <c r="H26" t="s">
        <v>2258</v>
      </c>
      <c r="I26" t="s">
        <v>2260</v>
      </c>
      <c r="J26" t="s">
        <v>2266</v>
      </c>
      <c r="K26">
        <v>2</v>
      </c>
      <c r="L26">
        <v>70</v>
      </c>
      <c r="M26">
        <v>0</v>
      </c>
      <c r="N26">
        <v>140</v>
      </c>
      <c r="O26">
        <v>140</v>
      </c>
      <c r="P26" t="s">
        <v>2269</v>
      </c>
      <c r="R26" t="s">
        <v>2274</v>
      </c>
      <c r="S26" t="s">
        <v>2285</v>
      </c>
      <c r="T26" t="s">
        <v>2288</v>
      </c>
      <c r="U26">
        <v>5</v>
      </c>
      <c r="V26">
        <v>99</v>
      </c>
      <c r="W26">
        <v>17</v>
      </c>
      <c r="X26">
        <v>34.99</v>
      </c>
      <c r="Y26">
        <v>70.02</v>
      </c>
      <c r="Z26" t="s">
        <v>2292</v>
      </c>
      <c r="AA26" t="s">
        <v>2298</v>
      </c>
      <c r="AB26">
        <v>140</v>
      </c>
      <c r="AC26">
        <v>0</v>
      </c>
      <c r="AD26">
        <v>140</v>
      </c>
      <c r="AE26">
        <v>69.98</v>
      </c>
      <c r="AF26">
        <v>70.02</v>
      </c>
      <c r="AG26">
        <v>2024</v>
      </c>
      <c r="AH26">
        <v>1</v>
      </c>
      <c r="AI26" t="s">
        <v>2302</v>
      </c>
      <c r="AJ26" t="s">
        <v>2314</v>
      </c>
    </row>
    <row r="27" spans="1:36" x14ac:dyDescent="0.3">
      <c r="A27" t="s">
        <v>61</v>
      </c>
      <c r="B27" s="2">
        <v>45446</v>
      </c>
      <c r="C27" t="s">
        <v>1656</v>
      </c>
      <c r="D27" t="s">
        <v>1763</v>
      </c>
      <c r="E27" t="s">
        <v>1965</v>
      </c>
      <c r="F27" t="s">
        <v>2240</v>
      </c>
      <c r="G27" t="s">
        <v>2244</v>
      </c>
      <c r="H27" t="s">
        <v>2257</v>
      </c>
      <c r="I27" t="s">
        <v>2262</v>
      </c>
      <c r="J27" t="s">
        <v>2266</v>
      </c>
      <c r="K27">
        <v>1</v>
      </c>
      <c r="L27">
        <v>130</v>
      </c>
      <c r="M27">
        <v>0</v>
      </c>
      <c r="N27">
        <v>130</v>
      </c>
      <c r="O27">
        <v>130</v>
      </c>
      <c r="P27" t="s">
        <v>2267</v>
      </c>
      <c r="Q27" t="s">
        <v>2271</v>
      </c>
      <c r="R27" t="s">
        <v>2279</v>
      </c>
      <c r="S27" t="s">
        <v>2283</v>
      </c>
      <c r="T27" t="s">
        <v>2288</v>
      </c>
      <c r="U27">
        <v>5</v>
      </c>
      <c r="V27">
        <v>113</v>
      </c>
      <c r="W27">
        <v>50</v>
      </c>
      <c r="X27">
        <v>68.91</v>
      </c>
      <c r="Y27">
        <v>61.09</v>
      </c>
      <c r="Z27" t="s">
        <v>1761</v>
      </c>
      <c r="AA27" t="s">
        <v>2297</v>
      </c>
      <c r="AB27">
        <v>130</v>
      </c>
      <c r="AC27">
        <v>0</v>
      </c>
      <c r="AD27">
        <v>130</v>
      </c>
      <c r="AE27">
        <v>68.91</v>
      </c>
      <c r="AF27">
        <v>61.09</v>
      </c>
      <c r="AG27">
        <v>2024</v>
      </c>
      <c r="AH27">
        <v>6</v>
      </c>
      <c r="AI27" t="s">
        <v>2304</v>
      </c>
      <c r="AJ27" t="s">
        <v>2314</v>
      </c>
    </row>
    <row r="28" spans="1:36" x14ac:dyDescent="0.3">
      <c r="A28" t="s">
        <v>62</v>
      </c>
      <c r="B28" s="2">
        <v>45457</v>
      </c>
      <c r="C28" t="s">
        <v>1658</v>
      </c>
      <c r="D28" t="s">
        <v>1764</v>
      </c>
      <c r="E28" t="s">
        <v>1966</v>
      </c>
      <c r="F28" t="s">
        <v>2240</v>
      </c>
      <c r="G28" t="s">
        <v>2254</v>
      </c>
      <c r="H28" t="s">
        <v>2259</v>
      </c>
      <c r="I28" t="s">
        <v>2263</v>
      </c>
      <c r="J28" t="s">
        <v>2265</v>
      </c>
      <c r="K28">
        <v>2</v>
      </c>
      <c r="L28">
        <v>110</v>
      </c>
      <c r="M28">
        <v>0.15</v>
      </c>
      <c r="N28">
        <v>220</v>
      </c>
      <c r="O28">
        <v>187</v>
      </c>
      <c r="P28" t="s">
        <v>2269</v>
      </c>
      <c r="Q28" t="s">
        <v>2270</v>
      </c>
      <c r="R28" t="s">
        <v>2273</v>
      </c>
      <c r="S28" t="s">
        <v>2280</v>
      </c>
      <c r="T28" t="s">
        <v>2288</v>
      </c>
      <c r="U28">
        <v>5</v>
      </c>
      <c r="V28">
        <v>353</v>
      </c>
      <c r="W28">
        <v>23</v>
      </c>
      <c r="X28">
        <v>48.74</v>
      </c>
      <c r="Y28">
        <v>89.52</v>
      </c>
      <c r="Z28" t="s">
        <v>1761</v>
      </c>
      <c r="AA28" t="s">
        <v>1761</v>
      </c>
      <c r="AB28">
        <v>220</v>
      </c>
      <c r="AC28">
        <v>33</v>
      </c>
      <c r="AD28">
        <v>187</v>
      </c>
      <c r="AE28">
        <v>97.48</v>
      </c>
      <c r="AF28">
        <v>89.52</v>
      </c>
      <c r="AG28">
        <v>2024</v>
      </c>
      <c r="AH28">
        <v>6</v>
      </c>
      <c r="AI28" t="s">
        <v>2304</v>
      </c>
      <c r="AJ28" t="s">
        <v>2315</v>
      </c>
    </row>
    <row r="29" spans="1:36" x14ac:dyDescent="0.3">
      <c r="A29" t="s">
        <v>63</v>
      </c>
      <c r="B29" s="2">
        <v>45567</v>
      </c>
      <c r="C29" t="s">
        <v>1659</v>
      </c>
      <c r="D29" t="s">
        <v>1765</v>
      </c>
      <c r="E29" t="s">
        <v>1967</v>
      </c>
      <c r="F29" t="s">
        <v>2239</v>
      </c>
      <c r="G29" t="s">
        <v>2251</v>
      </c>
      <c r="H29" t="s">
        <v>2258</v>
      </c>
      <c r="I29" t="s">
        <v>2260</v>
      </c>
      <c r="J29" t="s">
        <v>2266</v>
      </c>
      <c r="K29">
        <v>1</v>
      </c>
      <c r="L29">
        <v>105</v>
      </c>
      <c r="M29">
        <v>0</v>
      </c>
      <c r="N29">
        <v>105</v>
      </c>
      <c r="O29">
        <v>105</v>
      </c>
      <c r="P29" t="s">
        <v>2268</v>
      </c>
      <c r="R29" t="s">
        <v>2274</v>
      </c>
      <c r="S29" t="s">
        <v>2282</v>
      </c>
      <c r="T29" t="s">
        <v>2288</v>
      </c>
      <c r="U29">
        <v>4</v>
      </c>
      <c r="V29">
        <v>177</v>
      </c>
      <c r="W29">
        <v>18</v>
      </c>
      <c r="X29">
        <v>55.43</v>
      </c>
      <c r="Y29">
        <v>49.57</v>
      </c>
      <c r="Z29" t="s">
        <v>1761</v>
      </c>
      <c r="AA29" t="s">
        <v>2297</v>
      </c>
      <c r="AB29">
        <v>105</v>
      </c>
      <c r="AC29">
        <v>0</v>
      </c>
      <c r="AD29">
        <v>105</v>
      </c>
      <c r="AE29">
        <v>55.43</v>
      </c>
      <c r="AF29">
        <v>49.57</v>
      </c>
      <c r="AG29">
        <v>2024</v>
      </c>
      <c r="AH29">
        <v>10</v>
      </c>
      <c r="AI29" t="s">
        <v>2310</v>
      </c>
      <c r="AJ29" t="s">
        <v>2312</v>
      </c>
    </row>
    <row r="30" spans="1:36" x14ac:dyDescent="0.3">
      <c r="A30" t="s">
        <v>64</v>
      </c>
      <c r="B30" s="2">
        <v>45598</v>
      </c>
      <c r="C30" t="s">
        <v>1660</v>
      </c>
      <c r="D30" t="s">
        <v>1766</v>
      </c>
      <c r="E30" t="s">
        <v>1968</v>
      </c>
      <c r="F30" t="s">
        <v>2240</v>
      </c>
      <c r="G30" t="s">
        <v>2242</v>
      </c>
      <c r="H30" t="s">
        <v>2258</v>
      </c>
      <c r="I30" t="s">
        <v>2260</v>
      </c>
      <c r="J30" t="s">
        <v>2265</v>
      </c>
      <c r="K30">
        <v>1</v>
      </c>
      <c r="L30">
        <v>130</v>
      </c>
      <c r="M30">
        <v>0.1</v>
      </c>
      <c r="N30">
        <v>130</v>
      </c>
      <c r="O30">
        <v>117</v>
      </c>
      <c r="P30" t="s">
        <v>2269</v>
      </c>
      <c r="Q30" t="s">
        <v>2272</v>
      </c>
      <c r="R30" t="s">
        <v>2276</v>
      </c>
      <c r="S30" t="s">
        <v>2284</v>
      </c>
      <c r="T30" t="s">
        <v>2290</v>
      </c>
      <c r="U30">
        <v>5</v>
      </c>
      <c r="V30">
        <v>174</v>
      </c>
      <c r="W30">
        <v>14</v>
      </c>
      <c r="X30">
        <v>57.9</v>
      </c>
      <c r="Y30">
        <v>59.1</v>
      </c>
      <c r="Z30" t="s">
        <v>2293</v>
      </c>
      <c r="AA30" t="s">
        <v>2296</v>
      </c>
      <c r="AB30">
        <v>130</v>
      </c>
      <c r="AC30">
        <v>13</v>
      </c>
      <c r="AD30">
        <v>117</v>
      </c>
      <c r="AE30">
        <v>57.9</v>
      </c>
      <c r="AF30">
        <v>59.1</v>
      </c>
      <c r="AG30">
        <v>2024</v>
      </c>
      <c r="AH30">
        <v>11</v>
      </c>
      <c r="AI30" t="s">
        <v>2311</v>
      </c>
      <c r="AJ30" t="s">
        <v>2317</v>
      </c>
    </row>
    <row r="31" spans="1:36" x14ac:dyDescent="0.3">
      <c r="A31" t="s">
        <v>65</v>
      </c>
      <c r="B31" s="2">
        <v>45636</v>
      </c>
      <c r="C31" t="s">
        <v>1636</v>
      </c>
      <c r="D31" t="s">
        <v>1767</v>
      </c>
      <c r="E31" t="s">
        <v>1969</v>
      </c>
      <c r="F31" t="s">
        <v>1761</v>
      </c>
      <c r="G31" t="s">
        <v>2252</v>
      </c>
      <c r="H31" t="s">
        <v>2257</v>
      </c>
      <c r="I31" t="s">
        <v>2262</v>
      </c>
      <c r="J31" t="s">
        <v>2264</v>
      </c>
      <c r="K31">
        <v>1</v>
      </c>
      <c r="L31">
        <v>100</v>
      </c>
      <c r="M31">
        <v>0.1</v>
      </c>
      <c r="N31">
        <v>100</v>
      </c>
      <c r="O31">
        <v>90</v>
      </c>
      <c r="P31" t="s">
        <v>2267</v>
      </c>
      <c r="Q31" t="s">
        <v>2272</v>
      </c>
      <c r="R31" t="s">
        <v>2274</v>
      </c>
      <c r="S31" t="s">
        <v>2280</v>
      </c>
      <c r="T31" t="s">
        <v>2288</v>
      </c>
      <c r="U31">
        <v>3</v>
      </c>
      <c r="V31">
        <v>138</v>
      </c>
      <c r="W31">
        <v>18</v>
      </c>
      <c r="X31">
        <v>52.33</v>
      </c>
      <c r="Y31">
        <v>37.67</v>
      </c>
      <c r="Z31" t="s">
        <v>2291</v>
      </c>
      <c r="AA31" t="s">
        <v>2298</v>
      </c>
      <c r="AB31">
        <v>100</v>
      </c>
      <c r="AC31">
        <v>10</v>
      </c>
      <c r="AD31">
        <v>90</v>
      </c>
      <c r="AE31">
        <v>52.33</v>
      </c>
      <c r="AF31">
        <v>37.67</v>
      </c>
      <c r="AG31">
        <v>2024</v>
      </c>
      <c r="AH31">
        <v>12</v>
      </c>
      <c r="AI31" t="s">
        <v>2309</v>
      </c>
      <c r="AJ31" t="s">
        <v>2313</v>
      </c>
    </row>
    <row r="32" spans="1:36" x14ac:dyDescent="0.3">
      <c r="A32" t="s">
        <v>66</v>
      </c>
      <c r="B32" s="2">
        <v>45554</v>
      </c>
      <c r="C32" t="s">
        <v>1661</v>
      </c>
      <c r="D32" t="s">
        <v>1768</v>
      </c>
      <c r="E32" t="s">
        <v>1970</v>
      </c>
      <c r="F32" t="s">
        <v>2240</v>
      </c>
      <c r="G32" t="s">
        <v>2252</v>
      </c>
      <c r="H32" t="s">
        <v>2257</v>
      </c>
      <c r="I32" t="s">
        <v>2262</v>
      </c>
      <c r="K32">
        <v>2</v>
      </c>
      <c r="L32">
        <v>85</v>
      </c>
      <c r="M32">
        <v>0.1</v>
      </c>
      <c r="N32">
        <v>170</v>
      </c>
      <c r="O32">
        <v>153</v>
      </c>
      <c r="P32" t="s">
        <v>2269</v>
      </c>
      <c r="Q32" t="s">
        <v>2272</v>
      </c>
      <c r="R32" t="s">
        <v>2279</v>
      </c>
      <c r="S32" t="s">
        <v>2286</v>
      </c>
      <c r="T32" t="s">
        <v>2288</v>
      </c>
      <c r="U32">
        <v>2</v>
      </c>
      <c r="V32">
        <v>349</v>
      </c>
      <c r="W32">
        <v>27</v>
      </c>
      <c r="X32">
        <v>49.46</v>
      </c>
      <c r="Y32">
        <v>54.08</v>
      </c>
      <c r="Z32" t="s">
        <v>2293</v>
      </c>
      <c r="AA32" t="s">
        <v>2298</v>
      </c>
      <c r="AB32">
        <v>170</v>
      </c>
      <c r="AC32">
        <v>17</v>
      </c>
      <c r="AD32">
        <v>153</v>
      </c>
      <c r="AE32">
        <v>98.92</v>
      </c>
      <c r="AF32">
        <v>54.08</v>
      </c>
      <c r="AG32">
        <v>2024</v>
      </c>
      <c r="AH32">
        <v>9</v>
      </c>
      <c r="AI32" t="s">
        <v>2300</v>
      </c>
      <c r="AJ32" t="s">
        <v>2316</v>
      </c>
    </row>
    <row r="33" spans="1:36" x14ac:dyDescent="0.3">
      <c r="A33" t="s">
        <v>67</v>
      </c>
      <c r="B33" s="2">
        <v>45516</v>
      </c>
      <c r="C33" t="s">
        <v>1639</v>
      </c>
      <c r="D33" t="s">
        <v>1769</v>
      </c>
      <c r="E33" t="s">
        <v>1971</v>
      </c>
      <c r="F33" t="s">
        <v>2240</v>
      </c>
      <c r="G33" t="s">
        <v>2250</v>
      </c>
      <c r="H33" t="s">
        <v>2259</v>
      </c>
      <c r="I33" t="s">
        <v>2262</v>
      </c>
      <c r="J33" t="s">
        <v>2265</v>
      </c>
      <c r="K33">
        <v>1</v>
      </c>
      <c r="L33">
        <v>75</v>
      </c>
      <c r="M33">
        <v>0.15</v>
      </c>
      <c r="N33">
        <v>75</v>
      </c>
      <c r="O33">
        <v>63.75</v>
      </c>
      <c r="P33" t="s">
        <v>2269</v>
      </c>
      <c r="R33" t="s">
        <v>2275</v>
      </c>
      <c r="S33" t="s">
        <v>2287</v>
      </c>
      <c r="T33" t="s">
        <v>2288</v>
      </c>
      <c r="U33">
        <v>4</v>
      </c>
      <c r="V33">
        <v>400</v>
      </c>
      <c r="W33">
        <v>12</v>
      </c>
      <c r="X33">
        <v>42.47</v>
      </c>
      <c r="Y33">
        <v>21.28</v>
      </c>
      <c r="Z33" t="s">
        <v>2293</v>
      </c>
      <c r="AA33" t="s">
        <v>2298</v>
      </c>
      <c r="AB33">
        <v>75</v>
      </c>
      <c r="AC33">
        <v>11.25</v>
      </c>
      <c r="AD33">
        <v>63.75</v>
      </c>
      <c r="AE33">
        <v>42.47</v>
      </c>
      <c r="AF33">
        <v>21.28</v>
      </c>
      <c r="AG33">
        <v>2024</v>
      </c>
      <c r="AH33">
        <v>8</v>
      </c>
      <c r="AI33" t="s">
        <v>2301</v>
      </c>
      <c r="AJ33" t="s">
        <v>2314</v>
      </c>
    </row>
    <row r="34" spans="1:36" x14ac:dyDescent="0.3">
      <c r="A34" t="s">
        <v>68</v>
      </c>
      <c r="B34" s="2">
        <v>45512</v>
      </c>
      <c r="C34" t="s">
        <v>1662</v>
      </c>
      <c r="D34" t="s">
        <v>1761</v>
      </c>
      <c r="E34" t="s">
        <v>1972</v>
      </c>
      <c r="F34" t="s">
        <v>2238</v>
      </c>
      <c r="G34" t="s">
        <v>2242</v>
      </c>
      <c r="H34" t="s">
        <v>2258</v>
      </c>
      <c r="I34" t="s">
        <v>2260</v>
      </c>
      <c r="J34" t="s">
        <v>2265</v>
      </c>
      <c r="K34">
        <v>1</v>
      </c>
      <c r="L34">
        <v>115</v>
      </c>
      <c r="M34">
        <v>0</v>
      </c>
      <c r="N34">
        <v>115</v>
      </c>
      <c r="O34">
        <v>115</v>
      </c>
      <c r="P34" t="s">
        <v>2267</v>
      </c>
      <c r="Q34" t="s">
        <v>2270</v>
      </c>
      <c r="R34" t="s">
        <v>2274</v>
      </c>
      <c r="S34" t="s">
        <v>2286</v>
      </c>
      <c r="T34" t="s">
        <v>2288</v>
      </c>
      <c r="U34">
        <v>1</v>
      </c>
      <c r="V34">
        <v>115</v>
      </c>
      <c r="W34">
        <v>23</v>
      </c>
      <c r="X34">
        <v>57.83</v>
      </c>
      <c r="Y34">
        <v>57.17</v>
      </c>
      <c r="Z34" t="s">
        <v>2291</v>
      </c>
      <c r="AA34" t="s">
        <v>2296</v>
      </c>
      <c r="AB34">
        <v>115</v>
      </c>
      <c r="AC34">
        <v>0</v>
      </c>
      <c r="AD34">
        <v>115</v>
      </c>
      <c r="AE34">
        <v>57.83</v>
      </c>
      <c r="AF34">
        <v>57.17</v>
      </c>
      <c r="AG34">
        <v>2024</v>
      </c>
      <c r="AH34">
        <v>8</v>
      </c>
      <c r="AI34" t="s">
        <v>2301</v>
      </c>
      <c r="AJ34" t="s">
        <v>2316</v>
      </c>
    </row>
    <row r="35" spans="1:36" x14ac:dyDescent="0.3">
      <c r="A35" t="s">
        <v>69</v>
      </c>
      <c r="B35" s="2">
        <v>45485</v>
      </c>
      <c r="C35" t="s">
        <v>1663</v>
      </c>
      <c r="D35" t="s">
        <v>1770</v>
      </c>
      <c r="E35" t="s">
        <v>1950</v>
      </c>
      <c r="F35" t="s">
        <v>2238</v>
      </c>
      <c r="G35" t="s">
        <v>2244</v>
      </c>
      <c r="H35" t="s">
        <v>2257</v>
      </c>
      <c r="I35" t="s">
        <v>2262</v>
      </c>
      <c r="J35" t="s">
        <v>2265</v>
      </c>
      <c r="K35">
        <v>1</v>
      </c>
      <c r="L35">
        <v>115</v>
      </c>
      <c r="M35">
        <v>0.1</v>
      </c>
      <c r="N35">
        <v>115</v>
      </c>
      <c r="O35">
        <v>103.5</v>
      </c>
      <c r="P35" t="s">
        <v>2269</v>
      </c>
      <c r="Q35" t="s">
        <v>2272</v>
      </c>
      <c r="R35" t="s">
        <v>2278</v>
      </c>
      <c r="S35" t="s">
        <v>2281</v>
      </c>
      <c r="T35" t="s">
        <v>2288</v>
      </c>
      <c r="U35">
        <v>2</v>
      </c>
      <c r="V35">
        <v>472</v>
      </c>
      <c r="W35">
        <v>51</v>
      </c>
      <c r="X35">
        <v>50</v>
      </c>
      <c r="Y35">
        <v>53.5</v>
      </c>
      <c r="Z35" t="s">
        <v>2293</v>
      </c>
      <c r="AA35" t="s">
        <v>2296</v>
      </c>
      <c r="AB35">
        <v>115</v>
      </c>
      <c r="AC35">
        <v>11.5</v>
      </c>
      <c r="AD35">
        <v>103.5</v>
      </c>
      <c r="AE35">
        <v>50</v>
      </c>
      <c r="AF35">
        <v>53.5</v>
      </c>
      <c r="AG35">
        <v>2024</v>
      </c>
      <c r="AH35">
        <v>7</v>
      </c>
      <c r="AI35" t="s">
        <v>2307</v>
      </c>
      <c r="AJ35" t="s">
        <v>2315</v>
      </c>
    </row>
    <row r="36" spans="1:36" x14ac:dyDescent="0.3">
      <c r="A36" t="s">
        <v>70</v>
      </c>
      <c r="B36" s="2">
        <v>45440</v>
      </c>
      <c r="C36" t="s">
        <v>1664</v>
      </c>
      <c r="D36" t="s">
        <v>1771</v>
      </c>
      <c r="E36" t="s">
        <v>1973</v>
      </c>
      <c r="F36" t="s">
        <v>2240</v>
      </c>
      <c r="G36" t="s">
        <v>2253</v>
      </c>
      <c r="H36" t="s">
        <v>2258</v>
      </c>
      <c r="I36" t="s">
        <v>2260</v>
      </c>
      <c r="J36" t="s">
        <v>2264</v>
      </c>
      <c r="K36">
        <v>1</v>
      </c>
      <c r="L36">
        <v>85</v>
      </c>
      <c r="M36">
        <v>0.1</v>
      </c>
      <c r="N36">
        <v>85</v>
      </c>
      <c r="O36">
        <v>76.5</v>
      </c>
      <c r="P36" t="s">
        <v>2268</v>
      </c>
      <c r="Q36" t="s">
        <v>2270</v>
      </c>
      <c r="R36" t="s">
        <v>2277</v>
      </c>
      <c r="S36" t="s">
        <v>2281</v>
      </c>
      <c r="T36" t="s">
        <v>2288</v>
      </c>
      <c r="U36">
        <v>2</v>
      </c>
      <c r="V36">
        <v>316</v>
      </c>
      <c r="W36">
        <v>15</v>
      </c>
      <c r="X36">
        <v>51.81</v>
      </c>
      <c r="Y36">
        <v>24.69</v>
      </c>
      <c r="Z36" t="s">
        <v>2292</v>
      </c>
      <c r="AA36" t="s">
        <v>2296</v>
      </c>
      <c r="AB36">
        <v>85</v>
      </c>
      <c r="AC36">
        <v>8.5</v>
      </c>
      <c r="AD36">
        <v>76.5</v>
      </c>
      <c r="AE36">
        <v>51.81</v>
      </c>
      <c r="AF36">
        <v>24.69</v>
      </c>
      <c r="AG36">
        <v>2024</v>
      </c>
      <c r="AH36">
        <v>5</v>
      </c>
      <c r="AI36" t="s">
        <v>2306</v>
      </c>
      <c r="AJ36" t="s">
        <v>2313</v>
      </c>
    </row>
    <row r="37" spans="1:36" x14ac:dyDescent="0.3">
      <c r="A37" t="s">
        <v>71</v>
      </c>
      <c r="B37" s="2">
        <v>45482</v>
      </c>
      <c r="C37" t="s">
        <v>1665</v>
      </c>
      <c r="D37" t="s">
        <v>1772</v>
      </c>
      <c r="E37" t="s">
        <v>1974</v>
      </c>
      <c r="F37" t="s">
        <v>2238</v>
      </c>
      <c r="G37" t="s">
        <v>2241</v>
      </c>
      <c r="H37" t="s">
        <v>2257</v>
      </c>
      <c r="I37" t="s">
        <v>2262</v>
      </c>
      <c r="J37" t="s">
        <v>2265</v>
      </c>
      <c r="K37">
        <v>3</v>
      </c>
      <c r="L37">
        <v>130</v>
      </c>
      <c r="M37">
        <v>0.1</v>
      </c>
      <c r="N37">
        <v>390</v>
      </c>
      <c r="O37">
        <v>351</v>
      </c>
      <c r="P37" t="s">
        <v>2269</v>
      </c>
      <c r="Q37" t="s">
        <v>2271</v>
      </c>
      <c r="R37" t="s">
        <v>2276</v>
      </c>
      <c r="S37" t="s">
        <v>2286</v>
      </c>
      <c r="T37" t="s">
        <v>2288</v>
      </c>
      <c r="U37">
        <v>4</v>
      </c>
      <c r="V37">
        <v>257</v>
      </c>
      <c r="W37">
        <v>24</v>
      </c>
      <c r="X37">
        <v>46.02</v>
      </c>
      <c r="Y37">
        <v>212.94</v>
      </c>
      <c r="Z37" t="s">
        <v>1761</v>
      </c>
      <c r="AA37" t="s">
        <v>2298</v>
      </c>
      <c r="AB37">
        <v>390</v>
      </c>
      <c r="AC37">
        <v>39</v>
      </c>
      <c r="AD37">
        <v>351</v>
      </c>
      <c r="AE37">
        <v>138.06</v>
      </c>
      <c r="AF37">
        <v>212.94</v>
      </c>
      <c r="AG37">
        <v>2024</v>
      </c>
      <c r="AH37">
        <v>7</v>
      </c>
      <c r="AI37" t="s">
        <v>2307</v>
      </c>
      <c r="AJ37" t="s">
        <v>2313</v>
      </c>
    </row>
    <row r="38" spans="1:36" x14ac:dyDescent="0.3">
      <c r="A38" t="s">
        <v>72</v>
      </c>
      <c r="B38" s="2">
        <v>45438</v>
      </c>
      <c r="C38" t="s">
        <v>1655</v>
      </c>
      <c r="D38" t="s">
        <v>1773</v>
      </c>
      <c r="E38" t="s">
        <v>1975</v>
      </c>
      <c r="F38" t="s">
        <v>2238</v>
      </c>
      <c r="G38" t="s">
        <v>2244</v>
      </c>
      <c r="H38" t="s">
        <v>2257</v>
      </c>
      <c r="I38" t="s">
        <v>2262</v>
      </c>
      <c r="J38" t="s">
        <v>2264</v>
      </c>
      <c r="K38">
        <v>1</v>
      </c>
      <c r="L38">
        <v>120</v>
      </c>
      <c r="M38">
        <v>0.1</v>
      </c>
      <c r="O38">
        <v>108</v>
      </c>
      <c r="P38" t="s">
        <v>2268</v>
      </c>
      <c r="Q38" t="s">
        <v>2270</v>
      </c>
      <c r="R38" t="s">
        <v>2277</v>
      </c>
      <c r="S38" t="s">
        <v>2287</v>
      </c>
      <c r="T38" t="s">
        <v>2289</v>
      </c>
      <c r="U38">
        <v>5</v>
      </c>
      <c r="V38">
        <v>385</v>
      </c>
      <c r="X38">
        <v>55.9</v>
      </c>
      <c r="Y38">
        <v>52.1</v>
      </c>
      <c r="Z38" t="s">
        <v>2293</v>
      </c>
      <c r="AA38" t="s">
        <v>2296</v>
      </c>
      <c r="AB38">
        <v>120</v>
      </c>
      <c r="AC38">
        <v>12</v>
      </c>
      <c r="AD38">
        <v>108</v>
      </c>
      <c r="AE38">
        <v>55.9</v>
      </c>
      <c r="AF38">
        <v>52.1</v>
      </c>
      <c r="AG38">
        <v>2024</v>
      </c>
      <c r="AH38">
        <v>5</v>
      </c>
      <c r="AI38" t="s">
        <v>2306</v>
      </c>
      <c r="AJ38" t="s">
        <v>2318</v>
      </c>
    </row>
    <row r="39" spans="1:36" x14ac:dyDescent="0.3">
      <c r="A39" t="s">
        <v>73</v>
      </c>
      <c r="B39" s="2">
        <v>45587</v>
      </c>
      <c r="C39" t="s">
        <v>1666</v>
      </c>
      <c r="D39" t="s">
        <v>1774</v>
      </c>
      <c r="E39" t="s">
        <v>1976</v>
      </c>
      <c r="F39" t="s">
        <v>1761</v>
      </c>
      <c r="G39" t="s">
        <v>2241</v>
      </c>
      <c r="H39" t="s">
        <v>2257</v>
      </c>
      <c r="I39" t="s">
        <v>2262</v>
      </c>
      <c r="J39" t="s">
        <v>2264</v>
      </c>
      <c r="K39">
        <v>5</v>
      </c>
      <c r="L39">
        <v>125</v>
      </c>
      <c r="M39">
        <v>0</v>
      </c>
      <c r="N39">
        <v>625</v>
      </c>
      <c r="O39">
        <v>625</v>
      </c>
      <c r="P39" t="s">
        <v>2269</v>
      </c>
      <c r="Q39" t="s">
        <v>2270</v>
      </c>
      <c r="R39" t="s">
        <v>2276</v>
      </c>
      <c r="S39" t="s">
        <v>2281</v>
      </c>
      <c r="T39" t="s">
        <v>2288</v>
      </c>
      <c r="U39">
        <v>2</v>
      </c>
      <c r="V39">
        <v>271</v>
      </c>
      <c r="X39">
        <v>65.650000000000006</v>
      </c>
      <c r="Y39">
        <v>296.75</v>
      </c>
      <c r="Z39" t="s">
        <v>1761</v>
      </c>
      <c r="AA39" t="s">
        <v>1761</v>
      </c>
      <c r="AB39">
        <v>625</v>
      </c>
      <c r="AC39">
        <v>0</v>
      </c>
      <c r="AD39">
        <v>625</v>
      </c>
      <c r="AE39">
        <v>328.25</v>
      </c>
      <c r="AF39">
        <v>296.75</v>
      </c>
      <c r="AG39">
        <v>2024</v>
      </c>
      <c r="AH39">
        <v>10</v>
      </c>
      <c r="AI39" t="s">
        <v>2310</v>
      </c>
      <c r="AJ39" t="s">
        <v>2313</v>
      </c>
    </row>
    <row r="40" spans="1:36" x14ac:dyDescent="0.3">
      <c r="A40" t="s">
        <v>74</v>
      </c>
      <c r="B40" s="2">
        <v>45378</v>
      </c>
      <c r="C40" t="s">
        <v>1667</v>
      </c>
      <c r="D40" t="s">
        <v>1775</v>
      </c>
      <c r="E40" t="s">
        <v>1977</v>
      </c>
      <c r="F40" t="s">
        <v>2240</v>
      </c>
      <c r="G40" t="s">
        <v>2243</v>
      </c>
      <c r="H40" t="s">
        <v>2258</v>
      </c>
      <c r="I40" t="s">
        <v>2260</v>
      </c>
      <c r="K40">
        <v>1</v>
      </c>
      <c r="L40">
        <v>70</v>
      </c>
      <c r="M40">
        <v>0.1</v>
      </c>
      <c r="N40">
        <v>70</v>
      </c>
      <c r="O40">
        <v>63</v>
      </c>
      <c r="P40" t="s">
        <v>2269</v>
      </c>
      <c r="Q40" t="s">
        <v>2271</v>
      </c>
      <c r="R40" t="s">
        <v>2277</v>
      </c>
      <c r="S40" t="s">
        <v>2283</v>
      </c>
      <c r="T40" t="s">
        <v>2288</v>
      </c>
      <c r="U40">
        <v>5</v>
      </c>
      <c r="V40">
        <v>112</v>
      </c>
      <c r="W40">
        <v>52</v>
      </c>
      <c r="X40">
        <v>29.02</v>
      </c>
      <c r="Y40">
        <v>33.979999999999997</v>
      </c>
      <c r="Z40" t="s">
        <v>2292</v>
      </c>
      <c r="AA40" t="s">
        <v>2298</v>
      </c>
      <c r="AB40">
        <v>70</v>
      </c>
      <c r="AC40">
        <v>7</v>
      </c>
      <c r="AD40">
        <v>63</v>
      </c>
      <c r="AE40">
        <v>29.02</v>
      </c>
      <c r="AF40">
        <v>33.979999999999997</v>
      </c>
      <c r="AG40">
        <v>2024</v>
      </c>
      <c r="AH40">
        <v>3</v>
      </c>
      <c r="AI40" t="s">
        <v>2305</v>
      </c>
      <c r="AJ40" t="s">
        <v>2312</v>
      </c>
    </row>
    <row r="41" spans="1:36" x14ac:dyDescent="0.3">
      <c r="A41" t="s">
        <v>75</v>
      </c>
      <c r="B41" s="2">
        <v>45631</v>
      </c>
      <c r="C41" t="s">
        <v>1668</v>
      </c>
      <c r="D41" t="s">
        <v>1776</v>
      </c>
      <c r="E41" t="s">
        <v>1978</v>
      </c>
      <c r="F41" t="s">
        <v>2240</v>
      </c>
      <c r="G41" t="s">
        <v>2255</v>
      </c>
      <c r="H41" t="s">
        <v>2260</v>
      </c>
      <c r="I41" t="s">
        <v>2260</v>
      </c>
      <c r="J41" t="s">
        <v>2265</v>
      </c>
      <c r="K41">
        <v>2</v>
      </c>
      <c r="L41">
        <v>180</v>
      </c>
      <c r="M41">
        <v>0.05</v>
      </c>
      <c r="N41">
        <v>360</v>
      </c>
      <c r="O41">
        <v>342</v>
      </c>
      <c r="P41" t="s">
        <v>2267</v>
      </c>
      <c r="Q41" t="s">
        <v>2272</v>
      </c>
      <c r="R41" t="s">
        <v>2273</v>
      </c>
      <c r="S41" t="s">
        <v>2281</v>
      </c>
      <c r="T41" t="s">
        <v>2288</v>
      </c>
      <c r="U41">
        <v>2</v>
      </c>
      <c r="V41">
        <v>268</v>
      </c>
      <c r="X41">
        <v>106.83</v>
      </c>
      <c r="Y41">
        <v>128.34</v>
      </c>
      <c r="Z41" t="s">
        <v>2293</v>
      </c>
      <c r="AA41" t="s">
        <v>2296</v>
      </c>
      <c r="AB41">
        <v>360</v>
      </c>
      <c r="AC41">
        <v>18</v>
      </c>
      <c r="AD41">
        <v>342</v>
      </c>
      <c r="AE41">
        <v>213.66</v>
      </c>
      <c r="AF41">
        <v>128.34</v>
      </c>
      <c r="AG41">
        <v>2024</v>
      </c>
      <c r="AH41">
        <v>12</v>
      </c>
      <c r="AI41" t="s">
        <v>2309</v>
      </c>
      <c r="AJ41" t="s">
        <v>2316</v>
      </c>
    </row>
    <row r="42" spans="1:36" x14ac:dyDescent="0.3">
      <c r="A42" t="s">
        <v>76</v>
      </c>
      <c r="B42" s="2">
        <v>45424</v>
      </c>
      <c r="C42" t="s">
        <v>1640</v>
      </c>
      <c r="D42" t="s">
        <v>1777</v>
      </c>
      <c r="E42" t="s">
        <v>1979</v>
      </c>
      <c r="F42" t="s">
        <v>2238</v>
      </c>
      <c r="G42" t="s">
        <v>2246</v>
      </c>
      <c r="H42" t="s">
        <v>2259</v>
      </c>
      <c r="I42" t="s">
        <v>2262</v>
      </c>
      <c r="J42" t="s">
        <v>2266</v>
      </c>
      <c r="K42">
        <v>1</v>
      </c>
      <c r="L42">
        <v>105</v>
      </c>
      <c r="M42">
        <v>0.15</v>
      </c>
      <c r="N42">
        <v>105</v>
      </c>
      <c r="O42">
        <v>89.25</v>
      </c>
      <c r="P42" t="s">
        <v>2267</v>
      </c>
      <c r="Q42" t="s">
        <v>2272</v>
      </c>
      <c r="R42" t="s">
        <v>2273</v>
      </c>
      <c r="S42" t="s">
        <v>2282</v>
      </c>
      <c r="T42" t="s">
        <v>2289</v>
      </c>
      <c r="V42">
        <v>153</v>
      </c>
      <c r="W42">
        <v>55</v>
      </c>
      <c r="X42">
        <v>51.74</v>
      </c>
      <c r="Y42">
        <v>37.51</v>
      </c>
      <c r="Z42" t="s">
        <v>2291</v>
      </c>
      <c r="AA42" t="s">
        <v>2297</v>
      </c>
      <c r="AB42">
        <v>105</v>
      </c>
      <c r="AC42">
        <v>15.75</v>
      </c>
      <c r="AD42">
        <v>89.25</v>
      </c>
      <c r="AE42">
        <v>51.74</v>
      </c>
      <c r="AF42">
        <v>37.51</v>
      </c>
      <c r="AG42">
        <v>2024</v>
      </c>
      <c r="AH42">
        <v>5</v>
      </c>
      <c r="AI42" t="s">
        <v>2306</v>
      </c>
      <c r="AJ42" t="s">
        <v>2318</v>
      </c>
    </row>
    <row r="43" spans="1:36" x14ac:dyDescent="0.3">
      <c r="A43" t="s">
        <v>77</v>
      </c>
      <c r="B43" s="2">
        <v>45292</v>
      </c>
      <c r="C43" t="s">
        <v>1657</v>
      </c>
      <c r="D43" t="s">
        <v>1751</v>
      </c>
      <c r="E43" t="s">
        <v>1965</v>
      </c>
      <c r="F43" t="s">
        <v>2240</v>
      </c>
      <c r="G43" t="s">
        <v>2249</v>
      </c>
      <c r="H43" t="s">
        <v>2257</v>
      </c>
      <c r="I43" t="s">
        <v>2263</v>
      </c>
      <c r="J43" t="s">
        <v>2265</v>
      </c>
      <c r="K43">
        <v>1</v>
      </c>
      <c r="L43">
        <v>170</v>
      </c>
      <c r="M43">
        <v>0</v>
      </c>
      <c r="N43">
        <v>170</v>
      </c>
      <c r="O43">
        <v>170</v>
      </c>
      <c r="P43" t="s">
        <v>2269</v>
      </c>
      <c r="Q43" t="s">
        <v>2272</v>
      </c>
      <c r="R43" t="s">
        <v>2279</v>
      </c>
      <c r="S43" t="s">
        <v>2283</v>
      </c>
      <c r="T43" t="s">
        <v>2289</v>
      </c>
      <c r="U43">
        <v>1</v>
      </c>
      <c r="V43">
        <v>482</v>
      </c>
      <c r="W43">
        <v>27</v>
      </c>
      <c r="X43">
        <v>95</v>
      </c>
      <c r="Y43">
        <v>75</v>
      </c>
      <c r="Z43" t="s">
        <v>2294</v>
      </c>
      <c r="AA43" t="s">
        <v>2299</v>
      </c>
      <c r="AB43">
        <v>170</v>
      </c>
      <c r="AC43">
        <v>0</v>
      </c>
      <c r="AD43">
        <v>170</v>
      </c>
      <c r="AE43">
        <v>95</v>
      </c>
      <c r="AF43">
        <v>75</v>
      </c>
      <c r="AG43">
        <v>2024</v>
      </c>
      <c r="AH43">
        <v>1</v>
      </c>
      <c r="AI43" t="s">
        <v>2302</v>
      </c>
      <c r="AJ43" t="s">
        <v>2314</v>
      </c>
    </row>
    <row r="44" spans="1:36" x14ac:dyDescent="0.3">
      <c r="A44" t="s">
        <v>78</v>
      </c>
      <c r="B44" s="2">
        <v>45426</v>
      </c>
      <c r="C44" t="s">
        <v>1669</v>
      </c>
      <c r="D44" t="s">
        <v>1778</v>
      </c>
      <c r="E44" t="s">
        <v>1980</v>
      </c>
      <c r="F44" t="s">
        <v>2239</v>
      </c>
      <c r="G44" t="s">
        <v>2251</v>
      </c>
      <c r="H44" t="s">
        <v>2258</v>
      </c>
      <c r="I44" t="s">
        <v>2260</v>
      </c>
      <c r="J44" t="s">
        <v>2265</v>
      </c>
      <c r="K44">
        <v>2</v>
      </c>
      <c r="L44">
        <v>95</v>
      </c>
      <c r="N44">
        <v>190</v>
      </c>
      <c r="P44" t="s">
        <v>2269</v>
      </c>
      <c r="Q44" t="s">
        <v>2272</v>
      </c>
      <c r="R44" t="s">
        <v>2273</v>
      </c>
      <c r="S44" t="s">
        <v>2287</v>
      </c>
      <c r="T44" t="s">
        <v>2289</v>
      </c>
      <c r="U44">
        <v>4</v>
      </c>
      <c r="V44">
        <v>109</v>
      </c>
      <c r="W44">
        <v>49</v>
      </c>
      <c r="X44">
        <v>49.11</v>
      </c>
      <c r="Z44" t="s">
        <v>2294</v>
      </c>
      <c r="AA44" t="s">
        <v>2296</v>
      </c>
      <c r="AB44">
        <v>190</v>
      </c>
      <c r="AC44">
        <v>0</v>
      </c>
      <c r="AD44">
        <v>190</v>
      </c>
      <c r="AE44">
        <v>98.22</v>
      </c>
      <c r="AF44">
        <v>91.78</v>
      </c>
      <c r="AG44">
        <v>2024</v>
      </c>
      <c r="AH44">
        <v>5</v>
      </c>
      <c r="AI44" t="s">
        <v>2306</v>
      </c>
      <c r="AJ44" t="s">
        <v>2313</v>
      </c>
    </row>
    <row r="45" spans="1:36" x14ac:dyDescent="0.3">
      <c r="A45" t="s">
        <v>79</v>
      </c>
      <c r="B45" s="2">
        <v>45624</v>
      </c>
      <c r="C45" t="s">
        <v>1670</v>
      </c>
      <c r="D45" t="s">
        <v>1748</v>
      </c>
      <c r="E45" t="s">
        <v>1981</v>
      </c>
      <c r="F45" t="s">
        <v>2240</v>
      </c>
      <c r="G45" t="s">
        <v>2249</v>
      </c>
      <c r="H45" t="s">
        <v>2257</v>
      </c>
      <c r="I45" t="s">
        <v>2263</v>
      </c>
      <c r="J45" t="s">
        <v>2264</v>
      </c>
      <c r="K45">
        <v>1</v>
      </c>
      <c r="L45">
        <v>155</v>
      </c>
      <c r="N45">
        <v>155</v>
      </c>
      <c r="P45" t="s">
        <v>2268</v>
      </c>
      <c r="Q45" t="s">
        <v>2271</v>
      </c>
      <c r="R45" t="s">
        <v>2278</v>
      </c>
      <c r="S45" t="s">
        <v>2281</v>
      </c>
      <c r="T45" t="s">
        <v>2288</v>
      </c>
      <c r="V45">
        <v>324</v>
      </c>
      <c r="W45">
        <v>24</v>
      </c>
      <c r="X45">
        <v>61.87</v>
      </c>
      <c r="Z45" t="s">
        <v>2293</v>
      </c>
      <c r="AA45" t="s">
        <v>1761</v>
      </c>
      <c r="AB45">
        <v>155</v>
      </c>
      <c r="AC45">
        <v>0</v>
      </c>
      <c r="AD45">
        <v>155</v>
      </c>
      <c r="AE45">
        <v>61.87</v>
      </c>
      <c r="AF45">
        <v>93.13</v>
      </c>
      <c r="AG45">
        <v>2024</v>
      </c>
      <c r="AH45">
        <v>11</v>
      </c>
      <c r="AI45" t="s">
        <v>2311</v>
      </c>
      <c r="AJ45" t="s">
        <v>2316</v>
      </c>
    </row>
    <row r="46" spans="1:36" x14ac:dyDescent="0.3">
      <c r="A46" t="s">
        <v>80</v>
      </c>
      <c r="C46" t="s">
        <v>1671</v>
      </c>
      <c r="D46" t="s">
        <v>1779</v>
      </c>
      <c r="E46" t="s">
        <v>1982</v>
      </c>
      <c r="F46" t="s">
        <v>1761</v>
      </c>
      <c r="G46" t="s">
        <v>2250</v>
      </c>
      <c r="H46" t="s">
        <v>2259</v>
      </c>
      <c r="I46" t="s">
        <v>2262</v>
      </c>
      <c r="J46" t="s">
        <v>2265</v>
      </c>
      <c r="K46">
        <v>2</v>
      </c>
      <c r="L46">
        <v>90</v>
      </c>
      <c r="M46">
        <v>0.05</v>
      </c>
      <c r="N46">
        <v>180</v>
      </c>
      <c r="O46">
        <v>171</v>
      </c>
      <c r="P46" t="s">
        <v>2269</v>
      </c>
      <c r="Q46" t="s">
        <v>2270</v>
      </c>
      <c r="R46" t="s">
        <v>2279</v>
      </c>
      <c r="S46" t="s">
        <v>2284</v>
      </c>
      <c r="T46" t="s">
        <v>2288</v>
      </c>
      <c r="U46">
        <v>2</v>
      </c>
      <c r="V46">
        <v>7</v>
      </c>
      <c r="X46">
        <v>30.56</v>
      </c>
      <c r="Y46">
        <v>109.88</v>
      </c>
      <c r="Z46" t="s">
        <v>1761</v>
      </c>
      <c r="AA46" t="s">
        <v>2297</v>
      </c>
      <c r="AB46">
        <v>180</v>
      </c>
      <c r="AC46">
        <v>9</v>
      </c>
      <c r="AD46">
        <v>171</v>
      </c>
      <c r="AE46">
        <v>61.12</v>
      </c>
      <c r="AF46">
        <v>109.88</v>
      </c>
    </row>
    <row r="47" spans="1:36" x14ac:dyDescent="0.3">
      <c r="A47" t="s">
        <v>81</v>
      </c>
      <c r="B47" s="2">
        <v>45573</v>
      </c>
      <c r="C47" t="s">
        <v>1667</v>
      </c>
      <c r="D47" t="s">
        <v>1780</v>
      </c>
      <c r="E47" t="s">
        <v>1983</v>
      </c>
      <c r="F47" t="s">
        <v>2240</v>
      </c>
      <c r="G47" t="s">
        <v>2248</v>
      </c>
      <c r="H47" t="s">
        <v>2257</v>
      </c>
      <c r="I47" t="s">
        <v>2262</v>
      </c>
      <c r="J47" t="s">
        <v>2265</v>
      </c>
      <c r="K47">
        <v>2</v>
      </c>
      <c r="L47">
        <v>140</v>
      </c>
      <c r="M47">
        <v>0</v>
      </c>
      <c r="N47">
        <v>280</v>
      </c>
      <c r="O47">
        <v>280</v>
      </c>
      <c r="P47" t="s">
        <v>2269</v>
      </c>
      <c r="Q47" t="s">
        <v>2272</v>
      </c>
      <c r="R47" t="s">
        <v>2277</v>
      </c>
      <c r="S47" t="s">
        <v>2281</v>
      </c>
      <c r="T47" t="s">
        <v>2288</v>
      </c>
      <c r="V47">
        <v>495</v>
      </c>
      <c r="X47">
        <v>72.13</v>
      </c>
      <c r="Y47">
        <v>135.74</v>
      </c>
      <c r="Z47" t="s">
        <v>2291</v>
      </c>
      <c r="AA47" t="s">
        <v>2296</v>
      </c>
      <c r="AB47">
        <v>280</v>
      </c>
      <c r="AC47">
        <v>0</v>
      </c>
      <c r="AD47">
        <v>280</v>
      </c>
      <c r="AE47">
        <v>144.26</v>
      </c>
      <c r="AF47">
        <v>135.74</v>
      </c>
      <c r="AG47">
        <v>2024</v>
      </c>
      <c r="AH47">
        <v>10</v>
      </c>
      <c r="AI47" t="s">
        <v>2310</v>
      </c>
      <c r="AJ47" t="s">
        <v>2313</v>
      </c>
    </row>
    <row r="48" spans="1:36" x14ac:dyDescent="0.3">
      <c r="A48" t="s">
        <v>82</v>
      </c>
      <c r="B48" s="2">
        <v>45510</v>
      </c>
      <c r="C48" t="s">
        <v>1665</v>
      </c>
      <c r="D48" t="s">
        <v>1781</v>
      </c>
      <c r="E48" t="s">
        <v>1984</v>
      </c>
      <c r="F48" t="s">
        <v>2240</v>
      </c>
      <c r="G48" t="s">
        <v>2243</v>
      </c>
      <c r="H48" t="s">
        <v>2258</v>
      </c>
      <c r="I48" t="s">
        <v>2260</v>
      </c>
      <c r="K48">
        <v>1</v>
      </c>
      <c r="L48">
        <v>70</v>
      </c>
      <c r="M48">
        <v>0.15</v>
      </c>
      <c r="N48">
        <v>70</v>
      </c>
      <c r="O48">
        <v>59.5</v>
      </c>
      <c r="P48" t="s">
        <v>2268</v>
      </c>
      <c r="Q48" t="s">
        <v>2270</v>
      </c>
      <c r="R48" t="s">
        <v>2279</v>
      </c>
      <c r="S48" t="s">
        <v>2286</v>
      </c>
      <c r="T48" t="s">
        <v>2288</v>
      </c>
      <c r="U48">
        <v>4</v>
      </c>
      <c r="V48">
        <v>292</v>
      </c>
      <c r="X48">
        <v>34.54</v>
      </c>
      <c r="Y48">
        <v>24.96</v>
      </c>
      <c r="Z48" t="s">
        <v>1761</v>
      </c>
      <c r="AA48" t="s">
        <v>2296</v>
      </c>
      <c r="AB48">
        <v>70</v>
      </c>
      <c r="AC48">
        <v>10.5</v>
      </c>
      <c r="AD48">
        <v>59.5</v>
      </c>
      <c r="AE48">
        <v>34.54</v>
      </c>
      <c r="AF48">
        <v>24.96</v>
      </c>
      <c r="AG48">
        <v>2024</v>
      </c>
      <c r="AH48">
        <v>8</v>
      </c>
      <c r="AI48" t="s">
        <v>2301</v>
      </c>
      <c r="AJ48" t="s">
        <v>2313</v>
      </c>
    </row>
    <row r="49" spans="1:36" x14ac:dyDescent="0.3">
      <c r="A49" t="s">
        <v>83</v>
      </c>
      <c r="B49" s="2">
        <v>45352</v>
      </c>
      <c r="C49" t="s">
        <v>1672</v>
      </c>
      <c r="D49" t="s">
        <v>1782</v>
      </c>
      <c r="E49" t="s">
        <v>1985</v>
      </c>
      <c r="F49" t="s">
        <v>2240</v>
      </c>
      <c r="G49" t="s">
        <v>2248</v>
      </c>
      <c r="H49" t="s">
        <v>2257</v>
      </c>
      <c r="I49" t="s">
        <v>2262</v>
      </c>
      <c r="J49" t="s">
        <v>2265</v>
      </c>
      <c r="K49">
        <v>2</v>
      </c>
      <c r="L49">
        <v>145</v>
      </c>
      <c r="M49">
        <v>0.1</v>
      </c>
      <c r="N49">
        <v>290</v>
      </c>
      <c r="O49">
        <v>261</v>
      </c>
      <c r="P49" t="s">
        <v>2269</v>
      </c>
      <c r="Q49" t="s">
        <v>2271</v>
      </c>
      <c r="R49" t="s">
        <v>2275</v>
      </c>
      <c r="S49" t="s">
        <v>2283</v>
      </c>
      <c r="T49" t="s">
        <v>2290</v>
      </c>
      <c r="U49">
        <v>3</v>
      </c>
      <c r="V49">
        <v>101</v>
      </c>
      <c r="W49">
        <v>37</v>
      </c>
      <c r="X49">
        <v>71.42</v>
      </c>
      <c r="Y49">
        <v>118.16</v>
      </c>
      <c r="Z49" t="s">
        <v>1761</v>
      </c>
      <c r="AA49" t="s">
        <v>1761</v>
      </c>
      <c r="AB49">
        <v>290</v>
      </c>
      <c r="AC49">
        <v>29</v>
      </c>
      <c r="AD49">
        <v>261</v>
      </c>
      <c r="AE49">
        <v>142.84</v>
      </c>
      <c r="AF49">
        <v>118.16</v>
      </c>
      <c r="AG49">
        <v>2024</v>
      </c>
      <c r="AH49">
        <v>3</v>
      </c>
      <c r="AI49" t="s">
        <v>2305</v>
      </c>
      <c r="AJ49" t="s">
        <v>2315</v>
      </c>
    </row>
    <row r="50" spans="1:36" x14ac:dyDescent="0.3">
      <c r="A50" t="s">
        <v>84</v>
      </c>
      <c r="B50" s="2">
        <v>45507</v>
      </c>
      <c r="C50" t="s">
        <v>1673</v>
      </c>
      <c r="D50" t="s">
        <v>1783</v>
      </c>
      <c r="E50" t="s">
        <v>1761</v>
      </c>
      <c r="F50" t="s">
        <v>2238</v>
      </c>
      <c r="G50" t="s">
        <v>2244</v>
      </c>
      <c r="H50" t="s">
        <v>2257</v>
      </c>
      <c r="I50" t="s">
        <v>2262</v>
      </c>
      <c r="J50" t="s">
        <v>2266</v>
      </c>
      <c r="K50">
        <v>2</v>
      </c>
      <c r="L50">
        <v>120</v>
      </c>
      <c r="M50">
        <v>0.1</v>
      </c>
      <c r="N50">
        <v>240</v>
      </c>
      <c r="O50">
        <v>216</v>
      </c>
      <c r="P50" t="s">
        <v>2269</v>
      </c>
      <c r="Q50" t="s">
        <v>2271</v>
      </c>
      <c r="R50" t="s">
        <v>2278</v>
      </c>
      <c r="S50" t="s">
        <v>2280</v>
      </c>
      <c r="T50" t="s">
        <v>2289</v>
      </c>
      <c r="U50">
        <v>3</v>
      </c>
      <c r="W50">
        <v>20</v>
      </c>
      <c r="X50">
        <v>53.75</v>
      </c>
      <c r="Y50">
        <v>108.5</v>
      </c>
      <c r="Z50" t="s">
        <v>2292</v>
      </c>
      <c r="AA50" t="s">
        <v>2296</v>
      </c>
      <c r="AB50">
        <v>240</v>
      </c>
      <c r="AC50">
        <v>24</v>
      </c>
      <c r="AD50">
        <v>216</v>
      </c>
      <c r="AE50">
        <v>107.5</v>
      </c>
      <c r="AF50">
        <v>108.5</v>
      </c>
      <c r="AG50">
        <v>2024</v>
      </c>
      <c r="AH50">
        <v>8</v>
      </c>
      <c r="AI50" t="s">
        <v>2301</v>
      </c>
      <c r="AJ50" t="s">
        <v>2317</v>
      </c>
    </row>
    <row r="51" spans="1:36" x14ac:dyDescent="0.3">
      <c r="A51" t="s">
        <v>85</v>
      </c>
      <c r="B51" s="2">
        <v>45377</v>
      </c>
      <c r="C51" t="s">
        <v>1662</v>
      </c>
      <c r="D51" t="s">
        <v>1784</v>
      </c>
      <c r="E51" t="s">
        <v>1986</v>
      </c>
      <c r="F51" t="s">
        <v>2239</v>
      </c>
      <c r="G51" t="s">
        <v>2241</v>
      </c>
      <c r="H51" t="s">
        <v>2257</v>
      </c>
      <c r="I51" t="s">
        <v>2262</v>
      </c>
      <c r="J51" t="s">
        <v>2265</v>
      </c>
      <c r="K51">
        <v>2</v>
      </c>
      <c r="L51">
        <v>125</v>
      </c>
      <c r="M51">
        <v>0</v>
      </c>
      <c r="N51">
        <v>250</v>
      </c>
      <c r="O51">
        <v>250</v>
      </c>
      <c r="P51" t="s">
        <v>2269</v>
      </c>
      <c r="R51" t="s">
        <v>2277</v>
      </c>
      <c r="S51" t="s">
        <v>2281</v>
      </c>
      <c r="T51" t="s">
        <v>2289</v>
      </c>
      <c r="U51">
        <v>1</v>
      </c>
      <c r="V51">
        <v>397</v>
      </c>
      <c r="W51">
        <v>28</v>
      </c>
      <c r="X51">
        <v>62.11</v>
      </c>
      <c r="Y51">
        <v>125.78</v>
      </c>
      <c r="Z51" t="s">
        <v>2293</v>
      </c>
      <c r="AA51" t="s">
        <v>2296</v>
      </c>
      <c r="AB51">
        <v>250</v>
      </c>
      <c r="AC51">
        <v>0</v>
      </c>
      <c r="AD51">
        <v>250</v>
      </c>
      <c r="AE51">
        <v>124.22</v>
      </c>
      <c r="AF51">
        <v>125.78</v>
      </c>
      <c r="AG51">
        <v>2024</v>
      </c>
      <c r="AH51">
        <v>3</v>
      </c>
      <c r="AI51" t="s">
        <v>2305</v>
      </c>
      <c r="AJ51" t="s">
        <v>2313</v>
      </c>
    </row>
    <row r="52" spans="1:36" x14ac:dyDescent="0.3">
      <c r="A52" t="s">
        <v>86</v>
      </c>
      <c r="B52" s="2">
        <v>45309</v>
      </c>
      <c r="C52" t="s">
        <v>1674</v>
      </c>
      <c r="D52" t="s">
        <v>1777</v>
      </c>
      <c r="E52" t="s">
        <v>1987</v>
      </c>
      <c r="F52" t="s">
        <v>2239</v>
      </c>
      <c r="G52" t="s">
        <v>2246</v>
      </c>
      <c r="H52" t="s">
        <v>2259</v>
      </c>
      <c r="I52" t="s">
        <v>2262</v>
      </c>
      <c r="J52" t="s">
        <v>2266</v>
      </c>
      <c r="K52">
        <v>2</v>
      </c>
      <c r="L52">
        <v>105</v>
      </c>
      <c r="M52">
        <v>0.05</v>
      </c>
      <c r="N52">
        <v>210</v>
      </c>
      <c r="O52">
        <v>199.5</v>
      </c>
      <c r="P52" t="s">
        <v>2268</v>
      </c>
      <c r="Q52" t="s">
        <v>2270</v>
      </c>
      <c r="R52" t="s">
        <v>2278</v>
      </c>
      <c r="S52" t="s">
        <v>2284</v>
      </c>
      <c r="T52" t="s">
        <v>2288</v>
      </c>
      <c r="V52">
        <v>207</v>
      </c>
      <c r="W52">
        <v>11</v>
      </c>
      <c r="X52">
        <v>47.93</v>
      </c>
      <c r="Y52">
        <v>103.64</v>
      </c>
      <c r="Z52" t="s">
        <v>1761</v>
      </c>
      <c r="AA52" t="s">
        <v>1761</v>
      </c>
      <c r="AB52">
        <v>210</v>
      </c>
      <c r="AC52">
        <v>10.5</v>
      </c>
      <c r="AD52">
        <v>199.5</v>
      </c>
      <c r="AE52">
        <v>95.86</v>
      </c>
      <c r="AF52">
        <v>103.64</v>
      </c>
      <c r="AG52">
        <v>2024</v>
      </c>
      <c r="AH52">
        <v>1</v>
      </c>
      <c r="AI52" t="s">
        <v>2302</v>
      </c>
      <c r="AJ52" t="s">
        <v>2316</v>
      </c>
    </row>
    <row r="53" spans="1:36" x14ac:dyDescent="0.3">
      <c r="A53" t="s">
        <v>87</v>
      </c>
      <c r="B53" s="2">
        <v>45644</v>
      </c>
      <c r="C53" t="s">
        <v>1675</v>
      </c>
      <c r="D53" t="s">
        <v>1751</v>
      </c>
      <c r="E53" t="s">
        <v>1953</v>
      </c>
      <c r="F53" t="s">
        <v>2239</v>
      </c>
      <c r="G53" t="s">
        <v>2252</v>
      </c>
      <c r="H53" t="s">
        <v>2257</v>
      </c>
      <c r="I53" t="s">
        <v>2262</v>
      </c>
      <c r="J53" t="s">
        <v>2264</v>
      </c>
      <c r="K53">
        <v>1</v>
      </c>
      <c r="L53">
        <v>100</v>
      </c>
      <c r="M53">
        <v>0</v>
      </c>
      <c r="N53">
        <v>100</v>
      </c>
      <c r="O53">
        <v>100</v>
      </c>
      <c r="P53" t="s">
        <v>2269</v>
      </c>
      <c r="Q53" t="s">
        <v>2270</v>
      </c>
      <c r="R53" t="s">
        <v>2276</v>
      </c>
      <c r="S53" t="s">
        <v>2283</v>
      </c>
      <c r="T53" t="s">
        <v>2289</v>
      </c>
      <c r="V53">
        <v>381</v>
      </c>
      <c r="X53">
        <v>45.72</v>
      </c>
      <c r="Y53">
        <v>54.28</v>
      </c>
      <c r="Z53" t="s">
        <v>2291</v>
      </c>
      <c r="AA53" t="s">
        <v>2299</v>
      </c>
      <c r="AB53">
        <v>100</v>
      </c>
      <c r="AC53">
        <v>0</v>
      </c>
      <c r="AD53">
        <v>100</v>
      </c>
      <c r="AE53">
        <v>45.72</v>
      </c>
      <c r="AF53">
        <v>54.28</v>
      </c>
      <c r="AG53">
        <v>2024</v>
      </c>
      <c r="AH53">
        <v>12</v>
      </c>
      <c r="AI53" t="s">
        <v>2309</v>
      </c>
      <c r="AJ53" t="s">
        <v>2312</v>
      </c>
    </row>
    <row r="54" spans="1:36" x14ac:dyDescent="0.3">
      <c r="A54" t="s">
        <v>88</v>
      </c>
      <c r="B54" s="2">
        <v>45541</v>
      </c>
      <c r="C54" t="s">
        <v>1647</v>
      </c>
      <c r="D54" t="s">
        <v>1758</v>
      </c>
      <c r="E54" t="s">
        <v>1988</v>
      </c>
      <c r="F54" t="s">
        <v>2240</v>
      </c>
      <c r="G54" t="s">
        <v>2248</v>
      </c>
      <c r="H54" t="s">
        <v>2257</v>
      </c>
      <c r="I54" t="s">
        <v>2262</v>
      </c>
      <c r="J54" t="s">
        <v>2264</v>
      </c>
      <c r="K54">
        <v>3</v>
      </c>
      <c r="L54">
        <v>150</v>
      </c>
      <c r="M54">
        <v>0</v>
      </c>
      <c r="N54">
        <v>450</v>
      </c>
      <c r="O54">
        <v>450</v>
      </c>
      <c r="P54" t="s">
        <v>2269</v>
      </c>
      <c r="Q54" t="s">
        <v>2270</v>
      </c>
      <c r="R54" t="s">
        <v>2275</v>
      </c>
      <c r="S54" t="s">
        <v>2286</v>
      </c>
      <c r="T54" t="s">
        <v>2288</v>
      </c>
      <c r="V54">
        <v>490</v>
      </c>
      <c r="W54">
        <v>29</v>
      </c>
      <c r="X54">
        <v>67.63</v>
      </c>
      <c r="Y54">
        <v>247.11</v>
      </c>
      <c r="Z54" t="s">
        <v>2293</v>
      </c>
      <c r="AA54" t="s">
        <v>2299</v>
      </c>
      <c r="AB54">
        <v>450</v>
      </c>
      <c r="AC54">
        <v>0</v>
      </c>
      <c r="AD54">
        <v>450</v>
      </c>
      <c r="AE54">
        <v>202.89</v>
      </c>
      <c r="AF54">
        <v>247.11</v>
      </c>
      <c r="AG54">
        <v>2024</v>
      </c>
      <c r="AH54">
        <v>9</v>
      </c>
      <c r="AI54" t="s">
        <v>2300</v>
      </c>
      <c r="AJ54" t="s">
        <v>2315</v>
      </c>
    </row>
    <row r="55" spans="1:36" x14ac:dyDescent="0.3">
      <c r="A55" t="s">
        <v>89</v>
      </c>
      <c r="B55" s="2">
        <v>45348</v>
      </c>
      <c r="C55" t="s">
        <v>1673</v>
      </c>
      <c r="D55" t="s">
        <v>1785</v>
      </c>
      <c r="E55" t="s">
        <v>1975</v>
      </c>
      <c r="F55" t="s">
        <v>2238</v>
      </c>
      <c r="G55" t="s">
        <v>2241</v>
      </c>
      <c r="H55" t="s">
        <v>2257</v>
      </c>
      <c r="I55" t="s">
        <v>2262</v>
      </c>
      <c r="K55">
        <v>3</v>
      </c>
      <c r="L55">
        <v>140</v>
      </c>
      <c r="M55">
        <v>0.1</v>
      </c>
      <c r="N55">
        <v>420</v>
      </c>
      <c r="O55">
        <v>378</v>
      </c>
      <c r="P55" t="s">
        <v>2269</v>
      </c>
      <c r="Q55" t="s">
        <v>2270</v>
      </c>
      <c r="R55" t="s">
        <v>2278</v>
      </c>
      <c r="S55" t="s">
        <v>2285</v>
      </c>
      <c r="T55" t="s">
        <v>2288</v>
      </c>
      <c r="U55">
        <v>2</v>
      </c>
      <c r="V55">
        <v>385</v>
      </c>
      <c r="W55">
        <v>54</v>
      </c>
      <c r="X55">
        <v>68.28</v>
      </c>
      <c r="Y55">
        <v>173.16</v>
      </c>
      <c r="Z55" t="s">
        <v>1761</v>
      </c>
      <c r="AA55" t="s">
        <v>2299</v>
      </c>
      <c r="AB55">
        <v>420</v>
      </c>
      <c r="AC55">
        <v>42</v>
      </c>
      <c r="AD55">
        <v>378</v>
      </c>
      <c r="AE55">
        <v>204.84</v>
      </c>
      <c r="AF55">
        <v>173.16</v>
      </c>
      <c r="AG55">
        <v>2024</v>
      </c>
      <c r="AH55">
        <v>2</v>
      </c>
      <c r="AI55" t="s">
        <v>2303</v>
      </c>
      <c r="AJ55" t="s">
        <v>2314</v>
      </c>
    </row>
    <row r="56" spans="1:36" x14ac:dyDescent="0.3">
      <c r="A56" t="s">
        <v>90</v>
      </c>
      <c r="B56" s="2">
        <v>45388</v>
      </c>
      <c r="C56" t="s">
        <v>1676</v>
      </c>
      <c r="D56" t="s">
        <v>1786</v>
      </c>
      <c r="E56" t="s">
        <v>1989</v>
      </c>
      <c r="F56" t="s">
        <v>1761</v>
      </c>
      <c r="G56" t="s">
        <v>2256</v>
      </c>
      <c r="H56" t="s">
        <v>2261</v>
      </c>
      <c r="I56" t="s">
        <v>2260</v>
      </c>
      <c r="J56" t="s">
        <v>2265</v>
      </c>
      <c r="K56">
        <v>1</v>
      </c>
      <c r="L56">
        <v>190</v>
      </c>
      <c r="M56">
        <v>0.1</v>
      </c>
      <c r="N56">
        <v>190</v>
      </c>
      <c r="O56">
        <v>171</v>
      </c>
      <c r="P56" t="s">
        <v>2268</v>
      </c>
      <c r="Q56" t="s">
        <v>2272</v>
      </c>
      <c r="R56" t="s">
        <v>2279</v>
      </c>
      <c r="S56" t="s">
        <v>2286</v>
      </c>
      <c r="T56" t="s">
        <v>2288</v>
      </c>
      <c r="U56">
        <v>5</v>
      </c>
      <c r="V56">
        <v>379</v>
      </c>
      <c r="W56">
        <v>43</v>
      </c>
      <c r="X56">
        <v>72.86</v>
      </c>
      <c r="Y56">
        <v>98.14</v>
      </c>
      <c r="Z56" t="s">
        <v>1761</v>
      </c>
      <c r="AA56" t="s">
        <v>2297</v>
      </c>
      <c r="AB56">
        <v>190</v>
      </c>
      <c r="AC56">
        <v>19</v>
      </c>
      <c r="AD56">
        <v>171</v>
      </c>
      <c r="AE56">
        <v>72.86</v>
      </c>
      <c r="AF56">
        <v>98.14</v>
      </c>
      <c r="AG56">
        <v>2024</v>
      </c>
      <c r="AH56">
        <v>4</v>
      </c>
      <c r="AI56" t="s">
        <v>2308</v>
      </c>
      <c r="AJ56" t="s">
        <v>2317</v>
      </c>
    </row>
    <row r="57" spans="1:36" x14ac:dyDescent="0.3">
      <c r="A57" t="s">
        <v>91</v>
      </c>
      <c r="B57" s="2">
        <v>45407</v>
      </c>
      <c r="C57" t="s">
        <v>1663</v>
      </c>
      <c r="D57" t="s">
        <v>1747</v>
      </c>
      <c r="E57" t="s">
        <v>1990</v>
      </c>
      <c r="F57" t="s">
        <v>1761</v>
      </c>
      <c r="G57" t="s">
        <v>2256</v>
      </c>
      <c r="H57" t="s">
        <v>2261</v>
      </c>
      <c r="I57" t="s">
        <v>2260</v>
      </c>
      <c r="K57">
        <v>1</v>
      </c>
      <c r="L57">
        <v>190</v>
      </c>
      <c r="M57">
        <v>0</v>
      </c>
      <c r="N57">
        <v>190</v>
      </c>
      <c r="O57">
        <v>190</v>
      </c>
      <c r="P57" t="s">
        <v>2269</v>
      </c>
      <c r="Q57" t="s">
        <v>2271</v>
      </c>
      <c r="R57" t="s">
        <v>2279</v>
      </c>
      <c r="S57" t="s">
        <v>2284</v>
      </c>
      <c r="T57" t="s">
        <v>2288</v>
      </c>
      <c r="U57">
        <v>2</v>
      </c>
      <c r="V57">
        <v>114</v>
      </c>
      <c r="W57">
        <v>52</v>
      </c>
      <c r="X57">
        <v>69.97</v>
      </c>
      <c r="Y57">
        <v>120.03</v>
      </c>
      <c r="Z57" t="s">
        <v>2293</v>
      </c>
      <c r="AA57" t="s">
        <v>2299</v>
      </c>
      <c r="AB57">
        <v>190</v>
      </c>
      <c r="AC57">
        <v>0</v>
      </c>
      <c r="AD57">
        <v>190</v>
      </c>
      <c r="AE57">
        <v>69.97</v>
      </c>
      <c r="AF57">
        <v>120.03</v>
      </c>
      <c r="AG57">
        <v>2024</v>
      </c>
      <c r="AH57">
        <v>4</v>
      </c>
      <c r="AI57" t="s">
        <v>2308</v>
      </c>
      <c r="AJ57" t="s">
        <v>2316</v>
      </c>
    </row>
    <row r="58" spans="1:36" x14ac:dyDescent="0.3">
      <c r="A58" t="s">
        <v>92</v>
      </c>
      <c r="B58" s="2">
        <v>45337</v>
      </c>
      <c r="C58" t="s">
        <v>1677</v>
      </c>
      <c r="D58" t="s">
        <v>1749</v>
      </c>
      <c r="E58" t="s">
        <v>1991</v>
      </c>
      <c r="F58" t="s">
        <v>1761</v>
      </c>
      <c r="G58" t="s">
        <v>2252</v>
      </c>
      <c r="H58" t="s">
        <v>2257</v>
      </c>
      <c r="I58" t="s">
        <v>2262</v>
      </c>
      <c r="J58" t="s">
        <v>2266</v>
      </c>
      <c r="K58">
        <v>1</v>
      </c>
      <c r="L58">
        <v>85</v>
      </c>
      <c r="M58">
        <v>0</v>
      </c>
      <c r="N58">
        <v>85</v>
      </c>
      <c r="O58">
        <v>85</v>
      </c>
      <c r="P58" t="s">
        <v>2269</v>
      </c>
      <c r="Q58" t="s">
        <v>2272</v>
      </c>
      <c r="R58" t="s">
        <v>2274</v>
      </c>
      <c r="S58" t="s">
        <v>2283</v>
      </c>
      <c r="T58" t="s">
        <v>2289</v>
      </c>
      <c r="U58">
        <v>3</v>
      </c>
      <c r="V58">
        <v>382</v>
      </c>
      <c r="W58">
        <v>12</v>
      </c>
      <c r="X58">
        <v>39.6</v>
      </c>
      <c r="Y58">
        <v>45.4</v>
      </c>
      <c r="Z58" t="s">
        <v>2293</v>
      </c>
      <c r="AA58" t="s">
        <v>2299</v>
      </c>
      <c r="AB58">
        <v>85</v>
      </c>
      <c r="AC58">
        <v>0</v>
      </c>
      <c r="AD58">
        <v>85</v>
      </c>
      <c r="AE58">
        <v>39.6</v>
      </c>
      <c r="AF58">
        <v>45.4</v>
      </c>
      <c r="AG58">
        <v>2024</v>
      </c>
      <c r="AH58">
        <v>2</v>
      </c>
      <c r="AI58" t="s">
        <v>2303</v>
      </c>
      <c r="AJ58" t="s">
        <v>2316</v>
      </c>
    </row>
    <row r="59" spans="1:36" x14ac:dyDescent="0.3">
      <c r="A59" t="s">
        <v>93</v>
      </c>
      <c r="B59" s="2">
        <v>45372</v>
      </c>
      <c r="C59" t="s">
        <v>1678</v>
      </c>
      <c r="D59" t="s">
        <v>1787</v>
      </c>
      <c r="E59" t="s">
        <v>1992</v>
      </c>
      <c r="F59" t="s">
        <v>1761</v>
      </c>
      <c r="G59" t="s">
        <v>2252</v>
      </c>
      <c r="H59" t="s">
        <v>2257</v>
      </c>
      <c r="I59" t="s">
        <v>2262</v>
      </c>
      <c r="J59" t="s">
        <v>2264</v>
      </c>
      <c r="K59">
        <v>1</v>
      </c>
      <c r="L59">
        <v>100</v>
      </c>
      <c r="M59">
        <v>0.1</v>
      </c>
      <c r="N59">
        <v>100</v>
      </c>
      <c r="O59">
        <v>90</v>
      </c>
      <c r="P59" t="s">
        <v>2269</v>
      </c>
      <c r="Q59" t="s">
        <v>2270</v>
      </c>
      <c r="R59" t="s">
        <v>2274</v>
      </c>
      <c r="S59" t="s">
        <v>2285</v>
      </c>
      <c r="T59" t="s">
        <v>2288</v>
      </c>
      <c r="U59">
        <v>2</v>
      </c>
      <c r="V59">
        <v>477</v>
      </c>
      <c r="W59">
        <v>37</v>
      </c>
      <c r="X59">
        <v>43.61</v>
      </c>
      <c r="Y59">
        <v>46.39</v>
      </c>
      <c r="Z59" t="s">
        <v>1761</v>
      </c>
      <c r="AA59" t="s">
        <v>2298</v>
      </c>
      <c r="AB59">
        <v>100</v>
      </c>
      <c r="AC59">
        <v>10</v>
      </c>
      <c r="AD59">
        <v>90</v>
      </c>
      <c r="AE59">
        <v>43.61</v>
      </c>
      <c r="AF59">
        <v>46.39</v>
      </c>
      <c r="AG59">
        <v>2024</v>
      </c>
      <c r="AH59">
        <v>3</v>
      </c>
      <c r="AI59" t="s">
        <v>2305</v>
      </c>
      <c r="AJ59" t="s">
        <v>2316</v>
      </c>
    </row>
    <row r="60" spans="1:36" x14ac:dyDescent="0.3">
      <c r="A60" t="s">
        <v>94</v>
      </c>
      <c r="B60" s="2">
        <v>45428</v>
      </c>
      <c r="C60" t="s">
        <v>1638</v>
      </c>
      <c r="D60" t="s">
        <v>1788</v>
      </c>
      <c r="E60" t="s">
        <v>1993</v>
      </c>
      <c r="F60" t="s">
        <v>2238</v>
      </c>
      <c r="G60" t="s">
        <v>2244</v>
      </c>
      <c r="H60" t="s">
        <v>2257</v>
      </c>
      <c r="I60" t="s">
        <v>2262</v>
      </c>
      <c r="J60" t="s">
        <v>2265</v>
      </c>
      <c r="K60">
        <v>3</v>
      </c>
      <c r="L60">
        <v>125</v>
      </c>
      <c r="N60">
        <v>375</v>
      </c>
      <c r="P60" t="s">
        <v>2267</v>
      </c>
      <c r="Q60" t="s">
        <v>2272</v>
      </c>
      <c r="R60" t="s">
        <v>2278</v>
      </c>
      <c r="S60" t="s">
        <v>2287</v>
      </c>
      <c r="T60" t="s">
        <v>2290</v>
      </c>
      <c r="V60">
        <v>42</v>
      </c>
      <c r="X60">
        <v>66.66</v>
      </c>
      <c r="Z60" t="s">
        <v>1761</v>
      </c>
      <c r="AA60" t="s">
        <v>1761</v>
      </c>
      <c r="AB60">
        <v>375</v>
      </c>
      <c r="AC60">
        <v>0</v>
      </c>
      <c r="AD60">
        <v>375</v>
      </c>
      <c r="AE60">
        <v>199.98</v>
      </c>
      <c r="AF60">
        <v>175.02</v>
      </c>
      <c r="AG60">
        <v>2024</v>
      </c>
      <c r="AH60">
        <v>5</v>
      </c>
      <c r="AI60" t="s">
        <v>2306</v>
      </c>
      <c r="AJ60" t="s">
        <v>2316</v>
      </c>
    </row>
    <row r="61" spans="1:36" x14ac:dyDescent="0.3">
      <c r="A61" t="s">
        <v>95</v>
      </c>
      <c r="B61" s="2">
        <v>45462</v>
      </c>
      <c r="C61" t="s">
        <v>1679</v>
      </c>
      <c r="D61" t="s">
        <v>1789</v>
      </c>
      <c r="E61" t="s">
        <v>1994</v>
      </c>
      <c r="F61" t="s">
        <v>2239</v>
      </c>
      <c r="G61" t="s">
        <v>2249</v>
      </c>
      <c r="H61" t="s">
        <v>2257</v>
      </c>
      <c r="I61" t="s">
        <v>2263</v>
      </c>
      <c r="J61" t="s">
        <v>2264</v>
      </c>
      <c r="K61">
        <v>2</v>
      </c>
      <c r="L61">
        <v>155</v>
      </c>
      <c r="M61">
        <v>0.05</v>
      </c>
      <c r="N61">
        <v>310</v>
      </c>
      <c r="O61">
        <v>294.5</v>
      </c>
      <c r="P61" t="s">
        <v>2267</v>
      </c>
      <c r="R61" t="s">
        <v>2277</v>
      </c>
      <c r="S61" t="s">
        <v>2285</v>
      </c>
      <c r="T61" t="s">
        <v>2289</v>
      </c>
      <c r="U61">
        <v>4</v>
      </c>
      <c r="V61">
        <v>295</v>
      </c>
      <c r="W61">
        <v>46</v>
      </c>
      <c r="X61">
        <v>89.18</v>
      </c>
      <c r="Y61">
        <v>116.14</v>
      </c>
      <c r="Z61" t="s">
        <v>2294</v>
      </c>
      <c r="AA61" t="s">
        <v>2299</v>
      </c>
      <c r="AB61">
        <v>310</v>
      </c>
      <c r="AC61">
        <v>15.5</v>
      </c>
      <c r="AD61">
        <v>294.5</v>
      </c>
      <c r="AE61">
        <v>178.36</v>
      </c>
      <c r="AF61">
        <v>116.14</v>
      </c>
      <c r="AG61">
        <v>2024</v>
      </c>
      <c r="AH61">
        <v>6</v>
      </c>
      <c r="AI61" t="s">
        <v>2304</v>
      </c>
      <c r="AJ61" t="s">
        <v>2312</v>
      </c>
    </row>
    <row r="62" spans="1:36" x14ac:dyDescent="0.3">
      <c r="A62" t="s">
        <v>96</v>
      </c>
      <c r="B62" s="2">
        <v>45438</v>
      </c>
      <c r="C62" t="s">
        <v>1680</v>
      </c>
      <c r="D62" t="s">
        <v>1743</v>
      </c>
      <c r="E62" t="s">
        <v>1995</v>
      </c>
      <c r="F62" t="s">
        <v>2240</v>
      </c>
      <c r="G62" t="s">
        <v>2254</v>
      </c>
      <c r="H62" t="s">
        <v>2259</v>
      </c>
      <c r="I62" t="s">
        <v>2263</v>
      </c>
      <c r="J62" t="s">
        <v>2265</v>
      </c>
      <c r="K62">
        <v>1</v>
      </c>
      <c r="L62">
        <v>110</v>
      </c>
      <c r="M62">
        <v>0.1</v>
      </c>
      <c r="N62">
        <v>110</v>
      </c>
      <c r="O62">
        <v>99</v>
      </c>
      <c r="P62" t="s">
        <v>2269</v>
      </c>
      <c r="R62" t="s">
        <v>2274</v>
      </c>
      <c r="S62" t="s">
        <v>2284</v>
      </c>
      <c r="T62" t="s">
        <v>2288</v>
      </c>
      <c r="U62">
        <v>2</v>
      </c>
      <c r="V62">
        <v>54</v>
      </c>
      <c r="W62">
        <v>39</v>
      </c>
      <c r="X62">
        <v>38.840000000000003</v>
      </c>
      <c r="Y62">
        <v>60.16</v>
      </c>
      <c r="Z62" t="s">
        <v>2293</v>
      </c>
      <c r="AA62" t="s">
        <v>2297</v>
      </c>
      <c r="AB62">
        <v>110</v>
      </c>
      <c r="AC62">
        <v>11</v>
      </c>
      <c r="AD62">
        <v>99</v>
      </c>
      <c r="AE62">
        <v>38.840000000000003</v>
      </c>
      <c r="AF62">
        <v>60.16</v>
      </c>
      <c r="AG62">
        <v>2024</v>
      </c>
      <c r="AH62">
        <v>5</v>
      </c>
      <c r="AI62" t="s">
        <v>2306</v>
      </c>
      <c r="AJ62" t="s">
        <v>2318</v>
      </c>
    </row>
    <row r="63" spans="1:36" x14ac:dyDescent="0.3">
      <c r="A63" t="s">
        <v>97</v>
      </c>
      <c r="B63" s="2">
        <v>45564</v>
      </c>
      <c r="C63" t="s">
        <v>1639</v>
      </c>
      <c r="D63" t="s">
        <v>1790</v>
      </c>
      <c r="E63" t="s">
        <v>1996</v>
      </c>
      <c r="F63" t="s">
        <v>2239</v>
      </c>
      <c r="G63" t="s">
        <v>2255</v>
      </c>
      <c r="H63" t="s">
        <v>2260</v>
      </c>
      <c r="I63" t="s">
        <v>2260</v>
      </c>
      <c r="J63" t="s">
        <v>2264</v>
      </c>
      <c r="K63">
        <v>2</v>
      </c>
      <c r="L63">
        <v>175</v>
      </c>
      <c r="M63">
        <v>0</v>
      </c>
      <c r="N63">
        <v>350</v>
      </c>
      <c r="O63">
        <v>350</v>
      </c>
      <c r="P63" t="s">
        <v>2268</v>
      </c>
      <c r="R63" t="s">
        <v>2279</v>
      </c>
      <c r="S63" t="s">
        <v>2280</v>
      </c>
      <c r="T63" t="s">
        <v>2289</v>
      </c>
      <c r="V63">
        <v>155</v>
      </c>
      <c r="W63">
        <v>25</v>
      </c>
      <c r="X63">
        <v>85.63</v>
      </c>
      <c r="Y63">
        <v>178.74</v>
      </c>
      <c r="Z63" t="s">
        <v>1761</v>
      </c>
      <c r="AA63" t="s">
        <v>1761</v>
      </c>
      <c r="AB63">
        <v>350</v>
      </c>
      <c r="AC63">
        <v>0</v>
      </c>
      <c r="AD63">
        <v>350</v>
      </c>
      <c r="AE63">
        <v>171.26</v>
      </c>
      <c r="AF63">
        <v>178.74</v>
      </c>
      <c r="AG63">
        <v>2024</v>
      </c>
      <c r="AH63">
        <v>9</v>
      </c>
      <c r="AI63" t="s">
        <v>2300</v>
      </c>
      <c r="AJ63" t="s">
        <v>2318</v>
      </c>
    </row>
    <row r="64" spans="1:36" x14ac:dyDescent="0.3">
      <c r="A64" t="s">
        <v>98</v>
      </c>
      <c r="B64" s="2">
        <v>45574</v>
      </c>
      <c r="C64" t="s">
        <v>1637</v>
      </c>
      <c r="D64" t="s">
        <v>1791</v>
      </c>
      <c r="E64" t="s">
        <v>1761</v>
      </c>
      <c r="F64" t="s">
        <v>2240</v>
      </c>
      <c r="G64" t="s">
        <v>2246</v>
      </c>
      <c r="H64" t="s">
        <v>2259</v>
      </c>
      <c r="I64" t="s">
        <v>2262</v>
      </c>
      <c r="J64" t="s">
        <v>2264</v>
      </c>
      <c r="K64">
        <v>1</v>
      </c>
      <c r="L64">
        <v>90</v>
      </c>
      <c r="M64">
        <v>0.05</v>
      </c>
      <c r="N64">
        <v>90</v>
      </c>
      <c r="O64">
        <v>85.5</v>
      </c>
      <c r="P64" t="s">
        <v>2267</v>
      </c>
      <c r="Q64" t="s">
        <v>2270</v>
      </c>
      <c r="R64" t="s">
        <v>2279</v>
      </c>
      <c r="S64" t="s">
        <v>2284</v>
      </c>
      <c r="T64" t="s">
        <v>2288</v>
      </c>
      <c r="V64">
        <v>54</v>
      </c>
      <c r="X64">
        <v>36.869999999999997</v>
      </c>
      <c r="Y64">
        <v>48.63</v>
      </c>
      <c r="Z64" t="s">
        <v>2291</v>
      </c>
      <c r="AA64" t="s">
        <v>2296</v>
      </c>
      <c r="AB64">
        <v>90</v>
      </c>
      <c r="AC64">
        <v>4.5</v>
      </c>
      <c r="AD64">
        <v>85.5</v>
      </c>
      <c r="AE64">
        <v>36.869999999999997</v>
      </c>
      <c r="AF64">
        <v>48.63</v>
      </c>
      <c r="AG64">
        <v>2024</v>
      </c>
      <c r="AH64">
        <v>10</v>
      </c>
      <c r="AI64" t="s">
        <v>2310</v>
      </c>
      <c r="AJ64" t="s">
        <v>2312</v>
      </c>
    </row>
    <row r="65" spans="1:36" x14ac:dyDescent="0.3">
      <c r="A65" t="s">
        <v>99</v>
      </c>
      <c r="B65" s="2">
        <v>45510</v>
      </c>
      <c r="C65" t="s">
        <v>1681</v>
      </c>
      <c r="D65" t="s">
        <v>1792</v>
      </c>
      <c r="E65" t="s">
        <v>1997</v>
      </c>
      <c r="F65" t="s">
        <v>2238</v>
      </c>
      <c r="G65" t="s">
        <v>2252</v>
      </c>
      <c r="H65" t="s">
        <v>2257</v>
      </c>
      <c r="I65" t="s">
        <v>2262</v>
      </c>
      <c r="J65" t="s">
        <v>2264</v>
      </c>
      <c r="K65">
        <v>1</v>
      </c>
      <c r="L65">
        <v>90</v>
      </c>
      <c r="M65">
        <v>0</v>
      </c>
      <c r="N65">
        <v>90</v>
      </c>
      <c r="O65">
        <v>90</v>
      </c>
      <c r="P65" t="s">
        <v>2269</v>
      </c>
      <c r="Q65" t="s">
        <v>2271</v>
      </c>
      <c r="R65" t="s">
        <v>2278</v>
      </c>
      <c r="S65" t="s">
        <v>2286</v>
      </c>
      <c r="T65" t="s">
        <v>2288</v>
      </c>
      <c r="U65">
        <v>3</v>
      </c>
      <c r="V65">
        <v>133</v>
      </c>
      <c r="X65">
        <v>44.61</v>
      </c>
      <c r="Y65">
        <v>45.39</v>
      </c>
      <c r="Z65" t="s">
        <v>2293</v>
      </c>
      <c r="AA65" t="s">
        <v>2298</v>
      </c>
      <c r="AB65">
        <v>90</v>
      </c>
      <c r="AC65">
        <v>0</v>
      </c>
      <c r="AD65">
        <v>90</v>
      </c>
      <c r="AE65">
        <v>44.61</v>
      </c>
      <c r="AF65">
        <v>45.39</v>
      </c>
      <c r="AG65">
        <v>2024</v>
      </c>
      <c r="AH65">
        <v>8</v>
      </c>
      <c r="AI65" t="s">
        <v>2301</v>
      </c>
      <c r="AJ65" t="s">
        <v>2313</v>
      </c>
    </row>
    <row r="66" spans="1:36" x14ac:dyDescent="0.3">
      <c r="A66" t="s">
        <v>100</v>
      </c>
      <c r="B66" s="2">
        <v>45339</v>
      </c>
      <c r="C66" t="s">
        <v>1682</v>
      </c>
      <c r="D66" t="s">
        <v>1793</v>
      </c>
      <c r="E66" t="s">
        <v>1998</v>
      </c>
      <c r="F66" t="s">
        <v>2240</v>
      </c>
      <c r="G66" t="s">
        <v>2251</v>
      </c>
      <c r="H66" t="s">
        <v>2258</v>
      </c>
      <c r="I66" t="s">
        <v>2260</v>
      </c>
      <c r="J66" t="s">
        <v>2265</v>
      </c>
      <c r="K66">
        <v>1</v>
      </c>
      <c r="L66">
        <v>100</v>
      </c>
      <c r="M66">
        <v>0.05</v>
      </c>
      <c r="N66">
        <v>100</v>
      </c>
      <c r="O66">
        <v>95</v>
      </c>
      <c r="P66" t="s">
        <v>2269</v>
      </c>
      <c r="Q66" t="s">
        <v>2271</v>
      </c>
      <c r="R66" t="s">
        <v>2279</v>
      </c>
      <c r="S66" t="s">
        <v>2287</v>
      </c>
      <c r="T66" t="s">
        <v>2288</v>
      </c>
      <c r="U66">
        <v>5</v>
      </c>
      <c r="V66">
        <v>100</v>
      </c>
      <c r="X66">
        <v>48.18</v>
      </c>
      <c r="Y66">
        <v>46.82</v>
      </c>
      <c r="Z66" t="s">
        <v>2293</v>
      </c>
      <c r="AA66" t="s">
        <v>2298</v>
      </c>
      <c r="AB66">
        <v>100</v>
      </c>
      <c r="AC66">
        <v>5</v>
      </c>
      <c r="AD66">
        <v>95</v>
      </c>
      <c r="AE66">
        <v>48.18</v>
      </c>
      <c r="AF66">
        <v>46.82</v>
      </c>
      <c r="AG66">
        <v>2024</v>
      </c>
      <c r="AH66">
        <v>2</v>
      </c>
      <c r="AI66" t="s">
        <v>2303</v>
      </c>
      <c r="AJ66" t="s">
        <v>2317</v>
      </c>
    </row>
    <row r="67" spans="1:36" x14ac:dyDescent="0.3">
      <c r="A67" t="s">
        <v>101</v>
      </c>
      <c r="B67" s="2">
        <v>45421</v>
      </c>
      <c r="C67" t="s">
        <v>1683</v>
      </c>
      <c r="D67" t="s">
        <v>1794</v>
      </c>
      <c r="E67" t="s">
        <v>1974</v>
      </c>
      <c r="F67" t="s">
        <v>2240</v>
      </c>
      <c r="G67" t="s">
        <v>2245</v>
      </c>
      <c r="H67" t="s">
        <v>2257</v>
      </c>
      <c r="I67" t="s">
        <v>2263</v>
      </c>
      <c r="J67" t="s">
        <v>2266</v>
      </c>
      <c r="K67">
        <v>3</v>
      </c>
      <c r="L67">
        <v>155</v>
      </c>
      <c r="M67">
        <v>0</v>
      </c>
      <c r="N67">
        <v>465</v>
      </c>
      <c r="O67">
        <v>465</v>
      </c>
      <c r="P67" t="s">
        <v>2269</v>
      </c>
      <c r="Q67" t="s">
        <v>2271</v>
      </c>
      <c r="R67" t="s">
        <v>2276</v>
      </c>
      <c r="S67" t="s">
        <v>2287</v>
      </c>
      <c r="T67" t="s">
        <v>2289</v>
      </c>
      <c r="U67">
        <v>3</v>
      </c>
      <c r="V67">
        <v>497</v>
      </c>
      <c r="W67">
        <v>53</v>
      </c>
      <c r="X67">
        <v>81.260000000000005</v>
      </c>
      <c r="Y67">
        <v>221.22</v>
      </c>
      <c r="Z67" t="s">
        <v>2294</v>
      </c>
      <c r="AA67" t="s">
        <v>2298</v>
      </c>
      <c r="AB67">
        <v>465</v>
      </c>
      <c r="AC67">
        <v>0</v>
      </c>
      <c r="AD67">
        <v>465</v>
      </c>
      <c r="AE67">
        <v>243.78</v>
      </c>
      <c r="AF67">
        <v>221.22</v>
      </c>
      <c r="AG67">
        <v>2024</v>
      </c>
      <c r="AH67">
        <v>5</v>
      </c>
      <c r="AI67" t="s">
        <v>2306</v>
      </c>
      <c r="AJ67" t="s">
        <v>2316</v>
      </c>
    </row>
    <row r="68" spans="1:36" x14ac:dyDescent="0.3">
      <c r="A68" t="s">
        <v>102</v>
      </c>
      <c r="B68" s="2">
        <v>45413</v>
      </c>
      <c r="C68" t="s">
        <v>1684</v>
      </c>
      <c r="D68" t="s">
        <v>1771</v>
      </c>
      <c r="E68" t="s">
        <v>1963</v>
      </c>
      <c r="F68" t="s">
        <v>2238</v>
      </c>
      <c r="G68" t="s">
        <v>2242</v>
      </c>
      <c r="H68" t="s">
        <v>2258</v>
      </c>
      <c r="I68" t="s">
        <v>2260</v>
      </c>
      <c r="J68" t="s">
        <v>2265</v>
      </c>
      <c r="K68">
        <v>1</v>
      </c>
      <c r="L68">
        <v>120</v>
      </c>
      <c r="M68">
        <v>0.15</v>
      </c>
      <c r="N68">
        <v>120</v>
      </c>
      <c r="O68">
        <v>102</v>
      </c>
      <c r="Q68" t="s">
        <v>2271</v>
      </c>
      <c r="R68" t="s">
        <v>2273</v>
      </c>
      <c r="S68" t="s">
        <v>2284</v>
      </c>
      <c r="T68" t="s">
        <v>2289</v>
      </c>
      <c r="U68">
        <v>4</v>
      </c>
      <c r="W68">
        <v>17</v>
      </c>
      <c r="X68">
        <v>52.2</v>
      </c>
      <c r="Y68">
        <v>49.8</v>
      </c>
      <c r="Z68" t="s">
        <v>1761</v>
      </c>
      <c r="AA68" t="s">
        <v>2297</v>
      </c>
      <c r="AB68">
        <v>120</v>
      </c>
      <c r="AC68">
        <v>18</v>
      </c>
      <c r="AD68">
        <v>102</v>
      </c>
      <c r="AE68">
        <v>52.2</v>
      </c>
      <c r="AF68">
        <v>49.8</v>
      </c>
      <c r="AG68">
        <v>2024</v>
      </c>
      <c r="AH68">
        <v>5</v>
      </c>
      <c r="AI68" t="s">
        <v>2306</v>
      </c>
      <c r="AJ68" t="s">
        <v>2312</v>
      </c>
    </row>
    <row r="69" spans="1:36" x14ac:dyDescent="0.3">
      <c r="A69" t="s">
        <v>103</v>
      </c>
      <c r="B69" s="2">
        <v>45308</v>
      </c>
      <c r="C69" t="s">
        <v>1685</v>
      </c>
      <c r="D69" t="s">
        <v>1795</v>
      </c>
      <c r="E69" t="s">
        <v>1999</v>
      </c>
      <c r="F69" t="s">
        <v>2240</v>
      </c>
      <c r="G69" t="s">
        <v>2246</v>
      </c>
      <c r="H69" t="s">
        <v>2259</v>
      </c>
      <c r="I69" t="s">
        <v>2262</v>
      </c>
      <c r="K69">
        <v>1</v>
      </c>
      <c r="L69">
        <v>95</v>
      </c>
      <c r="N69">
        <v>95</v>
      </c>
      <c r="P69" t="s">
        <v>2267</v>
      </c>
      <c r="Q69" t="s">
        <v>2272</v>
      </c>
      <c r="R69" t="s">
        <v>2279</v>
      </c>
      <c r="S69" t="s">
        <v>2281</v>
      </c>
      <c r="T69" t="s">
        <v>2290</v>
      </c>
      <c r="V69">
        <v>499</v>
      </c>
      <c r="X69">
        <v>43.29</v>
      </c>
      <c r="Z69" t="s">
        <v>2294</v>
      </c>
      <c r="AA69" t="s">
        <v>2298</v>
      </c>
      <c r="AB69">
        <v>95</v>
      </c>
      <c r="AC69">
        <v>0</v>
      </c>
      <c r="AD69">
        <v>95</v>
      </c>
      <c r="AE69">
        <v>43.29</v>
      </c>
      <c r="AF69">
        <v>51.71</v>
      </c>
      <c r="AG69">
        <v>2024</v>
      </c>
      <c r="AH69">
        <v>1</v>
      </c>
      <c r="AI69" t="s">
        <v>2302</v>
      </c>
      <c r="AJ69" t="s">
        <v>2312</v>
      </c>
    </row>
    <row r="70" spans="1:36" x14ac:dyDescent="0.3">
      <c r="A70" t="s">
        <v>104</v>
      </c>
      <c r="B70" s="2">
        <v>45395</v>
      </c>
      <c r="C70" t="s">
        <v>1686</v>
      </c>
      <c r="D70" t="s">
        <v>1796</v>
      </c>
      <c r="E70" t="s">
        <v>2000</v>
      </c>
      <c r="F70" t="s">
        <v>2238</v>
      </c>
      <c r="G70" t="s">
        <v>2255</v>
      </c>
      <c r="H70" t="s">
        <v>2260</v>
      </c>
      <c r="I70" t="s">
        <v>2260</v>
      </c>
      <c r="J70" t="s">
        <v>2265</v>
      </c>
      <c r="K70">
        <v>2</v>
      </c>
      <c r="L70">
        <v>190</v>
      </c>
      <c r="M70">
        <v>0</v>
      </c>
      <c r="N70">
        <v>380</v>
      </c>
      <c r="O70">
        <v>380</v>
      </c>
      <c r="P70" t="s">
        <v>2269</v>
      </c>
      <c r="Q70" t="s">
        <v>2272</v>
      </c>
      <c r="R70" t="s">
        <v>2276</v>
      </c>
      <c r="S70" t="s">
        <v>2281</v>
      </c>
      <c r="T70" t="s">
        <v>2290</v>
      </c>
      <c r="U70">
        <v>2</v>
      </c>
      <c r="V70">
        <v>264</v>
      </c>
      <c r="W70">
        <v>36</v>
      </c>
      <c r="X70">
        <v>102.32</v>
      </c>
      <c r="Y70">
        <v>175.36</v>
      </c>
      <c r="Z70" t="s">
        <v>2293</v>
      </c>
      <c r="AA70" t="s">
        <v>2296</v>
      </c>
      <c r="AB70">
        <v>380</v>
      </c>
      <c r="AC70">
        <v>0</v>
      </c>
      <c r="AD70">
        <v>380</v>
      </c>
      <c r="AE70">
        <v>204.64</v>
      </c>
      <c r="AF70">
        <v>175.36</v>
      </c>
      <c r="AG70">
        <v>2024</v>
      </c>
      <c r="AH70">
        <v>4</v>
      </c>
      <c r="AI70" t="s">
        <v>2308</v>
      </c>
      <c r="AJ70" t="s">
        <v>2317</v>
      </c>
    </row>
    <row r="71" spans="1:36" x14ac:dyDescent="0.3">
      <c r="A71" t="s">
        <v>105</v>
      </c>
      <c r="B71" s="2">
        <v>45439</v>
      </c>
      <c r="C71" t="s">
        <v>1687</v>
      </c>
      <c r="D71" t="s">
        <v>1797</v>
      </c>
      <c r="E71" t="s">
        <v>2001</v>
      </c>
      <c r="F71" t="s">
        <v>2239</v>
      </c>
      <c r="G71" t="s">
        <v>2256</v>
      </c>
      <c r="H71" t="s">
        <v>2261</v>
      </c>
      <c r="I71" t="s">
        <v>2260</v>
      </c>
      <c r="J71" t="s">
        <v>2264</v>
      </c>
      <c r="K71">
        <v>1</v>
      </c>
      <c r="L71">
        <v>200</v>
      </c>
      <c r="M71">
        <v>0</v>
      </c>
      <c r="N71">
        <v>200</v>
      </c>
      <c r="O71">
        <v>200</v>
      </c>
      <c r="P71" t="s">
        <v>2269</v>
      </c>
      <c r="R71" t="s">
        <v>2273</v>
      </c>
      <c r="S71" t="s">
        <v>2281</v>
      </c>
      <c r="T71" t="s">
        <v>2288</v>
      </c>
      <c r="U71">
        <v>4</v>
      </c>
      <c r="V71">
        <v>144</v>
      </c>
      <c r="W71">
        <v>14</v>
      </c>
      <c r="X71">
        <v>103.06</v>
      </c>
      <c r="Y71">
        <v>96.94</v>
      </c>
      <c r="Z71" t="s">
        <v>2293</v>
      </c>
      <c r="AA71" t="s">
        <v>2296</v>
      </c>
      <c r="AB71">
        <v>200</v>
      </c>
      <c r="AC71">
        <v>0</v>
      </c>
      <c r="AD71">
        <v>200</v>
      </c>
      <c r="AE71">
        <v>103.06</v>
      </c>
      <c r="AF71">
        <v>96.94</v>
      </c>
      <c r="AG71">
        <v>2024</v>
      </c>
      <c r="AH71">
        <v>5</v>
      </c>
      <c r="AI71" t="s">
        <v>2306</v>
      </c>
      <c r="AJ71" t="s">
        <v>2314</v>
      </c>
    </row>
    <row r="72" spans="1:36" x14ac:dyDescent="0.3">
      <c r="A72" t="s">
        <v>106</v>
      </c>
      <c r="B72" s="2">
        <v>45597</v>
      </c>
      <c r="C72" t="s">
        <v>1688</v>
      </c>
      <c r="D72" t="s">
        <v>1798</v>
      </c>
      <c r="E72" t="s">
        <v>2002</v>
      </c>
      <c r="F72" t="s">
        <v>2240</v>
      </c>
      <c r="G72" t="s">
        <v>2245</v>
      </c>
      <c r="H72" t="s">
        <v>2257</v>
      </c>
      <c r="I72" t="s">
        <v>2263</v>
      </c>
      <c r="J72" t="s">
        <v>2266</v>
      </c>
      <c r="K72">
        <v>1</v>
      </c>
      <c r="L72">
        <v>160</v>
      </c>
      <c r="M72">
        <v>0.1</v>
      </c>
      <c r="N72">
        <v>160</v>
      </c>
      <c r="O72">
        <v>144</v>
      </c>
      <c r="P72" t="s">
        <v>2269</v>
      </c>
      <c r="Q72" t="s">
        <v>2272</v>
      </c>
      <c r="R72" t="s">
        <v>2277</v>
      </c>
      <c r="S72" t="s">
        <v>2282</v>
      </c>
      <c r="T72" t="s">
        <v>2288</v>
      </c>
      <c r="U72">
        <v>2</v>
      </c>
      <c r="V72">
        <v>111</v>
      </c>
      <c r="W72">
        <v>12</v>
      </c>
      <c r="X72">
        <v>71.25</v>
      </c>
      <c r="Y72">
        <v>72.75</v>
      </c>
      <c r="Z72" t="s">
        <v>2293</v>
      </c>
      <c r="AA72" t="s">
        <v>2296</v>
      </c>
      <c r="AB72">
        <v>160</v>
      </c>
      <c r="AC72">
        <v>16</v>
      </c>
      <c r="AD72">
        <v>144</v>
      </c>
      <c r="AE72">
        <v>71.25</v>
      </c>
      <c r="AF72">
        <v>72.75</v>
      </c>
      <c r="AG72">
        <v>2024</v>
      </c>
      <c r="AH72">
        <v>11</v>
      </c>
      <c r="AI72" t="s">
        <v>2311</v>
      </c>
      <c r="AJ72" t="s">
        <v>2315</v>
      </c>
    </row>
    <row r="73" spans="1:36" x14ac:dyDescent="0.3">
      <c r="A73" t="s">
        <v>107</v>
      </c>
      <c r="B73" s="2">
        <v>45438</v>
      </c>
      <c r="C73" t="s">
        <v>1689</v>
      </c>
      <c r="D73" t="s">
        <v>1799</v>
      </c>
      <c r="E73" t="s">
        <v>2003</v>
      </c>
      <c r="F73" t="s">
        <v>2240</v>
      </c>
      <c r="G73" t="s">
        <v>2242</v>
      </c>
      <c r="H73" t="s">
        <v>2258</v>
      </c>
      <c r="I73" t="s">
        <v>2260</v>
      </c>
      <c r="J73" t="s">
        <v>2265</v>
      </c>
      <c r="K73">
        <v>1</v>
      </c>
      <c r="L73">
        <v>120</v>
      </c>
      <c r="M73">
        <v>0</v>
      </c>
      <c r="N73">
        <v>120</v>
      </c>
      <c r="O73">
        <v>120</v>
      </c>
      <c r="P73" t="s">
        <v>2269</v>
      </c>
      <c r="Q73" t="s">
        <v>2270</v>
      </c>
      <c r="R73" t="s">
        <v>2274</v>
      </c>
      <c r="S73" t="s">
        <v>2286</v>
      </c>
      <c r="T73" t="s">
        <v>2290</v>
      </c>
      <c r="U73">
        <v>2</v>
      </c>
      <c r="V73">
        <v>216</v>
      </c>
      <c r="X73">
        <v>67.81</v>
      </c>
      <c r="Y73">
        <v>52.19</v>
      </c>
      <c r="Z73" t="s">
        <v>2293</v>
      </c>
      <c r="AA73" t="s">
        <v>1761</v>
      </c>
      <c r="AB73">
        <v>120</v>
      </c>
      <c r="AC73">
        <v>0</v>
      </c>
      <c r="AD73">
        <v>120</v>
      </c>
      <c r="AE73">
        <v>67.81</v>
      </c>
      <c r="AF73">
        <v>52.19</v>
      </c>
      <c r="AG73">
        <v>2024</v>
      </c>
      <c r="AH73">
        <v>5</v>
      </c>
      <c r="AI73" t="s">
        <v>2306</v>
      </c>
      <c r="AJ73" t="s">
        <v>2318</v>
      </c>
    </row>
    <row r="74" spans="1:36" x14ac:dyDescent="0.3">
      <c r="A74" t="s">
        <v>108</v>
      </c>
      <c r="B74" s="2">
        <v>45308</v>
      </c>
      <c r="C74" t="s">
        <v>1653</v>
      </c>
      <c r="D74" t="s">
        <v>1800</v>
      </c>
      <c r="E74" t="s">
        <v>2004</v>
      </c>
      <c r="F74" t="s">
        <v>2239</v>
      </c>
      <c r="G74" t="s">
        <v>2256</v>
      </c>
      <c r="H74" t="s">
        <v>2261</v>
      </c>
      <c r="I74" t="s">
        <v>2260</v>
      </c>
      <c r="K74">
        <v>1</v>
      </c>
      <c r="L74">
        <v>190</v>
      </c>
      <c r="M74">
        <v>0.1</v>
      </c>
      <c r="N74">
        <v>190</v>
      </c>
      <c r="O74">
        <v>171</v>
      </c>
      <c r="P74" t="s">
        <v>2268</v>
      </c>
      <c r="R74" t="s">
        <v>2276</v>
      </c>
      <c r="S74" t="s">
        <v>2281</v>
      </c>
      <c r="T74" t="s">
        <v>2288</v>
      </c>
      <c r="U74">
        <v>5</v>
      </c>
      <c r="V74">
        <v>166</v>
      </c>
      <c r="W74">
        <v>21</v>
      </c>
      <c r="X74">
        <v>84.73</v>
      </c>
      <c r="Y74">
        <v>86.27</v>
      </c>
      <c r="Z74" t="s">
        <v>2291</v>
      </c>
      <c r="AA74" t="s">
        <v>2298</v>
      </c>
      <c r="AB74">
        <v>190</v>
      </c>
      <c r="AC74">
        <v>19</v>
      </c>
      <c r="AD74">
        <v>171</v>
      </c>
      <c r="AE74">
        <v>84.73</v>
      </c>
      <c r="AF74">
        <v>86.27</v>
      </c>
      <c r="AG74">
        <v>2024</v>
      </c>
      <c r="AH74">
        <v>1</v>
      </c>
      <c r="AI74" t="s">
        <v>2302</v>
      </c>
      <c r="AJ74" t="s">
        <v>2312</v>
      </c>
    </row>
    <row r="75" spans="1:36" x14ac:dyDescent="0.3">
      <c r="A75" t="s">
        <v>109</v>
      </c>
      <c r="B75" s="2">
        <v>45504</v>
      </c>
      <c r="C75" t="s">
        <v>1665</v>
      </c>
      <c r="D75" t="s">
        <v>1801</v>
      </c>
      <c r="E75" t="s">
        <v>2005</v>
      </c>
      <c r="F75" t="s">
        <v>1761</v>
      </c>
      <c r="G75" t="s">
        <v>2252</v>
      </c>
      <c r="H75" t="s">
        <v>2257</v>
      </c>
      <c r="I75" t="s">
        <v>2262</v>
      </c>
      <c r="J75" t="s">
        <v>2265</v>
      </c>
      <c r="K75">
        <v>3</v>
      </c>
      <c r="L75">
        <v>90</v>
      </c>
      <c r="M75">
        <v>0.1</v>
      </c>
      <c r="N75">
        <v>270</v>
      </c>
      <c r="O75">
        <v>243</v>
      </c>
      <c r="P75" t="s">
        <v>2268</v>
      </c>
      <c r="R75" t="s">
        <v>2275</v>
      </c>
      <c r="S75" t="s">
        <v>2285</v>
      </c>
      <c r="T75" t="s">
        <v>2288</v>
      </c>
      <c r="U75">
        <v>5</v>
      </c>
      <c r="V75">
        <v>25</v>
      </c>
      <c r="W75">
        <v>42</v>
      </c>
      <c r="X75">
        <v>47.31</v>
      </c>
      <c r="Y75">
        <v>101.07</v>
      </c>
      <c r="Z75" t="s">
        <v>1761</v>
      </c>
      <c r="AA75" t="s">
        <v>2296</v>
      </c>
      <c r="AB75">
        <v>270</v>
      </c>
      <c r="AC75">
        <v>27</v>
      </c>
      <c r="AD75">
        <v>243</v>
      </c>
      <c r="AE75">
        <v>141.93</v>
      </c>
      <c r="AF75">
        <v>101.07</v>
      </c>
      <c r="AG75">
        <v>2024</v>
      </c>
      <c r="AH75">
        <v>7</v>
      </c>
      <c r="AI75" t="s">
        <v>2307</v>
      </c>
      <c r="AJ75" t="s">
        <v>2312</v>
      </c>
    </row>
    <row r="76" spans="1:36" x14ac:dyDescent="0.3">
      <c r="A76" t="s">
        <v>110</v>
      </c>
      <c r="B76" s="2">
        <v>45372</v>
      </c>
      <c r="C76" t="s">
        <v>1690</v>
      </c>
      <c r="D76" t="s">
        <v>1802</v>
      </c>
      <c r="E76" t="s">
        <v>1973</v>
      </c>
      <c r="F76" t="s">
        <v>2238</v>
      </c>
      <c r="G76" t="s">
        <v>2253</v>
      </c>
      <c r="H76" t="s">
        <v>2258</v>
      </c>
      <c r="I76" t="s">
        <v>2260</v>
      </c>
      <c r="J76" t="s">
        <v>2265</v>
      </c>
      <c r="K76">
        <v>1</v>
      </c>
      <c r="L76">
        <v>95</v>
      </c>
      <c r="M76">
        <v>0.05</v>
      </c>
      <c r="N76">
        <v>95</v>
      </c>
      <c r="O76">
        <v>90.25</v>
      </c>
      <c r="Q76" t="s">
        <v>2270</v>
      </c>
      <c r="R76" t="s">
        <v>2276</v>
      </c>
      <c r="S76" t="s">
        <v>2285</v>
      </c>
      <c r="T76" t="s">
        <v>2290</v>
      </c>
      <c r="U76">
        <v>2</v>
      </c>
      <c r="V76">
        <v>333</v>
      </c>
      <c r="X76">
        <v>44.76</v>
      </c>
      <c r="Y76">
        <v>45.49</v>
      </c>
      <c r="Z76" t="s">
        <v>2294</v>
      </c>
      <c r="AA76" t="s">
        <v>2298</v>
      </c>
      <c r="AB76">
        <v>95</v>
      </c>
      <c r="AC76">
        <v>4.75</v>
      </c>
      <c r="AD76">
        <v>90.25</v>
      </c>
      <c r="AE76">
        <v>44.76</v>
      </c>
      <c r="AF76">
        <v>45.49</v>
      </c>
      <c r="AG76">
        <v>2024</v>
      </c>
      <c r="AH76">
        <v>3</v>
      </c>
      <c r="AI76" t="s">
        <v>2305</v>
      </c>
      <c r="AJ76" t="s">
        <v>2316</v>
      </c>
    </row>
    <row r="77" spans="1:36" x14ac:dyDescent="0.3">
      <c r="A77" t="s">
        <v>111</v>
      </c>
      <c r="B77" s="2">
        <v>45499</v>
      </c>
      <c r="C77" t="s">
        <v>1648</v>
      </c>
      <c r="D77" t="s">
        <v>1803</v>
      </c>
      <c r="E77" t="s">
        <v>2006</v>
      </c>
      <c r="F77" t="s">
        <v>2239</v>
      </c>
      <c r="G77" t="s">
        <v>2243</v>
      </c>
      <c r="H77" t="s">
        <v>2258</v>
      </c>
      <c r="I77" t="s">
        <v>2260</v>
      </c>
      <c r="J77" t="s">
        <v>2265</v>
      </c>
      <c r="K77">
        <v>1</v>
      </c>
      <c r="L77">
        <v>70</v>
      </c>
      <c r="M77">
        <v>0.05</v>
      </c>
      <c r="N77">
        <v>70</v>
      </c>
      <c r="O77">
        <v>66.5</v>
      </c>
      <c r="P77" t="s">
        <v>2268</v>
      </c>
      <c r="Q77" t="s">
        <v>2272</v>
      </c>
      <c r="R77" t="s">
        <v>2275</v>
      </c>
      <c r="S77" t="s">
        <v>2286</v>
      </c>
      <c r="T77" t="s">
        <v>2288</v>
      </c>
      <c r="U77">
        <v>5</v>
      </c>
      <c r="V77">
        <v>75</v>
      </c>
      <c r="W77">
        <v>21</v>
      </c>
      <c r="X77">
        <v>27.34</v>
      </c>
      <c r="Y77">
        <v>39.159999999999997</v>
      </c>
      <c r="Z77" t="s">
        <v>2293</v>
      </c>
      <c r="AA77" t="s">
        <v>1761</v>
      </c>
      <c r="AB77">
        <v>70</v>
      </c>
      <c r="AC77">
        <v>3.5</v>
      </c>
      <c r="AD77">
        <v>66.5</v>
      </c>
      <c r="AE77">
        <v>27.34</v>
      </c>
      <c r="AF77">
        <v>39.159999999999997</v>
      </c>
      <c r="AG77">
        <v>2024</v>
      </c>
      <c r="AH77">
        <v>7</v>
      </c>
      <c r="AI77" t="s">
        <v>2307</v>
      </c>
      <c r="AJ77" t="s">
        <v>2315</v>
      </c>
    </row>
    <row r="78" spans="1:36" x14ac:dyDescent="0.3">
      <c r="A78" t="s">
        <v>112</v>
      </c>
      <c r="B78" s="2">
        <v>45401</v>
      </c>
      <c r="C78" t="s">
        <v>1691</v>
      </c>
      <c r="D78" t="s">
        <v>1804</v>
      </c>
      <c r="E78" t="s">
        <v>2007</v>
      </c>
      <c r="F78" t="s">
        <v>2240</v>
      </c>
      <c r="G78" t="s">
        <v>2243</v>
      </c>
      <c r="H78" t="s">
        <v>2258</v>
      </c>
      <c r="I78" t="s">
        <v>2260</v>
      </c>
      <c r="J78" t="s">
        <v>2266</v>
      </c>
      <c r="K78">
        <v>1</v>
      </c>
      <c r="L78">
        <v>75</v>
      </c>
      <c r="M78">
        <v>0.15</v>
      </c>
      <c r="N78">
        <v>75</v>
      </c>
      <c r="O78">
        <v>63.75</v>
      </c>
      <c r="P78" t="s">
        <v>2269</v>
      </c>
      <c r="Q78" t="s">
        <v>2272</v>
      </c>
      <c r="R78" t="s">
        <v>2278</v>
      </c>
      <c r="S78" t="s">
        <v>2284</v>
      </c>
      <c r="T78" t="s">
        <v>2288</v>
      </c>
      <c r="U78">
        <v>5</v>
      </c>
      <c r="V78">
        <v>144</v>
      </c>
      <c r="W78">
        <v>60</v>
      </c>
      <c r="X78">
        <v>24.64</v>
      </c>
      <c r="Y78">
        <v>39.11</v>
      </c>
      <c r="Z78" t="s">
        <v>2294</v>
      </c>
      <c r="AA78" t="s">
        <v>2298</v>
      </c>
      <c r="AB78">
        <v>75</v>
      </c>
      <c r="AC78">
        <v>11.25</v>
      </c>
      <c r="AD78">
        <v>63.75</v>
      </c>
      <c r="AE78">
        <v>24.64</v>
      </c>
      <c r="AF78">
        <v>39.11</v>
      </c>
      <c r="AG78">
        <v>2024</v>
      </c>
      <c r="AH78">
        <v>4</v>
      </c>
      <c r="AI78" t="s">
        <v>2308</v>
      </c>
      <c r="AJ78" t="s">
        <v>2315</v>
      </c>
    </row>
    <row r="79" spans="1:36" x14ac:dyDescent="0.3">
      <c r="A79" t="s">
        <v>113</v>
      </c>
      <c r="B79" s="2">
        <v>45569</v>
      </c>
      <c r="C79" t="s">
        <v>1692</v>
      </c>
      <c r="D79" t="s">
        <v>1805</v>
      </c>
      <c r="E79" t="s">
        <v>1988</v>
      </c>
      <c r="F79" t="s">
        <v>2238</v>
      </c>
      <c r="G79" t="s">
        <v>2252</v>
      </c>
      <c r="H79" t="s">
        <v>2257</v>
      </c>
      <c r="I79" t="s">
        <v>2262</v>
      </c>
      <c r="J79" t="s">
        <v>2264</v>
      </c>
      <c r="K79">
        <v>1</v>
      </c>
      <c r="L79">
        <v>100</v>
      </c>
      <c r="M79">
        <v>0.05</v>
      </c>
      <c r="N79">
        <v>100</v>
      </c>
      <c r="O79">
        <v>95</v>
      </c>
      <c r="Q79" t="s">
        <v>2270</v>
      </c>
      <c r="R79" t="s">
        <v>2276</v>
      </c>
      <c r="S79" t="s">
        <v>2286</v>
      </c>
      <c r="T79" t="s">
        <v>2288</v>
      </c>
      <c r="U79">
        <v>3</v>
      </c>
      <c r="V79">
        <v>166</v>
      </c>
      <c r="W79">
        <v>55</v>
      </c>
      <c r="X79">
        <v>51.54</v>
      </c>
      <c r="Y79">
        <v>43.46</v>
      </c>
      <c r="Z79" t="s">
        <v>1761</v>
      </c>
      <c r="AA79" t="s">
        <v>2297</v>
      </c>
      <c r="AB79">
        <v>100</v>
      </c>
      <c r="AC79">
        <v>5</v>
      </c>
      <c r="AD79">
        <v>95</v>
      </c>
      <c r="AE79">
        <v>51.54</v>
      </c>
      <c r="AF79">
        <v>43.46</v>
      </c>
      <c r="AG79">
        <v>2024</v>
      </c>
      <c r="AH79">
        <v>10</v>
      </c>
      <c r="AI79" t="s">
        <v>2310</v>
      </c>
      <c r="AJ79" t="s">
        <v>2315</v>
      </c>
    </row>
    <row r="80" spans="1:36" x14ac:dyDescent="0.3">
      <c r="A80" t="s">
        <v>114</v>
      </c>
      <c r="B80" s="2">
        <v>45499</v>
      </c>
      <c r="C80" t="s">
        <v>1693</v>
      </c>
      <c r="D80" t="s">
        <v>1806</v>
      </c>
      <c r="E80" t="s">
        <v>1950</v>
      </c>
      <c r="F80" t="s">
        <v>2240</v>
      </c>
      <c r="G80" t="s">
        <v>2246</v>
      </c>
      <c r="H80" t="s">
        <v>2259</v>
      </c>
      <c r="I80" t="s">
        <v>2262</v>
      </c>
      <c r="J80" t="s">
        <v>2264</v>
      </c>
      <c r="K80">
        <v>1</v>
      </c>
      <c r="L80">
        <v>95</v>
      </c>
      <c r="M80">
        <v>0.15</v>
      </c>
      <c r="N80">
        <v>95</v>
      </c>
      <c r="O80">
        <v>80.75</v>
      </c>
      <c r="P80" t="s">
        <v>2269</v>
      </c>
      <c r="Q80" t="s">
        <v>2271</v>
      </c>
      <c r="R80" t="s">
        <v>2277</v>
      </c>
      <c r="S80" t="s">
        <v>2283</v>
      </c>
      <c r="T80" t="s">
        <v>2288</v>
      </c>
      <c r="U80">
        <v>3</v>
      </c>
      <c r="V80">
        <v>123</v>
      </c>
      <c r="W80">
        <v>22</v>
      </c>
      <c r="X80">
        <v>49.66</v>
      </c>
      <c r="Y80">
        <v>31.09</v>
      </c>
      <c r="Z80" t="s">
        <v>2293</v>
      </c>
      <c r="AA80" t="s">
        <v>2296</v>
      </c>
      <c r="AB80">
        <v>95</v>
      </c>
      <c r="AC80">
        <v>14.25</v>
      </c>
      <c r="AD80">
        <v>80.75</v>
      </c>
      <c r="AE80">
        <v>49.66</v>
      </c>
      <c r="AF80">
        <v>31.09</v>
      </c>
      <c r="AG80">
        <v>2024</v>
      </c>
      <c r="AH80">
        <v>7</v>
      </c>
      <c r="AI80" t="s">
        <v>2307</v>
      </c>
      <c r="AJ80" t="s">
        <v>2315</v>
      </c>
    </row>
    <row r="81" spans="1:36" x14ac:dyDescent="0.3">
      <c r="A81" t="s">
        <v>115</v>
      </c>
      <c r="B81" s="2">
        <v>45576</v>
      </c>
      <c r="C81" t="s">
        <v>1694</v>
      </c>
      <c r="D81" t="s">
        <v>1807</v>
      </c>
      <c r="E81" t="s">
        <v>1761</v>
      </c>
      <c r="F81" t="s">
        <v>1761</v>
      </c>
      <c r="G81" t="s">
        <v>2247</v>
      </c>
      <c r="H81" t="s">
        <v>2257</v>
      </c>
      <c r="I81" t="s">
        <v>2262</v>
      </c>
      <c r="J81" t="s">
        <v>2266</v>
      </c>
      <c r="K81">
        <v>5</v>
      </c>
      <c r="L81">
        <v>100</v>
      </c>
      <c r="M81">
        <v>0.05</v>
      </c>
      <c r="N81">
        <v>500</v>
      </c>
      <c r="O81">
        <v>475</v>
      </c>
      <c r="P81" t="s">
        <v>2268</v>
      </c>
      <c r="Q81" t="s">
        <v>2270</v>
      </c>
      <c r="R81" t="s">
        <v>2276</v>
      </c>
      <c r="S81" t="s">
        <v>2281</v>
      </c>
      <c r="T81" t="s">
        <v>2289</v>
      </c>
      <c r="U81">
        <v>5</v>
      </c>
      <c r="V81">
        <v>237</v>
      </c>
      <c r="X81">
        <v>40.9</v>
      </c>
      <c r="Y81">
        <v>270.5</v>
      </c>
      <c r="Z81" t="s">
        <v>2292</v>
      </c>
      <c r="AA81" t="s">
        <v>2296</v>
      </c>
      <c r="AB81">
        <v>500</v>
      </c>
      <c r="AC81">
        <v>25</v>
      </c>
      <c r="AD81">
        <v>475</v>
      </c>
      <c r="AE81">
        <v>204.5</v>
      </c>
      <c r="AF81">
        <v>270.5</v>
      </c>
      <c r="AG81">
        <v>2024</v>
      </c>
      <c r="AH81">
        <v>10</v>
      </c>
      <c r="AI81" t="s">
        <v>2310</v>
      </c>
      <c r="AJ81" t="s">
        <v>2315</v>
      </c>
    </row>
    <row r="82" spans="1:36" x14ac:dyDescent="0.3">
      <c r="A82" t="s">
        <v>116</v>
      </c>
      <c r="B82" s="2">
        <v>45589</v>
      </c>
      <c r="C82" t="s">
        <v>1695</v>
      </c>
      <c r="D82" t="s">
        <v>1780</v>
      </c>
      <c r="E82" t="s">
        <v>2008</v>
      </c>
      <c r="F82" t="s">
        <v>2240</v>
      </c>
      <c r="G82" t="s">
        <v>2249</v>
      </c>
      <c r="H82" t="s">
        <v>2257</v>
      </c>
      <c r="I82" t="s">
        <v>2263</v>
      </c>
      <c r="J82" t="s">
        <v>2266</v>
      </c>
      <c r="K82">
        <v>1</v>
      </c>
      <c r="L82">
        <v>160</v>
      </c>
      <c r="M82">
        <v>0.05</v>
      </c>
      <c r="N82">
        <v>160</v>
      </c>
      <c r="O82">
        <v>152</v>
      </c>
      <c r="P82" t="s">
        <v>2269</v>
      </c>
      <c r="Q82" t="s">
        <v>2270</v>
      </c>
      <c r="R82" t="s">
        <v>2279</v>
      </c>
      <c r="S82" t="s">
        <v>2285</v>
      </c>
      <c r="T82" t="s">
        <v>2288</v>
      </c>
      <c r="U82">
        <v>5</v>
      </c>
      <c r="V82">
        <v>436</v>
      </c>
      <c r="W82">
        <v>17</v>
      </c>
      <c r="X82">
        <v>75.8</v>
      </c>
      <c r="Y82">
        <v>76.2</v>
      </c>
      <c r="Z82" t="s">
        <v>2291</v>
      </c>
      <c r="AA82" t="s">
        <v>1761</v>
      </c>
      <c r="AB82">
        <v>160</v>
      </c>
      <c r="AC82">
        <v>8</v>
      </c>
      <c r="AD82">
        <v>152</v>
      </c>
      <c r="AE82">
        <v>75.8</v>
      </c>
      <c r="AF82">
        <v>76.2</v>
      </c>
      <c r="AG82">
        <v>2024</v>
      </c>
      <c r="AH82">
        <v>10</v>
      </c>
      <c r="AI82" t="s">
        <v>2310</v>
      </c>
      <c r="AJ82" t="s">
        <v>2316</v>
      </c>
    </row>
    <row r="83" spans="1:36" x14ac:dyDescent="0.3">
      <c r="A83" t="s">
        <v>117</v>
      </c>
      <c r="B83" s="2">
        <v>45553</v>
      </c>
      <c r="C83" t="s">
        <v>1655</v>
      </c>
      <c r="D83" t="s">
        <v>1808</v>
      </c>
      <c r="E83" t="s">
        <v>2009</v>
      </c>
      <c r="F83" t="s">
        <v>2239</v>
      </c>
      <c r="G83" t="s">
        <v>2244</v>
      </c>
      <c r="H83" t="s">
        <v>2257</v>
      </c>
      <c r="I83" t="s">
        <v>2262</v>
      </c>
      <c r="J83" t="s">
        <v>2264</v>
      </c>
      <c r="K83">
        <v>2</v>
      </c>
      <c r="L83">
        <v>120</v>
      </c>
      <c r="N83">
        <v>240</v>
      </c>
      <c r="P83" t="s">
        <v>2269</v>
      </c>
      <c r="R83" t="s">
        <v>2275</v>
      </c>
      <c r="S83" t="s">
        <v>2282</v>
      </c>
      <c r="T83" t="s">
        <v>2289</v>
      </c>
      <c r="U83">
        <v>3</v>
      </c>
      <c r="V83">
        <v>379</v>
      </c>
      <c r="W83">
        <v>16</v>
      </c>
      <c r="X83">
        <v>42.74</v>
      </c>
      <c r="Z83" t="s">
        <v>2293</v>
      </c>
      <c r="AA83" t="s">
        <v>2296</v>
      </c>
      <c r="AB83">
        <v>240</v>
      </c>
      <c r="AC83">
        <v>0</v>
      </c>
      <c r="AD83">
        <v>240</v>
      </c>
      <c r="AE83">
        <v>85.48</v>
      </c>
      <c r="AF83">
        <v>154.52000000000001</v>
      </c>
      <c r="AG83">
        <v>2024</v>
      </c>
      <c r="AH83">
        <v>9</v>
      </c>
      <c r="AI83" t="s">
        <v>2300</v>
      </c>
      <c r="AJ83" t="s">
        <v>2312</v>
      </c>
    </row>
    <row r="84" spans="1:36" x14ac:dyDescent="0.3">
      <c r="A84" t="s">
        <v>118</v>
      </c>
      <c r="B84" s="2">
        <v>45337</v>
      </c>
      <c r="C84" t="s">
        <v>1696</v>
      </c>
      <c r="D84" t="s">
        <v>1761</v>
      </c>
      <c r="E84" t="s">
        <v>2010</v>
      </c>
      <c r="F84" t="s">
        <v>2239</v>
      </c>
      <c r="G84" t="s">
        <v>2243</v>
      </c>
      <c r="H84" t="s">
        <v>2258</v>
      </c>
      <c r="I84" t="s">
        <v>2260</v>
      </c>
      <c r="J84" t="s">
        <v>2264</v>
      </c>
      <c r="K84">
        <v>1</v>
      </c>
      <c r="L84">
        <v>65</v>
      </c>
      <c r="N84">
        <v>65</v>
      </c>
      <c r="P84" t="s">
        <v>2267</v>
      </c>
      <c r="R84" t="s">
        <v>2276</v>
      </c>
      <c r="S84" t="s">
        <v>2286</v>
      </c>
      <c r="T84" t="s">
        <v>2288</v>
      </c>
      <c r="U84">
        <v>3</v>
      </c>
      <c r="V84">
        <v>484</v>
      </c>
      <c r="W84">
        <v>21</v>
      </c>
      <c r="X84">
        <v>31.78</v>
      </c>
      <c r="Z84" t="s">
        <v>2291</v>
      </c>
      <c r="AA84" t="s">
        <v>2296</v>
      </c>
      <c r="AB84">
        <v>65</v>
      </c>
      <c r="AC84">
        <v>0</v>
      </c>
      <c r="AD84">
        <v>65</v>
      </c>
      <c r="AE84">
        <v>31.78</v>
      </c>
      <c r="AF84">
        <v>33.22</v>
      </c>
      <c r="AG84">
        <v>2024</v>
      </c>
      <c r="AH84">
        <v>2</v>
      </c>
      <c r="AI84" t="s">
        <v>2303</v>
      </c>
      <c r="AJ84" t="s">
        <v>2316</v>
      </c>
    </row>
    <row r="85" spans="1:36" x14ac:dyDescent="0.3">
      <c r="A85" t="s">
        <v>119</v>
      </c>
      <c r="B85" s="2">
        <v>45652</v>
      </c>
      <c r="C85" t="s">
        <v>1685</v>
      </c>
      <c r="D85" t="s">
        <v>1795</v>
      </c>
      <c r="E85" t="s">
        <v>1761</v>
      </c>
      <c r="F85" t="s">
        <v>2239</v>
      </c>
      <c r="G85" t="s">
        <v>2252</v>
      </c>
      <c r="H85" t="s">
        <v>2257</v>
      </c>
      <c r="I85" t="s">
        <v>2262</v>
      </c>
      <c r="J85" t="s">
        <v>2265</v>
      </c>
      <c r="K85">
        <v>1</v>
      </c>
      <c r="L85">
        <v>85</v>
      </c>
      <c r="N85">
        <v>85</v>
      </c>
      <c r="P85" t="s">
        <v>2268</v>
      </c>
      <c r="Q85" t="s">
        <v>2272</v>
      </c>
      <c r="R85" t="s">
        <v>2276</v>
      </c>
      <c r="S85" t="s">
        <v>2282</v>
      </c>
      <c r="T85" t="s">
        <v>2288</v>
      </c>
      <c r="U85">
        <v>5</v>
      </c>
      <c r="W85">
        <v>55</v>
      </c>
      <c r="X85">
        <v>36.479999999999997</v>
      </c>
      <c r="Z85" t="s">
        <v>2292</v>
      </c>
      <c r="AA85" t="s">
        <v>2297</v>
      </c>
      <c r="AB85">
        <v>85</v>
      </c>
      <c r="AC85">
        <v>0</v>
      </c>
      <c r="AD85">
        <v>85</v>
      </c>
      <c r="AE85">
        <v>36.479999999999997</v>
      </c>
      <c r="AF85">
        <v>48.52</v>
      </c>
      <c r="AG85">
        <v>2024</v>
      </c>
      <c r="AH85">
        <v>12</v>
      </c>
      <c r="AI85" t="s">
        <v>2309</v>
      </c>
      <c r="AJ85" t="s">
        <v>2316</v>
      </c>
    </row>
    <row r="86" spans="1:36" x14ac:dyDescent="0.3">
      <c r="A86" t="s">
        <v>120</v>
      </c>
      <c r="C86" t="s">
        <v>1658</v>
      </c>
      <c r="D86" t="s">
        <v>1809</v>
      </c>
      <c r="E86" t="s">
        <v>2004</v>
      </c>
      <c r="F86" t="s">
        <v>2240</v>
      </c>
      <c r="G86" t="s">
        <v>2253</v>
      </c>
      <c r="H86" t="s">
        <v>2258</v>
      </c>
      <c r="I86" t="s">
        <v>2260</v>
      </c>
      <c r="J86" t="s">
        <v>2266</v>
      </c>
      <c r="K86">
        <v>3</v>
      </c>
      <c r="L86">
        <v>85</v>
      </c>
      <c r="M86">
        <v>0.1</v>
      </c>
      <c r="N86">
        <v>255</v>
      </c>
      <c r="O86">
        <v>229.5</v>
      </c>
      <c r="P86" t="s">
        <v>2267</v>
      </c>
      <c r="Q86" t="s">
        <v>2272</v>
      </c>
      <c r="R86" t="s">
        <v>2275</v>
      </c>
      <c r="S86" t="s">
        <v>2280</v>
      </c>
      <c r="T86" t="s">
        <v>2288</v>
      </c>
      <c r="U86">
        <v>3</v>
      </c>
      <c r="V86">
        <v>52</v>
      </c>
      <c r="X86">
        <v>36.799999999999997</v>
      </c>
      <c r="Y86">
        <v>119.1</v>
      </c>
      <c r="Z86" t="s">
        <v>2291</v>
      </c>
      <c r="AA86" t="s">
        <v>2297</v>
      </c>
      <c r="AB86">
        <v>255</v>
      </c>
      <c r="AC86">
        <v>25.5</v>
      </c>
      <c r="AD86">
        <v>229.5</v>
      </c>
      <c r="AE86">
        <v>110.4</v>
      </c>
      <c r="AF86">
        <v>119.1</v>
      </c>
    </row>
    <row r="87" spans="1:36" x14ac:dyDescent="0.3">
      <c r="A87" t="s">
        <v>121</v>
      </c>
      <c r="B87" s="2">
        <v>45314</v>
      </c>
      <c r="C87" t="s">
        <v>1672</v>
      </c>
      <c r="D87" t="s">
        <v>1810</v>
      </c>
      <c r="E87" t="s">
        <v>2011</v>
      </c>
      <c r="F87" t="s">
        <v>2239</v>
      </c>
      <c r="G87" t="s">
        <v>2249</v>
      </c>
      <c r="H87" t="s">
        <v>2257</v>
      </c>
      <c r="I87" t="s">
        <v>2263</v>
      </c>
      <c r="J87" t="s">
        <v>2266</v>
      </c>
      <c r="K87">
        <v>1</v>
      </c>
      <c r="L87">
        <v>165</v>
      </c>
      <c r="M87">
        <v>0.05</v>
      </c>
      <c r="N87">
        <v>165</v>
      </c>
      <c r="O87">
        <v>156.75</v>
      </c>
      <c r="P87" t="s">
        <v>2267</v>
      </c>
      <c r="Q87" t="s">
        <v>2272</v>
      </c>
      <c r="R87" t="s">
        <v>2279</v>
      </c>
      <c r="S87" t="s">
        <v>2285</v>
      </c>
      <c r="T87" t="s">
        <v>2288</v>
      </c>
      <c r="U87">
        <v>4</v>
      </c>
      <c r="V87">
        <v>258</v>
      </c>
      <c r="W87">
        <v>45</v>
      </c>
      <c r="X87">
        <v>62.6</v>
      </c>
      <c r="Y87">
        <v>94.15</v>
      </c>
      <c r="Z87" t="s">
        <v>1761</v>
      </c>
      <c r="AA87" t="s">
        <v>2296</v>
      </c>
      <c r="AB87">
        <v>165</v>
      </c>
      <c r="AC87">
        <v>8.25</v>
      </c>
      <c r="AD87">
        <v>156.75</v>
      </c>
      <c r="AE87">
        <v>62.6</v>
      </c>
      <c r="AF87">
        <v>94.15</v>
      </c>
      <c r="AG87">
        <v>2024</v>
      </c>
      <c r="AH87">
        <v>1</v>
      </c>
      <c r="AI87" t="s">
        <v>2302</v>
      </c>
      <c r="AJ87" t="s">
        <v>2313</v>
      </c>
    </row>
    <row r="88" spans="1:36" x14ac:dyDescent="0.3">
      <c r="A88" t="s">
        <v>122</v>
      </c>
      <c r="B88" s="2">
        <v>45462</v>
      </c>
      <c r="C88" t="s">
        <v>1697</v>
      </c>
      <c r="D88" t="s">
        <v>1811</v>
      </c>
      <c r="E88" t="s">
        <v>2012</v>
      </c>
      <c r="F88" t="s">
        <v>2240</v>
      </c>
      <c r="G88" t="s">
        <v>2252</v>
      </c>
      <c r="H88" t="s">
        <v>2257</v>
      </c>
      <c r="I88" t="s">
        <v>2262</v>
      </c>
      <c r="J88" t="s">
        <v>2266</v>
      </c>
      <c r="K88">
        <v>2</v>
      </c>
      <c r="L88">
        <v>90</v>
      </c>
      <c r="M88">
        <v>0.05</v>
      </c>
      <c r="N88">
        <v>180</v>
      </c>
      <c r="O88">
        <v>171</v>
      </c>
      <c r="P88" t="s">
        <v>2267</v>
      </c>
      <c r="Q88" t="s">
        <v>2270</v>
      </c>
      <c r="R88" t="s">
        <v>2275</v>
      </c>
      <c r="S88" t="s">
        <v>2282</v>
      </c>
      <c r="T88" t="s">
        <v>2288</v>
      </c>
      <c r="U88">
        <v>4</v>
      </c>
      <c r="V88">
        <v>460</v>
      </c>
      <c r="W88">
        <v>58</v>
      </c>
      <c r="X88">
        <v>33.369999999999997</v>
      </c>
      <c r="Y88">
        <v>104.26</v>
      </c>
      <c r="Z88" t="s">
        <v>2294</v>
      </c>
      <c r="AA88" t="s">
        <v>1761</v>
      </c>
      <c r="AB88">
        <v>180</v>
      </c>
      <c r="AC88">
        <v>9</v>
      </c>
      <c r="AD88">
        <v>171</v>
      </c>
      <c r="AE88">
        <v>66.739999999999995</v>
      </c>
      <c r="AF88">
        <v>104.26</v>
      </c>
      <c r="AG88">
        <v>2024</v>
      </c>
      <c r="AH88">
        <v>6</v>
      </c>
      <c r="AI88" t="s">
        <v>2304</v>
      </c>
      <c r="AJ88" t="s">
        <v>2312</v>
      </c>
    </row>
    <row r="89" spans="1:36" x14ac:dyDescent="0.3">
      <c r="A89" t="s">
        <v>123</v>
      </c>
      <c r="B89" s="2">
        <v>45332</v>
      </c>
      <c r="C89" t="s">
        <v>1645</v>
      </c>
      <c r="D89" t="s">
        <v>1812</v>
      </c>
      <c r="E89" t="s">
        <v>1761</v>
      </c>
      <c r="F89" t="s">
        <v>2240</v>
      </c>
      <c r="G89" t="s">
        <v>2247</v>
      </c>
      <c r="H89" t="s">
        <v>2257</v>
      </c>
      <c r="I89" t="s">
        <v>2262</v>
      </c>
      <c r="J89" t="s">
        <v>2266</v>
      </c>
      <c r="K89">
        <v>1</v>
      </c>
      <c r="L89">
        <v>105</v>
      </c>
      <c r="M89">
        <v>0.05</v>
      </c>
      <c r="N89">
        <v>105</v>
      </c>
      <c r="O89">
        <v>99.75</v>
      </c>
      <c r="R89" t="s">
        <v>2278</v>
      </c>
      <c r="S89" t="s">
        <v>2285</v>
      </c>
      <c r="T89" t="s">
        <v>2288</v>
      </c>
      <c r="U89">
        <v>5</v>
      </c>
      <c r="V89">
        <v>112</v>
      </c>
      <c r="W89">
        <v>21</v>
      </c>
      <c r="X89">
        <v>37.81</v>
      </c>
      <c r="Y89">
        <v>61.94</v>
      </c>
      <c r="Z89" t="s">
        <v>2294</v>
      </c>
      <c r="AA89" t="s">
        <v>2297</v>
      </c>
      <c r="AB89">
        <v>105</v>
      </c>
      <c r="AC89">
        <v>5.25</v>
      </c>
      <c r="AD89">
        <v>99.75</v>
      </c>
      <c r="AE89">
        <v>37.81</v>
      </c>
      <c r="AF89">
        <v>61.94</v>
      </c>
      <c r="AG89">
        <v>2024</v>
      </c>
      <c r="AH89">
        <v>2</v>
      </c>
      <c r="AI89" t="s">
        <v>2303</v>
      </c>
      <c r="AJ89" t="s">
        <v>2317</v>
      </c>
    </row>
    <row r="90" spans="1:36" x14ac:dyDescent="0.3">
      <c r="A90" t="s">
        <v>124</v>
      </c>
      <c r="B90" s="2">
        <v>45653</v>
      </c>
      <c r="C90" t="s">
        <v>1698</v>
      </c>
      <c r="D90" t="s">
        <v>1803</v>
      </c>
      <c r="E90" t="s">
        <v>2013</v>
      </c>
      <c r="F90" t="s">
        <v>2240</v>
      </c>
      <c r="G90" t="s">
        <v>2246</v>
      </c>
      <c r="H90" t="s">
        <v>2259</v>
      </c>
      <c r="I90" t="s">
        <v>2262</v>
      </c>
      <c r="J90" t="s">
        <v>2265</v>
      </c>
      <c r="K90">
        <v>1</v>
      </c>
      <c r="L90">
        <v>95</v>
      </c>
      <c r="M90">
        <v>0</v>
      </c>
      <c r="O90">
        <v>95</v>
      </c>
      <c r="P90" t="s">
        <v>2268</v>
      </c>
      <c r="Q90" t="s">
        <v>2271</v>
      </c>
      <c r="R90" t="s">
        <v>2279</v>
      </c>
      <c r="S90" t="s">
        <v>2283</v>
      </c>
      <c r="T90" t="s">
        <v>2288</v>
      </c>
      <c r="U90">
        <v>5</v>
      </c>
      <c r="V90">
        <v>133</v>
      </c>
      <c r="W90">
        <v>55</v>
      </c>
      <c r="X90">
        <v>40.81</v>
      </c>
      <c r="Y90">
        <v>54.19</v>
      </c>
      <c r="Z90" t="s">
        <v>1761</v>
      </c>
      <c r="AA90" t="s">
        <v>2299</v>
      </c>
      <c r="AB90">
        <v>95</v>
      </c>
      <c r="AC90">
        <v>0</v>
      </c>
      <c r="AD90">
        <v>95</v>
      </c>
      <c r="AE90">
        <v>40.81</v>
      </c>
      <c r="AF90">
        <v>54.19</v>
      </c>
      <c r="AG90">
        <v>2024</v>
      </c>
      <c r="AH90">
        <v>12</v>
      </c>
      <c r="AI90" t="s">
        <v>2309</v>
      </c>
      <c r="AJ90" t="s">
        <v>2315</v>
      </c>
    </row>
    <row r="91" spans="1:36" x14ac:dyDescent="0.3">
      <c r="A91" t="s">
        <v>125</v>
      </c>
      <c r="B91" s="2">
        <v>45432</v>
      </c>
      <c r="C91" t="s">
        <v>1652</v>
      </c>
      <c r="D91" t="s">
        <v>1813</v>
      </c>
      <c r="E91" t="s">
        <v>1953</v>
      </c>
      <c r="F91" t="s">
        <v>2239</v>
      </c>
      <c r="G91" t="s">
        <v>2254</v>
      </c>
      <c r="H91" t="s">
        <v>2259</v>
      </c>
      <c r="I91" t="s">
        <v>2263</v>
      </c>
      <c r="J91" t="s">
        <v>2264</v>
      </c>
      <c r="K91">
        <v>2</v>
      </c>
      <c r="L91">
        <v>115</v>
      </c>
      <c r="N91">
        <v>230</v>
      </c>
      <c r="P91" t="s">
        <v>2269</v>
      </c>
      <c r="Q91" t="s">
        <v>2270</v>
      </c>
      <c r="R91" t="s">
        <v>2274</v>
      </c>
      <c r="S91" t="s">
        <v>2285</v>
      </c>
      <c r="T91" t="s">
        <v>2288</v>
      </c>
      <c r="V91">
        <v>300</v>
      </c>
      <c r="X91">
        <v>48.1</v>
      </c>
      <c r="Z91" t="s">
        <v>2293</v>
      </c>
      <c r="AA91" t="s">
        <v>1761</v>
      </c>
      <c r="AB91">
        <v>230</v>
      </c>
      <c r="AC91">
        <v>0</v>
      </c>
      <c r="AD91">
        <v>230</v>
      </c>
      <c r="AE91">
        <v>96.2</v>
      </c>
      <c r="AF91">
        <v>133.80000000000001</v>
      </c>
      <c r="AG91">
        <v>2024</v>
      </c>
      <c r="AH91">
        <v>5</v>
      </c>
      <c r="AI91" t="s">
        <v>2306</v>
      </c>
      <c r="AJ91" t="s">
        <v>2314</v>
      </c>
    </row>
    <row r="92" spans="1:36" x14ac:dyDescent="0.3">
      <c r="A92" t="s">
        <v>126</v>
      </c>
      <c r="B92" s="2">
        <v>45324</v>
      </c>
      <c r="C92" t="s">
        <v>1639</v>
      </c>
      <c r="D92" t="s">
        <v>1814</v>
      </c>
      <c r="E92" t="s">
        <v>2014</v>
      </c>
      <c r="F92" t="s">
        <v>1761</v>
      </c>
      <c r="G92" t="s">
        <v>2244</v>
      </c>
      <c r="H92" t="s">
        <v>2257</v>
      </c>
      <c r="I92" t="s">
        <v>2262</v>
      </c>
      <c r="J92" t="s">
        <v>2265</v>
      </c>
      <c r="K92">
        <v>1</v>
      </c>
      <c r="L92">
        <v>130</v>
      </c>
      <c r="M92">
        <v>0.05</v>
      </c>
      <c r="N92">
        <v>130</v>
      </c>
      <c r="O92">
        <v>123.5</v>
      </c>
      <c r="P92" t="s">
        <v>2268</v>
      </c>
      <c r="Q92" t="s">
        <v>2272</v>
      </c>
      <c r="R92" t="s">
        <v>2274</v>
      </c>
      <c r="S92" t="s">
        <v>2282</v>
      </c>
      <c r="T92" t="s">
        <v>2288</v>
      </c>
      <c r="U92">
        <v>3</v>
      </c>
      <c r="V92">
        <v>275</v>
      </c>
      <c r="W92">
        <v>54</v>
      </c>
      <c r="X92">
        <v>51.33</v>
      </c>
      <c r="Y92">
        <v>72.17</v>
      </c>
      <c r="Z92" t="s">
        <v>2292</v>
      </c>
      <c r="AA92" t="s">
        <v>1761</v>
      </c>
      <c r="AB92">
        <v>130</v>
      </c>
      <c r="AC92">
        <v>6.5</v>
      </c>
      <c r="AD92">
        <v>123.5</v>
      </c>
      <c r="AE92">
        <v>51.33</v>
      </c>
      <c r="AF92">
        <v>72.17</v>
      </c>
      <c r="AG92">
        <v>2024</v>
      </c>
      <c r="AH92">
        <v>2</v>
      </c>
      <c r="AI92" t="s">
        <v>2303</v>
      </c>
      <c r="AJ92" t="s">
        <v>2315</v>
      </c>
    </row>
    <row r="93" spans="1:36" x14ac:dyDescent="0.3">
      <c r="A93" t="s">
        <v>127</v>
      </c>
      <c r="B93" s="2">
        <v>45612</v>
      </c>
      <c r="C93" t="s">
        <v>1677</v>
      </c>
      <c r="D93" t="s">
        <v>1815</v>
      </c>
      <c r="E93" t="s">
        <v>2015</v>
      </c>
      <c r="F93" t="s">
        <v>2238</v>
      </c>
      <c r="G93" t="s">
        <v>2250</v>
      </c>
      <c r="H93" t="s">
        <v>2259</v>
      </c>
      <c r="I93" t="s">
        <v>2262</v>
      </c>
      <c r="J93" t="s">
        <v>2264</v>
      </c>
      <c r="K93">
        <v>1</v>
      </c>
      <c r="L93">
        <v>75</v>
      </c>
      <c r="M93">
        <v>0</v>
      </c>
      <c r="N93">
        <v>75</v>
      </c>
      <c r="O93">
        <v>75</v>
      </c>
      <c r="Q93" t="s">
        <v>2271</v>
      </c>
      <c r="R93" t="s">
        <v>2278</v>
      </c>
      <c r="S93" t="s">
        <v>2286</v>
      </c>
      <c r="T93" t="s">
        <v>2289</v>
      </c>
      <c r="U93">
        <v>3</v>
      </c>
      <c r="W93">
        <v>17</v>
      </c>
      <c r="X93">
        <v>45.27</v>
      </c>
      <c r="Y93">
        <v>29.73</v>
      </c>
      <c r="Z93" t="s">
        <v>2294</v>
      </c>
      <c r="AA93" t="s">
        <v>2299</v>
      </c>
      <c r="AB93">
        <v>75</v>
      </c>
      <c r="AC93">
        <v>0</v>
      </c>
      <c r="AD93">
        <v>75</v>
      </c>
      <c r="AE93">
        <v>45.27</v>
      </c>
      <c r="AF93">
        <v>29.73</v>
      </c>
      <c r="AG93">
        <v>2024</v>
      </c>
      <c r="AH93">
        <v>11</v>
      </c>
      <c r="AI93" t="s">
        <v>2311</v>
      </c>
      <c r="AJ93" t="s">
        <v>2317</v>
      </c>
    </row>
    <row r="94" spans="1:36" x14ac:dyDescent="0.3">
      <c r="A94" t="s">
        <v>128</v>
      </c>
      <c r="B94" s="2">
        <v>45405</v>
      </c>
      <c r="C94" t="s">
        <v>1699</v>
      </c>
      <c r="D94" t="s">
        <v>1816</v>
      </c>
      <c r="E94" t="s">
        <v>2016</v>
      </c>
      <c r="F94" t="s">
        <v>1761</v>
      </c>
      <c r="G94" t="s">
        <v>2247</v>
      </c>
      <c r="H94" t="s">
        <v>2257</v>
      </c>
      <c r="I94" t="s">
        <v>2262</v>
      </c>
      <c r="K94">
        <v>1</v>
      </c>
      <c r="L94">
        <v>95</v>
      </c>
      <c r="M94">
        <v>0</v>
      </c>
      <c r="N94">
        <v>95</v>
      </c>
      <c r="O94">
        <v>95</v>
      </c>
      <c r="P94" t="s">
        <v>2267</v>
      </c>
      <c r="Q94" t="s">
        <v>2272</v>
      </c>
      <c r="R94" t="s">
        <v>2278</v>
      </c>
      <c r="S94" t="s">
        <v>2286</v>
      </c>
      <c r="T94" t="s">
        <v>2288</v>
      </c>
      <c r="U94">
        <v>1</v>
      </c>
      <c r="V94">
        <v>336</v>
      </c>
      <c r="W94">
        <v>22</v>
      </c>
      <c r="X94">
        <v>52.39</v>
      </c>
      <c r="Y94">
        <v>42.61</v>
      </c>
      <c r="Z94" t="s">
        <v>2294</v>
      </c>
      <c r="AA94" t="s">
        <v>2296</v>
      </c>
      <c r="AB94">
        <v>95</v>
      </c>
      <c r="AC94">
        <v>0</v>
      </c>
      <c r="AD94">
        <v>95</v>
      </c>
      <c r="AE94">
        <v>52.39</v>
      </c>
      <c r="AF94">
        <v>42.61</v>
      </c>
      <c r="AG94">
        <v>2024</v>
      </c>
      <c r="AH94">
        <v>4</v>
      </c>
      <c r="AI94" t="s">
        <v>2308</v>
      </c>
      <c r="AJ94" t="s">
        <v>2313</v>
      </c>
    </row>
    <row r="95" spans="1:36" x14ac:dyDescent="0.3">
      <c r="A95" t="s">
        <v>129</v>
      </c>
      <c r="B95" s="2">
        <v>45398</v>
      </c>
      <c r="C95" t="s">
        <v>1700</v>
      </c>
      <c r="D95" t="s">
        <v>1817</v>
      </c>
      <c r="E95" t="s">
        <v>2017</v>
      </c>
      <c r="F95" t="s">
        <v>1761</v>
      </c>
      <c r="G95" t="s">
        <v>2243</v>
      </c>
      <c r="H95" t="s">
        <v>2258</v>
      </c>
      <c r="I95" t="s">
        <v>2260</v>
      </c>
      <c r="J95" t="s">
        <v>2266</v>
      </c>
      <c r="K95">
        <v>1</v>
      </c>
      <c r="L95">
        <v>70</v>
      </c>
      <c r="M95">
        <v>0.15</v>
      </c>
      <c r="N95">
        <v>70</v>
      </c>
      <c r="O95">
        <v>59.5</v>
      </c>
      <c r="P95" t="s">
        <v>2269</v>
      </c>
      <c r="Q95" t="s">
        <v>2272</v>
      </c>
      <c r="R95" t="s">
        <v>2278</v>
      </c>
      <c r="S95" t="s">
        <v>2286</v>
      </c>
      <c r="T95" t="s">
        <v>2288</v>
      </c>
      <c r="U95">
        <v>5</v>
      </c>
      <c r="V95">
        <v>247</v>
      </c>
      <c r="W95">
        <v>38</v>
      </c>
      <c r="X95">
        <v>36.840000000000003</v>
      </c>
      <c r="Y95">
        <v>22.66</v>
      </c>
      <c r="Z95" t="s">
        <v>2294</v>
      </c>
      <c r="AA95" t="s">
        <v>2296</v>
      </c>
      <c r="AB95">
        <v>70</v>
      </c>
      <c r="AC95">
        <v>10.5</v>
      </c>
      <c r="AD95">
        <v>59.5</v>
      </c>
      <c r="AE95">
        <v>36.840000000000003</v>
      </c>
      <c r="AF95">
        <v>22.66</v>
      </c>
      <c r="AG95">
        <v>2024</v>
      </c>
      <c r="AH95">
        <v>4</v>
      </c>
      <c r="AI95" t="s">
        <v>2308</v>
      </c>
      <c r="AJ95" t="s">
        <v>2313</v>
      </c>
    </row>
    <row r="96" spans="1:36" x14ac:dyDescent="0.3">
      <c r="A96" t="s">
        <v>130</v>
      </c>
      <c r="B96" s="2">
        <v>45629</v>
      </c>
      <c r="C96" t="s">
        <v>1687</v>
      </c>
      <c r="D96" t="s">
        <v>1818</v>
      </c>
      <c r="E96" t="s">
        <v>2018</v>
      </c>
      <c r="F96" t="s">
        <v>1761</v>
      </c>
      <c r="G96" t="s">
        <v>2256</v>
      </c>
      <c r="H96" t="s">
        <v>2261</v>
      </c>
      <c r="I96" t="s">
        <v>2260</v>
      </c>
      <c r="J96" t="s">
        <v>2266</v>
      </c>
      <c r="K96">
        <v>1</v>
      </c>
      <c r="L96">
        <v>185</v>
      </c>
      <c r="M96">
        <v>0</v>
      </c>
      <c r="O96">
        <v>185</v>
      </c>
      <c r="P96" t="s">
        <v>2267</v>
      </c>
      <c r="Q96" t="s">
        <v>2270</v>
      </c>
      <c r="R96" t="s">
        <v>2273</v>
      </c>
      <c r="S96" t="s">
        <v>2280</v>
      </c>
      <c r="T96" t="s">
        <v>2290</v>
      </c>
      <c r="U96">
        <v>5</v>
      </c>
      <c r="W96">
        <v>33</v>
      </c>
      <c r="X96">
        <v>101.49</v>
      </c>
      <c r="Y96">
        <v>83.51</v>
      </c>
      <c r="Z96" t="s">
        <v>2291</v>
      </c>
      <c r="AA96" t="s">
        <v>2298</v>
      </c>
      <c r="AB96">
        <v>185</v>
      </c>
      <c r="AC96">
        <v>0</v>
      </c>
      <c r="AD96">
        <v>185</v>
      </c>
      <c r="AE96">
        <v>101.49</v>
      </c>
      <c r="AF96">
        <v>83.51</v>
      </c>
      <c r="AG96">
        <v>2024</v>
      </c>
      <c r="AH96">
        <v>12</v>
      </c>
      <c r="AI96" t="s">
        <v>2309</v>
      </c>
      <c r="AJ96" t="s">
        <v>2313</v>
      </c>
    </row>
    <row r="97" spans="1:36" x14ac:dyDescent="0.3">
      <c r="A97" t="s">
        <v>131</v>
      </c>
      <c r="B97" s="2">
        <v>45440</v>
      </c>
      <c r="C97" t="s">
        <v>1650</v>
      </c>
      <c r="D97" t="s">
        <v>1819</v>
      </c>
      <c r="E97" t="s">
        <v>1946</v>
      </c>
      <c r="F97" t="s">
        <v>2240</v>
      </c>
      <c r="G97" t="s">
        <v>2247</v>
      </c>
      <c r="H97" t="s">
        <v>2257</v>
      </c>
      <c r="I97" t="s">
        <v>2262</v>
      </c>
      <c r="J97" t="s">
        <v>2266</v>
      </c>
      <c r="K97">
        <v>1</v>
      </c>
      <c r="L97">
        <v>110</v>
      </c>
      <c r="M97">
        <v>0.15</v>
      </c>
      <c r="N97">
        <v>110</v>
      </c>
      <c r="O97">
        <v>93.5</v>
      </c>
      <c r="P97" t="s">
        <v>2269</v>
      </c>
      <c r="Q97" t="s">
        <v>2272</v>
      </c>
      <c r="R97" t="s">
        <v>2279</v>
      </c>
      <c r="S97" t="s">
        <v>2284</v>
      </c>
      <c r="T97" t="s">
        <v>2288</v>
      </c>
      <c r="U97">
        <v>5</v>
      </c>
      <c r="W97">
        <v>51</v>
      </c>
      <c r="X97">
        <v>53.46</v>
      </c>
      <c r="Y97">
        <v>40.04</v>
      </c>
      <c r="Z97" t="s">
        <v>1761</v>
      </c>
      <c r="AA97" t="s">
        <v>2296</v>
      </c>
      <c r="AB97">
        <v>110</v>
      </c>
      <c r="AC97">
        <v>16.5</v>
      </c>
      <c r="AD97">
        <v>93.5</v>
      </c>
      <c r="AE97">
        <v>53.46</v>
      </c>
      <c r="AF97">
        <v>40.04</v>
      </c>
      <c r="AG97">
        <v>2024</v>
      </c>
      <c r="AH97">
        <v>5</v>
      </c>
      <c r="AI97" t="s">
        <v>2306</v>
      </c>
      <c r="AJ97" t="s">
        <v>2313</v>
      </c>
    </row>
    <row r="98" spans="1:36" x14ac:dyDescent="0.3">
      <c r="A98" t="s">
        <v>132</v>
      </c>
      <c r="B98" s="2">
        <v>45460</v>
      </c>
      <c r="C98" t="s">
        <v>1680</v>
      </c>
      <c r="D98" t="s">
        <v>1820</v>
      </c>
      <c r="E98" t="s">
        <v>2019</v>
      </c>
      <c r="F98" t="s">
        <v>2240</v>
      </c>
      <c r="G98" t="s">
        <v>2254</v>
      </c>
      <c r="H98" t="s">
        <v>2259</v>
      </c>
      <c r="I98" t="s">
        <v>2263</v>
      </c>
      <c r="J98" t="s">
        <v>2266</v>
      </c>
      <c r="K98">
        <v>2</v>
      </c>
      <c r="L98">
        <v>110</v>
      </c>
      <c r="M98">
        <v>0</v>
      </c>
      <c r="N98">
        <v>220</v>
      </c>
      <c r="O98">
        <v>220</v>
      </c>
      <c r="P98" t="s">
        <v>2269</v>
      </c>
      <c r="Q98" t="s">
        <v>2272</v>
      </c>
      <c r="R98" t="s">
        <v>2275</v>
      </c>
      <c r="S98" t="s">
        <v>2283</v>
      </c>
      <c r="T98" t="s">
        <v>2288</v>
      </c>
      <c r="V98">
        <v>168</v>
      </c>
      <c r="W98">
        <v>50</v>
      </c>
      <c r="X98">
        <v>44.91</v>
      </c>
      <c r="Y98">
        <v>130.18</v>
      </c>
      <c r="Z98" t="s">
        <v>2293</v>
      </c>
      <c r="AA98" t="s">
        <v>2299</v>
      </c>
      <c r="AB98">
        <v>220</v>
      </c>
      <c r="AC98">
        <v>0</v>
      </c>
      <c r="AD98">
        <v>220</v>
      </c>
      <c r="AE98">
        <v>89.82</v>
      </c>
      <c r="AF98">
        <v>130.18</v>
      </c>
      <c r="AG98">
        <v>2024</v>
      </c>
      <c r="AH98">
        <v>6</v>
      </c>
      <c r="AI98" t="s">
        <v>2304</v>
      </c>
      <c r="AJ98" t="s">
        <v>2314</v>
      </c>
    </row>
    <row r="99" spans="1:36" x14ac:dyDescent="0.3">
      <c r="A99" t="s">
        <v>133</v>
      </c>
      <c r="C99" t="s">
        <v>1644</v>
      </c>
      <c r="D99" t="s">
        <v>1787</v>
      </c>
      <c r="E99" t="s">
        <v>2020</v>
      </c>
      <c r="F99" t="s">
        <v>2239</v>
      </c>
      <c r="G99" t="s">
        <v>2248</v>
      </c>
      <c r="H99" t="s">
        <v>2257</v>
      </c>
      <c r="I99" t="s">
        <v>2262</v>
      </c>
      <c r="J99" t="s">
        <v>2265</v>
      </c>
      <c r="K99">
        <v>2</v>
      </c>
      <c r="L99">
        <v>155</v>
      </c>
      <c r="N99">
        <v>310</v>
      </c>
      <c r="P99" t="s">
        <v>2267</v>
      </c>
      <c r="Q99" t="s">
        <v>2271</v>
      </c>
      <c r="R99" t="s">
        <v>2276</v>
      </c>
      <c r="S99" t="s">
        <v>2282</v>
      </c>
      <c r="T99" t="s">
        <v>2290</v>
      </c>
      <c r="V99">
        <v>131</v>
      </c>
      <c r="W99">
        <v>19</v>
      </c>
      <c r="X99">
        <v>64.28</v>
      </c>
      <c r="Z99" t="s">
        <v>1761</v>
      </c>
      <c r="AA99" t="s">
        <v>2297</v>
      </c>
      <c r="AB99">
        <v>310</v>
      </c>
      <c r="AC99">
        <v>0</v>
      </c>
      <c r="AD99">
        <v>310</v>
      </c>
      <c r="AE99">
        <v>128.56</v>
      </c>
      <c r="AF99">
        <v>181.44</v>
      </c>
    </row>
    <row r="100" spans="1:36" x14ac:dyDescent="0.3">
      <c r="A100" t="s">
        <v>134</v>
      </c>
      <c r="B100" s="2">
        <v>45603</v>
      </c>
      <c r="C100" t="s">
        <v>1684</v>
      </c>
      <c r="D100" t="s">
        <v>1821</v>
      </c>
      <c r="E100" t="s">
        <v>2021</v>
      </c>
      <c r="F100" t="s">
        <v>2239</v>
      </c>
      <c r="G100" t="s">
        <v>2243</v>
      </c>
      <c r="H100" t="s">
        <v>2258</v>
      </c>
      <c r="I100" t="s">
        <v>2260</v>
      </c>
      <c r="J100" t="s">
        <v>2264</v>
      </c>
      <c r="K100">
        <v>2</v>
      </c>
      <c r="L100">
        <v>65</v>
      </c>
      <c r="M100">
        <v>0.1</v>
      </c>
      <c r="N100">
        <v>130</v>
      </c>
      <c r="O100">
        <v>117</v>
      </c>
      <c r="Q100" t="s">
        <v>2270</v>
      </c>
      <c r="R100" t="s">
        <v>2279</v>
      </c>
      <c r="S100" t="s">
        <v>2286</v>
      </c>
      <c r="T100" t="s">
        <v>2289</v>
      </c>
      <c r="U100">
        <v>4</v>
      </c>
      <c r="V100">
        <v>31</v>
      </c>
      <c r="X100">
        <v>34.28</v>
      </c>
      <c r="Y100">
        <v>48.44</v>
      </c>
      <c r="Z100" t="s">
        <v>2293</v>
      </c>
      <c r="AA100" t="s">
        <v>2297</v>
      </c>
      <c r="AB100">
        <v>130</v>
      </c>
      <c r="AC100">
        <v>13</v>
      </c>
      <c r="AD100">
        <v>117</v>
      </c>
      <c r="AE100">
        <v>68.56</v>
      </c>
      <c r="AF100">
        <v>48.44</v>
      </c>
      <c r="AG100">
        <v>2024</v>
      </c>
      <c r="AH100">
        <v>11</v>
      </c>
      <c r="AI100" t="s">
        <v>2311</v>
      </c>
      <c r="AJ100" t="s">
        <v>2316</v>
      </c>
    </row>
    <row r="101" spans="1:36" x14ac:dyDescent="0.3">
      <c r="A101" t="s">
        <v>135</v>
      </c>
      <c r="B101" s="2">
        <v>45343</v>
      </c>
      <c r="C101" t="s">
        <v>1660</v>
      </c>
      <c r="D101" t="s">
        <v>1822</v>
      </c>
      <c r="E101" t="s">
        <v>2022</v>
      </c>
      <c r="F101" t="s">
        <v>2239</v>
      </c>
      <c r="G101" t="s">
        <v>2244</v>
      </c>
      <c r="H101" t="s">
        <v>2257</v>
      </c>
      <c r="I101" t="s">
        <v>2262</v>
      </c>
      <c r="J101" t="s">
        <v>2265</v>
      </c>
      <c r="K101">
        <v>3</v>
      </c>
      <c r="L101">
        <v>120</v>
      </c>
      <c r="M101">
        <v>0.15</v>
      </c>
      <c r="N101">
        <v>360</v>
      </c>
      <c r="O101">
        <v>306</v>
      </c>
      <c r="P101" t="s">
        <v>2269</v>
      </c>
      <c r="Q101" t="s">
        <v>2270</v>
      </c>
      <c r="R101" t="s">
        <v>2278</v>
      </c>
      <c r="S101" t="s">
        <v>2286</v>
      </c>
      <c r="T101" t="s">
        <v>2288</v>
      </c>
      <c r="U101">
        <v>5</v>
      </c>
      <c r="W101">
        <v>43</v>
      </c>
      <c r="X101">
        <v>52.5</v>
      </c>
      <c r="Y101">
        <v>148.5</v>
      </c>
      <c r="Z101" t="s">
        <v>1761</v>
      </c>
      <c r="AA101" t="s">
        <v>1761</v>
      </c>
      <c r="AB101">
        <v>360</v>
      </c>
      <c r="AC101">
        <v>54</v>
      </c>
      <c r="AD101">
        <v>306</v>
      </c>
      <c r="AE101">
        <v>157.5</v>
      </c>
      <c r="AF101">
        <v>148.5</v>
      </c>
      <c r="AG101">
        <v>2024</v>
      </c>
      <c r="AH101">
        <v>2</v>
      </c>
      <c r="AI101" t="s">
        <v>2303</v>
      </c>
      <c r="AJ101" t="s">
        <v>2312</v>
      </c>
    </row>
    <row r="102" spans="1:36" x14ac:dyDescent="0.3">
      <c r="A102" t="s">
        <v>136</v>
      </c>
      <c r="B102" s="2">
        <v>45329</v>
      </c>
      <c r="C102" t="s">
        <v>1680</v>
      </c>
      <c r="D102" t="s">
        <v>1823</v>
      </c>
      <c r="E102" t="s">
        <v>2023</v>
      </c>
      <c r="F102" t="s">
        <v>1761</v>
      </c>
      <c r="G102" t="s">
        <v>2250</v>
      </c>
      <c r="H102" t="s">
        <v>2259</v>
      </c>
      <c r="I102" t="s">
        <v>2262</v>
      </c>
      <c r="J102" t="s">
        <v>2265</v>
      </c>
      <c r="K102">
        <v>1</v>
      </c>
      <c r="L102">
        <v>80</v>
      </c>
      <c r="M102">
        <v>0.15</v>
      </c>
      <c r="N102">
        <v>80</v>
      </c>
      <c r="O102">
        <v>68</v>
      </c>
      <c r="P102" t="s">
        <v>2268</v>
      </c>
      <c r="Q102" t="s">
        <v>2272</v>
      </c>
      <c r="R102" t="s">
        <v>2273</v>
      </c>
      <c r="S102" t="s">
        <v>2282</v>
      </c>
      <c r="T102" t="s">
        <v>2288</v>
      </c>
      <c r="U102">
        <v>5</v>
      </c>
      <c r="V102">
        <v>128</v>
      </c>
      <c r="W102">
        <v>44</v>
      </c>
      <c r="X102">
        <v>36.08</v>
      </c>
      <c r="Y102">
        <v>31.92</v>
      </c>
      <c r="Z102" t="s">
        <v>2291</v>
      </c>
      <c r="AA102" t="s">
        <v>2298</v>
      </c>
      <c r="AB102">
        <v>80</v>
      </c>
      <c r="AC102">
        <v>12</v>
      </c>
      <c r="AD102">
        <v>68</v>
      </c>
      <c r="AE102">
        <v>36.08</v>
      </c>
      <c r="AF102">
        <v>31.92</v>
      </c>
      <c r="AG102">
        <v>2024</v>
      </c>
      <c r="AH102">
        <v>2</v>
      </c>
      <c r="AI102" t="s">
        <v>2303</v>
      </c>
      <c r="AJ102" t="s">
        <v>2312</v>
      </c>
    </row>
    <row r="103" spans="1:36" x14ac:dyDescent="0.3">
      <c r="A103" t="s">
        <v>137</v>
      </c>
      <c r="B103" s="2">
        <v>45456</v>
      </c>
      <c r="C103" t="s">
        <v>1701</v>
      </c>
      <c r="D103" t="s">
        <v>1824</v>
      </c>
      <c r="E103" t="s">
        <v>2024</v>
      </c>
      <c r="F103" t="s">
        <v>2240</v>
      </c>
      <c r="G103" t="s">
        <v>2252</v>
      </c>
      <c r="H103" t="s">
        <v>2257</v>
      </c>
      <c r="I103" t="s">
        <v>2262</v>
      </c>
      <c r="J103" t="s">
        <v>2264</v>
      </c>
      <c r="K103">
        <v>1</v>
      </c>
      <c r="L103">
        <v>90</v>
      </c>
      <c r="M103">
        <v>0.05</v>
      </c>
      <c r="N103">
        <v>90</v>
      </c>
      <c r="O103">
        <v>85.5</v>
      </c>
      <c r="P103" t="s">
        <v>2269</v>
      </c>
      <c r="Q103" t="s">
        <v>2272</v>
      </c>
      <c r="R103" t="s">
        <v>2278</v>
      </c>
      <c r="S103" t="s">
        <v>2285</v>
      </c>
      <c r="T103" t="s">
        <v>2288</v>
      </c>
      <c r="U103">
        <v>2</v>
      </c>
      <c r="V103">
        <v>341</v>
      </c>
      <c r="W103">
        <v>35</v>
      </c>
      <c r="X103">
        <v>32.01</v>
      </c>
      <c r="Y103">
        <v>53.49</v>
      </c>
      <c r="Z103" t="s">
        <v>2294</v>
      </c>
      <c r="AA103" t="s">
        <v>2297</v>
      </c>
      <c r="AB103">
        <v>90</v>
      </c>
      <c r="AC103">
        <v>4.5</v>
      </c>
      <c r="AD103">
        <v>85.5</v>
      </c>
      <c r="AE103">
        <v>32.01</v>
      </c>
      <c r="AF103">
        <v>53.49</v>
      </c>
      <c r="AG103">
        <v>2024</v>
      </c>
      <c r="AH103">
        <v>6</v>
      </c>
      <c r="AI103" t="s">
        <v>2304</v>
      </c>
      <c r="AJ103" t="s">
        <v>2316</v>
      </c>
    </row>
    <row r="104" spans="1:36" x14ac:dyDescent="0.3">
      <c r="A104" t="s">
        <v>138</v>
      </c>
      <c r="B104" s="2">
        <v>45516</v>
      </c>
      <c r="C104" t="s">
        <v>1653</v>
      </c>
      <c r="D104" t="s">
        <v>1825</v>
      </c>
      <c r="E104" t="s">
        <v>1952</v>
      </c>
      <c r="F104" t="s">
        <v>2239</v>
      </c>
      <c r="G104" t="s">
        <v>2252</v>
      </c>
      <c r="H104" t="s">
        <v>2257</v>
      </c>
      <c r="I104" t="s">
        <v>2262</v>
      </c>
      <c r="J104" t="s">
        <v>2264</v>
      </c>
      <c r="K104">
        <v>4</v>
      </c>
      <c r="L104">
        <v>90</v>
      </c>
      <c r="M104">
        <v>0</v>
      </c>
      <c r="N104">
        <v>360</v>
      </c>
      <c r="O104">
        <v>360</v>
      </c>
      <c r="P104" t="s">
        <v>2269</v>
      </c>
      <c r="Q104" t="s">
        <v>2272</v>
      </c>
      <c r="R104" t="s">
        <v>2276</v>
      </c>
      <c r="S104" t="s">
        <v>2282</v>
      </c>
      <c r="T104" t="s">
        <v>2288</v>
      </c>
      <c r="V104">
        <v>459</v>
      </c>
      <c r="X104">
        <v>35.14</v>
      </c>
      <c r="Y104">
        <v>219.44</v>
      </c>
      <c r="Z104" t="s">
        <v>2291</v>
      </c>
      <c r="AA104" t="s">
        <v>2299</v>
      </c>
      <c r="AB104">
        <v>360</v>
      </c>
      <c r="AC104">
        <v>0</v>
      </c>
      <c r="AD104">
        <v>360</v>
      </c>
      <c r="AE104">
        <v>140.56</v>
      </c>
      <c r="AF104">
        <v>219.44</v>
      </c>
      <c r="AG104">
        <v>2024</v>
      </c>
      <c r="AH104">
        <v>8</v>
      </c>
      <c r="AI104" t="s">
        <v>2301</v>
      </c>
      <c r="AJ104" t="s">
        <v>2314</v>
      </c>
    </row>
    <row r="105" spans="1:36" x14ac:dyDescent="0.3">
      <c r="A105" t="s">
        <v>139</v>
      </c>
      <c r="B105" s="2">
        <v>45425</v>
      </c>
      <c r="C105" t="s">
        <v>1652</v>
      </c>
      <c r="D105" t="s">
        <v>1761</v>
      </c>
      <c r="E105" t="s">
        <v>1997</v>
      </c>
      <c r="F105" t="s">
        <v>1761</v>
      </c>
      <c r="G105" t="s">
        <v>2252</v>
      </c>
      <c r="H105" t="s">
        <v>2257</v>
      </c>
      <c r="I105" t="s">
        <v>2262</v>
      </c>
      <c r="J105" t="s">
        <v>2265</v>
      </c>
      <c r="K105">
        <v>2</v>
      </c>
      <c r="L105">
        <v>90</v>
      </c>
      <c r="M105">
        <v>0</v>
      </c>
      <c r="N105">
        <v>180</v>
      </c>
      <c r="O105">
        <v>180</v>
      </c>
      <c r="P105" t="s">
        <v>2267</v>
      </c>
      <c r="Q105" t="s">
        <v>2271</v>
      </c>
      <c r="R105" t="s">
        <v>2274</v>
      </c>
      <c r="S105" t="s">
        <v>2280</v>
      </c>
      <c r="T105" t="s">
        <v>2289</v>
      </c>
      <c r="U105">
        <v>2</v>
      </c>
      <c r="V105">
        <v>194</v>
      </c>
      <c r="W105">
        <v>58</v>
      </c>
      <c r="X105">
        <v>37.6</v>
      </c>
      <c r="Y105">
        <v>104.8</v>
      </c>
      <c r="Z105" t="s">
        <v>2293</v>
      </c>
      <c r="AA105" t="s">
        <v>2299</v>
      </c>
      <c r="AB105">
        <v>180</v>
      </c>
      <c r="AC105">
        <v>0</v>
      </c>
      <c r="AD105">
        <v>180</v>
      </c>
      <c r="AE105">
        <v>75.2</v>
      </c>
      <c r="AF105">
        <v>104.8</v>
      </c>
      <c r="AG105">
        <v>2024</v>
      </c>
      <c r="AH105">
        <v>5</v>
      </c>
      <c r="AI105" t="s">
        <v>2306</v>
      </c>
      <c r="AJ105" t="s">
        <v>2314</v>
      </c>
    </row>
    <row r="106" spans="1:36" x14ac:dyDescent="0.3">
      <c r="A106" t="s">
        <v>140</v>
      </c>
      <c r="B106" s="2">
        <v>45509</v>
      </c>
      <c r="C106" t="s">
        <v>1702</v>
      </c>
      <c r="D106" t="s">
        <v>1826</v>
      </c>
      <c r="E106" t="s">
        <v>2025</v>
      </c>
      <c r="F106" t="s">
        <v>2238</v>
      </c>
      <c r="G106" t="s">
        <v>2253</v>
      </c>
      <c r="H106" t="s">
        <v>2258</v>
      </c>
      <c r="I106" t="s">
        <v>2260</v>
      </c>
      <c r="K106">
        <v>2</v>
      </c>
      <c r="L106">
        <v>90</v>
      </c>
      <c r="M106">
        <v>0.05</v>
      </c>
      <c r="N106">
        <v>180</v>
      </c>
      <c r="O106">
        <v>171</v>
      </c>
      <c r="P106" t="s">
        <v>2268</v>
      </c>
      <c r="Q106" t="s">
        <v>2270</v>
      </c>
      <c r="R106" t="s">
        <v>2279</v>
      </c>
      <c r="S106" t="s">
        <v>2284</v>
      </c>
      <c r="T106" t="s">
        <v>2288</v>
      </c>
      <c r="U106">
        <v>5</v>
      </c>
      <c r="V106">
        <v>2</v>
      </c>
      <c r="W106">
        <v>15</v>
      </c>
      <c r="X106">
        <v>39.36</v>
      </c>
      <c r="Y106">
        <v>92.28</v>
      </c>
      <c r="Z106" t="s">
        <v>1761</v>
      </c>
      <c r="AA106" t="s">
        <v>2299</v>
      </c>
      <c r="AB106">
        <v>180</v>
      </c>
      <c r="AC106">
        <v>9</v>
      </c>
      <c r="AD106">
        <v>171</v>
      </c>
      <c r="AE106">
        <v>78.72</v>
      </c>
      <c r="AF106">
        <v>92.28</v>
      </c>
      <c r="AG106">
        <v>2024</v>
      </c>
      <c r="AH106">
        <v>8</v>
      </c>
      <c r="AI106" t="s">
        <v>2301</v>
      </c>
      <c r="AJ106" t="s">
        <v>2314</v>
      </c>
    </row>
    <row r="107" spans="1:36" x14ac:dyDescent="0.3">
      <c r="A107" t="s">
        <v>141</v>
      </c>
      <c r="B107" s="2">
        <v>45304</v>
      </c>
      <c r="C107" t="s">
        <v>1692</v>
      </c>
      <c r="D107" t="s">
        <v>1827</v>
      </c>
      <c r="E107" t="s">
        <v>2026</v>
      </c>
      <c r="F107" t="s">
        <v>2240</v>
      </c>
      <c r="G107" t="s">
        <v>2250</v>
      </c>
      <c r="H107" t="s">
        <v>2259</v>
      </c>
      <c r="I107" t="s">
        <v>2262</v>
      </c>
      <c r="J107" t="s">
        <v>2266</v>
      </c>
      <c r="K107">
        <v>3</v>
      </c>
      <c r="L107">
        <v>80</v>
      </c>
      <c r="M107">
        <v>0.1</v>
      </c>
      <c r="N107">
        <v>240</v>
      </c>
      <c r="O107">
        <v>216</v>
      </c>
      <c r="P107" t="s">
        <v>2268</v>
      </c>
      <c r="Q107" t="s">
        <v>2270</v>
      </c>
      <c r="R107" t="s">
        <v>2273</v>
      </c>
      <c r="S107" t="s">
        <v>2283</v>
      </c>
      <c r="T107" t="s">
        <v>2290</v>
      </c>
      <c r="U107">
        <v>2</v>
      </c>
      <c r="V107">
        <v>435</v>
      </c>
      <c r="W107">
        <v>14</v>
      </c>
      <c r="X107">
        <v>31.45</v>
      </c>
      <c r="Y107">
        <v>121.65</v>
      </c>
      <c r="Z107" t="s">
        <v>2294</v>
      </c>
      <c r="AA107" t="s">
        <v>1761</v>
      </c>
      <c r="AB107">
        <v>240</v>
      </c>
      <c r="AC107">
        <v>24</v>
      </c>
      <c r="AD107">
        <v>216</v>
      </c>
      <c r="AE107">
        <v>94.35</v>
      </c>
      <c r="AF107">
        <v>121.65</v>
      </c>
      <c r="AG107">
        <v>2024</v>
      </c>
      <c r="AH107">
        <v>1</v>
      </c>
      <c r="AI107" t="s">
        <v>2302</v>
      </c>
      <c r="AJ107" t="s">
        <v>2317</v>
      </c>
    </row>
    <row r="108" spans="1:36" x14ac:dyDescent="0.3">
      <c r="A108" t="s">
        <v>142</v>
      </c>
      <c r="B108" s="2">
        <v>45344</v>
      </c>
      <c r="C108" t="s">
        <v>1691</v>
      </c>
      <c r="D108" t="s">
        <v>1802</v>
      </c>
      <c r="E108" t="s">
        <v>2027</v>
      </c>
      <c r="F108" t="s">
        <v>1761</v>
      </c>
      <c r="G108" t="s">
        <v>2250</v>
      </c>
      <c r="H108" t="s">
        <v>2259</v>
      </c>
      <c r="I108" t="s">
        <v>2262</v>
      </c>
      <c r="J108" t="s">
        <v>2265</v>
      </c>
      <c r="K108">
        <v>4</v>
      </c>
      <c r="L108">
        <v>80</v>
      </c>
      <c r="M108">
        <v>0</v>
      </c>
      <c r="N108">
        <v>320</v>
      </c>
      <c r="O108">
        <v>320</v>
      </c>
      <c r="P108" t="s">
        <v>2269</v>
      </c>
      <c r="R108" t="s">
        <v>2278</v>
      </c>
      <c r="S108" t="s">
        <v>2284</v>
      </c>
      <c r="T108" t="s">
        <v>2288</v>
      </c>
      <c r="U108">
        <v>5</v>
      </c>
      <c r="V108">
        <v>248</v>
      </c>
      <c r="W108">
        <v>46</v>
      </c>
      <c r="X108">
        <v>33.51</v>
      </c>
      <c r="Y108">
        <v>185.96</v>
      </c>
      <c r="Z108" t="s">
        <v>1761</v>
      </c>
      <c r="AA108" t="s">
        <v>2297</v>
      </c>
      <c r="AB108">
        <v>320</v>
      </c>
      <c r="AC108">
        <v>0</v>
      </c>
      <c r="AD108">
        <v>320</v>
      </c>
      <c r="AE108">
        <v>134.04</v>
      </c>
      <c r="AF108">
        <v>185.96</v>
      </c>
      <c r="AG108">
        <v>2024</v>
      </c>
      <c r="AH108">
        <v>2</v>
      </c>
      <c r="AI108" t="s">
        <v>2303</v>
      </c>
      <c r="AJ108" t="s">
        <v>2316</v>
      </c>
    </row>
    <row r="109" spans="1:36" x14ac:dyDescent="0.3">
      <c r="A109" t="s">
        <v>143</v>
      </c>
      <c r="B109" s="2">
        <v>45382</v>
      </c>
      <c r="C109" t="s">
        <v>1693</v>
      </c>
      <c r="D109" t="s">
        <v>1777</v>
      </c>
      <c r="E109" t="s">
        <v>2004</v>
      </c>
      <c r="F109" t="s">
        <v>2239</v>
      </c>
      <c r="G109" t="s">
        <v>2244</v>
      </c>
      <c r="H109" t="s">
        <v>2257</v>
      </c>
      <c r="I109" t="s">
        <v>2262</v>
      </c>
      <c r="J109" t="s">
        <v>2265</v>
      </c>
      <c r="K109">
        <v>2</v>
      </c>
      <c r="L109">
        <v>125</v>
      </c>
      <c r="M109">
        <v>0.1</v>
      </c>
      <c r="N109">
        <v>250</v>
      </c>
      <c r="O109">
        <v>225</v>
      </c>
      <c r="P109" t="s">
        <v>2267</v>
      </c>
      <c r="Q109" t="s">
        <v>2270</v>
      </c>
      <c r="R109" t="s">
        <v>2275</v>
      </c>
      <c r="S109" t="s">
        <v>2285</v>
      </c>
      <c r="T109" t="s">
        <v>2288</v>
      </c>
      <c r="U109">
        <v>4</v>
      </c>
      <c r="V109">
        <v>82</v>
      </c>
      <c r="W109">
        <v>24</v>
      </c>
      <c r="X109">
        <v>45.31</v>
      </c>
      <c r="Y109">
        <v>134.38</v>
      </c>
      <c r="Z109" t="s">
        <v>2293</v>
      </c>
      <c r="AA109" t="s">
        <v>2296</v>
      </c>
      <c r="AB109">
        <v>250</v>
      </c>
      <c r="AC109">
        <v>25</v>
      </c>
      <c r="AD109">
        <v>225</v>
      </c>
      <c r="AE109">
        <v>90.62</v>
      </c>
      <c r="AF109">
        <v>134.38</v>
      </c>
      <c r="AG109">
        <v>2024</v>
      </c>
      <c r="AH109">
        <v>3</v>
      </c>
      <c r="AI109" t="s">
        <v>2305</v>
      </c>
      <c r="AJ109" t="s">
        <v>2318</v>
      </c>
    </row>
    <row r="110" spans="1:36" x14ac:dyDescent="0.3">
      <c r="A110" t="s">
        <v>144</v>
      </c>
      <c r="B110" s="2">
        <v>45641</v>
      </c>
      <c r="C110" t="s">
        <v>1702</v>
      </c>
      <c r="D110" t="s">
        <v>1754</v>
      </c>
      <c r="E110" t="s">
        <v>2028</v>
      </c>
      <c r="F110" t="s">
        <v>2239</v>
      </c>
      <c r="G110" t="s">
        <v>2246</v>
      </c>
      <c r="H110" t="s">
        <v>2259</v>
      </c>
      <c r="I110" t="s">
        <v>2262</v>
      </c>
      <c r="J110" t="s">
        <v>2264</v>
      </c>
      <c r="K110">
        <v>1</v>
      </c>
      <c r="L110">
        <v>90</v>
      </c>
      <c r="M110">
        <v>0</v>
      </c>
      <c r="N110">
        <v>90</v>
      </c>
      <c r="O110">
        <v>90</v>
      </c>
      <c r="P110" t="s">
        <v>2269</v>
      </c>
      <c r="Q110" t="s">
        <v>2270</v>
      </c>
      <c r="R110" t="s">
        <v>2275</v>
      </c>
      <c r="S110" t="s">
        <v>2283</v>
      </c>
      <c r="T110" t="s">
        <v>2290</v>
      </c>
      <c r="V110">
        <v>192</v>
      </c>
      <c r="W110">
        <v>24</v>
      </c>
      <c r="X110">
        <v>36.22</v>
      </c>
      <c r="Y110">
        <v>53.78</v>
      </c>
      <c r="Z110" t="s">
        <v>2293</v>
      </c>
      <c r="AA110" t="s">
        <v>2296</v>
      </c>
      <c r="AB110">
        <v>90</v>
      </c>
      <c r="AC110">
        <v>0</v>
      </c>
      <c r="AD110">
        <v>90</v>
      </c>
      <c r="AE110">
        <v>36.22</v>
      </c>
      <c r="AF110">
        <v>53.78</v>
      </c>
      <c r="AG110">
        <v>2024</v>
      </c>
      <c r="AH110">
        <v>12</v>
      </c>
      <c r="AI110" t="s">
        <v>2309</v>
      </c>
      <c r="AJ110" t="s">
        <v>2318</v>
      </c>
    </row>
    <row r="111" spans="1:36" x14ac:dyDescent="0.3">
      <c r="A111" t="s">
        <v>145</v>
      </c>
      <c r="B111" s="2">
        <v>45300</v>
      </c>
      <c r="C111" t="s">
        <v>1670</v>
      </c>
      <c r="D111" t="s">
        <v>1821</v>
      </c>
      <c r="E111" t="s">
        <v>2025</v>
      </c>
      <c r="F111" t="s">
        <v>2239</v>
      </c>
      <c r="G111" t="s">
        <v>2255</v>
      </c>
      <c r="H111" t="s">
        <v>2260</v>
      </c>
      <c r="I111" t="s">
        <v>2260</v>
      </c>
      <c r="J111" t="s">
        <v>2265</v>
      </c>
      <c r="K111">
        <v>1</v>
      </c>
      <c r="L111">
        <v>180</v>
      </c>
      <c r="M111">
        <v>0</v>
      </c>
      <c r="O111">
        <v>180</v>
      </c>
      <c r="P111" t="s">
        <v>2267</v>
      </c>
      <c r="Q111" t="s">
        <v>2272</v>
      </c>
      <c r="R111" t="s">
        <v>2273</v>
      </c>
      <c r="S111" t="s">
        <v>2285</v>
      </c>
      <c r="T111" t="s">
        <v>2288</v>
      </c>
      <c r="V111">
        <v>79</v>
      </c>
      <c r="W111">
        <v>24</v>
      </c>
      <c r="X111">
        <v>98.7</v>
      </c>
      <c r="Y111">
        <v>81.3</v>
      </c>
      <c r="Z111" t="s">
        <v>1761</v>
      </c>
      <c r="AA111" t="s">
        <v>2296</v>
      </c>
      <c r="AB111">
        <v>180</v>
      </c>
      <c r="AC111">
        <v>0</v>
      </c>
      <c r="AD111">
        <v>180</v>
      </c>
      <c r="AE111">
        <v>98.7</v>
      </c>
      <c r="AF111">
        <v>81.3</v>
      </c>
      <c r="AG111">
        <v>2024</v>
      </c>
      <c r="AH111">
        <v>1</v>
      </c>
      <c r="AI111" t="s">
        <v>2302</v>
      </c>
      <c r="AJ111" t="s">
        <v>2313</v>
      </c>
    </row>
    <row r="112" spans="1:36" x14ac:dyDescent="0.3">
      <c r="A112" t="s">
        <v>146</v>
      </c>
      <c r="B112" s="2">
        <v>45545</v>
      </c>
      <c r="C112" t="s">
        <v>1703</v>
      </c>
      <c r="D112" t="s">
        <v>1828</v>
      </c>
      <c r="E112" t="s">
        <v>1761</v>
      </c>
      <c r="F112" t="s">
        <v>2239</v>
      </c>
      <c r="G112" t="s">
        <v>2249</v>
      </c>
      <c r="H112" t="s">
        <v>2257</v>
      </c>
      <c r="I112" t="s">
        <v>2263</v>
      </c>
      <c r="J112" t="s">
        <v>2264</v>
      </c>
      <c r="K112">
        <v>1</v>
      </c>
      <c r="L112">
        <v>155</v>
      </c>
      <c r="M112">
        <v>0.05</v>
      </c>
      <c r="N112">
        <v>155</v>
      </c>
      <c r="O112">
        <v>147.25</v>
      </c>
      <c r="P112" t="s">
        <v>2269</v>
      </c>
      <c r="R112" t="s">
        <v>2279</v>
      </c>
      <c r="S112" t="s">
        <v>2283</v>
      </c>
      <c r="T112" t="s">
        <v>2288</v>
      </c>
      <c r="U112">
        <v>2</v>
      </c>
      <c r="V112">
        <v>185</v>
      </c>
      <c r="W112">
        <v>40</v>
      </c>
      <c r="X112">
        <v>57.67</v>
      </c>
      <c r="Y112">
        <v>89.58</v>
      </c>
      <c r="Z112" t="s">
        <v>2292</v>
      </c>
      <c r="AA112" t="s">
        <v>2296</v>
      </c>
      <c r="AB112">
        <v>155</v>
      </c>
      <c r="AC112">
        <v>7.75</v>
      </c>
      <c r="AD112">
        <v>147.25</v>
      </c>
      <c r="AE112">
        <v>57.67</v>
      </c>
      <c r="AF112">
        <v>89.58</v>
      </c>
      <c r="AG112">
        <v>2024</v>
      </c>
      <c r="AH112">
        <v>9</v>
      </c>
      <c r="AI112" t="s">
        <v>2300</v>
      </c>
      <c r="AJ112" t="s">
        <v>2313</v>
      </c>
    </row>
    <row r="113" spans="1:36" x14ac:dyDescent="0.3">
      <c r="A113" t="s">
        <v>147</v>
      </c>
      <c r="B113" s="2">
        <v>45351</v>
      </c>
      <c r="C113" t="s">
        <v>1703</v>
      </c>
      <c r="D113" t="s">
        <v>1829</v>
      </c>
      <c r="E113" t="s">
        <v>1761</v>
      </c>
      <c r="F113" t="s">
        <v>2238</v>
      </c>
      <c r="G113" t="s">
        <v>2245</v>
      </c>
      <c r="H113" t="s">
        <v>2257</v>
      </c>
      <c r="I113" t="s">
        <v>2263</v>
      </c>
      <c r="J113" t="s">
        <v>2266</v>
      </c>
      <c r="K113">
        <v>1</v>
      </c>
      <c r="L113">
        <v>150</v>
      </c>
      <c r="M113">
        <v>0.05</v>
      </c>
      <c r="N113">
        <v>150</v>
      </c>
      <c r="O113">
        <v>142.5</v>
      </c>
      <c r="P113" t="s">
        <v>2267</v>
      </c>
      <c r="Q113" t="s">
        <v>2270</v>
      </c>
      <c r="R113" t="s">
        <v>2278</v>
      </c>
      <c r="S113" t="s">
        <v>2283</v>
      </c>
      <c r="T113" t="s">
        <v>2288</v>
      </c>
      <c r="V113">
        <v>32</v>
      </c>
      <c r="W113">
        <v>49</v>
      </c>
      <c r="X113">
        <v>68.59</v>
      </c>
      <c r="Y113">
        <v>73.91</v>
      </c>
      <c r="Z113" t="s">
        <v>2293</v>
      </c>
      <c r="AA113" t="s">
        <v>2298</v>
      </c>
      <c r="AB113">
        <v>150</v>
      </c>
      <c r="AC113">
        <v>7.5</v>
      </c>
      <c r="AD113">
        <v>142.5</v>
      </c>
      <c r="AE113">
        <v>68.59</v>
      </c>
      <c r="AF113">
        <v>73.91</v>
      </c>
      <c r="AG113">
        <v>2024</v>
      </c>
      <c r="AH113">
        <v>2</v>
      </c>
      <c r="AI113" t="s">
        <v>2303</v>
      </c>
      <c r="AJ113" t="s">
        <v>2316</v>
      </c>
    </row>
    <row r="114" spans="1:36" x14ac:dyDescent="0.3">
      <c r="A114" t="s">
        <v>148</v>
      </c>
      <c r="B114" s="2">
        <v>45349</v>
      </c>
      <c r="C114" t="s">
        <v>1704</v>
      </c>
      <c r="D114" t="s">
        <v>1742</v>
      </c>
      <c r="E114" t="s">
        <v>2029</v>
      </c>
      <c r="F114" t="s">
        <v>2239</v>
      </c>
      <c r="G114" t="s">
        <v>2249</v>
      </c>
      <c r="H114" t="s">
        <v>2257</v>
      </c>
      <c r="I114" t="s">
        <v>2263</v>
      </c>
      <c r="J114" t="s">
        <v>2266</v>
      </c>
      <c r="K114">
        <v>1</v>
      </c>
      <c r="L114">
        <v>170</v>
      </c>
      <c r="M114">
        <v>0.1</v>
      </c>
      <c r="N114">
        <v>170</v>
      </c>
      <c r="O114">
        <v>153</v>
      </c>
      <c r="P114" t="s">
        <v>2267</v>
      </c>
      <c r="Q114" t="s">
        <v>2272</v>
      </c>
      <c r="R114" t="s">
        <v>2274</v>
      </c>
      <c r="S114" t="s">
        <v>2287</v>
      </c>
      <c r="T114" t="s">
        <v>2288</v>
      </c>
      <c r="U114">
        <v>4</v>
      </c>
      <c r="V114">
        <v>100</v>
      </c>
      <c r="W114">
        <v>53</v>
      </c>
      <c r="X114">
        <v>66.83</v>
      </c>
      <c r="Y114">
        <v>86.17</v>
      </c>
      <c r="Z114" t="s">
        <v>1761</v>
      </c>
      <c r="AA114" t="s">
        <v>2296</v>
      </c>
      <c r="AB114">
        <v>170</v>
      </c>
      <c r="AC114">
        <v>17</v>
      </c>
      <c r="AD114">
        <v>153</v>
      </c>
      <c r="AE114">
        <v>66.83</v>
      </c>
      <c r="AF114">
        <v>86.17</v>
      </c>
      <c r="AG114">
        <v>2024</v>
      </c>
      <c r="AH114">
        <v>2</v>
      </c>
      <c r="AI114" t="s">
        <v>2303</v>
      </c>
      <c r="AJ114" t="s">
        <v>2313</v>
      </c>
    </row>
    <row r="115" spans="1:36" x14ac:dyDescent="0.3">
      <c r="A115" t="s">
        <v>149</v>
      </c>
      <c r="B115" s="2">
        <v>45471</v>
      </c>
      <c r="C115" t="s">
        <v>1705</v>
      </c>
      <c r="D115" t="s">
        <v>1757</v>
      </c>
      <c r="E115" t="s">
        <v>2030</v>
      </c>
      <c r="F115" t="s">
        <v>2240</v>
      </c>
      <c r="G115" t="s">
        <v>2241</v>
      </c>
      <c r="H115" t="s">
        <v>2257</v>
      </c>
      <c r="I115" t="s">
        <v>2262</v>
      </c>
      <c r="J115" t="s">
        <v>2266</v>
      </c>
      <c r="K115">
        <v>4</v>
      </c>
      <c r="L115">
        <v>135</v>
      </c>
      <c r="M115">
        <v>0</v>
      </c>
      <c r="N115">
        <v>540</v>
      </c>
      <c r="O115">
        <v>540</v>
      </c>
      <c r="P115" t="s">
        <v>2269</v>
      </c>
      <c r="Q115" t="s">
        <v>2271</v>
      </c>
      <c r="R115" t="s">
        <v>2273</v>
      </c>
      <c r="S115" t="s">
        <v>2282</v>
      </c>
      <c r="T115" t="s">
        <v>2288</v>
      </c>
      <c r="U115">
        <v>5</v>
      </c>
      <c r="W115">
        <v>28</v>
      </c>
      <c r="X115">
        <v>68.64</v>
      </c>
      <c r="Y115">
        <v>265.44</v>
      </c>
      <c r="Z115" t="s">
        <v>1761</v>
      </c>
      <c r="AA115" t="s">
        <v>2297</v>
      </c>
      <c r="AB115">
        <v>540</v>
      </c>
      <c r="AC115">
        <v>0</v>
      </c>
      <c r="AD115">
        <v>540</v>
      </c>
      <c r="AE115">
        <v>274.56</v>
      </c>
      <c r="AF115">
        <v>265.44</v>
      </c>
      <c r="AG115">
        <v>2024</v>
      </c>
      <c r="AH115">
        <v>6</v>
      </c>
      <c r="AI115" t="s">
        <v>2304</v>
      </c>
      <c r="AJ115" t="s">
        <v>2315</v>
      </c>
    </row>
    <row r="116" spans="1:36" x14ac:dyDescent="0.3">
      <c r="A116" t="s">
        <v>150</v>
      </c>
      <c r="B116" s="2">
        <v>45448</v>
      </c>
      <c r="C116" t="s">
        <v>1706</v>
      </c>
      <c r="D116" t="s">
        <v>1762</v>
      </c>
      <c r="E116" t="s">
        <v>1960</v>
      </c>
      <c r="F116" t="s">
        <v>2240</v>
      </c>
      <c r="G116" t="s">
        <v>2251</v>
      </c>
      <c r="H116" t="s">
        <v>2258</v>
      </c>
      <c r="I116" t="s">
        <v>2260</v>
      </c>
      <c r="J116" t="s">
        <v>2265</v>
      </c>
      <c r="K116">
        <v>2</v>
      </c>
      <c r="L116">
        <v>95</v>
      </c>
      <c r="M116">
        <v>0</v>
      </c>
      <c r="O116">
        <v>190</v>
      </c>
      <c r="P116" t="s">
        <v>2269</v>
      </c>
      <c r="Q116" t="s">
        <v>2272</v>
      </c>
      <c r="R116" t="s">
        <v>2278</v>
      </c>
      <c r="S116" t="s">
        <v>2287</v>
      </c>
      <c r="T116" t="s">
        <v>2288</v>
      </c>
      <c r="U116">
        <v>3</v>
      </c>
      <c r="V116">
        <v>132</v>
      </c>
      <c r="W116">
        <v>49</v>
      </c>
      <c r="X116">
        <v>42.29</v>
      </c>
      <c r="Y116">
        <v>105.42</v>
      </c>
      <c r="Z116" t="s">
        <v>2294</v>
      </c>
      <c r="AA116" t="s">
        <v>2296</v>
      </c>
      <c r="AB116">
        <v>190</v>
      </c>
      <c r="AC116">
        <v>0</v>
      </c>
      <c r="AD116">
        <v>190</v>
      </c>
      <c r="AE116">
        <v>84.58</v>
      </c>
      <c r="AF116">
        <v>105.42</v>
      </c>
      <c r="AG116">
        <v>2024</v>
      </c>
      <c r="AH116">
        <v>6</v>
      </c>
      <c r="AI116" t="s">
        <v>2304</v>
      </c>
      <c r="AJ116" t="s">
        <v>2312</v>
      </c>
    </row>
    <row r="117" spans="1:36" x14ac:dyDescent="0.3">
      <c r="A117" t="s">
        <v>151</v>
      </c>
      <c r="B117" s="2">
        <v>45351</v>
      </c>
      <c r="C117" t="s">
        <v>1663</v>
      </c>
      <c r="D117" t="s">
        <v>1761</v>
      </c>
      <c r="E117" t="s">
        <v>2031</v>
      </c>
      <c r="F117" t="s">
        <v>2238</v>
      </c>
      <c r="G117" t="s">
        <v>2249</v>
      </c>
      <c r="H117" t="s">
        <v>2257</v>
      </c>
      <c r="I117" t="s">
        <v>2263</v>
      </c>
      <c r="J117" t="s">
        <v>2265</v>
      </c>
      <c r="K117">
        <v>1</v>
      </c>
      <c r="L117">
        <v>165</v>
      </c>
      <c r="M117">
        <v>0.1</v>
      </c>
      <c r="N117">
        <v>165</v>
      </c>
      <c r="O117">
        <v>148.5</v>
      </c>
      <c r="P117" t="s">
        <v>2268</v>
      </c>
      <c r="Q117" t="s">
        <v>2272</v>
      </c>
      <c r="R117" t="s">
        <v>2279</v>
      </c>
      <c r="S117" t="s">
        <v>2283</v>
      </c>
      <c r="T117" t="s">
        <v>2288</v>
      </c>
      <c r="U117">
        <v>1</v>
      </c>
      <c r="V117">
        <v>499</v>
      </c>
      <c r="W117">
        <v>29</v>
      </c>
      <c r="X117">
        <v>77.02</v>
      </c>
      <c r="Y117">
        <v>71.48</v>
      </c>
      <c r="Z117" t="s">
        <v>2291</v>
      </c>
      <c r="AA117" t="s">
        <v>2299</v>
      </c>
      <c r="AB117">
        <v>165</v>
      </c>
      <c r="AC117">
        <v>16.5</v>
      </c>
      <c r="AD117">
        <v>148.5</v>
      </c>
      <c r="AE117">
        <v>77.02</v>
      </c>
      <c r="AF117">
        <v>71.48</v>
      </c>
      <c r="AG117">
        <v>2024</v>
      </c>
      <c r="AH117">
        <v>2</v>
      </c>
      <c r="AI117" t="s">
        <v>2303</v>
      </c>
      <c r="AJ117" t="s">
        <v>2316</v>
      </c>
    </row>
    <row r="118" spans="1:36" x14ac:dyDescent="0.3">
      <c r="A118" t="s">
        <v>152</v>
      </c>
      <c r="B118" s="2">
        <v>45656</v>
      </c>
      <c r="C118" t="s">
        <v>1700</v>
      </c>
      <c r="D118" t="s">
        <v>1784</v>
      </c>
      <c r="E118" t="s">
        <v>1761</v>
      </c>
      <c r="F118" t="s">
        <v>2239</v>
      </c>
      <c r="G118" t="s">
        <v>2253</v>
      </c>
      <c r="H118" t="s">
        <v>2258</v>
      </c>
      <c r="I118" t="s">
        <v>2260</v>
      </c>
      <c r="J118" t="s">
        <v>2266</v>
      </c>
      <c r="K118">
        <v>1</v>
      </c>
      <c r="L118">
        <v>90</v>
      </c>
      <c r="N118">
        <v>90</v>
      </c>
      <c r="P118" t="s">
        <v>2268</v>
      </c>
      <c r="Q118" t="s">
        <v>2270</v>
      </c>
      <c r="R118" t="s">
        <v>2276</v>
      </c>
      <c r="S118" t="s">
        <v>2281</v>
      </c>
      <c r="T118" t="s">
        <v>2288</v>
      </c>
      <c r="U118">
        <v>5</v>
      </c>
      <c r="V118">
        <v>170</v>
      </c>
      <c r="W118">
        <v>38</v>
      </c>
      <c r="X118">
        <v>50.91</v>
      </c>
      <c r="Z118" t="s">
        <v>2291</v>
      </c>
      <c r="AA118" t="s">
        <v>2299</v>
      </c>
      <c r="AB118">
        <v>90</v>
      </c>
      <c r="AC118">
        <v>0</v>
      </c>
      <c r="AD118">
        <v>90</v>
      </c>
      <c r="AE118">
        <v>50.91</v>
      </c>
      <c r="AF118">
        <v>39.090000000000003</v>
      </c>
      <c r="AG118">
        <v>2024</v>
      </c>
      <c r="AH118">
        <v>12</v>
      </c>
      <c r="AI118" t="s">
        <v>2309</v>
      </c>
      <c r="AJ118" t="s">
        <v>2314</v>
      </c>
    </row>
    <row r="119" spans="1:36" x14ac:dyDescent="0.3">
      <c r="A119" t="s">
        <v>153</v>
      </c>
      <c r="B119" s="2">
        <v>45297</v>
      </c>
      <c r="C119" t="s">
        <v>1707</v>
      </c>
      <c r="D119" t="s">
        <v>1830</v>
      </c>
      <c r="E119" t="s">
        <v>2032</v>
      </c>
      <c r="F119" t="s">
        <v>2239</v>
      </c>
      <c r="G119" t="s">
        <v>2246</v>
      </c>
      <c r="H119" t="s">
        <v>2259</v>
      </c>
      <c r="I119" t="s">
        <v>2262</v>
      </c>
      <c r="J119" t="s">
        <v>2265</v>
      </c>
      <c r="K119">
        <v>2</v>
      </c>
      <c r="L119">
        <v>100</v>
      </c>
      <c r="M119">
        <v>0</v>
      </c>
      <c r="N119">
        <v>200</v>
      </c>
      <c r="O119">
        <v>200</v>
      </c>
      <c r="P119" t="s">
        <v>2267</v>
      </c>
      <c r="Q119" t="s">
        <v>2270</v>
      </c>
      <c r="R119" t="s">
        <v>2273</v>
      </c>
      <c r="S119" t="s">
        <v>2287</v>
      </c>
      <c r="T119" t="s">
        <v>2288</v>
      </c>
      <c r="V119">
        <v>66</v>
      </c>
      <c r="W119">
        <v>31</v>
      </c>
      <c r="X119">
        <v>47.12</v>
      </c>
      <c r="Y119">
        <v>105.76</v>
      </c>
      <c r="Z119" t="s">
        <v>2293</v>
      </c>
      <c r="AA119" t="s">
        <v>2297</v>
      </c>
      <c r="AB119">
        <v>200</v>
      </c>
      <c r="AC119">
        <v>0</v>
      </c>
      <c r="AD119">
        <v>200</v>
      </c>
      <c r="AE119">
        <v>94.24</v>
      </c>
      <c r="AF119">
        <v>105.76</v>
      </c>
      <c r="AG119">
        <v>2024</v>
      </c>
      <c r="AH119">
        <v>1</v>
      </c>
      <c r="AI119" t="s">
        <v>2302</v>
      </c>
      <c r="AJ119" t="s">
        <v>2317</v>
      </c>
    </row>
    <row r="120" spans="1:36" x14ac:dyDescent="0.3">
      <c r="A120" t="s">
        <v>154</v>
      </c>
      <c r="B120" s="2">
        <v>45590</v>
      </c>
      <c r="C120" t="s">
        <v>1698</v>
      </c>
      <c r="D120" t="s">
        <v>1771</v>
      </c>
      <c r="E120" t="s">
        <v>2033</v>
      </c>
      <c r="F120" t="s">
        <v>2240</v>
      </c>
      <c r="G120" t="s">
        <v>2243</v>
      </c>
      <c r="H120" t="s">
        <v>2258</v>
      </c>
      <c r="I120" t="s">
        <v>2260</v>
      </c>
      <c r="J120" t="s">
        <v>2264</v>
      </c>
      <c r="L120">
        <v>70</v>
      </c>
      <c r="M120">
        <v>0</v>
      </c>
      <c r="N120">
        <v>140</v>
      </c>
      <c r="O120">
        <v>140</v>
      </c>
      <c r="Q120" t="s">
        <v>2272</v>
      </c>
      <c r="R120" t="s">
        <v>2279</v>
      </c>
      <c r="S120" t="s">
        <v>2281</v>
      </c>
      <c r="T120" t="s">
        <v>2288</v>
      </c>
      <c r="U120">
        <v>1</v>
      </c>
      <c r="V120">
        <v>280</v>
      </c>
      <c r="W120">
        <v>50</v>
      </c>
      <c r="X120">
        <v>26.66</v>
      </c>
      <c r="Y120">
        <v>86.68</v>
      </c>
      <c r="Z120" t="s">
        <v>1761</v>
      </c>
      <c r="AA120" t="s">
        <v>2298</v>
      </c>
      <c r="AG120">
        <v>2024</v>
      </c>
      <c r="AH120">
        <v>10</v>
      </c>
      <c r="AI120" t="s">
        <v>2310</v>
      </c>
      <c r="AJ120" t="s">
        <v>2315</v>
      </c>
    </row>
    <row r="121" spans="1:36" x14ac:dyDescent="0.3">
      <c r="A121" t="s">
        <v>155</v>
      </c>
      <c r="B121" s="2">
        <v>45517</v>
      </c>
      <c r="C121" t="s">
        <v>1676</v>
      </c>
      <c r="D121" t="s">
        <v>1809</v>
      </c>
      <c r="E121" t="s">
        <v>2034</v>
      </c>
      <c r="F121" t="s">
        <v>1761</v>
      </c>
      <c r="G121" t="s">
        <v>2241</v>
      </c>
      <c r="H121" t="s">
        <v>2257</v>
      </c>
      <c r="I121" t="s">
        <v>2262</v>
      </c>
      <c r="J121" t="s">
        <v>2265</v>
      </c>
      <c r="K121">
        <v>2</v>
      </c>
      <c r="L121">
        <v>130</v>
      </c>
      <c r="M121">
        <v>0.15</v>
      </c>
      <c r="N121">
        <v>260</v>
      </c>
      <c r="O121">
        <v>221</v>
      </c>
      <c r="P121" t="s">
        <v>2269</v>
      </c>
      <c r="Q121" t="s">
        <v>2272</v>
      </c>
      <c r="R121" t="s">
        <v>2279</v>
      </c>
      <c r="S121" t="s">
        <v>2287</v>
      </c>
      <c r="T121" t="s">
        <v>2288</v>
      </c>
      <c r="U121">
        <v>2</v>
      </c>
      <c r="V121">
        <v>304</v>
      </c>
      <c r="X121">
        <v>47.99</v>
      </c>
      <c r="Y121">
        <v>125.02</v>
      </c>
      <c r="Z121" t="s">
        <v>2293</v>
      </c>
      <c r="AA121" t="s">
        <v>2296</v>
      </c>
      <c r="AB121">
        <v>260</v>
      </c>
      <c r="AC121">
        <v>39</v>
      </c>
      <c r="AD121">
        <v>221</v>
      </c>
      <c r="AE121">
        <v>95.98</v>
      </c>
      <c r="AF121">
        <v>125.02</v>
      </c>
      <c r="AG121">
        <v>2024</v>
      </c>
      <c r="AH121">
        <v>8</v>
      </c>
      <c r="AI121" t="s">
        <v>2301</v>
      </c>
      <c r="AJ121" t="s">
        <v>2313</v>
      </c>
    </row>
    <row r="122" spans="1:36" x14ac:dyDescent="0.3">
      <c r="A122" t="s">
        <v>156</v>
      </c>
      <c r="B122" s="2">
        <v>45467</v>
      </c>
      <c r="C122" t="s">
        <v>1708</v>
      </c>
      <c r="D122" t="s">
        <v>1756</v>
      </c>
      <c r="E122" t="s">
        <v>2035</v>
      </c>
      <c r="F122" t="s">
        <v>2239</v>
      </c>
      <c r="G122" t="s">
        <v>2253</v>
      </c>
      <c r="H122" t="s">
        <v>2258</v>
      </c>
      <c r="I122" t="s">
        <v>2260</v>
      </c>
      <c r="J122" t="s">
        <v>2265</v>
      </c>
      <c r="K122">
        <v>1</v>
      </c>
      <c r="L122">
        <v>90</v>
      </c>
      <c r="M122">
        <v>0.15</v>
      </c>
      <c r="N122">
        <v>90</v>
      </c>
      <c r="O122">
        <v>76.5</v>
      </c>
      <c r="P122" t="s">
        <v>2269</v>
      </c>
      <c r="Q122" t="s">
        <v>2270</v>
      </c>
      <c r="R122" t="s">
        <v>2278</v>
      </c>
      <c r="S122" t="s">
        <v>2280</v>
      </c>
      <c r="T122" t="s">
        <v>2289</v>
      </c>
      <c r="U122">
        <v>5</v>
      </c>
      <c r="V122">
        <v>148</v>
      </c>
      <c r="X122">
        <v>41.34</v>
      </c>
      <c r="Y122">
        <v>35.159999999999997</v>
      </c>
      <c r="Z122" t="s">
        <v>2293</v>
      </c>
      <c r="AA122" t="s">
        <v>2299</v>
      </c>
      <c r="AB122">
        <v>90</v>
      </c>
      <c r="AC122">
        <v>13.5</v>
      </c>
      <c r="AD122">
        <v>76.5</v>
      </c>
      <c r="AE122">
        <v>41.34</v>
      </c>
      <c r="AF122">
        <v>35.159999999999997</v>
      </c>
      <c r="AG122">
        <v>2024</v>
      </c>
      <c r="AH122">
        <v>6</v>
      </c>
      <c r="AI122" t="s">
        <v>2304</v>
      </c>
      <c r="AJ122" t="s">
        <v>2314</v>
      </c>
    </row>
    <row r="123" spans="1:36" x14ac:dyDescent="0.3">
      <c r="A123" t="s">
        <v>157</v>
      </c>
      <c r="B123" s="2">
        <v>45331</v>
      </c>
      <c r="C123" t="s">
        <v>1665</v>
      </c>
      <c r="D123" t="s">
        <v>1831</v>
      </c>
      <c r="E123" t="s">
        <v>2036</v>
      </c>
      <c r="F123" t="s">
        <v>2239</v>
      </c>
      <c r="G123" t="s">
        <v>2252</v>
      </c>
      <c r="H123" t="s">
        <v>2257</v>
      </c>
      <c r="I123" t="s">
        <v>2262</v>
      </c>
      <c r="J123" t="s">
        <v>2265</v>
      </c>
      <c r="K123">
        <v>1</v>
      </c>
      <c r="L123">
        <v>90</v>
      </c>
      <c r="M123">
        <v>0</v>
      </c>
      <c r="N123">
        <v>90</v>
      </c>
      <c r="O123">
        <v>90</v>
      </c>
      <c r="P123" t="s">
        <v>2267</v>
      </c>
      <c r="Q123" t="s">
        <v>2272</v>
      </c>
      <c r="R123" t="s">
        <v>2275</v>
      </c>
      <c r="S123" t="s">
        <v>2284</v>
      </c>
      <c r="T123" t="s">
        <v>2290</v>
      </c>
      <c r="U123">
        <v>3</v>
      </c>
      <c r="V123">
        <v>124</v>
      </c>
      <c r="W123">
        <v>59</v>
      </c>
      <c r="X123">
        <v>50.85</v>
      </c>
      <c r="Y123">
        <v>39.15</v>
      </c>
      <c r="Z123" t="s">
        <v>2293</v>
      </c>
      <c r="AA123" t="s">
        <v>2296</v>
      </c>
      <c r="AB123">
        <v>90</v>
      </c>
      <c r="AC123">
        <v>0</v>
      </c>
      <c r="AD123">
        <v>90</v>
      </c>
      <c r="AE123">
        <v>50.85</v>
      </c>
      <c r="AF123">
        <v>39.15</v>
      </c>
      <c r="AG123">
        <v>2024</v>
      </c>
      <c r="AH123">
        <v>2</v>
      </c>
      <c r="AI123" t="s">
        <v>2303</v>
      </c>
      <c r="AJ123" t="s">
        <v>2315</v>
      </c>
    </row>
    <row r="124" spans="1:36" x14ac:dyDescent="0.3">
      <c r="A124" t="s">
        <v>158</v>
      </c>
      <c r="B124" s="2">
        <v>45297</v>
      </c>
      <c r="C124" t="s">
        <v>1638</v>
      </c>
      <c r="D124" t="s">
        <v>1756</v>
      </c>
      <c r="E124" t="s">
        <v>2037</v>
      </c>
      <c r="F124" t="s">
        <v>2238</v>
      </c>
      <c r="G124" t="s">
        <v>2245</v>
      </c>
      <c r="H124" t="s">
        <v>2257</v>
      </c>
      <c r="I124" t="s">
        <v>2263</v>
      </c>
      <c r="J124" t="s">
        <v>2264</v>
      </c>
      <c r="K124">
        <v>1</v>
      </c>
      <c r="L124">
        <v>145</v>
      </c>
      <c r="M124">
        <v>0.1</v>
      </c>
      <c r="N124">
        <v>145</v>
      </c>
      <c r="O124">
        <v>130.5</v>
      </c>
      <c r="P124" t="s">
        <v>2267</v>
      </c>
      <c r="Q124" t="s">
        <v>2270</v>
      </c>
      <c r="R124" t="s">
        <v>2277</v>
      </c>
      <c r="S124" t="s">
        <v>2285</v>
      </c>
      <c r="T124" t="s">
        <v>2288</v>
      </c>
      <c r="U124">
        <v>5</v>
      </c>
      <c r="V124">
        <v>143</v>
      </c>
      <c r="W124">
        <v>51</v>
      </c>
      <c r="X124">
        <v>70.849999999999994</v>
      </c>
      <c r="Y124">
        <v>59.65</v>
      </c>
      <c r="Z124" t="s">
        <v>2293</v>
      </c>
      <c r="AA124" t="s">
        <v>2296</v>
      </c>
      <c r="AB124">
        <v>145</v>
      </c>
      <c r="AC124">
        <v>14.5</v>
      </c>
      <c r="AD124">
        <v>130.5</v>
      </c>
      <c r="AE124">
        <v>70.849999999999994</v>
      </c>
      <c r="AF124">
        <v>59.650000000000013</v>
      </c>
      <c r="AG124">
        <v>2024</v>
      </c>
      <c r="AH124">
        <v>1</v>
      </c>
      <c r="AI124" t="s">
        <v>2302</v>
      </c>
      <c r="AJ124" t="s">
        <v>2317</v>
      </c>
    </row>
    <row r="125" spans="1:36" x14ac:dyDescent="0.3">
      <c r="A125" t="s">
        <v>159</v>
      </c>
      <c r="B125" s="2">
        <v>45546</v>
      </c>
      <c r="C125" t="s">
        <v>1657</v>
      </c>
      <c r="D125" t="s">
        <v>1775</v>
      </c>
      <c r="E125" t="s">
        <v>2038</v>
      </c>
      <c r="F125" t="s">
        <v>2238</v>
      </c>
      <c r="G125" t="s">
        <v>2244</v>
      </c>
      <c r="H125" t="s">
        <v>2257</v>
      </c>
      <c r="I125" t="s">
        <v>2262</v>
      </c>
      <c r="J125" t="s">
        <v>2265</v>
      </c>
      <c r="K125">
        <v>2</v>
      </c>
      <c r="L125">
        <v>115</v>
      </c>
      <c r="M125">
        <v>0.1</v>
      </c>
      <c r="N125">
        <v>230</v>
      </c>
      <c r="O125">
        <v>207</v>
      </c>
      <c r="P125" t="s">
        <v>2269</v>
      </c>
      <c r="Q125" t="s">
        <v>2272</v>
      </c>
      <c r="R125" t="s">
        <v>2274</v>
      </c>
      <c r="S125" t="s">
        <v>2281</v>
      </c>
      <c r="T125" t="s">
        <v>2290</v>
      </c>
      <c r="V125">
        <v>241</v>
      </c>
      <c r="X125">
        <v>60.85</v>
      </c>
      <c r="Y125">
        <v>85.3</v>
      </c>
      <c r="Z125" t="s">
        <v>2291</v>
      </c>
      <c r="AA125" t="s">
        <v>2298</v>
      </c>
      <c r="AB125">
        <v>230</v>
      </c>
      <c r="AC125">
        <v>23</v>
      </c>
      <c r="AD125">
        <v>207</v>
      </c>
      <c r="AE125">
        <v>121.7</v>
      </c>
      <c r="AF125">
        <v>85.3</v>
      </c>
      <c r="AG125">
        <v>2024</v>
      </c>
      <c r="AH125">
        <v>9</v>
      </c>
      <c r="AI125" t="s">
        <v>2300</v>
      </c>
      <c r="AJ125" t="s">
        <v>2312</v>
      </c>
    </row>
    <row r="126" spans="1:36" x14ac:dyDescent="0.3">
      <c r="A126" t="s">
        <v>160</v>
      </c>
      <c r="B126" s="2">
        <v>45401</v>
      </c>
      <c r="C126" t="s">
        <v>1656</v>
      </c>
      <c r="D126" t="s">
        <v>1816</v>
      </c>
      <c r="E126" t="s">
        <v>1953</v>
      </c>
      <c r="F126" t="s">
        <v>2238</v>
      </c>
      <c r="G126" t="s">
        <v>2255</v>
      </c>
      <c r="H126" t="s">
        <v>2260</v>
      </c>
      <c r="I126" t="s">
        <v>2260</v>
      </c>
      <c r="J126" t="s">
        <v>2265</v>
      </c>
      <c r="K126">
        <v>3</v>
      </c>
      <c r="L126">
        <v>175</v>
      </c>
      <c r="M126">
        <v>0.1</v>
      </c>
      <c r="N126">
        <v>525</v>
      </c>
      <c r="O126">
        <v>472.5</v>
      </c>
      <c r="P126" t="s">
        <v>2269</v>
      </c>
      <c r="Q126" t="s">
        <v>2272</v>
      </c>
      <c r="R126" t="s">
        <v>2273</v>
      </c>
      <c r="S126" t="s">
        <v>2284</v>
      </c>
      <c r="T126" t="s">
        <v>2288</v>
      </c>
      <c r="V126">
        <v>258</v>
      </c>
      <c r="X126">
        <v>102.09</v>
      </c>
      <c r="Y126">
        <v>166.23</v>
      </c>
      <c r="Z126" t="s">
        <v>2293</v>
      </c>
      <c r="AA126" t="s">
        <v>2296</v>
      </c>
      <c r="AB126">
        <v>525</v>
      </c>
      <c r="AC126">
        <v>52.5</v>
      </c>
      <c r="AD126">
        <v>472.5</v>
      </c>
      <c r="AE126">
        <v>306.27</v>
      </c>
      <c r="AF126">
        <v>166.23</v>
      </c>
      <c r="AG126">
        <v>2024</v>
      </c>
      <c r="AH126">
        <v>4</v>
      </c>
      <c r="AI126" t="s">
        <v>2308</v>
      </c>
      <c r="AJ126" t="s">
        <v>2315</v>
      </c>
    </row>
    <row r="127" spans="1:36" x14ac:dyDescent="0.3">
      <c r="A127" t="s">
        <v>161</v>
      </c>
      <c r="B127" s="2">
        <v>45391</v>
      </c>
      <c r="C127" t="s">
        <v>1701</v>
      </c>
      <c r="D127" t="s">
        <v>1832</v>
      </c>
      <c r="E127" t="s">
        <v>2016</v>
      </c>
      <c r="F127" t="s">
        <v>2239</v>
      </c>
      <c r="G127" t="s">
        <v>2241</v>
      </c>
      <c r="H127" t="s">
        <v>2257</v>
      </c>
      <c r="I127" t="s">
        <v>2262</v>
      </c>
      <c r="J127" t="s">
        <v>2266</v>
      </c>
      <c r="K127">
        <v>1</v>
      </c>
      <c r="L127">
        <v>135</v>
      </c>
      <c r="M127">
        <v>0</v>
      </c>
      <c r="N127">
        <v>135</v>
      </c>
      <c r="O127">
        <v>135</v>
      </c>
      <c r="P127" t="s">
        <v>2267</v>
      </c>
      <c r="R127" t="s">
        <v>2275</v>
      </c>
      <c r="S127" t="s">
        <v>2282</v>
      </c>
      <c r="T127" t="s">
        <v>2290</v>
      </c>
      <c r="U127">
        <v>2</v>
      </c>
      <c r="V127">
        <v>364</v>
      </c>
      <c r="W127">
        <v>54</v>
      </c>
      <c r="X127">
        <v>75.58</v>
      </c>
      <c r="Y127">
        <v>59.42</v>
      </c>
      <c r="Z127" t="s">
        <v>2293</v>
      </c>
      <c r="AA127" t="s">
        <v>2298</v>
      </c>
      <c r="AB127">
        <v>135</v>
      </c>
      <c r="AC127">
        <v>0</v>
      </c>
      <c r="AD127">
        <v>135</v>
      </c>
      <c r="AE127">
        <v>75.58</v>
      </c>
      <c r="AF127">
        <v>59.42</v>
      </c>
      <c r="AG127">
        <v>2024</v>
      </c>
      <c r="AH127">
        <v>4</v>
      </c>
      <c r="AI127" t="s">
        <v>2308</v>
      </c>
      <c r="AJ127" t="s">
        <v>2313</v>
      </c>
    </row>
    <row r="128" spans="1:36" x14ac:dyDescent="0.3">
      <c r="A128" t="s">
        <v>162</v>
      </c>
      <c r="B128" s="2">
        <v>45473</v>
      </c>
      <c r="C128" t="s">
        <v>1678</v>
      </c>
      <c r="D128" t="s">
        <v>1790</v>
      </c>
      <c r="E128" t="s">
        <v>2039</v>
      </c>
      <c r="F128" t="s">
        <v>2239</v>
      </c>
      <c r="G128" t="s">
        <v>2242</v>
      </c>
      <c r="H128" t="s">
        <v>2258</v>
      </c>
      <c r="I128" t="s">
        <v>2260</v>
      </c>
      <c r="J128" t="s">
        <v>2266</v>
      </c>
      <c r="K128">
        <v>1</v>
      </c>
      <c r="L128">
        <v>130</v>
      </c>
      <c r="M128">
        <v>0.15</v>
      </c>
      <c r="N128">
        <v>130</v>
      </c>
      <c r="O128">
        <v>110.5</v>
      </c>
      <c r="P128" t="s">
        <v>2267</v>
      </c>
      <c r="Q128" t="s">
        <v>2270</v>
      </c>
      <c r="R128" t="s">
        <v>2276</v>
      </c>
      <c r="S128" t="s">
        <v>2285</v>
      </c>
      <c r="T128" t="s">
        <v>2289</v>
      </c>
      <c r="U128">
        <v>5</v>
      </c>
      <c r="V128">
        <v>150</v>
      </c>
      <c r="W128">
        <v>26</v>
      </c>
      <c r="X128">
        <v>51.98</v>
      </c>
      <c r="Y128">
        <v>58.52</v>
      </c>
      <c r="Z128" t="s">
        <v>2293</v>
      </c>
      <c r="AA128" t="s">
        <v>2299</v>
      </c>
      <c r="AB128">
        <v>130</v>
      </c>
      <c r="AC128">
        <v>19.5</v>
      </c>
      <c r="AD128">
        <v>110.5</v>
      </c>
      <c r="AE128">
        <v>51.98</v>
      </c>
      <c r="AF128">
        <v>58.52</v>
      </c>
      <c r="AG128">
        <v>2024</v>
      </c>
      <c r="AH128">
        <v>6</v>
      </c>
      <c r="AI128" t="s">
        <v>2304</v>
      </c>
      <c r="AJ128" t="s">
        <v>2318</v>
      </c>
    </row>
    <row r="129" spans="1:36" x14ac:dyDescent="0.3">
      <c r="A129" t="s">
        <v>163</v>
      </c>
      <c r="B129" s="2">
        <v>45602</v>
      </c>
      <c r="C129" t="s">
        <v>1657</v>
      </c>
      <c r="D129" t="s">
        <v>1833</v>
      </c>
      <c r="E129" t="s">
        <v>2040</v>
      </c>
      <c r="F129" t="s">
        <v>2239</v>
      </c>
      <c r="G129" t="s">
        <v>2253</v>
      </c>
      <c r="H129" t="s">
        <v>2258</v>
      </c>
      <c r="I129" t="s">
        <v>2260</v>
      </c>
      <c r="J129" t="s">
        <v>2266</v>
      </c>
      <c r="K129">
        <v>1</v>
      </c>
      <c r="L129">
        <v>95</v>
      </c>
      <c r="M129">
        <v>0.05</v>
      </c>
      <c r="N129">
        <v>95</v>
      </c>
      <c r="O129">
        <v>90.25</v>
      </c>
      <c r="P129" t="s">
        <v>2269</v>
      </c>
      <c r="Q129" t="s">
        <v>2270</v>
      </c>
      <c r="R129" t="s">
        <v>2278</v>
      </c>
      <c r="S129" t="s">
        <v>2286</v>
      </c>
      <c r="T129" t="s">
        <v>2288</v>
      </c>
      <c r="U129">
        <v>4</v>
      </c>
      <c r="V129">
        <v>166</v>
      </c>
      <c r="W129">
        <v>36</v>
      </c>
      <c r="X129">
        <v>47.17</v>
      </c>
      <c r="Y129">
        <v>43.08</v>
      </c>
      <c r="Z129" t="s">
        <v>2294</v>
      </c>
      <c r="AA129" t="s">
        <v>2299</v>
      </c>
      <c r="AB129">
        <v>95</v>
      </c>
      <c r="AC129">
        <v>4.75</v>
      </c>
      <c r="AD129">
        <v>90.25</v>
      </c>
      <c r="AE129">
        <v>47.17</v>
      </c>
      <c r="AF129">
        <v>43.08</v>
      </c>
      <c r="AG129">
        <v>2024</v>
      </c>
      <c r="AH129">
        <v>11</v>
      </c>
      <c r="AI129" t="s">
        <v>2311</v>
      </c>
      <c r="AJ129" t="s">
        <v>2312</v>
      </c>
    </row>
    <row r="130" spans="1:36" x14ac:dyDescent="0.3">
      <c r="A130" t="s">
        <v>164</v>
      </c>
      <c r="B130" s="2">
        <v>45305</v>
      </c>
      <c r="C130" t="s">
        <v>1679</v>
      </c>
      <c r="D130" t="s">
        <v>1834</v>
      </c>
      <c r="E130" t="s">
        <v>2041</v>
      </c>
      <c r="F130" t="s">
        <v>2239</v>
      </c>
      <c r="G130" t="s">
        <v>2253</v>
      </c>
      <c r="H130" t="s">
        <v>2258</v>
      </c>
      <c r="I130" t="s">
        <v>2260</v>
      </c>
      <c r="J130" t="s">
        <v>2266</v>
      </c>
      <c r="K130">
        <v>2</v>
      </c>
      <c r="L130">
        <v>100</v>
      </c>
      <c r="M130">
        <v>0</v>
      </c>
      <c r="N130">
        <v>200</v>
      </c>
      <c r="O130">
        <v>200</v>
      </c>
      <c r="P130" t="s">
        <v>2267</v>
      </c>
      <c r="Q130" t="s">
        <v>2270</v>
      </c>
      <c r="R130" t="s">
        <v>2279</v>
      </c>
      <c r="S130" t="s">
        <v>2284</v>
      </c>
      <c r="T130" t="s">
        <v>2290</v>
      </c>
      <c r="U130">
        <v>4</v>
      </c>
      <c r="V130">
        <v>6</v>
      </c>
      <c r="W130">
        <v>24</v>
      </c>
      <c r="X130">
        <v>49.06</v>
      </c>
      <c r="Y130">
        <v>101.88</v>
      </c>
      <c r="Z130" t="s">
        <v>2291</v>
      </c>
      <c r="AA130" t="s">
        <v>2296</v>
      </c>
      <c r="AB130">
        <v>200</v>
      </c>
      <c r="AC130">
        <v>0</v>
      </c>
      <c r="AD130">
        <v>200</v>
      </c>
      <c r="AE130">
        <v>98.12</v>
      </c>
      <c r="AF130">
        <v>101.88</v>
      </c>
      <c r="AG130">
        <v>2024</v>
      </c>
      <c r="AH130">
        <v>1</v>
      </c>
      <c r="AI130" t="s">
        <v>2302</v>
      </c>
      <c r="AJ130" t="s">
        <v>2318</v>
      </c>
    </row>
    <row r="131" spans="1:36" x14ac:dyDescent="0.3">
      <c r="A131" t="s">
        <v>165</v>
      </c>
      <c r="C131" t="s">
        <v>1649</v>
      </c>
      <c r="D131" t="s">
        <v>1768</v>
      </c>
      <c r="E131" t="s">
        <v>2042</v>
      </c>
      <c r="F131" t="s">
        <v>2239</v>
      </c>
      <c r="G131" t="s">
        <v>2242</v>
      </c>
      <c r="H131" t="s">
        <v>2258</v>
      </c>
      <c r="I131" t="s">
        <v>2260</v>
      </c>
      <c r="J131" t="s">
        <v>2264</v>
      </c>
      <c r="K131">
        <v>3</v>
      </c>
      <c r="L131">
        <v>120</v>
      </c>
      <c r="M131">
        <v>0</v>
      </c>
      <c r="N131">
        <v>360</v>
      </c>
      <c r="O131">
        <v>360</v>
      </c>
      <c r="P131" t="s">
        <v>2267</v>
      </c>
      <c r="Q131" t="s">
        <v>2272</v>
      </c>
      <c r="R131" t="s">
        <v>2278</v>
      </c>
      <c r="S131" t="s">
        <v>2282</v>
      </c>
      <c r="T131" t="s">
        <v>2288</v>
      </c>
      <c r="U131">
        <v>3</v>
      </c>
      <c r="V131">
        <v>444</v>
      </c>
      <c r="W131">
        <v>20</v>
      </c>
      <c r="X131">
        <v>71.25</v>
      </c>
      <c r="Y131">
        <v>146.25</v>
      </c>
      <c r="Z131" t="s">
        <v>2291</v>
      </c>
      <c r="AA131" t="s">
        <v>2297</v>
      </c>
      <c r="AB131">
        <v>360</v>
      </c>
      <c r="AC131">
        <v>0</v>
      </c>
      <c r="AD131">
        <v>360</v>
      </c>
      <c r="AE131">
        <v>213.75</v>
      </c>
      <c r="AF131">
        <v>146.25</v>
      </c>
    </row>
    <row r="132" spans="1:36" x14ac:dyDescent="0.3">
      <c r="A132" t="s">
        <v>166</v>
      </c>
      <c r="B132" s="2">
        <v>45493</v>
      </c>
      <c r="C132" t="s">
        <v>1709</v>
      </c>
      <c r="D132" t="s">
        <v>1835</v>
      </c>
      <c r="E132" t="s">
        <v>1961</v>
      </c>
      <c r="F132" t="s">
        <v>1761</v>
      </c>
      <c r="G132" t="s">
        <v>2246</v>
      </c>
      <c r="H132" t="s">
        <v>2259</v>
      </c>
      <c r="I132" t="s">
        <v>2262</v>
      </c>
      <c r="K132">
        <v>1</v>
      </c>
      <c r="L132">
        <v>95</v>
      </c>
      <c r="M132">
        <v>0.1</v>
      </c>
      <c r="N132">
        <v>95</v>
      </c>
      <c r="O132">
        <v>85.5</v>
      </c>
      <c r="P132" t="s">
        <v>2267</v>
      </c>
      <c r="Q132" t="s">
        <v>2270</v>
      </c>
      <c r="R132" t="s">
        <v>2277</v>
      </c>
      <c r="S132" t="s">
        <v>2283</v>
      </c>
      <c r="T132" t="s">
        <v>2290</v>
      </c>
      <c r="U132">
        <v>1</v>
      </c>
      <c r="V132">
        <v>487</v>
      </c>
      <c r="W132">
        <v>52</v>
      </c>
      <c r="X132">
        <v>42.28</v>
      </c>
      <c r="Y132">
        <v>43.22</v>
      </c>
      <c r="Z132" t="s">
        <v>2293</v>
      </c>
      <c r="AA132" t="s">
        <v>2296</v>
      </c>
      <c r="AB132">
        <v>95</v>
      </c>
      <c r="AC132">
        <v>9.5</v>
      </c>
      <c r="AD132">
        <v>85.5</v>
      </c>
      <c r="AE132">
        <v>42.28</v>
      </c>
      <c r="AF132">
        <v>43.22</v>
      </c>
      <c r="AG132">
        <v>2024</v>
      </c>
      <c r="AH132">
        <v>7</v>
      </c>
      <c r="AI132" t="s">
        <v>2307</v>
      </c>
      <c r="AJ132" t="s">
        <v>2317</v>
      </c>
    </row>
    <row r="133" spans="1:36" x14ac:dyDescent="0.3">
      <c r="A133" t="s">
        <v>167</v>
      </c>
      <c r="B133" s="2">
        <v>45657</v>
      </c>
      <c r="C133" t="s">
        <v>1680</v>
      </c>
      <c r="D133" t="s">
        <v>1757</v>
      </c>
      <c r="E133" t="s">
        <v>1761</v>
      </c>
      <c r="F133" t="s">
        <v>2239</v>
      </c>
      <c r="G133" t="s">
        <v>2247</v>
      </c>
      <c r="H133" t="s">
        <v>2257</v>
      </c>
      <c r="I133" t="s">
        <v>2262</v>
      </c>
      <c r="J133" t="s">
        <v>2264</v>
      </c>
      <c r="K133">
        <v>1</v>
      </c>
      <c r="L133">
        <v>100</v>
      </c>
      <c r="M133">
        <v>0</v>
      </c>
      <c r="N133">
        <v>100</v>
      </c>
      <c r="O133">
        <v>100</v>
      </c>
      <c r="P133" t="s">
        <v>2268</v>
      </c>
      <c r="Q133" t="s">
        <v>2271</v>
      </c>
      <c r="R133" t="s">
        <v>2277</v>
      </c>
      <c r="S133" t="s">
        <v>2280</v>
      </c>
      <c r="T133" t="s">
        <v>2289</v>
      </c>
      <c r="U133">
        <v>2</v>
      </c>
      <c r="V133">
        <v>490</v>
      </c>
      <c r="X133">
        <v>49.05</v>
      </c>
      <c r="Y133">
        <v>50.95</v>
      </c>
      <c r="Z133" t="s">
        <v>1761</v>
      </c>
      <c r="AA133" t="s">
        <v>2296</v>
      </c>
      <c r="AB133">
        <v>100</v>
      </c>
      <c r="AC133">
        <v>0</v>
      </c>
      <c r="AD133">
        <v>100</v>
      </c>
      <c r="AE133">
        <v>49.05</v>
      </c>
      <c r="AF133">
        <v>50.95</v>
      </c>
      <c r="AG133">
        <v>2024</v>
      </c>
      <c r="AH133">
        <v>12</v>
      </c>
      <c r="AI133" t="s">
        <v>2309</v>
      </c>
      <c r="AJ133" t="s">
        <v>2313</v>
      </c>
    </row>
    <row r="134" spans="1:36" x14ac:dyDescent="0.3">
      <c r="A134" t="s">
        <v>168</v>
      </c>
      <c r="B134" s="2">
        <v>45605</v>
      </c>
      <c r="C134" t="s">
        <v>1663</v>
      </c>
      <c r="D134" t="s">
        <v>1774</v>
      </c>
      <c r="E134" t="s">
        <v>2043</v>
      </c>
      <c r="F134" t="s">
        <v>2240</v>
      </c>
      <c r="G134" t="s">
        <v>2244</v>
      </c>
      <c r="H134" t="s">
        <v>2257</v>
      </c>
      <c r="I134" t="s">
        <v>2262</v>
      </c>
      <c r="J134" t="s">
        <v>2264</v>
      </c>
      <c r="K134">
        <v>1</v>
      </c>
      <c r="L134">
        <v>120</v>
      </c>
      <c r="M134">
        <v>0.1</v>
      </c>
      <c r="N134">
        <v>120</v>
      </c>
      <c r="O134">
        <v>108</v>
      </c>
      <c r="P134" t="s">
        <v>2267</v>
      </c>
      <c r="R134" t="s">
        <v>2277</v>
      </c>
      <c r="S134" t="s">
        <v>2283</v>
      </c>
      <c r="T134" t="s">
        <v>2288</v>
      </c>
      <c r="U134">
        <v>5</v>
      </c>
      <c r="V134">
        <v>400</v>
      </c>
      <c r="X134">
        <v>50.02</v>
      </c>
      <c r="Y134">
        <v>57.98</v>
      </c>
      <c r="Z134" t="s">
        <v>2294</v>
      </c>
      <c r="AA134" t="s">
        <v>2299</v>
      </c>
      <c r="AB134">
        <v>120</v>
      </c>
      <c r="AC134">
        <v>12</v>
      </c>
      <c r="AD134">
        <v>108</v>
      </c>
      <c r="AE134">
        <v>50.02</v>
      </c>
      <c r="AF134">
        <v>57.98</v>
      </c>
      <c r="AG134">
        <v>2024</v>
      </c>
      <c r="AH134">
        <v>11</v>
      </c>
      <c r="AI134" t="s">
        <v>2311</v>
      </c>
      <c r="AJ134" t="s">
        <v>2317</v>
      </c>
    </row>
    <row r="135" spans="1:36" x14ac:dyDescent="0.3">
      <c r="A135" t="s">
        <v>169</v>
      </c>
      <c r="B135" s="2">
        <v>45486</v>
      </c>
      <c r="C135" t="s">
        <v>1705</v>
      </c>
      <c r="D135" t="s">
        <v>1800</v>
      </c>
      <c r="E135" t="s">
        <v>2044</v>
      </c>
      <c r="F135" t="s">
        <v>2240</v>
      </c>
      <c r="G135" t="s">
        <v>2245</v>
      </c>
      <c r="H135" t="s">
        <v>2257</v>
      </c>
      <c r="I135" t="s">
        <v>2263</v>
      </c>
      <c r="J135" t="s">
        <v>2266</v>
      </c>
      <c r="K135">
        <v>2</v>
      </c>
      <c r="L135">
        <v>150</v>
      </c>
      <c r="M135">
        <v>0</v>
      </c>
      <c r="N135">
        <v>300</v>
      </c>
      <c r="O135">
        <v>300</v>
      </c>
      <c r="P135" t="s">
        <v>2269</v>
      </c>
      <c r="Q135" t="s">
        <v>2271</v>
      </c>
      <c r="R135" t="s">
        <v>2278</v>
      </c>
      <c r="S135" t="s">
        <v>2282</v>
      </c>
      <c r="T135" t="s">
        <v>2288</v>
      </c>
      <c r="U135">
        <v>2</v>
      </c>
      <c r="V135">
        <v>334</v>
      </c>
      <c r="W135">
        <v>12</v>
      </c>
      <c r="X135">
        <v>67.12</v>
      </c>
      <c r="Y135">
        <v>165.76</v>
      </c>
      <c r="Z135" t="s">
        <v>2292</v>
      </c>
      <c r="AA135" t="s">
        <v>2299</v>
      </c>
      <c r="AB135">
        <v>300</v>
      </c>
      <c r="AC135">
        <v>0</v>
      </c>
      <c r="AD135">
        <v>300</v>
      </c>
      <c r="AE135">
        <v>134.24</v>
      </c>
      <c r="AF135">
        <v>165.76</v>
      </c>
      <c r="AG135">
        <v>2024</v>
      </c>
      <c r="AH135">
        <v>7</v>
      </c>
      <c r="AI135" t="s">
        <v>2307</v>
      </c>
      <c r="AJ135" t="s">
        <v>2317</v>
      </c>
    </row>
    <row r="136" spans="1:36" x14ac:dyDescent="0.3">
      <c r="A136" t="s">
        <v>170</v>
      </c>
      <c r="B136" s="2">
        <v>45645</v>
      </c>
      <c r="C136" t="s">
        <v>1645</v>
      </c>
      <c r="D136" t="s">
        <v>1806</v>
      </c>
      <c r="E136" t="s">
        <v>1954</v>
      </c>
      <c r="F136" t="s">
        <v>2239</v>
      </c>
      <c r="G136" t="s">
        <v>2249</v>
      </c>
      <c r="H136" t="s">
        <v>2257</v>
      </c>
      <c r="I136" t="s">
        <v>2263</v>
      </c>
      <c r="J136" t="s">
        <v>2266</v>
      </c>
      <c r="K136">
        <v>3</v>
      </c>
      <c r="L136">
        <v>155</v>
      </c>
      <c r="N136">
        <v>465</v>
      </c>
      <c r="P136" t="s">
        <v>2268</v>
      </c>
      <c r="Q136" t="s">
        <v>2271</v>
      </c>
      <c r="R136" t="s">
        <v>2279</v>
      </c>
      <c r="S136" t="s">
        <v>2287</v>
      </c>
      <c r="T136" t="s">
        <v>2289</v>
      </c>
      <c r="U136">
        <v>2</v>
      </c>
      <c r="V136">
        <v>369</v>
      </c>
      <c r="X136">
        <v>95.58</v>
      </c>
      <c r="Z136" t="s">
        <v>2293</v>
      </c>
      <c r="AA136" t="s">
        <v>2296</v>
      </c>
      <c r="AB136">
        <v>465</v>
      </c>
      <c r="AC136">
        <v>0</v>
      </c>
      <c r="AD136">
        <v>465</v>
      </c>
      <c r="AE136">
        <v>286.74</v>
      </c>
      <c r="AF136">
        <v>178.26</v>
      </c>
      <c r="AG136">
        <v>2024</v>
      </c>
      <c r="AH136">
        <v>12</v>
      </c>
      <c r="AI136" t="s">
        <v>2309</v>
      </c>
      <c r="AJ136" t="s">
        <v>2316</v>
      </c>
    </row>
    <row r="137" spans="1:36" x14ac:dyDescent="0.3">
      <c r="A137" t="s">
        <v>171</v>
      </c>
      <c r="B137" s="2">
        <v>45384</v>
      </c>
      <c r="C137" t="s">
        <v>1653</v>
      </c>
      <c r="D137" t="s">
        <v>1799</v>
      </c>
      <c r="E137" t="s">
        <v>2045</v>
      </c>
      <c r="F137" t="s">
        <v>2238</v>
      </c>
      <c r="G137" t="s">
        <v>2251</v>
      </c>
      <c r="H137" t="s">
        <v>2258</v>
      </c>
      <c r="I137" t="s">
        <v>2260</v>
      </c>
      <c r="K137">
        <v>1</v>
      </c>
      <c r="L137">
        <v>100</v>
      </c>
      <c r="M137">
        <v>0.15</v>
      </c>
      <c r="N137">
        <v>100</v>
      </c>
      <c r="O137">
        <v>85</v>
      </c>
      <c r="P137" t="s">
        <v>2269</v>
      </c>
      <c r="Q137" t="s">
        <v>2272</v>
      </c>
      <c r="R137" t="s">
        <v>2273</v>
      </c>
      <c r="S137" t="s">
        <v>2284</v>
      </c>
      <c r="T137" t="s">
        <v>2290</v>
      </c>
      <c r="U137">
        <v>5</v>
      </c>
      <c r="V137">
        <v>16</v>
      </c>
      <c r="W137">
        <v>23</v>
      </c>
      <c r="X137">
        <v>50.16</v>
      </c>
      <c r="Y137">
        <v>34.840000000000003</v>
      </c>
      <c r="Z137" t="s">
        <v>2293</v>
      </c>
      <c r="AA137" t="s">
        <v>2299</v>
      </c>
      <c r="AB137">
        <v>100</v>
      </c>
      <c r="AC137">
        <v>15</v>
      </c>
      <c r="AD137">
        <v>85</v>
      </c>
      <c r="AE137">
        <v>50.16</v>
      </c>
      <c r="AF137">
        <v>34.840000000000003</v>
      </c>
      <c r="AG137">
        <v>2024</v>
      </c>
      <c r="AH137">
        <v>4</v>
      </c>
      <c r="AI137" t="s">
        <v>2308</v>
      </c>
      <c r="AJ137" t="s">
        <v>2313</v>
      </c>
    </row>
    <row r="138" spans="1:36" x14ac:dyDescent="0.3">
      <c r="A138" t="s">
        <v>172</v>
      </c>
      <c r="B138" s="2">
        <v>45453</v>
      </c>
      <c r="C138" t="s">
        <v>1646</v>
      </c>
      <c r="D138" t="s">
        <v>1798</v>
      </c>
      <c r="E138" t="s">
        <v>2046</v>
      </c>
      <c r="F138" t="s">
        <v>2239</v>
      </c>
      <c r="G138" t="s">
        <v>2241</v>
      </c>
      <c r="H138" t="s">
        <v>2257</v>
      </c>
      <c r="I138" t="s">
        <v>2262</v>
      </c>
      <c r="J138" t="s">
        <v>2265</v>
      </c>
      <c r="L138">
        <v>140</v>
      </c>
      <c r="M138">
        <v>0</v>
      </c>
      <c r="N138">
        <v>140</v>
      </c>
      <c r="O138">
        <v>140</v>
      </c>
      <c r="P138" t="s">
        <v>2268</v>
      </c>
      <c r="Q138" t="s">
        <v>2272</v>
      </c>
      <c r="R138" t="s">
        <v>2277</v>
      </c>
      <c r="S138" t="s">
        <v>2286</v>
      </c>
      <c r="T138" t="s">
        <v>2289</v>
      </c>
      <c r="U138">
        <v>5</v>
      </c>
      <c r="V138">
        <v>434</v>
      </c>
      <c r="W138">
        <v>14</v>
      </c>
      <c r="X138">
        <v>53.11</v>
      </c>
      <c r="Y138">
        <v>86.89</v>
      </c>
      <c r="Z138" t="s">
        <v>1761</v>
      </c>
      <c r="AA138" t="s">
        <v>2296</v>
      </c>
      <c r="AG138">
        <v>2024</v>
      </c>
      <c r="AH138">
        <v>6</v>
      </c>
      <c r="AI138" t="s">
        <v>2304</v>
      </c>
      <c r="AJ138" t="s">
        <v>2314</v>
      </c>
    </row>
    <row r="139" spans="1:36" x14ac:dyDescent="0.3">
      <c r="A139" t="s">
        <v>173</v>
      </c>
      <c r="B139" s="2">
        <v>45408</v>
      </c>
      <c r="C139" t="s">
        <v>1710</v>
      </c>
      <c r="D139" t="s">
        <v>1823</v>
      </c>
      <c r="E139" t="s">
        <v>2043</v>
      </c>
      <c r="F139" t="s">
        <v>2240</v>
      </c>
      <c r="G139" t="s">
        <v>2254</v>
      </c>
      <c r="H139" t="s">
        <v>2259</v>
      </c>
      <c r="I139" t="s">
        <v>2263</v>
      </c>
      <c r="J139" t="s">
        <v>2264</v>
      </c>
      <c r="K139">
        <v>1</v>
      </c>
      <c r="L139">
        <v>110</v>
      </c>
      <c r="M139">
        <v>0.05</v>
      </c>
      <c r="N139">
        <v>110</v>
      </c>
      <c r="O139">
        <v>104.5</v>
      </c>
      <c r="P139" t="s">
        <v>2267</v>
      </c>
      <c r="Q139" t="s">
        <v>2271</v>
      </c>
      <c r="R139" t="s">
        <v>2279</v>
      </c>
      <c r="S139" t="s">
        <v>2285</v>
      </c>
      <c r="T139" t="s">
        <v>2290</v>
      </c>
      <c r="U139">
        <v>5</v>
      </c>
      <c r="V139">
        <v>285</v>
      </c>
      <c r="W139">
        <v>26</v>
      </c>
      <c r="X139">
        <v>57.62</v>
      </c>
      <c r="Y139">
        <v>46.88</v>
      </c>
      <c r="Z139" t="s">
        <v>2293</v>
      </c>
      <c r="AA139" t="s">
        <v>2298</v>
      </c>
      <c r="AB139">
        <v>110</v>
      </c>
      <c r="AC139">
        <v>5.5</v>
      </c>
      <c r="AD139">
        <v>104.5</v>
      </c>
      <c r="AE139">
        <v>57.62</v>
      </c>
      <c r="AF139">
        <v>46.88</v>
      </c>
      <c r="AG139">
        <v>2024</v>
      </c>
      <c r="AH139">
        <v>4</v>
      </c>
      <c r="AI139" t="s">
        <v>2308</v>
      </c>
      <c r="AJ139" t="s">
        <v>2315</v>
      </c>
    </row>
    <row r="140" spans="1:36" x14ac:dyDescent="0.3">
      <c r="A140" t="s">
        <v>174</v>
      </c>
      <c r="B140" s="2">
        <v>45484</v>
      </c>
      <c r="C140" t="s">
        <v>1711</v>
      </c>
      <c r="D140" t="s">
        <v>1836</v>
      </c>
      <c r="E140" t="s">
        <v>2047</v>
      </c>
      <c r="F140" t="s">
        <v>2240</v>
      </c>
      <c r="G140" t="s">
        <v>2251</v>
      </c>
      <c r="H140" t="s">
        <v>2258</v>
      </c>
      <c r="I140" t="s">
        <v>2260</v>
      </c>
      <c r="J140" t="s">
        <v>2265</v>
      </c>
      <c r="K140">
        <v>3</v>
      </c>
      <c r="L140">
        <v>100</v>
      </c>
      <c r="M140">
        <v>0</v>
      </c>
      <c r="N140">
        <v>300</v>
      </c>
      <c r="O140">
        <v>300</v>
      </c>
      <c r="P140" t="s">
        <v>2268</v>
      </c>
      <c r="Q140" t="s">
        <v>2271</v>
      </c>
      <c r="R140" t="s">
        <v>2273</v>
      </c>
      <c r="S140" t="s">
        <v>2285</v>
      </c>
      <c r="T140" t="s">
        <v>2288</v>
      </c>
      <c r="U140">
        <v>5</v>
      </c>
      <c r="V140">
        <v>65</v>
      </c>
      <c r="W140">
        <v>22</v>
      </c>
      <c r="X140">
        <v>55.19</v>
      </c>
      <c r="Y140">
        <v>134.43</v>
      </c>
      <c r="Z140" t="s">
        <v>1761</v>
      </c>
      <c r="AA140" t="s">
        <v>2297</v>
      </c>
      <c r="AB140">
        <v>300</v>
      </c>
      <c r="AC140">
        <v>0</v>
      </c>
      <c r="AD140">
        <v>300</v>
      </c>
      <c r="AE140">
        <v>165.57</v>
      </c>
      <c r="AF140">
        <v>134.43</v>
      </c>
      <c r="AG140">
        <v>2024</v>
      </c>
      <c r="AH140">
        <v>7</v>
      </c>
      <c r="AI140" t="s">
        <v>2307</v>
      </c>
      <c r="AJ140" t="s">
        <v>2316</v>
      </c>
    </row>
    <row r="141" spans="1:36" x14ac:dyDescent="0.3">
      <c r="A141" t="s">
        <v>175</v>
      </c>
      <c r="B141" s="2">
        <v>45359</v>
      </c>
      <c r="C141" t="s">
        <v>1712</v>
      </c>
      <c r="D141" t="s">
        <v>1837</v>
      </c>
      <c r="E141" t="s">
        <v>1942</v>
      </c>
      <c r="F141" t="s">
        <v>2240</v>
      </c>
      <c r="G141" t="s">
        <v>2256</v>
      </c>
      <c r="H141" t="s">
        <v>2261</v>
      </c>
      <c r="I141" t="s">
        <v>2260</v>
      </c>
      <c r="J141" t="s">
        <v>2265</v>
      </c>
      <c r="K141">
        <v>3</v>
      </c>
      <c r="L141">
        <v>195</v>
      </c>
      <c r="M141">
        <v>0</v>
      </c>
      <c r="N141">
        <v>585</v>
      </c>
      <c r="O141">
        <v>585</v>
      </c>
      <c r="P141" t="s">
        <v>2267</v>
      </c>
      <c r="Q141" t="s">
        <v>2272</v>
      </c>
      <c r="R141" t="s">
        <v>2277</v>
      </c>
      <c r="S141" t="s">
        <v>2285</v>
      </c>
      <c r="T141" t="s">
        <v>2288</v>
      </c>
      <c r="U141">
        <v>5</v>
      </c>
      <c r="V141">
        <v>220</v>
      </c>
      <c r="W141">
        <v>29</v>
      </c>
      <c r="X141">
        <v>91.94</v>
      </c>
      <c r="Y141">
        <v>309.18</v>
      </c>
      <c r="Z141" t="s">
        <v>1761</v>
      </c>
      <c r="AA141" t="s">
        <v>1761</v>
      </c>
      <c r="AB141">
        <v>585</v>
      </c>
      <c r="AC141">
        <v>0</v>
      </c>
      <c r="AD141">
        <v>585</v>
      </c>
      <c r="AE141">
        <v>275.82</v>
      </c>
      <c r="AF141">
        <v>309.18</v>
      </c>
      <c r="AG141">
        <v>2024</v>
      </c>
      <c r="AH141">
        <v>3</v>
      </c>
      <c r="AI141" t="s">
        <v>2305</v>
      </c>
      <c r="AJ141" t="s">
        <v>2315</v>
      </c>
    </row>
    <row r="142" spans="1:36" x14ac:dyDescent="0.3">
      <c r="A142" t="s">
        <v>176</v>
      </c>
      <c r="B142" s="2">
        <v>45411</v>
      </c>
      <c r="C142" t="s">
        <v>1679</v>
      </c>
      <c r="D142" t="s">
        <v>1838</v>
      </c>
      <c r="E142" t="s">
        <v>2048</v>
      </c>
      <c r="F142" t="s">
        <v>2239</v>
      </c>
      <c r="G142" t="s">
        <v>2255</v>
      </c>
      <c r="H142" t="s">
        <v>2260</v>
      </c>
      <c r="I142" t="s">
        <v>2260</v>
      </c>
      <c r="J142" t="s">
        <v>2266</v>
      </c>
      <c r="K142">
        <v>1</v>
      </c>
      <c r="L142">
        <v>180</v>
      </c>
      <c r="M142">
        <v>0.1</v>
      </c>
      <c r="N142">
        <v>180</v>
      </c>
      <c r="O142">
        <v>162</v>
      </c>
      <c r="P142" t="s">
        <v>2269</v>
      </c>
      <c r="Q142" t="s">
        <v>2272</v>
      </c>
      <c r="R142" t="s">
        <v>2276</v>
      </c>
      <c r="S142" t="s">
        <v>2282</v>
      </c>
      <c r="T142" t="s">
        <v>2289</v>
      </c>
      <c r="U142">
        <v>1</v>
      </c>
      <c r="V142">
        <v>455</v>
      </c>
      <c r="X142">
        <v>90.9</v>
      </c>
      <c r="Y142">
        <v>71.099999999999994</v>
      </c>
      <c r="Z142" t="s">
        <v>2291</v>
      </c>
      <c r="AA142" t="s">
        <v>2297</v>
      </c>
      <c r="AB142">
        <v>180</v>
      </c>
      <c r="AC142">
        <v>18</v>
      </c>
      <c r="AD142">
        <v>162</v>
      </c>
      <c r="AE142">
        <v>90.9</v>
      </c>
      <c r="AF142">
        <v>71.099999999999994</v>
      </c>
      <c r="AG142">
        <v>2024</v>
      </c>
      <c r="AH142">
        <v>4</v>
      </c>
      <c r="AI142" t="s">
        <v>2308</v>
      </c>
      <c r="AJ142" t="s">
        <v>2314</v>
      </c>
    </row>
    <row r="143" spans="1:36" x14ac:dyDescent="0.3">
      <c r="A143" t="s">
        <v>177</v>
      </c>
      <c r="B143" s="2">
        <v>45574</v>
      </c>
      <c r="C143" t="s">
        <v>1713</v>
      </c>
      <c r="D143" t="s">
        <v>1839</v>
      </c>
      <c r="E143" t="s">
        <v>1944</v>
      </c>
      <c r="F143" t="s">
        <v>2240</v>
      </c>
      <c r="G143" t="s">
        <v>2251</v>
      </c>
      <c r="H143" t="s">
        <v>2258</v>
      </c>
      <c r="I143" t="s">
        <v>2260</v>
      </c>
      <c r="J143" t="s">
        <v>2265</v>
      </c>
      <c r="K143">
        <v>1</v>
      </c>
      <c r="L143">
        <v>100</v>
      </c>
      <c r="M143">
        <v>0</v>
      </c>
      <c r="N143">
        <v>100</v>
      </c>
      <c r="O143">
        <v>100</v>
      </c>
      <c r="P143" t="s">
        <v>2269</v>
      </c>
      <c r="Q143" t="s">
        <v>2271</v>
      </c>
      <c r="R143" t="s">
        <v>2279</v>
      </c>
      <c r="S143" t="s">
        <v>2287</v>
      </c>
      <c r="T143" t="s">
        <v>2288</v>
      </c>
      <c r="V143">
        <v>37</v>
      </c>
      <c r="W143">
        <v>32</v>
      </c>
      <c r="X143">
        <v>59.31</v>
      </c>
      <c r="Y143">
        <v>40.69</v>
      </c>
      <c r="Z143" t="s">
        <v>1761</v>
      </c>
      <c r="AA143" t="s">
        <v>2298</v>
      </c>
      <c r="AB143">
        <v>100</v>
      </c>
      <c r="AC143">
        <v>0</v>
      </c>
      <c r="AD143">
        <v>100</v>
      </c>
      <c r="AE143">
        <v>59.31</v>
      </c>
      <c r="AF143">
        <v>40.69</v>
      </c>
      <c r="AG143">
        <v>2024</v>
      </c>
      <c r="AH143">
        <v>10</v>
      </c>
      <c r="AI143" t="s">
        <v>2310</v>
      </c>
      <c r="AJ143" t="s">
        <v>2312</v>
      </c>
    </row>
    <row r="144" spans="1:36" x14ac:dyDescent="0.3">
      <c r="A144" t="s">
        <v>178</v>
      </c>
      <c r="B144" s="2">
        <v>45586</v>
      </c>
      <c r="C144" t="s">
        <v>1679</v>
      </c>
      <c r="D144" t="s">
        <v>1840</v>
      </c>
      <c r="E144" t="s">
        <v>2037</v>
      </c>
      <c r="F144" t="s">
        <v>2239</v>
      </c>
      <c r="G144" t="s">
        <v>2254</v>
      </c>
      <c r="H144" t="s">
        <v>2259</v>
      </c>
      <c r="I144" t="s">
        <v>2263</v>
      </c>
      <c r="K144">
        <v>1</v>
      </c>
      <c r="L144">
        <v>105</v>
      </c>
      <c r="M144">
        <v>0.05</v>
      </c>
      <c r="N144">
        <v>105</v>
      </c>
      <c r="O144">
        <v>99.75</v>
      </c>
      <c r="Q144" t="s">
        <v>2272</v>
      </c>
      <c r="R144" t="s">
        <v>2275</v>
      </c>
      <c r="S144" t="s">
        <v>2286</v>
      </c>
      <c r="T144" t="s">
        <v>2288</v>
      </c>
      <c r="V144">
        <v>147</v>
      </c>
      <c r="W144">
        <v>39</v>
      </c>
      <c r="X144">
        <v>65.39</v>
      </c>
      <c r="Y144">
        <v>34.36</v>
      </c>
      <c r="Z144" t="s">
        <v>2292</v>
      </c>
      <c r="AA144" t="s">
        <v>2298</v>
      </c>
      <c r="AB144">
        <v>105</v>
      </c>
      <c r="AC144">
        <v>5.25</v>
      </c>
      <c r="AD144">
        <v>99.75</v>
      </c>
      <c r="AE144">
        <v>65.39</v>
      </c>
      <c r="AF144">
        <v>34.36</v>
      </c>
      <c r="AG144">
        <v>2024</v>
      </c>
      <c r="AH144">
        <v>10</v>
      </c>
      <c r="AI144" t="s">
        <v>2310</v>
      </c>
      <c r="AJ144" t="s">
        <v>2314</v>
      </c>
    </row>
    <row r="145" spans="1:36" x14ac:dyDescent="0.3">
      <c r="A145" t="s">
        <v>179</v>
      </c>
      <c r="B145" s="2">
        <v>45592</v>
      </c>
      <c r="C145" t="s">
        <v>1683</v>
      </c>
      <c r="D145" t="s">
        <v>1841</v>
      </c>
      <c r="E145" t="s">
        <v>1942</v>
      </c>
      <c r="F145" t="s">
        <v>2238</v>
      </c>
      <c r="G145" t="s">
        <v>2253</v>
      </c>
      <c r="H145" t="s">
        <v>2258</v>
      </c>
      <c r="I145" t="s">
        <v>2260</v>
      </c>
      <c r="J145" t="s">
        <v>2265</v>
      </c>
      <c r="K145">
        <v>1</v>
      </c>
      <c r="L145">
        <v>95</v>
      </c>
      <c r="N145">
        <v>95</v>
      </c>
      <c r="P145" t="s">
        <v>2267</v>
      </c>
      <c r="Q145" t="s">
        <v>2272</v>
      </c>
      <c r="R145" t="s">
        <v>2274</v>
      </c>
      <c r="S145" t="s">
        <v>2280</v>
      </c>
      <c r="T145" t="s">
        <v>2290</v>
      </c>
      <c r="U145">
        <v>4</v>
      </c>
      <c r="V145">
        <v>424</v>
      </c>
      <c r="W145">
        <v>45</v>
      </c>
      <c r="X145">
        <v>47.14</v>
      </c>
      <c r="Z145" t="s">
        <v>2292</v>
      </c>
      <c r="AA145" t="s">
        <v>2296</v>
      </c>
      <c r="AB145">
        <v>95</v>
      </c>
      <c r="AC145">
        <v>0</v>
      </c>
      <c r="AD145">
        <v>95</v>
      </c>
      <c r="AE145">
        <v>47.14</v>
      </c>
      <c r="AF145">
        <v>47.86</v>
      </c>
      <c r="AG145">
        <v>2024</v>
      </c>
      <c r="AH145">
        <v>10</v>
      </c>
      <c r="AI145" t="s">
        <v>2310</v>
      </c>
      <c r="AJ145" t="s">
        <v>2318</v>
      </c>
    </row>
    <row r="146" spans="1:36" x14ac:dyDescent="0.3">
      <c r="A146" t="s">
        <v>180</v>
      </c>
      <c r="B146" s="2">
        <v>45447</v>
      </c>
      <c r="C146" t="s">
        <v>1714</v>
      </c>
      <c r="D146" t="s">
        <v>1761</v>
      </c>
      <c r="E146" t="s">
        <v>2049</v>
      </c>
      <c r="F146" t="s">
        <v>2240</v>
      </c>
      <c r="G146" t="s">
        <v>2254</v>
      </c>
      <c r="H146" t="s">
        <v>2259</v>
      </c>
      <c r="I146" t="s">
        <v>2263</v>
      </c>
      <c r="K146">
        <v>1</v>
      </c>
      <c r="L146">
        <v>110</v>
      </c>
      <c r="M146">
        <v>0.05</v>
      </c>
      <c r="N146">
        <v>110</v>
      </c>
      <c r="O146">
        <v>104.5</v>
      </c>
      <c r="P146" t="s">
        <v>2267</v>
      </c>
      <c r="Q146" t="s">
        <v>2270</v>
      </c>
      <c r="R146" t="s">
        <v>2277</v>
      </c>
      <c r="S146" t="s">
        <v>2287</v>
      </c>
      <c r="T146" t="s">
        <v>2288</v>
      </c>
      <c r="V146">
        <v>269</v>
      </c>
      <c r="W146">
        <v>20</v>
      </c>
      <c r="X146">
        <v>54.23</v>
      </c>
      <c r="Y146">
        <v>50.27</v>
      </c>
      <c r="Z146" t="s">
        <v>2292</v>
      </c>
      <c r="AA146" t="s">
        <v>1761</v>
      </c>
      <c r="AB146">
        <v>110</v>
      </c>
      <c r="AC146">
        <v>5.5</v>
      </c>
      <c r="AD146">
        <v>104.5</v>
      </c>
      <c r="AE146">
        <v>54.23</v>
      </c>
      <c r="AF146">
        <v>50.27</v>
      </c>
      <c r="AG146">
        <v>2024</v>
      </c>
      <c r="AH146">
        <v>6</v>
      </c>
      <c r="AI146" t="s">
        <v>2304</v>
      </c>
      <c r="AJ146" t="s">
        <v>2313</v>
      </c>
    </row>
    <row r="147" spans="1:36" x14ac:dyDescent="0.3">
      <c r="A147" t="s">
        <v>181</v>
      </c>
      <c r="B147" s="2">
        <v>45338</v>
      </c>
      <c r="C147" t="s">
        <v>1702</v>
      </c>
      <c r="D147" t="s">
        <v>1789</v>
      </c>
      <c r="E147" t="s">
        <v>2050</v>
      </c>
      <c r="F147" t="s">
        <v>1761</v>
      </c>
      <c r="G147" t="s">
        <v>2249</v>
      </c>
      <c r="H147" t="s">
        <v>2257</v>
      </c>
      <c r="I147" t="s">
        <v>2263</v>
      </c>
      <c r="J147" t="s">
        <v>2266</v>
      </c>
      <c r="K147">
        <v>1</v>
      </c>
      <c r="L147">
        <v>160</v>
      </c>
      <c r="M147">
        <v>0.05</v>
      </c>
      <c r="N147">
        <v>160</v>
      </c>
      <c r="O147">
        <v>152</v>
      </c>
      <c r="Q147" t="s">
        <v>2272</v>
      </c>
      <c r="R147" t="s">
        <v>2278</v>
      </c>
      <c r="S147" t="s">
        <v>2287</v>
      </c>
      <c r="T147" t="s">
        <v>2288</v>
      </c>
      <c r="V147">
        <v>202</v>
      </c>
      <c r="W147">
        <v>35</v>
      </c>
      <c r="X147">
        <v>79.209999999999994</v>
      </c>
      <c r="Y147">
        <v>72.790000000000006</v>
      </c>
      <c r="Z147" t="s">
        <v>2293</v>
      </c>
      <c r="AA147" t="s">
        <v>2299</v>
      </c>
      <c r="AB147">
        <v>160</v>
      </c>
      <c r="AC147">
        <v>8</v>
      </c>
      <c r="AD147">
        <v>152</v>
      </c>
      <c r="AE147">
        <v>79.209999999999994</v>
      </c>
      <c r="AF147">
        <v>72.790000000000006</v>
      </c>
      <c r="AG147">
        <v>2024</v>
      </c>
      <c r="AH147">
        <v>2</v>
      </c>
      <c r="AI147" t="s">
        <v>2303</v>
      </c>
      <c r="AJ147" t="s">
        <v>2315</v>
      </c>
    </row>
    <row r="148" spans="1:36" x14ac:dyDescent="0.3">
      <c r="A148" t="s">
        <v>182</v>
      </c>
      <c r="B148" s="2">
        <v>45486</v>
      </c>
      <c r="C148" t="s">
        <v>1703</v>
      </c>
      <c r="D148" t="s">
        <v>1779</v>
      </c>
      <c r="E148" t="s">
        <v>2051</v>
      </c>
      <c r="F148" t="s">
        <v>2240</v>
      </c>
      <c r="G148" t="s">
        <v>2253</v>
      </c>
      <c r="H148" t="s">
        <v>2258</v>
      </c>
      <c r="I148" t="s">
        <v>2260</v>
      </c>
      <c r="J148" t="s">
        <v>2264</v>
      </c>
      <c r="K148">
        <v>2</v>
      </c>
      <c r="L148">
        <v>90</v>
      </c>
      <c r="M148">
        <v>0.05</v>
      </c>
      <c r="N148">
        <v>180</v>
      </c>
      <c r="O148">
        <v>171</v>
      </c>
      <c r="P148" t="s">
        <v>2267</v>
      </c>
      <c r="Q148" t="s">
        <v>2270</v>
      </c>
      <c r="R148" t="s">
        <v>2276</v>
      </c>
      <c r="S148" t="s">
        <v>2286</v>
      </c>
      <c r="T148" t="s">
        <v>2288</v>
      </c>
      <c r="U148">
        <v>2</v>
      </c>
      <c r="V148">
        <v>276</v>
      </c>
      <c r="X148">
        <v>53.95</v>
      </c>
      <c r="Y148">
        <v>63.1</v>
      </c>
      <c r="Z148" t="s">
        <v>2293</v>
      </c>
      <c r="AA148" t="s">
        <v>1761</v>
      </c>
      <c r="AB148">
        <v>180</v>
      </c>
      <c r="AC148">
        <v>9</v>
      </c>
      <c r="AD148">
        <v>171</v>
      </c>
      <c r="AE148">
        <v>107.9</v>
      </c>
      <c r="AF148">
        <v>63.099999999999987</v>
      </c>
      <c r="AG148">
        <v>2024</v>
      </c>
      <c r="AH148">
        <v>7</v>
      </c>
      <c r="AI148" t="s">
        <v>2307</v>
      </c>
      <c r="AJ148" t="s">
        <v>2317</v>
      </c>
    </row>
    <row r="149" spans="1:36" x14ac:dyDescent="0.3">
      <c r="A149" t="s">
        <v>183</v>
      </c>
      <c r="B149" s="2">
        <v>45547</v>
      </c>
      <c r="C149" t="s">
        <v>1714</v>
      </c>
      <c r="D149" t="s">
        <v>1842</v>
      </c>
      <c r="E149" t="s">
        <v>2031</v>
      </c>
      <c r="F149" t="s">
        <v>2239</v>
      </c>
      <c r="G149" t="s">
        <v>2247</v>
      </c>
      <c r="H149" t="s">
        <v>2257</v>
      </c>
      <c r="I149" t="s">
        <v>2262</v>
      </c>
      <c r="J149" t="s">
        <v>2265</v>
      </c>
      <c r="K149">
        <v>1</v>
      </c>
      <c r="L149">
        <v>95</v>
      </c>
      <c r="M149">
        <v>0.1</v>
      </c>
      <c r="N149">
        <v>95</v>
      </c>
      <c r="O149">
        <v>85.5</v>
      </c>
      <c r="P149" t="s">
        <v>2269</v>
      </c>
      <c r="Q149" t="s">
        <v>2271</v>
      </c>
      <c r="R149" t="s">
        <v>2275</v>
      </c>
      <c r="S149" t="s">
        <v>2280</v>
      </c>
      <c r="T149" t="s">
        <v>2288</v>
      </c>
      <c r="U149">
        <v>4</v>
      </c>
      <c r="V149">
        <v>432</v>
      </c>
      <c r="W149">
        <v>60</v>
      </c>
      <c r="X149">
        <v>58.58</v>
      </c>
      <c r="Y149">
        <v>26.92</v>
      </c>
      <c r="Z149" t="s">
        <v>1761</v>
      </c>
      <c r="AA149" t="s">
        <v>2299</v>
      </c>
      <c r="AB149">
        <v>95</v>
      </c>
      <c r="AC149">
        <v>9.5</v>
      </c>
      <c r="AD149">
        <v>85.5</v>
      </c>
      <c r="AE149">
        <v>58.58</v>
      </c>
      <c r="AF149">
        <v>26.92</v>
      </c>
      <c r="AG149">
        <v>2024</v>
      </c>
      <c r="AH149">
        <v>9</v>
      </c>
      <c r="AI149" t="s">
        <v>2300</v>
      </c>
      <c r="AJ149" t="s">
        <v>2316</v>
      </c>
    </row>
    <row r="150" spans="1:36" x14ac:dyDescent="0.3">
      <c r="A150" t="s">
        <v>184</v>
      </c>
      <c r="B150" s="2">
        <v>45499</v>
      </c>
      <c r="C150" t="s">
        <v>1658</v>
      </c>
      <c r="D150" t="s">
        <v>1843</v>
      </c>
      <c r="E150" t="s">
        <v>1942</v>
      </c>
      <c r="F150" t="s">
        <v>2239</v>
      </c>
      <c r="G150" t="s">
        <v>2247</v>
      </c>
      <c r="H150" t="s">
        <v>2257</v>
      </c>
      <c r="I150" t="s">
        <v>2262</v>
      </c>
      <c r="J150" t="s">
        <v>2265</v>
      </c>
      <c r="K150">
        <v>1</v>
      </c>
      <c r="L150">
        <v>110</v>
      </c>
      <c r="M150">
        <v>0.15</v>
      </c>
      <c r="N150">
        <v>110</v>
      </c>
      <c r="O150">
        <v>93.5</v>
      </c>
      <c r="P150" t="s">
        <v>2268</v>
      </c>
      <c r="R150" t="s">
        <v>2275</v>
      </c>
      <c r="S150" t="s">
        <v>2280</v>
      </c>
      <c r="T150" t="s">
        <v>2289</v>
      </c>
      <c r="U150">
        <v>1</v>
      </c>
      <c r="V150">
        <v>493</v>
      </c>
      <c r="W150">
        <v>33</v>
      </c>
      <c r="X150">
        <v>43.93</v>
      </c>
      <c r="Y150">
        <v>49.57</v>
      </c>
      <c r="Z150" t="s">
        <v>2291</v>
      </c>
      <c r="AA150" t="s">
        <v>1761</v>
      </c>
      <c r="AB150">
        <v>110</v>
      </c>
      <c r="AC150">
        <v>16.5</v>
      </c>
      <c r="AD150">
        <v>93.5</v>
      </c>
      <c r="AE150">
        <v>43.93</v>
      </c>
      <c r="AF150">
        <v>49.57</v>
      </c>
      <c r="AG150">
        <v>2024</v>
      </c>
      <c r="AH150">
        <v>7</v>
      </c>
      <c r="AI150" t="s">
        <v>2307</v>
      </c>
      <c r="AJ150" t="s">
        <v>2315</v>
      </c>
    </row>
    <row r="151" spans="1:36" x14ac:dyDescent="0.3">
      <c r="A151" t="s">
        <v>185</v>
      </c>
      <c r="B151" s="2">
        <v>45490</v>
      </c>
      <c r="C151" t="s">
        <v>1709</v>
      </c>
      <c r="D151" t="s">
        <v>1763</v>
      </c>
      <c r="E151" t="s">
        <v>2052</v>
      </c>
      <c r="F151" t="s">
        <v>2239</v>
      </c>
      <c r="G151" t="s">
        <v>2249</v>
      </c>
      <c r="H151" t="s">
        <v>2257</v>
      </c>
      <c r="I151" t="s">
        <v>2263</v>
      </c>
      <c r="J151" t="s">
        <v>2266</v>
      </c>
      <c r="L151">
        <v>155</v>
      </c>
      <c r="M151">
        <v>0.1</v>
      </c>
      <c r="N151">
        <v>310</v>
      </c>
      <c r="O151">
        <v>279</v>
      </c>
      <c r="P151" t="s">
        <v>2268</v>
      </c>
      <c r="Q151" t="s">
        <v>2271</v>
      </c>
      <c r="R151" t="s">
        <v>2273</v>
      </c>
      <c r="S151" t="s">
        <v>2285</v>
      </c>
      <c r="T151" t="s">
        <v>2290</v>
      </c>
      <c r="U151">
        <v>1</v>
      </c>
      <c r="W151">
        <v>32</v>
      </c>
      <c r="X151">
        <v>59.37</v>
      </c>
      <c r="Y151">
        <v>160.26</v>
      </c>
      <c r="Z151" t="s">
        <v>1761</v>
      </c>
      <c r="AA151" t="s">
        <v>1761</v>
      </c>
      <c r="AG151">
        <v>2024</v>
      </c>
      <c r="AH151">
        <v>7</v>
      </c>
      <c r="AI151" t="s">
        <v>2307</v>
      </c>
      <c r="AJ151" t="s">
        <v>2312</v>
      </c>
    </row>
    <row r="152" spans="1:36" x14ac:dyDescent="0.3">
      <c r="A152" t="s">
        <v>186</v>
      </c>
      <c r="B152" s="2">
        <v>45495</v>
      </c>
      <c r="C152" t="s">
        <v>1638</v>
      </c>
      <c r="D152" t="s">
        <v>1829</v>
      </c>
      <c r="E152" t="s">
        <v>2053</v>
      </c>
      <c r="F152" t="s">
        <v>1761</v>
      </c>
      <c r="G152" t="s">
        <v>2250</v>
      </c>
      <c r="H152" t="s">
        <v>2259</v>
      </c>
      <c r="I152" t="s">
        <v>2262</v>
      </c>
      <c r="J152" t="s">
        <v>2265</v>
      </c>
      <c r="K152">
        <v>2</v>
      </c>
      <c r="L152">
        <v>80</v>
      </c>
      <c r="M152">
        <v>0.1</v>
      </c>
      <c r="N152">
        <v>160</v>
      </c>
      <c r="O152">
        <v>144</v>
      </c>
      <c r="Q152" t="s">
        <v>2271</v>
      </c>
      <c r="R152" t="s">
        <v>2275</v>
      </c>
      <c r="S152" t="s">
        <v>2286</v>
      </c>
      <c r="T152" t="s">
        <v>2288</v>
      </c>
      <c r="U152">
        <v>5</v>
      </c>
      <c r="W152">
        <v>35</v>
      </c>
      <c r="X152">
        <v>32.14</v>
      </c>
      <c r="Y152">
        <v>79.72</v>
      </c>
      <c r="Z152" t="s">
        <v>2292</v>
      </c>
      <c r="AA152" t="s">
        <v>2299</v>
      </c>
      <c r="AB152">
        <v>160</v>
      </c>
      <c r="AC152">
        <v>16</v>
      </c>
      <c r="AD152">
        <v>144</v>
      </c>
      <c r="AE152">
        <v>64.28</v>
      </c>
      <c r="AF152">
        <v>79.72</v>
      </c>
      <c r="AG152">
        <v>2024</v>
      </c>
      <c r="AH152">
        <v>7</v>
      </c>
      <c r="AI152" t="s">
        <v>2307</v>
      </c>
      <c r="AJ152" t="s">
        <v>2314</v>
      </c>
    </row>
    <row r="153" spans="1:36" x14ac:dyDescent="0.3">
      <c r="A153" t="s">
        <v>187</v>
      </c>
      <c r="B153" s="2">
        <v>45459</v>
      </c>
      <c r="C153" t="s">
        <v>1702</v>
      </c>
      <c r="D153" t="s">
        <v>1807</v>
      </c>
      <c r="E153" t="s">
        <v>2054</v>
      </c>
      <c r="F153" t="s">
        <v>2238</v>
      </c>
      <c r="G153" t="s">
        <v>2253</v>
      </c>
      <c r="H153" t="s">
        <v>2258</v>
      </c>
      <c r="I153" t="s">
        <v>2260</v>
      </c>
      <c r="J153" t="s">
        <v>2265</v>
      </c>
      <c r="K153">
        <v>1</v>
      </c>
      <c r="L153">
        <v>85</v>
      </c>
      <c r="M153">
        <v>0</v>
      </c>
      <c r="N153">
        <v>85</v>
      </c>
      <c r="O153">
        <v>85</v>
      </c>
      <c r="Q153" t="s">
        <v>2272</v>
      </c>
      <c r="R153" t="s">
        <v>2274</v>
      </c>
      <c r="S153" t="s">
        <v>2282</v>
      </c>
      <c r="T153" t="s">
        <v>2288</v>
      </c>
      <c r="U153">
        <v>1</v>
      </c>
      <c r="V153">
        <v>13</v>
      </c>
      <c r="X153">
        <v>46.01</v>
      </c>
      <c r="Y153">
        <v>38.99</v>
      </c>
      <c r="Z153" t="s">
        <v>1761</v>
      </c>
      <c r="AA153" t="s">
        <v>2296</v>
      </c>
      <c r="AB153">
        <v>85</v>
      </c>
      <c r="AC153">
        <v>0</v>
      </c>
      <c r="AD153">
        <v>85</v>
      </c>
      <c r="AE153">
        <v>46.01</v>
      </c>
      <c r="AF153">
        <v>38.99</v>
      </c>
      <c r="AG153">
        <v>2024</v>
      </c>
      <c r="AH153">
        <v>6</v>
      </c>
      <c r="AI153" t="s">
        <v>2304</v>
      </c>
      <c r="AJ153" t="s">
        <v>2318</v>
      </c>
    </row>
    <row r="154" spans="1:36" x14ac:dyDescent="0.3">
      <c r="A154" t="s">
        <v>188</v>
      </c>
      <c r="B154" s="2">
        <v>45351</v>
      </c>
      <c r="C154" t="s">
        <v>1715</v>
      </c>
      <c r="D154" t="s">
        <v>1844</v>
      </c>
      <c r="E154" t="s">
        <v>2055</v>
      </c>
      <c r="F154" t="s">
        <v>2239</v>
      </c>
      <c r="G154" t="s">
        <v>2255</v>
      </c>
      <c r="H154" t="s">
        <v>2260</v>
      </c>
      <c r="I154" t="s">
        <v>2260</v>
      </c>
      <c r="J154" t="s">
        <v>2264</v>
      </c>
      <c r="K154">
        <v>1</v>
      </c>
      <c r="L154">
        <v>180</v>
      </c>
      <c r="M154">
        <v>0.1</v>
      </c>
      <c r="N154">
        <v>180</v>
      </c>
      <c r="O154">
        <v>162</v>
      </c>
      <c r="R154" t="s">
        <v>2274</v>
      </c>
      <c r="S154" t="s">
        <v>2281</v>
      </c>
      <c r="T154" t="s">
        <v>2289</v>
      </c>
      <c r="U154">
        <v>5</v>
      </c>
      <c r="V154">
        <v>418</v>
      </c>
      <c r="W154">
        <v>33</v>
      </c>
      <c r="X154">
        <v>91.57</v>
      </c>
      <c r="Y154">
        <v>70.430000000000007</v>
      </c>
      <c r="Z154" t="s">
        <v>2293</v>
      </c>
      <c r="AA154" t="s">
        <v>2299</v>
      </c>
      <c r="AB154">
        <v>180</v>
      </c>
      <c r="AC154">
        <v>18</v>
      </c>
      <c r="AD154">
        <v>162</v>
      </c>
      <c r="AE154">
        <v>91.57</v>
      </c>
      <c r="AF154">
        <v>70.430000000000007</v>
      </c>
      <c r="AG154">
        <v>2024</v>
      </c>
      <c r="AH154">
        <v>2</v>
      </c>
      <c r="AI154" t="s">
        <v>2303</v>
      </c>
      <c r="AJ154" t="s">
        <v>2316</v>
      </c>
    </row>
    <row r="155" spans="1:36" x14ac:dyDescent="0.3">
      <c r="A155" t="s">
        <v>189</v>
      </c>
      <c r="B155" s="2">
        <v>45330</v>
      </c>
      <c r="C155" t="s">
        <v>1716</v>
      </c>
      <c r="D155" t="s">
        <v>1817</v>
      </c>
      <c r="E155" t="s">
        <v>1954</v>
      </c>
      <c r="F155" t="s">
        <v>2239</v>
      </c>
      <c r="G155" t="s">
        <v>2256</v>
      </c>
      <c r="H155" t="s">
        <v>2261</v>
      </c>
      <c r="I155" t="s">
        <v>2260</v>
      </c>
      <c r="K155">
        <v>2</v>
      </c>
      <c r="L155">
        <v>190</v>
      </c>
      <c r="M155">
        <v>0.1</v>
      </c>
      <c r="N155">
        <v>380</v>
      </c>
      <c r="O155">
        <v>342</v>
      </c>
      <c r="P155" t="s">
        <v>2269</v>
      </c>
      <c r="Q155" t="s">
        <v>2272</v>
      </c>
      <c r="R155" t="s">
        <v>2279</v>
      </c>
      <c r="S155" t="s">
        <v>2286</v>
      </c>
      <c r="T155" t="s">
        <v>2289</v>
      </c>
      <c r="U155">
        <v>1</v>
      </c>
      <c r="V155">
        <v>322</v>
      </c>
      <c r="W155">
        <v>29</v>
      </c>
      <c r="X155">
        <v>89.57</v>
      </c>
      <c r="Y155">
        <v>162.86000000000001</v>
      </c>
      <c r="Z155" t="s">
        <v>2293</v>
      </c>
      <c r="AA155" t="s">
        <v>2298</v>
      </c>
      <c r="AB155">
        <v>380</v>
      </c>
      <c r="AC155">
        <v>38</v>
      </c>
      <c r="AD155">
        <v>342</v>
      </c>
      <c r="AE155">
        <v>179.14</v>
      </c>
      <c r="AF155">
        <v>162.86000000000001</v>
      </c>
      <c r="AG155">
        <v>2024</v>
      </c>
      <c r="AH155">
        <v>2</v>
      </c>
      <c r="AI155" t="s">
        <v>2303</v>
      </c>
      <c r="AJ155" t="s">
        <v>2316</v>
      </c>
    </row>
    <row r="156" spans="1:36" x14ac:dyDescent="0.3">
      <c r="A156" t="s">
        <v>190</v>
      </c>
      <c r="B156" s="2">
        <v>45652</v>
      </c>
      <c r="C156" t="s">
        <v>1717</v>
      </c>
      <c r="D156" t="s">
        <v>1758</v>
      </c>
      <c r="E156" t="s">
        <v>2050</v>
      </c>
      <c r="F156" t="s">
        <v>1761</v>
      </c>
      <c r="G156" t="s">
        <v>2249</v>
      </c>
      <c r="H156" t="s">
        <v>2257</v>
      </c>
      <c r="I156" t="s">
        <v>2263</v>
      </c>
      <c r="K156">
        <v>1</v>
      </c>
      <c r="L156">
        <v>160</v>
      </c>
      <c r="M156">
        <v>0.1</v>
      </c>
      <c r="N156">
        <v>160</v>
      </c>
      <c r="O156">
        <v>144</v>
      </c>
      <c r="P156" t="s">
        <v>2269</v>
      </c>
      <c r="Q156" t="s">
        <v>2272</v>
      </c>
      <c r="R156" t="s">
        <v>2278</v>
      </c>
      <c r="S156" t="s">
        <v>2285</v>
      </c>
      <c r="T156" t="s">
        <v>2288</v>
      </c>
      <c r="U156">
        <v>3</v>
      </c>
      <c r="V156">
        <v>150</v>
      </c>
      <c r="W156">
        <v>48</v>
      </c>
      <c r="X156">
        <v>71.900000000000006</v>
      </c>
      <c r="Y156">
        <v>72.099999999999994</v>
      </c>
      <c r="Z156" t="s">
        <v>2293</v>
      </c>
      <c r="AA156" t="s">
        <v>2296</v>
      </c>
      <c r="AB156">
        <v>160</v>
      </c>
      <c r="AC156">
        <v>16</v>
      </c>
      <c r="AD156">
        <v>144</v>
      </c>
      <c r="AE156">
        <v>71.900000000000006</v>
      </c>
      <c r="AF156">
        <v>72.099999999999994</v>
      </c>
      <c r="AG156">
        <v>2024</v>
      </c>
      <c r="AH156">
        <v>12</v>
      </c>
      <c r="AI156" t="s">
        <v>2309</v>
      </c>
      <c r="AJ156" t="s">
        <v>2316</v>
      </c>
    </row>
    <row r="157" spans="1:36" x14ac:dyDescent="0.3">
      <c r="A157" t="s">
        <v>191</v>
      </c>
      <c r="B157" s="2">
        <v>45481</v>
      </c>
      <c r="C157" t="s">
        <v>1678</v>
      </c>
      <c r="D157" t="s">
        <v>1782</v>
      </c>
      <c r="E157" t="s">
        <v>2056</v>
      </c>
      <c r="F157" t="s">
        <v>2239</v>
      </c>
      <c r="G157" t="s">
        <v>2245</v>
      </c>
      <c r="H157" t="s">
        <v>2257</v>
      </c>
      <c r="I157" t="s">
        <v>2263</v>
      </c>
      <c r="J157" t="s">
        <v>2264</v>
      </c>
      <c r="K157">
        <v>1</v>
      </c>
      <c r="L157">
        <v>150</v>
      </c>
      <c r="M157">
        <v>0.15</v>
      </c>
      <c r="N157">
        <v>150</v>
      </c>
      <c r="O157">
        <v>127.5</v>
      </c>
      <c r="P157" t="s">
        <v>2269</v>
      </c>
      <c r="Q157" t="s">
        <v>2271</v>
      </c>
      <c r="R157" t="s">
        <v>2275</v>
      </c>
      <c r="S157" t="s">
        <v>2285</v>
      </c>
      <c r="T157" t="s">
        <v>2289</v>
      </c>
      <c r="U157">
        <v>4</v>
      </c>
      <c r="V157">
        <v>452</v>
      </c>
      <c r="W157">
        <v>31</v>
      </c>
      <c r="X157">
        <v>72.55</v>
      </c>
      <c r="Y157">
        <v>54.95</v>
      </c>
      <c r="Z157" t="s">
        <v>2293</v>
      </c>
      <c r="AA157" t="s">
        <v>2299</v>
      </c>
      <c r="AB157">
        <v>150</v>
      </c>
      <c r="AC157">
        <v>22.5</v>
      </c>
      <c r="AD157">
        <v>127.5</v>
      </c>
      <c r="AE157">
        <v>72.55</v>
      </c>
      <c r="AF157">
        <v>54.95</v>
      </c>
      <c r="AG157">
        <v>2024</v>
      </c>
      <c r="AH157">
        <v>7</v>
      </c>
      <c r="AI157" t="s">
        <v>2307</v>
      </c>
      <c r="AJ157" t="s">
        <v>2314</v>
      </c>
    </row>
    <row r="158" spans="1:36" x14ac:dyDescent="0.3">
      <c r="A158" t="s">
        <v>192</v>
      </c>
      <c r="B158" s="2">
        <v>45571</v>
      </c>
      <c r="C158" t="s">
        <v>1685</v>
      </c>
      <c r="D158" t="s">
        <v>1845</v>
      </c>
      <c r="E158" t="s">
        <v>2047</v>
      </c>
      <c r="F158" t="s">
        <v>2239</v>
      </c>
      <c r="G158" t="s">
        <v>2255</v>
      </c>
      <c r="H158" t="s">
        <v>2260</v>
      </c>
      <c r="I158" t="s">
        <v>2260</v>
      </c>
      <c r="J158" t="s">
        <v>2265</v>
      </c>
      <c r="K158">
        <v>1</v>
      </c>
      <c r="L158">
        <v>185</v>
      </c>
      <c r="M158">
        <v>0.1</v>
      </c>
      <c r="N158">
        <v>185</v>
      </c>
      <c r="O158">
        <v>166.5</v>
      </c>
      <c r="P158" t="s">
        <v>2268</v>
      </c>
      <c r="Q158" t="s">
        <v>2270</v>
      </c>
      <c r="R158" t="s">
        <v>2279</v>
      </c>
      <c r="S158" t="s">
        <v>2287</v>
      </c>
      <c r="T158" t="s">
        <v>2290</v>
      </c>
      <c r="U158">
        <v>5</v>
      </c>
      <c r="V158">
        <v>411</v>
      </c>
      <c r="W158">
        <v>20</v>
      </c>
      <c r="X158">
        <v>63.85</v>
      </c>
      <c r="Y158">
        <v>102.65</v>
      </c>
      <c r="Z158" t="s">
        <v>2293</v>
      </c>
      <c r="AA158" t="s">
        <v>2298</v>
      </c>
      <c r="AB158">
        <v>185</v>
      </c>
      <c r="AC158">
        <v>18.5</v>
      </c>
      <c r="AD158">
        <v>166.5</v>
      </c>
      <c r="AE158">
        <v>63.85</v>
      </c>
      <c r="AF158">
        <v>102.65</v>
      </c>
      <c r="AG158">
        <v>2024</v>
      </c>
      <c r="AH158">
        <v>10</v>
      </c>
      <c r="AI158" t="s">
        <v>2310</v>
      </c>
      <c r="AJ158" t="s">
        <v>2318</v>
      </c>
    </row>
    <row r="159" spans="1:36" x14ac:dyDescent="0.3">
      <c r="A159" t="s">
        <v>193</v>
      </c>
      <c r="B159" s="2">
        <v>45477</v>
      </c>
      <c r="C159" t="s">
        <v>1698</v>
      </c>
      <c r="D159" t="s">
        <v>1846</v>
      </c>
      <c r="E159" t="s">
        <v>1976</v>
      </c>
      <c r="F159" t="s">
        <v>2240</v>
      </c>
      <c r="G159" t="s">
        <v>2249</v>
      </c>
      <c r="H159" t="s">
        <v>2257</v>
      </c>
      <c r="I159" t="s">
        <v>2263</v>
      </c>
      <c r="J159" t="s">
        <v>2264</v>
      </c>
      <c r="K159">
        <v>1</v>
      </c>
      <c r="L159">
        <v>155</v>
      </c>
      <c r="M159">
        <v>0.05</v>
      </c>
      <c r="N159">
        <v>155</v>
      </c>
      <c r="O159">
        <v>147.25</v>
      </c>
      <c r="P159" t="s">
        <v>2268</v>
      </c>
      <c r="Q159" t="s">
        <v>2270</v>
      </c>
      <c r="R159" t="s">
        <v>2273</v>
      </c>
      <c r="S159" t="s">
        <v>2285</v>
      </c>
      <c r="T159" t="s">
        <v>2288</v>
      </c>
      <c r="U159">
        <v>3</v>
      </c>
      <c r="V159">
        <v>303</v>
      </c>
      <c r="X159">
        <v>93.01</v>
      </c>
      <c r="Y159">
        <v>54.24</v>
      </c>
      <c r="Z159" t="s">
        <v>2293</v>
      </c>
      <c r="AA159" t="s">
        <v>1761</v>
      </c>
      <c r="AB159">
        <v>155</v>
      </c>
      <c r="AC159">
        <v>7.75</v>
      </c>
      <c r="AD159">
        <v>147.25</v>
      </c>
      <c r="AE159">
        <v>93.01</v>
      </c>
      <c r="AF159">
        <v>54.239999999999988</v>
      </c>
      <c r="AG159">
        <v>2024</v>
      </c>
      <c r="AH159">
        <v>7</v>
      </c>
      <c r="AI159" t="s">
        <v>2307</v>
      </c>
      <c r="AJ159" t="s">
        <v>2316</v>
      </c>
    </row>
    <row r="160" spans="1:36" x14ac:dyDescent="0.3">
      <c r="A160" t="s">
        <v>194</v>
      </c>
      <c r="B160" s="2">
        <v>45401</v>
      </c>
      <c r="C160" t="s">
        <v>1709</v>
      </c>
      <c r="D160" t="s">
        <v>1847</v>
      </c>
      <c r="E160" t="s">
        <v>1761</v>
      </c>
      <c r="F160" t="s">
        <v>2240</v>
      </c>
      <c r="G160" t="s">
        <v>2246</v>
      </c>
      <c r="H160" t="s">
        <v>2259</v>
      </c>
      <c r="I160" t="s">
        <v>2262</v>
      </c>
      <c r="K160">
        <v>1</v>
      </c>
      <c r="L160">
        <v>90</v>
      </c>
      <c r="M160">
        <v>0.15</v>
      </c>
      <c r="N160">
        <v>90</v>
      </c>
      <c r="O160">
        <v>76.5</v>
      </c>
      <c r="P160" t="s">
        <v>2267</v>
      </c>
      <c r="R160" t="s">
        <v>2273</v>
      </c>
      <c r="S160" t="s">
        <v>2285</v>
      </c>
      <c r="T160" t="s">
        <v>2288</v>
      </c>
      <c r="U160">
        <v>1</v>
      </c>
      <c r="V160">
        <v>164</v>
      </c>
      <c r="W160">
        <v>44</v>
      </c>
      <c r="X160">
        <v>34.630000000000003</v>
      </c>
      <c r="Y160">
        <v>41.87</v>
      </c>
      <c r="Z160" t="s">
        <v>2293</v>
      </c>
      <c r="AA160" t="s">
        <v>2297</v>
      </c>
      <c r="AB160">
        <v>90</v>
      </c>
      <c r="AC160">
        <v>13.5</v>
      </c>
      <c r="AD160">
        <v>76.5</v>
      </c>
      <c r="AE160">
        <v>34.630000000000003</v>
      </c>
      <c r="AF160">
        <v>41.87</v>
      </c>
      <c r="AG160">
        <v>2024</v>
      </c>
      <c r="AH160">
        <v>4</v>
      </c>
      <c r="AI160" t="s">
        <v>2308</v>
      </c>
      <c r="AJ160" t="s">
        <v>2315</v>
      </c>
    </row>
    <row r="161" spans="1:36" x14ac:dyDescent="0.3">
      <c r="A161" t="s">
        <v>195</v>
      </c>
      <c r="B161" s="2">
        <v>45465</v>
      </c>
      <c r="C161" t="s">
        <v>1657</v>
      </c>
      <c r="D161" t="s">
        <v>1780</v>
      </c>
      <c r="E161" t="s">
        <v>2057</v>
      </c>
      <c r="F161" t="s">
        <v>2238</v>
      </c>
      <c r="G161" t="s">
        <v>2252</v>
      </c>
      <c r="H161" t="s">
        <v>2257</v>
      </c>
      <c r="I161" t="s">
        <v>2262</v>
      </c>
      <c r="J161" t="s">
        <v>2265</v>
      </c>
      <c r="K161">
        <v>2</v>
      </c>
      <c r="L161">
        <v>90</v>
      </c>
      <c r="M161">
        <v>0.05</v>
      </c>
      <c r="N161">
        <v>180</v>
      </c>
      <c r="O161">
        <v>171</v>
      </c>
      <c r="P161" t="s">
        <v>2269</v>
      </c>
      <c r="Q161" t="s">
        <v>2272</v>
      </c>
      <c r="R161" t="s">
        <v>2275</v>
      </c>
      <c r="S161" t="s">
        <v>2286</v>
      </c>
      <c r="T161" t="s">
        <v>2289</v>
      </c>
      <c r="U161">
        <v>2</v>
      </c>
      <c r="V161">
        <v>484</v>
      </c>
      <c r="X161">
        <v>39.32</v>
      </c>
      <c r="Y161">
        <v>92.36</v>
      </c>
      <c r="Z161" t="s">
        <v>2293</v>
      </c>
      <c r="AA161" t="s">
        <v>2299</v>
      </c>
      <c r="AB161">
        <v>180</v>
      </c>
      <c r="AC161">
        <v>9</v>
      </c>
      <c r="AD161">
        <v>171</v>
      </c>
      <c r="AE161">
        <v>78.64</v>
      </c>
      <c r="AF161">
        <v>92.36</v>
      </c>
      <c r="AG161">
        <v>2024</v>
      </c>
      <c r="AH161">
        <v>6</v>
      </c>
      <c r="AI161" t="s">
        <v>2304</v>
      </c>
      <c r="AJ161" t="s">
        <v>2317</v>
      </c>
    </row>
    <row r="162" spans="1:36" x14ac:dyDescent="0.3">
      <c r="A162" t="s">
        <v>196</v>
      </c>
      <c r="B162" s="2">
        <v>45460</v>
      </c>
      <c r="C162" t="s">
        <v>1652</v>
      </c>
      <c r="D162" t="s">
        <v>1848</v>
      </c>
      <c r="E162" t="s">
        <v>1761</v>
      </c>
      <c r="F162" t="s">
        <v>2240</v>
      </c>
      <c r="G162" t="s">
        <v>2256</v>
      </c>
      <c r="H162" t="s">
        <v>2261</v>
      </c>
      <c r="I162" t="s">
        <v>2260</v>
      </c>
      <c r="J162" t="s">
        <v>2265</v>
      </c>
      <c r="K162">
        <v>2</v>
      </c>
      <c r="L162">
        <v>185</v>
      </c>
      <c r="M162">
        <v>0.05</v>
      </c>
      <c r="N162">
        <v>370</v>
      </c>
      <c r="O162">
        <v>351.5</v>
      </c>
      <c r="P162" t="s">
        <v>2269</v>
      </c>
      <c r="R162" t="s">
        <v>2273</v>
      </c>
      <c r="S162" t="s">
        <v>2282</v>
      </c>
      <c r="T162" t="s">
        <v>2290</v>
      </c>
      <c r="V162">
        <v>121</v>
      </c>
      <c r="W162">
        <v>57</v>
      </c>
      <c r="X162">
        <v>113.89</v>
      </c>
      <c r="Y162">
        <v>123.72</v>
      </c>
      <c r="Z162" t="s">
        <v>2294</v>
      </c>
      <c r="AA162" t="s">
        <v>2299</v>
      </c>
      <c r="AB162">
        <v>370</v>
      </c>
      <c r="AC162">
        <v>18.5</v>
      </c>
      <c r="AD162">
        <v>351.5</v>
      </c>
      <c r="AE162">
        <v>227.78</v>
      </c>
      <c r="AF162">
        <v>123.72</v>
      </c>
      <c r="AG162">
        <v>2024</v>
      </c>
      <c r="AH162">
        <v>6</v>
      </c>
      <c r="AI162" t="s">
        <v>2304</v>
      </c>
      <c r="AJ162" t="s">
        <v>2314</v>
      </c>
    </row>
    <row r="163" spans="1:36" x14ac:dyDescent="0.3">
      <c r="A163" t="s">
        <v>197</v>
      </c>
      <c r="B163" s="2">
        <v>45312</v>
      </c>
      <c r="C163" t="s">
        <v>1692</v>
      </c>
      <c r="D163" t="s">
        <v>1849</v>
      </c>
      <c r="E163" t="s">
        <v>1995</v>
      </c>
      <c r="F163" t="s">
        <v>2240</v>
      </c>
      <c r="G163" t="s">
        <v>2242</v>
      </c>
      <c r="H163" t="s">
        <v>2258</v>
      </c>
      <c r="I163" t="s">
        <v>2260</v>
      </c>
      <c r="J163" t="s">
        <v>2266</v>
      </c>
      <c r="K163">
        <v>2</v>
      </c>
      <c r="L163">
        <v>115</v>
      </c>
      <c r="M163">
        <v>0.1</v>
      </c>
      <c r="N163">
        <v>230</v>
      </c>
      <c r="O163">
        <v>207</v>
      </c>
      <c r="P163" t="s">
        <v>2269</v>
      </c>
      <c r="Q163" t="s">
        <v>2270</v>
      </c>
      <c r="R163" t="s">
        <v>2279</v>
      </c>
      <c r="S163" t="s">
        <v>2284</v>
      </c>
      <c r="T163" t="s">
        <v>2288</v>
      </c>
      <c r="U163">
        <v>4</v>
      </c>
      <c r="W163">
        <v>49</v>
      </c>
      <c r="X163">
        <v>60.51</v>
      </c>
      <c r="Y163">
        <v>85.98</v>
      </c>
      <c r="Z163" t="s">
        <v>1761</v>
      </c>
      <c r="AA163" t="s">
        <v>2298</v>
      </c>
      <c r="AB163">
        <v>230</v>
      </c>
      <c r="AC163">
        <v>23</v>
      </c>
      <c r="AD163">
        <v>207</v>
      </c>
      <c r="AE163">
        <v>121.02</v>
      </c>
      <c r="AF163">
        <v>85.98</v>
      </c>
      <c r="AG163">
        <v>2024</v>
      </c>
      <c r="AH163">
        <v>1</v>
      </c>
      <c r="AI163" t="s">
        <v>2302</v>
      </c>
      <c r="AJ163" t="s">
        <v>2318</v>
      </c>
    </row>
    <row r="164" spans="1:36" x14ac:dyDescent="0.3">
      <c r="A164" t="s">
        <v>198</v>
      </c>
      <c r="B164" s="2">
        <v>45610</v>
      </c>
      <c r="C164" t="s">
        <v>1638</v>
      </c>
      <c r="D164" t="s">
        <v>1850</v>
      </c>
      <c r="E164" t="s">
        <v>2058</v>
      </c>
      <c r="F164" t="s">
        <v>2239</v>
      </c>
      <c r="G164" t="s">
        <v>2254</v>
      </c>
      <c r="H164" t="s">
        <v>2259</v>
      </c>
      <c r="I164" t="s">
        <v>2263</v>
      </c>
      <c r="J164" t="s">
        <v>2266</v>
      </c>
      <c r="K164">
        <v>5</v>
      </c>
      <c r="L164">
        <v>105</v>
      </c>
      <c r="M164">
        <v>0.1</v>
      </c>
      <c r="N164">
        <v>525</v>
      </c>
      <c r="O164">
        <v>472.5</v>
      </c>
      <c r="Q164" t="s">
        <v>2271</v>
      </c>
      <c r="R164" t="s">
        <v>2273</v>
      </c>
      <c r="S164" t="s">
        <v>2285</v>
      </c>
      <c r="T164" t="s">
        <v>2290</v>
      </c>
      <c r="U164">
        <v>5</v>
      </c>
      <c r="V164">
        <v>62</v>
      </c>
      <c r="W164">
        <v>33</v>
      </c>
      <c r="X164">
        <v>40.58</v>
      </c>
      <c r="Y164">
        <v>269.60000000000002</v>
      </c>
      <c r="Z164" t="s">
        <v>2293</v>
      </c>
      <c r="AA164" t="s">
        <v>2299</v>
      </c>
      <c r="AB164">
        <v>525</v>
      </c>
      <c r="AC164">
        <v>52.5</v>
      </c>
      <c r="AD164">
        <v>472.5</v>
      </c>
      <c r="AE164">
        <v>202.9</v>
      </c>
      <c r="AF164">
        <v>269.60000000000002</v>
      </c>
      <c r="AG164">
        <v>2024</v>
      </c>
      <c r="AH164">
        <v>11</v>
      </c>
      <c r="AI164" t="s">
        <v>2311</v>
      </c>
      <c r="AJ164" t="s">
        <v>2316</v>
      </c>
    </row>
    <row r="165" spans="1:36" x14ac:dyDescent="0.3">
      <c r="A165" t="s">
        <v>199</v>
      </c>
      <c r="B165" s="2">
        <v>45555</v>
      </c>
      <c r="C165" t="s">
        <v>1703</v>
      </c>
      <c r="D165" t="s">
        <v>1774</v>
      </c>
      <c r="E165" t="s">
        <v>2059</v>
      </c>
      <c r="F165" t="s">
        <v>2239</v>
      </c>
      <c r="G165" t="s">
        <v>2242</v>
      </c>
      <c r="H165" t="s">
        <v>2258</v>
      </c>
      <c r="I165" t="s">
        <v>2260</v>
      </c>
      <c r="J165" t="s">
        <v>2265</v>
      </c>
      <c r="K165">
        <v>1</v>
      </c>
      <c r="L165">
        <v>125</v>
      </c>
      <c r="M165">
        <v>0</v>
      </c>
      <c r="N165">
        <v>125</v>
      </c>
      <c r="O165">
        <v>125</v>
      </c>
      <c r="Q165" t="s">
        <v>2272</v>
      </c>
      <c r="R165" t="s">
        <v>2274</v>
      </c>
      <c r="S165" t="s">
        <v>2285</v>
      </c>
      <c r="T165" t="s">
        <v>2290</v>
      </c>
      <c r="V165">
        <v>171</v>
      </c>
      <c r="X165">
        <v>49.29</v>
      </c>
      <c r="Y165">
        <v>75.709999999999994</v>
      </c>
      <c r="Z165" t="s">
        <v>1761</v>
      </c>
      <c r="AA165" t="s">
        <v>1761</v>
      </c>
      <c r="AB165">
        <v>125</v>
      </c>
      <c r="AC165">
        <v>0</v>
      </c>
      <c r="AD165">
        <v>125</v>
      </c>
      <c r="AE165">
        <v>49.29</v>
      </c>
      <c r="AF165">
        <v>75.710000000000008</v>
      </c>
      <c r="AG165">
        <v>2024</v>
      </c>
      <c r="AH165">
        <v>9</v>
      </c>
      <c r="AI165" t="s">
        <v>2300</v>
      </c>
      <c r="AJ165" t="s">
        <v>2315</v>
      </c>
    </row>
    <row r="166" spans="1:36" x14ac:dyDescent="0.3">
      <c r="A166" t="s">
        <v>200</v>
      </c>
      <c r="B166" s="2">
        <v>45629</v>
      </c>
      <c r="C166" t="s">
        <v>1718</v>
      </c>
      <c r="D166" t="s">
        <v>1761</v>
      </c>
      <c r="E166" t="s">
        <v>2060</v>
      </c>
      <c r="F166" t="s">
        <v>2240</v>
      </c>
      <c r="G166" t="s">
        <v>2248</v>
      </c>
      <c r="H166" t="s">
        <v>2257</v>
      </c>
      <c r="I166" t="s">
        <v>2262</v>
      </c>
      <c r="J166" t="s">
        <v>2266</v>
      </c>
      <c r="K166">
        <v>2</v>
      </c>
      <c r="L166">
        <v>145</v>
      </c>
      <c r="M166">
        <v>0.1</v>
      </c>
      <c r="N166">
        <v>290</v>
      </c>
      <c r="O166">
        <v>261</v>
      </c>
      <c r="P166" t="s">
        <v>2267</v>
      </c>
      <c r="Q166" t="s">
        <v>2271</v>
      </c>
      <c r="R166" t="s">
        <v>2278</v>
      </c>
      <c r="S166" t="s">
        <v>2286</v>
      </c>
      <c r="T166" t="s">
        <v>2290</v>
      </c>
      <c r="U166">
        <v>2</v>
      </c>
      <c r="V166">
        <v>25</v>
      </c>
      <c r="W166">
        <v>30</v>
      </c>
      <c r="X166">
        <v>63.62</v>
      </c>
      <c r="Y166">
        <v>133.76</v>
      </c>
      <c r="Z166" t="s">
        <v>2291</v>
      </c>
      <c r="AA166" t="s">
        <v>2299</v>
      </c>
      <c r="AB166">
        <v>290</v>
      </c>
      <c r="AC166">
        <v>29</v>
      </c>
      <c r="AD166">
        <v>261</v>
      </c>
      <c r="AE166">
        <v>127.24</v>
      </c>
      <c r="AF166">
        <v>133.76</v>
      </c>
      <c r="AG166">
        <v>2024</v>
      </c>
      <c r="AH166">
        <v>12</v>
      </c>
      <c r="AI166" t="s">
        <v>2309</v>
      </c>
      <c r="AJ166" t="s">
        <v>2313</v>
      </c>
    </row>
    <row r="167" spans="1:36" x14ac:dyDescent="0.3">
      <c r="A167" t="s">
        <v>201</v>
      </c>
      <c r="B167" s="2">
        <v>45634</v>
      </c>
      <c r="C167" t="s">
        <v>1695</v>
      </c>
      <c r="D167" t="s">
        <v>1851</v>
      </c>
      <c r="E167" t="s">
        <v>2061</v>
      </c>
      <c r="F167" t="s">
        <v>2240</v>
      </c>
      <c r="G167" t="s">
        <v>2250</v>
      </c>
      <c r="H167" t="s">
        <v>2259</v>
      </c>
      <c r="I167" t="s">
        <v>2262</v>
      </c>
      <c r="K167">
        <v>1</v>
      </c>
      <c r="L167">
        <v>75</v>
      </c>
      <c r="M167">
        <v>0.05</v>
      </c>
      <c r="N167">
        <v>75</v>
      </c>
      <c r="O167">
        <v>71.25</v>
      </c>
      <c r="P167" t="s">
        <v>2269</v>
      </c>
      <c r="Q167" t="s">
        <v>2272</v>
      </c>
      <c r="R167" t="s">
        <v>2274</v>
      </c>
      <c r="S167" t="s">
        <v>2286</v>
      </c>
      <c r="T167" t="s">
        <v>2288</v>
      </c>
      <c r="U167">
        <v>5</v>
      </c>
      <c r="V167">
        <v>324</v>
      </c>
      <c r="W167">
        <v>22</v>
      </c>
      <c r="X167">
        <v>38.96</v>
      </c>
      <c r="Y167">
        <v>32.29</v>
      </c>
      <c r="Z167" t="s">
        <v>2292</v>
      </c>
      <c r="AA167" t="s">
        <v>2298</v>
      </c>
      <c r="AB167">
        <v>75</v>
      </c>
      <c r="AC167">
        <v>3.75</v>
      </c>
      <c r="AD167">
        <v>71.25</v>
      </c>
      <c r="AE167">
        <v>38.96</v>
      </c>
      <c r="AF167">
        <v>32.29</v>
      </c>
      <c r="AG167">
        <v>2024</v>
      </c>
      <c r="AH167">
        <v>12</v>
      </c>
      <c r="AI167" t="s">
        <v>2309</v>
      </c>
      <c r="AJ167" t="s">
        <v>2318</v>
      </c>
    </row>
    <row r="168" spans="1:36" x14ac:dyDescent="0.3">
      <c r="A168" t="s">
        <v>202</v>
      </c>
      <c r="B168" s="2">
        <v>45411</v>
      </c>
      <c r="C168" t="s">
        <v>1680</v>
      </c>
      <c r="D168" t="s">
        <v>1791</v>
      </c>
      <c r="E168" t="s">
        <v>2062</v>
      </c>
      <c r="F168" t="s">
        <v>2240</v>
      </c>
      <c r="G168" t="s">
        <v>2256</v>
      </c>
      <c r="H168" t="s">
        <v>2261</v>
      </c>
      <c r="I168" t="s">
        <v>2260</v>
      </c>
      <c r="J168" t="s">
        <v>2266</v>
      </c>
      <c r="K168">
        <v>1</v>
      </c>
      <c r="L168">
        <v>190</v>
      </c>
      <c r="M168">
        <v>0.05</v>
      </c>
      <c r="N168">
        <v>190</v>
      </c>
      <c r="O168">
        <v>180.5</v>
      </c>
      <c r="P168" t="s">
        <v>2267</v>
      </c>
      <c r="Q168" t="s">
        <v>2271</v>
      </c>
      <c r="R168" t="s">
        <v>2279</v>
      </c>
      <c r="S168" t="s">
        <v>2283</v>
      </c>
      <c r="T168" t="s">
        <v>2289</v>
      </c>
      <c r="U168">
        <v>3</v>
      </c>
      <c r="V168">
        <v>13</v>
      </c>
      <c r="X168">
        <v>76.47</v>
      </c>
      <c r="Y168">
        <v>104.03</v>
      </c>
      <c r="Z168" t="s">
        <v>2293</v>
      </c>
      <c r="AA168" t="s">
        <v>2297</v>
      </c>
      <c r="AB168">
        <v>190</v>
      </c>
      <c r="AC168">
        <v>9.5</v>
      </c>
      <c r="AD168">
        <v>180.5</v>
      </c>
      <c r="AE168">
        <v>76.47</v>
      </c>
      <c r="AF168">
        <v>104.03</v>
      </c>
      <c r="AG168">
        <v>2024</v>
      </c>
      <c r="AH168">
        <v>4</v>
      </c>
      <c r="AI168" t="s">
        <v>2308</v>
      </c>
      <c r="AJ168" t="s">
        <v>2314</v>
      </c>
    </row>
    <row r="169" spans="1:36" x14ac:dyDescent="0.3">
      <c r="A169" t="s">
        <v>203</v>
      </c>
      <c r="B169" s="2">
        <v>45600</v>
      </c>
      <c r="C169" t="s">
        <v>1671</v>
      </c>
      <c r="D169" t="s">
        <v>1852</v>
      </c>
      <c r="E169" t="s">
        <v>2063</v>
      </c>
      <c r="F169" t="s">
        <v>2240</v>
      </c>
      <c r="G169" t="s">
        <v>2253</v>
      </c>
      <c r="H169" t="s">
        <v>2258</v>
      </c>
      <c r="I169" t="s">
        <v>2260</v>
      </c>
      <c r="J169" t="s">
        <v>2265</v>
      </c>
      <c r="K169">
        <v>3</v>
      </c>
      <c r="L169">
        <v>85</v>
      </c>
      <c r="M169">
        <v>0.1</v>
      </c>
      <c r="N169">
        <v>255</v>
      </c>
      <c r="O169">
        <v>229.5</v>
      </c>
      <c r="P169" t="s">
        <v>2269</v>
      </c>
      <c r="Q169" t="s">
        <v>2271</v>
      </c>
      <c r="R169" t="s">
        <v>2276</v>
      </c>
      <c r="S169" t="s">
        <v>2280</v>
      </c>
      <c r="T169" t="s">
        <v>2290</v>
      </c>
      <c r="U169">
        <v>2</v>
      </c>
      <c r="V169">
        <v>186</v>
      </c>
      <c r="X169">
        <v>45.37</v>
      </c>
      <c r="Y169">
        <v>93.39</v>
      </c>
      <c r="Z169" t="s">
        <v>1761</v>
      </c>
      <c r="AA169" t="s">
        <v>2297</v>
      </c>
      <c r="AB169">
        <v>255</v>
      </c>
      <c r="AC169">
        <v>25.5</v>
      </c>
      <c r="AD169">
        <v>229.5</v>
      </c>
      <c r="AE169">
        <v>136.11000000000001</v>
      </c>
      <c r="AF169">
        <v>93.390000000000015</v>
      </c>
      <c r="AG169">
        <v>2024</v>
      </c>
      <c r="AH169">
        <v>11</v>
      </c>
      <c r="AI169" t="s">
        <v>2311</v>
      </c>
      <c r="AJ169" t="s">
        <v>2314</v>
      </c>
    </row>
    <row r="170" spans="1:36" x14ac:dyDescent="0.3">
      <c r="A170" t="s">
        <v>204</v>
      </c>
      <c r="B170" s="2">
        <v>45452</v>
      </c>
      <c r="C170" t="s">
        <v>1677</v>
      </c>
      <c r="D170" t="s">
        <v>1777</v>
      </c>
      <c r="E170" t="s">
        <v>2064</v>
      </c>
      <c r="F170" t="s">
        <v>2238</v>
      </c>
      <c r="G170" t="s">
        <v>2247</v>
      </c>
      <c r="H170" t="s">
        <v>2257</v>
      </c>
      <c r="I170" t="s">
        <v>2262</v>
      </c>
      <c r="J170" t="s">
        <v>2265</v>
      </c>
      <c r="K170">
        <v>4</v>
      </c>
      <c r="L170">
        <v>100</v>
      </c>
      <c r="M170">
        <v>0.1</v>
      </c>
      <c r="N170">
        <v>400</v>
      </c>
      <c r="O170">
        <v>360</v>
      </c>
      <c r="P170" t="s">
        <v>2267</v>
      </c>
      <c r="Q170" t="s">
        <v>2272</v>
      </c>
      <c r="R170" t="s">
        <v>2279</v>
      </c>
      <c r="S170" t="s">
        <v>2285</v>
      </c>
      <c r="T170" t="s">
        <v>2288</v>
      </c>
      <c r="U170">
        <v>2</v>
      </c>
      <c r="V170">
        <v>482</v>
      </c>
      <c r="X170">
        <v>58.23</v>
      </c>
      <c r="Y170">
        <v>127.08</v>
      </c>
      <c r="Z170" t="s">
        <v>2292</v>
      </c>
      <c r="AA170" t="s">
        <v>2296</v>
      </c>
      <c r="AB170">
        <v>400</v>
      </c>
      <c r="AC170">
        <v>40</v>
      </c>
      <c r="AD170">
        <v>360</v>
      </c>
      <c r="AE170">
        <v>232.92</v>
      </c>
      <c r="AF170">
        <v>127.08</v>
      </c>
      <c r="AG170">
        <v>2024</v>
      </c>
      <c r="AH170">
        <v>6</v>
      </c>
      <c r="AI170" t="s">
        <v>2304</v>
      </c>
      <c r="AJ170" t="s">
        <v>2318</v>
      </c>
    </row>
    <row r="171" spans="1:36" x14ac:dyDescent="0.3">
      <c r="A171" t="s">
        <v>205</v>
      </c>
      <c r="B171" s="2">
        <v>45439</v>
      </c>
      <c r="C171" t="s">
        <v>1649</v>
      </c>
      <c r="D171" t="s">
        <v>1742</v>
      </c>
      <c r="E171" t="s">
        <v>2065</v>
      </c>
      <c r="F171" t="s">
        <v>2239</v>
      </c>
      <c r="G171" t="s">
        <v>2247</v>
      </c>
      <c r="H171" t="s">
        <v>2257</v>
      </c>
      <c r="I171" t="s">
        <v>2262</v>
      </c>
      <c r="J171" t="s">
        <v>2265</v>
      </c>
      <c r="K171">
        <v>1</v>
      </c>
      <c r="L171">
        <v>105</v>
      </c>
      <c r="M171">
        <v>0.1</v>
      </c>
      <c r="N171">
        <v>105</v>
      </c>
      <c r="O171">
        <v>94.5</v>
      </c>
      <c r="P171" t="s">
        <v>2267</v>
      </c>
      <c r="Q171" t="s">
        <v>2270</v>
      </c>
      <c r="R171" t="s">
        <v>2274</v>
      </c>
      <c r="S171" t="s">
        <v>2281</v>
      </c>
      <c r="T171" t="s">
        <v>2290</v>
      </c>
      <c r="V171">
        <v>429</v>
      </c>
      <c r="W171">
        <v>30</v>
      </c>
      <c r="X171">
        <v>43.85</v>
      </c>
      <c r="Y171">
        <v>50.65</v>
      </c>
      <c r="Z171" t="s">
        <v>2293</v>
      </c>
      <c r="AA171" t="s">
        <v>2296</v>
      </c>
      <c r="AB171">
        <v>105</v>
      </c>
      <c r="AC171">
        <v>10.5</v>
      </c>
      <c r="AD171">
        <v>94.5</v>
      </c>
      <c r="AE171">
        <v>43.85</v>
      </c>
      <c r="AF171">
        <v>50.65</v>
      </c>
      <c r="AG171">
        <v>2024</v>
      </c>
      <c r="AH171">
        <v>5</v>
      </c>
      <c r="AI171" t="s">
        <v>2306</v>
      </c>
      <c r="AJ171" t="s">
        <v>2314</v>
      </c>
    </row>
    <row r="172" spans="1:36" x14ac:dyDescent="0.3">
      <c r="A172" t="s">
        <v>206</v>
      </c>
      <c r="B172" s="2">
        <v>45455</v>
      </c>
      <c r="C172" t="s">
        <v>1643</v>
      </c>
      <c r="D172" t="s">
        <v>1852</v>
      </c>
      <c r="E172" t="s">
        <v>2019</v>
      </c>
      <c r="F172" t="s">
        <v>2239</v>
      </c>
      <c r="G172" t="s">
        <v>2244</v>
      </c>
      <c r="H172" t="s">
        <v>2257</v>
      </c>
      <c r="I172" t="s">
        <v>2262</v>
      </c>
      <c r="J172" t="s">
        <v>2265</v>
      </c>
      <c r="K172">
        <v>1</v>
      </c>
      <c r="L172">
        <v>115</v>
      </c>
      <c r="M172">
        <v>0.1</v>
      </c>
      <c r="N172">
        <v>115</v>
      </c>
      <c r="O172">
        <v>103.5</v>
      </c>
      <c r="P172" t="s">
        <v>2269</v>
      </c>
      <c r="Q172" t="s">
        <v>2271</v>
      </c>
      <c r="R172" t="s">
        <v>2279</v>
      </c>
      <c r="S172" t="s">
        <v>2284</v>
      </c>
      <c r="T172" t="s">
        <v>2288</v>
      </c>
      <c r="X172">
        <v>64.91</v>
      </c>
      <c r="Y172">
        <v>38.590000000000003</v>
      </c>
      <c r="Z172" t="s">
        <v>2292</v>
      </c>
      <c r="AA172" t="s">
        <v>2296</v>
      </c>
      <c r="AB172">
        <v>115</v>
      </c>
      <c r="AC172">
        <v>11.5</v>
      </c>
      <c r="AD172">
        <v>103.5</v>
      </c>
      <c r="AE172">
        <v>64.91</v>
      </c>
      <c r="AF172">
        <v>38.590000000000003</v>
      </c>
      <c r="AG172">
        <v>2024</v>
      </c>
      <c r="AH172">
        <v>6</v>
      </c>
      <c r="AI172" t="s">
        <v>2304</v>
      </c>
      <c r="AJ172" t="s">
        <v>2312</v>
      </c>
    </row>
    <row r="173" spans="1:36" x14ac:dyDescent="0.3">
      <c r="A173" t="s">
        <v>207</v>
      </c>
      <c r="B173" s="2">
        <v>45418</v>
      </c>
      <c r="C173" t="s">
        <v>1651</v>
      </c>
      <c r="D173" t="s">
        <v>1762</v>
      </c>
      <c r="E173" t="s">
        <v>2066</v>
      </c>
      <c r="F173" t="s">
        <v>2239</v>
      </c>
      <c r="G173" t="s">
        <v>2256</v>
      </c>
      <c r="H173" t="s">
        <v>2261</v>
      </c>
      <c r="I173" t="s">
        <v>2260</v>
      </c>
      <c r="J173" t="s">
        <v>2264</v>
      </c>
      <c r="K173">
        <v>1</v>
      </c>
      <c r="L173">
        <v>185</v>
      </c>
      <c r="M173">
        <v>0</v>
      </c>
      <c r="N173">
        <v>185</v>
      </c>
      <c r="O173">
        <v>185</v>
      </c>
      <c r="P173" t="s">
        <v>2267</v>
      </c>
      <c r="Q173" t="s">
        <v>2272</v>
      </c>
      <c r="R173" t="s">
        <v>2279</v>
      </c>
      <c r="S173" t="s">
        <v>2285</v>
      </c>
      <c r="T173" t="s">
        <v>2290</v>
      </c>
      <c r="U173">
        <v>4</v>
      </c>
      <c r="V173">
        <v>129</v>
      </c>
      <c r="W173">
        <v>59</v>
      </c>
      <c r="X173">
        <v>109.28</v>
      </c>
      <c r="Y173">
        <v>75.72</v>
      </c>
      <c r="Z173" t="s">
        <v>1761</v>
      </c>
      <c r="AA173" t="s">
        <v>2299</v>
      </c>
      <c r="AB173">
        <v>185</v>
      </c>
      <c r="AC173">
        <v>0</v>
      </c>
      <c r="AD173">
        <v>185</v>
      </c>
      <c r="AE173">
        <v>109.28</v>
      </c>
      <c r="AF173">
        <v>75.72</v>
      </c>
      <c r="AG173">
        <v>2024</v>
      </c>
      <c r="AH173">
        <v>5</v>
      </c>
      <c r="AI173" t="s">
        <v>2306</v>
      </c>
      <c r="AJ173" t="s">
        <v>2314</v>
      </c>
    </row>
    <row r="174" spans="1:36" x14ac:dyDescent="0.3">
      <c r="A174" t="s">
        <v>208</v>
      </c>
      <c r="B174" s="2">
        <v>45558</v>
      </c>
      <c r="C174" t="s">
        <v>1681</v>
      </c>
      <c r="D174" t="s">
        <v>1758</v>
      </c>
      <c r="E174" t="s">
        <v>2067</v>
      </c>
      <c r="F174" t="s">
        <v>2239</v>
      </c>
      <c r="G174" t="s">
        <v>2247</v>
      </c>
      <c r="H174" t="s">
        <v>2257</v>
      </c>
      <c r="I174" t="s">
        <v>2262</v>
      </c>
      <c r="J174" t="s">
        <v>2265</v>
      </c>
      <c r="K174">
        <v>1</v>
      </c>
      <c r="L174">
        <v>100</v>
      </c>
      <c r="M174">
        <v>0.15</v>
      </c>
      <c r="N174">
        <v>100</v>
      </c>
      <c r="O174">
        <v>85</v>
      </c>
      <c r="P174" t="s">
        <v>2267</v>
      </c>
      <c r="Q174" t="s">
        <v>2271</v>
      </c>
      <c r="R174" t="s">
        <v>2278</v>
      </c>
      <c r="S174" t="s">
        <v>2284</v>
      </c>
      <c r="T174" t="s">
        <v>2289</v>
      </c>
      <c r="U174">
        <v>3</v>
      </c>
      <c r="V174">
        <v>401</v>
      </c>
      <c r="W174">
        <v>40</v>
      </c>
      <c r="X174">
        <v>35.770000000000003</v>
      </c>
      <c r="Y174">
        <v>49.23</v>
      </c>
      <c r="Z174" t="s">
        <v>2292</v>
      </c>
      <c r="AA174" t="s">
        <v>2297</v>
      </c>
      <c r="AB174">
        <v>100</v>
      </c>
      <c r="AC174">
        <v>15</v>
      </c>
      <c r="AD174">
        <v>85</v>
      </c>
      <c r="AE174">
        <v>35.770000000000003</v>
      </c>
      <c r="AF174">
        <v>49.23</v>
      </c>
      <c r="AG174">
        <v>2024</v>
      </c>
      <c r="AH174">
        <v>9</v>
      </c>
      <c r="AI174" t="s">
        <v>2300</v>
      </c>
      <c r="AJ174" t="s">
        <v>2314</v>
      </c>
    </row>
    <row r="175" spans="1:36" x14ac:dyDescent="0.3">
      <c r="A175" t="s">
        <v>209</v>
      </c>
      <c r="B175" s="2">
        <v>45443</v>
      </c>
      <c r="C175" t="s">
        <v>1719</v>
      </c>
      <c r="D175" t="s">
        <v>1853</v>
      </c>
      <c r="E175" t="s">
        <v>2068</v>
      </c>
      <c r="F175" t="s">
        <v>2240</v>
      </c>
      <c r="G175" t="s">
        <v>2255</v>
      </c>
      <c r="H175" t="s">
        <v>2260</v>
      </c>
      <c r="I175" t="s">
        <v>2260</v>
      </c>
      <c r="K175">
        <v>1</v>
      </c>
      <c r="L175">
        <v>180</v>
      </c>
      <c r="M175">
        <v>0.1</v>
      </c>
      <c r="N175">
        <v>180</v>
      </c>
      <c r="O175">
        <v>162</v>
      </c>
      <c r="P175" t="s">
        <v>2267</v>
      </c>
      <c r="Q175" t="s">
        <v>2270</v>
      </c>
      <c r="R175" t="s">
        <v>2274</v>
      </c>
      <c r="S175" t="s">
        <v>2282</v>
      </c>
      <c r="T175" t="s">
        <v>2289</v>
      </c>
      <c r="U175">
        <v>3</v>
      </c>
      <c r="V175">
        <v>167</v>
      </c>
      <c r="W175">
        <v>33</v>
      </c>
      <c r="X175">
        <v>83.55</v>
      </c>
      <c r="Y175">
        <v>78.45</v>
      </c>
      <c r="Z175" t="s">
        <v>2291</v>
      </c>
      <c r="AA175" t="s">
        <v>2298</v>
      </c>
      <c r="AB175">
        <v>180</v>
      </c>
      <c r="AC175">
        <v>18</v>
      </c>
      <c r="AD175">
        <v>162</v>
      </c>
      <c r="AE175">
        <v>83.55</v>
      </c>
      <c r="AF175">
        <v>78.45</v>
      </c>
      <c r="AG175">
        <v>2024</v>
      </c>
      <c r="AH175">
        <v>5</v>
      </c>
      <c r="AI175" t="s">
        <v>2306</v>
      </c>
      <c r="AJ175" t="s">
        <v>2315</v>
      </c>
    </row>
    <row r="176" spans="1:36" x14ac:dyDescent="0.3">
      <c r="A176" t="s">
        <v>210</v>
      </c>
      <c r="B176" s="2">
        <v>45332</v>
      </c>
      <c r="C176" t="s">
        <v>1713</v>
      </c>
      <c r="D176" t="s">
        <v>1854</v>
      </c>
      <c r="E176" t="s">
        <v>2069</v>
      </c>
      <c r="F176" t="s">
        <v>2240</v>
      </c>
      <c r="G176" t="s">
        <v>2254</v>
      </c>
      <c r="H176" t="s">
        <v>2259</v>
      </c>
      <c r="I176" t="s">
        <v>2263</v>
      </c>
      <c r="J176" t="s">
        <v>2266</v>
      </c>
      <c r="K176">
        <v>3</v>
      </c>
      <c r="L176">
        <v>105</v>
      </c>
      <c r="M176">
        <v>0.1</v>
      </c>
      <c r="N176">
        <v>315</v>
      </c>
      <c r="O176">
        <v>283.5</v>
      </c>
      <c r="P176" t="s">
        <v>2267</v>
      </c>
      <c r="Q176" t="s">
        <v>2272</v>
      </c>
      <c r="R176" t="s">
        <v>2279</v>
      </c>
      <c r="S176" t="s">
        <v>2286</v>
      </c>
      <c r="T176" t="s">
        <v>2288</v>
      </c>
      <c r="V176">
        <v>479</v>
      </c>
      <c r="W176">
        <v>40</v>
      </c>
      <c r="X176">
        <v>53.02</v>
      </c>
      <c r="Y176">
        <v>124.44</v>
      </c>
      <c r="Z176" t="s">
        <v>2293</v>
      </c>
      <c r="AA176" t="s">
        <v>1761</v>
      </c>
      <c r="AB176">
        <v>315</v>
      </c>
      <c r="AC176">
        <v>31.5</v>
      </c>
      <c r="AD176">
        <v>283.5</v>
      </c>
      <c r="AE176">
        <v>159.06</v>
      </c>
      <c r="AF176">
        <v>124.44</v>
      </c>
      <c r="AG176">
        <v>2024</v>
      </c>
      <c r="AH176">
        <v>2</v>
      </c>
      <c r="AI176" t="s">
        <v>2303</v>
      </c>
      <c r="AJ176" t="s">
        <v>2317</v>
      </c>
    </row>
    <row r="177" spans="1:36" x14ac:dyDescent="0.3">
      <c r="A177" t="s">
        <v>211</v>
      </c>
      <c r="B177" s="2">
        <v>45518</v>
      </c>
      <c r="C177" t="s">
        <v>1701</v>
      </c>
      <c r="D177" t="s">
        <v>1855</v>
      </c>
      <c r="E177" t="s">
        <v>2070</v>
      </c>
      <c r="F177" t="s">
        <v>1761</v>
      </c>
      <c r="G177" t="s">
        <v>2255</v>
      </c>
      <c r="H177" t="s">
        <v>2260</v>
      </c>
      <c r="I177" t="s">
        <v>2260</v>
      </c>
      <c r="K177">
        <v>3</v>
      </c>
      <c r="L177">
        <v>175</v>
      </c>
      <c r="M177">
        <v>0.15</v>
      </c>
      <c r="N177">
        <v>525</v>
      </c>
      <c r="O177">
        <v>446.25</v>
      </c>
      <c r="P177" t="s">
        <v>2269</v>
      </c>
      <c r="Q177" t="s">
        <v>2272</v>
      </c>
      <c r="R177" t="s">
        <v>2278</v>
      </c>
      <c r="S177" t="s">
        <v>2285</v>
      </c>
      <c r="T177" t="s">
        <v>2288</v>
      </c>
      <c r="U177">
        <v>2</v>
      </c>
      <c r="V177">
        <v>372</v>
      </c>
      <c r="W177">
        <v>31</v>
      </c>
      <c r="X177">
        <v>90.12</v>
      </c>
      <c r="Y177">
        <v>175.89</v>
      </c>
      <c r="Z177" t="s">
        <v>2294</v>
      </c>
      <c r="AA177" t="s">
        <v>1761</v>
      </c>
      <c r="AB177">
        <v>525</v>
      </c>
      <c r="AC177">
        <v>78.75</v>
      </c>
      <c r="AD177">
        <v>446.25</v>
      </c>
      <c r="AE177">
        <v>270.36</v>
      </c>
      <c r="AF177">
        <v>175.89</v>
      </c>
      <c r="AG177">
        <v>2024</v>
      </c>
      <c r="AH177">
        <v>8</v>
      </c>
      <c r="AI177" t="s">
        <v>2301</v>
      </c>
      <c r="AJ177" t="s">
        <v>2312</v>
      </c>
    </row>
    <row r="178" spans="1:36" x14ac:dyDescent="0.3">
      <c r="A178" t="s">
        <v>212</v>
      </c>
      <c r="B178" s="2">
        <v>45394</v>
      </c>
      <c r="C178" t="s">
        <v>1678</v>
      </c>
      <c r="D178" t="s">
        <v>1792</v>
      </c>
      <c r="E178" t="s">
        <v>1986</v>
      </c>
      <c r="F178" t="s">
        <v>2239</v>
      </c>
      <c r="G178" t="s">
        <v>2248</v>
      </c>
      <c r="H178" t="s">
        <v>2257</v>
      </c>
      <c r="I178" t="s">
        <v>2262</v>
      </c>
      <c r="K178">
        <v>4</v>
      </c>
      <c r="L178">
        <v>150</v>
      </c>
      <c r="M178">
        <v>0</v>
      </c>
      <c r="N178">
        <v>600</v>
      </c>
      <c r="O178">
        <v>600</v>
      </c>
      <c r="P178" t="s">
        <v>2267</v>
      </c>
      <c r="R178" t="s">
        <v>2277</v>
      </c>
      <c r="S178" t="s">
        <v>2281</v>
      </c>
      <c r="T178" t="s">
        <v>2288</v>
      </c>
      <c r="U178">
        <v>5</v>
      </c>
      <c r="V178">
        <v>364</v>
      </c>
      <c r="X178">
        <v>84.21</v>
      </c>
      <c r="Y178">
        <v>263.16000000000003</v>
      </c>
      <c r="Z178" t="s">
        <v>2291</v>
      </c>
      <c r="AA178" t="s">
        <v>1761</v>
      </c>
      <c r="AB178">
        <v>600</v>
      </c>
      <c r="AC178">
        <v>0</v>
      </c>
      <c r="AD178">
        <v>600</v>
      </c>
      <c r="AE178">
        <v>336.84</v>
      </c>
      <c r="AF178">
        <v>263.16000000000003</v>
      </c>
      <c r="AG178">
        <v>2024</v>
      </c>
      <c r="AH178">
        <v>4</v>
      </c>
      <c r="AI178" t="s">
        <v>2308</v>
      </c>
      <c r="AJ178" t="s">
        <v>2315</v>
      </c>
    </row>
    <row r="179" spans="1:36" x14ac:dyDescent="0.3">
      <c r="A179" t="s">
        <v>213</v>
      </c>
      <c r="B179" s="2">
        <v>45601</v>
      </c>
      <c r="C179" t="s">
        <v>1642</v>
      </c>
      <c r="D179" t="s">
        <v>1856</v>
      </c>
      <c r="E179" t="s">
        <v>2026</v>
      </c>
      <c r="F179" t="s">
        <v>2239</v>
      </c>
      <c r="G179" t="s">
        <v>2243</v>
      </c>
      <c r="H179" t="s">
        <v>2258</v>
      </c>
      <c r="I179" t="s">
        <v>2260</v>
      </c>
      <c r="J179" t="s">
        <v>2266</v>
      </c>
      <c r="K179">
        <v>4</v>
      </c>
      <c r="L179">
        <v>70</v>
      </c>
      <c r="N179">
        <v>280</v>
      </c>
      <c r="P179" t="s">
        <v>2267</v>
      </c>
      <c r="Q179" t="s">
        <v>2270</v>
      </c>
      <c r="R179" t="s">
        <v>2277</v>
      </c>
      <c r="S179" t="s">
        <v>2283</v>
      </c>
      <c r="T179" t="s">
        <v>2288</v>
      </c>
      <c r="U179">
        <v>5</v>
      </c>
      <c r="V179">
        <v>368</v>
      </c>
      <c r="W179">
        <v>51</v>
      </c>
      <c r="X179">
        <v>27.78</v>
      </c>
      <c r="Z179" t="s">
        <v>1761</v>
      </c>
      <c r="AA179" t="s">
        <v>2296</v>
      </c>
      <c r="AB179">
        <v>280</v>
      </c>
      <c r="AC179">
        <v>0</v>
      </c>
      <c r="AD179">
        <v>280</v>
      </c>
      <c r="AE179">
        <v>111.12</v>
      </c>
      <c r="AF179">
        <v>168.88</v>
      </c>
      <c r="AG179">
        <v>2024</v>
      </c>
      <c r="AH179">
        <v>11</v>
      </c>
      <c r="AI179" t="s">
        <v>2311</v>
      </c>
      <c r="AJ179" t="s">
        <v>2313</v>
      </c>
    </row>
    <row r="180" spans="1:36" x14ac:dyDescent="0.3">
      <c r="A180" t="s">
        <v>214</v>
      </c>
      <c r="B180" s="2">
        <v>45637</v>
      </c>
      <c r="C180" t="s">
        <v>1676</v>
      </c>
      <c r="D180" t="s">
        <v>1857</v>
      </c>
      <c r="E180" t="s">
        <v>2071</v>
      </c>
      <c r="F180" t="s">
        <v>2240</v>
      </c>
      <c r="G180" t="s">
        <v>2252</v>
      </c>
      <c r="H180" t="s">
        <v>2257</v>
      </c>
      <c r="I180" t="s">
        <v>2262</v>
      </c>
      <c r="J180" t="s">
        <v>2265</v>
      </c>
      <c r="L180">
        <v>90</v>
      </c>
      <c r="M180">
        <v>0</v>
      </c>
      <c r="N180">
        <v>90</v>
      </c>
      <c r="O180">
        <v>90</v>
      </c>
      <c r="P180" t="s">
        <v>2269</v>
      </c>
      <c r="Q180" t="s">
        <v>2270</v>
      </c>
      <c r="R180" t="s">
        <v>2274</v>
      </c>
      <c r="S180" t="s">
        <v>2286</v>
      </c>
      <c r="T180" t="s">
        <v>2289</v>
      </c>
      <c r="U180">
        <v>5</v>
      </c>
      <c r="V180">
        <v>173</v>
      </c>
      <c r="W180">
        <v>60</v>
      </c>
      <c r="X180">
        <v>51.88</v>
      </c>
      <c r="Y180">
        <v>38.119999999999997</v>
      </c>
      <c r="Z180" t="s">
        <v>2293</v>
      </c>
      <c r="AA180" t="s">
        <v>2299</v>
      </c>
      <c r="AG180">
        <v>2024</v>
      </c>
      <c r="AH180">
        <v>12</v>
      </c>
      <c r="AI180" t="s">
        <v>2309</v>
      </c>
      <c r="AJ180" t="s">
        <v>2312</v>
      </c>
    </row>
    <row r="181" spans="1:36" x14ac:dyDescent="0.3">
      <c r="A181" t="s">
        <v>215</v>
      </c>
      <c r="B181" s="2">
        <v>45430</v>
      </c>
      <c r="C181" t="s">
        <v>1720</v>
      </c>
      <c r="D181" t="s">
        <v>1858</v>
      </c>
      <c r="E181" t="s">
        <v>1985</v>
      </c>
      <c r="F181" t="s">
        <v>2240</v>
      </c>
      <c r="G181" t="s">
        <v>2256</v>
      </c>
      <c r="H181" t="s">
        <v>2261</v>
      </c>
      <c r="I181" t="s">
        <v>2260</v>
      </c>
      <c r="J181" t="s">
        <v>2266</v>
      </c>
      <c r="K181">
        <v>1</v>
      </c>
      <c r="L181">
        <v>185</v>
      </c>
      <c r="M181">
        <v>0.15</v>
      </c>
      <c r="N181">
        <v>185</v>
      </c>
      <c r="O181">
        <v>157.25</v>
      </c>
      <c r="P181" t="s">
        <v>2269</v>
      </c>
      <c r="Q181" t="s">
        <v>2271</v>
      </c>
      <c r="R181" t="s">
        <v>2274</v>
      </c>
      <c r="S181" t="s">
        <v>2285</v>
      </c>
      <c r="T181" t="s">
        <v>2288</v>
      </c>
      <c r="U181">
        <v>3</v>
      </c>
      <c r="V181">
        <v>395</v>
      </c>
      <c r="W181">
        <v>12</v>
      </c>
      <c r="X181">
        <v>71.8</v>
      </c>
      <c r="Y181">
        <v>85.45</v>
      </c>
      <c r="Z181" t="s">
        <v>2293</v>
      </c>
      <c r="AA181" t="s">
        <v>2298</v>
      </c>
      <c r="AB181">
        <v>185</v>
      </c>
      <c r="AC181">
        <v>27.75</v>
      </c>
      <c r="AD181">
        <v>157.25</v>
      </c>
      <c r="AE181">
        <v>71.8</v>
      </c>
      <c r="AF181">
        <v>85.45</v>
      </c>
      <c r="AG181">
        <v>2024</v>
      </c>
      <c r="AH181">
        <v>5</v>
      </c>
      <c r="AI181" t="s">
        <v>2306</v>
      </c>
      <c r="AJ181" t="s">
        <v>2317</v>
      </c>
    </row>
    <row r="182" spans="1:36" x14ac:dyDescent="0.3">
      <c r="A182" t="s">
        <v>216</v>
      </c>
      <c r="B182" s="2">
        <v>45440</v>
      </c>
      <c r="C182" t="s">
        <v>1664</v>
      </c>
      <c r="D182" t="s">
        <v>1859</v>
      </c>
      <c r="E182" t="s">
        <v>2072</v>
      </c>
      <c r="F182" t="s">
        <v>1761</v>
      </c>
      <c r="G182" t="s">
        <v>2255</v>
      </c>
      <c r="H182" t="s">
        <v>2260</v>
      </c>
      <c r="I182" t="s">
        <v>2260</v>
      </c>
      <c r="K182">
        <v>2</v>
      </c>
      <c r="L182">
        <v>180</v>
      </c>
      <c r="M182">
        <v>0.15</v>
      </c>
      <c r="N182">
        <v>360</v>
      </c>
      <c r="O182">
        <v>306</v>
      </c>
      <c r="P182" t="s">
        <v>2267</v>
      </c>
      <c r="Q182" t="s">
        <v>2272</v>
      </c>
      <c r="R182" t="s">
        <v>2277</v>
      </c>
      <c r="S182" t="s">
        <v>2284</v>
      </c>
      <c r="T182" t="s">
        <v>2288</v>
      </c>
      <c r="U182">
        <v>4</v>
      </c>
      <c r="V182">
        <v>310</v>
      </c>
      <c r="W182">
        <v>27</v>
      </c>
      <c r="X182">
        <v>78.400000000000006</v>
      </c>
      <c r="Y182">
        <v>149.19999999999999</v>
      </c>
      <c r="Z182" t="s">
        <v>1761</v>
      </c>
      <c r="AA182" t="s">
        <v>2298</v>
      </c>
      <c r="AB182">
        <v>360</v>
      </c>
      <c r="AC182">
        <v>54</v>
      </c>
      <c r="AD182">
        <v>306</v>
      </c>
      <c r="AE182">
        <v>156.80000000000001</v>
      </c>
      <c r="AF182">
        <v>149.19999999999999</v>
      </c>
      <c r="AG182">
        <v>2024</v>
      </c>
      <c r="AH182">
        <v>5</v>
      </c>
      <c r="AI182" t="s">
        <v>2306</v>
      </c>
      <c r="AJ182" t="s">
        <v>2313</v>
      </c>
    </row>
    <row r="183" spans="1:36" x14ac:dyDescent="0.3">
      <c r="A183" t="s">
        <v>217</v>
      </c>
      <c r="B183" s="2">
        <v>45293</v>
      </c>
      <c r="C183" t="s">
        <v>1662</v>
      </c>
      <c r="D183" t="s">
        <v>1772</v>
      </c>
      <c r="E183" t="s">
        <v>2073</v>
      </c>
      <c r="F183" t="s">
        <v>2240</v>
      </c>
      <c r="G183" t="s">
        <v>2241</v>
      </c>
      <c r="H183" t="s">
        <v>2257</v>
      </c>
      <c r="I183" t="s">
        <v>2262</v>
      </c>
      <c r="K183">
        <v>1</v>
      </c>
      <c r="L183">
        <v>130</v>
      </c>
      <c r="N183">
        <v>130</v>
      </c>
      <c r="P183" t="s">
        <v>2269</v>
      </c>
      <c r="Q183" t="s">
        <v>2271</v>
      </c>
      <c r="R183" t="s">
        <v>2277</v>
      </c>
      <c r="S183" t="s">
        <v>2284</v>
      </c>
      <c r="T183" t="s">
        <v>2288</v>
      </c>
      <c r="U183">
        <v>4</v>
      </c>
      <c r="V183">
        <v>15</v>
      </c>
      <c r="W183">
        <v>40</v>
      </c>
      <c r="X183">
        <v>73.08</v>
      </c>
      <c r="AA183" t="s">
        <v>2297</v>
      </c>
      <c r="AB183">
        <v>130</v>
      </c>
      <c r="AC183">
        <v>0</v>
      </c>
      <c r="AD183">
        <v>130</v>
      </c>
      <c r="AE183">
        <v>73.08</v>
      </c>
      <c r="AF183">
        <v>56.92</v>
      </c>
      <c r="AG183">
        <v>2024</v>
      </c>
      <c r="AH183">
        <v>1</v>
      </c>
      <c r="AI183" t="s">
        <v>2302</v>
      </c>
      <c r="AJ183" t="s">
        <v>2313</v>
      </c>
    </row>
    <row r="184" spans="1:36" x14ac:dyDescent="0.3">
      <c r="A184" t="s">
        <v>218</v>
      </c>
      <c r="B184" s="2">
        <v>45549</v>
      </c>
      <c r="C184" t="s">
        <v>1661</v>
      </c>
      <c r="D184" t="s">
        <v>1774</v>
      </c>
      <c r="E184" t="s">
        <v>1761</v>
      </c>
      <c r="F184" t="s">
        <v>1761</v>
      </c>
      <c r="G184" t="s">
        <v>2243</v>
      </c>
      <c r="H184" t="s">
        <v>2258</v>
      </c>
      <c r="I184" t="s">
        <v>2260</v>
      </c>
      <c r="J184" t="s">
        <v>2264</v>
      </c>
      <c r="K184">
        <v>3</v>
      </c>
      <c r="L184">
        <v>70</v>
      </c>
      <c r="M184">
        <v>0.05</v>
      </c>
      <c r="N184">
        <v>210</v>
      </c>
      <c r="O184">
        <v>199.5</v>
      </c>
      <c r="P184" t="s">
        <v>2269</v>
      </c>
      <c r="Q184" t="s">
        <v>2271</v>
      </c>
      <c r="R184" t="s">
        <v>2277</v>
      </c>
      <c r="S184" t="s">
        <v>2286</v>
      </c>
      <c r="T184" t="s">
        <v>2288</v>
      </c>
      <c r="U184">
        <v>3</v>
      </c>
      <c r="V184">
        <v>7</v>
      </c>
      <c r="W184">
        <v>12</v>
      </c>
      <c r="X184">
        <v>33.659999999999997</v>
      </c>
      <c r="Y184">
        <v>98.52</v>
      </c>
      <c r="Z184" t="s">
        <v>2291</v>
      </c>
      <c r="AA184" t="s">
        <v>2299</v>
      </c>
      <c r="AB184">
        <v>210</v>
      </c>
      <c r="AC184">
        <v>10.5</v>
      </c>
      <c r="AD184">
        <v>199.5</v>
      </c>
      <c r="AE184">
        <v>100.98</v>
      </c>
      <c r="AF184">
        <v>98.52000000000001</v>
      </c>
      <c r="AG184">
        <v>2024</v>
      </c>
      <c r="AH184">
        <v>9</v>
      </c>
      <c r="AI184" t="s">
        <v>2300</v>
      </c>
      <c r="AJ184" t="s">
        <v>2317</v>
      </c>
    </row>
    <row r="185" spans="1:36" x14ac:dyDescent="0.3">
      <c r="A185" t="s">
        <v>219</v>
      </c>
      <c r="B185" s="2">
        <v>45531</v>
      </c>
      <c r="C185" t="s">
        <v>1695</v>
      </c>
      <c r="D185" t="s">
        <v>1818</v>
      </c>
      <c r="E185" t="s">
        <v>2074</v>
      </c>
      <c r="F185" t="s">
        <v>2240</v>
      </c>
      <c r="G185" t="s">
        <v>2252</v>
      </c>
      <c r="H185" t="s">
        <v>2257</v>
      </c>
      <c r="I185" t="s">
        <v>2262</v>
      </c>
      <c r="J185" t="s">
        <v>2264</v>
      </c>
      <c r="K185">
        <v>2</v>
      </c>
      <c r="L185">
        <v>90</v>
      </c>
      <c r="M185">
        <v>0.1</v>
      </c>
      <c r="N185">
        <v>180</v>
      </c>
      <c r="O185">
        <v>162</v>
      </c>
      <c r="P185" t="s">
        <v>2268</v>
      </c>
      <c r="Q185" t="s">
        <v>2270</v>
      </c>
      <c r="R185" t="s">
        <v>2278</v>
      </c>
      <c r="S185" t="s">
        <v>2284</v>
      </c>
      <c r="T185" t="s">
        <v>2289</v>
      </c>
      <c r="U185">
        <v>3</v>
      </c>
      <c r="V185">
        <v>14</v>
      </c>
      <c r="X185">
        <v>33.47</v>
      </c>
      <c r="Y185">
        <v>95.06</v>
      </c>
      <c r="Z185" t="s">
        <v>2292</v>
      </c>
      <c r="AA185" t="s">
        <v>1761</v>
      </c>
      <c r="AB185">
        <v>180</v>
      </c>
      <c r="AC185">
        <v>18</v>
      </c>
      <c r="AD185">
        <v>162</v>
      </c>
      <c r="AE185">
        <v>66.94</v>
      </c>
      <c r="AF185">
        <v>95.06</v>
      </c>
      <c r="AG185">
        <v>2024</v>
      </c>
      <c r="AH185">
        <v>8</v>
      </c>
      <c r="AI185" t="s">
        <v>2301</v>
      </c>
      <c r="AJ185" t="s">
        <v>2313</v>
      </c>
    </row>
    <row r="186" spans="1:36" x14ac:dyDescent="0.3">
      <c r="A186" t="s">
        <v>220</v>
      </c>
      <c r="B186" s="2">
        <v>45540</v>
      </c>
      <c r="C186" t="s">
        <v>1721</v>
      </c>
      <c r="D186" t="s">
        <v>1860</v>
      </c>
      <c r="E186" t="s">
        <v>2012</v>
      </c>
      <c r="F186" t="s">
        <v>2240</v>
      </c>
      <c r="G186" t="s">
        <v>2249</v>
      </c>
      <c r="H186" t="s">
        <v>2257</v>
      </c>
      <c r="I186" t="s">
        <v>2263</v>
      </c>
      <c r="J186" t="s">
        <v>2266</v>
      </c>
      <c r="K186">
        <v>1</v>
      </c>
      <c r="L186">
        <v>155</v>
      </c>
      <c r="M186">
        <v>0.05</v>
      </c>
      <c r="N186">
        <v>155</v>
      </c>
      <c r="O186">
        <v>147.25</v>
      </c>
      <c r="P186" t="s">
        <v>2269</v>
      </c>
      <c r="Q186" t="s">
        <v>2271</v>
      </c>
      <c r="R186" t="s">
        <v>2276</v>
      </c>
      <c r="S186" t="s">
        <v>2280</v>
      </c>
      <c r="T186" t="s">
        <v>2288</v>
      </c>
      <c r="U186">
        <v>3</v>
      </c>
      <c r="V186">
        <v>120</v>
      </c>
      <c r="X186">
        <v>93.42</v>
      </c>
      <c r="Y186">
        <v>53.83</v>
      </c>
      <c r="Z186" t="s">
        <v>2292</v>
      </c>
      <c r="AA186" t="s">
        <v>1761</v>
      </c>
      <c r="AB186">
        <v>155</v>
      </c>
      <c r="AC186">
        <v>7.75</v>
      </c>
      <c r="AD186">
        <v>147.25</v>
      </c>
      <c r="AE186">
        <v>93.42</v>
      </c>
      <c r="AF186">
        <v>53.83</v>
      </c>
      <c r="AG186">
        <v>2024</v>
      </c>
      <c r="AH186">
        <v>9</v>
      </c>
      <c r="AI186" t="s">
        <v>2300</v>
      </c>
      <c r="AJ186" t="s">
        <v>2316</v>
      </c>
    </row>
    <row r="187" spans="1:36" x14ac:dyDescent="0.3">
      <c r="A187" t="s">
        <v>221</v>
      </c>
      <c r="B187" s="2">
        <v>45520</v>
      </c>
      <c r="C187" t="s">
        <v>1708</v>
      </c>
      <c r="D187" t="s">
        <v>1861</v>
      </c>
      <c r="E187" t="s">
        <v>2075</v>
      </c>
      <c r="F187" t="s">
        <v>1761</v>
      </c>
      <c r="G187" t="s">
        <v>2244</v>
      </c>
      <c r="H187" t="s">
        <v>2257</v>
      </c>
      <c r="I187" t="s">
        <v>2262</v>
      </c>
      <c r="J187" t="s">
        <v>2265</v>
      </c>
      <c r="L187">
        <v>130</v>
      </c>
      <c r="N187">
        <v>130</v>
      </c>
      <c r="P187" t="s">
        <v>2267</v>
      </c>
      <c r="Q187" t="s">
        <v>2272</v>
      </c>
      <c r="R187" t="s">
        <v>2275</v>
      </c>
      <c r="S187" t="s">
        <v>2282</v>
      </c>
      <c r="T187" t="s">
        <v>2289</v>
      </c>
      <c r="U187">
        <v>3</v>
      </c>
      <c r="V187">
        <v>210</v>
      </c>
      <c r="W187">
        <v>48</v>
      </c>
      <c r="X187">
        <v>60.64</v>
      </c>
      <c r="Z187" t="s">
        <v>2291</v>
      </c>
      <c r="AA187" t="s">
        <v>2299</v>
      </c>
      <c r="AG187">
        <v>2024</v>
      </c>
      <c r="AH187">
        <v>8</v>
      </c>
      <c r="AI187" t="s">
        <v>2301</v>
      </c>
      <c r="AJ187" t="s">
        <v>2315</v>
      </c>
    </row>
    <row r="188" spans="1:36" x14ac:dyDescent="0.3">
      <c r="A188" t="s">
        <v>222</v>
      </c>
      <c r="B188" s="2">
        <v>45323</v>
      </c>
      <c r="C188" t="s">
        <v>1666</v>
      </c>
      <c r="D188" t="s">
        <v>1862</v>
      </c>
      <c r="E188" t="s">
        <v>2076</v>
      </c>
      <c r="F188" t="s">
        <v>2239</v>
      </c>
      <c r="G188" t="s">
        <v>2249</v>
      </c>
      <c r="H188" t="s">
        <v>2257</v>
      </c>
      <c r="I188" t="s">
        <v>2263</v>
      </c>
      <c r="J188" t="s">
        <v>2266</v>
      </c>
      <c r="L188">
        <v>160</v>
      </c>
      <c r="M188">
        <v>0.15</v>
      </c>
      <c r="N188">
        <v>480</v>
      </c>
      <c r="O188">
        <v>408</v>
      </c>
      <c r="P188" t="s">
        <v>2269</v>
      </c>
      <c r="Q188" t="s">
        <v>2271</v>
      </c>
      <c r="R188" t="s">
        <v>2274</v>
      </c>
      <c r="S188" t="s">
        <v>2284</v>
      </c>
      <c r="T188" t="s">
        <v>2288</v>
      </c>
      <c r="U188">
        <v>5</v>
      </c>
      <c r="V188">
        <v>109</v>
      </c>
      <c r="W188">
        <v>55</v>
      </c>
      <c r="X188">
        <v>64.59</v>
      </c>
      <c r="Y188">
        <v>214.23</v>
      </c>
      <c r="Z188" t="s">
        <v>2293</v>
      </c>
      <c r="AA188" t="s">
        <v>2297</v>
      </c>
      <c r="AG188">
        <v>2024</v>
      </c>
      <c r="AH188">
        <v>2</v>
      </c>
      <c r="AI188" t="s">
        <v>2303</v>
      </c>
      <c r="AJ188" t="s">
        <v>2316</v>
      </c>
    </row>
    <row r="189" spans="1:36" x14ac:dyDescent="0.3">
      <c r="A189" t="s">
        <v>223</v>
      </c>
      <c r="B189" s="2">
        <v>45595</v>
      </c>
      <c r="C189" t="s">
        <v>1690</v>
      </c>
      <c r="D189" t="s">
        <v>1863</v>
      </c>
      <c r="E189" t="s">
        <v>2077</v>
      </c>
      <c r="F189" t="s">
        <v>1761</v>
      </c>
      <c r="G189" t="s">
        <v>2249</v>
      </c>
      <c r="H189" t="s">
        <v>2257</v>
      </c>
      <c r="I189" t="s">
        <v>2263</v>
      </c>
      <c r="K189">
        <v>1</v>
      </c>
      <c r="L189">
        <v>170</v>
      </c>
      <c r="M189">
        <v>0.05</v>
      </c>
      <c r="N189">
        <v>170</v>
      </c>
      <c r="O189">
        <v>161.5</v>
      </c>
      <c r="P189" t="s">
        <v>2267</v>
      </c>
      <c r="Q189" t="s">
        <v>2271</v>
      </c>
      <c r="R189" t="s">
        <v>2277</v>
      </c>
      <c r="S189" t="s">
        <v>2284</v>
      </c>
      <c r="T189" t="s">
        <v>2288</v>
      </c>
      <c r="U189">
        <v>1</v>
      </c>
      <c r="V189">
        <v>101</v>
      </c>
      <c r="W189">
        <v>12</v>
      </c>
      <c r="X189">
        <v>95.54</v>
      </c>
      <c r="Y189">
        <v>65.959999999999994</v>
      </c>
      <c r="Z189" t="s">
        <v>2293</v>
      </c>
      <c r="AA189" t="s">
        <v>1761</v>
      </c>
      <c r="AB189">
        <v>170</v>
      </c>
      <c r="AC189">
        <v>8.5</v>
      </c>
      <c r="AD189">
        <v>161.5</v>
      </c>
      <c r="AE189">
        <v>95.54</v>
      </c>
      <c r="AF189">
        <v>65.959999999999994</v>
      </c>
      <c r="AG189">
        <v>2024</v>
      </c>
      <c r="AH189">
        <v>10</v>
      </c>
      <c r="AI189" t="s">
        <v>2310</v>
      </c>
      <c r="AJ189" t="s">
        <v>2312</v>
      </c>
    </row>
    <row r="190" spans="1:36" x14ac:dyDescent="0.3">
      <c r="A190" t="s">
        <v>224</v>
      </c>
      <c r="B190" s="2">
        <v>45542</v>
      </c>
      <c r="C190" t="s">
        <v>1722</v>
      </c>
      <c r="D190" t="s">
        <v>1864</v>
      </c>
      <c r="E190" t="s">
        <v>2067</v>
      </c>
      <c r="F190" t="s">
        <v>2238</v>
      </c>
      <c r="G190" t="s">
        <v>2245</v>
      </c>
      <c r="H190" t="s">
        <v>2257</v>
      </c>
      <c r="I190" t="s">
        <v>2263</v>
      </c>
      <c r="J190" t="s">
        <v>2265</v>
      </c>
      <c r="K190">
        <v>1</v>
      </c>
      <c r="L190">
        <v>145</v>
      </c>
      <c r="M190">
        <v>0.05</v>
      </c>
      <c r="N190">
        <v>145</v>
      </c>
      <c r="O190">
        <v>137.75</v>
      </c>
      <c r="P190" t="s">
        <v>2269</v>
      </c>
      <c r="R190" t="s">
        <v>2274</v>
      </c>
      <c r="S190" t="s">
        <v>2282</v>
      </c>
      <c r="T190" t="s">
        <v>2288</v>
      </c>
      <c r="U190">
        <v>3</v>
      </c>
      <c r="V190">
        <v>227</v>
      </c>
      <c r="W190">
        <v>24</v>
      </c>
      <c r="X190">
        <v>82.6</v>
      </c>
      <c r="Y190">
        <v>55.15</v>
      </c>
      <c r="Z190" t="s">
        <v>2294</v>
      </c>
      <c r="AA190" t="s">
        <v>1761</v>
      </c>
      <c r="AB190">
        <v>145</v>
      </c>
      <c r="AC190">
        <v>7.25</v>
      </c>
      <c r="AD190">
        <v>137.75</v>
      </c>
      <c r="AE190">
        <v>82.6</v>
      </c>
      <c r="AF190">
        <v>55.150000000000013</v>
      </c>
      <c r="AG190">
        <v>2024</v>
      </c>
      <c r="AH190">
        <v>9</v>
      </c>
      <c r="AI190" t="s">
        <v>2300</v>
      </c>
      <c r="AJ190" t="s">
        <v>2317</v>
      </c>
    </row>
    <row r="191" spans="1:36" x14ac:dyDescent="0.3">
      <c r="A191" t="s">
        <v>225</v>
      </c>
      <c r="B191" s="2">
        <v>45432</v>
      </c>
      <c r="C191" t="s">
        <v>1723</v>
      </c>
      <c r="D191" t="s">
        <v>1865</v>
      </c>
      <c r="E191" t="s">
        <v>1761</v>
      </c>
      <c r="F191" t="s">
        <v>2239</v>
      </c>
      <c r="G191" t="s">
        <v>2246</v>
      </c>
      <c r="H191" t="s">
        <v>2259</v>
      </c>
      <c r="I191" t="s">
        <v>2262</v>
      </c>
      <c r="J191" t="s">
        <v>2265</v>
      </c>
      <c r="K191">
        <v>4</v>
      </c>
      <c r="L191">
        <v>95</v>
      </c>
      <c r="M191">
        <v>0.1</v>
      </c>
      <c r="N191">
        <v>380</v>
      </c>
      <c r="O191">
        <v>342</v>
      </c>
      <c r="P191" t="s">
        <v>2267</v>
      </c>
      <c r="R191" t="s">
        <v>2276</v>
      </c>
      <c r="S191" t="s">
        <v>2282</v>
      </c>
      <c r="T191" t="s">
        <v>2290</v>
      </c>
      <c r="U191">
        <v>5</v>
      </c>
      <c r="V191">
        <v>138</v>
      </c>
      <c r="X191">
        <v>40.65</v>
      </c>
      <c r="Y191">
        <v>179.4</v>
      </c>
      <c r="Z191" t="s">
        <v>2293</v>
      </c>
      <c r="AA191" t="s">
        <v>2296</v>
      </c>
      <c r="AB191">
        <v>380</v>
      </c>
      <c r="AC191">
        <v>38</v>
      </c>
      <c r="AD191">
        <v>342</v>
      </c>
      <c r="AE191">
        <v>162.6</v>
      </c>
      <c r="AF191">
        <v>179.4</v>
      </c>
      <c r="AG191">
        <v>2024</v>
      </c>
      <c r="AH191">
        <v>5</v>
      </c>
      <c r="AI191" t="s">
        <v>2306</v>
      </c>
      <c r="AJ191" t="s">
        <v>2314</v>
      </c>
    </row>
    <row r="192" spans="1:36" x14ac:dyDescent="0.3">
      <c r="A192" t="s">
        <v>226</v>
      </c>
      <c r="B192" s="2">
        <v>45386</v>
      </c>
      <c r="C192" t="s">
        <v>1711</v>
      </c>
      <c r="D192" t="s">
        <v>1866</v>
      </c>
      <c r="E192" t="s">
        <v>2078</v>
      </c>
      <c r="F192" t="s">
        <v>2239</v>
      </c>
      <c r="G192" t="s">
        <v>2255</v>
      </c>
      <c r="H192" t="s">
        <v>2260</v>
      </c>
      <c r="I192" t="s">
        <v>2260</v>
      </c>
      <c r="J192" t="s">
        <v>2266</v>
      </c>
      <c r="L192">
        <v>190</v>
      </c>
      <c r="M192">
        <v>0</v>
      </c>
      <c r="N192">
        <v>570</v>
      </c>
      <c r="O192">
        <v>570</v>
      </c>
      <c r="R192" t="s">
        <v>2275</v>
      </c>
      <c r="S192" t="s">
        <v>2284</v>
      </c>
      <c r="T192" t="s">
        <v>2290</v>
      </c>
      <c r="V192">
        <v>486</v>
      </c>
      <c r="W192">
        <v>30</v>
      </c>
      <c r="X192">
        <v>68.44</v>
      </c>
      <c r="Y192">
        <v>364.68</v>
      </c>
      <c r="Z192" t="s">
        <v>2292</v>
      </c>
      <c r="AA192" t="s">
        <v>2296</v>
      </c>
      <c r="AG192">
        <v>2024</v>
      </c>
      <c r="AH192">
        <v>4</v>
      </c>
      <c r="AI192" t="s">
        <v>2308</v>
      </c>
      <c r="AJ192" t="s">
        <v>2316</v>
      </c>
    </row>
    <row r="193" spans="1:36" x14ac:dyDescent="0.3">
      <c r="A193" t="s">
        <v>227</v>
      </c>
      <c r="B193" s="2">
        <v>45543</v>
      </c>
      <c r="C193" t="s">
        <v>1724</v>
      </c>
      <c r="D193" t="s">
        <v>1867</v>
      </c>
      <c r="E193" t="s">
        <v>2079</v>
      </c>
      <c r="F193" t="s">
        <v>2239</v>
      </c>
      <c r="G193" t="s">
        <v>2253</v>
      </c>
      <c r="H193" t="s">
        <v>2258</v>
      </c>
      <c r="I193" t="s">
        <v>2260</v>
      </c>
      <c r="J193" t="s">
        <v>2265</v>
      </c>
      <c r="K193">
        <v>2</v>
      </c>
      <c r="L193">
        <v>90</v>
      </c>
      <c r="M193">
        <v>0</v>
      </c>
      <c r="N193">
        <v>180</v>
      </c>
      <c r="O193">
        <v>180</v>
      </c>
      <c r="Q193" t="s">
        <v>2270</v>
      </c>
      <c r="R193" t="s">
        <v>2276</v>
      </c>
      <c r="S193" t="s">
        <v>2286</v>
      </c>
      <c r="T193" t="s">
        <v>2290</v>
      </c>
      <c r="U193">
        <v>5</v>
      </c>
      <c r="V193">
        <v>114</v>
      </c>
      <c r="W193">
        <v>11</v>
      </c>
      <c r="X193">
        <v>40.98</v>
      </c>
      <c r="Y193">
        <v>98.04</v>
      </c>
      <c r="Z193" t="s">
        <v>2293</v>
      </c>
      <c r="AA193" t="s">
        <v>2297</v>
      </c>
      <c r="AB193">
        <v>180</v>
      </c>
      <c r="AC193">
        <v>0</v>
      </c>
      <c r="AD193">
        <v>180</v>
      </c>
      <c r="AE193">
        <v>81.96</v>
      </c>
      <c r="AF193">
        <v>98.04</v>
      </c>
      <c r="AG193">
        <v>2024</v>
      </c>
      <c r="AH193">
        <v>9</v>
      </c>
      <c r="AI193" t="s">
        <v>2300</v>
      </c>
      <c r="AJ193" t="s">
        <v>2318</v>
      </c>
    </row>
    <row r="194" spans="1:36" x14ac:dyDescent="0.3">
      <c r="A194" t="s">
        <v>228</v>
      </c>
      <c r="B194" s="2">
        <v>45406</v>
      </c>
      <c r="C194" t="s">
        <v>1674</v>
      </c>
      <c r="D194" t="s">
        <v>1868</v>
      </c>
      <c r="E194" t="s">
        <v>2080</v>
      </c>
      <c r="F194" t="s">
        <v>2238</v>
      </c>
      <c r="G194" t="s">
        <v>2241</v>
      </c>
      <c r="H194" t="s">
        <v>2257</v>
      </c>
      <c r="I194" t="s">
        <v>2262</v>
      </c>
      <c r="J194" t="s">
        <v>2264</v>
      </c>
      <c r="K194">
        <v>4</v>
      </c>
      <c r="L194">
        <v>130</v>
      </c>
      <c r="M194">
        <v>0.05</v>
      </c>
      <c r="N194">
        <v>520</v>
      </c>
      <c r="O194">
        <v>494</v>
      </c>
      <c r="Q194" t="s">
        <v>2270</v>
      </c>
      <c r="R194" t="s">
        <v>2278</v>
      </c>
      <c r="S194" t="s">
        <v>2283</v>
      </c>
      <c r="T194" t="s">
        <v>2290</v>
      </c>
      <c r="U194">
        <v>2</v>
      </c>
      <c r="V194">
        <v>217</v>
      </c>
      <c r="W194">
        <v>57</v>
      </c>
      <c r="X194">
        <v>68.599999999999994</v>
      </c>
      <c r="Y194">
        <v>219.6</v>
      </c>
      <c r="Z194" t="s">
        <v>2292</v>
      </c>
      <c r="AA194" t="s">
        <v>2299</v>
      </c>
      <c r="AB194">
        <v>520</v>
      </c>
      <c r="AC194">
        <v>26</v>
      </c>
      <c r="AD194">
        <v>494</v>
      </c>
      <c r="AE194">
        <v>274.39999999999998</v>
      </c>
      <c r="AF194">
        <v>219.6</v>
      </c>
      <c r="AG194">
        <v>2024</v>
      </c>
      <c r="AH194">
        <v>4</v>
      </c>
      <c r="AI194" t="s">
        <v>2308</v>
      </c>
      <c r="AJ194" t="s">
        <v>2312</v>
      </c>
    </row>
    <row r="195" spans="1:36" x14ac:dyDescent="0.3">
      <c r="A195" t="s">
        <v>229</v>
      </c>
      <c r="B195" s="2">
        <v>45560</v>
      </c>
      <c r="C195" t="s">
        <v>1643</v>
      </c>
      <c r="D195" t="s">
        <v>1797</v>
      </c>
      <c r="E195" t="s">
        <v>2081</v>
      </c>
      <c r="F195" t="s">
        <v>2238</v>
      </c>
      <c r="G195" t="s">
        <v>2242</v>
      </c>
      <c r="H195" t="s">
        <v>2258</v>
      </c>
      <c r="I195" t="s">
        <v>2260</v>
      </c>
      <c r="J195" t="s">
        <v>2266</v>
      </c>
      <c r="K195">
        <v>2</v>
      </c>
      <c r="L195">
        <v>125</v>
      </c>
      <c r="M195">
        <v>0.1</v>
      </c>
      <c r="N195">
        <v>250</v>
      </c>
      <c r="O195">
        <v>225</v>
      </c>
      <c r="Q195" t="s">
        <v>2272</v>
      </c>
      <c r="R195" t="s">
        <v>2279</v>
      </c>
      <c r="S195" t="s">
        <v>2282</v>
      </c>
      <c r="T195" t="s">
        <v>2288</v>
      </c>
      <c r="U195">
        <v>1</v>
      </c>
      <c r="V195">
        <v>29</v>
      </c>
      <c r="W195">
        <v>31</v>
      </c>
      <c r="X195">
        <v>52.12</v>
      </c>
      <c r="Y195">
        <v>120.76</v>
      </c>
      <c r="Z195" t="s">
        <v>1761</v>
      </c>
      <c r="AA195" t="s">
        <v>2297</v>
      </c>
      <c r="AB195">
        <v>250</v>
      </c>
      <c r="AC195">
        <v>25</v>
      </c>
      <c r="AD195">
        <v>225</v>
      </c>
      <c r="AE195">
        <v>104.24</v>
      </c>
      <c r="AF195">
        <v>120.76</v>
      </c>
      <c r="AG195">
        <v>2024</v>
      </c>
      <c r="AH195">
        <v>9</v>
      </c>
      <c r="AI195" t="s">
        <v>2300</v>
      </c>
      <c r="AJ195" t="s">
        <v>2312</v>
      </c>
    </row>
    <row r="196" spans="1:36" x14ac:dyDescent="0.3">
      <c r="A196" t="s">
        <v>230</v>
      </c>
      <c r="B196" s="2">
        <v>45583</v>
      </c>
      <c r="C196" t="s">
        <v>1716</v>
      </c>
      <c r="D196" t="s">
        <v>1804</v>
      </c>
      <c r="E196" t="s">
        <v>2057</v>
      </c>
      <c r="F196" t="s">
        <v>2239</v>
      </c>
      <c r="G196" t="s">
        <v>2251</v>
      </c>
      <c r="H196" t="s">
        <v>2258</v>
      </c>
      <c r="I196" t="s">
        <v>2260</v>
      </c>
      <c r="J196" t="s">
        <v>2264</v>
      </c>
      <c r="K196">
        <v>2</v>
      </c>
      <c r="L196">
        <v>100</v>
      </c>
      <c r="M196">
        <v>0</v>
      </c>
      <c r="N196">
        <v>200</v>
      </c>
      <c r="O196">
        <v>200</v>
      </c>
      <c r="P196" t="s">
        <v>2267</v>
      </c>
      <c r="Q196" t="s">
        <v>2272</v>
      </c>
      <c r="R196" t="s">
        <v>2278</v>
      </c>
      <c r="S196" t="s">
        <v>2287</v>
      </c>
      <c r="T196" t="s">
        <v>2290</v>
      </c>
      <c r="V196">
        <v>271</v>
      </c>
      <c r="W196">
        <v>37</v>
      </c>
      <c r="X196">
        <v>52.35</v>
      </c>
      <c r="Y196">
        <v>95.3</v>
      </c>
      <c r="Z196" t="s">
        <v>2293</v>
      </c>
      <c r="AA196" t="s">
        <v>2298</v>
      </c>
      <c r="AB196">
        <v>200</v>
      </c>
      <c r="AC196">
        <v>0</v>
      </c>
      <c r="AD196">
        <v>200</v>
      </c>
      <c r="AE196">
        <v>104.7</v>
      </c>
      <c r="AF196">
        <v>95.3</v>
      </c>
      <c r="AG196">
        <v>2024</v>
      </c>
      <c r="AH196">
        <v>10</v>
      </c>
      <c r="AI196" t="s">
        <v>2310</v>
      </c>
      <c r="AJ196" t="s">
        <v>2315</v>
      </c>
    </row>
    <row r="197" spans="1:36" x14ac:dyDescent="0.3">
      <c r="A197" t="s">
        <v>231</v>
      </c>
      <c r="B197" s="2">
        <v>45305</v>
      </c>
      <c r="C197" t="s">
        <v>1725</v>
      </c>
      <c r="D197" t="s">
        <v>1849</v>
      </c>
      <c r="E197" t="s">
        <v>2082</v>
      </c>
      <c r="F197" t="s">
        <v>2240</v>
      </c>
      <c r="G197" t="s">
        <v>2248</v>
      </c>
      <c r="H197" t="s">
        <v>2257</v>
      </c>
      <c r="I197" t="s">
        <v>2262</v>
      </c>
      <c r="J197" t="s">
        <v>2266</v>
      </c>
      <c r="K197">
        <v>1</v>
      </c>
      <c r="L197">
        <v>150</v>
      </c>
      <c r="N197">
        <v>150</v>
      </c>
      <c r="P197" t="s">
        <v>2267</v>
      </c>
      <c r="Q197" t="s">
        <v>2272</v>
      </c>
      <c r="R197" t="s">
        <v>2277</v>
      </c>
      <c r="S197" t="s">
        <v>2286</v>
      </c>
      <c r="T197" t="s">
        <v>2288</v>
      </c>
      <c r="U197">
        <v>5</v>
      </c>
      <c r="V197">
        <v>182</v>
      </c>
      <c r="X197">
        <v>57.93</v>
      </c>
      <c r="Z197" t="s">
        <v>2293</v>
      </c>
      <c r="AA197" t="s">
        <v>1761</v>
      </c>
      <c r="AB197">
        <v>150</v>
      </c>
      <c r="AC197">
        <v>0</v>
      </c>
      <c r="AD197">
        <v>150</v>
      </c>
      <c r="AE197">
        <v>57.93</v>
      </c>
      <c r="AF197">
        <v>92.07</v>
      </c>
      <c r="AG197">
        <v>2024</v>
      </c>
      <c r="AH197">
        <v>1</v>
      </c>
      <c r="AI197" t="s">
        <v>2302</v>
      </c>
      <c r="AJ197" t="s">
        <v>2318</v>
      </c>
    </row>
    <row r="198" spans="1:36" x14ac:dyDescent="0.3">
      <c r="A198" t="s">
        <v>232</v>
      </c>
      <c r="B198" s="2">
        <v>45329</v>
      </c>
      <c r="C198" t="s">
        <v>1650</v>
      </c>
      <c r="D198" t="s">
        <v>1828</v>
      </c>
      <c r="E198" t="s">
        <v>2082</v>
      </c>
      <c r="F198" t="s">
        <v>2240</v>
      </c>
      <c r="G198" t="s">
        <v>2241</v>
      </c>
      <c r="H198" t="s">
        <v>2257</v>
      </c>
      <c r="I198" t="s">
        <v>2262</v>
      </c>
      <c r="J198" t="s">
        <v>2264</v>
      </c>
      <c r="K198">
        <v>4</v>
      </c>
      <c r="L198">
        <v>130</v>
      </c>
      <c r="M198">
        <v>0.05</v>
      </c>
      <c r="N198">
        <v>520</v>
      </c>
      <c r="O198">
        <v>494</v>
      </c>
      <c r="P198" t="s">
        <v>2269</v>
      </c>
      <c r="Q198" t="s">
        <v>2272</v>
      </c>
      <c r="R198" t="s">
        <v>2275</v>
      </c>
      <c r="S198" t="s">
        <v>2286</v>
      </c>
      <c r="T198" t="s">
        <v>2288</v>
      </c>
      <c r="U198">
        <v>5</v>
      </c>
      <c r="V198">
        <v>311</v>
      </c>
      <c r="W198">
        <v>47</v>
      </c>
      <c r="X198">
        <v>51.14</v>
      </c>
      <c r="Y198">
        <v>289.44</v>
      </c>
      <c r="Z198" t="s">
        <v>1761</v>
      </c>
      <c r="AA198" t="s">
        <v>2296</v>
      </c>
      <c r="AB198">
        <v>520</v>
      </c>
      <c r="AC198">
        <v>26</v>
      </c>
      <c r="AD198">
        <v>494</v>
      </c>
      <c r="AE198">
        <v>204.56</v>
      </c>
      <c r="AF198">
        <v>289.44</v>
      </c>
      <c r="AG198">
        <v>2024</v>
      </c>
      <c r="AH198">
        <v>2</v>
      </c>
      <c r="AI198" t="s">
        <v>2303</v>
      </c>
      <c r="AJ198" t="s">
        <v>2312</v>
      </c>
    </row>
    <row r="199" spans="1:36" x14ac:dyDescent="0.3">
      <c r="A199" t="s">
        <v>233</v>
      </c>
      <c r="B199" s="2">
        <v>45495</v>
      </c>
      <c r="C199" t="s">
        <v>1685</v>
      </c>
      <c r="D199" t="s">
        <v>1849</v>
      </c>
      <c r="E199" t="s">
        <v>2083</v>
      </c>
      <c r="F199" t="s">
        <v>2239</v>
      </c>
      <c r="G199" t="s">
        <v>2247</v>
      </c>
      <c r="H199" t="s">
        <v>2257</v>
      </c>
      <c r="I199" t="s">
        <v>2262</v>
      </c>
      <c r="K199">
        <v>1</v>
      </c>
      <c r="L199">
        <v>100</v>
      </c>
      <c r="M199">
        <v>0.05</v>
      </c>
      <c r="N199">
        <v>100</v>
      </c>
      <c r="O199">
        <v>95</v>
      </c>
      <c r="P199" t="s">
        <v>2269</v>
      </c>
      <c r="Q199" t="s">
        <v>2271</v>
      </c>
      <c r="R199" t="s">
        <v>2273</v>
      </c>
      <c r="S199" t="s">
        <v>2280</v>
      </c>
      <c r="T199" t="s">
        <v>2289</v>
      </c>
      <c r="U199">
        <v>1</v>
      </c>
      <c r="V199">
        <v>89</v>
      </c>
      <c r="X199">
        <v>56.19</v>
      </c>
      <c r="Y199">
        <v>38.81</v>
      </c>
      <c r="Z199" t="s">
        <v>1761</v>
      </c>
      <c r="AA199" t="s">
        <v>2298</v>
      </c>
      <c r="AB199">
        <v>100</v>
      </c>
      <c r="AC199">
        <v>5</v>
      </c>
      <c r="AD199">
        <v>95</v>
      </c>
      <c r="AE199">
        <v>56.19</v>
      </c>
      <c r="AF199">
        <v>38.81</v>
      </c>
      <c r="AG199">
        <v>2024</v>
      </c>
      <c r="AH199">
        <v>7</v>
      </c>
      <c r="AI199" t="s">
        <v>2307</v>
      </c>
      <c r="AJ199" t="s">
        <v>2314</v>
      </c>
    </row>
    <row r="200" spans="1:36" x14ac:dyDescent="0.3">
      <c r="A200" t="s">
        <v>234</v>
      </c>
      <c r="B200" s="2">
        <v>45361</v>
      </c>
      <c r="C200" t="s">
        <v>1694</v>
      </c>
      <c r="D200" t="s">
        <v>1869</v>
      </c>
      <c r="E200" t="s">
        <v>2084</v>
      </c>
      <c r="F200" t="s">
        <v>2238</v>
      </c>
      <c r="G200" t="s">
        <v>2248</v>
      </c>
      <c r="H200" t="s">
        <v>2257</v>
      </c>
      <c r="I200" t="s">
        <v>2262</v>
      </c>
      <c r="J200" t="s">
        <v>2265</v>
      </c>
      <c r="K200">
        <v>3</v>
      </c>
      <c r="L200">
        <v>155</v>
      </c>
      <c r="M200">
        <v>0.1</v>
      </c>
      <c r="N200">
        <v>465</v>
      </c>
      <c r="O200">
        <v>418.5</v>
      </c>
      <c r="P200" t="s">
        <v>2269</v>
      </c>
      <c r="Q200" t="s">
        <v>2272</v>
      </c>
      <c r="R200" t="s">
        <v>2277</v>
      </c>
      <c r="S200" t="s">
        <v>2282</v>
      </c>
      <c r="T200" t="s">
        <v>2288</v>
      </c>
      <c r="U200">
        <v>5</v>
      </c>
      <c r="V200">
        <v>350</v>
      </c>
      <c r="W200">
        <v>29</v>
      </c>
      <c r="X200">
        <v>63.39</v>
      </c>
      <c r="Y200">
        <v>228.33</v>
      </c>
      <c r="Z200" t="s">
        <v>2293</v>
      </c>
      <c r="AA200" t="s">
        <v>2296</v>
      </c>
      <c r="AB200">
        <v>465</v>
      </c>
      <c r="AC200">
        <v>46.5</v>
      </c>
      <c r="AD200">
        <v>418.5</v>
      </c>
      <c r="AE200">
        <v>190.17</v>
      </c>
      <c r="AF200">
        <v>228.33</v>
      </c>
      <c r="AG200">
        <v>2024</v>
      </c>
      <c r="AH200">
        <v>3</v>
      </c>
      <c r="AI200" t="s">
        <v>2305</v>
      </c>
      <c r="AJ200" t="s">
        <v>2318</v>
      </c>
    </row>
    <row r="201" spans="1:36" x14ac:dyDescent="0.3">
      <c r="A201" t="s">
        <v>235</v>
      </c>
      <c r="B201" s="2">
        <v>45375</v>
      </c>
      <c r="C201" t="s">
        <v>1661</v>
      </c>
      <c r="D201" t="s">
        <v>1855</v>
      </c>
      <c r="E201" t="s">
        <v>2085</v>
      </c>
      <c r="F201" t="s">
        <v>2240</v>
      </c>
      <c r="G201" t="s">
        <v>2246</v>
      </c>
      <c r="H201" t="s">
        <v>2259</v>
      </c>
      <c r="I201" t="s">
        <v>2262</v>
      </c>
      <c r="J201" t="s">
        <v>2266</v>
      </c>
      <c r="K201">
        <v>2</v>
      </c>
      <c r="L201">
        <v>105</v>
      </c>
      <c r="M201">
        <v>0</v>
      </c>
      <c r="N201">
        <v>210</v>
      </c>
      <c r="O201">
        <v>210</v>
      </c>
      <c r="P201" t="s">
        <v>2267</v>
      </c>
      <c r="Q201" t="s">
        <v>2270</v>
      </c>
      <c r="R201" t="s">
        <v>2274</v>
      </c>
      <c r="S201" t="s">
        <v>2286</v>
      </c>
      <c r="T201" t="s">
        <v>2290</v>
      </c>
      <c r="U201">
        <v>5</v>
      </c>
      <c r="V201">
        <v>105</v>
      </c>
      <c r="W201">
        <v>56</v>
      </c>
      <c r="X201">
        <v>34.79</v>
      </c>
      <c r="Y201">
        <v>140.41999999999999</v>
      </c>
      <c r="Z201" t="s">
        <v>2292</v>
      </c>
      <c r="AA201" t="s">
        <v>1761</v>
      </c>
      <c r="AB201">
        <v>210</v>
      </c>
      <c r="AC201">
        <v>0</v>
      </c>
      <c r="AD201">
        <v>210</v>
      </c>
      <c r="AE201">
        <v>69.58</v>
      </c>
      <c r="AF201">
        <v>140.41999999999999</v>
      </c>
      <c r="AG201">
        <v>2024</v>
      </c>
      <c r="AH201">
        <v>3</v>
      </c>
      <c r="AI201" t="s">
        <v>2305</v>
      </c>
      <c r="AJ201" t="s">
        <v>2318</v>
      </c>
    </row>
    <row r="202" spans="1:36" x14ac:dyDescent="0.3">
      <c r="A202" t="s">
        <v>236</v>
      </c>
      <c r="B202" s="2">
        <v>45652</v>
      </c>
      <c r="C202" t="s">
        <v>1662</v>
      </c>
      <c r="D202" t="s">
        <v>1870</v>
      </c>
      <c r="E202" t="s">
        <v>2086</v>
      </c>
      <c r="F202" t="s">
        <v>2239</v>
      </c>
      <c r="G202" t="s">
        <v>2248</v>
      </c>
      <c r="H202" t="s">
        <v>2257</v>
      </c>
      <c r="I202" t="s">
        <v>2262</v>
      </c>
      <c r="K202">
        <v>3</v>
      </c>
      <c r="L202">
        <v>155</v>
      </c>
      <c r="N202">
        <v>465</v>
      </c>
      <c r="P202" t="s">
        <v>2267</v>
      </c>
      <c r="Q202" t="s">
        <v>2270</v>
      </c>
      <c r="R202" t="s">
        <v>2278</v>
      </c>
      <c r="S202" t="s">
        <v>2283</v>
      </c>
      <c r="T202" t="s">
        <v>2290</v>
      </c>
      <c r="U202">
        <v>3</v>
      </c>
      <c r="V202">
        <v>325</v>
      </c>
      <c r="W202">
        <v>33</v>
      </c>
      <c r="X202">
        <v>68.88</v>
      </c>
      <c r="Z202" t="s">
        <v>2291</v>
      </c>
      <c r="AA202" t="s">
        <v>2298</v>
      </c>
      <c r="AB202">
        <v>465</v>
      </c>
      <c r="AC202">
        <v>0</v>
      </c>
      <c r="AD202">
        <v>465</v>
      </c>
      <c r="AE202">
        <v>206.64</v>
      </c>
      <c r="AF202">
        <v>258.36</v>
      </c>
      <c r="AG202">
        <v>2024</v>
      </c>
      <c r="AH202">
        <v>12</v>
      </c>
      <c r="AI202" t="s">
        <v>2309</v>
      </c>
      <c r="AJ202" t="s">
        <v>2316</v>
      </c>
    </row>
    <row r="203" spans="1:36" x14ac:dyDescent="0.3">
      <c r="A203" t="s">
        <v>237</v>
      </c>
      <c r="C203" t="s">
        <v>1679</v>
      </c>
      <c r="D203" t="s">
        <v>1746</v>
      </c>
      <c r="E203" t="s">
        <v>2012</v>
      </c>
      <c r="F203" t="s">
        <v>2238</v>
      </c>
      <c r="G203" t="s">
        <v>2246</v>
      </c>
      <c r="H203" t="s">
        <v>2259</v>
      </c>
      <c r="I203" t="s">
        <v>2262</v>
      </c>
      <c r="J203" t="s">
        <v>2264</v>
      </c>
      <c r="K203">
        <v>3</v>
      </c>
      <c r="L203">
        <v>105</v>
      </c>
      <c r="M203">
        <v>0.15</v>
      </c>
      <c r="N203">
        <v>315</v>
      </c>
      <c r="O203">
        <v>267.75</v>
      </c>
      <c r="P203" t="s">
        <v>2267</v>
      </c>
      <c r="Q203" t="s">
        <v>2270</v>
      </c>
      <c r="R203" t="s">
        <v>2275</v>
      </c>
      <c r="S203" t="s">
        <v>2281</v>
      </c>
      <c r="T203" t="s">
        <v>2290</v>
      </c>
      <c r="U203">
        <v>5</v>
      </c>
      <c r="V203">
        <v>215</v>
      </c>
      <c r="W203">
        <v>36</v>
      </c>
      <c r="X203">
        <v>53.41</v>
      </c>
      <c r="Y203">
        <v>107.52</v>
      </c>
      <c r="Z203" t="s">
        <v>2294</v>
      </c>
      <c r="AA203" t="s">
        <v>1761</v>
      </c>
      <c r="AB203">
        <v>315</v>
      </c>
      <c r="AC203">
        <v>47.25</v>
      </c>
      <c r="AD203">
        <v>267.75</v>
      </c>
      <c r="AE203">
        <v>160.22999999999999</v>
      </c>
      <c r="AF203">
        <v>107.52</v>
      </c>
    </row>
    <row r="204" spans="1:36" x14ac:dyDescent="0.3">
      <c r="A204" t="s">
        <v>238</v>
      </c>
      <c r="B204" s="2">
        <v>45610</v>
      </c>
      <c r="C204" t="s">
        <v>1658</v>
      </c>
      <c r="D204" t="s">
        <v>1781</v>
      </c>
      <c r="E204" t="s">
        <v>2087</v>
      </c>
      <c r="F204" t="s">
        <v>2239</v>
      </c>
      <c r="G204" t="s">
        <v>2253</v>
      </c>
      <c r="H204" t="s">
        <v>2258</v>
      </c>
      <c r="I204" t="s">
        <v>2260</v>
      </c>
      <c r="J204" t="s">
        <v>2264</v>
      </c>
      <c r="K204">
        <v>2</v>
      </c>
      <c r="L204">
        <v>100</v>
      </c>
      <c r="M204">
        <v>0.05</v>
      </c>
      <c r="N204">
        <v>200</v>
      </c>
      <c r="O204">
        <v>190</v>
      </c>
      <c r="P204" t="s">
        <v>2267</v>
      </c>
      <c r="Q204" t="s">
        <v>2272</v>
      </c>
      <c r="R204" t="s">
        <v>2273</v>
      </c>
      <c r="S204" t="s">
        <v>2287</v>
      </c>
      <c r="T204" t="s">
        <v>2288</v>
      </c>
      <c r="U204">
        <v>5</v>
      </c>
      <c r="V204">
        <v>167</v>
      </c>
      <c r="W204">
        <v>28</v>
      </c>
      <c r="X204">
        <v>43.3</v>
      </c>
      <c r="Y204">
        <v>103.4</v>
      </c>
      <c r="Z204" t="s">
        <v>2291</v>
      </c>
      <c r="AA204" t="s">
        <v>2296</v>
      </c>
      <c r="AB204">
        <v>200</v>
      </c>
      <c r="AC204">
        <v>10</v>
      </c>
      <c r="AD204">
        <v>190</v>
      </c>
      <c r="AE204">
        <v>86.6</v>
      </c>
      <c r="AF204">
        <v>103.4</v>
      </c>
      <c r="AG204">
        <v>2024</v>
      </c>
      <c r="AH204">
        <v>11</v>
      </c>
      <c r="AI204" t="s">
        <v>2311</v>
      </c>
      <c r="AJ204" t="s">
        <v>2316</v>
      </c>
    </row>
    <row r="205" spans="1:36" x14ac:dyDescent="0.3">
      <c r="A205" t="s">
        <v>239</v>
      </c>
      <c r="B205" s="2">
        <v>45649</v>
      </c>
      <c r="C205" t="s">
        <v>1671</v>
      </c>
      <c r="D205" t="s">
        <v>1754</v>
      </c>
      <c r="E205" t="s">
        <v>2088</v>
      </c>
      <c r="F205" t="s">
        <v>2240</v>
      </c>
      <c r="G205" t="s">
        <v>2250</v>
      </c>
      <c r="H205" t="s">
        <v>2259</v>
      </c>
      <c r="I205" t="s">
        <v>2262</v>
      </c>
      <c r="J205" t="s">
        <v>2265</v>
      </c>
      <c r="K205">
        <v>1</v>
      </c>
      <c r="L205">
        <v>90</v>
      </c>
      <c r="M205">
        <v>0.15</v>
      </c>
      <c r="N205">
        <v>90</v>
      </c>
      <c r="O205">
        <v>76.5</v>
      </c>
      <c r="P205" t="s">
        <v>2268</v>
      </c>
      <c r="Q205" t="s">
        <v>2272</v>
      </c>
      <c r="R205" t="s">
        <v>2273</v>
      </c>
      <c r="S205" t="s">
        <v>2283</v>
      </c>
      <c r="T205" t="s">
        <v>2288</v>
      </c>
      <c r="U205">
        <v>5</v>
      </c>
      <c r="V205">
        <v>330</v>
      </c>
      <c r="W205">
        <v>20</v>
      </c>
      <c r="X205">
        <v>44.71</v>
      </c>
      <c r="Y205">
        <v>31.79</v>
      </c>
      <c r="Z205" t="s">
        <v>2293</v>
      </c>
      <c r="AA205" t="s">
        <v>2299</v>
      </c>
      <c r="AB205">
        <v>90</v>
      </c>
      <c r="AC205">
        <v>13.5</v>
      </c>
      <c r="AD205">
        <v>76.5</v>
      </c>
      <c r="AE205">
        <v>44.71</v>
      </c>
      <c r="AF205">
        <v>31.79</v>
      </c>
      <c r="AG205">
        <v>2024</v>
      </c>
      <c r="AH205">
        <v>12</v>
      </c>
      <c r="AI205" t="s">
        <v>2309</v>
      </c>
      <c r="AJ205" t="s">
        <v>2314</v>
      </c>
    </row>
    <row r="206" spans="1:36" x14ac:dyDescent="0.3">
      <c r="A206" t="s">
        <v>240</v>
      </c>
      <c r="B206" s="2">
        <v>45418</v>
      </c>
      <c r="C206" t="s">
        <v>1703</v>
      </c>
      <c r="D206" t="s">
        <v>1871</v>
      </c>
      <c r="E206" t="s">
        <v>1761</v>
      </c>
      <c r="F206" t="s">
        <v>2239</v>
      </c>
      <c r="G206" t="s">
        <v>2246</v>
      </c>
      <c r="H206" t="s">
        <v>2259</v>
      </c>
      <c r="I206" t="s">
        <v>2262</v>
      </c>
      <c r="J206" t="s">
        <v>2265</v>
      </c>
      <c r="K206">
        <v>4</v>
      </c>
      <c r="L206">
        <v>105</v>
      </c>
      <c r="M206">
        <v>0.1</v>
      </c>
      <c r="N206">
        <v>420</v>
      </c>
      <c r="O206">
        <v>378</v>
      </c>
      <c r="P206" t="s">
        <v>2269</v>
      </c>
      <c r="R206" t="s">
        <v>2273</v>
      </c>
      <c r="S206" t="s">
        <v>2284</v>
      </c>
      <c r="T206" t="s">
        <v>2288</v>
      </c>
      <c r="U206">
        <v>5</v>
      </c>
      <c r="V206">
        <v>87</v>
      </c>
      <c r="X206">
        <v>36.25</v>
      </c>
      <c r="Y206">
        <v>233</v>
      </c>
      <c r="Z206" t="s">
        <v>2294</v>
      </c>
      <c r="AA206" t="s">
        <v>2298</v>
      </c>
      <c r="AB206">
        <v>420</v>
      </c>
      <c r="AC206">
        <v>42</v>
      </c>
      <c r="AD206">
        <v>378</v>
      </c>
      <c r="AE206">
        <v>145</v>
      </c>
      <c r="AF206">
        <v>233</v>
      </c>
      <c r="AG206">
        <v>2024</v>
      </c>
      <c r="AH206">
        <v>5</v>
      </c>
      <c r="AI206" t="s">
        <v>2306</v>
      </c>
      <c r="AJ206" t="s">
        <v>2314</v>
      </c>
    </row>
    <row r="207" spans="1:36" x14ac:dyDescent="0.3">
      <c r="A207" t="s">
        <v>241</v>
      </c>
      <c r="B207" s="2">
        <v>45648</v>
      </c>
      <c r="C207" t="s">
        <v>1649</v>
      </c>
      <c r="D207" t="s">
        <v>1767</v>
      </c>
      <c r="E207" t="s">
        <v>2089</v>
      </c>
      <c r="F207" t="s">
        <v>2239</v>
      </c>
      <c r="G207" t="s">
        <v>2245</v>
      </c>
      <c r="H207" t="s">
        <v>2257</v>
      </c>
      <c r="I207" t="s">
        <v>2263</v>
      </c>
      <c r="J207" t="s">
        <v>2265</v>
      </c>
      <c r="K207">
        <v>1</v>
      </c>
      <c r="L207">
        <v>150</v>
      </c>
      <c r="M207">
        <v>0.1</v>
      </c>
      <c r="O207">
        <v>135</v>
      </c>
      <c r="P207" t="s">
        <v>2268</v>
      </c>
      <c r="Q207" t="s">
        <v>2270</v>
      </c>
      <c r="R207" t="s">
        <v>2276</v>
      </c>
      <c r="S207" t="s">
        <v>2285</v>
      </c>
      <c r="T207" t="s">
        <v>2288</v>
      </c>
      <c r="U207">
        <v>3</v>
      </c>
      <c r="V207">
        <v>156</v>
      </c>
      <c r="W207">
        <v>25</v>
      </c>
      <c r="X207">
        <v>64.88</v>
      </c>
      <c r="Y207">
        <v>70.12</v>
      </c>
      <c r="Z207" t="s">
        <v>2293</v>
      </c>
      <c r="AA207" t="s">
        <v>2296</v>
      </c>
      <c r="AB207">
        <v>150</v>
      </c>
      <c r="AC207">
        <v>15</v>
      </c>
      <c r="AD207">
        <v>135</v>
      </c>
      <c r="AE207">
        <v>64.88</v>
      </c>
      <c r="AF207">
        <v>70.12</v>
      </c>
      <c r="AG207">
        <v>2024</v>
      </c>
      <c r="AH207">
        <v>12</v>
      </c>
      <c r="AI207" t="s">
        <v>2309</v>
      </c>
      <c r="AJ207" t="s">
        <v>2318</v>
      </c>
    </row>
    <row r="208" spans="1:36" x14ac:dyDescent="0.3">
      <c r="A208" t="s">
        <v>242</v>
      </c>
      <c r="B208" s="2">
        <v>45419</v>
      </c>
      <c r="C208" t="s">
        <v>1640</v>
      </c>
      <c r="D208" t="s">
        <v>1862</v>
      </c>
      <c r="E208" t="s">
        <v>2090</v>
      </c>
      <c r="F208" t="s">
        <v>2240</v>
      </c>
      <c r="G208" t="s">
        <v>2254</v>
      </c>
      <c r="H208" t="s">
        <v>2259</v>
      </c>
      <c r="I208" t="s">
        <v>2263</v>
      </c>
      <c r="J208" t="s">
        <v>2264</v>
      </c>
      <c r="K208">
        <v>2</v>
      </c>
      <c r="L208">
        <v>105</v>
      </c>
      <c r="M208">
        <v>0.1</v>
      </c>
      <c r="N208">
        <v>210</v>
      </c>
      <c r="O208">
        <v>189</v>
      </c>
      <c r="P208" t="s">
        <v>2267</v>
      </c>
      <c r="Q208" t="s">
        <v>2271</v>
      </c>
      <c r="R208" t="s">
        <v>2278</v>
      </c>
      <c r="S208" t="s">
        <v>2284</v>
      </c>
      <c r="T208" t="s">
        <v>2288</v>
      </c>
      <c r="U208">
        <v>2</v>
      </c>
      <c r="V208">
        <v>250</v>
      </c>
      <c r="W208">
        <v>39</v>
      </c>
      <c r="X208">
        <v>51.44</v>
      </c>
      <c r="Y208">
        <v>86.12</v>
      </c>
      <c r="Z208" t="s">
        <v>2292</v>
      </c>
      <c r="AA208" t="s">
        <v>2297</v>
      </c>
      <c r="AB208">
        <v>210</v>
      </c>
      <c r="AC208">
        <v>21</v>
      </c>
      <c r="AD208">
        <v>189</v>
      </c>
      <c r="AE208">
        <v>102.88</v>
      </c>
      <c r="AF208">
        <v>86.12</v>
      </c>
      <c r="AG208">
        <v>2024</v>
      </c>
      <c r="AH208">
        <v>5</v>
      </c>
      <c r="AI208" t="s">
        <v>2306</v>
      </c>
      <c r="AJ208" t="s">
        <v>2313</v>
      </c>
    </row>
    <row r="209" spans="1:36" x14ac:dyDescent="0.3">
      <c r="A209" t="s">
        <v>243</v>
      </c>
      <c r="B209" s="2">
        <v>45303</v>
      </c>
      <c r="C209" t="s">
        <v>1670</v>
      </c>
      <c r="D209" t="s">
        <v>1872</v>
      </c>
      <c r="E209" t="s">
        <v>2091</v>
      </c>
      <c r="F209" t="s">
        <v>1761</v>
      </c>
      <c r="G209" t="s">
        <v>2241</v>
      </c>
      <c r="H209" t="s">
        <v>2257</v>
      </c>
      <c r="I209" t="s">
        <v>2262</v>
      </c>
      <c r="J209" t="s">
        <v>2264</v>
      </c>
      <c r="K209">
        <v>1</v>
      </c>
      <c r="L209">
        <v>135</v>
      </c>
      <c r="M209">
        <v>0</v>
      </c>
      <c r="N209">
        <v>135</v>
      </c>
      <c r="O209">
        <v>135</v>
      </c>
      <c r="Q209" t="s">
        <v>2270</v>
      </c>
      <c r="R209" t="s">
        <v>2273</v>
      </c>
      <c r="S209" t="s">
        <v>2281</v>
      </c>
      <c r="T209" t="s">
        <v>2290</v>
      </c>
      <c r="U209">
        <v>5</v>
      </c>
      <c r="V209">
        <v>95</v>
      </c>
      <c r="W209">
        <v>51</v>
      </c>
      <c r="X209">
        <v>65.540000000000006</v>
      </c>
      <c r="Y209">
        <v>69.459999999999994</v>
      </c>
      <c r="Z209" t="s">
        <v>2291</v>
      </c>
      <c r="AA209" t="s">
        <v>1761</v>
      </c>
      <c r="AB209">
        <v>135</v>
      </c>
      <c r="AC209">
        <v>0</v>
      </c>
      <c r="AD209">
        <v>135</v>
      </c>
      <c r="AE209">
        <v>65.540000000000006</v>
      </c>
      <c r="AF209">
        <v>69.459999999999994</v>
      </c>
      <c r="AG209">
        <v>2024</v>
      </c>
      <c r="AH209">
        <v>1</v>
      </c>
      <c r="AI209" t="s">
        <v>2302</v>
      </c>
      <c r="AJ209" t="s">
        <v>2315</v>
      </c>
    </row>
    <row r="210" spans="1:36" x14ac:dyDescent="0.3">
      <c r="A210" t="s">
        <v>244</v>
      </c>
      <c r="B210" s="2">
        <v>45540</v>
      </c>
      <c r="C210" t="s">
        <v>1636</v>
      </c>
      <c r="D210" t="s">
        <v>1873</v>
      </c>
      <c r="E210" t="s">
        <v>2086</v>
      </c>
      <c r="F210" t="s">
        <v>2240</v>
      </c>
      <c r="G210" t="s">
        <v>2244</v>
      </c>
      <c r="H210" t="s">
        <v>2257</v>
      </c>
      <c r="I210" t="s">
        <v>2262</v>
      </c>
      <c r="J210" t="s">
        <v>2266</v>
      </c>
      <c r="K210">
        <v>1</v>
      </c>
      <c r="L210">
        <v>120</v>
      </c>
      <c r="M210">
        <v>0.15</v>
      </c>
      <c r="N210">
        <v>120</v>
      </c>
      <c r="O210">
        <v>102</v>
      </c>
      <c r="P210" t="s">
        <v>2267</v>
      </c>
      <c r="Q210" t="s">
        <v>2270</v>
      </c>
      <c r="R210" t="s">
        <v>2279</v>
      </c>
      <c r="S210" t="s">
        <v>2283</v>
      </c>
      <c r="T210" t="s">
        <v>2288</v>
      </c>
      <c r="U210">
        <v>4</v>
      </c>
      <c r="V210">
        <v>34</v>
      </c>
      <c r="X210">
        <v>70.510000000000005</v>
      </c>
      <c r="Y210">
        <v>31.49</v>
      </c>
      <c r="Z210" t="s">
        <v>2292</v>
      </c>
      <c r="AA210" t="s">
        <v>2296</v>
      </c>
      <c r="AB210">
        <v>120</v>
      </c>
      <c r="AC210">
        <v>18</v>
      </c>
      <c r="AD210">
        <v>102</v>
      </c>
      <c r="AE210">
        <v>70.510000000000005</v>
      </c>
      <c r="AF210">
        <v>31.489999999999991</v>
      </c>
      <c r="AG210">
        <v>2024</v>
      </c>
      <c r="AH210">
        <v>9</v>
      </c>
      <c r="AI210" t="s">
        <v>2300</v>
      </c>
      <c r="AJ210" t="s">
        <v>2316</v>
      </c>
    </row>
    <row r="211" spans="1:36" x14ac:dyDescent="0.3">
      <c r="A211" t="s">
        <v>245</v>
      </c>
      <c r="B211" s="2">
        <v>45552</v>
      </c>
      <c r="C211" t="s">
        <v>1687</v>
      </c>
      <c r="D211" t="s">
        <v>1874</v>
      </c>
      <c r="E211" t="s">
        <v>2092</v>
      </c>
      <c r="F211" t="s">
        <v>2240</v>
      </c>
      <c r="G211" t="s">
        <v>2243</v>
      </c>
      <c r="H211" t="s">
        <v>2258</v>
      </c>
      <c r="I211" t="s">
        <v>2260</v>
      </c>
      <c r="K211">
        <v>3</v>
      </c>
      <c r="L211">
        <v>70</v>
      </c>
      <c r="M211">
        <v>0.15</v>
      </c>
      <c r="O211">
        <v>178.5</v>
      </c>
      <c r="P211" t="s">
        <v>2268</v>
      </c>
      <c r="R211" t="s">
        <v>2273</v>
      </c>
      <c r="S211" t="s">
        <v>2284</v>
      </c>
      <c r="T211" t="s">
        <v>2288</v>
      </c>
      <c r="U211">
        <v>5</v>
      </c>
      <c r="V211">
        <v>348</v>
      </c>
      <c r="W211">
        <v>11</v>
      </c>
      <c r="X211">
        <v>37.86</v>
      </c>
      <c r="Y211">
        <v>64.92</v>
      </c>
      <c r="Z211" t="s">
        <v>2293</v>
      </c>
      <c r="AA211" t="s">
        <v>2299</v>
      </c>
      <c r="AB211">
        <v>210</v>
      </c>
      <c r="AC211">
        <v>31.5</v>
      </c>
      <c r="AD211">
        <v>178.5</v>
      </c>
      <c r="AE211">
        <v>113.58</v>
      </c>
      <c r="AF211">
        <v>64.92</v>
      </c>
      <c r="AG211">
        <v>2024</v>
      </c>
      <c r="AH211">
        <v>9</v>
      </c>
      <c r="AI211" t="s">
        <v>2300</v>
      </c>
      <c r="AJ211" t="s">
        <v>2313</v>
      </c>
    </row>
    <row r="212" spans="1:36" x14ac:dyDescent="0.3">
      <c r="A212" t="s">
        <v>246</v>
      </c>
      <c r="B212" s="2">
        <v>45405</v>
      </c>
      <c r="C212" t="s">
        <v>1689</v>
      </c>
      <c r="D212" t="s">
        <v>1875</v>
      </c>
      <c r="E212" t="s">
        <v>1957</v>
      </c>
      <c r="F212" t="s">
        <v>2238</v>
      </c>
      <c r="G212" t="s">
        <v>2245</v>
      </c>
      <c r="H212" t="s">
        <v>2257</v>
      </c>
      <c r="I212" t="s">
        <v>2263</v>
      </c>
      <c r="J212" t="s">
        <v>2266</v>
      </c>
      <c r="K212">
        <v>1</v>
      </c>
      <c r="L212">
        <v>155</v>
      </c>
      <c r="M212">
        <v>0.1</v>
      </c>
      <c r="N212">
        <v>155</v>
      </c>
      <c r="O212">
        <v>139.5</v>
      </c>
      <c r="P212" t="s">
        <v>2269</v>
      </c>
      <c r="Q212" t="s">
        <v>2270</v>
      </c>
      <c r="R212" t="s">
        <v>2278</v>
      </c>
      <c r="S212" t="s">
        <v>2285</v>
      </c>
      <c r="T212" t="s">
        <v>2288</v>
      </c>
      <c r="U212">
        <v>2</v>
      </c>
      <c r="V212">
        <v>260</v>
      </c>
      <c r="W212">
        <v>18</v>
      </c>
      <c r="X212">
        <v>78.62</v>
      </c>
      <c r="Y212">
        <v>60.88</v>
      </c>
      <c r="Z212" t="s">
        <v>1761</v>
      </c>
      <c r="AA212" t="s">
        <v>2298</v>
      </c>
      <c r="AB212">
        <v>155</v>
      </c>
      <c r="AC212">
        <v>15.5</v>
      </c>
      <c r="AD212">
        <v>139.5</v>
      </c>
      <c r="AE212">
        <v>78.62</v>
      </c>
      <c r="AF212">
        <v>60.88</v>
      </c>
      <c r="AG212">
        <v>2024</v>
      </c>
      <c r="AH212">
        <v>4</v>
      </c>
      <c r="AI212" t="s">
        <v>2308</v>
      </c>
      <c r="AJ212" t="s">
        <v>2313</v>
      </c>
    </row>
    <row r="213" spans="1:36" x14ac:dyDescent="0.3">
      <c r="A213" t="s">
        <v>247</v>
      </c>
      <c r="B213" s="2">
        <v>45343</v>
      </c>
      <c r="C213" t="s">
        <v>1709</v>
      </c>
      <c r="D213" t="s">
        <v>1827</v>
      </c>
      <c r="E213" t="s">
        <v>2093</v>
      </c>
      <c r="F213" t="s">
        <v>2239</v>
      </c>
      <c r="G213" t="s">
        <v>2253</v>
      </c>
      <c r="H213" t="s">
        <v>2258</v>
      </c>
      <c r="I213" t="s">
        <v>2260</v>
      </c>
      <c r="J213" t="s">
        <v>2264</v>
      </c>
      <c r="K213">
        <v>2</v>
      </c>
      <c r="L213">
        <v>90</v>
      </c>
      <c r="M213">
        <v>0.1</v>
      </c>
      <c r="N213">
        <v>180</v>
      </c>
      <c r="O213">
        <v>162</v>
      </c>
      <c r="P213" t="s">
        <v>2268</v>
      </c>
      <c r="Q213" t="s">
        <v>2271</v>
      </c>
      <c r="R213" t="s">
        <v>2275</v>
      </c>
      <c r="S213" t="s">
        <v>2286</v>
      </c>
      <c r="T213" t="s">
        <v>2288</v>
      </c>
      <c r="U213">
        <v>5</v>
      </c>
      <c r="V213">
        <v>331</v>
      </c>
      <c r="W213">
        <v>37</v>
      </c>
      <c r="X213">
        <v>49.91</v>
      </c>
      <c r="Y213">
        <v>62.18</v>
      </c>
      <c r="Z213" t="s">
        <v>2293</v>
      </c>
      <c r="AA213" t="s">
        <v>2299</v>
      </c>
      <c r="AB213">
        <v>180</v>
      </c>
      <c r="AC213">
        <v>18</v>
      </c>
      <c r="AD213">
        <v>162</v>
      </c>
      <c r="AE213">
        <v>99.82</v>
      </c>
      <c r="AF213">
        <v>62.180000000000007</v>
      </c>
      <c r="AG213">
        <v>2024</v>
      </c>
      <c r="AH213">
        <v>2</v>
      </c>
      <c r="AI213" t="s">
        <v>2303</v>
      </c>
      <c r="AJ213" t="s">
        <v>2312</v>
      </c>
    </row>
    <row r="214" spans="1:36" x14ac:dyDescent="0.3">
      <c r="A214" t="s">
        <v>248</v>
      </c>
      <c r="B214" s="2">
        <v>45417</v>
      </c>
      <c r="C214" t="s">
        <v>1698</v>
      </c>
      <c r="D214" t="s">
        <v>1876</v>
      </c>
      <c r="E214" t="s">
        <v>2059</v>
      </c>
      <c r="F214" t="s">
        <v>2240</v>
      </c>
      <c r="G214" t="s">
        <v>2244</v>
      </c>
      <c r="H214" t="s">
        <v>2257</v>
      </c>
      <c r="I214" t="s">
        <v>2262</v>
      </c>
      <c r="J214" t="s">
        <v>2265</v>
      </c>
      <c r="K214">
        <v>2</v>
      </c>
      <c r="L214">
        <v>115</v>
      </c>
      <c r="M214">
        <v>0.1</v>
      </c>
      <c r="N214">
        <v>230</v>
      </c>
      <c r="O214">
        <v>207</v>
      </c>
      <c r="P214" t="s">
        <v>2268</v>
      </c>
      <c r="Q214" t="s">
        <v>2271</v>
      </c>
      <c r="R214" t="s">
        <v>2277</v>
      </c>
      <c r="S214" t="s">
        <v>2284</v>
      </c>
      <c r="T214" t="s">
        <v>2289</v>
      </c>
      <c r="U214">
        <v>4</v>
      </c>
      <c r="V214">
        <v>166</v>
      </c>
      <c r="W214">
        <v>40</v>
      </c>
      <c r="X214">
        <v>68.81</v>
      </c>
      <c r="Y214">
        <v>69.38</v>
      </c>
      <c r="Z214" t="s">
        <v>1761</v>
      </c>
      <c r="AA214" t="s">
        <v>2296</v>
      </c>
      <c r="AB214">
        <v>230</v>
      </c>
      <c r="AC214">
        <v>23</v>
      </c>
      <c r="AD214">
        <v>207</v>
      </c>
      <c r="AE214">
        <v>137.62</v>
      </c>
      <c r="AF214">
        <v>69.38</v>
      </c>
      <c r="AG214">
        <v>2024</v>
      </c>
      <c r="AH214">
        <v>5</v>
      </c>
      <c r="AI214" t="s">
        <v>2306</v>
      </c>
      <c r="AJ214" t="s">
        <v>2318</v>
      </c>
    </row>
    <row r="215" spans="1:36" x14ac:dyDescent="0.3">
      <c r="A215" t="s">
        <v>249</v>
      </c>
      <c r="B215" s="2">
        <v>45298</v>
      </c>
      <c r="C215" t="s">
        <v>1683</v>
      </c>
      <c r="D215" t="s">
        <v>1858</v>
      </c>
      <c r="E215" t="s">
        <v>2094</v>
      </c>
      <c r="F215" t="s">
        <v>2240</v>
      </c>
      <c r="G215" t="s">
        <v>2254</v>
      </c>
      <c r="H215" t="s">
        <v>2259</v>
      </c>
      <c r="I215" t="s">
        <v>2263</v>
      </c>
      <c r="J215" t="s">
        <v>2265</v>
      </c>
      <c r="K215">
        <v>1</v>
      </c>
      <c r="L215">
        <v>105</v>
      </c>
      <c r="M215">
        <v>0.1</v>
      </c>
      <c r="N215">
        <v>105</v>
      </c>
      <c r="O215">
        <v>94.5</v>
      </c>
      <c r="P215" t="s">
        <v>2269</v>
      </c>
      <c r="R215" t="s">
        <v>2273</v>
      </c>
      <c r="S215" t="s">
        <v>2283</v>
      </c>
      <c r="T215" t="s">
        <v>2288</v>
      </c>
      <c r="U215">
        <v>5</v>
      </c>
      <c r="V215">
        <v>228</v>
      </c>
      <c r="W215">
        <v>41</v>
      </c>
      <c r="X215">
        <v>43.61</v>
      </c>
      <c r="Y215">
        <v>50.89</v>
      </c>
      <c r="Z215" t="s">
        <v>2292</v>
      </c>
      <c r="AA215" t="s">
        <v>2296</v>
      </c>
      <c r="AB215">
        <v>105</v>
      </c>
      <c r="AC215">
        <v>10.5</v>
      </c>
      <c r="AD215">
        <v>94.5</v>
      </c>
      <c r="AE215">
        <v>43.61</v>
      </c>
      <c r="AF215">
        <v>50.89</v>
      </c>
      <c r="AG215">
        <v>2024</v>
      </c>
      <c r="AH215">
        <v>1</v>
      </c>
      <c r="AI215" t="s">
        <v>2302</v>
      </c>
      <c r="AJ215" t="s">
        <v>2318</v>
      </c>
    </row>
    <row r="216" spans="1:36" x14ac:dyDescent="0.3">
      <c r="A216" t="s">
        <v>250</v>
      </c>
      <c r="B216" s="2">
        <v>45451</v>
      </c>
      <c r="C216" t="s">
        <v>1642</v>
      </c>
      <c r="D216" t="s">
        <v>1877</v>
      </c>
      <c r="E216" t="s">
        <v>2095</v>
      </c>
      <c r="F216" t="s">
        <v>2240</v>
      </c>
      <c r="G216" t="s">
        <v>2255</v>
      </c>
      <c r="H216" t="s">
        <v>2260</v>
      </c>
      <c r="I216" t="s">
        <v>2260</v>
      </c>
      <c r="K216">
        <v>3</v>
      </c>
      <c r="L216">
        <v>190</v>
      </c>
      <c r="M216">
        <v>0</v>
      </c>
      <c r="N216">
        <v>570</v>
      </c>
      <c r="O216">
        <v>570</v>
      </c>
      <c r="P216" t="s">
        <v>2267</v>
      </c>
      <c r="Q216" t="s">
        <v>2270</v>
      </c>
      <c r="R216" t="s">
        <v>2273</v>
      </c>
      <c r="S216" t="s">
        <v>2280</v>
      </c>
      <c r="T216" t="s">
        <v>2288</v>
      </c>
      <c r="U216">
        <v>1</v>
      </c>
      <c r="V216">
        <v>306</v>
      </c>
      <c r="W216">
        <v>43</v>
      </c>
      <c r="X216">
        <v>88.08</v>
      </c>
      <c r="Y216">
        <v>305.76</v>
      </c>
      <c r="Z216" t="s">
        <v>2293</v>
      </c>
      <c r="AA216" t="s">
        <v>2298</v>
      </c>
      <c r="AB216">
        <v>570</v>
      </c>
      <c r="AC216">
        <v>0</v>
      </c>
      <c r="AD216">
        <v>570</v>
      </c>
      <c r="AE216">
        <v>264.24</v>
      </c>
      <c r="AF216">
        <v>305.76</v>
      </c>
      <c r="AG216">
        <v>2024</v>
      </c>
      <c r="AH216">
        <v>6</v>
      </c>
      <c r="AI216" t="s">
        <v>2304</v>
      </c>
      <c r="AJ216" t="s">
        <v>2317</v>
      </c>
    </row>
    <row r="217" spans="1:36" x14ac:dyDescent="0.3">
      <c r="A217" t="s">
        <v>251</v>
      </c>
      <c r="B217" s="2">
        <v>45424</v>
      </c>
      <c r="C217" t="s">
        <v>1656</v>
      </c>
      <c r="D217" t="s">
        <v>1831</v>
      </c>
      <c r="E217" t="s">
        <v>2096</v>
      </c>
      <c r="F217" t="s">
        <v>2239</v>
      </c>
      <c r="G217" t="s">
        <v>2253</v>
      </c>
      <c r="H217" t="s">
        <v>2258</v>
      </c>
      <c r="I217" t="s">
        <v>2260</v>
      </c>
      <c r="J217" t="s">
        <v>2265</v>
      </c>
      <c r="K217">
        <v>1</v>
      </c>
      <c r="L217">
        <v>90</v>
      </c>
      <c r="M217">
        <v>0.05</v>
      </c>
      <c r="N217">
        <v>90</v>
      </c>
      <c r="O217">
        <v>85.5</v>
      </c>
      <c r="P217" t="s">
        <v>2269</v>
      </c>
      <c r="Q217" t="s">
        <v>2270</v>
      </c>
      <c r="R217" t="s">
        <v>2276</v>
      </c>
      <c r="S217" t="s">
        <v>2283</v>
      </c>
      <c r="T217" t="s">
        <v>2288</v>
      </c>
      <c r="U217">
        <v>5</v>
      </c>
      <c r="V217">
        <v>318</v>
      </c>
      <c r="W217">
        <v>16</v>
      </c>
      <c r="X217">
        <v>48.83</v>
      </c>
      <c r="Y217">
        <v>36.67</v>
      </c>
      <c r="Z217" t="s">
        <v>1761</v>
      </c>
      <c r="AA217" t="s">
        <v>2297</v>
      </c>
      <c r="AB217">
        <v>90</v>
      </c>
      <c r="AC217">
        <v>4.5</v>
      </c>
      <c r="AD217">
        <v>85.5</v>
      </c>
      <c r="AE217">
        <v>48.83</v>
      </c>
      <c r="AF217">
        <v>36.67</v>
      </c>
      <c r="AG217">
        <v>2024</v>
      </c>
      <c r="AH217">
        <v>5</v>
      </c>
      <c r="AI217" t="s">
        <v>2306</v>
      </c>
      <c r="AJ217" t="s">
        <v>2318</v>
      </c>
    </row>
    <row r="218" spans="1:36" x14ac:dyDescent="0.3">
      <c r="A218" t="s">
        <v>252</v>
      </c>
      <c r="B218" s="2">
        <v>45304</v>
      </c>
      <c r="C218" t="s">
        <v>1670</v>
      </c>
      <c r="D218" t="s">
        <v>1845</v>
      </c>
      <c r="E218" t="s">
        <v>2097</v>
      </c>
      <c r="F218" t="s">
        <v>1761</v>
      </c>
      <c r="G218" t="s">
        <v>2245</v>
      </c>
      <c r="H218" t="s">
        <v>2257</v>
      </c>
      <c r="I218" t="s">
        <v>2263</v>
      </c>
      <c r="J218" t="s">
        <v>2265</v>
      </c>
      <c r="K218">
        <v>3</v>
      </c>
      <c r="L218">
        <v>145</v>
      </c>
      <c r="M218">
        <v>0.05</v>
      </c>
      <c r="N218">
        <v>435</v>
      </c>
      <c r="O218">
        <v>413.25</v>
      </c>
      <c r="P218" t="s">
        <v>2268</v>
      </c>
      <c r="Q218" t="s">
        <v>2270</v>
      </c>
      <c r="R218" t="s">
        <v>2276</v>
      </c>
      <c r="S218" t="s">
        <v>2280</v>
      </c>
      <c r="T218" t="s">
        <v>2288</v>
      </c>
      <c r="U218">
        <v>2</v>
      </c>
      <c r="V218">
        <v>19</v>
      </c>
      <c r="W218">
        <v>23</v>
      </c>
      <c r="X218">
        <v>82.2</v>
      </c>
      <c r="Y218">
        <v>166.65</v>
      </c>
      <c r="Z218" t="s">
        <v>2291</v>
      </c>
      <c r="AA218" t="s">
        <v>2296</v>
      </c>
      <c r="AB218">
        <v>435</v>
      </c>
      <c r="AC218">
        <v>21.75</v>
      </c>
      <c r="AD218">
        <v>413.25</v>
      </c>
      <c r="AE218">
        <v>246.6</v>
      </c>
      <c r="AF218">
        <v>166.65</v>
      </c>
      <c r="AG218">
        <v>2024</v>
      </c>
      <c r="AH218">
        <v>1</v>
      </c>
      <c r="AI218" t="s">
        <v>2302</v>
      </c>
      <c r="AJ218" t="s">
        <v>2317</v>
      </c>
    </row>
    <row r="219" spans="1:36" x14ac:dyDescent="0.3">
      <c r="A219" t="s">
        <v>253</v>
      </c>
      <c r="B219" s="2">
        <v>45492</v>
      </c>
      <c r="C219" t="s">
        <v>1716</v>
      </c>
      <c r="D219" t="s">
        <v>1878</v>
      </c>
      <c r="E219" t="s">
        <v>2039</v>
      </c>
      <c r="F219" t="s">
        <v>2238</v>
      </c>
      <c r="G219" t="s">
        <v>2241</v>
      </c>
      <c r="H219" t="s">
        <v>2257</v>
      </c>
      <c r="I219" t="s">
        <v>2262</v>
      </c>
      <c r="K219">
        <v>2</v>
      </c>
      <c r="L219">
        <v>135</v>
      </c>
      <c r="M219">
        <v>0.1</v>
      </c>
      <c r="N219">
        <v>270</v>
      </c>
      <c r="O219">
        <v>243</v>
      </c>
      <c r="P219" t="s">
        <v>2269</v>
      </c>
      <c r="Q219" t="s">
        <v>2271</v>
      </c>
      <c r="R219" t="s">
        <v>2279</v>
      </c>
      <c r="S219" t="s">
        <v>2286</v>
      </c>
      <c r="T219" t="s">
        <v>2288</v>
      </c>
      <c r="U219">
        <v>2</v>
      </c>
      <c r="V219">
        <v>30</v>
      </c>
      <c r="W219">
        <v>22</v>
      </c>
      <c r="X219">
        <v>71.3</v>
      </c>
      <c r="Y219">
        <v>100.4</v>
      </c>
      <c r="Z219" t="s">
        <v>1761</v>
      </c>
      <c r="AA219" t="s">
        <v>1761</v>
      </c>
      <c r="AB219">
        <v>270</v>
      </c>
      <c r="AC219">
        <v>27</v>
      </c>
      <c r="AD219">
        <v>243</v>
      </c>
      <c r="AE219">
        <v>142.6</v>
      </c>
      <c r="AF219">
        <v>100.4</v>
      </c>
      <c r="AG219">
        <v>2024</v>
      </c>
      <c r="AH219">
        <v>7</v>
      </c>
      <c r="AI219" t="s">
        <v>2307</v>
      </c>
      <c r="AJ219" t="s">
        <v>2315</v>
      </c>
    </row>
    <row r="220" spans="1:36" x14ac:dyDescent="0.3">
      <c r="A220" t="s">
        <v>254</v>
      </c>
      <c r="B220" s="2">
        <v>45356</v>
      </c>
      <c r="C220" t="s">
        <v>1722</v>
      </c>
      <c r="D220" t="s">
        <v>1761</v>
      </c>
      <c r="E220" t="s">
        <v>2098</v>
      </c>
      <c r="F220" t="s">
        <v>1761</v>
      </c>
      <c r="G220" t="s">
        <v>2253</v>
      </c>
      <c r="H220" t="s">
        <v>2258</v>
      </c>
      <c r="I220" t="s">
        <v>2260</v>
      </c>
      <c r="J220" t="s">
        <v>2265</v>
      </c>
      <c r="K220">
        <v>2</v>
      </c>
      <c r="L220">
        <v>90</v>
      </c>
      <c r="M220">
        <v>0.05</v>
      </c>
      <c r="N220">
        <v>180</v>
      </c>
      <c r="O220">
        <v>171</v>
      </c>
      <c r="P220" t="s">
        <v>2268</v>
      </c>
      <c r="R220" t="s">
        <v>2273</v>
      </c>
      <c r="S220" t="s">
        <v>2280</v>
      </c>
      <c r="T220" t="s">
        <v>2290</v>
      </c>
      <c r="U220">
        <v>5</v>
      </c>
      <c r="V220">
        <v>453</v>
      </c>
      <c r="X220">
        <v>46.39</v>
      </c>
      <c r="Y220">
        <v>78.22</v>
      </c>
      <c r="Z220" t="s">
        <v>2293</v>
      </c>
      <c r="AA220" t="s">
        <v>2298</v>
      </c>
      <c r="AB220">
        <v>180</v>
      </c>
      <c r="AC220">
        <v>9</v>
      </c>
      <c r="AD220">
        <v>171</v>
      </c>
      <c r="AE220">
        <v>92.78</v>
      </c>
      <c r="AF220">
        <v>78.22</v>
      </c>
      <c r="AG220">
        <v>2024</v>
      </c>
      <c r="AH220">
        <v>3</v>
      </c>
      <c r="AI220" t="s">
        <v>2305</v>
      </c>
      <c r="AJ220" t="s">
        <v>2313</v>
      </c>
    </row>
    <row r="221" spans="1:36" x14ac:dyDescent="0.3">
      <c r="A221" t="s">
        <v>255</v>
      </c>
      <c r="B221" s="2">
        <v>45472</v>
      </c>
      <c r="C221" t="s">
        <v>1656</v>
      </c>
      <c r="D221" t="s">
        <v>1807</v>
      </c>
      <c r="E221" t="s">
        <v>1761</v>
      </c>
      <c r="F221" t="s">
        <v>2239</v>
      </c>
      <c r="G221" t="s">
        <v>2251</v>
      </c>
      <c r="H221" t="s">
        <v>2258</v>
      </c>
      <c r="I221" t="s">
        <v>2260</v>
      </c>
      <c r="J221" t="s">
        <v>2266</v>
      </c>
      <c r="K221">
        <v>1</v>
      </c>
      <c r="L221">
        <v>105</v>
      </c>
      <c r="M221">
        <v>0.05</v>
      </c>
      <c r="O221">
        <v>99.75</v>
      </c>
      <c r="P221" t="s">
        <v>2268</v>
      </c>
      <c r="Q221" t="s">
        <v>2270</v>
      </c>
      <c r="R221" t="s">
        <v>2275</v>
      </c>
      <c r="S221" t="s">
        <v>2285</v>
      </c>
      <c r="T221" t="s">
        <v>2289</v>
      </c>
      <c r="V221">
        <v>305</v>
      </c>
      <c r="X221">
        <v>50.9</v>
      </c>
      <c r="Y221">
        <v>48.85</v>
      </c>
      <c r="Z221" t="s">
        <v>2292</v>
      </c>
      <c r="AA221" t="s">
        <v>2296</v>
      </c>
      <c r="AB221">
        <v>105</v>
      </c>
      <c r="AC221">
        <v>5.25</v>
      </c>
      <c r="AD221">
        <v>99.75</v>
      </c>
      <c r="AE221">
        <v>50.9</v>
      </c>
      <c r="AF221">
        <v>48.85</v>
      </c>
      <c r="AG221">
        <v>2024</v>
      </c>
      <c r="AH221">
        <v>6</v>
      </c>
      <c r="AI221" t="s">
        <v>2304</v>
      </c>
      <c r="AJ221" t="s">
        <v>2317</v>
      </c>
    </row>
    <row r="222" spans="1:36" x14ac:dyDescent="0.3">
      <c r="A222" t="s">
        <v>256</v>
      </c>
      <c r="B222" s="2">
        <v>45304</v>
      </c>
      <c r="C222" t="s">
        <v>1726</v>
      </c>
      <c r="D222" t="s">
        <v>1840</v>
      </c>
      <c r="E222" t="s">
        <v>2099</v>
      </c>
      <c r="F222" t="s">
        <v>2240</v>
      </c>
      <c r="G222" t="s">
        <v>2244</v>
      </c>
      <c r="H222" t="s">
        <v>2257</v>
      </c>
      <c r="I222" t="s">
        <v>2262</v>
      </c>
      <c r="K222">
        <v>1</v>
      </c>
      <c r="L222">
        <v>115</v>
      </c>
      <c r="M222">
        <v>0.1</v>
      </c>
      <c r="N222">
        <v>115</v>
      </c>
      <c r="O222">
        <v>103.5</v>
      </c>
      <c r="P222" t="s">
        <v>2267</v>
      </c>
      <c r="Q222" t="s">
        <v>2270</v>
      </c>
      <c r="R222" t="s">
        <v>2273</v>
      </c>
      <c r="S222" t="s">
        <v>2280</v>
      </c>
      <c r="T222" t="s">
        <v>2288</v>
      </c>
      <c r="U222">
        <v>5</v>
      </c>
      <c r="V222">
        <v>459</v>
      </c>
      <c r="W222">
        <v>34</v>
      </c>
      <c r="X222">
        <v>67.42</v>
      </c>
      <c r="Y222">
        <v>36.08</v>
      </c>
      <c r="Z222" t="s">
        <v>2292</v>
      </c>
      <c r="AA222" t="s">
        <v>1761</v>
      </c>
      <c r="AB222">
        <v>115</v>
      </c>
      <c r="AC222">
        <v>11.5</v>
      </c>
      <c r="AD222">
        <v>103.5</v>
      </c>
      <c r="AE222">
        <v>67.42</v>
      </c>
      <c r="AF222">
        <v>36.08</v>
      </c>
      <c r="AG222">
        <v>2024</v>
      </c>
      <c r="AH222">
        <v>1</v>
      </c>
      <c r="AI222" t="s">
        <v>2302</v>
      </c>
      <c r="AJ222" t="s">
        <v>2317</v>
      </c>
    </row>
    <row r="223" spans="1:36" x14ac:dyDescent="0.3">
      <c r="A223" t="s">
        <v>257</v>
      </c>
      <c r="B223" s="2">
        <v>45378</v>
      </c>
      <c r="C223" t="s">
        <v>1714</v>
      </c>
      <c r="D223" t="s">
        <v>1772</v>
      </c>
      <c r="E223" t="s">
        <v>1967</v>
      </c>
      <c r="F223" t="s">
        <v>2239</v>
      </c>
      <c r="G223" t="s">
        <v>2244</v>
      </c>
      <c r="H223" t="s">
        <v>2257</v>
      </c>
      <c r="I223" t="s">
        <v>2262</v>
      </c>
      <c r="J223" t="s">
        <v>2266</v>
      </c>
      <c r="K223">
        <v>3</v>
      </c>
      <c r="L223">
        <v>115</v>
      </c>
      <c r="M223">
        <v>0.05</v>
      </c>
      <c r="N223">
        <v>345</v>
      </c>
      <c r="O223">
        <v>327.75</v>
      </c>
      <c r="P223" t="s">
        <v>2267</v>
      </c>
      <c r="R223" t="s">
        <v>2274</v>
      </c>
      <c r="S223" t="s">
        <v>2280</v>
      </c>
      <c r="T223" t="s">
        <v>2288</v>
      </c>
      <c r="U223">
        <v>5</v>
      </c>
      <c r="V223">
        <v>78</v>
      </c>
      <c r="X223">
        <v>63.87</v>
      </c>
      <c r="Y223">
        <v>136.13999999999999</v>
      </c>
      <c r="Z223" t="s">
        <v>2291</v>
      </c>
      <c r="AA223" t="s">
        <v>1761</v>
      </c>
      <c r="AB223">
        <v>345</v>
      </c>
      <c r="AC223">
        <v>17.25</v>
      </c>
      <c r="AD223">
        <v>327.75</v>
      </c>
      <c r="AE223">
        <v>191.61</v>
      </c>
      <c r="AF223">
        <v>136.13999999999999</v>
      </c>
      <c r="AG223">
        <v>2024</v>
      </c>
      <c r="AH223">
        <v>3</v>
      </c>
      <c r="AI223" t="s">
        <v>2305</v>
      </c>
      <c r="AJ223" t="s">
        <v>2312</v>
      </c>
    </row>
    <row r="224" spans="1:36" x14ac:dyDescent="0.3">
      <c r="A224" t="s">
        <v>258</v>
      </c>
      <c r="B224" s="2">
        <v>45352</v>
      </c>
      <c r="C224" t="s">
        <v>1712</v>
      </c>
      <c r="D224" t="s">
        <v>1879</v>
      </c>
      <c r="E224" t="s">
        <v>2057</v>
      </c>
      <c r="F224" t="s">
        <v>2239</v>
      </c>
      <c r="G224" t="s">
        <v>2243</v>
      </c>
      <c r="H224" t="s">
        <v>2258</v>
      </c>
      <c r="I224" t="s">
        <v>2260</v>
      </c>
      <c r="J224" t="s">
        <v>2266</v>
      </c>
      <c r="L224">
        <v>70</v>
      </c>
      <c r="M224">
        <v>0.05</v>
      </c>
      <c r="N224">
        <v>280</v>
      </c>
      <c r="O224">
        <v>266</v>
      </c>
      <c r="P224" t="s">
        <v>2269</v>
      </c>
      <c r="Q224" t="s">
        <v>2272</v>
      </c>
      <c r="R224" t="s">
        <v>2278</v>
      </c>
      <c r="S224" t="s">
        <v>2285</v>
      </c>
      <c r="T224" t="s">
        <v>2290</v>
      </c>
      <c r="U224">
        <v>2</v>
      </c>
      <c r="V224">
        <v>50</v>
      </c>
      <c r="X224">
        <v>24.7</v>
      </c>
      <c r="Y224">
        <v>167.2</v>
      </c>
      <c r="Z224" t="s">
        <v>2293</v>
      </c>
      <c r="AA224" t="s">
        <v>2296</v>
      </c>
      <c r="AG224">
        <v>2024</v>
      </c>
      <c r="AH224">
        <v>3</v>
      </c>
      <c r="AI224" t="s">
        <v>2305</v>
      </c>
      <c r="AJ224" t="s">
        <v>2315</v>
      </c>
    </row>
    <row r="225" spans="1:36" x14ac:dyDescent="0.3">
      <c r="A225" t="s">
        <v>259</v>
      </c>
      <c r="B225" s="2">
        <v>45640</v>
      </c>
      <c r="C225" t="s">
        <v>1636</v>
      </c>
      <c r="D225" t="s">
        <v>1870</v>
      </c>
      <c r="E225" t="s">
        <v>2100</v>
      </c>
      <c r="F225" t="s">
        <v>2238</v>
      </c>
      <c r="G225" t="s">
        <v>2250</v>
      </c>
      <c r="H225" t="s">
        <v>2259</v>
      </c>
      <c r="I225" t="s">
        <v>2262</v>
      </c>
      <c r="J225" t="s">
        <v>2265</v>
      </c>
      <c r="K225">
        <v>4</v>
      </c>
      <c r="L225">
        <v>80</v>
      </c>
      <c r="M225">
        <v>0.05</v>
      </c>
      <c r="N225">
        <v>320</v>
      </c>
      <c r="O225">
        <v>304</v>
      </c>
      <c r="P225" t="s">
        <v>2267</v>
      </c>
      <c r="Q225" t="s">
        <v>2272</v>
      </c>
      <c r="R225" t="s">
        <v>2273</v>
      </c>
      <c r="S225" t="s">
        <v>2282</v>
      </c>
      <c r="T225" t="s">
        <v>2288</v>
      </c>
      <c r="U225">
        <v>4</v>
      </c>
      <c r="V225">
        <v>457</v>
      </c>
      <c r="W225">
        <v>54</v>
      </c>
      <c r="X225">
        <v>38.6</v>
      </c>
      <c r="Y225">
        <v>149.6</v>
      </c>
      <c r="Z225" t="s">
        <v>2293</v>
      </c>
      <c r="AA225" t="s">
        <v>2296</v>
      </c>
      <c r="AB225">
        <v>320</v>
      </c>
      <c r="AC225">
        <v>16</v>
      </c>
      <c r="AD225">
        <v>304</v>
      </c>
      <c r="AE225">
        <v>154.4</v>
      </c>
      <c r="AF225">
        <v>149.6</v>
      </c>
      <c r="AG225">
        <v>2024</v>
      </c>
      <c r="AH225">
        <v>12</v>
      </c>
      <c r="AI225" t="s">
        <v>2309</v>
      </c>
      <c r="AJ225" t="s">
        <v>2317</v>
      </c>
    </row>
    <row r="226" spans="1:36" x14ac:dyDescent="0.3">
      <c r="A226" t="s">
        <v>260</v>
      </c>
      <c r="B226" s="2">
        <v>45408</v>
      </c>
      <c r="C226" t="s">
        <v>1643</v>
      </c>
      <c r="D226" t="s">
        <v>1761</v>
      </c>
      <c r="E226" t="s">
        <v>2005</v>
      </c>
      <c r="F226" t="s">
        <v>2238</v>
      </c>
      <c r="G226" t="s">
        <v>2251</v>
      </c>
      <c r="H226" t="s">
        <v>2258</v>
      </c>
      <c r="I226" t="s">
        <v>2260</v>
      </c>
      <c r="J226" t="s">
        <v>2264</v>
      </c>
      <c r="K226">
        <v>1</v>
      </c>
      <c r="L226">
        <v>95</v>
      </c>
      <c r="M226">
        <v>0</v>
      </c>
      <c r="N226">
        <v>95</v>
      </c>
      <c r="O226">
        <v>95</v>
      </c>
      <c r="P226" t="s">
        <v>2267</v>
      </c>
      <c r="Q226" t="s">
        <v>2271</v>
      </c>
      <c r="R226" t="s">
        <v>2275</v>
      </c>
      <c r="S226" t="s">
        <v>2284</v>
      </c>
      <c r="T226" t="s">
        <v>2288</v>
      </c>
      <c r="U226">
        <v>5</v>
      </c>
      <c r="V226">
        <v>423</v>
      </c>
      <c r="X226">
        <v>39.78</v>
      </c>
      <c r="Y226">
        <v>55.22</v>
      </c>
      <c r="Z226" t="s">
        <v>2293</v>
      </c>
      <c r="AA226" t="s">
        <v>2299</v>
      </c>
      <c r="AB226">
        <v>95</v>
      </c>
      <c r="AC226">
        <v>0</v>
      </c>
      <c r="AD226">
        <v>95</v>
      </c>
      <c r="AE226">
        <v>39.78</v>
      </c>
      <c r="AF226">
        <v>55.22</v>
      </c>
      <c r="AG226">
        <v>2024</v>
      </c>
      <c r="AH226">
        <v>4</v>
      </c>
      <c r="AI226" t="s">
        <v>2308</v>
      </c>
      <c r="AJ226" t="s">
        <v>2315</v>
      </c>
    </row>
    <row r="227" spans="1:36" x14ac:dyDescent="0.3">
      <c r="A227" t="s">
        <v>261</v>
      </c>
      <c r="B227" s="2">
        <v>45484</v>
      </c>
      <c r="C227" t="s">
        <v>1656</v>
      </c>
      <c r="D227" t="s">
        <v>1835</v>
      </c>
      <c r="E227" t="s">
        <v>2031</v>
      </c>
      <c r="F227" t="s">
        <v>2238</v>
      </c>
      <c r="G227" t="s">
        <v>2243</v>
      </c>
      <c r="H227" t="s">
        <v>2258</v>
      </c>
      <c r="I227" t="s">
        <v>2260</v>
      </c>
      <c r="J227" t="s">
        <v>2264</v>
      </c>
      <c r="K227">
        <v>1</v>
      </c>
      <c r="L227">
        <v>75</v>
      </c>
      <c r="M227">
        <v>0</v>
      </c>
      <c r="N227">
        <v>75</v>
      </c>
      <c r="O227">
        <v>75</v>
      </c>
      <c r="Q227" t="s">
        <v>2271</v>
      </c>
      <c r="R227" t="s">
        <v>2279</v>
      </c>
      <c r="S227" t="s">
        <v>2283</v>
      </c>
      <c r="T227" t="s">
        <v>2289</v>
      </c>
      <c r="U227">
        <v>2</v>
      </c>
      <c r="V227">
        <v>120</v>
      </c>
      <c r="W227">
        <v>54</v>
      </c>
      <c r="X227">
        <v>40.98</v>
      </c>
      <c r="Y227">
        <v>34.020000000000003</v>
      </c>
      <c r="Z227" t="s">
        <v>2292</v>
      </c>
      <c r="AA227" t="s">
        <v>2297</v>
      </c>
      <c r="AB227">
        <v>75</v>
      </c>
      <c r="AC227">
        <v>0</v>
      </c>
      <c r="AD227">
        <v>75</v>
      </c>
      <c r="AE227">
        <v>40.98</v>
      </c>
      <c r="AF227">
        <v>34.020000000000003</v>
      </c>
      <c r="AG227">
        <v>2024</v>
      </c>
      <c r="AH227">
        <v>7</v>
      </c>
      <c r="AI227" t="s">
        <v>2307</v>
      </c>
      <c r="AJ227" t="s">
        <v>2316</v>
      </c>
    </row>
    <row r="228" spans="1:36" x14ac:dyDescent="0.3">
      <c r="A228" t="s">
        <v>262</v>
      </c>
      <c r="B228" s="2">
        <v>45373</v>
      </c>
      <c r="C228" t="s">
        <v>1672</v>
      </c>
      <c r="D228" t="s">
        <v>1794</v>
      </c>
      <c r="E228" t="s">
        <v>1957</v>
      </c>
      <c r="F228" t="s">
        <v>1761</v>
      </c>
      <c r="G228" t="s">
        <v>2253</v>
      </c>
      <c r="H228" t="s">
        <v>2258</v>
      </c>
      <c r="I228" t="s">
        <v>2260</v>
      </c>
      <c r="J228" t="s">
        <v>2265</v>
      </c>
      <c r="K228">
        <v>2</v>
      </c>
      <c r="L228">
        <v>100</v>
      </c>
      <c r="N228">
        <v>200</v>
      </c>
      <c r="P228" t="s">
        <v>2267</v>
      </c>
      <c r="Q228" t="s">
        <v>2270</v>
      </c>
      <c r="R228" t="s">
        <v>2277</v>
      </c>
      <c r="S228" t="s">
        <v>2284</v>
      </c>
      <c r="T228" t="s">
        <v>2288</v>
      </c>
      <c r="U228">
        <v>1</v>
      </c>
      <c r="V228">
        <v>452</v>
      </c>
      <c r="W228">
        <v>19</v>
      </c>
      <c r="X228">
        <v>53.49</v>
      </c>
      <c r="Z228" t="s">
        <v>2292</v>
      </c>
      <c r="AA228" t="s">
        <v>2296</v>
      </c>
      <c r="AB228">
        <v>200</v>
      </c>
      <c r="AC228">
        <v>0</v>
      </c>
      <c r="AD228">
        <v>200</v>
      </c>
      <c r="AE228">
        <v>106.98</v>
      </c>
      <c r="AF228">
        <v>93.02</v>
      </c>
      <c r="AG228">
        <v>2024</v>
      </c>
      <c r="AH228">
        <v>3</v>
      </c>
      <c r="AI228" t="s">
        <v>2305</v>
      </c>
      <c r="AJ228" t="s">
        <v>2315</v>
      </c>
    </row>
    <row r="229" spans="1:36" x14ac:dyDescent="0.3">
      <c r="A229" t="s">
        <v>263</v>
      </c>
      <c r="B229" s="2">
        <v>45310</v>
      </c>
      <c r="C229" t="s">
        <v>1662</v>
      </c>
      <c r="D229" t="s">
        <v>1880</v>
      </c>
      <c r="E229" t="s">
        <v>2101</v>
      </c>
      <c r="F229" t="s">
        <v>2240</v>
      </c>
      <c r="G229" t="s">
        <v>2247</v>
      </c>
      <c r="H229" t="s">
        <v>2257</v>
      </c>
      <c r="I229" t="s">
        <v>2262</v>
      </c>
      <c r="J229" t="s">
        <v>2265</v>
      </c>
      <c r="K229">
        <v>1</v>
      </c>
      <c r="L229">
        <v>95</v>
      </c>
      <c r="M229">
        <v>0.15</v>
      </c>
      <c r="N229">
        <v>95</v>
      </c>
      <c r="O229">
        <v>80.75</v>
      </c>
      <c r="P229" t="s">
        <v>2267</v>
      </c>
      <c r="Q229" t="s">
        <v>2270</v>
      </c>
      <c r="R229" t="s">
        <v>2277</v>
      </c>
      <c r="S229" t="s">
        <v>2287</v>
      </c>
      <c r="T229" t="s">
        <v>2288</v>
      </c>
      <c r="U229">
        <v>4</v>
      </c>
      <c r="V229">
        <v>94</v>
      </c>
      <c r="W229">
        <v>36</v>
      </c>
      <c r="X229">
        <v>47.12</v>
      </c>
      <c r="Y229">
        <v>33.630000000000003</v>
      </c>
      <c r="Z229" t="s">
        <v>1761</v>
      </c>
      <c r="AA229" t="s">
        <v>2299</v>
      </c>
      <c r="AB229">
        <v>95</v>
      </c>
      <c r="AC229">
        <v>14.25</v>
      </c>
      <c r="AD229">
        <v>80.75</v>
      </c>
      <c r="AE229">
        <v>47.12</v>
      </c>
      <c r="AF229">
        <v>33.630000000000003</v>
      </c>
      <c r="AG229">
        <v>2024</v>
      </c>
      <c r="AH229">
        <v>1</v>
      </c>
      <c r="AI229" t="s">
        <v>2302</v>
      </c>
      <c r="AJ229" t="s">
        <v>2315</v>
      </c>
    </row>
    <row r="230" spans="1:36" x14ac:dyDescent="0.3">
      <c r="A230" t="s">
        <v>264</v>
      </c>
      <c r="B230" s="2">
        <v>45619</v>
      </c>
      <c r="C230" t="s">
        <v>1679</v>
      </c>
      <c r="D230" t="s">
        <v>1881</v>
      </c>
      <c r="E230" t="s">
        <v>2102</v>
      </c>
      <c r="F230" t="s">
        <v>2239</v>
      </c>
      <c r="G230" t="s">
        <v>2254</v>
      </c>
      <c r="H230" t="s">
        <v>2259</v>
      </c>
      <c r="I230" t="s">
        <v>2263</v>
      </c>
      <c r="K230">
        <v>1</v>
      </c>
      <c r="L230">
        <v>115</v>
      </c>
      <c r="M230">
        <v>0.1</v>
      </c>
      <c r="O230">
        <v>103.5</v>
      </c>
      <c r="Q230" t="s">
        <v>2271</v>
      </c>
      <c r="R230" t="s">
        <v>2273</v>
      </c>
      <c r="S230" t="s">
        <v>2286</v>
      </c>
      <c r="T230" t="s">
        <v>2288</v>
      </c>
      <c r="U230">
        <v>5</v>
      </c>
      <c r="V230">
        <v>251</v>
      </c>
      <c r="W230">
        <v>45</v>
      </c>
      <c r="X230">
        <v>46</v>
      </c>
      <c r="Y230">
        <v>57.5</v>
      </c>
      <c r="Z230" t="s">
        <v>1761</v>
      </c>
      <c r="AA230" t="s">
        <v>1761</v>
      </c>
      <c r="AB230">
        <v>115</v>
      </c>
      <c r="AC230">
        <v>11.5</v>
      </c>
      <c r="AD230">
        <v>103.5</v>
      </c>
      <c r="AE230">
        <v>46</v>
      </c>
      <c r="AF230">
        <v>57.5</v>
      </c>
      <c r="AG230">
        <v>2024</v>
      </c>
      <c r="AH230">
        <v>11</v>
      </c>
      <c r="AI230" t="s">
        <v>2311</v>
      </c>
      <c r="AJ230" t="s">
        <v>2317</v>
      </c>
    </row>
    <row r="231" spans="1:36" x14ac:dyDescent="0.3">
      <c r="A231" t="s">
        <v>265</v>
      </c>
      <c r="B231" s="2">
        <v>45358</v>
      </c>
      <c r="C231" t="s">
        <v>1717</v>
      </c>
      <c r="D231" t="s">
        <v>1833</v>
      </c>
      <c r="E231" t="s">
        <v>2095</v>
      </c>
      <c r="F231" t="s">
        <v>2238</v>
      </c>
      <c r="G231" t="s">
        <v>2250</v>
      </c>
      <c r="H231" t="s">
        <v>2259</v>
      </c>
      <c r="I231" t="s">
        <v>2262</v>
      </c>
      <c r="J231" t="s">
        <v>2265</v>
      </c>
      <c r="K231">
        <v>2</v>
      </c>
      <c r="L231">
        <v>85</v>
      </c>
      <c r="M231">
        <v>0.05</v>
      </c>
      <c r="N231">
        <v>170</v>
      </c>
      <c r="O231">
        <v>161.5</v>
      </c>
      <c r="P231" t="s">
        <v>2267</v>
      </c>
      <c r="Q231" t="s">
        <v>2272</v>
      </c>
      <c r="R231" t="s">
        <v>2278</v>
      </c>
      <c r="S231" t="s">
        <v>2286</v>
      </c>
      <c r="T231" t="s">
        <v>2288</v>
      </c>
      <c r="U231">
        <v>4</v>
      </c>
      <c r="V231">
        <v>260</v>
      </c>
      <c r="W231">
        <v>15</v>
      </c>
      <c r="X231">
        <v>42.53</v>
      </c>
      <c r="Y231">
        <v>76.44</v>
      </c>
      <c r="Z231" t="s">
        <v>2293</v>
      </c>
      <c r="AA231" t="s">
        <v>2297</v>
      </c>
      <c r="AB231">
        <v>170</v>
      </c>
      <c r="AC231">
        <v>8.5</v>
      </c>
      <c r="AD231">
        <v>161.5</v>
      </c>
      <c r="AE231">
        <v>85.06</v>
      </c>
      <c r="AF231">
        <v>76.44</v>
      </c>
      <c r="AG231">
        <v>2024</v>
      </c>
      <c r="AH231">
        <v>3</v>
      </c>
      <c r="AI231" t="s">
        <v>2305</v>
      </c>
      <c r="AJ231" t="s">
        <v>2316</v>
      </c>
    </row>
    <row r="232" spans="1:36" x14ac:dyDescent="0.3">
      <c r="A232" t="s">
        <v>266</v>
      </c>
      <c r="B232" s="2">
        <v>45368</v>
      </c>
      <c r="C232" t="s">
        <v>1654</v>
      </c>
      <c r="D232" t="s">
        <v>1837</v>
      </c>
      <c r="E232" t="s">
        <v>2103</v>
      </c>
      <c r="F232" t="s">
        <v>2238</v>
      </c>
      <c r="G232" t="s">
        <v>2255</v>
      </c>
      <c r="H232" t="s">
        <v>2260</v>
      </c>
      <c r="I232" t="s">
        <v>2260</v>
      </c>
      <c r="J232" t="s">
        <v>2264</v>
      </c>
      <c r="K232">
        <v>5</v>
      </c>
      <c r="L232">
        <v>180</v>
      </c>
      <c r="M232">
        <v>0</v>
      </c>
      <c r="N232">
        <v>900</v>
      </c>
      <c r="O232">
        <v>900</v>
      </c>
      <c r="P232" t="s">
        <v>2267</v>
      </c>
      <c r="Q232" t="s">
        <v>2272</v>
      </c>
      <c r="R232" t="s">
        <v>2278</v>
      </c>
      <c r="S232" t="s">
        <v>2284</v>
      </c>
      <c r="T232" t="s">
        <v>2289</v>
      </c>
      <c r="U232">
        <v>2</v>
      </c>
      <c r="V232">
        <v>494</v>
      </c>
      <c r="X232">
        <v>95.17</v>
      </c>
      <c r="Y232">
        <v>424.15</v>
      </c>
      <c r="Z232" t="s">
        <v>2293</v>
      </c>
      <c r="AA232" t="s">
        <v>2296</v>
      </c>
      <c r="AB232">
        <v>900</v>
      </c>
      <c r="AC232">
        <v>0</v>
      </c>
      <c r="AD232">
        <v>900</v>
      </c>
      <c r="AE232">
        <v>475.85</v>
      </c>
      <c r="AF232">
        <v>424.15</v>
      </c>
      <c r="AG232">
        <v>2024</v>
      </c>
      <c r="AH232">
        <v>3</v>
      </c>
      <c r="AI232" t="s">
        <v>2305</v>
      </c>
      <c r="AJ232" t="s">
        <v>2318</v>
      </c>
    </row>
    <row r="233" spans="1:36" x14ac:dyDescent="0.3">
      <c r="A233" t="s">
        <v>267</v>
      </c>
      <c r="B233" s="2">
        <v>45322</v>
      </c>
      <c r="C233" t="s">
        <v>1727</v>
      </c>
      <c r="D233" t="s">
        <v>1844</v>
      </c>
      <c r="E233" t="s">
        <v>2058</v>
      </c>
      <c r="F233" t="s">
        <v>2240</v>
      </c>
      <c r="G233" t="s">
        <v>2245</v>
      </c>
      <c r="H233" t="s">
        <v>2257</v>
      </c>
      <c r="I233" t="s">
        <v>2263</v>
      </c>
      <c r="J233" t="s">
        <v>2266</v>
      </c>
      <c r="K233">
        <v>1</v>
      </c>
      <c r="L233">
        <v>150</v>
      </c>
      <c r="M233">
        <v>0.15</v>
      </c>
      <c r="N233">
        <v>150</v>
      </c>
      <c r="O233">
        <v>127.5</v>
      </c>
      <c r="P233" t="s">
        <v>2268</v>
      </c>
      <c r="Q233" t="s">
        <v>2271</v>
      </c>
      <c r="R233" t="s">
        <v>2276</v>
      </c>
      <c r="S233" t="s">
        <v>2286</v>
      </c>
      <c r="T233" t="s">
        <v>2289</v>
      </c>
      <c r="U233">
        <v>5</v>
      </c>
      <c r="V233">
        <v>399</v>
      </c>
      <c r="W233">
        <v>41</v>
      </c>
      <c r="X233">
        <v>54.56</v>
      </c>
      <c r="Y233">
        <v>72.94</v>
      </c>
      <c r="Z233" t="s">
        <v>2291</v>
      </c>
      <c r="AA233" t="s">
        <v>2296</v>
      </c>
      <c r="AB233">
        <v>150</v>
      </c>
      <c r="AC233">
        <v>22.5</v>
      </c>
      <c r="AD233">
        <v>127.5</v>
      </c>
      <c r="AE233">
        <v>54.56</v>
      </c>
      <c r="AF233">
        <v>72.94</v>
      </c>
      <c r="AG233">
        <v>2024</v>
      </c>
      <c r="AH233">
        <v>1</v>
      </c>
      <c r="AI233" t="s">
        <v>2302</v>
      </c>
      <c r="AJ233" t="s">
        <v>2312</v>
      </c>
    </row>
    <row r="234" spans="1:36" x14ac:dyDescent="0.3">
      <c r="A234" t="s">
        <v>268</v>
      </c>
      <c r="B234" s="2">
        <v>45590</v>
      </c>
      <c r="C234" t="s">
        <v>1676</v>
      </c>
      <c r="D234" t="s">
        <v>1757</v>
      </c>
      <c r="E234" t="s">
        <v>2104</v>
      </c>
      <c r="F234" t="s">
        <v>2240</v>
      </c>
      <c r="G234" t="s">
        <v>2250</v>
      </c>
      <c r="H234" t="s">
        <v>2259</v>
      </c>
      <c r="I234" t="s">
        <v>2262</v>
      </c>
      <c r="J234" t="s">
        <v>2265</v>
      </c>
      <c r="K234">
        <v>1</v>
      </c>
      <c r="L234">
        <v>90</v>
      </c>
      <c r="M234">
        <v>0.05</v>
      </c>
      <c r="N234">
        <v>90</v>
      </c>
      <c r="O234">
        <v>85.5</v>
      </c>
      <c r="P234" t="s">
        <v>2269</v>
      </c>
      <c r="Q234" t="s">
        <v>2272</v>
      </c>
      <c r="R234" t="s">
        <v>2277</v>
      </c>
      <c r="S234" t="s">
        <v>2284</v>
      </c>
      <c r="T234" t="s">
        <v>2290</v>
      </c>
      <c r="U234">
        <v>3</v>
      </c>
      <c r="V234">
        <v>461</v>
      </c>
      <c r="W234">
        <v>16</v>
      </c>
      <c r="X234">
        <v>46.71</v>
      </c>
      <c r="Y234">
        <v>38.79</v>
      </c>
      <c r="Z234" t="s">
        <v>1761</v>
      </c>
      <c r="AA234" t="s">
        <v>2296</v>
      </c>
      <c r="AB234">
        <v>90</v>
      </c>
      <c r="AC234">
        <v>4.5</v>
      </c>
      <c r="AD234">
        <v>85.5</v>
      </c>
      <c r="AE234">
        <v>46.71</v>
      </c>
      <c r="AF234">
        <v>38.79</v>
      </c>
      <c r="AG234">
        <v>2024</v>
      </c>
      <c r="AH234">
        <v>10</v>
      </c>
      <c r="AI234" t="s">
        <v>2310</v>
      </c>
      <c r="AJ234" t="s">
        <v>2315</v>
      </c>
    </row>
    <row r="235" spans="1:36" x14ac:dyDescent="0.3">
      <c r="A235" t="s">
        <v>269</v>
      </c>
      <c r="B235" s="2">
        <v>45415</v>
      </c>
      <c r="C235" t="s">
        <v>1647</v>
      </c>
      <c r="D235" t="s">
        <v>1882</v>
      </c>
      <c r="E235" t="s">
        <v>2105</v>
      </c>
      <c r="F235" t="s">
        <v>2239</v>
      </c>
      <c r="G235" t="s">
        <v>2245</v>
      </c>
      <c r="H235" t="s">
        <v>2257</v>
      </c>
      <c r="I235" t="s">
        <v>2263</v>
      </c>
      <c r="J235" t="s">
        <v>2265</v>
      </c>
      <c r="K235">
        <v>1</v>
      </c>
      <c r="L235">
        <v>155</v>
      </c>
      <c r="M235">
        <v>0.05</v>
      </c>
      <c r="N235">
        <v>155</v>
      </c>
      <c r="O235">
        <v>147.25</v>
      </c>
      <c r="P235" t="s">
        <v>2267</v>
      </c>
      <c r="Q235" t="s">
        <v>2272</v>
      </c>
      <c r="R235" t="s">
        <v>2279</v>
      </c>
      <c r="S235" t="s">
        <v>2284</v>
      </c>
      <c r="T235" t="s">
        <v>2288</v>
      </c>
      <c r="U235">
        <v>2</v>
      </c>
      <c r="V235">
        <v>362</v>
      </c>
      <c r="X235">
        <v>56.26</v>
      </c>
      <c r="Y235">
        <v>90.99</v>
      </c>
      <c r="Z235" t="s">
        <v>2293</v>
      </c>
      <c r="AA235" t="s">
        <v>1761</v>
      </c>
      <c r="AB235">
        <v>155</v>
      </c>
      <c r="AC235">
        <v>7.75</v>
      </c>
      <c r="AD235">
        <v>147.25</v>
      </c>
      <c r="AE235">
        <v>56.26</v>
      </c>
      <c r="AF235">
        <v>90.990000000000009</v>
      </c>
      <c r="AG235">
        <v>2024</v>
      </c>
      <c r="AH235">
        <v>5</v>
      </c>
      <c r="AI235" t="s">
        <v>2306</v>
      </c>
      <c r="AJ235" t="s">
        <v>2315</v>
      </c>
    </row>
    <row r="236" spans="1:36" x14ac:dyDescent="0.3">
      <c r="A236" t="s">
        <v>270</v>
      </c>
      <c r="B236" s="2">
        <v>45348</v>
      </c>
      <c r="C236" t="s">
        <v>1665</v>
      </c>
      <c r="D236" t="s">
        <v>1812</v>
      </c>
      <c r="E236" t="s">
        <v>1998</v>
      </c>
      <c r="F236" t="s">
        <v>2239</v>
      </c>
      <c r="G236" t="s">
        <v>2252</v>
      </c>
      <c r="H236" t="s">
        <v>2257</v>
      </c>
      <c r="I236" t="s">
        <v>2262</v>
      </c>
      <c r="J236" t="s">
        <v>2264</v>
      </c>
      <c r="K236">
        <v>1</v>
      </c>
      <c r="L236">
        <v>90</v>
      </c>
      <c r="M236">
        <v>0.15</v>
      </c>
      <c r="N236">
        <v>90</v>
      </c>
      <c r="O236">
        <v>76.5</v>
      </c>
      <c r="Q236" t="s">
        <v>2272</v>
      </c>
      <c r="R236" t="s">
        <v>2278</v>
      </c>
      <c r="S236" t="s">
        <v>2285</v>
      </c>
      <c r="T236" t="s">
        <v>2288</v>
      </c>
      <c r="U236">
        <v>1</v>
      </c>
      <c r="V236">
        <v>191</v>
      </c>
      <c r="W236">
        <v>54</v>
      </c>
      <c r="X236">
        <v>47.68</v>
      </c>
      <c r="Y236">
        <v>28.82</v>
      </c>
      <c r="Z236" t="s">
        <v>2291</v>
      </c>
      <c r="AA236" t="s">
        <v>2296</v>
      </c>
      <c r="AB236">
        <v>90</v>
      </c>
      <c r="AC236">
        <v>13.5</v>
      </c>
      <c r="AD236">
        <v>76.5</v>
      </c>
      <c r="AE236">
        <v>47.68</v>
      </c>
      <c r="AF236">
        <v>28.82</v>
      </c>
      <c r="AG236">
        <v>2024</v>
      </c>
      <c r="AH236">
        <v>2</v>
      </c>
      <c r="AI236" t="s">
        <v>2303</v>
      </c>
      <c r="AJ236" t="s">
        <v>2314</v>
      </c>
    </row>
    <row r="237" spans="1:36" x14ac:dyDescent="0.3">
      <c r="A237" t="s">
        <v>271</v>
      </c>
      <c r="B237" s="2">
        <v>45443</v>
      </c>
      <c r="C237" t="s">
        <v>1720</v>
      </c>
      <c r="D237" t="s">
        <v>1813</v>
      </c>
      <c r="E237" t="s">
        <v>2066</v>
      </c>
      <c r="F237" t="s">
        <v>2240</v>
      </c>
      <c r="G237" t="s">
        <v>2246</v>
      </c>
      <c r="H237" t="s">
        <v>2259</v>
      </c>
      <c r="I237" t="s">
        <v>2262</v>
      </c>
      <c r="K237">
        <v>1</v>
      </c>
      <c r="L237">
        <v>95</v>
      </c>
      <c r="M237">
        <v>0</v>
      </c>
      <c r="N237">
        <v>95</v>
      </c>
      <c r="O237">
        <v>95</v>
      </c>
      <c r="P237" t="s">
        <v>2267</v>
      </c>
      <c r="Q237" t="s">
        <v>2270</v>
      </c>
      <c r="R237" t="s">
        <v>2276</v>
      </c>
      <c r="S237" t="s">
        <v>2287</v>
      </c>
      <c r="T237" t="s">
        <v>2288</v>
      </c>
      <c r="U237">
        <v>5</v>
      </c>
      <c r="V237">
        <v>194</v>
      </c>
      <c r="W237">
        <v>16</v>
      </c>
      <c r="X237">
        <v>51.2</v>
      </c>
      <c r="Y237">
        <v>43.8</v>
      </c>
      <c r="Z237" t="s">
        <v>1761</v>
      </c>
      <c r="AA237" t="s">
        <v>2299</v>
      </c>
      <c r="AB237">
        <v>95</v>
      </c>
      <c r="AC237">
        <v>0</v>
      </c>
      <c r="AD237">
        <v>95</v>
      </c>
      <c r="AE237">
        <v>51.2</v>
      </c>
      <c r="AF237">
        <v>43.8</v>
      </c>
      <c r="AG237">
        <v>2024</v>
      </c>
      <c r="AH237">
        <v>5</v>
      </c>
      <c r="AI237" t="s">
        <v>2306</v>
      </c>
      <c r="AJ237" t="s">
        <v>2315</v>
      </c>
    </row>
    <row r="238" spans="1:36" x14ac:dyDescent="0.3">
      <c r="A238" t="s">
        <v>272</v>
      </c>
      <c r="B238" s="2">
        <v>45303</v>
      </c>
      <c r="C238" t="s">
        <v>1728</v>
      </c>
      <c r="D238" t="s">
        <v>1814</v>
      </c>
      <c r="E238" t="s">
        <v>2106</v>
      </c>
      <c r="F238" t="s">
        <v>2239</v>
      </c>
      <c r="G238" t="s">
        <v>2254</v>
      </c>
      <c r="H238" t="s">
        <v>2259</v>
      </c>
      <c r="I238" t="s">
        <v>2263</v>
      </c>
      <c r="K238">
        <v>1</v>
      </c>
      <c r="L238">
        <v>120</v>
      </c>
      <c r="M238">
        <v>0.15</v>
      </c>
      <c r="O238">
        <v>102</v>
      </c>
      <c r="P238" t="s">
        <v>2269</v>
      </c>
      <c r="R238" t="s">
        <v>2275</v>
      </c>
      <c r="S238" t="s">
        <v>2280</v>
      </c>
      <c r="T238" t="s">
        <v>2288</v>
      </c>
      <c r="U238">
        <v>1</v>
      </c>
      <c r="V238">
        <v>395</v>
      </c>
      <c r="W238">
        <v>60</v>
      </c>
      <c r="X238">
        <v>41.35</v>
      </c>
      <c r="Y238">
        <v>60.65</v>
      </c>
      <c r="Z238" t="s">
        <v>2294</v>
      </c>
      <c r="AA238" t="s">
        <v>2299</v>
      </c>
      <c r="AB238">
        <v>120</v>
      </c>
      <c r="AC238">
        <v>18</v>
      </c>
      <c r="AD238">
        <v>102</v>
      </c>
      <c r="AE238">
        <v>41.35</v>
      </c>
      <c r="AF238">
        <v>60.65</v>
      </c>
      <c r="AG238">
        <v>2024</v>
      </c>
      <c r="AH238">
        <v>1</v>
      </c>
      <c r="AI238" t="s">
        <v>2302</v>
      </c>
      <c r="AJ238" t="s">
        <v>2315</v>
      </c>
    </row>
    <row r="239" spans="1:36" x14ac:dyDescent="0.3">
      <c r="A239" t="s">
        <v>273</v>
      </c>
      <c r="B239" s="2">
        <v>45464</v>
      </c>
      <c r="C239" t="s">
        <v>1653</v>
      </c>
      <c r="D239" t="s">
        <v>1840</v>
      </c>
      <c r="E239" t="s">
        <v>2107</v>
      </c>
      <c r="F239" t="s">
        <v>2238</v>
      </c>
      <c r="G239" t="s">
        <v>2243</v>
      </c>
      <c r="H239" t="s">
        <v>2258</v>
      </c>
      <c r="I239" t="s">
        <v>2260</v>
      </c>
      <c r="K239">
        <v>2</v>
      </c>
      <c r="L239">
        <v>65</v>
      </c>
      <c r="M239">
        <v>0</v>
      </c>
      <c r="N239">
        <v>130</v>
      </c>
      <c r="O239">
        <v>130</v>
      </c>
      <c r="P239" t="s">
        <v>2268</v>
      </c>
      <c r="R239" t="s">
        <v>2274</v>
      </c>
      <c r="S239" t="s">
        <v>2285</v>
      </c>
      <c r="T239" t="s">
        <v>2289</v>
      </c>
      <c r="U239">
        <v>3</v>
      </c>
      <c r="V239">
        <v>216</v>
      </c>
      <c r="W239">
        <v>39</v>
      </c>
      <c r="X239">
        <v>25.16</v>
      </c>
      <c r="Y239">
        <v>79.680000000000007</v>
      </c>
      <c r="Z239" t="s">
        <v>2291</v>
      </c>
      <c r="AA239" t="s">
        <v>1761</v>
      </c>
      <c r="AB239">
        <v>130</v>
      </c>
      <c r="AC239">
        <v>0</v>
      </c>
      <c r="AD239">
        <v>130</v>
      </c>
      <c r="AE239">
        <v>50.32</v>
      </c>
      <c r="AF239">
        <v>79.680000000000007</v>
      </c>
      <c r="AG239">
        <v>2024</v>
      </c>
      <c r="AH239">
        <v>6</v>
      </c>
      <c r="AI239" t="s">
        <v>2304</v>
      </c>
      <c r="AJ239" t="s">
        <v>2315</v>
      </c>
    </row>
    <row r="240" spans="1:36" x14ac:dyDescent="0.3">
      <c r="A240" t="s">
        <v>274</v>
      </c>
      <c r="B240" s="2">
        <v>45443</v>
      </c>
      <c r="C240" t="s">
        <v>1683</v>
      </c>
      <c r="D240" t="s">
        <v>1804</v>
      </c>
      <c r="E240" t="s">
        <v>2108</v>
      </c>
      <c r="F240" t="s">
        <v>2240</v>
      </c>
      <c r="G240" t="s">
        <v>2241</v>
      </c>
      <c r="H240" t="s">
        <v>2257</v>
      </c>
      <c r="I240" t="s">
        <v>2262</v>
      </c>
      <c r="J240" t="s">
        <v>2264</v>
      </c>
      <c r="K240">
        <v>4</v>
      </c>
      <c r="L240">
        <v>125</v>
      </c>
      <c r="M240">
        <v>0</v>
      </c>
      <c r="N240">
        <v>500</v>
      </c>
      <c r="O240">
        <v>500</v>
      </c>
      <c r="P240" t="s">
        <v>2267</v>
      </c>
      <c r="Q240" t="s">
        <v>2271</v>
      </c>
      <c r="R240" t="s">
        <v>2273</v>
      </c>
      <c r="S240" t="s">
        <v>2287</v>
      </c>
      <c r="T240" t="s">
        <v>2290</v>
      </c>
      <c r="U240">
        <v>5</v>
      </c>
      <c r="V240">
        <v>70</v>
      </c>
      <c r="W240">
        <v>12</v>
      </c>
      <c r="X240">
        <v>77.48</v>
      </c>
      <c r="Y240">
        <v>190.08</v>
      </c>
      <c r="Z240" t="s">
        <v>2293</v>
      </c>
      <c r="AA240" t="s">
        <v>1761</v>
      </c>
      <c r="AB240">
        <v>500</v>
      </c>
      <c r="AC240">
        <v>0</v>
      </c>
      <c r="AD240">
        <v>500</v>
      </c>
      <c r="AE240">
        <v>309.92</v>
      </c>
      <c r="AF240">
        <v>190.08</v>
      </c>
      <c r="AG240">
        <v>2024</v>
      </c>
      <c r="AH240">
        <v>5</v>
      </c>
      <c r="AI240" t="s">
        <v>2306</v>
      </c>
      <c r="AJ240" t="s">
        <v>2315</v>
      </c>
    </row>
    <row r="241" spans="1:36" x14ac:dyDescent="0.3">
      <c r="A241" t="s">
        <v>275</v>
      </c>
      <c r="B241" s="2">
        <v>45478</v>
      </c>
      <c r="C241" t="s">
        <v>1725</v>
      </c>
      <c r="D241" t="s">
        <v>1761</v>
      </c>
      <c r="E241" t="s">
        <v>1984</v>
      </c>
      <c r="F241" t="s">
        <v>2239</v>
      </c>
      <c r="G241" t="s">
        <v>2242</v>
      </c>
      <c r="H241" t="s">
        <v>2258</v>
      </c>
      <c r="I241" t="s">
        <v>2260</v>
      </c>
      <c r="J241" t="s">
        <v>2265</v>
      </c>
      <c r="K241">
        <v>1</v>
      </c>
      <c r="L241">
        <v>130</v>
      </c>
      <c r="M241">
        <v>0.1</v>
      </c>
      <c r="O241">
        <v>117</v>
      </c>
      <c r="P241" t="s">
        <v>2268</v>
      </c>
      <c r="Q241" t="s">
        <v>2270</v>
      </c>
      <c r="R241" t="s">
        <v>2278</v>
      </c>
      <c r="S241" t="s">
        <v>2283</v>
      </c>
      <c r="T241" t="s">
        <v>2288</v>
      </c>
      <c r="U241">
        <v>2</v>
      </c>
      <c r="V241">
        <v>313</v>
      </c>
      <c r="W241">
        <v>41</v>
      </c>
      <c r="X241">
        <v>59.2</v>
      </c>
      <c r="Y241">
        <v>57.8</v>
      </c>
      <c r="Z241" t="s">
        <v>1761</v>
      </c>
      <c r="AA241" t="s">
        <v>1761</v>
      </c>
      <c r="AB241">
        <v>130</v>
      </c>
      <c r="AC241">
        <v>13</v>
      </c>
      <c r="AD241">
        <v>117</v>
      </c>
      <c r="AE241">
        <v>59.2</v>
      </c>
      <c r="AF241">
        <v>57.8</v>
      </c>
      <c r="AG241">
        <v>2024</v>
      </c>
      <c r="AH241">
        <v>7</v>
      </c>
      <c r="AI241" t="s">
        <v>2307</v>
      </c>
      <c r="AJ241" t="s">
        <v>2315</v>
      </c>
    </row>
    <row r="242" spans="1:36" x14ac:dyDescent="0.3">
      <c r="A242" t="s">
        <v>276</v>
      </c>
      <c r="B242" s="2">
        <v>45295</v>
      </c>
      <c r="C242" t="s">
        <v>1643</v>
      </c>
      <c r="D242" t="s">
        <v>1799</v>
      </c>
      <c r="E242" t="s">
        <v>1985</v>
      </c>
      <c r="F242" t="s">
        <v>2240</v>
      </c>
      <c r="G242" t="s">
        <v>2242</v>
      </c>
      <c r="H242" t="s">
        <v>2258</v>
      </c>
      <c r="I242" t="s">
        <v>2260</v>
      </c>
      <c r="J242" t="s">
        <v>2264</v>
      </c>
      <c r="K242">
        <v>3</v>
      </c>
      <c r="L242">
        <v>125</v>
      </c>
      <c r="M242">
        <v>0.05</v>
      </c>
      <c r="N242">
        <v>375</v>
      </c>
      <c r="O242">
        <v>356.25</v>
      </c>
      <c r="Q242" t="s">
        <v>2272</v>
      </c>
      <c r="R242" t="s">
        <v>2273</v>
      </c>
      <c r="S242" t="s">
        <v>2283</v>
      </c>
      <c r="T242" t="s">
        <v>2288</v>
      </c>
      <c r="U242">
        <v>5</v>
      </c>
      <c r="V242">
        <v>299</v>
      </c>
      <c r="X242">
        <v>70.78</v>
      </c>
      <c r="Y242">
        <v>143.91</v>
      </c>
      <c r="Z242" t="s">
        <v>1761</v>
      </c>
      <c r="AA242" t="s">
        <v>2296</v>
      </c>
      <c r="AB242">
        <v>375</v>
      </c>
      <c r="AC242">
        <v>18.75</v>
      </c>
      <c r="AD242">
        <v>356.25</v>
      </c>
      <c r="AE242">
        <v>212.34</v>
      </c>
      <c r="AF242">
        <v>143.91</v>
      </c>
      <c r="AG242">
        <v>2024</v>
      </c>
      <c r="AH242">
        <v>1</v>
      </c>
      <c r="AI242" t="s">
        <v>2302</v>
      </c>
      <c r="AJ242" t="s">
        <v>2316</v>
      </c>
    </row>
    <row r="243" spans="1:36" x14ac:dyDescent="0.3">
      <c r="A243" t="s">
        <v>277</v>
      </c>
      <c r="B243" s="2">
        <v>45320</v>
      </c>
      <c r="C243" t="s">
        <v>1729</v>
      </c>
      <c r="D243" t="s">
        <v>1809</v>
      </c>
      <c r="E243" t="s">
        <v>2109</v>
      </c>
      <c r="F243" t="s">
        <v>2239</v>
      </c>
      <c r="G243" t="s">
        <v>2249</v>
      </c>
      <c r="H243" t="s">
        <v>2257</v>
      </c>
      <c r="I243" t="s">
        <v>2263</v>
      </c>
      <c r="J243" t="s">
        <v>2264</v>
      </c>
      <c r="K243">
        <v>2</v>
      </c>
      <c r="L243">
        <v>160</v>
      </c>
      <c r="M243">
        <v>0.05</v>
      </c>
      <c r="N243">
        <v>320</v>
      </c>
      <c r="O243">
        <v>304</v>
      </c>
      <c r="P243" t="s">
        <v>2267</v>
      </c>
      <c r="R243" t="s">
        <v>2273</v>
      </c>
      <c r="S243" t="s">
        <v>2284</v>
      </c>
      <c r="T243" t="s">
        <v>2288</v>
      </c>
      <c r="U243">
        <v>5</v>
      </c>
      <c r="V243">
        <v>7</v>
      </c>
      <c r="X243">
        <v>72.739999999999995</v>
      </c>
      <c r="Y243">
        <v>158.52000000000001</v>
      </c>
      <c r="Z243" t="s">
        <v>2291</v>
      </c>
      <c r="AA243" t="s">
        <v>2296</v>
      </c>
      <c r="AB243">
        <v>320</v>
      </c>
      <c r="AC243">
        <v>16</v>
      </c>
      <c r="AD243">
        <v>304</v>
      </c>
      <c r="AE243">
        <v>145.47999999999999</v>
      </c>
      <c r="AF243">
        <v>158.52000000000001</v>
      </c>
      <c r="AG243">
        <v>2024</v>
      </c>
      <c r="AH243">
        <v>1</v>
      </c>
      <c r="AI243" t="s">
        <v>2302</v>
      </c>
      <c r="AJ243" t="s">
        <v>2314</v>
      </c>
    </row>
    <row r="244" spans="1:36" x14ac:dyDescent="0.3">
      <c r="A244" t="s">
        <v>278</v>
      </c>
      <c r="B244" s="2">
        <v>45470</v>
      </c>
      <c r="C244" t="s">
        <v>1721</v>
      </c>
      <c r="D244" t="s">
        <v>1779</v>
      </c>
      <c r="E244" t="s">
        <v>1761</v>
      </c>
      <c r="F244" t="s">
        <v>1761</v>
      </c>
      <c r="G244" t="s">
        <v>2256</v>
      </c>
      <c r="H244" t="s">
        <v>2261</v>
      </c>
      <c r="I244" t="s">
        <v>2260</v>
      </c>
      <c r="J244" t="s">
        <v>2265</v>
      </c>
      <c r="K244">
        <v>1</v>
      </c>
      <c r="L244">
        <v>200</v>
      </c>
      <c r="M244">
        <v>0.1</v>
      </c>
      <c r="N244">
        <v>200</v>
      </c>
      <c r="O244">
        <v>180</v>
      </c>
      <c r="P244" t="s">
        <v>2269</v>
      </c>
      <c r="Q244" t="s">
        <v>2271</v>
      </c>
      <c r="R244" t="s">
        <v>2279</v>
      </c>
      <c r="S244" t="s">
        <v>2287</v>
      </c>
      <c r="T244" t="s">
        <v>2290</v>
      </c>
      <c r="U244">
        <v>1</v>
      </c>
      <c r="V244">
        <v>348</v>
      </c>
      <c r="X244">
        <v>98.83</v>
      </c>
      <c r="Y244">
        <v>81.17</v>
      </c>
      <c r="Z244" t="s">
        <v>2293</v>
      </c>
      <c r="AA244" t="s">
        <v>2298</v>
      </c>
      <c r="AB244">
        <v>200</v>
      </c>
      <c r="AC244">
        <v>20</v>
      </c>
      <c r="AD244">
        <v>180</v>
      </c>
      <c r="AE244">
        <v>98.83</v>
      </c>
      <c r="AF244">
        <v>81.17</v>
      </c>
      <c r="AG244">
        <v>2024</v>
      </c>
      <c r="AH244">
        <v>6</v>
      </c>
      <c r="AI244" t="s">
        <v>2304</v>
      </c>
      <c r="AJ244" t="s">
        <v>2316</v>
      </c>
    </row>
    <row r="245" spans="1:36" x14ac:dyDescent="0.3">
      <c r="A245" t="s">
        <v>279</v>
      </c>
      <c r="B245" s="2">
        <v>45598</v>
      </c>
      <c r="C245" t="s">
        <v>1649</v>
      </c>
      <c r="D245" t="s">
        <v>1786</v>
      </c>
      <c r="E245" t="s">
        <v>2110</v>
      </c>
      <c r="F245" t="s">
        <v>2239</v>
      </c>
      <c r="G245" t="s">
        <v>2252</v>
      </c>
      <c r="H245" t="s">
        <v>2257</v>
      </c>
      <c r="I245" t="s">
        <v>2262</v>
      </c>
      <c r="J245" t="s">
        <v>2264</v>
      </c>
      <c r="K245">
        <v>2</v>
      </c>
      <c r="L245">
        <v>90</v>
      </c>
      <c r="M245">
        <v>0.05</v>
      </c>
      <c r="N245">
        <v>180</v>
      </c>
      <c r="O245">
        <v>171</v>
      </c>
      <c r="P245" t="s">
        <v>2268</v>
      </c>
      <c r="Q245" t="s">
        <v>2271</v>
      </c>
      <c r="R245" t="s">
        <v>2276</v>
      </c>
      <c r="S245" t="s">
        <v>2285</v>
      </c>
      <c r="T245" t="s">
        <v>2288</v>
      </c>
      <c r="U245">
        <v>3</v>
      </c>
      <c r="V245">
        <v>433</v>
      </c>
      <c r="W245">
        <v>19</v>
      </c>
      <c r="X245">
        <v>33.520000000000003</v>
      </c>
      <c r="Y245">
        <v>103.96</v>
      </c>
      <c r="Z245" t="s">
        <v>1761</v>
      </c>
      <c r="AA245" t="s">
        <v>2297</v>
      </c>
      <c r="AB245">
        <v>180</v>
      </c>
      <c r="AC245">
        <v>9</v>
      </c>
      <c r="AD245">
        <v>171</v>
      </c>
      <c r="AE245">
        <v>67.040000000000006</v>
      </c>
      <c r="AF245">
        <v>103.96</v>
      </c>
      <c r="AG245">
        <v>2024</v>
      </c>
      <c r="AH245">
        <v>11</v>
      </c>
      <c r="AI245" t="s">
        <v>2311</v>
      </c>
      <c r="AJ245" t="s">
        <v>2317</v>
      </c>
    </row>
    <row r="246" spans="1:36" x14ac:dyDescent="0.3">
      <c r="A246" t="s">
        <v>280</v>
      </c>
      <c r="B246" s="2">
        <v>45584</v>
      </c>
      <c r="C246" t="s">
        <v>1638</v>
      </c>
      <c r="D246" t="s">
        <v>1819</v>
      </c>
      <c r="E246" t="s">
        <v>2111</v>
      </c>
      <c r="F246" t="s">
        <v>2240</v>
      </c>
      <c r="G246" t="s">
        <v>2255</v>
      </c>
      <c r="H246" t="s">
        <v>2260</v>
      </c>
      <c r="I246" t="s">
        <v>2260</v>
      </c>
      <c r="J246" t="s">
        <v>2265</v>
      </c>
      <c r="K246">
        <v>4</v>
      </c>
      <c r="L246">
        <v>190</v>
      </c>
      <c r="M246">
        <v>0.15</v>
      </c>
      <c r="N246">
        <v>760</v>
      </c>
      <c r="O246">
        <v>646</v>
      </c>
      <c r="Q246" t="s">
        <v>2270</v>
      </c>
      <c r="R246" t="s">
        <v>2274</v>
      </c>
      <c r="S246" t="s">
        <v>2286</v>
      </c>
      <c r="T246" t="s">
        <v>2288</v>
      </c>
      <c r="U246">
        <v>1</v>
      </c>
      <c r="V246">
        <v>445</v>
      </c>
      <c r="W246">
        <v>28</v>
      </c>
      <c r="X246">
        <v>106.64</v>
      </c>
      <c r="Y246">
        <v>219.44</v>
      </c>
      <c r="Z246" t="s">
        <v>2293</v>
      </c>
      <c r="AA246" t="s">
        <v>2296</v>
      </c>
      <c r="AB246">
        <v>760</v>
      </c>
      <c r="AC246">
        <v>114</v>
      </c>
      <c r="AD246">
        <v>646</v>
      </c>
      <c r="AE246">
        <v>426.56</v>
      </c>
      <c r="AF246">
        <v>219.44</v>
      </c>
      <c r="AG246">
        <v>2024</v>
      </c>
      <c r="AH246">
        <v>10</v>
      </c>
      <c r="AI246" t="s">
        <v>2310</v>
      </c>
      <c r="AJ246" t="s">
        <v>2317</v>
      </c>
    </row>
    <row r="247" spans="1:36" x14ac:dyDescent="0.3">
      <c r="A247" t="s">
        <v>281</v>
      </c>
      <c r="B247" s="2">
        <v>45636</v>
      </c>
      <c r="C247" t="s">
        <v>1691</v>
      </c>
      <c r="D247" t="s">
        <v>1765</v>
      </c>
      <c r="E247" t="s">
        <v>2058</v>
      </c>
      <c r="F247" t="s">
        <v>2239</v>
      </c>
      <c r="G247" t="s">
        <v>2241</v>
      </c>
      <c r="H247" t="s">
        <v>2257</v>
      </c>
      <c r="I247" t="s">
        <v>2262</v>
      </c>
      <c r="J247" t="s">
        <v>2264</v>
      </c>
      <c r="K247">
        <v>2</v>
      </c>
      <c r="L247">
        <v>125</v>
      </c>
      <c r="M247">
        <v>0</v>
      </c>
      <c r="N247">
        <v>250</v>
      </c>
      <c r="O247">
        <v>250</v>
      </c>
      <c r="P247" t="s">
        <v>2269</v>
      </c>
      <c r="Q247" t="s">
        <v>2270</v>
      </c>
      <c r="R247" t="s">
        <v>2279</v>
      </c>
      <c r="S247" t="s">
        <v>2281</v>
      </c>
      <c r="T247" t="s">
        <v>2290</v>
      </c>
      <c r="U247">
        <v>4</v>
      </c>
      <c r="V247">
        <v>491</v>
      </c>
      <c r="W247">
        <v>24</v>
      </c>
      <c r="X247">
        <v>60.49</v>
      </c>
      <c r="Y247">
        <v>129.02000000000001</v>
      </c>
      <c r="Z247" t="s">
        <v>1761</v>
      </c>
      <c r="AA247" t="s">
        <v>2296</v>
      </c>
      <c r="AB247">
        <v>250</v>
      </c>
      <c r="AC247">
        <v>0</v>
      </c>
      <c r="AD247">
        <v>250</v>
      </c>
      <c r="AE247">
        <v>120.98</v>
      </c>
      <c r="AF247">
        <v>129.02000000000001</v>
      </c>
      <c r="AG247">
        <v>2024</v>
      </c>
      <c r="AH247">
        <v>12</v>
      </c>
      <c r="AI247" t="s">
        <v>2309</v>
      </c>
      <c r="AJ247" t="s">
        <v>2313</v>
      </c>
    </row>
    <row r="248" spans="1:36" x14ac:dyDescent="0.3">
      <c r="A248" t="s">
        <v>282</v>
      </c>
      <c r="B248" s="2">
        <v>45562</v>
      </c>
      <c r="C248" t="s">
        <v>1642</v>
      </c>
      <c r="D248" t="s">
        <v>1883</v>
      </c>
      <c r="E248" t="s">
        <v>2005</v>
      </c>
      <c r="F248" t="s">
        <v>1761</v>
      </c>
      <c r="G248" t="s">
        <v>2253</v>
      </c>
      <c r="H248" t="s">
        <v>2258</v>
      </c>
      <c r="I248" t="s">
        <v>2260</v>
      </c>
      <c r="J248" t="s">
        <v>2266</v>
      </c>
      <c r="K248">
        <v>1</v>
      </c>
      <c r="L248">
        <v>85</v>
      </c>
      <c r="M248">
        <v>0.1</v>
      </c>
      <c r="N248">
        <v>85</v>
      </c>
      <c r="O248">
        <v>76.5</v>
      </c>
      <c r="P248" t="s">
        <v>2267</v>
      </c>
      <c r="Q248" t="s">
        <v>2272</v>
      </c>
      <c r="R248" t="s">
        <v>2273</v>
      </c>
      <c r="S248" t="s">
        <v>2284</v>
      </c>
      <c r="T248" t="s">
        <v>2288</v>
      </c>
      <c r="U248">
        <v>3</v>
      </c>
      <c r="V248">
        <v>243</v>
      </c>
      <c r="W248">
        <v>33</v>
      </c>
      <c r="X248">
        <v>32.450000000000003</v>
      </c>
      <c r="Y248">
        <v>44.05</v>
      </c>
      <c r="Z248" t="s">
        <v>1761</v>
      </c>
      <c r="AA248" t="s">
        <v>2296</v>
      </c>
      <c r="AB248">
        <v>85</v>
      </c>
      <c r="AC248">
        <v>8.5</v>
      </c>
      <c r="AD248">
        <v>76.5</v>
      </c>
      <c r="AE248">
        <v>32.450000000000003</v>
      </c>
      <c r="AF248">
        <v>44.05</v>
      </c>
      <c r="AG248">
        <v>2024</v>
      </c>
      <c r="AH248">
        <v>9</v>
      </c>
      <c r="AI248" t="s">
        <v>2300</v>
      </c>
      <c r="AJ248" t="s">
        <v>2315</v>
      </c>
    </row>
    <row r="249" spans="1:36" x14ac:dyDescent="0.3">
      <c r="A249" t="s">
        <v>283</v>
      </c>
      <c r="B249" s="2">
        <v>45560</v>
      </c>
      <c r="C249" t="s">
        <v>1698</v>
      </c>
      <c r="D249" t="s">
        <v>1884</v>
      </c>
      <c r="E249" t="s">
        <v>1959</v>
      </c>
      <c r="F249" t="s">
        <v>2239</v>
      </c>
      <c r="G249" t="s">
        <v>2249</v>
      </c>
      <c r="H249" t="s">
        <v>2257</v>
      </c>
      <c r="I249" t="s">
        <v>2263</v>
      </c>
      <c r="J249" t="s">
        <v>2265</v>
      </c>
      <c r="K249">
        <v>2</v>
      </c>
      <c r="L249">
        <v>170</v>
      </c>
      <c r="M249">
        <v>0.1</v>
      </c>
      <c r="N249">
        <v>340</v>
      </c>
      <c r="O249">
        <v>306</v>
      </c>
      <c r="P249" t="s">
        <v>2269</v>
      </c>
      <c r="Q249" t="s">
        <v>2270</v>
      </c>
      <c r="R249" t="s">
        <v>2278</v>
      </c>
      <c r="S249" t="s">
        <v>2287</v>
      </c>
      <c r="T249" t="s">
        <v>2289</v>
      </c>
      <c r="U249">
        <v>1</v>
      </c>
      <c r="V249">
        <v>399</v>
      </c>
      <c r="X249">
        <v>56.77</v>
      </c>
      <c r="Y249">
        <v>192.46</v>
      </c>
      <c r="Z249" t="s">
        <v>2294</v>
      </c>
      <c r="AA249" t="s">
        <v>2296</v>
      </c>
      <c r="AB249">
        <v>340</v>
      </c>
      <c r="AC249">
        <v>34</v>
      </c>
      <c r="AD249">
        <v>306</v>
      </c>
      <c r="AE249">
        <v>113.54</v>
      </c>
      <c r="AF249">
        <v>192.46</v>
      </c>
      <c r="AG249">
        <v>2024</v>
      </c>
      <c r="AH249">
        <v>9</v>
      </c>
      <c r="AI249" t="s">
        <v>2300</v>
      </c>
      <c r="AJ249" t="s">
        <v>2312</v>
      </c>
    </row>
    <row r="250" spans="1:36" x14ac:dyDescent="0.3">
      <c r="A250" t="s">
        <v>284</v>
      </c>
      <c r="B250" s="2">
        <v>45577</v>
      </c>
      <c r="C250" t="s">
        <v>1723</v>
      </c>
      <c r="D250" t="s">
        <v>1854</v>
      </c>
      <c r="E250" t="s">
        <v>2112</v>
      </c>
      <c r="F250" t="s">
        <v>2239</v>
      </c>
      <c r="G250" t="s">
        <v>2252</v>
      </c>
      <c r="H250" t="s">
        <v>2257</v>
      </c>
      <c r="I250" t="s">
        <v>2262</v>
      </c>
      <c r="J250" t="s">
        <v>2265</v>
      </c>
      <c r="K250">
        <v>1</v>
      </c>
      <c r="L250">
        <v>85</v>
      </c>
      <c r="M250">
        <v>0.05</v>
      </c>
      <c r="N250">
        <v>85</v>
      </c>
      <c r="O250">
        <v>80.75</v>
      </c>
      <c r="P250" t="s">
        <v>2268</v>
      </c>
      <c r="Q250" t="s">
        <v>2272</v>
      </c>
      <c r="R250" t="s">
        <v>2276</v>
      </c>
      <c r="S250" t="s">
        <v>2286</v>
      </c>
      <c r="T250" t="s">
        <v>2288</v>
      </c>
      <c r="U250">
        <v>1</v>
      </c>
      <c r="V250">
        <v>347</v>
      </c>
      <c r="W250">
        <v>53</v>
      </c>
      <c r="X250">
        <v>35.909999999999997</v>
      </c>
      <c r="Y250">
        <v>44.84</v>
      </c>
      <c r="Z250" t="s">
        <v>2294</v>
      </c>
      <c r="AA250" t="s">
        <v>1761</v>
      </c>
      <c r="AB250">
        <v>85</v>
      </c>
      <c r="AC250">
        <v>4.25</v>
      </c>
      <c r="AD250">
        <v>80.75</v>
      </c>
      <c r="AE250">
        <v>35.909999999999997</v>
      </c>
      <c r="AF250">
        <v>44.84</v>
      </c>
      <c r="AG250">
        <v>2024</v>
      </c>
      <c r="AH250">
        <v>10</v>
      </c>
      <c r="AI250" t="s">
        <v>2310</v>
      </c>
      <c r="AJ250" t="s">
        <v>2317</v>
      </c>
    </row>
    <row r="251" spans="1:36" x14ac:dyDescent="0.3">
      <c r="A251" t="s">
        <v>285</v>
      </c>
      <c r="B251" s="2">
        <v>45362</v>
      </c>
      <c r="C251" t="s">
        <v>1728</v>
      </c>
      <c r="D251" t="s">
        <v>1798</v>
      </c>
      <c r="E251" t="s">
        <v>2113</v>
      </c>
      <c r="F251" t="s">
        <v>2240</v>
      </c>
      <c r="G251" t="s">
        <v>2250</v>
      </c>
      <c r="H251" t="s">
        <v>2259</v>
      </c>
      <c r="I251" t="s">
        <v>2262</v>
      </c>
      <c r="J251" t="s">
        <v>2266</v>
      </c>
      <c r="K251">
        <v>2</v>
      </c>
      <c r="L251">
        <v>90</v>
      </c>
      <c r="M251">
        <v>0.05</v>
      </c>
      <c r="N251">
        <v>180</v>
      </c>
      <c r="O251">
        <v>171</v>
      </c>
      <c r="P251" t="s">
        <v>2268</v>
      </c>
      <c r="R251" t="s">
        <v>2274</v>
      </c>
      <c r="S251" t="s">
        <v>2281</v>
      </c>
      <c r="T251" t="s">
        <v>2288</v>
      </c>
      <c r="U251">
        <v>5</v>
      </c>
      <c r="X251">
        <v>41.71</v>
      </c>
      <c r="Y251">
        <v>87.58</v>
      </c>
      <c r="Z251" t="s">
        <v>1761</v>
      </c>
      <c r="AA251" t="s">
        <v>2299</v>
      </c>
      <c r="AB251">
        <v>180</v>
      </c>
      <c r="AC251">
        <v>9</v>
      </c>
      <c r="AD251">
        <v>171</v>
      </c>
      <c r="AE251">
        <v>83.42</v>
      </c>
      <c r="AF251">
        <v>87.58</v>
      </c>
      <c r="AG251">
        <v>2024</v>
      </c>
      <c r="AH251">
        <v>3</v>
      </c>
      <c r="AI251" t="s">
        <v>2305</v>
      </c>
      <c r="AJ251" t="s">
        <v>2314</v>
      </c>
    </row>
    <row r="252" spans="1:36" x14ac:dyDescent="0.3">
      <c r="A252" t="s">
        <v>286</v>
      </c>
      <c r="B252" s="2">
        <v>45571</v>
      </c>
      <c r="C252" t="s">
        <v>1638</v>
      </c>
      <c r="D252" t="s">
        <v>1848</v>
      </c>
      <c r="E252" t="s">
        <v>1761</v>
      </c>
      <c r="F252" t="s">
        <v>2239</v>
      </c>
      <c r="G252" t="s">
        <v>2242</v>
      </c>
      <c r="H252" t="s">
        <v>2258</v>
      </c>
      <c r="I252" t="s">
        <v>2260</v>
      </c>
      <c r="K252">
        <v>2</v>
      </c>
      <c r="L252">
        <v>125</v>
      </c>
      <c r="M252">
        <v>0.1</v>
      </c>
      <c r="N252">
        <v>250</v>
      </c>
      <c r="O252">
        <v>225</v>
      </c>
      <c r="P252" t="s">
        <v>2269</v>
      </c>
      <c r="Q252" t="s">
        <v>2271</v>
      </c>
      <c r="R252" t="s">
        <v>2276</v>
      </c>
      <c r="S252" t="s">
        <v>2280</v>
      </c>
      <c r="T252" t="s">
        <v>2288</v>
      </c>
      <c r="U252">
        <v>4</v>
      </c>
      <c r="V252">
        <v>465</v>
      </c>
      <c r="W252">
        <v>19</v>
      </c>
      <c r="X252">
        <v>68.38</v>
      </c>
      <c r="Y252">
        <v>88.24</v>
      </c>
      <c r="Z252" t="s">
        <v>2293</v>
      </c>
      <c r="AA252" t="s">
        <v>2296</v>
      </c>
      <c r="AB252">
        <v>250</v>
      </c>
      <c r="AC252">
        <v>25</v>
      </c>
      <c r="AD252">
        <v>225</v>
      </c>
      <c r="AE252">
        <v>136.76</v>
      </c>
      <c r="AF252">
        <v>88.240000000000009</v>
      </c>
      <c r="AG252">
        <v>2024</v>
      </c>
      <c r="AH252">
        <v>10</v>
      </c>
      <c r="AI252" t="s">
        <v>2310</v>
      </c>
      <c r="AJ252" t="s">
        <v>2318</v>
      </c>
    </row>
    <row r="253" spans="1:36" x14ac:dyDescent="0.3">
      <c r="A253" t="s">
        <v>287</v>
      </c>
      <c r="B253" s="2">
        <v>45422</v>
      </c>
      <c r="C253" t="s">
        <v>1724</v>
      </c>
      <c r="D253" t="s">
        <v>1885</v>
      </c>
      <c r="E253" t="s">
        <v>2040</v>
      </c>
      <c r="F253" t="s">
        <v>2240</v>
      </c>
      <c r="G253" t="s">
        <v>2243</v>
      </c>
      <c r="H253" t="s">
        <v>2258</v>
      </c>
      <c r="I253" t="s">
        <v>2260</v>
      </c>
      <c r="J253" t="s">
        <v>2266</v>
      </c>
      <c r="K253">
        <v>1</v>
      </c>
      <c r="L253">
        <v>80</v>
      </c>
      <c r="M253">
        <v>0.15</v>
      </c>
      <c r="N253">
        <v>80</v>
      </c>
      <c r="O253">
        <v>68</v>
      </c>
      <c r="P253" t="s">
        <v>2268</v>
      </c>
      <c r="Q253" t="s">
        <v>2270</v>
      </c>
      <c r="R253" t="s">
        <v>2273</v>
      </c>
      <c r="S253" t="s">
        <v>2280</v>
      </c>
      <c r="T253" t="s">
        <v>2289</v>
      </c>
      <c r="V253">
        <v>419</v>
      </c>
      <c r="W253">
        <v>23</v>
      </c>
      <c r="X253">
        <v>30.58</v>
      </c>
      <c r="Y253">
        <v>37.42</v>
      </c>
      <c r="Z253" t="s">
        <v>2294</v>
      </c>
      <c r="AA253" t="s">
        <v>1761</v>
      </c>
      <c r="AB253">
        <v>80</v>
      </c>
      <c r="AC253">
        <v>12</v>
      </c>
      <c r="AD253">
        <v>68</v>
      </c>
      <c r="AE253">
        <v>30.58</v>
      </c>
      <c r="AF253">
        <v>37.42</v>
      </c>
      <c r="AG253">
        <v>2024</v>
      </c>
      <c r="AH253">
        <v>5</v>
      </c>
      <c r="AI253" t="s">
        <v>2306</v>
      </c>
      <c r="AJ253" t="s">
        <v>2315</v>
      </c>
    </row>
    <row r="254" spans="1:36" x14ac:dyDescent="0.3">
      <c r="A254" t="s">
        <v>288</v>
      </c>
      <c r="B254" s="2">
        <v>45601</v>
      </c>
      <c r="C254" t="s">
        <v>1683</v>
      </c>
      <c r="D254" t="s">
        <v>1749</v>
      </c>
      <c r="E254" t="s">
        <v>1761</v>
      </c>
      <c r="F254" t="s">
        <v>2239</v>
      </c>
      <c r="G254" t="s">
        <v>2243</v>
      </c>
      <c r="H254" t="s">
        <v>2258</v>
      </c>
      <c r="I254" t="s">
        <v>2260</v>
      </c>
      <c r="J254" t="s">
        <v>2266</v>
      </c>
      <c r="K254">
        <v>2</v>
      </c>
      <c r="L254">
        <v>65</v>
      </c>
      <c r="M254">
        <v>0</v>
      </c>
      <c r="N254">
        <v>130</v>
      </c>
      <c r="O254">
        <v>130</v>
      </c>
      <c r="Q254" t="s">
        <v>2272</v>
      </c>
      <c r="R254" t="s">
        <v>2278</v>
      </c>
      <c r="S254" t="s">
        <v>2287</v>
      </c>
      <c r="T254" t="s">
        <v>2288</v>
      </c>
      <c r="U254">
        <v>5</v>
      </c>
      <c r="V254">
        <v>307</v>
      </c>
      <c r="X254">
        <v>31.89</v>
      </c>
      <c r="Y254">
        <v>66.22</v>
      </c>
      <c r="Z254" t="s">
        <v>2294</v>
      </c>
      <c r="AA254" t="s">
        <v>2296</v>
      </c>
      <c r="AB254">
        <v>130</v>
      </c>
      <c r="AC254">
        <v>0</v>
      </c>
      <c r="AD254">
        <v>130</v>
      </c>
      <c r="AE254">
        <v>63.78</v>
      </c>
      <c r="AF254">
        <v>66.22</v>
      </c>
      <c r="AG254">
        <v>2024</v>
      </c>
      <c r="AH254">
        <v>11</v>
      </c>
      <c r="AI254" t="s">
        <v>2311</v>
      </c>
      <c r="AJ254" t="s">
        <v>2313</v>
      </c>
    </row>
    <row r="255" spans="1:36" x14ac:dyDescent="0.3">
      <c r="A255" t="s">
        <v>289</v>
      </c>
      <c r="B255" s="2">
        <v>45590</v>
      </c>
      <c r="C255" t="s">
        <v>1730</v>
      </c>
      <c r="D255" t="s">
        <v>1879</v>
      </c>
      <c r="E255" t="s">
        <v>1761</v>
      </c>
      <c r="F255" t="s">
        <v>1761</v>
      </c>
      <c r="G255" t="s">
        <v>2249</v>
      </c>
      <c r="H255" t="s">
        <v>2257</v>
      </c>
      <c r="I255" t="s">
        <v>2263</v>
      </c>
      <c r="J255" t="s">
        <v>2264</v>
      </c>
      <c r="K255">
        <v>2</v>
      </c>
      <c r="L255">
        <v>160</v>
      </c>
      <c r="M255">
        <v>0</v>
      </c>
      <c r="N255">
        <v>320</v>
      </c>
      <c r="O255">
        <v>320</v>
      </c>
      <c r="P255" t="s">
        <v>2269</v>
      </c>
      <c r="R255" t="s">
        <v>2277</v>
      </c>
      <c r="S255" t="s">
        <v>2280</v>
      </c>
      <c r="T255" t="s">
        <v>2288</v>
      </c>
      <c r="U255">
        <v>3</v>
      </c>
      <c r="V255">
        <v>382</v>
      </c>
      <c r="W255">
        <v>39</v>
      </c>
      <c r="X255">
        <v>73.33</v>
      </c>
      <c r="Y255">
        <v>173.34</v>
      </c>
      <c r="Z255" t="s">
        <v>2291</v>
      </c>
      <c r="AA255" t="s">
        <v>2298</v>
      </c>
      <c r="AB255">
        <v>320</v>
      </c>
      <c r="AC255">
        <v>0</v>
      </c>
      <c r="AD255">
        <v>320</v>
      </c>
      <c r="AE255">
        <v>146.66</v>
      </c>
      <c r="AF255">
        <v>173.34</v>
      </c>
      <c r="AG255">
        <v>2024</v>
      </c>
      <c r="AH255">
        <v>10</v>
      </c>
      <c r="AI255" t="s">
        <v>2310</v>
      </c>
      <c r="AJ255" t="s">
        <v>2315</v>
      </c>
    </row>
    <row r="256" spans="1:36" x14ac:dyDescent="0.3">
      <c r="A256" t="s">
        <v>290</v>
      </c>
      <c r="B256" s="2">
        <v>45558</v>
      </c>
      <c r="C256" t="s">
        <v>1702</v>
      </c>
      <c r="D256" t="s">
        <v>1785</v>
      </c>
      <c r="E256" t="s">
        <v>2114</v>
      </c>
      <c r="F256" t="s">
        <v>2240</v>
      </c>
      <c r="G256" t="s">
        <v>2243</v>
      </c>
      <c r="H256" t="s">
        <v>2258</v>
      </c>
      <c r="I256" t="s">
        <v>2260</v>
      </c>
      <c r="J256" t="s">
        <v>2266</v>
      </c>
      <c r="K256">
        <v>1</v>
      </c>
      <c r="L256">
        <v>65</v>
      </c>
      <c r="M256">
        <v>0</v>
      </c>
      <c r="N256">
        <v>65</v>
      </c>
      <c r="O256">
        <v>65</v>
      </c>
      <c r="P256" t="s">
        <v>2269</v>
      </c>
      <c r="R256" t="s">
        <v>2277</v>
      </c>
      <c r="S256" t="s">
        <v>2284</v>
      </c>
      <c r="T256" t="s">
        <v>2288</v>
      </c>
      <c r="U256">
        <v>5</v>
      </c>
      <c r="V256">
        <v>446</v>
      </c>
      <c r="W256">
        <v>47</v>
      </c>
      <c r="X256">
        <v>34.950000000000003</v>
      </c>
      <c r="Y256">
        <v>30.05</v>
      </c>
      <c r="Z256" t="s">
        <v>2293</v>
      </c>
      <c r="AA256" t="s">
        <v>2299</v>
      </c>
      <c r="AB256">
        <v>65</v>
      </c>
      <c r="AC256">
        <v>0</v>
      </c>
      <c r="AD256">
        <v>65</v>
      </c>
      <c r="AE256">
        <v>34.950000000000003</v>
      </c>
      <c r="AF256">
        <v>30.05</v>
      </c>
      <c r="AG256">
        <v>2024</v>
      </c>
      <c r="AH256">
        <v>9</v>
      </c>
      <c r="AI256" t="s">
        <v>2300</v>
      </c>
      <c r="AJ256" t="s">
        <v>2314</v>
      </c>
    </row>
    <row r="257" spans="1:36" x14ac:dyDescent="0.3">
      <c r="A257" t="s">
        <v>291</v>
      </c>
      <c r="B257" s="2">
        <v>45365</v>
      </c>
      <c r="C257" t="s">
        <v>1659</v>
      </c>
      <c r="D257" t="s">
        <v>1880</v>
      </c>
      <c r="E257" t="s">
        <v>2115</v>
      </c>
      <c r="F257" t="s">
        <v>2240</v>
      </c>
      <c r="G257" t="s">
        <v>2251</v>
      </c>
      <c r="H257" t="s">
        <v>2258</v>
      </c>
      <c r="I257" t="s">
        <v>2260</v>
      </c>
      <c r="J257" t="s">
        <v>2264</v>
      </c>
      <c r="K257">
        <v>1</v>
      </c>
      <c r="L257">
        <v>95</v>
      </c>
      <c r="M257">
        <v>0.1</v>
      </c>
      <c r="N257">
        <v>95</v>
      </c>
      <c r="O257">
        <v>85.5</v>
      </c>
      <c r="P257" t="s">
        <v>2267</v>
      </c>
      <c r="Q257" t="s">
        <v>2271</v>
      </c>
      <c r="R257" t="s">
        <v>2277</v>
      </c>
      <c r="S257" t="s">
        <v>2282</v>
      </c>
      <c r="T257" t="s">
        <v>2289</v>
      </c>
      <c r="V257">
        <v>39</v>
      </c>
      <c r="W257">
        <v>20</v>
      </c>
      <c r="X257">
        <v>45.81</v>
      </c>
      <c r="Y257">
        <v>39.69</v>
      </c>
      <c r="Z257" t="s">
        <v>2292</v>
      </c>
      <c r="AA257" t="s">
        <v>1761</v>
      </c>
      <c r="AB257">
        <v>95</v>
      </c>
      <c r="AC257">
        <v>9.5</v>
      </c>
      <c r="AD257">
        <v>85.5</v>
      </c>
      <c r="AE257">
        <v>45.81</v>
      </c>
      <c r="AF257">
        <v>39.69</v>
      </c>
      <c r="AG257">
        <v>2024</v>
      </c>
      <c r="AH257">
        <v>3</v>
      </c>
      <c r="AI257" t="s">
        <v>2305</v>
      </c>
      <c r="AJ257" t="s">
        <v>2316</v>
      </c>
    </row>
    <row r="258" spans="1:36" x14ac:dyDescent="0.3">
      <c r="A258" t="s">
        <v>292</v>
      </c>
      <c r="B258" s="2">
        <v>45496</v>
      </c>
      <c r="C258" t="s">
        <v>1714</v>
      </c>
      <c r="D258" t="s">
        <v>1886</v>
      </c>
      <c r="E258" t="s">
        <v>1761</v>
      </c>
      <c r="F258" t="s">
        <v>2239</v>
      </c>
      <c r="G258" t="s">
        <v>2247</v>
      </c>
      <c r="H258" t="s">
        <v>2257</v>
      </c>
      <c r="I258" t="s">
        <v>2262</v>
      </c>
      <c r="J258" t="s">
        <v>2265</v>
      </c>
      <c r="K258">
        <v>1</v>
      </c>
      <c r="L258">
        <v>100</v>
      </c>
      <c r="N258">
        <v>100</v>
      </c>
      <c r="P258" t="s">
        <v>2267</v>
      </c>
      <c r="Q258" t="s">
        <v>2270</v>
      </c>
      <c r="R258" t="s">
        <v>2274</v>
      </c>
      <c r="S258" t="s">
        <v>2283</v>
      </c>
      <c r="T258" t="s">
        <v>2289</v>
      </c>
      <c r="U258">
        <v>2</v>
      </c>
      <c r="V258">
        <v>144</v>
      </c>
      <c r="X258">
        <v>41.07</v>
      </c>
      <c r="Z258" t="s">
        <v>1761</v>
      </c>
      <c r="AA258" t="s">
        <v>2296</v>
      </c>
      <c r="AB258">
        <v>100</v>
      </c>
      <c r="AC258">
        <v>0</v>
      </c>
      <c r="AD258">
        <v>100</v>
      </c>
      <c r="AE258">
        <v>41.07</v>
      </c>
      <c r="AF258">
        <v>58.93</v>
      </c>
      <c r="AG258">
        <v>2024</v>
      </c>
      <c r="AH258">
        <v>7</v>
      </c>
      <c r="AI258" t="s">
        <v>2307</v>
      </c>
      <c r="AJ258" t="s">
        <v>2313</v>
      </c>
    </row>
    <row r="259" spans="1:36" x14ac:dyDescent="0.3">
      <c r="A259" t="s">
        <v>293</v>
      </c>
      <c r="B259" s="2">
        <v>45357</v>
      </c>
      <c r="C259" t="s">
        <v>1657</v>
      </c>
      <c r="D259" t="s">
        <v>1879</v>
      </c>
      <c r="E259" t="s">
        <v>2116</v>
      </c>
      <c r="F259" t="s">
        <v>2240</v>
      </c>
      <c r="G259" t="s">
        <v>2256</v>
      </c>
      <c r="H259" t="s">
        <v>2261</v>
      </c>
      <c r="I259" t="s">
        <v>2260</v>
      </c>
      <c r="J259" t="s">
        <v>2264</v>
      </c>
      <c r="K259">
        <v>1</v>
      </c>
      <c r="L259">
        <v>185</v>
      </c>
      <c r="N259">
        <v>185</v>
      </c>
      <c r="P259" t="s">
        <v>2267</v>
      </c>
      <c r="R259" t="s">
        <v>2278</v>
      </c>
      <c r="S259" t="s">
        <v>2281</v>
      </c>
      <c r="T259" t="s">
        <v>2290</v>
      </c>
      <c r="U259">
        <v>2</v>
      </c>
      <c r="V259">
        <v>388</v>
      </c>
      <c r="W259">
        <v>41</v>
      </c>
      <c r="X259">
        <v>104.64</v>
      </c>
      <c r="Z259" t="s">
        <v>2293</v>
      </c>
      <c r="AA259" t="s">
        <v>2296</v>
      </c>
      <c r="AB259">
        <v>185</v>
      </c>
      <c r="AC259">
        <v>0</v>
      </c>
      <c r="AD259">
        <v>185</v>
      </c>
      <c r="AE259">
        <v>104.64</v>
      </c>
      <c r="AF259">
        <v>80.36</v>
      </c>
      <c r="AG259">
        <v>2024</v>
      </c>
      <c r="AH259">
        <v>3</v>
      </c>
      <c r="AI259" t="s">
        <v>2305</v>
      </c>
      <c r="AJ259" t="s">
        <v>2312</v>
      </c>
    </row>
    <row r="260" spans="1:36" x14ac:dyDescent="0.3">
      <c r="A260" t="s">
        <v>294</v>
      </c>
      <c r="B260" s="2">
        <v>45567</v>
      </c>
      <c r="C260" t="s">
        <v>1678</v>
      </c>
      <c r="D260" t="s">
        <v>1826</v>
      </c>
      <c r="E260" t="s">
        <v>2117</v>
      </c>
      <c r="F260" t="s">
        <v>2239</v>
      </c>
      <c r="G260" t="s">
        <v>2247</v>
      </c>
      <c r="H260" t="s">
        <v>2257</v>
      </c>
      <c r="I260" t="s">
        <v>2262</v>
      </c>
      <c r="K260">
        <v>2</v>
      </c>
      <c r="L260">
        <v>105</v>
      </c>
      <c r="M260">
        <v>0.1</v>
      </c>
      <c r="N260">
        <v>210</v>
      </c>
      <c r="O260">
        <v>189</v>
      </c>
      <c r="P260" t="s">
        <v>2267</v>
      </c>
      <c r="Q260" t="s">
        <v>2272</v>
      </c>
      <c r="R260" t="s">
        <v>2278</v>
      </c>
      <c r="S260" t="s">
        <v>2284</v>
      </c>
      <c r="T260" t="s">
        <v>2289</v>
      </c>
      <c r="U260">
        <v>2</v>
      </c>
      <c r="V260">
        <v>380</v>
      </c>
      <c r="W260">
        <v>51</v>
      </c>
      <c r="X260">
        <v>38.340000000000003</v>
      </c>
      <c r="Y260">
        <v>112.32</v>
      </c>
      <c r="Z260" t="s">
        <v>2293</v>
      </c>
      <c r="AA260" t="s">
        <v>2298</v>
      </c>
      <c r="AB260">
        <v>210</v>
      </c>
      <c r="AC260">
        <v>21</v>
      </c>
      <c r="AD260">
        <v>189</v>
      </c>
      <c r="AE260">
        <v>76.680000000000007</v>
      </c>
      <c r="AF260">
        <v>112.32</v>
      </c>
      <c r="AG260">
        <v>2024</v>
      </c>
      <c r="AH260">
        <v>10</v>
      </c>
      <c r="AI260" t="s">
        <v>2310</v>
      </c>
      <c r="AJ260" t="s">
        <v>2312</v>
      </c>
    </row>
    <row r="261" spans="1:36" x14ac:dyDescent="0.3">
      <c r="A261" t="s">
        <v>295</v>
      </c>
      <c r="B261" s="2">
        <v>45549</v>
      </c>
      <c r="C261" t="s">
        <v>1655</v>
      </c>
      <c r="D261" t="s">
        <v>1887</v>
      </c>
      <c r="E261" t="s">
        <v>2118</v>
      </c>
      <c r="F261" t="s">
        <v>2239</v>
      </c>
      <c r="G261" t="s">
        <v>2254</v>
      </c>
      <c r="H261" t="s">
        <v>2259</v>
      </c>
      <c r="I261" t="s">
        <v>2263</v>
      </c>
      <c r="J261" t="s">
        <v>2266</v>
      </c>
      <c r="K261">
        <v>1</v>
      </c>
      <c r="L261">
        <v>110</v>
      </c>
      <c r="N261">
        <v>110</v>
      </c>
      <c r="P261" t="s">
        <v>2267</v>
      </c>
      <c r="R261" t="s">
        <v>2279</v>
      </c>
      <c r="S261" t="s">
        <v>2284</v>
      </c>
      <c r="T261" t="s">
        <v>2288</v>
      </c>
      <c r="V261">
        <v>285</v>
      </c>
      <c r="W261">
        <v>26</v>
      </c>
      <c r="X261">
        <v>57.07</v>
      </c>
      <c r="Z261" t="s">
        <v>1761</v>
      </c>
      <c r="AA261" t="s">
        <v>2296</v>
      </c>
      <c r="AB261">
        <v>110</v>
      </c>
      <c r="AC261">
        <v>0</v>
      </c>
      <c r="AD261">
        <v>110</v>
      </c>
      <c r="AE261">
        <v>57.07</v>
      </c>
      <c r="AF261">
        <v>52.93</v>
      </c>
      <c r="AG261">
        <v>2024</v>
      </c>
      <c r="AH261">
        <v>9</v>
      </c>
      <c r="AI261" t="s">
        <v>2300</v>
      </c>
      <c r="AJ261" t="s">
        <v>2317</v>
      </c>
    </row>
    <row r="262" spans="1:36" x14ac:dyDescent="0.3">
      <c r="A262" t="s">
        <v>296</v>
      </c>
      <c r="B262" s="2">
        <v>45344</v>
      </c>
      <c r="C262" t="s">
        <v>1659</v>
      </c>
      <c r="D262" t="s">
        <v>1744</v>
      </c>
      <c r="E262" t="s">
        <v>2119</v>
      </c>
      <c r="F262" t="s">
        <v>2240</v>
      </c>
      <c r="G262" t="s">
        <v>2250</v>
      </c>
      <c r="H262" t="s">
        <v>2259</v>
      </c>
      <c r="I262" t="s">
        <v>2262</v>
      </c>
      <c r="J262" t="s">
        <v>2265</v>
      </c>
      <c r="K262">
        <v>2</v>
      </c>
      <c r="L262">
        <v>80</v>
      </c>
      <c r="M262">
        <v>0.1</v>
      </c>
      <c r="O262">
        <v>144</v>
      </c>
      <c r="P262" t="s">
        <v>2267</v>
      </c>
      <c r="Q262" t="s">
        <v>2270</v>
      </c>
      <c r="R262" t="s">
        <v>2278</v>
      </c>
      <c r="S262" t="s">
        <v>2283</v>
      </c>
      <c r="T262" t="s">
        <v>2288</v>
      </c>
      <c r="U262">
        <v>5</v>
      </c>
      <c r="V262">
        <v>276</v>
      </c>
      <c r="W262">
        <v>23</v>
      </c>
      <c r="X262">
        <v>28.92</v>
      </c>
      <c r="Y262">
        <v>86.16</v>
      </c>
      <c r="Z262" t="s">
        <v>2293</v>
      </c>
      <c r="AA262" t="s">
        <v>2296</v>
      </c>
      <c r="AB262">
        <v>160</v>
      </c>
      <c r="AC262">
        <v>16</v>
      </c>
      <c r="AD262">
        <v>144</v>
      </c>
      <c r="AE262">
        <v>57.84</v>
      </c>
      <c r="AF262">
        <v>86.16</v>
      </c>
      <c r="AG262">
        <v>2024</v>
      </c>
      <c r="AH262">
        <v>2</v>
      </c>
      <c r="AI262" t="s">
        <v>2303</v>
      </c>
      <c r="AJ262" t="s">
        <v>2316</v>
      </c>
    </row>
    <row r="263" spans="1:36" x14ac:dyDescent="0.3">
      <c r="A263" t="s">
        <v>297</v>
      </c>
      <c r="B263" s="2">
        <v>45598</v>
      </c>
      <c r="C263" t="s">
        <v>1665</v>
      </c>
      <c r="D263" t="s">
        <v>1880</v>
      </c>
      <c r="E263" t="s">
        <v>2028</v>
      </c>
      <c r="F263" t="s">
        <v>2239</v>
      </c>
      <c r="G263" t="s">
        <v>2243</v>
      </c>
      <c r="H263" t="s">
        <v>2258</v>
      </c>
      <c r="I263" t="s">
        <v>2260</v>
      </c>
      <c r="J263" t="s">
        <v>2264</v>
      </c>
      <c r="K263">
        <v>5</v>
      </c>
      <c r="L263">
        <v>80</v>
      </c>
      <c r="M263">
        <v>0</v>
      </c>
      <c r="O263">
        <v>400</v>
      </c>
      <c r="P263" t="s">
        <v>2267</v>
      </c>
      <c r="Q263" t="s">
        <v>2272</v>
      </c>
      <c r="R263" t="s">
        <v>2276</v>
      </c>
      <c r="S263" t="s">
        <v>2284</v>
      </c>
      <c r="T263" t="s">
        <v>2288</v>
      </c>
      <c r="U263">
        <v>2</v>
      </c>
      <c r="V263">
        <v>125</v>
      </c>
      <c r="X263">
        <v>41.55</v>
      </c>
      <c r="Y263">
        <v>192.25</v>
      </c>
      <c r="Z263" t="s">
        <v>2293</v>
      </c>
      <c r="AA263" t="s">
        <v>2296</v>
      </c>
      <c r="AB263">
        <v>400</v>
      </c>
      <c r="AC263">
        <v>0</v>
      </c>
      <c r="AD263">
        <v>400</v>
      </c>
      <c r="AE263">
        <v>207.75</v>
      </c>
      <c r="AF263">
        <v>192.25</v>
      </c>
      <c r="AG263">
        <v>2024</v>
      </c>
      <c r="AH263">
        <v>11</v>
      </c>
      <c r="AI263" t="s">
        <v>2311</v>
      </c>
      <c r="AJ263" t="s">
        <v>2317</v>
      </c>
    </row>
    <row r="264" spans="1:36" x14ac:dyDescent="0.3">
      <c r="A264" t="s">
        <v>298</v>
      </c>
      <c r="B264" s="2">
        <v>45402</v>
      </c>
      <c r="C264" t="s">
        <v>1687</v>
      </c>
      <c r="D264" t="s">
        <v>1874</v>
      </c>
      <c r="E264" t="s">
        <v>2120</v>
      </c>
      <c r="F264" t="s">
        <v>1761</v>
      </c>
      <c r="G264" t="s">
        <v>2253</v>
      </c>
      <c r="H264" t="s">
        <v>2258</v>
      </c>
      <c r="I264" t="s">
        <v>2260</v>
      </c>
      <c r="J264" t="s">
        <v>2266</v>
      </c>
      <c r="L264">
        <v>90</v>
      </c>
      <c r="M264">
        <v>0.05</v>
      </c>
      <c r="N264">
        <v>90</v>
      </c>
      <c r="O264">
        <v>85.5</v>
      </c>
      <c r="P264" t="s">
        <v>2269</v>
      </c>
      <c r="Q264" t="s">
        <v>2272</v>
      </c>
      <c r="R264" t="s">
        <v>2273</v>
      </c>
      <c r="S264" t="s">
        <v>2284</v>
      </c>
      <c r="T264" t="s">
        <v>2290</v>
      </c>
      <c r="U264">
        <v>3</v>
      </c>
      <c r="W264">
        <v>10</v>
      </c>
      <c r="X264">
        <v>34.619999999999997</v>
      </c>
      <c r="Y264">
        <v>50.88</v>
      </c>
      <c r="Z264" t="s">
        <v>2291</v>
      </c>
      <c r="AA264" t="s">
        <v>2296</v>
      </c>
      <c r="AG264">
        <v>2024</v>
      </c>
      <c r="AH264">
        <v>4</v>
      </c>
      <c r="AI264" t="s">
        <v>2308</v>
      </c>
      <c r="AJ264" t="s">
        <v>2317</v>
      </c>
    </row>
    <row r="265" spans="1:36" x14ac:dyDescent="0.3">
      <c r="A265" t="s">
        <v>299</v>
      </c>
      <c r="B265" s="2">
        <v>45575</v>
      </c>
      <c r="C265" t="s">
        <v>1725</v>
      </c>
      <c r="D265" t="s">
        <v>1854</v>
      </c>
      <c r="E265" t="s">
        <v>2034</v>
      </c>
      <c r="F265" t="s">
        <v>2238</v>
      </c>
      <c r="G265" t="s">
        <v>2241</v>
      </c>
      <c r="H265" t="s">
        <v>2257</v>
      </c>
      <c r="I265" t="s">
        <v>2262</v>
      </c>
      <c r="J265" t="s">
        <v>2264</v>
      </c>
      <c r="K265">
        <v>2</v>
      </c>
      <c r="L265">
        <v>135</v>
      </c>
      <c r="M265">
        <v>0.05</v>
      </c>
      <c r="N265">
        <v>270</v>
      </c>
      <c r="O265">
        <v>256.5</v>
      </c>
      <c r="P265" t="s">
        <v>2267</v>
      </c>
      <c r="R265" t="s">
        <v>2277</v>
      </c>
      <c r="S265" t="s">
        <v>2282</v>
      </c>
      <c r="T265" t="s">
        <v>2288</v>
      </c>
      <c r="U265">
        <v>1</v>
      </c>
      <c r="V265">
        <v>254</v>
      </c>
      <c r="W265">
        <v>57</v>
      </c>
      <c r="X265">
        <v>48.85</v>
      </c>
      <c r="Y265">
        <v>158.80000000000001</v>
      </c>
      <c r="Z265" t="s">
        <v>1761</v>
      </c>
      <c r="AA265" t="s">
        <v>2299</v>
      </c>
      <c r="AB265">
        <v>270</v>
      </c>
      <c r="AC265">
        <v>13.5</v>
      </c>
      <c r="AD265">
        <v>256.5</v>
      </c>
      <c r="AE265">
        <v>97.7</v>
      </c>
      <c r="AF265">
        <v>158.80000000000001</v>
      </c>
      <c r="AG265">
        <v>2024</v>
      </c>
      <c r="AH265">
        <v>10</v>
      </c>
      <c r="AI265" t="s">
        <v>2310</v>
      </c>
      <c r="AJ265" t="s">
        <v>2316</v>
      </c>
    </row>
    <row r="266" spans="1:36" x14ac:dyDescent="0.3">
      <c r="A266" t="s">
        <v>300</v>
      </c>
      <c r="B266" s="2">
        <v>45541</v>
      </c>
      <c r="C266" t="s">
        <v>1677</v>
      </c>
      <c r="D266" t="s">
        <v>1804</v>
      </c>
      <c r="E266" t="s">
        <v>1949</v>
      </c>
      <c r="F266" t="s">
        <v>1761</v>
      </c>
      <c r="G266" t="s">
        <v>2245</v>
      </c>
      <c r="H266" t="s">
        <v>2257</v>
      </c>
      <c r="I266" t="s">
        <v>2263</v>
      </c>
      <c r="J266" t="s">
        <v>2266</v>
      </c>
      <c r="K266">
        <v>1</v>
      </c>
      <c r="L266">
        <v>145</v>
      </c>
      <c r="M266">
        <v>0</v>
      </c>
      <c r="N266">
        <v>145</v>
      </c>
      <c r="O266">
        <v>145</v>
      </c>
      <c r="P266" t="s">
        <v>2267</v>
      </c>
      <c r="Q266" t="s">
        <v>2270</v>
      </c>
      <c r="R266" t="s">
        <v>2276</v>
      </c>
      <c r="S266" t="s">
        <v>2283</v>
      </c>
      <c r="T266" t="s">
        <v>2289</v>
      </c>
      <c r="U266">
        <v>3</v>
      </c>
      <c r="V266">
        <v>395</v>
      </c>
      <c r="X266">
        <v>70.989999999999995</v>
      </c>
      <c r="Y266">
        <v>74.010000000000005</v>
      </c>
      <c r="Z266" t="s">
        <v>2295</v>
      </c>
      <c r="AA266" t="s">
        <v>2296</v>
      </c>
      <c r="AB266">
        <v>145</v>
      </c>
      <c r="AC266">
        <v>0</v>
      </c>
      <c r="AD266">
        <v>145</v>
      </c>
      <c r="AE266">
        <v>70.989999999999995</v>
      </c>
      <c r="AF266">
        <v>74.010000000000005</v>
      </c>
      <c r="AG266">
        <v>2024</v>
      </c>
      <c r="AH266">
        <v>9</v>
      </c>
      <c r="AI266" t="s">
        <v>2300</v>
      </c>
      <c r="AJ266" t="s">
        <v>2315</v>
      </c>
    </row>
    <row r="267" spans="1:36" x14ac:dyDescent="0.3">
      <c r="A267" t="s">
        <v>301</v>
      </c>
      <c r="B267" s="2">
        <v>45549</v>
      </c>
      <c r="C267" t="s">
        <v>1675</v>
      </c>
      <c r="D267" t="s">
        <v>1888</v>
      </c>
      <c r="E267" t="s">
        <v>2004</v>
      </c>
      <c r="F267" t="s">
        <v>2238</v>
      </c>
      <c r="G267" t="s">
        <v>2246</v>
      </c>
      <c r="H267" t="s">
        <v>2259</v>
      </c>
      <c r="I267" t="s">
        <v>2262</v>
      </c>
      <c r="J267" t="s">
        <v>2266</v>
      </c>
      <c r="K267">
        <v>1</v>
      </c>
      <c r="L267">
        <v>105</v>
      </c>
      <c r="M267">
        <v>0.15</v>
      </c>
      <c r="N267">
        <v>105</v>
      </c>
      <c r="O267">
        <v>89.25</v>
      </c>
      <c r="P267" t="s">
        <v>2268</v>
      </c>
      <c r="Q267" t="s">
        <v>2270</v>
      </c>
      <c r="R267" t="s">
        <v>2274</v>
      </c>
      <c r="S267" t="s">
        <v>2284</v>
      </c>
      <c r="T267" t="s">
        <v>2289</v>
      </c>
      <c r="U267">
        <v>5</v>
      </c>
      <c r="V267">
        <v>116</v>
      </c>
      <c r="X267">
        <v>42.56</v>
      </c>
      <c r="Y267">
        <v>46.69</v>
      </c>
      <c r="Z267" t="s">
        <v>1761</v>
      </c>
      <c r="AA267" t="s">
        <v>2299</v>
      </c>
      <c r="AB267">
        <v>105</v>
      </c>
      <c r="AC267">
        <v>15.75</v>
      </c>
      <c r="AD267">
        <v>89.25</v>
      </c>
      <c r="AE267">
        <v>42.56</v>
      </c>
      <c r="AF267">
        <v>46.69</v>
      </c>
      <c r="AG267">
        <v>2024</v>
      </c>
      <c r="AH267">
        <v>9</v>
      </c>
      <c r="AI267" t="s">
        <v>2300</v>
      </c>
      <c r="AJ267" t="s">
        <v>2317</v>
      </c>
    </row>
    <row r="268" spans="1:36" x14ac:dyDescent="0.3">
      <c r="A268" t="s">
        <v>302</v>
      </c>
      <c r="B268" s="2">
        <v>45367</v>
      </c>
      <c r="C268" t="s">
        <v>1697</v>
      </c>
      <c r="D268" t="s">
        <v>1758</v>
      </c>
      <c r="E268" t="s">
        <v>2070</v>
      </c>
      <c r="F268" t="s">
        <v>2240</v>
      </c>
      <c r="G268" t="s">
        <v>2244</v>
      </c>
      <c r="H268" t="s">
        <v>2257</v>
      </c>
      <c r="I268" t="s">
        <v>2262</v>
      </c>
      <c r="J268" t="s">
        <v>2265</v>
      </c>
      <c r="K268">
        <v>1</v>
      </c>
      <c r="L268">
        <v>120</v>
      </c>
      <c r="M268">
        <v>0.15</v>
      </c>
      <c r="N268">
        <v>120</v>
      </c>
      <c r="O268">
        <v>102</v>
      </c>
      <c r="P268" t="s">
        <v>2267</v>
      </c>
      <c r="Q268" t="s">
        <v>2272</v>
      </c>
      <c r="R268" t="s">
        <v>2274</v>
      </c>
      <c r="S268" t="s">
        <v>2281</v>
      </c>
      <c r="T268" t="s">
        <v>2288</v>
      </c>
      <c r="U268">
        <v>4</v>
      </c>
      <c r="V268">
        <v>84</v>
      </c>
      <c r="W268">
        <v>52</v>
      </c>
      <c r="X268">
        <v>59.32</v>
      </c>
      <c r="Y268">
        <v>42.68</v>
      </c>
      <c r="Z268" t="s">
        <v>2291</v>
      </c>
      <c r="AA268" t="s">
        <v>2298</v>
      </c>
      <c r="AB268">
        <v>120</v>
      </c>
      <c r="AC268">
        <v>18</v>
      </c>
      <c r="AD268">
        <v>102</v>
      </c>
      <c r="AE268">
        <v>59.32</v>
      </c>
      <c r="AF268">
        <v>42.68</v>
      </c>
      <c r="AG268">
        <v>2024</v>
      </c>
      <c r="AH268">
        <v>3</v>
      </c>
      <c r="AI268" t="s">
        <v>2305</v>
      </c>
      <c r="AJ268" t="s">
        <v>2317</v>
      </c>
    </row>
    <row r="269" spans="1:36" x14ac:dyDescent="0.3">
      <c r="A269" t="s">
        <v>303</v>
      </c>
      <c r="B269" s="2">
        <v>45638</v>
      </c>
      <c r="C269" t="s">
        <v>1659</v>
      </c>
      <c r="D269" t="s">
        <v>1889</v>
      </c>
      <c r="E269" t="s">
        <v>2007</v>
      </c>
      <c r="F269" t="s">
        <v>2240</v>
      </c>
      <c r="G269" t="s">
        <v>2249</v>
      </c>
      <c r="H269" t="s">
        <v>2257</v>
      </c>
      <c r="I269" t="s">
        <v>2263</v>
      </c>
      <c r="J269" t="s">
        <v>2266</v>
      </c>
      <c r="K269">
        <v>1</v>
      </c>
      <c r="L269">
        <v>160</v>
      </c>
      <c r="M269">
        <v>0.05</v>
      </c>
      <c r="N269">
        <v>160</v>
      </c>
      <c r="O269">
        <v>152</v>
      </c>
      <c r="P269" t="s">
        <v>2269</v>
      </c>
      <c r="Q269" t="s">
        <v>2270</v>
      </c>
      <c r="R269" t="s">
        <v>2275</v>
      </c>
      <c r="S269" t="s">
        <v>2285</v>
      </c>
      <c r="T269" t="s">
        <v>2288</v>
      </c>
      <c r="U269">
        <v>1</v>
      </c>
      <c r="V269">
        <v>87</v>
      </c>
      <c r="W269">
        <v>22</v>
      </c>
      <c r="X269">
        <v>89.6</v>
      </c>
      <c r="Y269">
        <v>62.4</v>
      </c>
      <c r="Z269" t="s">
        <v>2293</v>
      </c>
      <c r="AA269" t="s">
        <v>1761</v>
      </c>
      <c r="AB269">
        <v>160</v>
      </c>
      <c r="AC269">
        <v>8</v>
      </c>
      <c r="AD269">
        <v>152</v>
      </c>
      <c r="AE269">
        <v>89.6</v>
      </c>
      <c r="AF269">
        <v>62.400000000000013</v>
      </c>
      <c r="AG269">
        <v>2024</v>
      </c>
      <c r="AH269">
        <v>12</v>
      </c>
      <c r="AI269" t="s">
        <v>2309</v>
      </c>
      <c r="AJ269" t="s">
        <v>2316</v>
      </c>
    </row>
    <row r="270" spans="1:36" x14ac:dyDescent="0.3">
      <c r="A270" t="s">
        <v>304</v>
      </c>
      <c r="B270" s="2">
        <v>45576</v>
      </c>
      <c r="C270" t="s">
        <v>1731</v>
      </c>
      <c r="D270" t="s">
        <v>1824</v>
      </c>
      <c r="E270" t="s">
        <v>2121</v>
      </c>
      <c r="F270" t="s">
        <v>2238</v>
      </c>
      <c r="G270" t="s">
        <v>2250</v>
      </c>
      <c r="H270" t="s">
        <v>2259</v>
      </c>
      <c r="I270" t="s">
        <v>2262</v>
      </c>
      <c r="J270" t="s">
        <v>2266</v>
      </c>
      <c r="K270">
        <v>1</v>
      </c>
      <c r="L270">
        <v>75</v>
      </c>
      <c r="M270">
        <v>0.1</v>
      </c>
      <c r="N270">
        <v>75</v>
      </c>
      <c r="O270">
        <v>67.5</v>
      </c>
      <c r="P270" t="s">
        <v>2267</v>
      </c>
      <c r="Q270" t="s">
        <v>2270</v>
      </c>
      <c r="R270" t="s">
        <v>2277</v>
      </c>
      <c r="S270" t="s">
        <v>2286</v>
      </c>
      <c r="T270" t="s">
        <v>2288</v>
      </c>
      <c r="V270">
        <v>373</v>
      </c>
      <c r="W270">
        <v>51</v>
      </c>
      <c r="X270">
        <v>43.87</v>
      </c>
      <c r="Y270">
        <v>23.63</v>
      </c>
      <c r="Z270" t="s">
        <v>2291</v>
      </c>
      <c r="AA270" t="s">
        <v>2296</v>
      </c>
      <c r="AB270">
        <v>75</v>
      </c>
      <c r="AC270">
        <v>7.5</v>
      </c>
      <c r="AD270">
        <v>67.5</v>
      </c>
      <c r="AE270">
        <v>43.87</v>
      </c>
      <c r="AF270">
        <v>23.63</v>
      </c>
      <c r="AG270">
        <v>2024</v>
      </c>
      <c r="AH270">
        <v>10</v>
      </c>
      <c r="AI270" t="s">
        <v>2310</v>
      </c>
      <c r="AJ270" t="s">
        <v>2315</v>
      </c>
    </row>
    <row r="271" spans="1:36" x14ac:dyDescent="0.3">
      <c r="A271" t="s">
        <v>305</v>
      </c>
      <c r="B271" s="2">
        <v>45516</v>
      </c>
      <c r="C271" t="s">
        <v>1679</v>
      </c>
      <c r="D271" t="s">
        <v>1841</v>
      </c>
      <c r="E271" t="s">
        <v>1947</v>
      </c>
      <c r="F271" t="s">
        <v>2239</v>
      </c>
      <c r="G271" t="s">
        <v>2251</v>
      </c>
      <c r="H271" t="s">
        <v>2258</v>
      </c>
      <c r="I271" t="s">
        <v>2260</v>
      </c>
      <c r="J271" t="s">
        <v>2264</v>
      </c>
      <c r="K271">
        <v>3</v>
      </c>
      <c r="L271">
        <v>110</v>
      </c>
      <c r="M271">
        <v>0</v>
      </c>
      <c r="N271">
        <v>330</v>
      </c>
      <c r="O271">
        <v>330</v>
      </c>
      <c r="P271" t="s">
        <v>2267</v>
      </c>
      <c r="Q271" t="s">
        <v>2271</v>
      </c>
      <c r="R271" t="s">
        <v>2276</v>
      </c>
      <c r="S271" t="s">
        <v>2287</v>
      </c>
      <c r="T271" t="s">
        <v>2288</v>
      </c>
      <c r="U271">
        <v>4</v>
      </c>
      <c r="V271">
        <v>78</v>
      </c>
      <c r="X271">
        <v>45.72</v>
      </c>
      <c r="Y271">
        <v>192.84</v>
      </c>
      <c r="Z271" t="s">
        <v>2293</v>
      </c>
      <c r="AA271" t="s">
        <v>2296</v>
      </c>
      <c r="AB271">
        <v>330</v>
      </c>
      <c r="AC271">
        <v>0</v>
      </c>
      <c r="AD271">
        <v>330</v>
      </c>
      <c r="AE271">
        <v>137.16</v>
      </c>
      <c r="AF271">
        <v>192.84</v>
      </c>
      <c r="AG271">
        <v>2024</v>
      </c>
      <c r="AH271">
        <v>8</v>
      </c>
      <c r="AI271" t="s">
        <v>2301</v>
      </c>
      <c r="AJ271" t="s">
        <v>2314</v>
      </c>
    </row>
    <row r="272" spans="1:36" x14ac:dyDescent="0.3">
      <c r="A272" t="s">
        <v>306</v>
      </c>
      <c r="B272" s="2">
        <v>45369</v>
      </c>
      <c r="C272" t="s">
        <v>1712</v>
      </c>
      <c r="D272" t="s">
        <v>1842</v>
      </c>
      <c r="E272" t="s">
        <v>2010</v>
      </c>
      <c r="F272" t="s">
        <v>2240</v>
      </c>
      <c r="G272" t="s">
        <v>2247</v>
      </c>
      <c r="H272" t="s">
        <v>2257</v>
      </c>
      <c r="I272" t="s">
        <v>2262</v>
      </c>
      <c r="J272" t="s">
        <v>2266</v>
      </c>
      <c r="K272">
        <v>3</v>
      </c>
      <c r="L272">
        <v>110</v>
      </c>
      <c r="M272">
        <v>0</v>
      </c>
      <c r="N272">
        <v>330</v>
      </c>
      <c r="O272">
        <v>330</v>
      </c>
      <c r="P272" t="s">
        <v>2269</v>
      </c>
      <c r="Q272" t="s">
        <v>2271</v>
      </c>
      <c r="R272" t="s">
        <v>2277</v>
      </c>
      <c r="S272" t="s">
        <v>2281</v>
      </c>
      <c r="T272" t="s">
        <v>2288</v>
      </c>
      <c r="U272">
        <v>3</v>
      </c>
      <c r="V272">
        <v>100</v>
      </c>
      <c r="X272">
        <v>42.11</v>
      </c>
      <c r="Y272">
        <v>203.67</v>
      </c>
      <c r="Z272" t="s">
        <v>1761</v>
      </c>
      <c r="AA272" t="s">
        <v>2296</v>
      </c>
      <c r="AB272">
        <v>330</v>
      </c>
      <c r="AC272">
        <v>0</v>
      </c>
      <c r="AD272">
        <v>330</v>
      </c>
      <c r="AE272">
        <v>126.33</v>
      </c>
      <c r="AF272">
        <v>203.67</v>
      </c>
      <c r="AG272">
        <v>2024</v>
      </c>
      <c r="AH272">
        <v>3</v>
      </c>
      <c r="AI272" t="s">
        <v>2305</v>
      </c>
      <c r="AJ272" t="s">
        <v>2314</v>
      </c>
    </row>
    <row r="273" spans="1:36" x14ac:dyDescent="0.3">
      <c r="A273" t="s">
        <v>307</v>
      </c>
      <c r="B273" s="2">
        <v>45388</v>
      </c>
      <c r="C273" t="s">
        <v>1732</v>
      </c>
      <c r="D273" t="s">
        <v>1865</v>
      </c>
      <c r="E273" t="s">
        <v>2122</v>
      </c>
      <c r="F273" t="s">
        <v>2238</v>
      </c>
      <c r="G273" t="s">
        <v>2251</v>
      </c>
      <c r="H273" t="s">
        <v>2258</v>
      </c>
      <c r="I273" t="s">
        <v>2260</v>
      </c>
      <c r="J273" t="s">
        <v>2265</v>
      </c>
      <c r="K273">
        <v>1</v>
      </c>
      <c r="L273">
        <v>100</v>
      </c>
      <c r="M273">
        <v>0</v>
      </c>
      <c r="N273">
        <v>100</v>
      </c>
      <c r="O273">
        <v>100</v>
      </c>
      <c r="P273" t="s">
        <v>2269</v>
      </c>
      <c r="Q273" t="s">
        <v>2270</v>
      </c>
      <c r="R273" t="s">
        <v>2279</v>
      </c>
      <c r="S273" t="s">
        <v>2282</v>
      </c>
      <c r="T273" t="s">
        <v>2288</v>
      </c>
      <c r="U273">
        <v>5</v>
      </c>
      <c r="V273">
        <v>252</v>
      </c>
      <c r="W273">
        <v>34</v>
      </c>
      <c r="X273">
        <v>47.96</v>
      </c>
      <c r="Y273">
        <v>52.04</v>
      </c>
      <c r="Z273" t="s">
        <v>2291</v>
      </c>
      <c r="AA273" t="s">
        <v>2296</v>
      </c>
      <c r="AB273">
        <v>100</v>
      </c>
      <c r="AC273">
        <v>0</v>
      </c>
      <c r="AD273">
        <v>100</v>
      </c>
      <c r="AE273">
        <v>47.96</v>
      </c>
      <c r="AF273">
        <v>52.04</v>
      </c>
      <c r="AG273">
        <v>2024</v>
      </c>
      <c r="AH273">
        <v>4</v>
      </c>
      <c r="AI273" t="s">
        <v>2308</v>
      </c>
      <c r="AJ273" t="s">
        <v>2317</v>
      </c>
    </row>
    <row r="274" spans="1:36" x14ac:dyDescent="0.3">
      <c r="A274" t="s">
        <v>308</v>
      </c>
      <c r="B274" s="2">
        <v>45303</v>
      </c>
      <c r="C274" t="s">
        <v>1673</v>
      </c>
      <c r="D274" t="s">
        <v>1756</v>
      </c>
      <c r="E274" t="s">
        <v>2123</v>
      </c>
      <c r="F274" t="s">
        <v>2240</v>
      </c>
      <c r="G274" t="s">
        <v>2243</v>
      </c>
      <c r="H274" t="s">
        <v>2258</v>
      </c>
      <c r="I274" t="s">
        <v>2260</v>
      </c>
      <c r="K274">
        <v>1</v>
      </c>
      <c r="L274">
        <v>80</v>
      </c>
      <c r="M274">
        <v>0.1</v>
      </c>
      <c r="N274">
        <v>80</v>
      </c>
      <c r="O274">
        <v>72</v>
      </c>
      <c r="P274" t="s">
        <v>2268</v>
      </c>
      <c r="Q274" t="s">
        <v>2272</v>
      </c>
      <c r="R274" t="s">
        <v>2273</v>
      </c>
      <c r="S274" t="s">
        <v>2284</v>
      </c>
      <c r="T274" t="s">
        <v>2288</v>
      </c>
      <c r="V274">
        <v>192</v>
      </c>
      <c r="W274">
        <v>43</v>
      </c>
      <c r="X274">
        <v>35.94</v>
      </c>
      <c r="Y274">
        <v>36.06</v>
      </c>
      <c r="Z274" t="s">
        <v>2294</v>
      </c>
      <c r="AA274" t="s">
        <v>2296</v>
      </c>
      <c r="AB274">
        <v>80</v>
      </c>
      <c r="AC274">
        <v>8</v>
      </c>
      <c r="AD274">
        <v>72</v>
      </c>
      <c r="AE274">
        <v>35.94</v>
      </c>
      <c r="AF274">
        <v>36.06</v>
      </c>
      <c r="AG274">
        <v>2024</v>
      </c>
      <c r="AH274">
        <v>1</v>
      </c>
      <c r="AI274" t="s">
        <v>2302</v>
      </c>
      <c r="AJ274" t="s">
        <v>2315</v>
      </c>
    </row>
    <row r="275" spans="1:36" x14ac:dyDescent="0.3">
      <c r="A275" t="s">
        <v>309</v>
      </c>
      <c r="B275" s="2">
        <v>45326</v>
      </c>
      <c r="C275" t="s">
        <v>1701</v>
      </c>
      <c r="D275" t="s">
        <v>1761</v>
      </c>
      <c r="E275" t="s">
        <v>2124</v>
      </c>
      <c r="F275" t="s">
        <v>2239</v>
      </c>
      <c r="G275" t="s">
        <v>2249</v>
      </c>
      <c r="H275" t="s">
        <v>2257</v>
      </c>
      <c r="I275" t="s">
        <v>2263</v>
      </c>
      <c r="J275" t="s">
        <v>2264</v>
      </c>
      <c r="K275">
        <v>3</v>
      </c>
      <c r="L275">
        <v>170</v>
      </c>
      <c r="M275">
        <v>0</v>
      </c>
      <c r="N275">
        <v>510</v>
      </c>
      <c r="O275">
        <v>510</v>
      </c>
      <c r="P275" t="s">
        <v>2267</v>
      </c>
      <c r="R275" t="s">
        <v>2276</v>
      </c>
      <c r="S275" t="s">
        <v>2284</v>
      </c>
      <c r="T275" t="s">
        <v>2290</v>
      </c>
      <c r="U275">
        <v>1</v>
      </c>
      <c r="V275">
        <v>74</v>
      </c>
      <c r="X275">
        <v>57.06</v>
      </c>
      <c r="Y275">
        <v>338.82</v>
      </c>
      <c r="Z275" t="s">
        <v>2291</v>
      </c>
      <c r="AA275" t="s">
        <v>2296</v>
      </c>
      <c r="AB275">
        <v>510</v>
      </c>
      <c r="AC275">
        <v>0</v>
      </c>
      <c r="AD275">
        <v>510</v>
      </c>
      <c r="AE275">
        <v>171.18</v>
      </c>
      <c r="AF275">
        <v>338.82</v>
      </c>
      <c r="AG275">
        <v>2024</v>
      </c>
      <c r="AH275">
        <v>2</v>
      </c>
      <c r="AI275" t="s">
        <v>2303</v>
      </c>
      <c r="AJ275" t="s">
        <v>2318</v>
      </c>
    </row>
    <row r="276" spans="1:36" x14ac:dyDescent="0.3">
      <c r="A276" t="s">
        <v>310</v>
      </c>
      <c r="B276" s="2">
        <v>45551</v>
      </c>
      <c r="C276" t="s">
        <v>1678</v>
      </c>
      <c r="D276" t="s">
        <v>1809</v>
      </c>
      <c r="E276" t="s">
        <v>1961</v>
      </c>
      <c r="F276" t="s">
        <v>2239</v>
      </c>
      <c r="G276" t="s">
        <v>2246</v>
      </c>
      <c r="H276" t="s">
        <v>2259</v>
      </c>
      <c r="I276" t="s">
        <v>2262</v>
      </c>
      <c r="K276">
        <v>5</v>
      </c>
      <c r="L276">
        <v>95</v>
      </c>
      <c r="N276">
        <v>475</v>
      </c>
      <c r="P276" t="s">
        <v>2267</v>
      </c>
      <c r="Q276" t="s">
        <v>2271</v>
      </c>
      <c r="R276" t="s">
        <v>2275</v>
      </c>
      <c r="S276" t="s">
        <v>2281</v>
      </c>
      <c r="T276" t="s">
        <v>2288</v>
      </c>
      <c r="U276">
        <v>3</v>
      </c>
      <c r="V276">
        <v>377</v>
      </c>
      <c r="X276">
        <v>42.3</v>
      </c>
      <c r="Z276" t="s">
        <v>2293</v>
      </c>
      <c r="AA276" t="s">
        <v>2298</v>
      </c>
      <c r="AB276">
        <v>475</v>
      </c>
      <c r="AC276">
        <v>0</v>
      </c>
      <c r="AD276">
        <v>475</v>
      </c>
      <c r="AE276">
        <v>211.5</v>
      </c>
      <c r="AF276">
        <v>263.5</v>
      </c>
      <c r="AG276">
        <v>2024</v>
      </c>
      <c r="AH276">
        <v>9</v>
      </c>
      <c r="AI276" t="s">
        <v>2300</v>
      </c>
      <c r="AJ276" t="s">
        <v>2314</v>
      </c>
    </row>
    <row r="277" spans="1:36" x14ac:dyDescent="0.3">
      <c r="A277" t="s">
        <v>311</v>
      </c>
      <c r="B277" s="2">
        <v>45455</v>
      </c>
      <c r="C277" t="s">
        <v>1655</v>
      </c>
      <c r="D277" t="s">
        <v>1743</v>
      </c>
      <c r="E277" t="s">
        <v>2125</v>
      </c>
      <c r="F277" t="s">
        <v>2240</v>
      </c>
      <c r="G277" t="s">
        <v>2252</v>
      </c>
      <c r="H277" t="s">
        <v>2257</v>
      </c>
      <c r="I277" t="s">
        <v>2262</v>
      </c>
      <c r="K277">
        <v>2</v>
      </c>
      <c r="L277">
        <v>95</v>
      </c>
      <c r="M277">
        <v>0.1</v>
      </c>
      <c r="N277">
        <v>190</v>
      </c>
      <c r="O277">
        <v>171</v>
      </c>
      <c r="P277" t="s">
        <v>2267</v>
      </c>
      <c r="Q277" t="s">
        <v>2270</v>
      </c>
      <c r="R277" t="s">
        <v>2274</v>
      </c>
      <c r="S277" t="s">
        <v>2281</v>
      </c>
      <c r="T277" t="s">
        <v>2288</v>
      </c>
      <c r="U277">
        <v>3</v>
      </c>
      <c r="V277">
        <v>111</v>
      </c>
      <c r="W277">
        <v>41</v>
      </c>
      <c r="X277">
        <v>52.19</v>
      </c>
      <c r="Y277">
        <v>66.62</v>
      </c>
      <c r="Z277" t="s">
        <v>2293</v>
      </c>
      <c r="AA277" t="s">
        <v>1761</v>
      </c>
      <c r="AB277">
        <v>190</v>
      </c>
      <c r="AC277">
        <v>19</v>
      </c>
      <c r="AD277">
        <v>171</v>
      </c>
      <c r="AE277">
        <v>104.38</v>
      </c>
      <c r="AF277">
        <v>66.62</v>
      </c>
      <c r="AG277">
        <v>2024</v>
      </c>
      <c r="AH277">
        <v>6</v>
      </c>
      <c r="AI277" t="s">
        <v>2304</v>
      </c>
      <c r="AJ277" t="s">
        <v>2312</v>
      </c>
    </row>
    <row r="278" spans="1:36" x14ac:dyDescent="0.3">
      <c r="A278" t="s">
        <v>312</v>
      </c>
      <c r="B278" s="2">
        <v>45533</v>
      </c>
      <c r="C278" t="s">
        <v>1729</v>
      </c>
      <c r="D278" t="s">
        <v>1890</v>
      </c>
      <c r="E278" t="s">
        <v>2126</v>
      </c>
      <c r="F278" t="s">
        <v>2239</v>
      </c>
      <c r="G278" t="s">
        <v>2243</v>
      </c>
      <c r="H278" t="s">
        <v>2258</v>
      </c>
      <c r="I278" t="s">
        <v>2260</v>
      </c>
      <c r="J278" t="s">
        <v>2264</v>
      </c>
      <c r="K278">
        <v>2</v>
      </c>
      <c r="L278">
        <v>65</v>
      </c>
      <c r="M278">
        <v>0</v>
      </c>
      <c r="N278">
        <v>130</v>
      </c>
      <c r="O278">
        <v>130</v>
      </c>
      <c r="P278" t="s">
        <v>2269</v>
      </c>
      <c r="Q278" t="s">
        <v>2270</v>
      </c>
      <c r="R278" t="s">
        <v>2274</v>
      </c>
      <c r="S278" t="s">
        <v>2281</v>
      </c>
      <c r="T278" t="s">
        <v>2288</v>
      </c>
      <c r="V278">
        <v>76</v>
      </c>
      <c r="W278">
        <v>13</v>
      </c>
      <c r="X278">
        <v>28.44</v>
      </c>
      <c r="Y278">
        <v>73.12</v>
      </c>
      <c r="Z278" t="s">
        <v>2293</v>
      </c>
      <c r="AA278" t="s">
        <v>2296</v>
      </c>
      <c r="AB278">
        <v>130</v>
      </c>
      <c r="AC278">
        <v>0</v>
      </c>
      <c r="AD278">
        <v>130</v>
      </c>
      <c r="AE278">
        <v>56.88</v>
      </c>
      <c r="AF278">
        <v>73.12</v>
      </c>
      <c r="AG278">
        <v>2024</v>
      </c>
      <c r="AH278">
        <v>8</v>
      </c>
      <c r="AI278" t="s">
        <v>2301</v>
      </c>
      <c r="AJ278" t="s">
        <v>2316</v>
      </c>
    </row>
    <row r="279" spans="1:36" x14ac:dyDescent="0.3">
      <c r="A279" t="s">
        <v>313</v>
      </c>
      <c r="B279" s="2">
        <v>45571</v>
      </c>
      <c r="C279" t="s">
        <v>1679</v>
      </c>
      <c r="D279" t="s">
        <v>1852</v>
      </c>
      <c r="E279" t="s">
        <v>1999</v>
      </c>
      <c r="F279" t="s">
        <v>2240</v>
      </c>
      <c r="G279" t="s">
        <v>2255</v>
      </c>
      <c r="H279" t="s">
        <v>2260</v>
      </c>
      <c r="I279" t="s">
        <v>2260</v>
      </c>
      <c r="J279" t="s">
        <v>2264</v>
      </c>
      <c r="K279">
        <v>2</v>
      </c>
      <c r="L279">
        <v>180</v>
      </c>
      <c r="M279">
        <v>0.1</v>
      </c>
      <c r="N279">
        <v>360</v>
      </c>
      <c r="O279">
        <v>324</v>
      </c>
      <c r="P279" t="s">
        <v>2267</v>
      </c>
      <c r="Q279" t="s">
        <v>2271</v>
      </c>
      <c r="R279" t="s">
        <v>2278</v>
      </c>
      <c r="S279" t="s">
        <v>2280</v>
      </c>
      <c r="T279" t="s">
        <v>2288</v>
      </c>
      <c r="V279">
        <v>76</v>
      </c>
      <c r="X279">
        <v>105.6</v>
      </c>
      <c r="Y279">
        <v>112.8</v>
      </c>
      <c r="Z279" t="s">
        <v>2293</v>
      </c>
      <c r="AA279" t="s">
        <v>2296</v>
      </c>
      <c r="AB279">
        <v>360</v>
      </c>
      <c r="AC279">
        <v>36</v>
      </c>
      <c r="AD279">
        <v>324</v>
      </c>
      <c r="AE279">
        <v>211.2</v>
      </c>
      <c r="AF279">
        <v>112.8</v>
      </c>
      <c r="AG279">
        <v>2024</v>
      </c>
      <c r="AH279">
        <v>10</v>
      </c>
      <c r="AI279" t="s">
        <v>2310</v>
      </c>
      <c r="AJ279" t="s">
        <v>2318</v>
      </c>
    </row>
    <row r="280" spans="1:36" x14ac:dyDescent="0.3">
      <c r="A280" t="s">
        <v>314</v>
      </c>
      <c r="B280" s="2">
        <v>45644</v>
      </c>
      <c r="C280" t="s">
        <v>1639</v>
      </c>
      <c r="D280" t="s">
        <v>1759</v>
      </c>
      <c r="E280" t="s">
        <v>2074</v>
      </c>
      <c r="F280" t="s">
        <v>2239</v>
      </c>
      <c r="G280" t="s">
        <v>2245</v>
      </c>
      <c r="H280" t="s">
        <v>2257</v>
      </c>
      <c r="I280" t="s">
        <v>2263</v>
      </c>
      <c r="J280" t="s">
        <v>2264</v>
      </c>
      <c r="K280">
        <v>2</v>
      </c>
      <c r="L280">
        <v>145</v>
      </c>
      <c r="M280">
        <v>0.1</v>
      </c>
      <c r="N280">
        <v>290</v>
      </c>
      <c r="O280">
        <v>261</v>
      </c>
      <c r="P280" t="s">
        <v>2269</v>
      </c>
      <c r="Q280" t="s">
        <v>2272</v>
      </c>
      <c r="R280" t="s">
        <v>2274</v>
      </c>
      <c r="S280" t="s">
        <v>2286</v>
      </c>
      <c r="T280" t="s">
        <v>2288</v>
      </c>
      <c r="U280">
        <v>5</v>
      </c>
      <c r="V280">
        <v>442</v>
      </c>
      <c r="W280">
        <v>57</v>
      </c>
      <c r="X280">
        <v>76.099999999999994</v>
      </c>
      <c r="Y280">
        <v>108.8</v>
      </c>
      <c r="Z280" t="s">
        <v>2292</v>
      </c>
      <c r="AA280" t="s">
        <v>2299</v>
      </c>
      <c r="AB280">
        <v>290</v>
      </c>
      <c r="AC280">
        <v>29</v>
      </c>
      <c r="AD280">
        <v>261</v>
      </c>
      <c r="AE280">
        <v>152.19999999999999</v>
      </c>
      <c r="AF280">
        <v>108.8</v>
      </c>
      <c r="AG280">
        <v>2024</v>
      </c>
      <c r="AH280">
        <v>12</v>
      </c>
      <c r="AI280" t="s">
        <v>2309</v>
      </c>
      <c r="AJ280" t="s">
        <v>2312</v>
      </c>
    </row>
    <row r="281" spans="1:36" x14ac:dyDescent="0.3">
      <c r="A281" t="s">
        <v>315</v>
      </c>
      <c r="B281" s="2">
        <v>45538</v>
      </c>
      <c r="C281" t="s">
        <v>1694</v>
      </c>
      <c r="D281" t="s">
        <v>1761</v>
      </c>
      <c r="E281" t="s">
        <v>2127</v>
      </c>
      <c r="F281" t="s">
        <v>1761</v>
      </c>
      <c r="G281" t="s">
        <v>2244</v>
      </c>
      <c r="H281" t="s">
        <v>2257</v>
      </c>
      <c r="I281" t="s">
        <v>2262</v>
      </c>
      <c r="J281" t="s">
        <v>2265</v>
      </c>
      <c r="K281">
        <v>1</v>
      </c>
      <c r="L281">
        <v>120</v>
      </c>
      <c r="M281">
        <v>0.1</v>
      </c>
      <c r="N281">
        <v>120</v>
      </c>
      <c r="O281">
        <v>108</v>
      </c>
      <c r="P281" t="s">
        <v>2269</v>
      </c>
      <c r="Q281" t="s">
        <v>2272</v>
      </c>
      <c r="R281" t="s">
        <v>2276</v>
      </c>
      <c r="S281" t="s">
        <v>2285</v>
      </c>
      <c r="T281" t="s">
        <v>2289</v>
      </c>
      <c r="U281">
        <v>1</v>
      </c>
      <c r="V281">
        <v>117</v>
      </c>
      <c r="X281">
        <v>59.37</v>
      </c>
      <c r="Y281">
        <v>48.63</v>
      </c>
      <c r="Z281" t="s">
        <v>1761</v>
      </c>
      <c r="AA281" t="s">
        <v>2296</v>
      </c>
      <c r="AB281">
        <v>120</v>
      </c>
      <c r="AC281">
        <v>12</v>
      </c>
      <c r="AD281">
        <v>108</v>
      </c>
      <c r="AE281">
        <v>59.37</v>
      </c>
      <c r="AF281">
        <v>48.63</v>
      </c>
      <c r="AG281">
        <v>2024</v>
      </c>
      <c r="AH281">
        <v>9</v>
      </c>
      <c r="AI281" t="s">
        <v>2300</v>
      </c>
      <c r="AJ281" t="s">
        <v>2313</v>
      </c>
    </row>
    <row r="282" spans="1:36" x14ac:dyDescent="0.3">
      <c r="A282" t="s">
        <v>316</v>
      </c>
      <c r="B282" s="2">
        <v>45378</v>
      </c>
      <c r="C282" t="s">
        <v>1709</v>
      </c>
      <c r="D282" t="s">
        <v>1891</v>
      </c>
      <c r="E282" t="s">
        <v>2059</v>
      </c>
      <c r="F282" t="s">
        <v>2240</v>
      </c>
      <c r="G282" t="s">
        <v>2253</v>
      </c>
      <c r="H282" t="s">
        <v>2258</v>
      </c>
      <c r="I282" t="s">
        <v>2260</v>
      </c>
      <c r="K282">
        <v>1</v>
      </c>
      <c r="L282">
        <v>100</v>
      </c>
      <c r="M282">
        <v>0.15</v>
      </c>
      <c r="N282">
        <v>100</v>
      </c>
      <c r="O282">
        <v>85</v>
      </c>
      <c r="P282" t="s">
        <v>2268</v>
      </c>
      <c r="Q282" t="s">
        <v>2270</v>
      </c>
      <c r="R282" t="s">
        <v>2275</v>
      </c>
      <c r="S282" t="s">
        <v>2284</v>
      </c>
      <c r="T282" t="s">
        <v>2288</v>
      </c>
      <c r="U282">
        <v>4</v>
      </c>
      <c r="W282">
        <v>44</v>
      </c>
      <c r="X282">
        <v>52.15</v>
      </c>
      <c r="Y282">
        <v>32.85</v>
      </c>
      <c r="Z282" t="s">
        <v>2291</v>
      </c>
      <c r="AA282" t="s">
        <v>2299</v>
      </c>
      <c r="AB282">
        <v>100</v>
      </c>
      <c r="AC282">
        <v>15</v>
      </c>
      <c r="AD282">
        <v>85</v>
      </c>
      <c r="AE282">
        <v>52.15</v>
      </c>
      <c r="AF282">
        <v>32.85</v>
      </c>
      <c r="AG282">
        <v>2024</v>
      </c>
      <c r="AH282">
        <v>3</v>
      </c>
      <c r="AI282" t="s">
        <v>2305</v>
      </c>
      <c r="AJ282" t="s">
        <v>2312</v>
      </c>
    </row>
    <row r="283" spans="1:36" x14ac:dyDescent="0.3">
      <c r="A283" t="s">
        <v>317</v>
      </c>
      <c r="B283" s="2">
        <v>45440</v>
      </c>
      <c r="C283" t="s">
        <v>1729</v>
      </c>
      <c r="D283" t="s">
        <v>1892</v>
      </c>
      <c r="E283" t="s">
        <v>2128</v>
      </c>
      <c r="F283" t="s">
        <v>1761</v>
      </c>
      <c r="G283" t="s">
        <v>2247</v>
      </c>
      <c r="H283" t="s">
        <v>2257</v>
      </c>
      <c r="I283" t="s">
        <v>2262</v>
      </c>
      <c r="K283">
        <v>2</v>
      </c>
      <c r="L283">
        <v>110</v>
      </c>
      <c r="N283">
        <v>220</v>
      </c>
      <c r="P283" t="s">
        <v>2267</v>
      </c>
      <c r="Q283" t="s">
        <v>2270</v>
      </c>
      <c r="R283" t="s">
        <v>2279</v>
      </c>
      <c r="S283" t="s">
        <v>2284</v>
      </c>
      <c r="T283" t="s">
        <v>2288</v>
      </c>
      <c r="U283">
        <v>1</v>
      </c>
      <c r="V283">
        <v>23</v>
      </c>
      <c r="W283">
        <v>10</v>
      </c>
      <c r="X283">
        <v>59.4</v>
      </c>
      <c r="Z283" t="s">
        <v>2294</v>
      </c>
      <c r="AA283" t="s">
        <v>1761</v>
      </c>
      <c r="AB283">
        <v>220</v>
      </c>
      <c r="AC283">
        <v>0</v>
      </c>
      <c r="AD283">
        <v>220</v>
      </c>
      <c r="AE283">
        <v>118.8</v>
      </c>
      <c r="AF283">
        <v>101.2</v>
      </c>
      <c r="AG283">
        <v>2024</v>
      </c>
      <c r="AH283">
        <v>5</v>
      </c>
      <c r="AI283" t="s">
        <v>2306</v>
      </c>
      <c r="AJ283" t="s">
        <v>2313</v>
      </c>
    </row>
    <row r="284" spans="1:36" x14ac:dyDescent="0.3">
      <c r="A284" t="s">
        <v>318</v>
      </c>
      <c r="B284" s="2">
        <v>45576</v>
      </c>
      <c r="C284" t="s">
        <v>1702</v>
      </c>
      <c r="D284" t="s">
        <v>1775</v>
      </c>
      <c r="E284" t="s">
        <v>2090</v>
      </c>
      <c r="F284" t="s">
        <v>2239</v>
      </c>
      <c r="G284" t="s">
        <v>2252</v>
      </c>
      <c r="H284" t="s">
        <v>2257</v>
      </c>
      <c r="I284" t="s">
        <v>2262</v>
      </c>
      <c r="J284" t="s">
        <v>2266</v>
      </c>
      <c r="K284">
        <v>4</v>
      </c>
      <c r="L284">
        <v>95</v>
      </c>
      <c r="M284">
        <v>0.05</v>
      </c>
      <c r="N284">
        <v>380</v>
      </c>
      <c r="O284">
        <v>361</v>
      </c>
      <c r="P284" t="s">
        <v>2268</v>
      </c>
      <c r="Q284" t="s">
        <v>2271</v>
      </c>
      <c r="R284" t="s">
        <v>2277</v>
      </c>
      <c r="S284" t="s">
        <v>2285</v>
      </c>
      <c r="T284" t="s">
        <v>2288</v>
      </c>
      <c r="U284">
        <v>5</v>
      </c>
      <c r="V284">
        <v>438</v>
      </c>
      <c r="W284">
        <v>36</v>
      </c>
      <c r="X284">
        <v>53.75</v>
      </c>
      <c r="Y284">
        <v>146</v>
      </c>
      <c r="Z284" t="s">
        <v>2292</v>
      </c>
      <c r="AA284" t="s">
        <v>2297</v>
      </c>
      <c r="AB284">
        <v>380</v>
      </c>
      <c r="AC284">
        <v>19</v>
      </c>
      <c r="AD284">
        <v>361</v>
      </c>
      <c r="AE284">
        <v>215</v>
      </c>
      <c r="AF284">
        <v>146</v>
      </c>
      <c r="AG284">
        <v>2024</v>
      </c>
      <c r="AH284">
        <v>10</v>
      </c>
      <c r="AI284" t="s">
        <v>2310</v>
      </c>
      <c r="AJ284" t="s">
        <v>2315</v>
      </c>
    </row>
    <row r="285" spans="1:36" x14ac:dyDescent="0.3">
      <c r="A285" t="s">
        <v>319</v>
      </c>
      <c r="B285" s="2">
        <v>45328</v>
      </c>
      <c r="C285" t="s">
        <v>1701</v>
      </c>
      <c r="D285" t="s">
        <v>1893</v>
      </c>
      <c r="E285" t="s">
        <v>1974</v>
      </c>
      <c r="F285" t="s">
        <v>2239</v>
      </c>
      <c r="G285" t="s">
        <v>2256</v>
      </c>
      <c r="H285" t="s">
        <v>2261</v>
      </c>
      <c r="I285" t="s">
        <v>2260</v>
      </c>
      <c r="J285" t="s">
        <v>2265</v>
      </c>
      <c r="K285">
        <v>2</v>
      </c>
      <c r="L285">
        <v>190</v>
      </c>
      <c r="N285">
        <v>380</v>
      </c>
      <c r="P285" t="s">
        <v>2269</v>
      </c>
      <c r="Q285" t="s">
        <v>2271</v>
      </c>
      <c r="R285" t="s">
        <v>2277</v>
      </c>
      <c r="S285" t="s">
        <v>2285</v>
      </c>
      <c r="T285" t="s">
        <v>2288</v>
      </c>
      <c r="U285">
        <v>3</v>
      </c>
      <c r="V285">
        <v>97</v>
      </c>
      <c r="W285">
        <v>57</v>
      </c>
      <c r="X285">
        <v>86.34</v>
      </c>
      <c r="Z285" t="s">
        <v>2292</v>
      </c>
      <c r="AA285" t="s">
        <v>2299</v>
      </c>
      <c r="AB285">
        <v>380</v>
      </c>
      <c r="AC285">
        <v>0</v>
      </c>
      <c r="AD285">
        <v>380</v>
      </c>
      <c r="AE285">
        <v>172.68</v>
      </c>
      <c r="AF285">
        <v>207.32</v>
      </c>
      <c r="AG285">
        <v>2024</v>
      </c>
      <c r="AH285">
        <v>2</v>
      </c>
      <c r="AI285" t="s">
        <v>2303</v>
      </c>
      <c r="AJ285" t="s">
        <v>2313</v>
      </c>
    </row>
    <row r="286" spans="1:36" x14ac:dyDescent="0.3">
      <c r="A286" t="s">
        <v>320</v>
      </c>
      <c r="B286" s="2">
        <v>45342</v>
      </c>
      <c r="C286" t="s">
        <v>1663</v>
      </c>
      <c r="D286" t="s">
        <v>1834</v>
      </c>
      <c r="E286" t="s">
        <v>2072</v>
      </c>
      <c r="F286" t="s">
        <v>1761</v>
      </c>
      <c r="G286" t="s">
        <v>2241</v>
      </c>
      <c r="H286" t="s">
        <v>2257</v>
      </c>
      <c r="I286" t="s">
        <v>2262</v>
      </c>
      <c r="J286" t="s">
        <v>2266</v>
      </c>
      <c r="K286">
        <v>1</v>
      </c>
      <c r="L286">
        <v>135</v>
      </c>
      <c r="M286">
        <v>0.1</v>
      </c>
      <c r="N286">
        <v>135</v>
      </c>
      <c r="O286">
        <v>121.5</v>
      </c>
      <c r="P286" t="s">
        <v>2267</v>
      </c>
      <c r="Q286" t="s">
        <v>2270</v>
      </c>
      <c r="R286" t="s">
        <v>2279</v>
      </c>
      <c r="S286" t="s">
        <v>2287</v>
      </c>
      <c r="T286" t="s">
        <v>2289</v>
      </c>
      <c r="U286">
        <v>4</v>
      </c>
      <c r="V286">
        <v>410</v>
      </c>
      <c r="W286">
        <v>19</v>
      </c>
      <c r="X286">
        <v>66.260000000000005</v>
      </c>
      <c r="Y286">
        <v>55.24</v>
      </c>
      <c r="Z286" t="s">
        <v>2293</v>
      </c>
      <c r="AA286" t="s">
        <v>1761</v>
      </c>
      <c r="AB286">
        <v>135</v>
      </c>
      <c r="AC286">
        <v>13.5</v>
      </c>
      <c r="AD286">
        <v>121.5</v>
      </c>
      <c r="AE286">
        <v>66.260000000000005</v>
      </c>
      <c r="AF286">
        <v>55.239999999999988</v>
      </c>
      <c r="AG286">
        <v>2024</v>
      </c>
      <c r="AH286">
        <v>2</v>
      </c>
      <c r="AI286" t="s">
        <v>2303</v>
      </c>
      <c r="AJ286" t="s">
        <v>2313</v>
      </c>
    </row>
    <row r="287" spans="1:36" x14ac:dyDescent="0.3">
      <c r="A287" t="s">
        <v>321</v>
      </c>
      <c r="B287" s="2">
        <v>45621</v>
      </c>
      <c r="C287" t="s">
        <v>1673</v>
      </c>
      <c r="D287" t="s">
        <v>1768</v>
      </c>
      <c r="E287" t="s">
        <v>1980</v>
      </c>
      <c r="F287" t="s">
        <v>1761</v>
      </c>
      <c r="G287" t="s">
        <v>2255</v>
      </c>
      <c r="H287" t="s">
        <v>2260</v>
      </c>
      <c r="I287" t="s">
        <v>2260</v>
      </c>
      <c r="J287" t="s">
        <v>2264</v>
      </c>
      <c r="K287">
        <v>1</v>
      </c>
      <c r="L287">
        <v>185</v>
      </c>
      <c r="M287">
        <v>0</v>
      </c>
      <c r="N287">
        <v>185</v>
      </c>
      <c r="O287">
        <v>185</v>
      </c>
      <c r="P287" t="s">
        <v>2269</v>
      </c>
      <c r="Q287" t="s">
        <v>2272</v>
      </c>
      <c r="R287" t="s">
        <v>2274</v>
      </c>
      <c r="S287" t="s">
        <v>2281</v>
      </c>
      <c r="T287" t="s">
        <v>2289</v>
      </c>
      <c r="U287">
        <v>4</v>
      </c>
      <c r="V287">
        <v>414</v>
      </c>
      <c r="X287">
        <v>67.16</v>
      </c>
      <c r="Y287">
        <v>117.84</v>
      </c>
      <c r="Z287" t="s">
        <v>2293</v>
      </c>
      <c r="AA287" t="s">
        <v>2296</v>
      </c>
      <c r="AB287">
        <v>185</v>
      </c>
      <c r="AC287">
        <v>0</v>
      </c>
      <c r="AD287">
        <v>185</v>
      </c>
      <c r="AE287">
        <v>67.16</v>
      </c>
      <c r="AF287">
        <v>117.84</v>
      </c>
      <c r="AG287">
        <v>2024</v>
      </c>
      <c r="AH287">
        <v>11</v>
      </c>
      <c r="AI287" t="s">
        <v>2311</v>
      </c>
      <c r="AJ287" t="s">
        <v>2314</v>
      </c>
    </row>
    <row r="288" spans="1:36" x14ac:dyDescent="0.3">
      <c r="A288" t="s">
        <v>322</v>
      </c>
      <c r="C288" t="s">
        <v>1702</v>
      </c>
      <c r="D288" t="s">
        <v>1802</v>
      </c>
      <c r="E288" t="s">
        <v>2129</v>
      </c>
      <c r="F288" t="s">
        <v>2239</v>
      </c>
      <c r="G288" t="s">
        <v>2249</v>
      </c>
      <c r="H288" t="s">
        <v>2257</v>
      </c>
      <c r="I288" t="s">
        <v>2263</v>
      </c>
      <c r="J288" t="s">
        <v>2266</v>
      </c>
      <c r="K288">
        <v>1</v>
      </c>
      <c r="L288">
        <v>170</v>
      </c>
      <c r="M288">
        <v>0</v>
      </c>
      <c r="N288">
        <v>170</v>
      </c>
      <c r="O288">
        <v>170</v>
      </c>
      <c r="P288" t="s">
        <v>2269</v>
      </c>
      <c r="Q288" t="s">
        <v>2270</v>
      </c>
      <c r="R288" t="s">
        <v>2273</v>
      </c>
      <c r="S288" t="s">
        <v>2280</v>
      </c>
      <c r="T288" t="s">
        <v>2288</v>
      </c>
      <c r="V288">
        <v>462</v>
      </c>
      <c r="W288">
        <v>57</v>
      </c>
      <c r="X288">
        <v>56.56</v>
      </c>
      <c r="Y288">
        <v>113.44</v>
      </c>
      <c r="Z288" t="s">
        <v>2294</v>
      </c>
      <c r="AA288" t="s">
        <v>2296</v>
      </c>
      <c r="AB288">
        <v>170</v>
      </c>
      <c r="AC288">
        <v>0</v>
      </c>
      <c r="AD288">
        <v>170</v>
      </c>
      <c r="AE288">
        <v>56.56</v>
      </c>
      <c r="AF288">
        <v>113.44</v>
      </c>
    </row>
    <row r="289" spans="1:36" x14ac:dyDescent="0.3">
      <c r="A289" t="s">
        <v>323</v>
      </c>
      <c r="B289" s="2">
        <v>45362</v>
      </c>
      <c r="C289" t="s">
        <v>1713</v>
      </c>
      <c r="D289" t="s">
        <v>1894</v>
      </c>
      <c r="E289" t="s">
        <v>2116</v>
      </c>
      <c r="F289" t="s">
        <v>2240</v>
      </c>
      <c r="G289" t="s">
        <v>2249</v>
      </c>
      <c r="H289" t="s">
        <v>2257</v>
      </c>
      <c r="I289" t="s">
        <v>2263</v>
      </c>
      <c r="J289" t="s">
        <v>2264</v>
      </c>
      <c r="K289">
        <v>2</v>
      </c>
      <c r="L289">
        <v>155</v>
      </c>
      <c r="M289">
        <v>0</v>
      </c>
      <c r="N289">
        <v>310</v>
      </c>
      <c r="O289">
        <v>310</v>
      </c>
      <c r="P289" t="s">
        <v>2267</v>
      </c>
      <c r="Q289" t="s">
        <v>2270</v>
      </c>
      <c r="R289" t="s">
        <v>2276</v>
      </c>
      <c r="S289" t="s">
        <v>2286</v>
      </c>
      <c r="T289" t="s">
        <v>2288</v>
      </c>
      <c r="V289">
        <v>463</v>
      </c>
      <c r="W289">
        <v>44</v>
      </c>
      <c r="X289">
        <v>94.5</v>
      </c>
      <c r="Y289">
        <v>121</v>
      </c>
      <c r="Z289" t="s">
        <v>2292</v>
      </c>
      <c r="AA289" t="s">
        <v>1761</v>
      </c>
      <c r="AB289">
        <v>310</v>
      </c>
      <c r="AC289">
        <v>0</v>
      </c>
      <c r="AD289">
        <v>310</v>
      </c>
      <c r="AE289">
        <v>189</v>
      </c>
      <c r="AF289">
        <v>121</v>
      </c>
      <c r="AG289">
        <v>2024</v>
      </c>
      <c r="AH289">
        <v>3</v>
      </c>
      <c r="AI289" t="s">
        <v>2305</v>
      </c>
      <c r="AJ289" t="s">
        <v>2314</v>
      </c>
    </row>
    <row r="290" spans="1:36" x14ac:dyDescent="0.3">
      <c r="A290" t="s">
        <v>324</v>
      </c>
      <c r="B290" s="2">
        <v>45581</v>
      </c>
      <c r="C290" t="s">
        <v>1660</v>
      </c>
      <c r="D290" t="s">
        <v>1765</v>
      </c>
      <c r="E290" t="s">
        <v>1973</v>
      </c>
      <c r="F290" t="s">
        <v>2239</v>
      </c>
      <c r="G290" t="s">
        <v>2255</v>
      </c>
      <c r="H290" t="s">
        <v>2260</v>
      </c>
      <c r="I290" t="s">
        <v>2260</v>
      </c>
      <c r="J290" t="s">
        <v>2266</v>
      </c>
      <c r="K290">
        <v>2</v>
      </c>
      <c r="L290">
        <v>190</v>
      </c>
      <c r="M290">
        <v>0.05</v>
      </c>
      <c r="N290">
        <v>380</v>
      </c>
      <c r="O290">
        <v>361</v>
      </c>
      <c r="P290" t="s">
        <v>2269</v>
      </c>
      <c r="R290" t="s">
        <v>2276</v>
      </c>
      <c r="S290" t="s">
        <v>2285</v>
      </c>
      <c r="T290" t="s">
        <v>2288</v>
      </c>
      <c r="V290">
        <v>48</v>
      </c>
      <c r="X290">
        <v>76.91</v>
      </c>
      <c r="Y290">
        <v>207.18</v>
      </c>
      <c r="Z290" t="s">
        <v>2293</v>
      </c>
      <c r="AA290" t="s">
        <v>2297</v>
      </c>
      <c r="AB290">
        <v>380</v>
      </c>
      <c r="AC290">
        <v>19</v>
      </c>
      <c r="AD290">
        <v>361</v>
      </c>
      <c r="AE290">
        <v>153.82</v>
      </c>
      <c r="AF290">
        <v>207.18</v>
      </c>
      <c r="AG290">
        <v>2024</v>
      </c>
      <c r="AH290">
        <v>10</v>
      </c>
      <c r="AI290" t="s">
        <v>2310</v>
      </c>
      <c r="AJ290" t="s">
        <v>2312</v>
      </c>
    </row>
    <row r="291" spans="1:36" x14ac:dyDescent="0.3">
      <c r="A291" t="s">
        <v>325</v>
      </c>
      <c r="B291" s="2">
        <v>45425</v>
      </c>
      <c r="C291" t="s">
        <v>1706</v>
      </c>
      <c r="D291" t="s">
        <v>1849</v>
      </c>
      <c r="E291" t="s">
        <v>2061</v>
      </c>
      <c r="F291" t="s">
        <v>1761</v>
      </c>
      <c r="G291" t="s">
        <v>2254</v>
      </c>
      <c r="H291" t="s">
        <v>2259</v>
      </c>
      <c r="I291" t="s">
        <v>2263</v>
      </c>
      <c r="J291" t="s">
        <v>2265</v>
      </c>
      <c r="K291">
        <v>1</v>
      </c>
      <c r="L291">
        <v>110</v>
      </c>
      <c r="M291">
        <v>0</v>
      </c>
      <c r="N291">
        <v>110</v>
      </c>
      <c r="O291">
        <v>110</v>
      </c>
      <c r="P291" t="s">
        <v>2268</v>
      </c>
      <c r="Q291" t="s">
        <v>2270</v>
      </c>
      <c r="R291" t="s">
        <v>2277</v>
      </c>
      <c r="S291" t="s">
        <v>2283</v>
      </c>
      <c r="T291" t="s">
        <v>2288</v>
      </c>
      <c r="U291">
        <v>4</v>
      </c>
      <c r="V291">
        <v>420</v>
      </c>
      <c r="W291">
        <v>35</v>
      </c>
      <c r="X291">
        <v>44.94</v>
      </c>
      <c r="Y291">
        <v>65.06</v>
      </c>
      <c r="Z291" t="s">
        <v>2293</v>
      </c>
      <c r="AA291" t="s">
        <v>2297</v>
      </c>
      <c r="AB291">
        <v>110</v>
      </c>
      <c r="AC291">
        <v>0</v>
      </c>
      <c r="AD291">
        <v>110</v>
      </c>
      <c r="AE291">
        <v>44.94</v>
      </c>
      <c r="AF291">
        <v>65.06</v>
      </c>
      <c r="AG291">
        <v>2024</v>
      </c>
      <c r="AH291">
        <v>5</v>
      </c>
      <c r="AI291" t="s">
        <v>2306</v>
      </c>
      <c r="AJ291" t="s">
        <v>2314</v>
      </c>
    </row>
    <row r="292" spans="1:36" x14ac:dyDescent="0.3">
      <c r="A292" t="s">
        <v>326</v>
      </c>
      <c r="B292" s="2">
        <v>45629</v>
      </c>
      <c r="C292" t="s">
        <v>1712</v>
      </c>
      <c r="D292" t="s">
        <v>1888</v>
      </c>
      <c r="E292" t="s">
        <v>2032</v>
      </c>
      <c r="F292" t="s">
        <v>1761</v>
      </c>
      <c r="G292" t="s">
        <v>2248</v>
      </c>
      <c r="H292" t="s">
        <v>2257</v>
      </c>
      <c r="I292" t="s">
        <v>2262</v>
      </c>
      <c r="J292" t="s">
        <v>2264</v>
      </c>
      <c r="K292">
        <v>3</v>
      </c>
      <c r="L292">
        <v>150</v>
      </c>
      <c r="N292">
        <v>450</v>
      </c>
      <c r="P292" t="s">
        <v>2268</v>
      </c>
      <c r="Q292" t="s">
        <v>2271</v>
      </c>
      <c r="R292" t="s">
        <v>2274</v>
      </c>
      <c r="S292" t="s">
        <v>2284</v>
      </c>
      <c r="T292" t="s">
        <v>2290</v>
      </c>
      <c r="U292">
        <v>5</v>
      </c>
      <c r="V292">
        <v>34</v>
      </c>
      <c r="W292">
        <v>43</v>
      </c>
      <c r="X292">
        <v>75.28</v>
      </c>
      <c r="Z292" t="s">
        <v>2292</v>
      </c>
      <c r="AA292" t="s">
        <v>2296</v>
      </c>
      <c r="AB292">
        <v>450</v>
      </c>
      <c r="AC292">
        <v>0</v>
      </c>
      <c r="AD292">
        <v>450</v>
      </c>
      <c r="AE292">
        <v>225.84</v>
      </c>
      <c r="AF292">
        <v>224.16</v>
      </c>
      <c r="AG292">
        <v>2024</v>
      </c>
      <c r="AH292">
        <v>12</v>
      </c>
      <c r="AI292" t="s">
        <v>2309</v>
      </c>
      <c r="AJ292" t="s">
        <v>2313</v>
      </c>
    </row>
    <row r="293" spans="1:36" x14ac:dyDescent="0.3">
      <c r="A293" t="s">
        <v>327</v>
      </c>
      <c r="B293" s="2">
        <v>45420</v>
      </c>
      <c r="C293" t="s">
        <v>1682</v>
      </c>
      <c r="D293" t="s">
        <v>1778</v>
      </c>
      <c r="E293" t="s">
        <v>2130</v>
      </c>
      <c r="F293" t="s">
        <v>2239</v>
      </c>
      <c r="G293" t="s">
        <v>2254</v>
      </c>
      <c r="H293" t="s">
        <v>2259</v>
      </c>
      <c r="I293" t="s">
        <v>2263</v>
      </c>
      <c r="K293">
        <v>2</v>
      </c>
      <c r="L293">
        <v>105</v>
      </c>
      <c r="M293">
        <v>0</v>
      </c>
      <c r="N293">
        <v>210</v>
      </c>
      <c r="O293">
        <v>210</v>
      </c>
      <c r="R293" t="s">
        <v>2276</v>
      </c>
      <c r="S293" t="s">
        <v>2285</v>
      </c>
      <c r="T293" t="s">
        <v>2290</v>
      </c>
      <c r="U293">
        <v>4</v>
      </c>
      <c r="V293">
        <v>391</v>
      </c>
      <c r="W293">
        <v>36</v>
      </c>
      <c r="X293">
        <v>44.73</v>
      </c>
      <c r="Y293">
        <v>120.54</v>
      </c>
      <c r="Z293" t="s">
        <v>2291</v>
      </c>
      <c r="AA293" t="s">
        <v>1761</v>
      </c>
      <c r="AB293">
        <v>210</v>
      </c>
      <c r="AC293">
        <v>0</v>
      </c>
      <c r="AD293">
        <v>210</v>
      </c>
      <c r="AE293">
        <v>89.46</v>
      </c>
      <c r="AF293">
        <v>120.54</v>
      </c>
      <c r="AG293">
        <v>2024</v>
      </c>
      <c r="AH293">
        <v>5</v>
      </c>
      <c r="AI293" t="s">
        <v>2306</v>
      </c>
      <c r="AJ293" t="s">
        <v>2312</v>
      </c>
    </row>
    <row r="294" spans="1:36" x14ac:dyDescent="0.3">
      <c r="A294" t="s">
        <v>328</v>
      </c>
      <c r="B294" s="2">
        <v>45514</v>
      </c>
      <c r="C294" t="s">
        <v>1715</v>
      </c>
      <c r="D294" t="s">
        <v>1825</v>
      </c>
      <c r="E294" t="s">
        <v>2131</v>
      </c>
      <c r="F294" t="s">
        <v>2240</v>
      </c>
      <c r="G294" t="s">
        <v>2245</v>
      </c>
      <c r="H294" t="s">
        <v>2257</v>
      </c>
      <c r="I294" t="s">
        <v>2263</v>
      </c>
      <c r="J294" t="s">
        <v>2266</v>
      </c>
      <c r="K294">
        <v>1</v>
      </c>
      <c r="L294">
        <v>155</v>
      </c>
      <c r="M294">
        <v>0.1</v>
      </c>
      <c r="N294">
        <v>155</v>
      </c>
      <c r="O294">
        <v>139.5</v>
      </c>
      <c r="P294" t="s">
        <v>2267</v>
      </c>
      <c r="R294" t="s">
        <v>2275</v>
      </c>
      <c r="S294" t="s">
        <v>2280</v>
      </c>
      <c r="T294" t="s">
        <v>2288</v>
      </c>
      <c r="U294">
        <v>5</v>
      </c>
      <c r="V294">
        <v>20</v>
      </c>
      <c r="X294">
        <v>70.41</v>
      </c>
      <c r="Y294">
        <v>69.09</v>
      </c>
      <c r="Z294" t="s">
        <v>1761</v>
      </c>
      <c r="AA294" t="s">
        <v>2297</v>
      </c>
      <c r="AB294">
        <v>155</v>
      </c>
      <c r="AC294">
        <v>15.5</v>
      </c>
      <c r="AD294">
        <v>139.5</v>
      </c>
      <c r="AE294">
        <v>70.41</v>
      </c>
      <c r="AF294">
        <v>69.09</v>
      </c>
      <c r="AG294">
        <v>2024</v>
      </c>
      <c r="AH294">
        <v>8</v>
      </c>
      <c r="AI294" t="s">
        <v>2301</v>
      </c>
      <c r="AJ294" t="s">
        <v>2317</v>
      </c>
    </row>
    <row r="295" spans="1:36" x14ac:dyDescent="0.3">
      <c r="A295" t="s">
        <v>329</v>
      </c>
      <c r="B295" s="2">
        <v>45355</v>
      </c>
      <c r="C295" t="s">
        <v>1654</v>
      </c>
      <c r="D295" t="s">
        <v>1856</v>
      </c>
      <c r="E295" t="s">
        <v>2132</v>
      </c>
      <c r="F295" t="s">
        <v>2239</v>
      </c>
      <c r="G295" t="s">
        <v>2252</v>
      </c>
      <c r="H295" t="s">
        <v>2257</v>
      </c>
      <c r="I295" t="s">
        <v>2262</v>
      </c>
      <c r="J295" t="s">
        <v>2265</v>
      </c>
      <c r="K295">
        <v>1</v>
      </c>
      <c r="L295">
        <v>95</v>
      </c>
      <c r="M295">
        <v>0.1</v>
      </c>
      <c r="N295">
        <v>95</v>
      </c>
      <c r="O295">
        <v>85.5</v>
      </c>
      <c r="P295" t="s">
        <v>2267</v>
      </c>
      <c r="Q295" t="s">
        <v>2272</v>
      </c>
      <c r="R295" t="s">
        <v>2278</v>
      </c>
      <c r="S295" t="s">
        <v>2287</v>
      </c>
      <c r="T295" t="s">
        <v>2289</v>
      </c>
      <c r="V295">
        <v>146</v>
      </c>
      <c r="X295">
        <v>31.81</v>
      </c>
      <c r="Y295">
        <v>53.69</v>
      </c>
      <c r="Z295" t="s">
        <v>2293</v>
      </c>
      <c r="AA295" t="s">
        <v>1761</v>
      </c>
      <c r="AB295">
        <v>95</v>
      </c>
      <c r="AC295">
        <v>9.5</v>
      </c>
      <c r="AD295">
        <v>85.5</v>
      </c>
      <c r="AE295">
        <v>31.81</v>
      </c>
      <c r="AF295">
        <v>53.69</v>
      </c>
      <c r="AG295">
        <v>2024</v>
      </c>
      <c r="AH295">
        <v>3</v>
      </c>
      <c r="AI295" t="s">
        <v>2305</v>
      </c>
      <c r="AJ295" t="s">
        <v>2314</v>
      </c>
    </row>
    <row r="296" spans="1:36" x14ac:dyDescent="0.3">
      <c r="A296" t="s">
        <v>330</v>
      </c>
      <c r="B296" s="2">
        <v>45591</v>
      </c>
      <c r="C296" t="s">
        <v>1639</v>
      </c>
      <c r="D296" t="s">
        <v>1851</v>
      </c>
      <c r="E296" t="s">
        <v>2056</v>
      </c>
      <c r="F296" t="s">
        <v>2238</v>
      </c>
      <c r="G296" t="s">
        <v>2246</v>
      </c>
      <c r="H296" t="s">
        <v>2259</v>
      </c>
      <c r="I296" t="s">
        <v>2262</v>
      </c>
      <c r="J296" t="s">
        <v>2264</v>
      </c>
      <c r="K296">
        <v>1</v>
      </c>
      <c r="L296">
        <v>105</v>
      </c>
      <c r="M296">
        <v>0.05</v>
      </c>
      <c r="N296">
        <v>105</v>
      </c>
      <c r="O296">
        <v>99.75</v>
      </c>
      <c r="P296" t="s">
        <v>2267</v>
      </c>
      <c r="Q296" t="s">
        <v>2270</v>
      </c>
      <c r="R296" t="s">
        <v>2279</v>
      </c>
      <c r="S296" t="s">
        <v>2283</v>
      </c>
      <c r="T296" t="s">
        <v>2288</v>
      </c>
      <c r="U296">
        <v>2</v>
      </c>
      <c r="W296">
        <v>25</v>
      </c>
      <c r="X296">
        <v>51.06</v>
      </c>
      <c r="Y296">
        <v>48.69</v>
      </c>
      <c r="Z296" t="s">
        <v>2292</v>
      </c>
      <c r="AA296" t="s">
        <v>2299</v>
      </c>
      <c r="AB296">
        <v>105</v>
      </c>
      <c r="AC296">
        <v>5.25</v>
      </c>
      <c r="AD296">
        <v>99.75</v>
      </c>
      <c r="AE296">
        <v>51.06</v>
      </c>
      <c r="AF296">
        <v>48.69</v>
      </c>
      <c r="AG296">
        <v>2024</v>
      </c>
      <c r="AH296">
        <v>10</v>
      </c>
      <c r="AI296" t="s">
        <v>2310</v>
      </c>
      <c r="AJ296" t="s">
        <v>2317</v>
      </c>
    </row>
    <row r="297" spans="1:36" x14ac:dyDescent="0.3">
      <c r="A297" t="s">
        <v>331</v>
      </c>
      <c r="B297" s="2">
        <v>45539</v>
      </c>
      <c r="C297" t="s">
        <v>1658</v>
      </c>
      <c r="D297" t="s">
        <v>1839</v>
      </c>
      <c r="E297" t="s">
        <v>2046</v>
      </c>
      <c r="F297" t="s">
        <v>2240</v>
      </c>
      <c r="G297" t="s">
        <v>2248</v>
      </c>
      <c r="H297" t="s">
        <v>2257</v>
      </c>
      <c r="I297" t="s">
        <v>2262</v>
      </c>
      <c r="J297" t="s">
        <v>2264</v>
      </c>
      <c r="K297">
        <v>1</v>
      </c>
      <c r="L297">
        <v>145</v>
      </c>
      <c r="M297">
        <v>0.1</v>
      </c>
      <c r="N297">
        <v>145</v>
      </c>
      <c r="O297">
        <v>130.5</v>
      </c>
      <c r="P297" t="s">
        <v>2267</v>
      </c>
      <c r="Q297" t="s">
        <v>2270</v>
      </c>
      <c r="R297" t="s">
        <v>2273</v>
      </c>
      <c r="S297" t="s">
        <v>2286</v>
      </c>
      <c r="T297" t="s">
        <v>2288</v>
      </c>
      <c r="V297">
        <v>483</v>
      </c>
      <c r="W297">
        <v>60</v>
      </c>
      <c r="X297">
        <v>79.73</v>
      </c>
      <c r="Y297">
        <v>50.77</v>
      </c>
      <c r="Z297" t="s">
        <v>2293</v>
      </c>
      <c r="AA297" t="s">
        <v>2297</v>
      </c>
      <c r="AB297">
        <v>145</v>
      </c>
      <c r="AC297">
        <v>14.5</v>
      </c>
      <c r="AD297">
        <v>130.5</v>
      </c>
      <c r="AE297">
        <v>79.73</v>
      </c>
      <c r="AF297">
        <v>50.77</v>
      </c>
      <c r="AG297">
        <v>2024</v>
      </c>
      <c r="AH297">
        <v>9</v>
      </c>
      <c r="AI297" t="s">
        <v>2300</v>
      </c>
      <c r="AJ297" t="s">
        <v>2312</v>
      </c>
    </row>
    <row r="298" spans="1:36" x14ac:dyDescent="0.3">
      <c r="A298" t="s">
        <v>332</v>
      </c>
      <c r="B298" s="2">
        <v>45358</v>
      </c>
      <c r="C298" t="s">
        <v>1725</v>
      </c>
      <c r="D298" t="s">
        <v>1769</v>
      </c>
      <c r="E298" t="s">
        <v>2054</v>
      </c>
      <c r="F298" t="s">
        <v>2239</v>
      </c>
      <c r="G298" t="s">
        <v>2248</v>
      </c>
      <c r="H298" t="s">
        <v>2257</v>
      </c>
      <c r="I298" t="s">
        <v>2262</v>
      </c>
      <c r="J298" t="s">
        <v>2264</v>
      </c>
      <c r="L298">
        <v>145</v>
      </c>
      <c r="M298">
        <v>0.15</v>
      </c>
      <c r="N298">
        <v>145</v>
      </c>
      <c r="O298">
        <v>123.25</v>
      </c>
      <c r="P298" t="s">
        <v>2267</v>
      </c>
      <c r="Q298" t="s">
        <v>2270</v>
      </c>
      <c r="R298" t="s">
        <v>2278</v>
      </c>
      <c r="S298" t="s">
        <v>2285</v>
      </c>
      <c r="T298" t="s">
        <v>2288</v>
      </c>
      <c r="U298">
        <v>3</v>
      </c>
      <c r="V298">
        <v>249</v>
      </c>
      <c r="W298">
        <v>54</v>
      </c>
      <c r="X298">
        <v>83.97</v>
      </c>
      <c r="Y298">
        <v>39.28</v>
      </c>
      <c r="Z298" t="s">
        <v>2292</v>
      </c>
      <c r="AA298" t="s">
        <v>2296</v>
      </c>
      <c r="AG298">
        <v>2024</v>
      </c>
      <c r="AH298">
        <v>3</v>
      </c>
      <c r="AI298" t="s">
        <v>2305</v>
      </c>
      <c r="AJ298" t="s">
        <v>2316</v>
      </c>
    </row>
    <row r="299" spans="1:36" x14ac:dyDescent="0.3">
      <c r="A299" t="s">
        <v>333</v>
      </c>
      <c r="B299" s="2">
        <v>45629</v>
      </c>
      <c r="C299" t="s">
        <v>1709</v>
      </c>
      <c r="D299" t="s">
        <v>1836</v>
      </c>
      <c r="E299" t="s">
        <v>2124</v>
      </c>
      <c r="F299" t="s">
        <v>2240</v>
      </c>
      <c r="G299" t="s">
        <v>2255</v>
      </c>
      <c r="H299" t="s">
        <v>2260</v>
      </c>
      <c r="I299" t="s">
        <v>2260</v>
      </c>
      <c r="J299" t="s">
        <v>2265</v>
      </c>
      <c r="K299">
        <v>1</v>
      </c>
      <c r="L299">
        <v>185</v>
      </c>
      <c r="M299">
        <v>0.05</v>
      </c>
      <c r="N299">
        <v>185</v>
      </c>
      <c r="O299">
        <v>175.75</v>
      </c>
      <c r="P299" t="s">
        <v>2267</v>
      </c>
      <c r="R299" t="s">
        <v>2277</v>
      </c>
      <c r="S299" t="s">
        <v>2283</v>
      </c>
      <c r="T299" t="s">
        <v>2288</v>
      </c>
      <c r="U299">
        <v>5</v>
      </c>
      <c r="V299">
        <v>80</v>
      </c>
      <c r="W299">
        <v>23</v>
      </c>
      <c r="X299">
        <v>102.28</v>
      </c>
      <c r="Y299">
        <v>73.47</v>
      </c>
      <c r="Z299" t="s">
        <v>1761</v>
      </c>
      <c r="AA299" t="s">
        <v>2296</v>
      </c>
      <c r="AB299">
        <v>185</v>
      </c>
      <c r="AC299">
        <v>9.25</v>
      </c>
      <c r="AD299">
        <v>175.75</v>
      </c>
      <c r="AE299">
        <v>102.28</v>
      </c>
      <c r="AF299">
        <v>73.47</v>
      </c>
      <c r="AG299">
        <v>2024</v>
      </c>
      <c r="AH299">
        <v>12</v>
      </c>
      <c r="AI299" t="s">
        <v>2309</v>
      </c>
      <c r="AJ299" t="s">
        <v>2313</v>
      </c>
    </row>
    <row r="300" spans="1:36" x14ac:dyDescent="0.3">
      <c r="A300" t="s">
        <v>334</v>
      </c>
      <c r="B300" s="2">
        <v>45557</v>
      </c>
      <c r="C300" t="s">
        <v>1728</v>
      </c>
      <c r="D300" t="s">
        <v>1785</v>
      </c>
      <c r="E300" t="s">
        <v>1977</v>
      </c>
      <c r="F300" t="s">
        <v>2239</v>
      </c>
      <c r="G300" t="s">
        <v>2242</v>
      </c>
      <c r="H300" t="s">
        <v>2258</v>
      </c>
      <c r="I300" t="s">
        <v>2260</v>
      </c>
      <c r="K300">
        <v>2</v>
      </c>
      <c r="L300">
        <v>115</v>
      </c>
      <c r="M300">
        <v>0.15</v>
      </c>
      <c r="N300">
        <v>230</v>
      </c>
      <c r="O300">
        <v>195.5</v>
      </c>
      <c r="P300" t="s">
        <v>2267</v>
      </c>
      <c r="R300" t="s">
        <v>2274</v>
      </c>
      <c r="S300" t="s">
        <v>2282</v>
      </c>
      <c r="T300" t="s">
        <v>2288</v>
      </c>
      <c r="U300">
        <v>3</v>
      </c>
      <c r="V300">
        <v>141</v>
      </c>
      <c r="W300">
        <v>31</v>
      </c>
      <c r="X300">
        <v>55.57</v>
      </c>
      <c r="Y300">
        <v>84.36</v>
      </c>
      <c r="Z300" t="s">
        <v>2293</v>
      </c>
      <c r="AA300" t="s">
        <v>2297</v>
      </c>
      <c r="AB300">
        <v>230</v>
      </c>
      <c r="AC300">
        <v>34.5</v>
      </c>
      <c r="AD300">
        <v>195.5</v>
      </c>
      <c r="AE300">
        <v>111.14</v>
      </c>
      <c r="AF300">
        <v>84.36</v>
      </c>
      <c r="AG300">
        <v>2024</v>
      </c>
      <c r="AH300">
        <v>9</v>
      </c>
      <c r="AI300" t="s">
        <v>2300</v>
      </c>
      <c r="AJ300" t="s">
        <v>2318</v>
      </c>
    </row>
    <row r="301" spans="1:36" x14ac:dyDescent="0.3">
      <c r="A301" t="s">
        <v>335</v>
      </c>
      <c r="B301" s="2">
        <v>45535</v>
      </c>
      <c r="C301" t="s">
        <v>1665</v>
      </c>
      <c r="D301" t="s">
        <v>1895</v>
      </c>
      <c r="E301" t="s">
        <v>2133</v>
      </c>
      <c r="F301" t="s">
        <v>2238</v>
      </c>
      <c r="G301" t="s">
        <v>2245</v>
      </c>
      <c r="H301" t="s">
        <v>2257</v>
      </c>
      <c r="I301" t="s">
        <v>2263</v>
      </c>
      <c r="J301" t="s">
        <v>2266</v>
      </c>
      <c r="K301">
        <v>1</v>
      </c>
      <c r="L301">
        <v>155</v>
      </c>
      <c r="M301">
        <v>0.05</v>
      </c>
      <c r="N301">
        <v>155</v>
      </c>
      <c r="O301">
        <v>147.25</v>
      </c>
      <c r="Q301" t="s">
        <v>2271</v>
      </c>
      <c r="R301" t="s">
        <v>2278</v>
      </c>
      <c r="S301" t="s">
        <v>2282</v>
      </c>
      <c r="T301" t="s">
        <v>2288</v>
      </c>
      <c r="U301">
        <v>4</v>
      </c>
      <c r="V301">
        <v>224</v>
      </c>
      <c r="X301">
        <v>63.29</v>
      </c>
      <c r="Y301">
        <v>83.96</v>
      </c>
      <c r="Z301" t="s">
        <v>2293</v>
      </c>
      <c r="AA301" t="s">
        <v>2298</v>
      </c>
      <c r="AB301">
        <v>155</v>
      </c>
      <c r="AC301">
        <v>7.75</v>
      </c>
      <c r="AD301">
        <v>147.25</v>
      </c>
      <c r="AE301">
        <v>63.29</v>
      </c>
      <c r="AF301">
        <v>83.960000000000008</v>
      </c>
      <c r="AG301">
        <v>2024</v>
      </c>
      <c r="AH301">
        <v>8</v>
      </c>
      <c r="AI301" t="s">
        <v>2301</v>
      </c>
      <c r="AJ301" t="s">
        <v>2317</v>
      </c>
    </row>
    <row r="302" spans="1:36" x14ac:dyDescent="0.3">
      <c r="A302" t="s">
        <v>336</v>
      </c>
      <c r="B302" s="2">
        <v>45408</v>
      </c>
      <c r="C302" t="s">
        <v>1656</v>
      </c>
      <c r="D302" t="s">
        <v>1896</v>
      </c>
      <c r="E302" t="s">
        <v>2134</v>
      </c>
      <c r="F302" t="s">
        <v>2238</v>
      </c>
      <c r="G302" t="s">
        <v>2248</v>
      </c>
      <c r="H302" t="s">
        <v>2257</v>
      </c>
      <c r="I302" t="s">
        <v>2262</v>
      </c>
      <c r="J302" t="s">
        <v>2265</v>
      </c>
      <c r="K302">
        <v>1</v>
      </c>
      <c r="L302">
        <v>145</v>
      </c>
      <c r="M302">
        <v>0</v>
      </c>
      <c r="N302">
        <v>145</v>
      </c>
      <c r="O302">
        <v>145</v>
      </c>
      <c r="P302" t="s">
        <v>2269</v>
      </c>
      <c r="Q302" t="s">
        <v>2270</v>
      </c>
      <c r="R302" t="s">
        <v>2277</v>
      </c>
      <c r="S302" t="s">
        <v>2282</v>
      </c>
      <c r="T302" t="s">
        <v>2288</v>
      </c>
      <c r="U302">
        <v>5</v>
      </c>
      <c r="V302">
        <v>144</v>
      </c>
      <c r="X302">
        <v>84.86</v>
      </c>
      <c r="Y302">
        <v>60.14</v>
      </c>
      <c r="Z302" t="s">
        <v>1761</v>
      </c>
      <c r="AA302" t="s">
        <v>2297</v>
      </c>
      <c r="AB302">
        <v>145</v>
      </c>
      <c r="AC302">
        <v>0</v>
      </c>
      <c r="AD302">
        <v>145</v>
      </c>
      <c r="AE302">
        <v>84.86</v>
      </c>
      <c r="AF302">
        <v>60.14</v>
      </c>
      <c r="AG302">
        <v>2024</v>
      </c>
      <c r="AH302">
        <v>4</v>
      </c>
      <c r="AI302" t="s">
        <v>2308</v>
      </c>
      <c r="AJ302" t="s">
        <v>2315</v>
      </c>
    </row>
    <row r="303" spans="1:36" x14ac:dyDescent="0.3">
      <c r="A303" t="s">
        <v>337</v>
      </c>
      <c r="B303" s="2">
        <v>45455</v>
      </c>
      <c r="C303" t="s">
        <v>1691</v>
      </c>
      <c r="D303" t="s">
        <v>1850</v>
      </c>
      <c r="E303" t="s">
        <v>1945</v>
      </c>
      <c r="F303" t="s">
        <v>2240</v>
      </c>
      <c r="G303" t="s">
        <v>2247</v>
      </c>
      <c r="H303" t="s">
        <v>2257</v>
      </c>
      <c r="I303" t="s">
        <v>2262</v>
      </c>
      <c r="J303" t="s">
        <v>2264</v>
      </c>
      <c r="K303">
        <v>1</v>
      </c>
      <c r="L303">
        <v>110</v>
      </c>
      <c r="M303">
        <v>0.1</v>
      </c>
      <c r="N303">
        <v>110</v>
      </c>
      <c r="O303">
        <v>99</v>
      </c>
      <c r="P303" t="s">
        <v>2269</v>
      </c>
      <c r="Q303" t="s">
        <v>2270</v>
      </c>
      <c r="R303" t="s">
        <v>2277</v>
      </c>
      <c r="S303" t="s">
        <v>2285</v>
      </c>
      <c r="T303" t="s">
        <v>2288</v>
      </c>
      <c r="U303">
        <v>3</v>
      </c>
      <c r="V303">
        <v>382</v>
      </c>
      <c r="W303">
        <v>45</v>
      </c>
      <c r="X303">
        <v>35.29</v>
      </c>
      <c r="Y303">
        <v>63.71</v>
      </c>
      <c r="Z303" t="s">
        <v>2293</v>
      </c>
      <c r="AA303" t="s">
        <v>2298</v>
      </c>
      <c r="AB303">
        <v>110</v>
      </c>
      <c r="AC303">
        <v>11</v>
      </c>
      <c r="AD303">
        <v>99</v>
      </c>
      <c r="AE303">
        <v>35.29</v>
      </c>
      <c r="AF303">
        <v>63.71</v>
      </c>
      <c r="AG303">
        <v>2024</v>
      </c>
      <c r="AH303">
        <v>6</v>
      </c>
      <c r="AI303" t="s">
        <v>2304</v>
      </c>
      <c r="AJ303" t="s">
        <v>2312</v>
      </c>
    </row>
    <row r="304" spans="1:36" x14ac:dyDescent="0.3">
      <c r="A304" t="s">
        <v>338</v>
      </c>
      <c r="B304" s="2">
        <v>45483</v>
      </c>
      <c r="C304" t="s">
        <v>1706</v>
      </c>
      <c r="D304" t="s">
        <v>1842</v>
      </c>
      <c r="E304" t="s">
        <v>2135</v>
      </c>
      <c r="F304" t="s">
        <v>1761</v>
      </c>
      <c r="G304" t="s">
        <v>2250</v>
      </c>
      <c r="H304" t="s">
        <v>2259</v>
      </c>
      <c r="I304" t="s">
        <v>2262</v>
      </c>
      <c r="J304" t="s">
        <v>2266</v>
      </c>
      <c r="K304">
        <v>2</v>
      </c>
      <c r="L304">
        <v>80</v>
      </c>
      <c r="M304">
        <v>0.15</v>
      </c>
      <c r="N304">
        <v>160</v>
      </c>
      <c r="O304">
        <v>136</v>
      </c>
      <c r="P304" t="s">
        <v>2269</v>
      </c>
      <c r="Q304" t="s">
        <v>2271</v>
      </c>
      <c r="R304" t="s">
        <v>2277</v>
      </c>
      <c r="S304" t="s">
        <v>2287</v>
      </c>
      <c r="T304" t="s">
        <v>2290</v>
      </c>
      <c r="U304">
        <v>2</v>
      </c>
      <c r="V304">
        <v>51</v>
      </c>
      <c r="W304">
        <v>55</v>
      </c>
      <c r="X304">
        <v>33.979999999999997</v>
      </c>
      <c r="Y304">
        <v>68.040000000000006</v>
      </c>
      <c r="Z304" t="s">
        <v>2293</v>
      </c>
      <c r="AA304" t="s">
        <v>2299</v>
      </c>
      <c r="AB304">
        <v>160</v>
      </c>
      <c r="AC304">
        <v>24</v>
      </c>
      <c r="AD304">
        <v>136</v>
      </c>
      <c r="AE304">
        <v>67.959999999999994</v>
      </c>
      <c r="AF304">
        <v>68.040000000000006</v>
      </c>
      <c r="AG304">
        <v>2024</v>
      </c>
      <c r="AH304">
        <v>7</v>
      </c>
      <c r="AI304" t="s">
        <v>2307</v>
      </c>
      <c r="AJ304" t="s">
        <v>2312</v>
      </c>
    </row>
    <row r="305" spans="1:36" x14ac:dyDescent="0.3">
      <c r="A305" t="s">
        <v>339</v>
      </c>
      <c r="B305" s="2">
        <v>45414</v>
      </c>
      <c r="C305" t="s">
        <v>1726</v>
      </c>
      <c r="D305" t="s">
        <v>1877</v>
      </c>
      <c r="E305" t="s">
        <v>2040</v>
      </c>
      <c r="F305" t="s">
        <v>2239</v>
      </c>
      <c r="G305" t="s">
        <v>2241</v>
      </c>
      <c r="H305" t="s">
        <v>2257</v>
      </c>
      <c r="I305" t="s">
        <v>2262</v>
      </c>
      <c r="J305" t="s">
        <v>2265</v>
      </c>
      <c r="K305">
        <v>2</v>
      </c>
      <c r="L305">
        <v>140</v>
      </c>
      <c r="N305">
        <v>280</v>
      </c>
      <c r="P305" t="s">
        <v>2268</v>
      </c>
      <c r="Q305" t="s">
        <v>2271</v>
      </c>
      <c r="R305" t="s">
        <v>2275</v>
      </c>
      <c r="S305" t="s">
        <v>2287</v>
      </c>
      <c r="T305" t="s">
        <v>2289</v>
      </c>
      <c r="U305">
        <v>1</v>
      </c>
      <c r="V305">
        <v>47</v>
      </c>
      <c r="X305">
        <v>68.290000000000006</v>
      </c>
      <c r="Z305" t="s">
        <v>2294</v>
      </c>
      <c r="AA305" t="s">
        <v>2299</v>
      </c>
      <c r="AB305">
        <v>280</v>
      </c>
      <c r="AC305">
        <v>0</v>
      </c>
      <c r="AD305">
        <v>280</v>
      </c>
      <c r="AE305">
        <v>136.58000000000001</v>
      </c>
      <c r="AF305">
        <v>143.41999999999999</v>
      </c>
      <c r="AG305">
        <v>2024</v>
      </c>
      <c r="AH305">
        <v>5</v>
      </c>
      <c r="AI305" t="s">
        <v>2306</v>
      </c>
      <c r="AJ305" t="s">
        <v>2316</v>
      </c>
    </row>
    <row r="306" spans="1:36" x14ac:dyDescent="0.3">
      <c r="A306" t="s">
        <v>340</v>
      </c>
      <c r="B306" s="2">
        <v>45508</v>
      </c>
      <c r="C306" t="s">
        <v>1733</v>
      </c>
      <c r="D306" t="s">
        <v>1897</v>
      </c>
      <c r="E306" t="s">
        <v>2136</v>
      </c>
      <c r="F306" t="s">
        <v>2240</v>
      </c>
      <c r="G306" t="s">
        <v>2255</v>
      </c>
      <c r="H306" t="s">
        <v>2260</v>
      </c>
      <c r="I306" t="s">
        <v>2260</v>
      </c>
      <c r="K306">
        <v>2</v>
      </c>
      <c r="L306">
        <v>175</v>
      </c>
      <c r="M306">
        <v>0</v>
      </c>
      <c r="N306">
        <v>350</v>
      </c>
      <c r="O306">
        <v>350</v>
      </c>
      <c r="Q306" t="s">
        <v>2272</v>
      </c>
      <c r="R306" t="s">
        <v>2276</v>
      </c>
      <c r="S306" t="s">
        <v>2281</v>
      </c>
      <c r="T306" t="s">
        <v>2288</v>
      </c>
      <c r="U306">
        <v>4</v>
      </c>
      <c r="V306">
        <v>359</v>
      </c>
      <c r="W306">
        <v>34</v>
      </c>
      <c r="X306">
        <v>105.66</v>
      </c>
      <c r="Y306">
        <v>138.68</v>
      </c>
      <c r="Z306" t="s">
        <v>2292</v>
      </c>
      <c r="AA306" t="s">
        <v>2299</v>
      </c>
      <c r="AB306">
        <v>350</v>
      </c>
      <c r="AC306">
        <v>0</v>
      </c>
      <c r="AD306">
        <v>350</v>
      </c>
      <c r="AE306">
        <v>211.32</v>
      </c>
      <c r="AF306">
        <v>138.68</v>
      </c>
      <c r="AG306">
        <v>2024</v>
      </c>
      <c r="AH306">
        <v>8</v>
      </c>
      <c r="AI306" t="s">
        <v>2301</v>
      </c>
      <c r="AJ306" t="s">
        <v>2318</v>
      </c>
    </row>
    <row r="307" spans="1:36" x14ac:dyDescent="0.3">
      <c r="A307" t="s">
        <v>341</v>
      </c>
      <c r="B307" s="2">
        <v>45621</v>
      </c>
      <c r="C307" t="s">
        <v>1726</v>
      </c>
      <c r="D307" t="s">
        <v>1780</v>
      </c>
      <c r="E307" t="s">
        <v>2010</v>
      </c>
      <c r="F307" t="s">
        <v>2239</v>
      </c>
      <c r="G307" t="s">
        <v>2244</v>
      </c>
      <c r="H307" t="s">
        <v>2257</v>
      </c>
      <c r="I307" t="s">
        <v>2262</v>
      </c>
      <c r="J307" t="s">
        <v>2264</v>
      </c>
      <c r="K307">
        <v>1</v>
      </c>
      <c r="L307">
        <v>120</v>
      </c>
      <c r="N307">
        <v>120</v>
      </c>
      <c r="P307" t="s">
        <v>2268</v>
      </c>
      <c r="Q307" t="s">
        <v>2272</v>
      </c>
      <c r="R307" t="s">
        <v>2275</v>
      </c>
      <c r="S307" t="s">
        <v>2280</v>
      </c>
      <c r="T307" t="s">
        <v>2288</v>
      </c>
      <c r="U307">
        <v>5</v>
      </c>
      <c r="V307">
        <v>399</v>
      </c>
      <c r="W307">
        <v>58</v>
      </c>
      <c r="X307">
        <v>56.7</v>
      </c>
      <c r="Z307" t="s">
        <v>2292</v>
      </c>
      <c r="AA307" t="s">
        <v>2298</v>
      </c>
      <c r="AB307">
        <v>120</v>
      </c>
      <c r="AC307">
        <v>0</v>
      </c>
      <c r="AD307">
        <v>120</v>
      </c>
      <c r="AE307">
        <v>56.7</v>
      </c>
      <c r="AF307">
        <v>63.3</v>
      </c>
      <c r="AG307">
        <v>2024</v>
      </c>
      <c r="AH307">
        <v>11</v>
      </c>
      <c r="AI307" t="s">
        <v>2311</v>
      </c>
      <c r="AJ307" t="s">
        <v>2314</v>
      </c>
    </row>
    <row r="308" spans="1:36" x14ac:dyDescent="0.3">
      <c r="A308" t="s">
        <v>342</v>
      </c>
      <c r="B308" s="2">
        <v>45543</v>
      </c>
      <c r="C308" t="s">
        <v>1728</v>
      </c>
      <c r="D308" t="s">
        <v>1898</v>
      </c>
      <c r="E308" t="s">
        <v>2021</v>
      </c>
      <c r="F308" t="s">
        <v>2238</v>
      </c>
      <c r="G308" t="s">
        <v>2242</v>
      </c>
      <c r="H308" t="s">
        <v>2258</v>
      </c>
      <c r="I308" t="s">
        <v>2260</v>
      </c>
      <c r="J308" t="s">
        <v>2264</v>
      </c>
      <c r="K308">
        <v>1</v>
      </c>
      <c r="L308">
        <v>125</v>
      </c>
      <c r="M308">
        <v>0</v>
      </c>
      <c r="N308">
        <v>125</v>
      </c>
      <c r="O308">
        <v>125</v>
      </c>
      <c r="P308" t="s">
        <v>2268</v>
      </c>
      <c r="Q308" t="s">
        <v>2270</v>
      </c>
      <c r="R308" t="s">
        <v>2276</v>
      </c>
      <c r="S308" t="s">
        <v>2282</v>
      </c>
      <c r="T308" t="s">
        <v>2288</v>
      </c>
      <c r="U308">
        <v>2</v>
      </c>
      <c r="V308">
        <v>294</v>
      </c>
      <c r="W308">
        <v>47</v>
      </c>
      <c r="X308">
        <v>47.41</v>
      </c>
      <c r="Y308">
        <v>77.59</v>
      </c>
      <c r="Z308" t="s">
        <v>1761</v>
      </c>
      <c r="AA308" t="s">
        <v>1761</v>
      </c>
      <c r="AB308">
        <v>125</v>
      </c>
      <c r="AC308">
        <v>0</v>
      </c>
      <c r="AD308">
        <v>125</v>
      </c>
      <c r="AE308">
        <v>47.41</v>
      </c>
      <c r="AF308">
        <v>77.59</v>
      </c>
      <c r="AG308">
        <v>2024</v>
      </c>
      <c r="AH308">
        <v>9</v>
      </c>
      <c r="AI308" t="s">
        <v>2300</v>
      </c>
      <c r="AJ308" t="s">
        <v>2318</v>
      </c>
    </row>
    <row r="309" spans="1:36" x14ac:dyDescent="0.3">
      <c r="A309" t="s">
        <v>343</v>
      </c>
      <c r="B309" s="2">
        <v>45453</v>
      </c>
      <c r="C309" t="s">
        <v>1667</v>
      </c>
      <c r="D309" t="s">
        <v>1879</v>
      </c>
      <c r="E309" t="s">
        <v>1971</v>
      </c>
      <c r="F309" t="s">
        <v>2240</v>
      </c>
      <c r="G309" t="s">
        <v>2243</v>
      </c>
      <c r="H309" t="s">
        <v>2258</v>
      </c>
      <c r="I309" t="s">
        <v>2260</v>
      </c>
      <c r="J309" t="s">
        <v>2266</v>
      </c>
      <c r="K309">
        <v>1</v>
      </c>
      <c r="L309">
        <v>75</v>
      </c>
      <c r="M309">
        <v>0.15</v>
      </c>
      <c r="N309">
        <v>75</v>
      </c>
      <c r="O309">
        <v>63.75</v>
      </c>
      <c r="P309" t="s">
        <v>2267</v>
      </c>
      <c r="Q309" t="s">
        <v>2270</v>
      </c>
      <c r="R309" t="s">
        <v>2275</v>
      </c>
      <c r="S309" t="s">
        <v>2283</v>
      </c>
      <c r="T309" t="s">
        <v>2288</v>
      </c>
      <c r="U309">
        <v>2</v>
      </c>
      <c r="V309">
        <v>457</v>
      </c>
      <c r="X309">
        <v>32.18</v>
      </c>
      <c r="Y309">
        <v>31.57</v>
      </c>
      <c r="Z309" t="s">
        <v>1761</v>
      </c>
      <c r="AA309" t="s">
        <v>2296</v>
      </c>
      <c r="AB309">
        <v>75</v>
      </c>
      <c r="AC309">
        <v>11.25</v>
      </c>
      <c r="AD309">
        <v>63.75</v>
      </c>
      <c r="AE309">
        <v>32.18</v>
      </c>
      <c r="AF309">
        <v>31.57</v>
      </c>
      <c r="AG309">
        <v>2024</v>
      </c>
      <c r="AH309">
        <v>6</v>
      </c>
      <c r="AI309" t="s">
        <v>2304</v>
      </c>
      <c r="AJ309" t="s">
        <v>2314</v>
      </c>
    </row>
    <row r="310" spans="1:36" x14ac:dyDescent="0.3">
      <c r="A310" t="s">
        <v>344</v>
      </c>
      <c r="B310" s="2">
        <v>45522</v>
      </c>
      <c r="C310" t="s">
        <v>1731</v>
      </c>
      <c r="D310" t="s">
        <v>1899</v>
      </c>
      <c r="E310" t="s">
        <v>1959</v>
      </c>
      <c r="F310" t="s">
        <v>2239</v>
      </c>
      <c r="G310" t="s">
        <v>2249</v>
      </c>
      <c r="H310" t="s">
        <v>2257</v>
      </c>
      <c r="I310" t="s">
        <v>2263</v>
      </c>
      <c r="J310" t="s">
        <v>2265</v>
      </c>
      <c r="K310">
        <v>3</v>
      </c>
      <c r="L310">
        <v>170</v>
      </c>
      <c r="M310">
        <v>0</v>
      </c>
      <c r="N310">
        <v>510</v>
      </c>
      <c r="O310">
        <v>510</v>
      </c>
      <c r="P310" t="s">
        <v>2267</v>
      </c>
      <c r="Q310" t="s">
        <v>2270</v>
      </c>
      <c r="R310" t="s">
        <v>2277</v>
      </c>
      <c r="S310" t="s">
        <v>2281</v>
      </c>
      <c r="T310" t="s">
        <v>2288</v>
      </c>
      <c r="U310">
        <v>5</v>
      </c>
      <c r="V310">
        <v>367</v>
      </c>
      <c r="W310">
        <v>20</v>
      </c>
      <c r="X310">
        <v>95.35</v>
      </c>
      <c r="Y310">
        <v>223.95</v>
      </c>
      <c r="Z310" t="s">
        <v>2295</v>
      </c>
      <c r="AA310" t="s">
        <v>2299</v>
      </c>
      <c r="AB310">
        <v>510</v>
      </c>
      <c r="AC310">
        <v>0</v>
      </c>
      <c r="AD310">
        <v>510</v>
      </c>
      <c r="AE310">
        <v>286.05</v>
      </c>
      <c r="AF310">
        <v>223.95</v>
      </c>
      <c r="AG310">
        <v>2024</v>
      </c>
      <c r="AH310">
        <v>8</v>
      </c>
      <c r="AI310" t="s">
        <v>2301</v>
      </c>
      <c r="AJ310" t="s">
        <v>2318</v>
      </c>
    </row>
    <row r="311" spans="1:36" x14ac:dyDescent="0.3">
      <c r="A311" t="s">
        <v>345</v>
      </c>
      <c r="B311" s="2">
        <v>45645</v>
      </c>
      <c r="C311" t="s">
        <v>1703</v>
      </c>
      <c r="D311" t="s">
        <v>1776</v>
      </c>
      <c r="E311" t="s">
        <v>2087</v>
      </c>
      <c r="F311" t="s">
        <v>2238</v>
      </c>
      <c r="G311" t="s">
        <v>2254</v>
      </c>
      <c r="H311" t="s">
        <v>2259</v>
      </c>
      <c r="I311" t="s">
        <v>2263</v>
      </c>
      <c r="J311" t="s">
        <v>2264</v>
      </c>
      <c r="K311">
        <v>1</v>
      </c>
      <c r="L311">
        <v>110</v>
      </c>
      <c r="M311">
        <v>0.1</v>
      </c>
      <c r="N311">
        <v>110</v>
      </c>
      <c r="O311">
        <v>99</v>
      </c>
      <c r="P311" t="s">
        <v>2267</v>
      </c>
      <c r="Q311" t="s">
        <v>2270</v>
      </c>
      <c r="R311" t="s">
        <v>2276</v>
      </c>
      <c r="S311" t="s">
        <v>2281</v>
      </c>
      <c r="T311" t="s">
        <v>2288</v>
      </c>
      <c r="U311">
        <v>1</v>
      </c>
      <c r="V311">
        <v>303</v>
      </c>
      <c r="W311">
        <v>59</v>
      </c>
      <c r="X311">
        <v>62.45</v>
      </c>
      <c r="Y311">
        <v>36.549999999999997</v>
      </c>
      <c r="Z311" t="s">
        <v>2291</v>
      </c>
      <c r="AA311" t="s">
        <v>2297</v>
      </c>
      <c r="AB311">
        <v>110</v>
      </c>
      <c r="AC311">
        <v>11</v>
      </c>
      <c r="AD311">
        <v>99</v>
      </c>
      <c r="AE311">
        <v>62.45</v>
      </c>
      <c r="AF311">
        <v>36.549999999999997</v>
      </c>
      <c r="AG311">
        <v>2024</v>
      </c>
      <c r="AH311">
        <v>12</v>
      </c>
      <c r="AI311" t="s">
        <v>2309</v>
      </c>
      <c r="AJ311" t="s">
        <v>2316</v>
      </c>
    </row>
    <row r="312" spans="1:36" x14ac:dyDescent="0.3">
      <c r="A312" t="s">
        <v>346</v>
      </c>
      <c r="B312" s="2">
        <v>45461</v>
      </c>
      <c r="C312" t="s">
        <v>1702</v>
      </c>
      <c r="D312" t="s">
        <v>1892</v>
      </c>
      <c r="E312" t="s">
        <v>2097</v>
      </c>
      <c r="F312" t="s">
        <v>2239</v>
      </c>
      <c r="G312" t="s">
        <v>2255</v>
      </c>
      <c r="H312" t="s">
        <v>2260</v>
      </c>
      <c r="I312" t="s">
        <v>2260</v>
      </c>
      <c r="J312" t="s">
        <v>2266</v>
      </c>
      <c r="K312">
        <v>4</v>
      </c>
      <c r="L312">
        <v>180</v>
      </c>
      <c r="M312">
        <v>0.05</v>
      </c>
      <c r="N312">
        <v>720</v>
      </c>
      <c r="O312">
        <v>684</v>
      </c>
      <c r="P312" t="s">
        <v>2269</v>
      </c>
      <c r="Q312" t="s">
        <v>2271</v>
      </c>
      <c r="R312" t="s">
        <v>2279</v>
      </c>
      <c r="S312" t="s">
        <v>2284</v>
      </c>
      <c r="T312" t="s">
        <v>2288</v>
      </c>
      <c r="U312">
        <v>3</v>
      </c>
      <c r="V312">
        <v>9</v>
      </c>
      <c r="W312">
        <v>15</v>
      </c>
      <c r="X312">
        <v>98.59</v>
      </c>
      <c r="Y312">
        <v>289.64</v>
      </c>
      <c r="Z312" t="s">
        <v>2294</v>
      </c>
      <c r="AA312" t="s">
        <v>2299</v>
      </c>
      <c r="AB312">
        <v>720</v>
      </c>
      <c r="AC312">
        <v>36</v>
      </c>
      <c r="AD312">
        <v>684</v>
      </c>
      <c r="AE312">
        <v>394.36</v>
      </c>
      <c r="AF312">
        <v>289.64</v>
      </c>
      <c r="AG312">
        <v>2024</v>
      </c>
      <c r="AH312">
        <v>6</v>
      </c>
      <c r="AI312" t="s">
        <v>2304</v>
      </c>
      <c r="AJ312" t="s">
        <v>2313</v>
      </c>
    </row>
    <row r="313" spans="1:36" x14ac:dyDescent="0.3">
      <c r="A313" t="s">
        <v>347</v>
      </c>
      <c r="B313" s="2">
        <v>45650</v>
      </c>
      <c r="C313" t="s">
        <v>1695</v>
      </c>
      <c r="D313" t="s">
        <v>1860</v>
      </c>
      <c r="E313" t="s">
        <v>2137</v>
      </c>
      <c r="F313" t="s">
        <v>2240</v>
      </c>
      <c r="G313" t="s">
        <v>2252</v>
      </c>
      <c r="H313" t="s">
        <v>2257</v>
      </c>
      <c r="I313" t="s">
        <v>2262</v>
      </c>
      <c r="J313" t="s">
        <v>2264</v>
      </c>
      <c r="K313">
        <v>2</v>
      </c>
      <c r="L313">
        <v>85</v>
      </c>
      <c r="M313">
        <v>0.05</v>
      </c>
      <c r="N313">
        <v>170</v>
      </c>
      <c r="O313">
        <v>161.5</v>
      </c>
      <c r="P313" t="s">
        <v>2267</v>
      </c>
      <c r="Q313" t="s">
        <v>2271</v>
      </c>
      <c r="R313" t="s">
        <v>2279</v>
      </c>
      <c r="S313" t="s">
        <v>2281</v>
      </c>
      <c r="T313" t="s">
        <v>2288</v>
      </c>
      <c r="U313">
        <v>4</v>
      </c>
      <c r="V313">
        <v>455</v>
      </c>
      <c r="X313">
        <v>47.46</v>
      </c>
      <c r="Y313">
        <v>66.58</v>
      </c>
      <c r="Z313" t="s">
        <v>2292</v>
      </c>
      <c r="AA313" t="s">
        <v>2297</v>
      </c>
      <c r="AB313">
        <v>170</v>
      </c>
      <c r="AC313">
        <v>8.5</v>
      </c>
      <c r="AD313">
        <v>161.5</v>
      </c>
      <c r="AE313">
        <v>94.92</v>
      </c>
      <c r="AF313">
        <v>66.58</v>
      </c>
      <c r="AG313">
        <v>2024</v>
      </c>
      <c r="AH313">
        <v>12</v>
      </c>
      <c r="AI313" t="s">
        <v>2309</v>
      </c>
      <c r="AJ313" t="s">
        <v>2313</v>
      </c>
    </row>
    <row r="314" spans="1:36" x14ac:dyDescent="0.3">
      <c r="A314" t="s">
        <v>348</v>
      </c>
      <c r="B314" s="2">
        <v>45313</v>
      </c>
      <c r="C314" t="s">
        <v>1731</v>
      </c>
      <c r="D314" t="s">
        <v>1777</v>
      </c>
      <c r="E314" t="s">
        <v>2115</v>
      </c>
      <c r="F314" t="s">
        <v>2240</v>
      </c>
      <c r="G314" t="s">
        <v>2241</v>
      </c>
      <c r="H314" t="s">
        <v>2257</v>
      </c>
      <c r="I314" t="s">
        <v>2262</v>
      </c>
      <c r="J314" t="s">
        <v>2266</v>
      </c>
      <c r="K314">
        <v>2</v>
      </c>
      <c r="L314">
        <v>130</v>
      </c>
      <c r="M314">
        <v>0.15</v>
      </c>
      <c r="N314">
        <v>260</v>
      </c>
      <c r="O314">
        <v>221</v>
      </c>
      <c r="P314" t="s">
        <v>2268</v>
      </c>
      <c r="Q314" t="s">
        <v>2272</v>
      </c>
      <c r="R314" t="s">
        <v>2278</v>
      </c>
      <c r="S314" t="s">
        <v>2283</v>
      </c>
      <c r="T314" t="s">
        <v>2288</v>
      </c>
      <c r="U314">
        <v>1</v>
      </c>
      <c r="V314">
        <v>370</v>
      </c>
      <c r="W314">
        <v>15</v>
      </c>
      <c r="X314">
        <v>46.31</v>
      </c>
      <c r="Y314">
        <v>128.38</v>
      </c>
      <c r="Z314" t="s">
        <v>2292</v>
      </c>
      <c r="AA314" t="s">
        <v>2297</v>
      </c>
      <c r="AB314">
        <v>260</v>
      </c>
      <c r="AC314">
        <v>39</v>
      </c>
      <c r="AD314">
        <v>221</v>
      </c>
      <c r="AE314">
        <v>92.62</v>
      </c>
      <c r="AF314">
        <v>128.38</v>
      </c>
      <c r="AG314">
        <v>2024</v>
      </c>
      <c r="AH314">
        <v>1</v>
      </c>
      <c r="AI314" t="s">
        <v>2302</v>
      </c>
      <c r="AJ314" t="s">
        <v>2314</v>
      </c>
    </row>
    <row r="315" spans="1:36" x14ac:dyDescent="0.3">
      <c r="A315" t="s">
        <v>349</v>
      </c>
      <c r="B315" s="2">
        <v>45487</v>
      </c>
      <c r="C315" t="s">
        <v>1658</v>
      </c>
      <c r="D315" t="s">
        <v>1900</v>
      </c>
      <c r="E315" t="s">
        <v>2093</v>
      </c>
      <c r="F315" t="s">
        <v>2239</v>
      </c>
      <c r="G315" t="s">
        <v>2243</v>
      </c>
      <c r="H315" t="s">
        <v>2258</v>
      </c>
      <c r="I315" t="s">
        <v>2260</v>
      </c>
      <c r="J315" t="s">
        <v>2264</v>
      </c>
      <c r="K315">
        <v>1</v>
      </c>
      <c r="L315">
        <v>80</v>
      </c>
      <c r="M315">
        <v>0.1</v>
      </c>
      <c r="N315">
        <v>80</v>
      </c>
      <c r="O315">
        <v>72</v>
      </c>
      <c r="Q315" t="s">
        <v>2270</v>
      </c>
      <c r="R315" t="s">
        <v>2277</v>
      </c>
      <c r="S315" t="s">
        <v>2286</v>
      </c>
      <c r="T315" t="s">
        <v>2289</v>
      </c>
      <c r="U315">
        <v>5</v>
      </c>
      <c r="V315">
        <v>407</v>
      </c>
      <c r="W315">
        <v>35</v>
      </c>
      <c r="X315">
        <v>27.55</v>
      </c>
      <c r="Y315">
        <v>44.45</v>
      </c>
      <c r="Z315" t="s">
        <v>2294</v>
      </c>
      <c r="AA315" t="s">
        <v>2299</v>
      </c>
      <c r="AB315">
        <v>80</v>
      </c>
      <c r="AC315">
        <v>8</v>
      </c>
      <c r="AD315">
        <v>72</v>
      </c>
      <c r="AE315">
        <v>27.55</v>
      </c>
      <c r="AF315">
        <v>44.45</v>
      </c>
      <c r="AG315">
        <v>2024</v>
      </c>
      <c r="AH315">
        <v>7</v>
      </c>
      <c r="AI315" t="s">
        <v>2307</v>
      </c>
      <c r="AJ315" t="s">
        <v>2318</v>
      </c>
    </row>
    <row r="316" spans="1:36" x14ac:dyDescent="0.3">
      <c r="A316" t="s">
        <v>350</v>
      </c>
      <c r="B316" s="2">
        <v>45610</v>
      </c>
      <c r="C316" t="s">
        <v>1651</v>
      </c>
      <c r="D316" t="s">
        <v>1749</v>
      </c>
      <c r="E316" t="s">
        <v>2019</v>
      </c>
      <c r="F316" t="s">
        <v>1761</v>
      </c>
      <c r="G316" t="s">
        <v>2249</v>
      </c>
      <c r="H316" t="s">
        <v>2257</v>
      </c>
      <c r="I316" t="s">
        <v>2263</v>
      </c>
      <c r="J316" t="s">
        <v>2264</v>
      </c>
      <c r="L316">
        <v>165</v>
      </c>
      <c r="M316">
        <v>0</v>
      </c>
      <c r="O316">
        <v>330</v>
      </c>
      <c r="P316" t="s">
        <v>2269</v>
      </c>
      <c r="Q316" t="s">
        <v>2271</v>
      </c>
      <c r="R316" t="s">
        <v>2279</v>
      </c>
      <c r="S316" t="s">
        <v>2287</v>
      </c>
      <c r="T316" t="s">
        <v>2288</v>
      </c>
      <c r="U316">
        <v>2</v>
      </c>
      <c r="V316">
        <v>154</v>
      </c>
      <c r="W316">
        <v>40</v>
      </c>
      <c r="X316">
        <v>82.2</v>
      </c>
      <c r="Y316">
        <v>165.6</v>
      </c>
      <c r="Z316" t="s">
        <v>2293</v>
      </c>
      <c r="AA316" t="s">
        <v>2296</v>
      </c>
      <c r="AG316">
        <v>2024</v>
      </c>
      <c r="AH316">
        <v>11</v>
      </c>
      <c r="AI316" t="s">
        <v>2311</v>
      </c>
      <c r="AJ316" t="s">
        <v>2316</v>
      </c>
    </row>
    <row r="317" spans="1:36" x14ac:dyDescent="0.3">
      <c r="A317" t="s">
        <v>351</v>
      </c>
      <c r="B317" s="2">
        <v>45570</v>
      </c>
      <c r="C317" t="s">
        <v>1718</v>
      </c>
      <c r="D317" t="s">
        <v>1802</v>
      </c>
      <c r="E317" t="s">
        <v>2020</v>
      </c>
      <c r="F317" t="s">
        <v>1761</v>
      </c>
      <c r="G317" t="s">
        <v>2246</v>
      </c>
      <c r="H317" t="s">
        <v>2259</v>
      </c>
      <c r="I317" t="s">
        <v>2262</v>
      </c>
      <c r="J317" t="s">
        <v>2264</v>
      </c>
      <c r="K317">
        <v>1</v>
      </c>
      <c r="L317">
        <v>95</v>
      </c>
      <c r="M317">
        <v>0.05</v>
      </c>
      <c r="N317">
        <v>95</v>
      </c>
      <c r="O317">
        <v>90.25</v>
      </c>
      <c r="R317" t="s">
        <v>2278</v>
      </c>
      <c r="S317" t="s">
        <v>2286</v>
      </c>
      <c r="T317" t="s">
        <v>2289</v>
      </c>
      <c r="U317">
        <v>4</v>
      </c>
      <c r="V317">
        <v>112</v>
      </c>
      <c r="W317">
        <v>56</v>
      </c>
      <c r="X317">
        <v>38.840000000000003</v>
      </c>
      <c r="Y317">
        <v>51.41</v>
      </c>
      <c r="Z317" t="s">
        <v>2293</v>
      </c>
      <c r="AA317" t="s">
        <v>2296</v>
      </c>
      <c r="AB317">
        <v>95</v>
      </c>
      <c r="AC317">
        <v>4.75</v>
      </c>
      <c r="AD317">
        <v>90.25</v>
      </c>
      <c r="AE317">
        <v>38.840000000000003</v>
      </c>
      <c r="AF317">
        <v>51.41</v>
      </c>
      <c r="AG317">
        <v>2024</v>
      </c>
      <c r="AH317">
        <v>10</v>
      </c>
      <c r="AI317" t="s">
        <v>2310</v>
      </c>
      <c r="AJ317" t="s">
        <v>2317</v>
      </c>
    </row>
    <row r="318" spans="1:36" x14ac:dyDescent="0.3">
      <c r="A318" t="s">
        <v>352</v>
      </c>
      <c r="B318" s="2">
        <v>45480</v>
      </c>
      <c r="C318" t="s">
        <v>1717</v>
      </c>
      <c r="D318" t="s">
        <v>1782</v>
      </c>
      <c r="E318" t="s">
        <v>2053</v>
      </c>
      <c r="F318" t="s">
        <v>2238</v>
      </c>
      <c r="G318" t="s">
        <v>2249</v>
      </c>
      <c r="H318" t="s">
        <v>2257</v>
      </c>
      <c r="I318" t="s">
        <v>2263</v>
      </c>
      <c r="J318" t="s">
        <v>2265</v>
      </c>
      <c r="K318">
        <v>3</v>
      </c>
      <c r="L318">
        <v>160</v>
      </c>
      <c r="M318">
        <v>0.1</v>
      </c>
      <c r="N318">
        <v>480</v>
      </c>
      <c r="O318">
        <v>432</v>
      </c>
      <c r="P318" t="s">
        <v>2269</v>
      </c>
      <c r="R318" t="s">
        <v>2279</v>
      </c>
      <c r="S318" t="s">
        <v>2283</v>
      </c>
      <c r="T318" t="s">
        <v>2290</v>
      </c>
      <c r="U318">
        <v>3</v>
      </c>
      <c r="V318">
        <v>242</v>
      </c>
      <c r="X318">
        <v>69.790000000000006</v>
      </c>
      <c r="Y318">
        <v>222.63</v>
      </c>
      <c r="Z318" t="s">
        <v>2292</v>
      </c>
      <c r="AA318" t="s">
        <v>2296</v>
      </c>
      <c r="AB318">
        <v>480</v>
      </c>
      <c r="AC318">
        <v>48</v>
      </c>
      <c r="AD318">
        <v>432</v>
      </c>
      <c r="AE318">
        <v>209.37</v>
      </c>
      <c r="AF318">
        <v>222.63</v>
      </c>
      <c r="AG318">
        <v>2024</v>
      </c>
      <c r="AH318">
        <v>7</v>
      </c>
      <c r="AI318" t="s">
        <v>2307</v>
      </c>
      <c r="AJ318" t="s">
        <v>2318</v>
      </c>
    </row>
    <row r="319" spans="1:36" x14ac:dyDescent="0.3">
      <c r="A319" t="s">
        <v>353</v>
      </c>
      <c r="B319" s="2">
        <v>45501</v>
      </c>
      <c r="C319" t="s">
        <v>1733</v>
      </c>
      <c r="D319" t="s">
        <v>1901</v>
      </c>
      <c r="E319" t="s">
        <v>2045</v>
      </c>
      <c r="F319" t="s">
        <v>1761</v>
      </c>
      <c r="G319" t="s">
        <v>2256</v>
      </c>
      <c r="H319" t="s">
        <v>2261</v>
      </c>
      <c r="I319" t="s">
        <v>2260</v>
      </c>
      <c r="J319" t="s">
        <v>2266</v>
      </c>
      <c r="K319">
        <v>1</v>
      </c>
      <c r="L319">
        <v>195</v>
      </c>
      <c r="M319">
        <v>0.05</v>
      </c>
      <c r="N319">
        <v>195</v>
      </c>
      <c r="O319">
        <v>185.25</v>
      </c>
      <c r="P319" t="s">
        <v>2268</v>
      </c>
      <c r="Q319" t="s">
        <v>2272</v>
      </c>
      <c r="R319" t="s">
        <v>2274</v>
      </c>
      <c r="S319" t="s">
        <v>2281</v>
      </c>
      <c r="T319" t="s">
        <v>2288</v>
      </c>
      <c r="U319">
        <v>5</v>
      </c>
      <c r="V319">
        <v>457</v>
      </c>
      <c r="W319">
        <v>38</v>
      </c>
      <c r="X319">
        <v>86.83</v>
      </c>
      <c r="Y319">
        <v>98.42</v>
      </c>
      <c r="Z319" t="s">
        <v>1761</v>
      </c>
      <c r="AA319" t="s">
        <v>2297</v>
      </c>
      <c r="AB319">
        <v>195</v>
      </c>
      <c r="AC319">
        <v>9.75</v>
      </c>
      <c r="AD319">
        <v>185.25</v>
      </c>
      <c r="AE319">
        <v>86.83</v>
      </c>
      <c r="AF319">
        <v>98.42</v>
      </c>
      <c r="AG319">
        <v>2024</v>
      </c>
      <c r="AH319">
        <v>7</v>
      </c>
      <c r="AI319" t="s">
        <v>2307</v>
      </c>
      <c r="AJ319" t="s">
        <v>2318</v>
      </c>
    </row>
    <row r="320" spans="1:36" x14ac:dyDescent="0.3">
      <c r="A320" t="s">
        <v>354</v>
      </c>
      <c r="B320" s="2">
        <v>45601</v>
      </c>
      <c r="C320" t="s">
        <v>1734</v>
      </c>
      <c r="D320" t="s">
        <v>1761</v>
      </c>
      <c r="E320" t="s">
        <v>2138</v>
      </c>
      <c r="F320" t="s">
        <v>1761</v>
      </c>
      <c r="G320" t="s">
        <v>2246</v>
      </c>
      <c r="H320" t="s">
        <v>2259</v>
      </c>
      <c r="I320" t="s">
        <v>2262</v>
      </c>
      <c r="J320" t="s">
        <v>2265</v>
      </c>
      <c r="K320">
        <v>1</v>
      </c>
      <c r="L320">
        <v>105</v>
      </c>
      <c r="N320">
        <v>105</v>
      </c>
      <c r="P320" t="s">
        <v>2269</v>
      </c>
      <c r="Q320" t="s">
        <v>2271</v>
      </c>
      <c r="R320" t="s">
        <v>2277</v>
      </c>
      <c r="S320" t="s">
        <v>2285</v>
      </c>
      <c r="T320" t="s">
        <v>2288</v>
      </c>
      <c r="V320">
        <v>369</v>
      </c>
      <c r="W320">
        <v>21</v>
      </c>
      <c r="X320">
        <v>50.74</v>
      </c>
      <c r="Z320" t="s">
        <v>1761</v>
      </c>
      <c r="AA320" t="s">
        <v>1761</v>
      </c>
      <c r="AB320">
        <v>105</v>
      </c>
      <c r="AC320">
        <v>0</v>
      </c>
      <c r="AD320">
        <v>105</v>
      </c>
      <c r="AE320">
        <v>50.74</v>
      </c>
      <c r="AF320">
        <v>54.26</v>
      </c>
      <c r="AG320">
        <v>2024</v>
      </c>
      <c r="AH320">
        <v>11</v>
      </c>
      <c r="AI320" t="s">
        <v>2311</v>
      </c>
      <c r="AJ320" t="s">
        <v>2313</v>
      </c>
    </row>
    <row r="321" spans="1:36" x14ac:dyDescent="0.3">
      <c r="A321" t="s">
        <v>355</v>
      </c>
      <c r="B321" s="2">
        <v>45564</v>
      </c>
      <c r="C321" t="s">
        <v>1667</v>
      </c>
      <c r="D321" t="s">
        <v>1807</v>
      </c>
      <c r="E321" t="s">
        <v>2055</v>
      </c>
      <c r="F321" t="s">
        <v>2240</v>
      </c>
      <c r="G321" t="s">
        <v>2244</v>
      </c>
      <c r="H321" t="s">
        <v>2257</v>
      </c>
      <c r="I321" t="s">
        <v>2262</v>
      </c>
      <c r="J321" t="s">
        <v>2264</v>
      </c>
      <c r="K321">
        <v>1</v>
      </c>
      <c r="L321">
        <v>120</v>
      </c>
      <c r="M321">
        <v>0.05</v>
      </c>
      <c r="N321">
        <v>120</v>
      </c>
      <c r="O321">
        <v>114</v>
      </c>
      <c r="P321" t="s">
        <v>2269</v>
      </c>
      <c r="Q321" t="s">
        <v>2272</v>
      </c>
      <c r="R321" t="s">
        <v>2274</v>
      </c>
      <c r="S321" t="s">
        <v>2282</v>
      </c>
      <c r="T321" t="s">
        <v>2289</v>
      </c>
      <c r="U321">
        <v>5</v>
      </c>
      <c r="V321">
        <v>302</v>
      </c>
      <c r="W321">
        <v>14</v>
      </c>
      <c r="X321">
        <v>60.43</v>
      </c>
      <c r="Y321">
        <v>53.57</v>
      </c>
      <c r="Z321" t="s">
        <v>1761</v>
      </c>
      <c r="AA321" t="s">
        <v>2299</v>
      </c>
      <c r="AB321">
        <v>120</v>
      </c>
      <c r="AC321">
        <v>6</v>
      </c>
      <c r="AD321">
        <v>114</v>
      </c>
      <c r="AE321">
        <v>60.43</v>
      </c>
      <c r="AF321">
        <v>53.57</v>
      </c>
      <c r="AG321">
        <v>2024</v>
      </c>
      <c r="AH321">
        <v>9</v>
      </c>
      <c r="AI321" t="s">
        <v>2300</v>
      </c>
      <c r="AJ321" t="s">
        <v>2318</v>
      </c>
    </row>
    <row r="322" spans="1:36" x14ac:dyDescent="0.3">
      <c r="A322" t="s">
        <v>356</v>
      </c>
      <c r="B322" s="2">
        <v>45583</v>
      </c>
      <c r="C322" t="s">
        <v>1677</v>
      </c>
      <c r="D322" t="s">
        <v>1882</v>
      </c>
      <c r="E322" t="s">
        <v>1990</v>
      </c>
      <c r="F322" t="s">
        <v>2239</v>
      </c>
      <c r="G322" t="s">
        <v>2253</v>
      </c>
      <c r="H322" t="s">
        <v>2258</v>
      </c>
      <c r="I322" t="s">
        <v>2260</v>
      </c>
      <c r="K322">
        <v>1</v>
      </c>
      <c r="L322">
        <v>90</v>
      </c>
      <c r="N322">
        <v>90</v>
      </c>
      <c r="P322" t="s">
        <v>2269</v>
      </c>
      <c r="Q322" t="s">
        <v>2271</v>
      </c>
      <c r="R322" t="s">
        <v>2273</v>
      </c>
      <c r="S322" t="s">
        <v>2283</v>
      </c>
      <c r="T322" t="s">
        <v>2289</v>
      </c>
      <c r="V322">
        <v>132</v>
      </c>
      <c r="W322">
        <v>13</v>
      </c>
      <c r="X322">
        <v>34.83</v>
      </c>
      <c r="Z322" t="s">
        <v>1761</v>
      </c>
      <c r="AA322" t="s">
        <v>2298</v>
      </c>
      <c r="AB322">
        <v>90</v>
      </c>
      <c r="AC322">
        <v>0</v>
      </c>
      <c r="AD322">
        <v>90</v>
      </c>
      <c r="AE322">
        <v>34.83</v>
      </c>
      <c r="AF322">
        <v>55.17</v>
      </c>
      <c r="AG322">
        <v>2024</v>
      </c>
      <c r="AH322">
        <v>10</v>
      </c>
      <c r="AI322" t="s">
        <v>2310</v>
      </c>
      <c r="AJ322" t="s">
        <v>2315</v>
      </c>
    </row>
    <row r="323" spans="1:36" x14ac:dyDescent="0.3">
      <c r="A323" t="s">
        <v>357</v>
      </c>
      <c r="B323" s="2">
        <v>45436</v>
      </c>
      <c r="C323" t="s">
        <v>1730</v>
      </c>
      <c r="D323" t="s">
        <v>1789</v>
      </c>
      <c r="E323" t="s">
        <v>1984</v>
      </c>
      <c r="F323" t="s">
        <v>2238</v>
      </c>
      <c r="G323" t="s">
        <v>2254</v>
      </c>
      <c r="H323" t="s">
        <v>2259</v>
      </c>
      <c r="I323" t="s">
        <v>2263</v>
      </c>
      <c r="J323" t="s">
        <v>2266</v>
      </c>
      <c r="K323">
        <v>2</v>
      </c>
      <c r="L323">
        <v>110</v>
      </c>
      <c r="M323">
        <v>0.1</v>
      </c>
      <c r="N323">
        <v>220</v>
      </c>
      <c r="O323">
        <v>198</v>
      </c>
      <c r="P323" t="s">
        <v>2267</v>
      </c>
      <c r="Q323" t="s">
        <v>2270</v>
      </c>
      <c r="R323" t="s">
        <v>2273</v>
      </c>
      <c r="S323" t="s">
        <v>2282</v>
      </c>
      <c r="T323" t="s">
        <v>2288</v>
      </c>
      <c r="U323">
        <v>5</v>
      </c>
      <c r="V323">
        <v>265</v>
      </c>
      <c r="W323">
        <v>32</v>
      </c>
      <c r="X323">
        <v>48.36</v>
      </c>
      <c r="Y323">
        <v>101.28</v>
      </c>
      <c r="Z323" t="s">
        <v>1761</v>
      </c>
      <c r="AA323" t="s">
        <v>2296</v>
      </c>
      <c r="AB323">
        <v>220</v>
      </c>
      <c r="AC323">
        <v>22</v>
      </c>
      <c r="AD323">
        <v>198</v>
      </c>
      <c r="AE323">
        <v>96.72</v>
      </c>
      <c r="AF323">
        <v>101.28</v>
      </c>
      <c r="AG323">
        <v>2024</v>
      </c>
      <c r="AH323">
        <v>5</v>
      </c>
      <c r="AI323" t="s">
        <v>2306</v>
      </c>
      <c r="AJ323" t="s">
        <v>2315</v>
      </c>
    </row>
    <row r="324" spans="1:36" x14ac:dyDescent="0.3">
      <c r="A324" t="s">
        <v>358</v>
      </c>
      <c r="B324" s="2">
        <v>45567</v>
      </c>
      <c r="C324" t="s">
        <v>1639</v>
      </c>
      <c r="D324" t="s">
        <v>1895</v>
      </c>
      <c r="E324" t="s">
        <v>1991</v>
      </c>
      <c r="F324" t="s">
        <v>2239</v>
      </c>
      <c r="G324" t="s">
        <v>2255</v>
      </c>
      <c r="H324" t="s">
        <v>2260</v>
      </c>
      <c r="I324" t="s">
        <v>2260</v>
      </c>
      <c r="J324" t="s">
        <v>2264</v>
      </c>
      <c r="K324">
        <v>1</v>
      </c>
      <c r="L324">
        <v>180</v>
      </c>
      <c r="M324">
        <v>0.1</v>
      </c>
      <c r="N324">
        <v>180</v>
      </c>
      <c r="O324">
        <v>162</v>
      </c>
      <c r="P324" t="s">
        <v>2269</v>
      </c>
      <c r="Q324" t="s">
        <v>2270</v>
      </c>
      <c r="R324" t="s">
        <v>2277</v>
      </c>
      <c r="S324" t="s">
        <v>2282</v>
      </c>
      <c r="T324" t="s">
        <v>2288</v>
      </c>
      <c r="U324">
        <v>2</v>
      </c>
      <c r="V324">
        <v>39</v>
      </c>
      <c r="W324">
        <v>47</v>
      </c>
      <c r="X324">
        <v>82.47</v>
      </c>
      <c r="Y324">
        <v>79.53</v>
      </c>
      <c r="Z324" t="s">
        <v>1761</v>
      </c>
      <c r="AA324" t="s">
        <v>2299</v>
      </c>
      <c r="AB324">
        <v>180</v>
      </c>
      <c r="AC324">
        <v>18</v>
      </c>
      <c r="AD324">
        <v>162</v>
      </c>
      <c r="AE324">
        <v>82.47</v>
      </c>
      <c r="AF324">
        <v>79.53</v>
      </c>
      <c r="AG324">
        <v>2024</v>
      </c>
      <c r="AH324">
        <v>10</v>
      </c>
      <c r="AI324" t="s">
        <v>2310</v>
      </c>
      <c r="AJ324" t="s">
        <v>2312</v>
      </c>
    </row>
    <row r="325" spans="1:36" x14ac:dyDescent="0.3">
      <c r="A325" t="s">
        <v>359</v>
      </c>
      <c r="B325" s="2">
        <v>45409</v>
      </c>
      <c r="C325" t="s">
        <v>1671</v>
      </c>
      <c r="D325" t="s">
        <v>1851</v>
      </c>
      <c r="E325" t="s">
        <v>2139</v>
      </c>
      <c r="F325" t="s">
        <v>2240</v>
      </c>
      <c r="G325" t="s">
        <v>2255</v>
      </c>
      <c r="H325" t="s">
        <v>2260</v>
      </c>
      <c r="I325" t="s">
        <v>2260</v>
      </c>
      <c r="J325" t="s">
        <v>2264</v>
      </c>
      <c r="K325">
        <v>2</v>
      </c>
      <c r="L325">
        <v>185</v>
      </c>
      <c r="M325">
        <v>0.05</v>
      </c>
      <c r="N325">
        <v>370</v>
      </c>
      <c r="O325">
        <v>351.5</v>
      </c>
      <c r="P325" t="s">
        <v>2268</v>
      </c>
      <c r="Q325" t="s">
        <v>2271</v>
      </c>
      <c r="R325" t="s">
        <v>2278</v>
      </c>
      <c r="S325" t="s">
        <v>2283</v>
      </c>
      <c r="T325" t="s">
        <v>2288</v>
      </c>
      <c r="U325">
        <v>2</v>
      </c>
      <c r="W325">
        <v>53</v>
      </c>
      <c r="X325">
        <v>86.44</v>
      </c>
      <c r="Y325">
        <v>178.62</v>
      </c>
      <c r="Z325" t="s">
        <v>2294</v>
      </c>
      <c r="AA325" t="s">
        <v>1761</v>
      </c>
      <c r="AB325">
        <v>370</v>
      </c>
      <c r="AC325">
        <v>18.5</v>
      </c>
      <c r="AD325">
        <v>351.5</v>
      </c>
      <c r="AE325">
        <v>172.88</v>
      </c>
      <c r="AF325">
        <v>178.62</v>
      </c>
      <c r="AG325">
        <v>2024</v>
      </c>
      <c r="AH325">
        <v>4</v>
      </c>
      <c r="AI325" t="s">
        <v>2308</v>
      </c>
      <c r="AJ325" t="s">
        <v>2317</v>
      </c>
    </row>
    <row r="326" spans="1:36" x14ac:dyDescent="0.3">
      <c r="A326" t="s">
        <v>360</v>
      </c>
      <c r="B326" s="2">
        <v>45364</v>
      </c>
      <c r="C326" t="s">
        <v>1640</v>
      </c>
      <c r="D326" t="s">
        <v>1782</v>
      </c>
      <c r="E326" t="s">
        <v>2006</v>
      </c>
      <c r="F326" t="s">
        <v>2240</v>
      </c>
      <c r="G326" t="s">
        <v>2253</v>
      </c>
      <c r="H326" t="s">
        <v>2258</v>
      </c>
      <c r="I326" t="s">
        <v>2260</v>
      </c>
      <c r="J326" t="s">
        <v>2266</v>
      </c>
      <c r="K326">
        <v>1</v>
      </c>
      <c r="L326">
        <v>100</v>
      </c>
      <c r="M326">
        <v>0.15</v>
      </c>
      <c r="N326">
        <v>100</v>
      </c>
      <c r="O326">
        <v>85</v>
      </c>
      <c r="P326" t="s">
        <v>2267</v>
      </c>
      <c r="Q326" t="s">
        <v>2272</v>
      </c>
      <c r="R326" t="s">
        <v>2273</v>
      </c>
      <c r="S326" t="s">
        <v>2280</v>
      </c>
      <c r="T326" t="s">
        <v>2288</v>
      </c>
      <c r="U326">
        <v>3</v>
      </c>
      <c r="V326">
        <v>470</v>
      </c>
      <c r="W326">
        <v>34</v>
      </c>
      <c r="X326">
        <v>42.43</v>
      </c>
      <c r="Y326">
        <v>42.57</v>
      </c>
      <c r="Z326" t="s">
        <v>2291</v>
      </c>
      <c r="AA326" t="s">
        <v>2297</v>
      </c>
      <c r="AB326">
        <v>100</v>
      </c>
      <c r="AC326">
        <v>15</v>
      </c>
      <c r="AD326">
        <v>85</v>
      </c>
      <c r="AE326">
        <v>42.43</v>
      </c>
      <c r="AF326">
        <v>42.57</v>
      </c>
      <c r="AG326">
        <v>2024</v>
      </c>
      <c r="AH326">
        <v>3</v>
      </c>
      <c r="AI326" t="s">
        <v>2305</v>
      </c>
      <c r="AJ326" t="s">
        <v>2312</v>
      </c>
    </row>
    <row r="327" spans="1:36" x14ac:dyDescent="0.3">
      <c r="A327" t="s">
        <v>361</v>
      </c>
      <c r="B327" s="2">
        <v>45512</v>
      </c>
      <c r="C327" t="s">
        <v>1711</v>
      </c>
      <c r="D327" t="s">
        <v>1832</v>
      </c>
      <c r="E327" t="s">
        <v>1972</v>
      </c>
      <c r="F327" t="s">
        <v>2240</v>
      </c>
      <c r="G327" t="s">
        <v>2249</v>
      </c>
      <c r="H327" t="s">
        <v>2257</v>
      </c>
      <c r="I327" t="s">
        <v>2263</v>
      </c>
      <c r="J327" t="s">
        <v>2264</v>
      </c>
      <c r="K327">
        <v>1</v>
      </c>
      <c r="L327">
        <v>160</v>
      </c>
      <c r="M327">
        <v>0</v>
      </c>
      <c r="N327">
        <v>160</v>
      </c>
      <c r="O327">
        <v>160</v>
      </c>
      <c r="P327" t="s">
        <v>2267</v>
      </c>
      <c r="R327" t="s">
        <v>2275</v>
      </c>
      <c r="S327" t="s">
        <v>2282</v>
      </c>
      <c r="T327" t="s">
        <v>2289</v>
      </c>
      <c r="V327">
        <v>383</v>
      </c>
      <c r="W327">
        <v>30</v>
      </c>
      <c r="X327">
        <v>90.53</v>
      </c>
      <c r="Y327">
        <v>69.47</v>
      </c>
      <c r="Z327" t="s">
        <v>1761</v>
      </c>
      <c r="AA327" t="s">
        <v>2299</v>
      </c>
      <c r="AB327">
        <v>160</v>
      </c>
      <c r="AC327">
        <v>0</v>
      </c>
      <c r="AD327">
        <v>160</v>
      </c>
      <c r="AE327">
        <v>90.53</v>
      </c>
      <c r="AF327">
        <v>69.47</v>
      </c>
      <c r="AG327">
        <v>2024</v>
      </c>
      <c r="AH327">
        <v>8</v>
      </c>
      <c r="AI327" t="s">
        <v>2301</v>
      </c>
      <c r="AJ327" t="s">
        <v>2316</v>
      </c>
    </row>
    <row r="328" spans="1:36" x14ac:dyDescent="0.3">
      <c r="A328" t="s">
        <v>362</v>
      </c>
      <c r="B328" s="2">
        <v>45369</v>
      </c>
      <c r="C328" t="s">
        <v>1637</v>
      </c>
      <c r="D328" t="s">
        <v>1902</v>
      </c>
      <c r="E328" t="s">
        <v>2027</v>
      </c>
      <c r="F328" t="s">
        <v>2239</v>
      </c>
      <c r="G328" t="s">
        <v>2252</v>
      </c>
      <c r="H328" t="s">
        <v>2257</v>
      </c>
      <c r="I328" t="s">
        <v>2262</v>
      </c>
      <c r="J328" t="s">
        <v>2265</v>
      </c>
      <c r="K328">
        <v>2</v>
      </c>
      <c r="L328">
        <v>100</v>
      </c>
      <c r="M328">
        <v>0.1</v>
      </c>
      <c r="N328">
        <v>200</v>
      </c>
      <c r="O328">
        <v>180</v>
      </c>
      <c r="P328" t="s">
        <v>2268</v>
      </c>
      <c r="Q328" t="s">
        <v>2272</v>
      </c>
      <c r="R328" t="s">
        <v>2278</v>
      </c>
      <c r="S328" t="s">
        <v>2282</v>
      </c>
      <c r="T328" t="s">
        <v>2288</v>
      </c>
      <c r="U328">
        <v>2</v>
      </c>
      <c r="V328">
        <v>153</v>
      </c>
      <c r="W328">
        <v>37</v>
      </c>
      <c r="X328">
        <v>44</v>
      </c>
      <c r="Y328">
        <v>92</v>
      </c>
      <c r="Z328" t="s">
        <v>2291</v>
      </c>
      <c r="AA328" t="s">
        <v>2299</v>
      </c>
      <c r="AB328">
        <v>200</v>
      </c>
      <c r="AC328">
        <v>20</v>
      </c>
      <c r="AD328">
        <v>180</v>
      </c>
      <c r="AE328">
        <v>88</v>
      </c>
      <c r="AF328">
        <v>92</v>
      </c>
      <c r="AG328">
        <v>2024</v>
      </c>
      <c r="AH328">
        <v>3</v>
      </c>
      <c r="AI328" t="s">
        <v>2305</v>
      </c>
      <c r="AJ328" t="s">
        <v>2314</v>
      </c>
    </row>
    <row r="329" spans="1:36" x14ac:dyDescent="0.3">
      <c r="A329" t="s">
        <v>363</v>
      </c>
      <c r="B329" s="2">
        <v>45355</v>
      </c>
      <c r="C329" t="s">
        <v>1720</v>
      </c>
      <c r="D329" t="s">
        <v>1825</v>
      </c>
      <c r="E329" t="s">
        <v>2072</v>
      </c>
      <c r="F329" t="s">
        <v>1761</v>
      </c>
      <c r="G329" t="s">
        <v>2248</v>
      </c>
      <c r="H329" t="s">
        <v>2257</v>
      </c>
      <c r="I329" t="s">
        <v>2262</v>
      </c>
      <c r="J329" t="s">
        <v>2266</v>
      </c>
      <c r="K329">
        <v>1</v>
      </c>
      <c r="L329">
        <v>145</v>
      </c>
      <c r="M329">
        <v>0.05</v>
      </c>
      <c r="N329">
        <v>145</v>
      </c>
      <c r="O329">
        <v>137.75</v>
      </c>
      <c r="P329" t="s">
        <v>2269</v>
      </c>
      <c r="Q329" t="s">
        <v>2272</v>
      </c>
      <c r="R329" t="s">
        <v>2274</v>
      </c>
      <c r="S329" t="s">
        <v>2285</v>
      </c>
      <c r="T329" t="s">
        <v>2288</v>
      </c>
      <c r="U329">
        <v>1</v>
      </c>
      <c r="V329">
        <v>72</v>
      </c>
      <c r="W329">
        <v>12</v>
      </c>
      <c r="X329">
        <v>72.349999999999994</v>
      </c>
      <c r="Y329">
        <v>65.400000000000006</v>
      </c>
      <c r="Z329" t="s">
        <v>2293</v>
      </c>
      <c r="AA329" t="s">
        <v>2298</v>
      </c>
      <c r="AB329">
        <v>145</v>
      </c>
      <c r="AC329">
        <v>7.25</v>
      </c>
      <c r="AD329">
        <v>137.75</v>
      </c>
      <c r="AE329">
        <v>72.349999999999994</v>
      </c>
      <c r="AF329">
        <v>65.400000000000006</v>
      </c>
      <c r="AG329">
        <v>2024</v>
      </c>
      <c r="AH329">
        <v>3</v>
      </c>
      <c r="AI329" t="s">
        <v>2305</v>
      </c>
      <c r="AJ329" t="s">
        <v>2314</v>
      </c>
    </row>
    <row r="330" spans="1:36" x14ac:dyDescent="0.3">
      <c r="A330" t="s">
        <v>364</v>
      </c>
      <c r="B330" s="2">
        <v>45598</v>
      </c>
      <c r="C330" t="s">
        <v>1681</v>
      </c>
      <c r="D330" t="s">
        <v>1831</v>
      </c>
      <c r="E330" t="s">
        <v>2140</v>
      </c>
      <c r="F330" t="s">
        <v>2238</v>
      </c>
      <c r="G330" t="s">
        <v>2242</v>
      </c>
      <c r="H330" t="s">
        <v>2258</v>
      </c>
      <c r="I330" t="s">
        <v>2260</v>
      </c>
      <c r="J330" t="s">
        <v>2265</v>
      </c>
      <c r="L330">
        <v>125</v>
      </c>
      <c r="M330">
        <v>0.1</v>
      </c>
      <c r="N330">
        <v>375</v>
      </c>
      <c r="O330">
        <v>337.5</v>
      </c>
      <c r="P330" t="s">
        <v>2268</v>
      </c>
      <c r="Q330" t="s">
        <v>2272</v>
      </c>
      <c r="R330" t="s">
        <v>2274</v>
      </c>
      <c r="S330" t="s">
        <v>2285</v>
      </c>
      <c r="T330" t="s">
        <v>2288</v>
      </c>
      <c r="U330">
        <v>4</v>
      </c>
      <c r="V330">
        <v>130</v>
      </c>
      <c r="W330">
        <v>59</v>
      </c>
      <c r="X330">
        <v>42.75</v>
      </c>
      <c r="Y330">
        <v>209.25</v>
      </c>
      <c r="Z330" t="s">
        <v>2291</v>
      </c>
      <c r="AA330" t="s">
        <v>1761</v>
      </c>
      <c r="AG330">
        <v>2024</v>
      </c>
      <c r="AH330">
        <v>11</v>
      </c>
      <c r="AI330" t="s">
        <v>2311</v>
      </c>
      <c r="AJ330" t="s">
        <v>2317</v>
      </c>
    </row>
    <row r="331" spans="1:36" x14ac:dyDescent="0.3">
      <c r="A331" t="s">
        <v>365</v>
      </c>
      <c r="B331" s="2">
        <v>45603</v>
      </c>
      <c r="C331" t="s">
        <v>1708</v>
      </c>
      <c r="D331" t="s">
        <v>1864</v>
      </c>
      <c r="E331" t="s">
        <v>2091</v>
      </c>
      <c r="F331" t="s">
        <v>2239</v>
      </c>
      <c r="G331" t="s">
        <v>2255</v>
      </c>
      <c r="H331" t="s">
        <v>2260</v>
      </c>
      <c r="I331" t="s">
        <v>2260</v>
      </c>
      <c r="K331">
        <v>1</v>
      </c>
      <c r="L331">
        <v>190</v>
      </c>
      <c r="M331">
        <v>0.15</v>
      </c>
      <c r="N331">
        <v>190</v>
      </c>
      <c r="O331">
        <v>161.5</v>
      </c>
      <c r="P331" t="s">
        <v>2267</v>
      </c>
      <c r="Q331" t="s">
        <v>2272</v>
      </c>
      <c r="R331" t="s">
        <v>2273</v>
      </c>
      <c r="S331" t="s">
        <v>2280</v>
      </c>
      <c r="T331" t="s">
        <v>2289</v>
      </c>
      <c r="U331">
        <v>1</v>
      </c>
      <c r="V331">
        <v>311</v>
      </c>
      <c r="W331">
        <v>30</v>
      </c>
      <c r="X331">
        <v>105.3</v>
      </c>
      <c r="Y331">
        <v>56.2</v>
      </c>
      <c r="Z331" t="s">
        <v>2294</v>
      </c>
      <c r="AA331" t="s">
        <v>2296</v>
      </c>
      <c r="AB331">
        <v>190</v>
      </c>
      <c r="AC331">
        <v>28.5</v>
      </c>
      <c r="AD331">
        <v>161.5</v>
      </c>
      <c r="AE331">
        <v>105.3</v>
      </c>
      <c r="AF331">
        <v>56.2</v>
      </c>
      <c r="AG331">
        <v>2024</v>
      </c>
      <c r="AH331">
        <v>11</v>
      </c>
      <c r="AI331" t="s">
        <v>2311</v>
      </c>
      <c r="AJ331" t="s">
        <v>2316</v>
      </c>
    </row>
    <row r="332" spans="1:36" x14ac:dyDescent="0.3">
      <c r="A332" t="s">
        <v>366</v>
      </c>
      <c r="B332" s="2">
        <v>45483</v>
      </c>
      <c r="C332" t="s">
        <v>1646</v>
      </c>
      <c r="D332" t="s">
        <v>1776</v>
      </c>
      <c r="E332" t="s">
        <v>1975</v>
      </c>
      <c r="F332" t="s">
        <v>2239</v>
      </c>
      <c r="G332" t="s">
        <v>2251</v>
      </c>
      <c r="H332" t="s">
        <v>2258</v>
      </c>
      <c r="I332" t="s">
        <v>2260</v>
      </c>
      <c r="J332" t="s">
        <v>2265</v>
      </c>
      <c r="K332">
        <v>1</v>
      </c>
      <c r="L332">
        <v>110</v>
      </c>
      <c r="M332">
        <v>0</v>
      </c>
      <c r="N332">
        <v>110</v>
      </c>
      <c r="O332">
        <v>110</v>
      </c>
      <c r="P332" t="s">
        <v>2268</v>
      </c>
      <c r="Q332" t="s">
        <v>2272</v>
      </c>
      <c r="R332" t="s">
        <v>2273</v>
      </c>
      <c r="S332" t="s">
        <v>2280</v>
      </c>
      <c r="T332" t="s">
        <v>2288</v>
      </c>
      <c r="U332">
        <v>3</v>
      </c>
      <c r="V332">
        <v>381</v>
      </c>
      <c r="W332">
        <v>45</v>
      </c>
      <c r="X332">
        <v>58.83</v>
      </c>
      <c r="Y332">
        <v>51.17</v>
      </c>
      <c r="Z332" t="s">
        <v>2293</v>
      </c>
      <c r="AA332" t="s">
        <v>2299</v>
      </c>
      <c r="AB332">
        <v>110</v>
      </c>
      <c r="AC332">
        <v>0</v>
      </c>
      <c r="AD332">
        <v>110</v>
      </c>
      <c r="AE332">
        <v>58.83</v>
      </c>
      <c r="AF332">
        <v>51.17</v>
      </c>
      <c r="AG332">
        <v>2024</v>
      </c>
      <c r="AH332">
        <v>7</v>
      </c>
      <c r="AI332" t="s">
        <v>2307</v>
      </c>
      <c r="AJ332" t="s">
        <v>2312</v>
      </c>
    </row>
    <row r="333" spans="1:36" x14ac:dyDescent="0.3">
      <c r="A333" t="s">
        <v>367</v>
      </c>
      <c r="B333" s="2">
        <v>45487</v>
      </c>
      <c r="C333" t="s">
        <v>1654</v>
      </c>
      <c r="D333" t="s">
        <v>1903</v>
      </c>
      <c r="E333" t="s">
        <v>2141</v>
      </c>
      <c r="F333" t="s">
        <v>2239</v>
      </c>
      <c r="G333" t="s">
        <v>2245</v>
      </c>
      <c r="H333" t="s">
        <v>2257</v>
      </c>
      <c r="I333" t="s">
        <v>2263</v>
      </c>
      <c r="J333" t="s">
        <v>2264</v>
      </c>
      <c r="K333">
        <v>3</v>
      </c>
      <c r="L333">
        <v>160</v>
      </c>
      <c r="M333">
        <v>0</v>
      </c>
      <c r="N333">
        <v>480</v>
      </c>
      <c r="O333">
        <v>480</v>
      </c>
      <c r="P333" t="s">
        <v>2269</v>
      </c>
      <c r="R333" t="s">
        <v>2277</v>
      </c>
      <c r="S333" t="s">
        <v>2281</v>
      </c>
      <c r="T333" t="s">
        <v>2289</v>
      </c>
      <c r="U333">
        <v>2</v>
      </c>
      <c r="V333">
        <v>262</v>
      </c>
      <c r="W333">
        <v>10</v>
      </c>
      <c r="X333">
        <v>78.459999999999994</v>
      </c>
      <c r="Y333">
        <v>244.62</v>
      </c>
      <c r="Z333" t="s">
        <v>2293</v>
      </c>
      <c r="AA333" t="s">
        <v>1761</v>
      </c>
      <c r="AB333">
        <v>480</v>
      </c>
      <c r="AC333">
        <v>0</v>
      </c>
      <c r="AD333">
        <v>480</v>
      </c>
      <c r="AE333">
        <v>235.38</v>
      </c>
      <c r="AF333">
        <v>244.62</v>
      </c>
      <c r="AG333">
        <v>2024</v>
      </c>
      <c r="AH333">
        <v>7</v>
      </c>
      <c r="AI333" t="s">
        <v>2307</v>
      </c>
      <c r="AJ333" t="s">
        <v>2318</v>
      </c>
    </row>
    <row r="334" spans="1:36" x14ac:dyDescent="0.3">
      <c r="A334" t="s">
        <v>368</v>
      </c>
      <c r="B334" s="2">
        <v>45474</v>
      </c>
      <c r="C334" t="s">
        <v>1675</v>
      </c>
      <c r="D334" t="s">
        <v>1853</v>
      </c>
      <c r="E334" t="s">
        <v>1761</v>
      </c>
      <c r="F334" t="s">
        <v>2238</v>
      </c>
      <c r="G334" t="s">
        <v>2248</v>
      </c>
      <c r="H334" t="s">
        <v>2257</v>
      </c>
      <c r="I334" t="s">
        <v>2262</v>
      </c>
      <c r="J334" t="s">
        <v>2264</v>
      </c>
      <c r="K334">
        <v>3</v>
      </c>
      <c r="L334">
        <v>155</v>
      </c>
      <c r="M334">
        <v>0.1</v>
      </c>
      <c r="N334">
        <v>465</v>
      </c>
      <c r="O334">
        <v>418.5</v>
      </c>
      <c r="Q334" t="s">
        <v>2272</v>
      </c>
      <c r="R334" t="s">
        <v>2274</v>
      </c>
      <c r="S334" t="s">
        <v>2283</v>
      </c>
      <c r="T334" t="s">
        <v>2290</v>
      </c>
      <c r="U334">
        <v>1</v>
      </c>
      <c r="V334">
        <v>139</v>
      </c>
      <c r="W334">
        <v>24</v>
      </c>
      <c r="X334">
        <v>70.760000000000005</v>
      </c>
      <c r="Y334">
        <v>206.22</v>
      </c>
      <c r="Z334" t="s">
        <v>2294</v>
      </c>
      <c r="AA334" t="s">
        <v>2297</v>
      </c>
      <c r="AB334">
        <v>465</v>
      </c>
      <c r="AC334">
        <v>46.5</v>
      </c>
      <c r="AD334">
        <v>418.5</v>
      </c>
      <c r="AE334">
        <v>212.28</v>
      </c>
      <c r="AF334">
        <v>206.22</v>
      </c>
      <c r="AG334">
        <v>2024</v>
      </c>
      <c r="AH334">
        <v>7</v>
      </c>
      <c r="AI334" t="s">
        <v>2307</v>
      </c>
      <c r="AJ334" t="s">
        <v>2314</v>
      </c>
    </row>
    <row r="335" spans="1:36" x14ac:dyDescent="0.3">
      <c r="A335" t="s">
        <v>369</v>
      </c>
      <c r="B335" s="2">
        <v>45439</v>
      </c>
      <c r="C335" t="s">
        <v>1666</v>
      </c>
      <c r="D335" t="s">
        <v>1741</v>
      </c>
      <c r="E335" t="s">
        <v>1761</v>
      </c>
      <c r="F335" t="s">
        <v>2239</v>
      </c>
      <c r="G335" t="s">
        <v>2255</v>
      </c>
      <c r="H335" t="s">
        <v>2260</v>
      </c>
      <c r="I335" t="s">
        <v>2260</v>
      </c>
      <c r="J335" t="s">
        <v>2265</v>
      </c>
      <c r="L335">
        <v>190</v>
      </c>
      <c r="M335">
        <v>0.15</v>
      </c>
      <c r="N335">
        <v>380</v>
      </c>
      <c r="O335">
        <v>323</v>
      </c>
      <c r="P335" t="s">
        <v>2267</v>
      </c>
      <c r="Q335" t="s">
        <v>2270</v>
      </c>
      <c r="R335" t="s">
        <v>2276</v>
      </c>
      <c r="S335" t="s">
        <v>2283</v>
      </c>
      <c r="T335" t="s">
        <v>2288</v>
      </c>
      <c r="U335">
        <v>5</v>
      </c>
      <c r="V335">
        <v>109</v>
      </c>
      <c r="W335">
        <v>26</v>
      </c>
      <c r="X335">
        <v>79.92</v>
      </c>
      <c r="Y335">
        <v>163.16</v>
      </c>
      <c r="Z335" t="s">
        <v>2292</v>
      </c>
      <c r="AA335" t="s">
        <v>2297</v>
      </c>
      <c r="AG335">
        <v>2024</v>
      </c>
      <c r="AH335">
        <v>5</v>
      </c>
      <c r="AI335" t="s">
        <v>2306</v>
      </c>
      <c r="AJ335" t="s">
        <v>2314</v>
      </c>
    </row>
    <row r="336" spans="1:36" x14ac:dyDescent="0.3">
      <c r="A336" t="s">
        <v>370</v>
      </c>
      <c r="B336" s="2">
        <v>45415</v>
      </c>
      <c r="C336" t="s">
        <v>1709</v>
      </c>
      <c r="D336" t="s">
        <v>1757</v>
      </c>
      <c r="E336" t="s">
        <v>2044</v>
      </c>
      <c r="F336" t="s">
        <v>2239</v>
      </c>
      <c r="G336" t="s">
        <v>2247</v>
      </c>
      <c r="H336" t="s">
        <v>2257</v>
      </c>
      <c r="I336" t="s">
        <v>2262</v>
      </c>
      <c r="J336" t="s">
        <v>2265</v>
      </c>
      <c r="K336">
        <v>1</v>
      </c>
      <c r="L336">
        <v>100</v>
      </c>
      <c r="M336">
        <v>0.15</v>
      </c>
      <c r="N336">
        <v>100</v>
      </c>
      <c r="O336">
        <v>85</v>
      </c>
      <c r="P336" t="s">
        <v>2269</v>
      </c>
      <c r="R336" t="s">
        <v>2274</v>
      </c>
      <c r="S336" t="s">
        <v>2280</v>
      </c>
      <c r="T336" t="s">
        <v>2288</v>
      </c>
      <c r="U336">
        <v>4</v>
      </c>
      <c r="V336">
        <v>48</v>
      </c>
      <c r="W336">
        <v>49</v>
      </c>
      <c r="X336">
        <v>38.020000000000003</v>
      </c>
      <c r="Y336">
        <v>46.98</v>
      </c>
      <c r="Z336" t="s">
        <v>1761</v>
      </c>
      <c r="AA336" t="s">
        <v>2298</v>
      </c>
      <c r="AB336">
        <v>100</v>
      </c>
      <c r="AC336">
        <v>15</v>
      </c>
      <c r="AD336">
        <v>85</v>
      </c>
      <c r="AE336">
        <v>38.020000000000003</v>
      </c>
      <c r="AF336">
        <v>46.98</v>
      </c>
      <c r="AG336">
        <v>2024</v>
      </c>
      <c r="AH336">
        <v>5</v>
      </c>
      <c r="AI336" t="s">
        <v>2306</v>
      </c>
      <c r="AJ336" t="s">
        <v>2315</v>
      </c>
    </row>
    <row r="337" spans="1:36" x14ac:dyDescent="0.3">
      <c r="A337" t="s">
        <v>371</v>
      </c>
      <c r="B337" s="2">
        <v>45300</v>
      </c>
      <c r="C337" t="s">
        <v>1642</v>
      </c>
      <c r="D337" t="s">
        <v>1904</v>
      </c>
      <c r="E337" t="s">
        <v>1946</v>
      </c>
      <c r="F337" t="s">
        <v>2240</v>
      </c>
      <c r="G337" t="s">
        <v>2252</v>
      </c>
      <c r="H337" t="s">
        <v>2257</v>
      </c>
      <c r="I337" t="s">
        <v>2262</v>
      </c>
      <c r="J337" t="s">
        <v>2265</v>
      </c>
      <c r="K337">
        <v>1</v>
      </c>
      <c r="L337">
        <v>100</v>
      </c>
      <c r="M337">
        <v>0.1</v>
      </c>
      <c r="O337">
        <v>90</v>
      </c>
      <c r="P337" t="s">
        <v>2268</v>
      </c>
      <c r="R337" t="s">
        <v>2274</v>
      </c>
      <c r="S337" t="s">
        <v>2286</v>
      </c>
      <c r="T337" t="s">
        <v>2289</v>
      </c>
      <c r="U337">
        <v>2</v>
      </c>
      <c r="V337">
        <v>103</v>
      </c>
      <c r="X337">
        <v>51.33</v>
      </c>
      <c r="Y337">
        <v>38.67</v>
      </c>
      <c r="Z337" t="s">
        <v>2293</v>
      </c>
      <c r="AA337" t="s">
        <v>2299</v>
      </c>
      <c r="AB337">
        <v>100</v>
      </c>
      <c r="AC337">
        <v>10</v>
      </c>
      <c r="AD337">
        <v>90</v>
      </c>
      <c r="AE337">
        <v>51.33</v>
      </c>
      <c r="AF337">
        <v>38.67</v>
      </c>
      <c r="AG337">
        <v>2024</v>
      </c>
      <c r="AH337">
        <v>1</v>
      </c>
      <c r="AI337" t="s">
        <v>2302</v>
      </c>
      <c r="AJ337" t="s">
        <v>2313</v>
      </c>
    </row>
    <row r="338" spans="1:36" x14ac:dyDescent="0.3">
      <c r="A338" t="s">
        <v>372</v>
      </c>
      <c r="B338" s="2">
        <v>45306</v>
      </c>
      <c r="C338" t="s">
        <v>1703</v>
      </c>
      <c r="D338" t="s">
        <v>1761</v>
      </c>
      <c r="E338" t="s">
        <v>2142</v>
      </c>
      <c r="F338" t="s">
        <v>2240</v>
      </c>
      <c r="G338" t="s">
        <v>2245</v>
      </c>
      <c r="H338" t="s">
        <v>2257</v>
      </c>
      <c r="I338" t="s">
        <v>2263</v>
      </c>
      <c r="J338" t="s">
        <v>2265</v>
      </c>
      <c r="L338">
        <v>150</v>
      </c>
      <c r="N338">
        <v>300</v>
      </c>
      <c r="P338" t="s">
        <v>2269</v>
      </c>
      <c r="Q338" t="s">
        <v>2271</v>
      </c>
      <c r="R338" t="s">
        <v>2276</v>
      </c>
      <c r="S338" t="s">
        <v>2286</v>
      </c>
      <c r="T338" t="s">
        <v>2288</v>
      </c>
      <c r="U338">
        <v>3</v>
      </c>
      <c r="V338">
        <v>364</v>
      </c>
      <c r="X338">
        <v>72.37</v>
      </c>
      <c r="Z338" t="s">
        <v>2293</v>
      </c>
      <c r="AA338" t="s">
        <v>2297</v>
      </c>
      <c r="AG338">
        <v>2024</v>
      </c>
      <c r="AH338">
        <v>1</v>
      </c>
      <c r="AI338" t="s">
        <v>2302</v>
      </c>
      <c r="AJ338" t="s">
        <v>2314</v>
      </c>
    </row>
    <row r="339" spans="1:36" x14ac:dyDescent="0.3">
      <c r="A339" t="s">
        <v>373</v>
      </c>
      <c r="B339" s="2">
        <v>45445</v>
      </c>
      <c r="C339" t="s">
        <v>1718</v>
      </c>
      <c r="D339" t="s">
        <v>1874</v>
      </c>
      <c r="E339" t="s">
        <v>1761</v>
      </c>
      <c r="F339" t="s">
        <v>2239</v>
      </c>
      <c r="G339" t="s">
        <v>2244</v>
      </c>
      <c r="H339" t="s">
        <v>2257</v>
      </c>
      <c r="I339" t="s">
        <v>2262</v>
      </c>
      <c r="J339" t="s">
        <v>2265</v>
      </c>
      <c r="K339">
        <v>2</v>
      </c>
      <c r="L339">
        <v>130</v>
      </c>
      <c r="M339">
        <v>0</v>
      </c>
      <c r="N339">
        <v>260</v>
      </c>
      <c r="O339">
        <v>260</v>
      </c>
      <c r="P339" t="s">
        <v>2269</v>
      </c>
      <c r="Q339" t="s">
        <v>2270</v>
      </c>
      <c r="R339" t="s">
        <v>2273</v>
      </c>
      <c r="S339" t="s">
        <v>2280</v>
      </c>
      <c r="T339" t="s">
        <v>2288</v>
      </c>
      <c r="U339">
        <v>3</v>
      </c>
      <c r="V339">
        <v>413</v>
      </c>
      <c r="X339">
        <v>43.39</v>
      </c>
      <c r="Y339">
        <v>173.22</v>
      </c>
      <c r="Z339" t="s">
        <v>2292</v>
      </c>
      <c r="AA339" t="s">
        <v>1761</v>
      </c>
      <c r="AB339">
        <v>260</v>
      </c>
      <c r="AC339">
        <v>0</v>
      </c>
      <c r="AD339">
        <v>260</v>
      </c>
      <c r="AE339">
        <v>86.78</v>
      </c>
      <c r="AF339">
        <v>173.22</v>
      </c>
      <c r="AG339">
        <v>2024</v>
      </c>
      <c r="AH339">
        <v>6</v>
      </c>
      <c r="AI339" t="s">
        <v>2304</v>
      </c>
      <c r="AJ339" t="s">
        <v>2318</v>
      </c>
    </row>
    <row r="340" spans="1:36" x14ac:dyDescent="0.3">
      <c r="A340" t="s">
        <v>374</v>
      </c>
      <c r="B340" s="2">
        <v>45445</v>
      </c>
      <c r="C340" t="s">
        <v>1669</v>
      </c>
      <c r="D340" t="s">
        <v>1874</v>
      </c>
      <c r="E340" t="s">
        <v>2100</v>
      </c>
      <c r="F340" t="s">
        <v>2239</v>
      </c>
      <c r="G340" t="s">
        <v>2251</v>
      </c>
      <c r="H340" t="s">
        <v>2258</v>
      </c>
      <c r="I340" t="s">
        <v>2260</v>
      </c>
      <c r="K340">
        <v>1</v>
      </c>
      <c r="L340">
        <v>100</v>
      </c>
      <c r="M340">
        <v>0.15</v>
      </c>
      <c r="N340">
        <v>100</v>
      </c>
      <c r="O340">
        <v>85</v>
      </c>
      <c r="P340" t="s">
        <v>2269</v>
      </c>
      <c r="Q340" t="s">
        <v>2270</v>
      </c>
      <c r="R340" t="s">
        <v>2277</v>
      </c>
      <c r="S340" t="s">
        <v>2283</v>
      </c>
      <c r="T340" t="s">
        <v>2288</v>
      </c>
      <c r="U340">
        <v>4</v>
      </c>
      <c r="V340">
        <v>111</v>
      </c>
      <c r="W340">
        <v>35</v>
      </c>
      <c r="X340">
        <v>50.39</v>
      </c>
      <c r="Y340">
        <v>34.61</v>
      </c>
      <c r="Z340" t="s">
        <v>2291</v>
      </c>
      <c r="AA340" t="s">
        <v>1761</v>
      </c>
      <c r="AB340">
        <v>100</v>
      </c>
      <c r="AC340">
        <v>15</v>
      </c>
      <c r="AD340">
        <v>85</v>
      </c>
      <c r="AE340">
        <v>50.39</v>
      </c>
      <c r="AF340">
        <v>34.61</v>
      </c>
      <c r="AG340">
        <v>2024</v>
      </c>
      <c r="AH340">
        <v>6</v>
      </c>
      <c r="AI340" t="s">
        <v>2304</v>
      </c>
      <c r="AJ340" t="s">
        <v>2318</v>
      </c>
    </row>
    <row r="341" spans="1:36" x14ac:dyDescent="0.3">
      <c r="A341" t="s">
        <v>375</v>
      </c>
      <c r="B341" s="2">
        <v>45392</v>
      </c>
      <c r="C341" t="s">
        <v>1708</v>
      </c>
      <c r="D341" t="s">
        <v>1743</v>
      </c>
      <c r="E341" t="s">
        <v>2143</v>
      </c>
      <c r="F341" t="s">
        <v>2238</v>
      </c>
      <c r="G341" t="s">
        <v>2242</v>
      </c>
      <c r="H341" t="s">
        <v>2258</v>
      </c>
      <c r="I341" t="s">
        <v>2260</v>
      </c>
      <c r="J341" t="s">
        <v>2265</v>
      </c>
      <c r="K341">
        <v>1</v>
      </c>
      <c r="L341">
        <v>120</v>
      </c>
      <c r="M341">
        <v>0.05</v>
      </c>
      <c r="N341">
        <v>120</v>
      </c>
      <c r="O341">
        <v>114</v>
      </c>
      <c r="P341" t="s">
        <v>2267</v>
      </c>
      <c r="Q341" t="s">
        <v>2270</v>
      </c>
      <c r="R341" t="s">
        <v>2274</v>
      </c>
      <c r="S341" t="s">
        <v>2284</v>
      </c>
      <c r="T341" t="s">
        <v>2288</v>
      </c>
      <c r="U341">
        <v>3</v>
      </c>
      <c r="V341">
        <v>357</v>
      </c>
      <c r="W341">
        <v>53</v>
      </c>
      <c r="X341">
        <v>49.5</v>
      </c>
      <c r="Y341">
        <v>64.5</v>
      </c>
      <c r="Z341" t="s">
        <v>2293</v>
      </c>
      <c r="AA341" t="s">
        <v>2299</v>
      </c>
      <c r="AB341">
        <v>120</v>
      </c>
      <c r="AC341">
        <v>6</v>
      </c>
      <c r="AD341">
        <v>114</v>
      </c>
      <c r="AE341">
        <v>49.5</v>
      </c>
      <c r="AF341">
        <v>64.5</v>
      </c>
      <c r="AG341">
        <v>2024</v>
      </c>
      <c r="AH341">
        <v>4</v>
      </c>
      <c r="AI341" t="s">
        <v>2308</v>
      </c>
      <c r="AJ341" t="s">
        <v>2312</v>
      </c>
    </row>
    <row r="342" spans="1:36" x14ac:dyDescent="0.3">
      <c r="A342" t="s">
        <v>376</v>
      </c>
      <c r="B342" s="2">
        <v>45313</v>
      </c>
      <c r="C342" t="s">
        <v>1682</v>
      </c>
      <c r="D342" t="s">
        <v>1742</v>
      </c>
      <c r="E342" t="s">
        <v>2078</v>
      </c>
      <c r="F342" t="s">
        <v>2239</v>
      </c>
      <c r="G342" t="s">
        <v>2247</v>
      </c>
      <c r="H342" t="s">
        <v>2257</v>
      </c>
      <c r="I342" t="s">
        <v>2262</v>
      </c>
      <c r="J342" t="s">
        <v>2266</v>
      </c>
      <c r="K342">
        <v>1</v>
      </c>
      <c r="L342">
        <v>105</v>
      </c>
      <c r="M342">
        <v>0.1</v>
      </c>
      <c r="N342">
        <v>105</v>
      </c>
      <c r="O342">
        <v>94.5</v>
      </c>
      <c r="P342" t="s">
        <v>2269</v>
      </c>
      <c r="R342" t="s">
        <v>2273</v>
      </c>
      <c r="S342" t="s">
        <v>2283</v>
      </c>
      <c r="T342" t="s">
        <v>2290</v>
      </c>
      <c r="U342">
        <v>4</v>
      </c>
      <c r="V342">
        <v>56</v>
      </c>
      <c r="W342">
        <v>21</v>
      </c>
      <c r="X342">
        <v>57.91</v>
      </c>
      <c r="Y342">
        <v>36.590000000000003</v>
      </c>
      <c r="Z342" t="s">
        <v>2293</v>
      </c>
      <c r="AA342" t="s">
        <v>2298</v>
      </c>
      <c r="AB342">
        <v>105</v>
      </c>
      <c r="AC342">
        <v>10.5</v>
      </c>
      <c r="AD342">
        <v>94.5</v>
      </c>
      <c r="AE342">
        <v>57.91</v>
      </c>
      <c r="AF342">
        <v>36.590000000000003</v>
      </c>
      <c r="AG342">
        <v>2024</v>
      </c>
      <c r="AH342">
        <v>1</v>
      </c>
      <c r="AI342" t="s">
        <v>2302</v>
      </c>
      <c r="AJ342" t="s">
        <v>2314</v>
      </c>
    </row>
    <row r="343" spans="1:36" x14ac:dyDescent="0.3">
      <c r="A343" t="s">
        <v>377</v>
      </c>
      <c r="B343" s="2">
        <v>45445</v>
      </c>
      <c r="C343" t="s">
        <v>1665</v>
      </c>
      <c r="D343" t="s">
        <v>1761</v>
      </c>
      <c r="E343" t="s">
        <v>2065</v>
      </c>
      <c r="F343" t="s">
        <v>2240</v>
      </c>
      <c r="G343" t="s">
        <v>2241</v>
      </c>
      <c r="H343" t="s">
        <v>2257</v>
      </c>
      <c r="I343" t="s">
        <v>2262</v>
      </c>
      <c r="J343" t="s">
        <v>2266</v>
      </c>
      <c r="K343">
        <v>2</v>
      </c>
      <c r="L343">
        <v>130</v>
      </c>
      <c r="M343">
        <v>0.05</v>
      </c>
      <c r="N343">
        <v>260</v>
      </c>
      <c r="O343">
        <v>247</v>
      </c>
      <c r="P343" t="s">
        <v>2268</v>
      </c>
      <c r="Q343" t="s">
        <v>2270</v>
      </c>
      <c r="R343" t="s">
        <v>2273</v>
      </c>
      <c r="S343" t="s">
        <v>2284</v>
      </c>
      <c r="T343" t="s">
        <v>2288</v>
      </c>
      <c r="U343">
        <v>1</v>
      </c>
      <c r="V343">
        <v>370</v>
      </c>
      <c r="X343">
        <v>60.55</v>
      </c>
      <c r="Y343">
        <v>125.9</v>
      </c>
      <c r="Z343" t="s">
        <v>2293</v>
      </c>
      <c r="AA343" t="s">
        <v>2296</v>
      </c>
      <c r="AB343">
        <v>260</v>
      </c>
      <c r="AC343">
        <v>13</v>
      </c>
      <c r="AD343">
        <v>247</v>
      </c>
      <c r="AE343">
        <v>121.1</v>
      </c>
      <c r="AF343">
        <v>125.9</v>
      </c>
      <c r="AG343">
        <v>2024</v>
      </c>
      <c r="AH343">
        <v>6</v>
      </c>
      <c r="AI343" t="s">
        <v>2304</v>
      </c>
      <c r="AJ343" t="s">
        <v>2318</v>
      </c>
    </row>
    <row r="344" spans="1:36" x14ac:dyDescent="0.3">
      <c r="A344" t="s">
        <v>378</v>
      </c>
      <c r="B344" s="2">
        <v>45444</v>
      </c>
      <c r="C344" t="s">
        <v>1666</v>
      </c>
      <c r="D344" t="s">
        <v>1885</v>
      </c>
      <c r="E344" t="s">
        <v>2095</v>
      </c>
      <c r="F344" t="s">
        <v>2240</v>
      </c>
      <c r="G344" t="s">
        <v>2256</v>
      </c>
      <c r="H344" t="s">
        <v>2261</v>
      </c>
      <c r="I344" t="s">
        <v>2260</v>
      </c>
      <c r="J344" t="s">
        <v>2264</v>
      </c>
      <c r="K344">
        <v>1</v>
      </c>
      <c r="L344">
        <v>190</v>
      </c>
      <c r="M344">
        <v>0.05</v>
      </c>
      <c r="N344">
        <v>190</v>
      </c>
      <c r="O344">
        <v>180.5</v>
      </c>
      <c r="Q344" t="s">
        <v>2270</v>
      </c>
      <c r="R344" t="s">
        <v>2278</v>
      </c>
      <c r="S344" t="s">
        <v>2281</v>
      </c>
      <c r="T344" t="s">
        <v>2288</v>
      </c>
      <c r="U344">
        <v>3</v>
      </c>
      <c r="V344">
        <v>0</v>
      </c>
      <c r="W344">
        <v>47</v>
      </c>
      <c r="X344">
        <v>71.92</v>
      </c>
      <c r="Y344">
        <v>108.58</v>
      </c>
      <c r="Z344" t="s">
        <v>2292</v>
      </c>
      <c r="AA344" t="s">
        <v>1761</v>
      </c>
      <c r="AB344">
        <v>190</v>
      </c>
      <c r="AC344">
        <v>9.5</v>
      </c>
      <c r="AD344">
        <v>180.5</v>
      </c>
      <c r="AE344">
        <v>71.92</v>
      </c>
      <c r="AF344">
        <v>108.58</v>
      </c>
      <c r="AG344">
        <v>2024</v>
      </c>
      <c r="AH344">
        <v>6</v>
      </c>
      <c r="AI344" t="s">
        <v>2304</v>
      </c>
      <c r="AJ344" t="s">
        <v>2317</v>
      </c>
    </row>
    <row r="345" spans="1:36" x14ac:dyDescent="0.3">
      <c r="A345" t="s">
        <v>379</v>
      </c>
      <c r="B345" s="2">
        <v>45494</v>
      </c>
      <c r="C345" t="s">
        <v>1722</v>
      </c>
      <c r="D345" t="s">
        <v>1793</v>
      </c>
      <c r="E345" t="s">
        <v>2108</v>
      </c>
      <c r="F345" t="s">
        <v>2239</v>
      </c>
      <c r="G345" t="s">
        <v>2256</v>
      </c>
      <c r="H345" t="s">
        <v>2261</v>
      </c>
      <c r="I345" t="s">
        <v>2260</v>
      </c>
      <c r="J345" t="s">
        <v>2264</v>
      </c>
      <c r="K345">
        <v>2</v>
      </c>
      <c r="L345">
        <v>200</v>
      </c>
      <c r="M345">
        <v>0.05</v>
      </c>
      <c r="N345">
        <v>400</v>
      </c>
      <c r="O345">
        <v>380</v>
      </c>
      <c r="P345" t="s">
        <v>2269</v>
      </c>
      <c r="Q345" t="s">
        <v>2271</v>
      </c>
      <c r="R345" t="s">
        <v>2273</v>
      </c>
      <c r="S345" t="s">
        <v>2282</v>
      </c>
      <c r="T345" t="s">
        <v>2290</v>
      </c>
      <c r="U345">
        <v>3</v>
      </c>
      <c r="W345">
        <v>34</v>
      </c>
      <c r="X345">
        <v>108.12</v>
      </c>
      <c r="Y345">
        <v>163.76</v>
      </c>
      <c r="Z345" t="s">
        <v>2293</v>
      </c>
      <c r="AA345" t="s">
        <v>2298</v>
      </c>
      <c r="AB345">
        <v>400</v>
      </c>
      <c r="AC345">
        <v>20</v>
      </c>
      <c r="AD345">
        <v>380</v>
      </c>
      <c r="AE345">
        <v>216.24</v>
      </c>
      <c r="AF345">
        <v>163.76</v>
      </c>
      <c r="AG345">
        <v>2024</v>
      </c>
      <c r="AH345">
        <v>7</v>
      </c>
      <c r="AI345" t="s">
        <v>2307</v>
      </c>
      <c r="AJ345" t="s">
        <v>2318</v>
      </c>
    </row>
    <row r="346" spans="1:36" x14ac:dyDescent="0.3">
      <c r="A346" t="s">
        <v>380</v>
      </c>
      <c r="B346" s="2">
        <v>45338</v>
      </c>
      <c r="C346" t="s">
        <v>1694</v>
      </c>
      <c r="D346" t="s">
        <v>1764</v>
      </c>
      <c r="E346" t="s">
        <v>1979</v>
      </c>
      <c r="F346" t="s">
        <v>2238</v>
      </c>
      <c r="G346" t="s">
        <v>2243</v>
      </c>
      <c r="H346" t="s">
        <v>2258</v>
      </c>
      <c r="I346" t="s">
        <v>2260</v>
      </c>
      <c r="J346" t="s">
        <v>2265</v>
      </c>
      <c r="K346">
        <v>1</v>
      </c>
      <c r="L346">
        <v>75</v>
      </c>
      <c r="M346">
        <v>0.1</v>
      </c>
      <c r="N346">
        <v>75</v>
      </c>
      <c r="O346">
        <v>67.5</v>
      </c>
      <c r="P346" t="s">
        <v>2268</v>
      </c>
      <c r="Q346" t="s">
        <v>2272</v>
      </c>
      <c r="R346" t="s">
        <v>2277</v>
      </c>
      <c r="S346" t="s">
        <v>2281</v>
      </c>
      <c r="T346" t="s">
        <v>2288</v>
      </c>
      <c r="V346">
        <v>378</v>
      </c>
      <c r="W346">
        <v>45</v>
      </c>
      <c r="X346">
        <v>35.090000000000003</v>
      </c>
      <c r="Y346">
        <v>32.409999999999997</v>
      </c>
      <c r="Z346" t="s">
        <v>1761</v>
      </c>
      <c r="AA346" t="s">
        <v>2297</v>
      </c>
      <c r="AB346">
        <v>75</v>
      </c>
      <c r="AC346">
        <v>7.5</v>
      </c>
      <c r="AD346">
        <v>67.5</v>
      </c>
      <c r="AE346">
        <v>35.090000000000003</v>
      </c>
      <c r="AF346">
        <v>32.409999999999997</v>
      </c>
      <c r="AG346">
        <v>2024</v>
      </c>
      <c r="AH346">
        <v>2</v>
      </c>
      <c r="AI346" t="s">
        <v>2303</v>
      </c>
      <c r="AJ346" t="s">
        <v>2315</v>
      </c>
    </row>
    <row r="347" spans="1:36" x14ac:dyDescent="0.3">
      <c r="A347" t="s">
        <v>381</v>
      </c>
      <c r="B347" s="2">
        <v>45367</v>
      </c>
      <c r="C347" t="s">
        <v>1718</v>
      </c>
      <c r="D347" t="s">
        <v>1898</v>
      </c>
      <c r="E347" t="s">
        <v>2042</v>
      </c>
      <c r="F347" t="s">
        <v>2240</v>
      </c>
      <c r="G347" t="s">
        <v>2248</v>
      </c>
      <c r="H347" t="s">
        <v>2257</v>
      </c>
      <c r="I347" t="s">
        <v>2262</v>
      </c>
      <c r="J347" t="s">
        <v>2266</v>
      </c>
      <c r="K347">
        <v>1</v>
      </c>
      <c r="L347">
        <v>150</v>
      </c>
      <c r="N347">
        <v>150</v>
      </c>
      <c r="P347" t="s">
        <v>2268</v>
      </c>
      <c r="Q347" t="s">
        <v>2270</v>
      </c>
      <c r="R347" t="s">
        <v>2275</v>
      </c>
      <c r="S347" t="s">
        <v>2281</v>
      </c>
      <c r="T347" t="s">
        <v>2289</v>
      </c>
      <c r="X347">
        <v>58.19</v>
      </c>
      <c r="Z347" t="s">
        <v>1761</v>
      </c>
      <c r="AA347" t="s">
        <v>1761</v>
      </c>
      <c r="AB347">
        <v>150</v>
      </c>
      <c r="AC347">
        <v>0</v>
      </c>
      <c r="AD347">
        <v>150</v>
      </c>
      <c r="AE347">
        <v>58.19</v>
      </c>
      <c r="AF347">
        <v>91.81</v>
      </c>
      <c r="AG347">
        <v>2024</v>
      </c>
      <c r="AH347">
        <v>3</v>
      </c>
      <c r="AI347" t="s">
        <v>2305</v>
      </c>
      <c r="AJ347" t="s">
        <v>2317</v>
      </c>
    </row>
    <row r="348" spans="1:36" x14ac:dyDescent="0.3">
      <c r="A348" t="s">
        <v>382</v>
      </c>
      <c r="B348" s="2">
        <v>45487</v>
      </c>
      <c r="C348" t="s">
        <v>1658</v>
      </c>
      <c r="D348" t="s">
        <v>1905</v>
      </c>
      <c r="E348" t="s">
        <v>1989</v>
      </c>
      <c r="F348" t="s">
        <v>2240</v>
      </c>
      <c r="G348" t="s">
        <v>2242</v>
      </c>
      <c r="H348" t="s">
        <v>2258</v>
      </c>
      <c r="I348" t="s">
        <v>2260</v>
      </c>
      <c r="J348" t="s">
        <v>2265</v>
      </c>
      <c r="K348">
        <v>3</v>
      </c>
      <c r="L348">
        <v>120</v>
      </c>
      <c r="M348">
        <v>0.1</v>
      </c>
      <c r="N348">
        <v>360</v>
      </c>
      <c r="O348">
        <v>324</v>
      </c>
      <c r="P348" t="s">
        <v>2267</v>
      </c>
      <c r="R348" t="s">
        <v>2276</v>
      </c>
      <c r="S348" t="s">
        <v>2280</v>
      </c>
      <c r="T348" t="s">
        <v>2288</v>
      </c>
      <c r="U348">
        <v>3</v>
      </c>
      <c r="V348">
        <v>24</v>
      </c>
      <c r="W348">
        <v>40</v>
      </c>
      <c r="X348">
        <v>53.7</v>
      </c>
      <c r="Y348">
        <v>162.9</v>
      </c>
      <c r="Z348" t="s">
        <v>2292</v>
      </c>
      <c r="AA348" t="s">
        <v>2296</v>
      </c>
      <c r="AB348">
        <v>360</v>
      </c>
      <c r="AC348">
        <v>36</v>
      </c>
      <c r="AD348">
        <v>324</v>
      </c>
      <c r="AE348">
        <v>161.1</v>
      </c>
      <c r="AF348">
        <v>162.9</v>
      </c>
      <c r="AG348">
        <v>2024</v>
      </c>
      <c r="AH348">
        <v>7</v>
      </c>
      <c r="AI348" t="s">
        <v>2307</v>
      </c>
      <c r="AJ348" t="s">
        <v>2318</v>
      </c>
    </row>
    <row r="349" spans="1:36" x14ac:dyDescent="0.3">
      <c r="A349" t="s">
        <v>383</v>
      </c>
      <c r="B349" s="2">
        <v>45490</v>
      </c>
      <c r="C349" t="s">
        <v>1727</v>
      </c>
      <c r="D349" t="s">
        <v>1894</v>
      </c>
      <c r="E349" t="s">
        <v>2010</v>
      </c>
      <c r="F349" t="s">
        <v>2239</v>
      </c>
      <c r="G349" t="s">
        <v>2254</v>
      </c>
      <c r="H349" t="s">
        <v>2259</v>
      </c>
      <c r="I349" t="s">
        <v>2263</v>
      </c>
      <c r="J349" t="s">
        <v>2265</v>
      </c>
      <c r="K349">
        <v>1</v>
      </c>
      <c r="L349">
        <v>110</v>
      </c>
      <c r="M349">
        <v>0.05</v>
      </c>
      <c r="N349">
        <v>110</v>
      </c>
      <c r="O349">
        <v>104.5</v>
      </c>
      <c r="P349" t="s">
        <v>2267</v>
      </c>
      <c r="Q349" t="s">
        <v>2271</v>
      </c>
      <c r="R349" t="s">
        <v>2274</v>
      </c>
      <c r="S349" t="s">
        <v>2282</v>
      </c>
      <c r="T349" t="s">
        <v>2288</v>
      </c>
      <c r="V349">
        <v>436</v>
      </c>
      <c r="W349">
        <v>58</v>
      </c>
      <c r="X349">
        <v>61.9</v>
      </c>
      <c r="Y349">
        <v>42.6</v>
      </c>
      <c r="Z349" t="s">
        <v>2294</v>
      </c>
      <c r="AA349" t="s">
        <v>1761</v>
      </c>
      <c r="AB349">
        <v>110</v>
      </c>
      <c r="AC349">
        <v>5.5</v>
      </c>
      <c r="AD349">
        <v>104.5</v>
      </c>
      <c r="AE349">
        <v>61.9</v>
      </c>
      <c r="AF349">
        <v>42.6</v>
      </c>
      <c r="AG349">
        <v>2024</v>
      </c>
      <c r="AH349">
        <v>7</v>
      </c>
      <c r="AI349" t="s">
        <v>2307</v>
      </c>
      <c r="AJ349" t="s">
        <v>2312</v>
      </c>
    </row>
    <row r="350" spans="1:36" x14ac:dyDescent="0.3">
      <c r="A350" t="s">
        <v>384</v>
      </c>
      <c r="B350" s="2">
        <v>45458</v>
      </c>
      <c r="C350" t="s">
        <v>1662</v>
      </c>
      <c r="D350" t="s">
        <v>1819</v>
      </c>
      <c r="E350" t="s">
        <v>1970</v>
      </c>
      <c r="F350" t="s">
        <v>2240</v>
      </c>
      <c r="G350" t="s">
        <v>2255</v>
      </c>
      <c r="H350" t="s">
        <v>2260</v>
      </c>
      <c r="I350" t="s">
        <v>2260</v>
      </c>
      <c r="J350" t="s">
        <v>2264</v>
      </c>
      <c r="L350">
        <v>185</v>
      </c>
      <c r="M350">
        <v>0.1</v>
      </c>
      <c r="N350">
        <v>185</v>
      </c>
      <c r="O350">
        <v>166.5</v>
      </c>
      <c r="P350" t="s">
        <v>2269</v>
      </c>
      <c r="R350" t="s">
        <v>2273</v>
      </c>
      <c r="S350" t="s">
        <v>2287</v>
      </c>
      <c r="T350" t="s">
        <v>2289</v>
      </c>
      <c r="U350">
        <v>3</v>
      </c>
      <c r="V350">
        <v>464</v>
      </c>
      <c r="W350">
        <v>59</v>
      </c>
      <c r="X350">
        <v>79.8</v>
      </c>
      <c r="Y350">
        <v>86.7</v>
      </c>
      <c r="Z350" t="s">
        <v>2293</v>
      </c>
      <c r="AA350" t="s">
        <v>2297</v>
      </c>
      <c r="AG350">
        <v>2024</v>
      </c>
      <c r="AH350">
        <v>6</v>
      </c>
      <c r="AI350" t="s">
        <v>2304</v>
      </c>
      <c r="AJ350" t="s">
        <v>2317</v>
      </c>
    </row>
    <row r="351" spans="1:36" x14ac:dyDescent="0.3">
      <c r="A351" t="s">
        <v>385</v>
      </c>
      <c r="B351" s="2">
        <v>45571</v>
      </c>
      <c r="C351" t="s">
        <v>1730</v>
      </c>
      <c r="D351" t="s">
        <v>1848</v>
      </c>
      <c r="E351" t="s">
        <v>1997</v>
      </c>
      <c r="F351" t="s">
        <v>2239</v>
      </c>
      <c r="G351" t="s">
        <v>2254</v>
      </c>
      <c r="H351" t="s">
        <v>2259</v>
      </c>
      <c r="I351" t="s">
        <v>2263</v>
      </c>
      <c r="J351" t="s">
        <v>2265</v>
      </c>
      <c r="K351">
        <v>2</v>
      </c>
      <c r="L351">
        <v>120</v>
      </c>
      <c r="M351">
        <v>0.05</v>
      </c>
      <c r="N351">
        <v>240</v>
      </c>
      <c r="O351">
        <v>228</v>
      </c>
      <c r="Q351" t="s">
        <v>2270</v>
      </c>
      <c r="R351" t="s">
        <v>2279</v>
      </c>
      <c r="S351" t="s">
        <v>2283</v>
      </c>
      <c r="T351" t="s">
        <v>2288</v>
      </c>
      <c r="U351">
        <v>1</v>
      </c>
      <c r="V351">
        <v>20</v>
      </c>
      <c r="X351">
        <v>61.41</v>
      </c>
      <c r="Y351">
        <v>105.18</v>
      </c>
      <c r="Z351" t="s">
        <v>2293</v>
      </c>
      <c r="AA351" t="s">
        <v>2297</v>
      </c>
      <c r="AB351">
        <v>240</v>
      </c>
      <c r="AC351">
        <v>12</v>
      </c>
      <c r="AD351">
        <v>228</v>
      </c>
      <c r="AE351">
        <v>122.82</v>
      </c>
      <c r="AF351">
        <v>105.18</v>
      </c>
      <c r="AG351">
        <v>2024</v>
      </c>
      <c r="AH351">
        <v>10</v>
      </c>
      <c r="AI351" t="s">
        <v>2310</v>
      </c>
      <c r="AJ351" t="s">
        <v>2318</v>
      </c>
    </row>
    <row r="352" spans="1:36" x14ac:dyDescent="0.3">
      <c r="A352" t="s">
        <v>386</v>
      </c>
      <c r="B352" s="2">
        <v>45347</v>
      </c>
      <c r="C352" t="s">
        <v>1729</v>
      </c>
      <c r="D352" t="s">
        <v>1757</v>
      </c>
      <c r="E352" t="s">
        <v>1983</v>
      </c>
      <c r="F352" t="s">
        <v>2239</v>
      </c>
      <c r="G352" t="s">
        <v>2256</v>
      </c>
      <c r="H352" t="s">
        <v>2261</v>
      </c>
      <c r="I352" t="s">
        <v>2260</v>
      </c>
      <c r="J352" t="s">
        <v>2264</v>
      </c>
      <c r="K352">
        <v>1</v>
      </c>
      <c r="L352">
        <v>185</v>
      </c>
      <c r="N352">
        <v>185</v>
      </c>
      <c r="P352" t="s">
        <v>2269</v>
      </c>
      <c r="Q352" t="s">
        <v>2270</v>
      </c>
      <c r="R352" t="s">
        <v>2275</v>
      </c>
      <c r="S352" t="s">
        <v>2286</v>
      </c>
      <c r="T352" t="s">
        <v>2290</v>
      </c>
      <c r="U352">
        <v>1</v>
      </c>
      <c r="V352">
        <v>317</v>
      </c>
      <c r="W352">
        <v>57</v>
      </c>
      <c r="X352">
        <v>68.98</v>
      </c>
      <c r="Z352" t="s">
        <v>2294</v>
      </c>
      <c r="AA352" t="s">
        <v>2297</v>
      </c>
      <c r="AB352">
        <v>185</v>
      </c>
      <c r="AC352">
        <v>0</v>
      </c>
      <c r="AD352">
        <v>185</v>
      </c>
      <c r="AE352">
        <v>68.98</v>
      </c>
      <c r="AF352">
        <v>116.02</v>
      </c>
      <c r="AG352">
        <v>2024</v>
      </c>
      <c r="AH352">
        <v>2</v>
      </c>
      <c r="AI352" t="s">
        <v>2303</v>
      </c>
      <c r="AJ352" t="s">
        <v>2318</v>
      </c>
    </row>
    <row r="353" spans="1:36" x14ac:dyDescent="0.3">
      <c r="A353" t="s">
        <v>387</v>
      </c>
      <c r="B353" s="2">
        <v>45397</v>
      </c>
      <c r="C353" t="s">
        <v>1666</v>
      </c>
      <c r="D353" t="s">
        <v>1800</v>
      </c>
      <c r="E353" t="s">
        <v>2144</v>
      </c>
      <c r="F353" t="s">
        <v>2238</v>
      </c>
      <c r="G353" t="s">
        <v>2248</v>
      </c>
      <c r="H353" t="s">
        <v>2257</v>
      </c>
      <c r="I353" t="s">
        <v>2262</v>
      </c>
      <c r="J353" t="s">
        <v>2265</v>
      </c>
      <c r="K353">
        <v>2</v>
      </c>
      <c r="L353">
        <v>145</v>
      </c>
      <c r="M353">
        <v>0.15</v>
      </c>
      <c r="N353">
        <v>290</v>
      </c>
      <c r="O353">
        <v>246.5</v>
      </c>
      <c r="P353" t="s">
        <v>2269</v>
      </c>
      <c r="R353" t="s">
        <v>2274</v>
      </c>
      <c r="S353" t="s">
        <v>2284</v>
      </c>
      <c r="T353" t="s">
        <v>2289</v>
      </c>
      <c r="U353">
        <v>5</v>
      </c>
      <c r="V353">
        <v>126</v>
      </c>
      <c r="W353">
        <v>43</v>
      </c>
      <c r="X353">
        <v>51.56</v>
      </c>
      <c r="Y353">
        <v>143.38</v>
      </c>
      <c r="Z353" t="s">
        <v>2292</v>
      </c>
      <c r="AA353" t="s">
        <v>2296</v>
      </c>
      <c r="AB353">
        <v>290</v>
      </c>
      <c r="AC353">
        <v>43.5</v>
      </c>
      <c r="AD353">
        <v>246.5</v>
      </c>
      <c r="AE353">
        <v>103.12</v>
      </c>
      <c r="AF353">
        <v>143.38</v>
      </c>
      <c r="AG353">
        <v>2024</v>
      </c>
      <c r="AH353">
        <v>4</v>
      </c>
      <c r="AI353" t="s">
        <v>2308</v>
      </c>
      <c r="AJ353" t="s">
        <v>2314</v>
      </c>
    </row>
    <row r="354" spans="1:36" x14ac:dyDescent="0.3">
      <c r="A354" t="s">
        <v>388</v>
      </c>
      <c r="B354" s="2">
        <v>45552</v>
      </c>
      <c r="C354" t="s">
        <v>1668</v>
      </c>
      <c r="D354" t="s">
        <v>1765</v>
      </c>
      <c r="E354" t="s">
        <v>2145</v>
      </c>
      <c r="F354" t="s">
        <v>2240</v>
      </c>
      <c r="G354" t="s">
        <v>2255</v>
      </c>
      <c r="H354" t="s">
        <v>2260</v>
      </c>
      <c r="I354" t="s">
        <v>2260</v>
      </c>
      <c r="J354" t="s">
        <v>2264</v>
      </c>
      <c r="K354">
        <v>1</v>
      </c>
      <c r="L354">
        <v>180</v>
      </c>
      <c r="M354">
        <v>0</v>
      </c>
      <c r="N354">
        <v>180</v>
      </c>
      <c r="O354">
        <v>180</v>
      </c>
      <c r="P354" t="s">
        <v>2267</v>
      </c>
      <c r="R354" t="s">
        <v>2275</v>
      </c>
      <c r="S354" t="s">
        <v>2286</v>
      </c>
      <c r="T354" t="s">
        <v>2290</v>
      </c>
      <c r="U354">
        <v>5</v>
      </c>
      <c r="V354">
        <v>470</v>
      </c>
      <c r="W354">
        <v>58</v>
      </c>
      <c r="X354">
        <v>87.43</v>
      </c>
      <c r="Y354">
        <v>92.57</v>
      </c>
      <c r="Z354" t="s">
        <v>2293</v>
      </c>
      <c r="AA354" t="s">
        <v>2298</v>
      </c>
      <c r="AB354">
        <v>180</v>
      </c>
      <c r="AC354">
        <v>0</v>
      </c>
      <c r="AD354">
        <v>180</v>
      </c>
      <c r="AE354">
        <v>87.43</v>
      </c>
      <c r="AF354">
        <v>92.57</v>
      </c>
      <c r="AG354">
        <v>2024</v>
      </c>
      <c r="AH354">
        <v>9</v>
      </c>
      <c r="AI354" t="s">
        <v>2300</v>
      </c>
      <c r="AJ354" t="s">
        <v>2313</v>
      </c>
    </row>
    <row r="355" spans="1:36" x14ac:dyDescent="0.3">
      <c r="A355" t="s">
        <v>389</v>
      </c>
      <c r="B355" s="2">
        <v>45315</v>
      </c>
      <c r="C355" t="s">
        <v>1661</v>
      </c>
      <c r="D355" t="s">
        <v>1869</v>
      </c>
      <c r="E355" t="s">
        <v>2034</v>
      </c>
      <c r="F355" t="s">
        <v>2238</v>
      </c>
      <c r="G355" t="s">
        <v>2256</v>
      </c>
      <c r="H355" t="s">
        <v>2261</v>
      </c>
      <c r="I355" t="s">
        <v>2260</v>
      </c>
      <c r="J355" t="s">
        <v>2264</v>
      </c>
      <c r="K355">
        <v>4</v>
      </c>
      <c r="L355">
        <v>200</v>
      </c>
      <c r="M355">
        <v>0.1</v>
      </c>
      <c r="O355">
        <v>720</v>
      </c>
      <c r="P355" t="s">
        <v>2267</v>
      </c>
      <c r="Q355" t="s">
        <v>2270</v>
      </c>
      <c r="R355" t="s">
        <v>2275</v>
      </c>
      <c r="S355" t="s">
        <v>2281</v>
      </c>
      <c r="T355" t="s">
        <v>2290</v>
      </c>
      <c r="U355">
        <v>3</v>
      </c>
      <c r="V355">
        <v>199</v>
      </c>
      <c r="W355">
        <v>37</v>
      </c>
      <c r="X355">
        <v>96.06</v>
      </c>
      <c r="Y355">
        <v>335.76</v>
      </c>
      <c r="Z355" t="s">
        <v>1761</v>
      </c>
      <c r="AA355" t="s">
        <v>2296</v>
      </c>
      <c r="AB355">
        <v>800</v>
      </c>
      <c r="AC355">
        <v>80</v>
      </c>
      <c r="AD355">
        <v>720</v>
      </c>
      <c r="AE355">
        <v>384.24</v>
      </c>
      <c r="AF355">
        <v>335.76</v>
      </c>
      <c r="AG355">
        <v>2024</v>
      </c>
      <c r="AH355">
        <v>1</v>
      </c>
      <c r="AI355" t="s">
        <v>2302</v>
      </c>
      <c r="AJ355" t="s">
        <v>2312</v>
      </c>
    </row>
    <row r="356" spans="1:36" x14ac:dyDescent="0.3">
      <c r="A356" t="s">
        <v>390</v>
      </c>
      <c r="B356" s="2">
        <v>45584</v>
      </c>
      <c r="C356" t="s">
        <v>1693</v>
      </c>
      <c r="D356" t="s">
        <v>1906</v>
      </c>
      <c r="E356" t="s">
        <v>2146</v>
      </c>
      <c r="F356" t="s">
        <v>2239</v>
      </c>
      <c r="G356" t="s">
        <v>2248</v>
      </c>
      <c r="H356" t="s">
        <v>2257</v>
      </c>
      <c r="I356" t="s">
        <v>2262</v>
      </c>
      <c r="J356" t="s">
        <v>2264</v>
      </c>
      <c r="K356">
        <v>1</v>
      </c>
      <c r="L356">
        <v>150</v>
      </c>
      <c r="M356">
        <v>0.05</v>
      </c>
      <c r="N356">
        <v>150</v>
      </c>
      <c r="O356">
        <v>142.5</v>
      </c>
      <c r="P356" t="s">
        <v>2269</v>
      </c>
      <c r="Q356" t="s">
        <v>2272</v>
      </c>
      <c r="R356" t="s">
        <v>2276</v>
      </c>
      <c r="S356" t="s">
        <v>2280</v>
      </c>
      <c r="T356" t="s">
        <v>2288</v>
      </c>
      <c r="U356">
        <v>2</v>
      </c>
      <c r="V356">
        <v>483</v>
      </c>
      <c r="W356">
        <v>24</v>
      </c>
      <c r="X356">
        <v>59.32</v>
      </c>
      <c r="Y356">
        <v>83.18</v>
      </c>
      <c r="Z356" t="s">
        <v>2293</v>
      </c>
      <c r="AA356" t="s">
        <v>2296</v>
      </c>
      <c r="AB356">
        <v>150</v>
      </c>
      <c r="AC356">
        <v>7.5</v>
      </c>
      <c r="AD356">
        <v>142.5</v>
      </c>
      <c r="AE356">
        <v>59.32</v>
      </c>
      <c r="AF356">
        <v>83.18</v>
      </c>
      <c r="AG356">
        <v>2024</v>
      </c>
      <c r="AH356">
        <v>10</v>
      </c>
      <c r="AI356" t="s">
        <v>2310</v>
      </c>
      <c r="AJ356" t="s">
        <v>2317</v>
      </c>
    </row>
    <row r="357" spans="1:36" x14ac:dyDescent="0.3">
      <c r="A357" t="s">
        <v>391</v>
      </c>
      <c r="B357" s="2">
        <v>45404</v>
      </c>
      <c r="C357" t="s">
        <v>1683</v>
      </c>
      <c r="D357" t="s">
        <v>1819</v>
      </c>
      <c r="E357" t="s">
        <v>2147</v>
      </c>
      <c r="F357" t="s">
        <v>2240</v>
      </c>
      <c r="G357" t="s">
        <v>2253</v>
      </c>
      <c r="H357" t="s">
        <v>2258</v>
      </c>
      <c r="I357" t="s">
        <v>2260</v>
      </c>
      <c r="J357" t="s">
        <v>2264</v>
      </c>
      <c r="K357">
        <v>1</v>
      </c>
      <c r="L357">
        <v>85</v>
      </c>
      <c r="M357">
        <v>0</v>
      </c>
      <c r="N357">
        <v>85</v>
      </c>
      <c r="O357">
        <v>85</v>
      </c>
      <c r="P357" t="s">
        <v>2267</v>
      </c>
      <c r="Q357" t="s">
        <v>2272</v>
      </c>
      <c r="R357" t="s">
        <v>2274</v>
      </c>
      <c r="S357" t="s">
        <v>2285</v>
      </c>
      <c r="T357" t="s">
        <v>2288</v>
      </c>
      <c r="U357">
        <v>3</v>
      </c>
      <c r="V357">
        <v>326</v>
      </c>
      <c r="X357">
        <v>41.63</v>
      </c>
      <c r="Y357">
        <v>43.37</v>
      </c>
      <c r="Z357" t="s">
        <v>2291</v>
      </c>
      <c r="AA357" t="s">
        <v>2298</v>
      </c>
      <c r="AB357">
        <v>85</v>
      </c>
      <c r="AC357">
        <v>0</v>
      </c>
      <c r="AD357">
        <v>85</v>
      </c>
      <c r="AE357">
        <v>41.63</v>
      </c>
      <c r="AF357">
        <v>43.37</v>
      </c>
      <c r="AG357">
        <v>2024</v>
      </c>
      <c r="AH357">
        <v>4</v>
      </c>
      <c r="AI357" t="s">
        <v>2308</v>
      </c>
      <c r="AJ357" t="s">
        <v>2314</v>
      </c>
    </row>
    <row r="358" spans="1:36" x14ac:dyDescent="0.3">
      <c r="A358" t="s">
        <v>392</v>
      </c>
      <c r="B358" s="2">
        <v>45501</v>
      </c>
      <c r="C358" t="s">
        <v>1683</v>
      </c>
      <c r="D358" t="s">
        <v>1833</v>
      </c>
      <c r="E358" t="s">
        <v>2129</v>
      </c>
      <c r="F358" t="s">
        <v>2240</v>
      </c>
      <c r="G358" t="s">
        <v>2245</v>
      </c>
      <c r="H358" t="s">
        <v>2257</v>
      </c>
      <c r="I358" t="s">
        <v>2263</v>
      </c>
      <c r="K358">
        <v>2</v>
      </c>
      <c r="L358">
        <v>155</v>
      </c>
      <c r="M358">
        <v>0.05</v>
      </c>
      <c r="N358">
        <v>310</v>
      </c>
      <c r="O358">
        <v>294.5</v>
      </c>
      <c r="P358" t="s">
        <v>2268</v>
      </c>
      <c r="R358" t="s">
        <v>2277</v>
      </c>
      <c r="S358" t="s">
        <v>2285</v>
      </c>
      <c r="T358" t="s">
        <v>2290</v>
      </c>
      <c r="U358">
        <v>5</v>
      </c>
      <c r="V358">
        <v>173</v>
      </c>
      <c r="W358">
        <v>29</v>
      </c>
      <c r="X358">
        <v>53.96</v>
      </c>
      <c r="Y358">
        <v>186.58</v>
      </c>
      <c r="Z358" t="s">
        <v>1761</v>
      </c>
      <c r="AA358" t="s">
        <v>2296</v>
      </c>
      <c r="AB358">
        <v>310</v>
      </c>
      <c r="AC358">
        <v>15.5</v>
      </c>
      <c r="AD358">
        <v>294.5</v>
      </c>
      <c r="AE358">
        <v>107.92</v>
      </c>
      <c r="AF358">
        <v>186.58</v>
      </c>
      <c r="AG358">
        <v>2024</v>
      </c>
      <c r="AH358">
        <v>7</v>
      </c>
      <c r="AI358" t="s">
        <v>2307</v>
      </c>
      <c r="AJ358" t="s">
        <v>2318</v>
      </c>
    </row>
    <row r="359" spans="1:36" x14ac:dyDescent="0.3">
      <c r="A359" t="s">
        <v>393</v>
      </c>
      <c r="B359" s="2">
        <v>45374</v>
      </c>
      <c r="C359" t="s">
        <v>1648</v>
      </c>
      <c r="D359" t="s">
        <v>1761</v>
      </c>
      <c r="E359" t="s">
        <v>2021</v>
      </c>
      <c r="F359" t="s">
        <v>2239</v>
      </c>
      <c r="G359" t="s">
        <v>2246</v>
      </c>
      <c r="H359" t="s">
        <v>2259</v>
      </c>
      <c r="I359" t="s">
        <v>2262</v>
      </c>
      <c r="J359" t="s">
        <v>2265</v>
      </c>
      <c r="K359">
        <v>1</v>
      </c>
      <c r="L359">
        <v>100</v>
      </c>
      <c r="M359">
        <v>0.05</v>
      </c>
      <c r="N359">
        <v>100</v>
      </c>
      <c r="O359">
        <v>95</v>
      </c>
      <c r="P359" t="s">
        <v>2267</v>
      </c>
      <c r="Q359" t="s">
        <v>2272</v>
      </c>
      <c r="R359" t="s">
        <v>2276</v>
      </c>
      <c r="S359" t="s">
        <v>2287</v>
      </c>
      <c r="T359" t="s">
        <v>2289</v>
      </c>
      <c r="U359">
        <v>3</v>
      </c>
      <c r="V359">
        <v>441</v>
      </c>
      <c r="X359">
        <v>40.86</v>
      </c>
      <c r="Y359">
        <v>54.14</v>
      </c>
      <c r="Z359" t="s">
        <v>1761</v>
      </c>
      <c r="AA359" t="s">
        <v>2298</v>
      </c>
      <c r="AB359">
        <v>100</v>
      </c>
      <c r="AC359">
        <v>5</v>
      </c>
      <c r="AD359">
        <v>95</v>
      </c>
      <c r="AE359">
        <v>40.86</v>
      </c>
      <c r="AF359">
        <v>54.14</v>
      </c>
      <c r="AG359">
        <v>2024</v>
      </c>
      <c r="AH359">
        <v>3</v>
      </c>
      <c r="AI359" t="s">
        <v>2305</v>
      </c>
      <c r="AJ359" t="s">
        <v>2317</v>
      </c>
    </row>
    <row r="360" spans="1:36" x14ac:dyDescent="0.3">
      <c r="A360" t="s">
        <v>394</v>
      </c>
      <c r="B360" s="2">
        <v>45455</v>
      </c>
      <c r="C360" t="s">
        <v>1636</v>
      </c>
      <c r="D360" t="s">
        <v>1803</v>
      </c>
      <c r="E360" t="s">
        <v>1761</v>
      </c>
      <c r="F360" t="s">
        <v>2240</v>
      </c>
      <c r="G360" t="s">
        <v>2248</v>
      </c>
      <c r="H360" t="s">
        <v>2257</v>
      </c>
      <c r="I360" t="s">
        <v>2262</v>
      </c>
      <c r="K360">
        <v>1</v>
      </c>
      <c r="L360">
        <v>145</v>
      </c>
      <c r="M360">
        <v>0</v>
      </c>
      <c r="N360">
        <v>145</v>
      </c>
      <c r="O360">
        <v>145</v>
      </c>
      <c r="P360" t="s">
        <v>2269</v>
      </c>
      <c r="Q360" t="s">
        <v>2270</v>
      </c>
      <c r="R360" t="s">
        <v>2277</v>
      </c>
      <c r="S360" t="s">
        <v>2282</v>
      </c>
      <c r="T360" t="s">
        <v>2288</v>
      </c>
      <c r="U360">
        <v>3</v>
      </c>
      <c r="V360">
        <v>116</v>
      </c>
      <c r="W360">
        <v>37</v>
      </c>
      <c r="X360">
        <v>84.92</v>
      </c>
      <c r="Y360">
        <v>60.08</v>
      </c>
      <c r="Z360" t="s">
        <v>1761</v>
      </c>
      <c r="AA360" t="s">
        <v>1761</v>
      </c>
      <c r="AB360">
        <v>145</v>
      </c>
      <c r="AC360">
        <v>0</v>
      </c>
      <c r="AD360">
        <v>145</v>
      </c>
      <c r="AE360">
        <v>84.92</v>
      </c>
      <c r="AF360">
        <v>60.08</v>
      </c>
      <c r="AG360">
        <v>2024</v>
      </c>
      <c r="AH360">
        <v>6</v>
      </c>
      <c r="AI360" t="s">
        <v>2304</v>
      </c>
      <c r="AJ360" t="s">
        <v>2312</v>
      </c>
    </row>
    <row r="361" spans="1:36" x14ac:dyDescent="0.3">
      <c r="A361" t="s">
        <v>395</v>
      </c>
      <c r="B361" s="2">
        <v>45481</v>
      </c>
      <c r="C361" t="s">
        <v>1667</v>
      </c>
      <c r="D361" t="s">
        <v>1896</v>
      </c>
      <c r="E361" t="s">
        <v>1955</v>
      </c>
      <c r="F361" t="s">
        <v>2238</v>
      </c>
      <c r="G361" t="s">
        <v>2254</v>
      </c>
      <c r="H361" t="s">
        <v>2259</v>
      </c>
      <c r="I361" t="s">
        <v>2263</v>
      </c>
      <c r="J361" t="s">
        <v>2264</v>
      </c>
      <c r="K361">
        <v>1</v>
      </c>
      <c r="L361">
        <v>110</v>
      </c>
      <c r="M361">
        <v>0.05</v>
      </c>
      <c r="N361">
        <v>110</v>
      </c>
      <c r="O361">
        <v>104.5</v>
      </c>
      <c r="P361" t="s">
        <v>2267</v>
      </c>
      <c r="Q361" t="s">
        <v>2270</v>
      </c>
      <c r="R361" t="s">
        <v>2279</v>
      </c>
      <c r="S361" t="s">
        <v>2280</v>
      </c>
      <c r="T361" t="s">
        <v>2289</v>
      </c>
      <c r="U361">
        <v>5</v>
      </c>
      <c r="V361">
        <v>217</v>
      </c>
      <c r="W361">
        <v>13</v>
      </c>
      <c r="X361">
        <v>38.78</v>
      </c>
      <c r="Y361">
        <v>65.72</v>
      </c>
      <c r="Z361" t="s">
        <v>1761</v>
      </c>
      <c r="AA361" t="s">
        <v>2296</v>
      </c>
      <c r="AB361">
        <v>110</v>
      </c>
      <c r="AC361">
        <v>5.5</v>
      </c>
      <c r="AD361">
        <v>104.5</v>
      </c>
      <c r="AE361">
        <v>38.78</v>
      </c>
      <c r="AF361">
        <v>65.72</v>
      </c>
      <c r="AG361">
        <v>2024</v>
      </c>
      <c r="AH361">
        <v>7</v>
      </c>
      <c r="AI361" t="s">
        <v>2307</v>
      </c>
      <c r="AJ361" t="s">
        <v>2314</v>
      </c>
    </row>
    <row r="362" spans="1:36" x14ac:dyDescent="0.3">
      <c r="A362" t="s">
        <v>396</v>
      </c>
      <c r="B362" s="2">
        <v>45407</v>
      </c>
      <c r="C362" t="s">
        <v>1655</v>
      </c>
      <c r="D362" t="s">
        <v>1834</v>
      </c>
      <c r="E362" t="s">
        <v>2148</v>
      </c>
      <c r="F362" t="s">
        <v>1761</v>
      </c>
      <c r="G362" t="s">
        <v>2243</v>
      </c>
      <c r="H362" t="s">
        <v>2258</v>
      </c>
      <c r="I362" t="s">
        <v>2260</v>
      </c>
      <c r="J362" t="s">
        <v>2265</v>
      </c>
      <c r="K362">
        <v>2</v>
      </c>
      <c r="L362">
        <v>70</v>
      </c>
      <c r="N362">
        <v>140</v>
      </c>
      <c r="P362" t="s">
        <v>2269</v>
      </c>
      <c r="Q362" t="s">
        <v>2272</v>
      </c>
      <c r="R362" t="s">
        <v>2279</v>
      </c>
      <c r="S362" t="s">
        <v>2283</v>
      </c>
      <c r="T362" t="s">
        <v>2288</v>
      </c>
      <c r="U362">
        <v>2</v>
      </c>
      <c r="V362">
        <v>444</v>
      </c>
      <c r="W362">
        <v>22</v>
      </c>
      <c r="X362">
        <v>31.46</v>
      </c>
      <c r="Z362" t="s">
        <v>2293</v>
      </c>
      <c r="AA362" t="s">
        <v>2296</v>
      </c>
      <c r="AB362">
        <v>140</v>
      </c>
      <c r="AC362">
        <v>0</v>
      </c>
      <c r="AD362">
        <v>140</v>
      </c>
      <c r="AE362">
        <v>62.92</v>
      </c>
      <c r="AF362">
        <v>77.08</v>
      </c>
      <c r="AG362">
        <v>2024</v>
      </c>
      <c r="AH362">
        <v>4</v>
      </c>
      <c r="AI362" t="s">
        <v>2308</v>
      </c>
      <c r="AJ362" t="s">
        <v>2316</v>
      </c>
    </row>
    <row r="363" spans="1:36" x14ac:dyDescent="0.3">
      <c r="A363" t="s">
        <v>397</v>
      </c>
      <c r="B363" s="2">
        <v>45385</v>
      </c>
      <c r="C363" t="s">
        <v>1670</v>
      </c>
      <c r="D363" t="s">
        <v>1907</v>
      </c>
      <c r="E363" t="s">
        <v>1964</v>
      </c>
      <c r="F363" t="s">
        <v>2240</v>
      </c>
      <c r="G363" t="s">
        <v>2256</v>
      </c>
      <c r="H363" t="s">
        <v>2261</v>
      </c>
      <c r="I363" t="s">
        <v>2260</v>
      </c>
      <c r="J363" t="s">
        <v>2265</v>
      </c>
      <c r="K363">
        <v>1</v>
      </c>
      <c r="L363">
        <v>195</v>
      </c>
      <c r="M363">
        <v>0.05</v>
      </c>
      <c r="N363">
        <v>195</v>
      </c>
      <c r="O363">
        <v>185.25</v>
      </c>
      <c r="P363" t="s">
        <v>2267</v>
      </c>
      <c r="Q363" t="s">
        <v>2270</v>
      </c>
      <c r="R363" t="s">
        <v>2274</v>
      </c>
      <c r="S363" t="s">
        <v>2280</v>
      </c>
      <c r="T363" t="s">
        <v>2288</v>
      </c>
      <c r="V363">
        <v>402</v>
      </c>
      <c r="X363">
        <v>71.099999999999994</v>
      </c>
      <c r="Y363">
        <v>114.15</v>
      </c>
      <c r="Z363" t="s">
        <v>2293</v>
      </c>
      <c r="AA363" t="s">
        <v>2299</v>
      </c>
      <c r="AB363">
        <v>195</v>
      </c>
      <c r="AC363">
        <v>9.75</v>
      </c>
      <c r="AD363">
        <v>185.25</v>
      </c>
      <c r="AE363">
        <v>71.099999999999994</v>
      </c>
      <c r="AF363">
        <v>114.15</v>
      </c>
      <c r="AG363">
        <v>2024</v>
      </c>
      <c r="AH363">
        <v>4</v>
      </c>
      <c r="AI363" t="s">
        <v>2308</v>
      </c>
      <c r="AJ363" t="s">
        <v>2312</v>
      </c>
    </row>
    <row r="364" spans="1:36" x14ac:dyDescent="0.3">
      <c r="A364" t="s">
        <v>398</v>
      </c>
      <c r="B364" s="2">
        <v>45393</v>
      </c>
      <c r="C364" t="s">
        <v>1732</v>
      </c>
      <c r="D364" t="s">
        <v>1747</v>
      </c>
      <c r="E364" t="s">
        <v>2086</v>
      </c>
      <c r="F364" t="s">
        <v>1761</v>
      </c>
      <c r="G364" t="s">
        <v>2254</v>
      </c>
      <c r="H364" t="s">
        <v>2259</v>
      </c>
      <c r="I364" t="s">
        <v>2263</v>
      </c>
      <c r="J364" t="s">
        <v>2265</v>
      </c>
      <c r="K364">
        <v>1</v>
      </c>
      <c r="L364">
        <v>110</v>
      </c>
      <c r="M364">
        <v>0.1</v>
      </c>
      <c r="N364">
        <v>110</v>
      </c>
      <c r="O364">
        <v>99</v>
      </c>
      <c r="P364" t="s">
        <v>2269</v>
      </c>
      <c r="Q364" t="s">
        <v>2272</v>
      </c>
      <c r="R364" t="s">
        <v>2278</v>
      </c>
      <c r="S364" t="s">
        <v>2281</v>
      </c>
      <c r="T364" t="s">
        <v>2288</v>
      </c>
      <c r="U364">
        <v>4</v>
      </c>
      <c r="V364">
        <v>248</v>
      </c>
      <c r="W364">
        <v>30</v>
      </c>
      <c r="X364">
        <v>44.61</v>
      </c>
      <c r="Y364">
        <v>54.39</v>
      </c>
      <c r="Z364" t="s">
        <v>2293</v>
      </c>
      <c r="AA364" t="s">
        <v>2296</v>
      </c>
      <c r="AB364">
        <v>110</v>
      </c>
      <c r="AC364">
        <v>11</v>
      </c>
      <c r="AD364">
        <v>99</v>
      </c>
      <c r="AE364">
        <v>44.61</v>
      </c>
      <c r="AF364">
        <v>54.39</v>
      </c>
      <c r="AG364">
        <v>2024</v>
      </c>
      <c r="AH364">
        <v>4</v>
      </c>
      <c r="AI364" t="s">
        <v>2308</v>
      </c>
      <c r="AJ364" t="s">
        <v>2316</v>
      </c>
    </row>
    <row r="365" spans="1:36" x14ac:dyDescent="0.3">
      <c r="A365" t="s">
        <v>399</v>
      </c>
      <c r="B365" s="2">
        <v>45521</v>
      </c>
      <c r="C365" t="s">
        <v>1646</v>
      </c>
      <c r="D365" t="s">
        <v>1748</v>
      </c>
      <c r="E365" t="s">
        <v>1968</v>
      </c>
      <c r="F365" t="s">
        <v>2238</v>
      </c>
      <c r="G365" t="s">
        <v>2248</v>
      </c>
      <c r="H365" t="s">
        <v>2257</v>
      </c>
      <c r="I365" t="s">
        <v>2262</v>
      </c>
      <c r="J365" t="s">
        <v>2266</v>
      </c>
      <c r="K365">
        <v>1</v>
      </c>
      <c r="L365">
        <v>145</v>
      </c>
      <c r="M365">
        <v>0.05</v>
      </c>
      <c r="N365">
        <v>145</v>
      </c>
      <c r="O365">
        <v>137.75</v>
      </c>
      <c r="P365" t="s">
        <v>2267</v>
      </c>
      <c r="Q365" t="s">
        <v>2272</v>
      </c>
      <c r="R365" t="s">
        <v>2278</v>
      </c>
      <c r="S365" t="s">
        <v>2287</v>
      </c>
      <c r="T365" t="s">
        <v>2288</v>
      </c>
      <c r="U365">
        <v>2</v>
      </c>
      <c r="V365">
        <v>279</v>
      </c>
      <c r="W365">
        <v>59</v>
      </c>
      <c r="X365">
        <v>65.040000000000006</v>
      </c>
      <c r="Y365">
        <v>72.709999999999994</v>
      </c>
      <c r="Z365" t="s">
        <v>1761</v>
      </c>
      <c r="AA365" t="s">
        <v>2298</v>
      </c>
      <c r="AB365">
        <v>145</v>
      </c>
      <c r="AC365">
        <v>7.25</v>
      </c>
      <c r="AD365">
        <v>137.75</v>
      </c>
      <c r="AE365">
        <v>65.040000000000006</v>
      </c>
      <c r="AF365">
        <v>72.709999999999994</v>
      </c>
      <c r="AG365">
        <v>2024</v>
      </c>
      <c r="AH365">
        <v>8</v>
      </c>
      <c r="AI365" t="s">
        <v>2301</v>
      </c>
      <c r="AJ365" t="s">
        <v>2317</v>
      </c>
    </row>
    <row r="366" spans="1:36" x14ac:dyDescent="0.3">
      <c r="A366" t="s">
        <v>400</v>
      </c>
      <c r="B366" s="2">
        <v>45468</v>
      </c>
      <c r="C366" t="s">
        <v>1645</v>
      </c>
      <c r="D366" t="s">
        <v>1896</v>
      </c>
      <c r="E366" t="s">
        <v>2149</v>
      </c>
      <c r="F366" t="s">
        <v>2239</v>
      </c>
      <c r="G366" t="s">
        <v>2243</v>
      </c>
      <c r="H366" t="s">
        <v>2258</v>
      </c>
      <c r="I366" t="s">
        <v>2260</v>
      </c>
      <c r="J366" t="s">
        <v>2266</v>
      </c>
      <c r="K366">
        <v>2</v>
      </c>
      <c r="L366">
        <v>65</v>
      </c>
      <c r="M366">
        <v>0.1</v>
      </c>
      <c r="N366">
        <v>130</v>
      </c>
      <c r="O366">
        <v>117</v>
      </c>
      <c r="P366" t="s">
        <v>2269</v>
      </c>
      <c r="Q366" t="s">
        <v>2272</v>
      </c>
      <c r="R366" t="s">
        <v>2279</v>
      </c>
      <c r="S366" t="s">
        <v>2285</v>
      </c>
      <c r="T366" t="s">
        <v>2290</v>
      </c>
      <c r="X366">
        <v>31.79</v>
      </c>
      <c r="Y366">
        <v>53.42</v>
      </c>
      <c r="Z366" t="s">
        <v>2291</v>
      </c>
      <c r="AA366" t="s">
        <v>2296</v>
      </c>
      <c r="AB366">
        <v>130</v>
      </c>
      <c r="AC366">
        <v>13</v>
      </c>
      <c r="AD366">
        <v>117</v>
      </c>
      <c r="AE366">
        <v>63.58</v>
      </c>
      <c r="AF366">
        <v>53.42</v>
      </c>
      <c r="AG366">
        <v>2024</v>
      </c>
      <c r="AH366">
        <v>6</v>
      </c>
      <c r="AI366" t="s">
        <v>2304</v>
      </c>
      <c r="AJ366" t="s">
        <v>2313</v>
      </c>
    </row>
    <row r="367" spans="1:36" x14ac:dyDescent="0.3">
      <c r="A367" t="s">
        <v>401</v>
      </c>
      <c r="B367" s="2">
        <v>45509</v>
      </c>
      <c r="C367" t="s">
        <v>1714</v>
      </c>
      <c r="D367" t="s">
        <v>1764</v>
      </c>
      <c r="E367" t="s">
        <v>2150</v>
      </c>
      <c r="F367" t="s">
        <v>2239</v>
      </c>
      <c r="G367" t="s">
        <v>2246</v>
      </c>
      <c r="H367" t="s">
        <v>2259</v>
      </c>
      <c r="I367" t="s">
        <v>2262</v>
      </c>
      <c r="J367" t="s">
        <v>2265</v>
      </c>
      <c r="K367">
        <v>2</v>
      </c>
      <c r="L367">
        <v>105</v>
      </c>
      <c r="M367">
        <v>0.15</v>
      </c>
      <c r="N367">
        <v>210</v>
      </c>
      <c r="O367">
        <v>178.5</v>
      </c>
      <c r="P367" t="s">
        <v>2267</v>
      </c>
      <c r="Q367" t="s">
        <v>2270</v>
      </c>
      <c r="R367" t="s">
        <v>2273</v>
      </c>
      <c r="S367" t="s">
        <v>2283</v>
      </c>
      <c r="T367" t="s">
        <v>2288</v>
      </c>
      <c r="U367">
        <v>5</v>
      </c>
      <c r="V367">
        <v>183</v>
      </c>
      <c r="W367">
        <v>26</v>
      </c>
      <c r="X367">
        <v>46.7</v>
      </c>
      <c r="Y367">
        <v>85.1</v>
      </c>
      <c r="Z367" t="s">
        <v>2293</v>
      </c>
      <c r="AA367" t="s">
        <v>1761</v>
      </c>
      <c r="AB367">
        <v>210</v>
      </c>
      <c r="AC367">
        <v>31.5</v>
      </c>
      <c r="AD367">
        <v>178.5</v>
      </c>
      <c r="AE367">
        <v>93.4</v>
      </c>
      <c r="AF367">
        <v>85.1</v>
      </c>
      <c r="AG367">
        <v>2024</v>
      </c>
      <c r="AH367">
        <v>8</v>
      </c>
      <c r="AI367" t="s">
        <v>2301</v>
      </c>
      <c r="AJ367" t="s">
        <v>2314</v>
      </c>
    </row>
    <row r="368" spans="1:36" x14ac:dyDescent="0.3">
      <c r="A368" t="s">
        <v>402</v>
      </c>
      <c r="B368" s="2">
        <v>45398</v>
      </c>
      <c r="C368" t="s">
        <v>1666</v>
      </c>
      <c r="D368" t="s">
        <v>1904</v>
      </c>
      <c r="E368" t="s">
        <v>2151</v>
      </c>
      <c r="F368" t="s">
        <v>2240</v>
      </c>
      <c r="G368" t="s">
        <v>2255</v>
      </c>
      <c r="H368" t="s">
        <v>2260</v>
      </c>
      <c r="I368" t="s">
        <v>2260</v>
      </c>
      <c r="J368" t="s">
        <v>2265</v>
      </c>
      <c r="K368">
        <v>1</v>
      </c>
      <c r="L368">
        <v>180</v>
      </c>
      <c r="M368">
        <v>0.05</v>
      </c>
      <c r="N368">
        <v>180</v>
      </c>
      <c r="O368">
        <v>171</v>
      </c>
      <c r="P368" t="s">
        <v>2269</v>
      </c>
      <c r="Q368" t="s">
        <v>2272</v>
      </c>
      <c r="R368" t="s">
        <v>2278</v>
      </c>
      <c r="S368" t="s">
        <v>2286</v>
      </c>
      <c r="T368" t="s">
        <v>2288</v>
      </c>
      <c r="U368">
        <v>2</v>
      </c>
      <c r="V368">
        <v>268</v>
      </c>
      <c r="W368">
        <v>23</v>
      </c>
      <c r="X368">
        <v>98.23</v>
      </c>
      <c r="Y368">
        <v>72.77</v>
      </c>
      <c r="Z368" t="s">
        <v>2292</v>
      </c>
      <c r="AA368" t="s">
        <v>2297</v>
      </c>
      <c r="AB368">
        <v>180</v>
      </c>
      <c r="AC368">
        <v>9</v>
      </c>
      <c r="AD368">
        <v>171</v>
      </c>
      <c r="AE368">
        <v>98.23</v>
      </c>
      <c r="AF368">
        <v>72.77</v>
      </c>
      <c r="AG368">
        <v>2024</v>
      </c>
      <c r="AH368">
        <v>4</v>
      </c>
      <c r="AI368" t="s">
        <v>2308</v>
      </c>
      <c r="AJ368" t="s">
        <v>2313</v>
      </c>
    </row>
    <row r="369" spans="1:36" x14ac:dyDescent="0.3">
      <c r="A369" t="s">
        <v>403</v>
      </c>
      <c r="B369" s="2">
        <v>45461</v>
      </c>
      <c r="C369" t="s">
        <v>1660</v>
      </c>
      <c r="D369" t="s">
        <v>1846</v>
      </c>
      <c r="E369" t="s">
        <v>2048</v>
      </c>
      <c r="F369" t="s">
        <v>2240</v>
      </c>
      <c r="G369" t="s">
        <v>2244</v>
      </c>
      <c r="H369" t="s">
        <v>2257</v>
      </c>
      <c r="I369" t="s">
        <v>2262</v>
      </c>
      <c r="J369" t="s">
        <v>2264</v>
      </c>
      <c r="K369">
        <v>1</v>
      </c>
      <c r="L369">
        <v>115</v>
      </c>
      <c r="M369">
        <v>0.05</v>
      </c>
      <c r="N369">
        <v>115</v>
      </c>
      <c r="O369">
        <v>109.25</v>
      </c>
      <c r="Q369" t="s">
        <v>2271</v>
      </c>
      <c r="R369" t="s">
        <v>2275</v>
      </c>
      <c r="S369" t="s">
        <v>2282</v>
      </c>
      <c r="T369" t="s">
        <v>2288</v>
      </c>
      <c r="U369">
        <v>3</v>
      </c>
      <c r="V369">
        <v>96</v>
      </c>
      <c r="W369">
        <v>29</v>
      </c>
      <c r="X369">
        <v>50.13</v>
      </c>
      <c r="Y369">
        <v>59.12</v>
      </c>
      <c r="Z369" t="s">
        <v>2293</v>
      </c>
      <c r="AA369" t="s">
        <v>2298</v>
      </c>
      <c r="AB369">
        <v>115</v>
      </c>
      <c r="AC369">
        <v>5.75</v>
      </c>
      <c r="AD369">
        <v>109.25</v>
      </c>
      <c r="AE369">
        <v>50.13</v>
      </c>
      <c r="AF369">
        <v>59.12</v>
      </c>
      <c r="AG369">
        <v>2024</v>
      </c>
      <c r="AH369">
        <v>6</v>
      </c>
      <c r="AI369" t="s">
        <v>2304</v>
      </c>
      <c r="AJ369" t="s">
        <v>2313</v>
      </c>
    </row>
    <row r="370" spans="1:36" x14ac:dyDescent="0.3">
      <c r="A370" t="s">
        <v>404</v>
      </c>
      <c r="B370" s="2">
        <v>45358</v>
      </c>
      <c r="C370" t="s">
        <v>1684</v>
      </c>
      <c r="D370" t="s">
        <v>1772</v>
      </c>
      <c r="E370" t="s">
        <v>2104</v>
      </c>
      <c r="F370" t="s">
        <v>1761</v>
      </c>
      <c r="G370" t="s">
        <v>2246</v>
      </c>
      <c r="H370" t="s">
        <v>2259</v>
      </c>
      <c r="I370" t="s">
        <v>2262</v>
      </c>
      <c r="J370" t="s">
        <v>2266</v>
      </c>
      <c r="K370">
        <v>2</v>
      </c>
      <c r="L370">
        <v>100</v>
      </c>
      <c r="M370">
        <v>0</v>
      </c>
      <c r="N370">
        <v>200</v>
      </c>
      <c r="O370">
        <v>200</v>
      </c>
      <c r="P370" t="s">
        <v>2267</v>
      </c>
      <c r="Q370" t="s">
        <v>2272</v>
      </c>
      <c r="R370" t="s">
        <v>2273</v>
      </c>
      <c r="S370" t="s">
        <v>2285</v>
      </c>
      <c r="T370" t="s">
        <v>2288</v>
      </c>
      <c r="U370">
        <v>3</v>
      </c>
      <c r="V370">
        <v>500</v>
      </c>
      <c r="X370">
        <v>35.18</v>
      </c>
      <c r="Y370">
        <v>129.63999999999999</v>
      </c>
      <c r="AA370" t="s">
        <v>1761</v>
      </c>
      <c r="AB370">
        <v>200</v>
      </c>
      <c r="AC370">
        <v>0</v>
      </c>
      <c r="AD370">
        <v>200</v>
      </c>
      <c r="AE370">
        <v>70.36</v>
      </c>
      <c r="AF370">
        <v>129.63999999999999</v>
      </c>
      <c r="AG370">
        <v>2024</v>
      </c>
      <c r="AH370">
        <v>3</v>
      </c>
      <c r="AI370" t="s">
        <v>2305</v>
      </c>
      <c r="AJ370" t="s">
        <v>2316</v>
      </c>
    </row>
    <row r="371" spans="1:36" x14ac:dyDescent="0.3">
      <c r="A371" t="s">
        <v>405</v>
      </c>
      <c r="B371" s="2">
        <v>45644</v>
      </c>
      <c r="C371" t="s">
        <v>1638</v>
      </c>
      <c r="D371" t="s">
        <v>1908</v>
      </c>
      <c r="E371" t="s">
        <v>2081</v>
      </c>
      <c r="F371" t="s">
        <v>2239</v>
      </c>
      <c r="G371" t="s">
        <v>2251</v>
      </c>
      <c r="H371" t="s">
        <v>2258</v>
      </c>
      <c r="I371" t="s">
        <v>2260</v>
      </c>
      <c r="J371" t="s">
        <v>2266</v>
      </c>
      <c r="K371">
        <v>1</v>
      </c>
      <c r="L371">
        <v>100</v>
      </c>
      <c r="M371">
        <v>0</v>
      </c>
      <c r="N371">
        <v>100</v>
      </c>
      <c r="O371">
        <v>100</v>
      </c>
      <c r="P371" t="s">
        <v>2269</v>
      </c>
      <c r="Q371" t="s">
        <v>2270</v>
      </c>
      <c r="R371" t="s">
        <v>2277</v>
      </c>
      <c r="S371" t="s">
        <v>2282</v>
      </c>
      <c r="T371" t="s">
        <v>2288</v>
      </c>
      <c r="V371">
        <v>9</v>
      </c>
      <c r="W371">
        <v>52</v>
      </c>
      <c r="X371">
        <v>45.02</v>
      </c>
      <c r="Y371">
        <v>54.98</v>
      </c>
      <c r="Z371" t="s">
        <v>1761</v>
      </c>
      <c r="AA371" t="s">
        <v>2296</v>
      </c>
      <c r="AB371">
        <v>100</v>
      </c>
      <c r="AC371">
        <v>0</v>
      </c>
      <c r="AD371">
        <v>100</v>
      </c>
      <c r="AE371">
        <v>45.02</v>
      </c>
      <c r="AF371">
        <v>54.98</v>
      </c>
      <c r="AG371">
        <v>2024</v>
      </c>
      <c r="AH371">
        <v>12</v>
      </c>
      <c r="AI371" t="s">
        <v>2309</v>
      </c>
      <c r="AJ371" t="s">
        <v>2312</v>
      </c>
    </row>
    <row r="372" spans="1:36" x14ac:dyDescent="0.3">
      <c r="A372" t="s">
        <v>406</v>
      </c>
      <c r="B372" s="2">
        <v>45330</v>
      </c>
      <c r="C372" t="s">
        <v>1669</v>
      </c>
      <c r="D372" t="s">
        <v>1742</v>
      </c>
      <c r="E372" t="s">
        <v>2123</v>
      </c>
      <c r="F372" t="s">
        <v>2239</v>
      </c>
      <c r="G372" t="s">
        <v>2248</v>
      </c>
      <c r="H372" t="s">
        <v>2257</v>
      </c>
      <c r="I372" t="s">
        <v>2262</v>
      </c>
      <c r="J372" t="s">
        <v>2264</v>
      </c>
      <c r="K372">
        <v>1</v>
      </c>
      <c r="L372">
        <v>150</v>
      </c>
      <c r="M372">
        <v>0.1</v>
      </c>
      <c r="N372">
        <v>150</v>
      </c>
      <c r="O372">
        <v>135</v>
      </c>
      <c r="P372" t="s">
        <v>2267</v>
      </c>
      <c r="R372" t="s">
        <v>2273</v>
      </c>
      <c r="S372" t="s">
        <v>2287</v>
      </c>
      <c r="T372" t="s">
        <v>2288</v>
      </c>
      <c r="U372">
        <v>5</v>
      </c>
      <c r="V372">
        <v>111</v>
      </c>
      <c r="W372">
        <v>36</v>
      </c>
      <c r="X372">
        <v>81.569999999999993</v>
      </c>
      <c r="Y372">
        <v>53.43</v>
      </c>
      <c r="Z372" t="s">
        <v>1761</v>
      </c>
      <c r="AA372" t="s">
        <v>1761</v>
      </c>
      <c r="AB372">
        <v>150</v>
      </c>
      <c r="AC372">
        <v>15</v>
      </c>
      <c r="AD372">
        <v>135</v>
      </c>
      <c r="AE372">
        <v>81.569999999999993</v>
      </c>
      <c r="AF372">
        <v>53.430000000000007</v>
      </c>
      <c r="AG372">
        <v>2024</v>
      </c>
      <c r="AH372">
        <v>2</v>
      </c>
      <c r="AI372" t="s">
        <v>2303</v>
      </c>
      <c r="AJ372" t="s">
        <v>2316</v>
      </c>
    </row>
    <row r="373" spans="1:36" x14ac:dyDescent="0.3">
      <c r="A373" t="s">
        <v>407</v>
      </c>
      <c r="B373" s="2">
        <v>45492</v>
      </c>
      <c r="C373" t="s">
        <v>1652</v>
      </c>
      <c r="D373" t="s">
        <v>1786</v>
      </c>
      <c r="E373" t="s">
        <v>2063</v>
      </c>
      <c r="F373" t="s">
        <v>2240</v>
      </c>
      <c r="G373" t="s">
        <v>2254</v>
      </c>
      <c r="H373" t="s">
        <v>2259</v>
      </c>
      <c r="I373" t="s">
        <v>2263</v>
      </c>
      <c r="J373" t="s">
        <v>2266</v>
      </c>
      <c r="K373">
        <v>2</v>
      </c>
      <c r="L373">
        <v>105</v>
      </c>
      <c r="M373">
        <v>0.1</v>
      </c>
      <c r="N373">
        <v>210</v>
      </c>
      <c r="O373">
        <v>189</v>
      </c>
      <c r="P373" t="s">
        <v>2268</v>
      </c>
      <c r="Q373" t="s">
        <v>2272</v>
      </c>
      <c r="R373" t="s">
        <v>2273</v>
      </c>
      <c r="S373" t="s">
        <v>2285</v>
      </c>
      <c r="T373" t="s">
        <v>2288</v>
      </c>
      <c r="V373">
        <v>391</v>
      </c>
      <c r="X373">
        <v>42.23</v>
      </c>
      <c r="Y373">
        <v>104.54</v>
      </c>
      <c r="Z373" t="s">
        <v>2293</v>
      </c>
      <c r="AA373" t="s">
        <v>2298</v>
      </c>
      <c r="AB373">
        <v>210</v>
      </c>
      <c r="AC373">
        <v>21</v>
      </c>
      <c r="AD373">
        <v>189</v>
      </c>
      <c r="AE373">
        <v>84.46</v>
      </c>
      <c r="AF373">
        <v>104.54</v>
      </c>
      <c r="AG373">
        <v>2024</v>
      </c>
      <c r="AH373">
        <v>7</v>
      </c>
      <c r="AI373" t="s">
        <v>2307</v>
      </c>
      <c r="AJ373" t="s">
        <v>2315</v>
      </c>
    </row>
    <row r="374" spans="1:36" x14ac:dyDescent="0.3">
      <c r="A374" t="s">
        <v>408</v>
      </c>
      <c r="B374" s="2">
        <v>45428</v>
      </c>
      <c r="C374" t="s">
        <v>1653</v>
      </c>
      <c r="D374" t="s">
        <v>1840</v>
      </c>
      <c r="E374" t="s">
        <v>1761</v>
      </c>
      <c r="F374" t="s">
        <v>2238</v>
      </c>
      <c r="G374" t="s">
        <v>2245</v>
      </c>
      <c r="H374" t="s">
        <v>2257</v>
      </c>
      <c r="I374" t="s">
        <v>2263</v>
      </c>
      <c r="J374" t="s">
        <v>2264</v>
      </c>
      <c r="K374">
        <v>1</v>
      </c>
      <c r="L374">
        <v>150</v>
      </c>
      <c r="M374">
        <v>0.1</v>
      </c>
      <c r="N374">
        <v>150</v>
      </c>
      <c r="O374">
        <v>135</v>
      </c>
      <c r="P374" t="s">
        <v>2268</v>
      </c>
      <c r="Q374" t="s">
        <v>2271</v>
      </c>
      <c r="R374" t="s">
        <v>2278</v>
      </c>
      <c r="S374" t="s">
        <v>2285</v>
      </c>
      <c r="T374" t="s">
        <v>2288</v>
      </c>
      <c r="U374">
        <v>1</v>
      </c>
      <c r="V374">
        <v>402</v>
      </c>
      <c r="W374">
        <v>43</v>
      </c>
      <c r="X374">
        <v>76.69</v>
      </c>
      <c r="Y374">
        <v>58.31</v>
      </c>
      <c r="Z374" t="s">
        <v>2291</v>
      </c>
      <c r="AA374" t="s">
        <v>2296</v>
      </c>
      <c r="AB374">
        <v>150</v>
      </c>
      <c r="AC374">
        <v>15</v>
      </c>
      <c r="AD374">
        <v>135</v>
      </c>
      <c r="AE374">
        <v>76.69</v>
      </c>
      <c r="AF374">
        <v>58.31</v>
      </c>
      <c r="AG374">
        <v>2024</v>
      </c>
      <c r="AH374">
        <v>5</v>
      </c>
      <c r="AI374" t="s">
        <v>2306</v>
      </c>
      <c r="AJ374" t="s">
        <v>2316</v>
      </c>
    </row>
    <row r="375" spans="1:36" x14ac:dyDescent="0.3">
      <c r="A375" t="s">
        <v>409</v>
      </c>
      <c r="B375" s="2">
        <v>45545</v>
      </c>
      <c r="C375" t="s">
        <v>1670</v>
      </c>
      <c r="D375" t="s">
        <v>1882</v>
      </c>
      <c r="E375" t="s">
        <v>2041</v>
      </c>
      <c r="F375" t="s">
        <v>2240</v>
      </c>
      <c r="G375" t="s">
        <v>2250</v>
      </c>
      <c r="H375" t="s">
        <v>2259</v>
      </c>
      <c r="I375" t="s">
        <v>2262</v>
      </c>
      <c r="J375" t="s">
        <v>2264</v>
      </c>
      <c r="K375">
        <v>3</v>
      </c>
      <c r="L375">
        <v>85</v>
      </c>
      <c r="M375">
        <v>0.1</v>
      </c>
      <c r="N375">
        <v>255</v>
      </c>
      <c r="O375">
        <v>229.5</v>
      </c>
      <c r="P375" t="s">
        <v>2267</v>
      </c>
      <c r="Q375" t="s">
        <v>2270</v>
      </c>
      <c r="R375" t="s">
        <v>2278</v>
      </c>
      <c r="S375" t="s">
        <v>2283</v>
      </c>
      <c r="T375" t="s">
        <v>2290</v>
      </c>
      <c r="U375">
        <v>5</v>
      </c>
      <c r="V375">
        <v>201</v>
      </c>
      <c r="X375">
        <v>29.28</v>
      </c>
      <c r="Y375">
        <v>141.66</v>
      </c>
      <c r="Z375" t="s">
        <v>2292</v>
      </c>
      <c r="AA375" t="s">
        <v>2298</v>
      </c>
      <c r="AB375">
        <v>255</v>
      </c>
      <c r="AC375">
        <v>25.5</v>
      </c>
      <c r="AD375">
        <v>229.5</v>
      </c>
      <c r="AE375">
        <v>87.84</v>
      </c>
      <c r="AF375">
        <v>141.66</v>
      </c>
      <c r="AG375">
        <v>2024</v>
      </c>
      <c r="AH375">
        <v>9</v>
      </c>
      <c r="AI375" t="s">
        <v>2300</v>
      </c>
      <c r="AJ375" t="s">
        <v>2313</v>
      </c>
    </row>
    <row r="376" spans="1:36" x14ac:dyDescent="0.3">
      <c r="A376" t="s">
        <v>410</v>
      </c>
      <c r="B376" s="2">
        <v>45499</v>
      </c>
      <c r="C376" t="s">
        <v>1650</v>
      </c>
      <c r="D376" t="s">
        <v>1839</v>
      </c>
      <c r="E376" t="s">
        <v>2152</v>
      </c>
      <c r="F376" t="s">
        <v>2239</v>
      </c>
      <c r="G376" t="s">
        <v>2245</v>
      </c>
      <c r="H376" t="s">
        <v>2257</v>
      </c>
      <c r="I376" t="s">
        <v>2263</v>
      </c>
      <c r="J376" t="s">
        <v>2266</v>
      </c>
      <c r="K376">
        <v>1</v>
      </c>
      <c r="L376">
        <v>155</v>
      </c>
      <c r="M376">
        <v>0.15</v>
      </c>
      <c r="N376">
        <v>155</v>
      </c>
      <c r="O376">
        <v>131.75</v>
      </c>
      <c r="P376" t="s">
        <v>2268</v>
      </c>
      <c r="Q376" t="s">
        <v>2272</v>
      </c>
      <c r="R376" t="s">
        <v>2275</v>
      </c>
      <c r="S376" t="s">
        <v>2287</v>
      </c>
      <c r="T376" t="s">
        <v>2288</v>
      </c>
      <c r="U376">
        <v>2</v>
      </c>
      <c r="V376">
        <v>130</v>
      </c>
      <c r="W376">
        <v>60</v>
      </c>
      <c r="X376">
        <v>56.6</v>
      </c>
      <c r="Y376">
        <v>75.150000000000006</v>
      </c>
      <c r="Z376" t="s">
        <v>1761</v>
      </c>
      <c r="AA376" t="s">
        <v>2296</v>
      </c>
      <c r="AB376">
        <v>155</v>
      </c>
      <c r="AC376">
        <v>23.25</v>
      </c>
      <c r="AD376">
        <v>131.75</v>
      </c>
      <c r="AE376">
        <v>56.6</v>
      </c>
      <c r="AF376">
        <v>75.150000000000006</v>
      </c>
      <c r="AG376">
        <v>2024</v>
      </c>
      <c r="AH376">
        <v>7</v>
      </c>
      <c r="AI376" t="s">
        <v>2307</v>
      </c>
      <c r="AJ376" t="s">
        <v>2315</v>
      </c>
    </row>
    <row r="377" spans="1:36" x14ac:dyDescent="0.3">
      <c r="A377" t="s">
        <v>411</v>
      </c>
      <c r="B377" s="2">
        <v>45299</v>
      </c>
      <c r="C377" t="s">
        <v>1662</v>
      </c>
      <c r="D377" t="s">
        <v>1909</v>
      </c>
      <c r="E377" t="s">
        <v>2153</v>
      </c>
      <c r="F377" t="s">
        <v>2240</v>
      </c>
      <c r="G377" t="s">
        <v>2241</v>
      </c>
      <c r="H377" t="s">
        <v>2257</v>
      </c>
      <c r="I377" t="s">
        <v>2262</v>
      </c>
      <c r="K377">
        <v>1</v>
      </c>
      <c r="L377">
        <v>130</v>
      </c>
      <c r="M377">
        <v>0.05</v>
      </c>
      <c r="N377">
        <v>130</v>
      </c>
      <c r="O377">
        <v>123.5</v>
      </c>
      <c r="P377" t="s">
        <v>2267</v>
      </c>
      <c r="R377" t="s">
        <v>2273</v>
      </c>
      <c r="S377" t="s">
        <v>2280</v>
      </c>
      <c r="T377" t="s">
        <v>2290</v>
      </c>
      <c r="U377">
        <v>3</v>
      </c>
      <c r="V377">
        <v>15</v>
      </c>
      <c r="W377">
        <v>34</v>
      </c>
      <c r="X377">
        <v>75.010000000000005</v>
      </c>
      <c r="Y377">
        <v>48.49</v>
      </c>
      <c r="Z377" t="s">
        <v>1761</v>
      </c>
      <c r="AA377" t="s">
        <v>2297</v>
      </c>
      <c r="AB377">
        <v>130</v>
      </c>
      <c r="AC377">
        <v>6.5</v>
      </c>
      <c r="AD377">
        <v>123.5</v>
      </c>
      <c r="AE377">
        <v>75.010000000000005</v>
      </c>
      <c r="AF377">
        <v>48.489999999999988</v>
      </c>
      <c r="AG377">
        <v>2024</v>
      </c>
      <c r="AH377">
        <v>1</v>
      </c>
      <c r="AI377" t="s">
        <v>2302</v>
      </c>
      <c r="AJ377" t="s">
        <v>2314</v>
      </c>
    </row>
    <row r="378" spans="1:36" x14ac:dyDescent="0.3">
      <c r="A378" t="s">
        <v>412</v>
      </c>
      <c r="B378" s="2">
        <v>45642</v>
      </c>
      <c r="C378" t="s">
        <v>1711</v>
      </c>
      <c r="D378" t="s">
        <v>1749</v>
      </c>
      <c r="E378" t="s">
        <v>2154</v>
      </c>
      <c r="F378" t="s">
        <v>2238</v>
      </c>
      <c r="G378" t="s">
        <v>2249</v>
      </c>
      <c r="H378" t="s">
        <v>2257</v>
      </c>
      <c r="I378" t="s">
        <v>2263</v>
      </c>
      <c r="J378" t="s">
        <v>2264</v>
      </c>
      <c r="K378">
        <v>2</v>
      </c>
      <c r="L378">
        <v>155</v>
      </c>
      <c r="M378">
        <v>0</v>
      </c>
      <c r="N378">
        <v>310</v>
      </c>
      <c r="O378">
        <v>310</v>
      </c>
      <c r="P378" t="s">
        <v>2267</v>
      </c>
      <c r="R378" t="s">
        <v>2279</v>
      </c>
      <c r="S378" t="s">
        <v>2287</v>
      </c>
      <c r="T378" t="s">
        <v>2289</v>
      </c>
      <c r="U378">
        <v>4</v>
      </c>
      <c r="V378">
        <v>246</v>
      </c>
      <c r="W378">
        <v>37</v>
      </c>
      <c r="X378">
        <v>94.78</v>
      </c>
      <c r="Y378">
        <v>120.44</v>
      </c>
      <c r="Z378" t="s">
        <v>1761</v>
      </c>
      <c r="AA378" t="s">
        <v>2298</v>
      </c>
      <c r="AB378">
        <v>310</v>
      </c>
      <c r="AC378">
        <v>0</v>
      </c>
      <c r="AD378">
        <v>310</v>
      </c>
      <c r="AE378">
        <v>189.56</v>
      </c>
      <c r="AF378">
        <v>120.44</v>
      </c>
      <c r="AG378">
        <v>2024</v>
      </c>
      <c r="AH378">
        <v>12</v>
      </c>
      <c r="AI378" t="s">
        <v>2309</v>
      </c>
      <c r="AJ378" t="s">
        <v>2314</v>
      </c>
    </row>
    <row r="379" spans="1:36" x14ac:dyDescent="0.3">
      <c r="A379" t="s">
        <v>413</v>
      </c>
      <c r="B379" s="2">
        <v>45314</v>
      </c>
      <c r="C379" t="s">
        <v>1679</v>
      </c>
      <c r="D379" t="s">
        <v>1762</v>
      </c>
      <c r="E379" t="s">
        <v>1761</v>
      </c>
      <c r="F379" t="s">
        <v>2239</v>
      </c>
      <c r="G379" t="s">
        <v>2241</v>
      </c>
      <c r="H379" t="s">
        <v>2257</v>
      </c>
      <c r="I379" t="s">
        <v>2262</v>
      </c>
      <c r="J379" t="s">
        <v>2265</v>
      </c>
      <c r="K379">
        <v>1</v>
      </c>
      <c r="L379">
        <v>135</v>
      </c>
      <c r="M379">
        <v>0</v>
      </c>
      <c r="N379">
        <v>135</v>
      </c>
      <c r="O379">
        <v>135</v>
      </c>
      <c r="P379" t="s">
        <v>2267</v>
      </c>
      <c r="Q379" t="s">
        <v>2272</v>
      </c>
      <c r="R379" t="s">
        <v>2279</v>
      </c>
      <c r="S379" t="s">
        <v>2284</v>
      </c>
      <c r="T379" t="s">
        <v>2288</v>
      </c>
      <c r="U379">
        <v>4</v>
      </c>
      <c r="V379">
        <v>251</v>
      </c>
      <c r="W379">
        <v>59</v>
      </c>
      <c r="X379">
        <v>52.06</v>
      </c>
      <c r="Y379">
        <v>82.94</v>
      </c>
      <c r="Z379" t="s">
        <v>2292</v>
      </c>
      <c r="AA379" t="s">
        <v>2297</v>
      </c>
      <c r="AB379">
        <v>135</v>
      </c>
      <c r="AC379">
        <v>0</v>
      </c>
      <c r="AD379">
        <v>135</v>
      </c>
      <c r="AE379">
        <v>52.06</v>
      </c>
      <c r="AF379">
        <v>82.94</v>
      </c>
      <c r="AG379">
        <v>2024</v>
      </c>
      <c r="AH379">
        <v>1</v>
      </c>
      <c r="AI379" t="s">
        <v>2302</v>
      </c>
      <c r="AJ379" t="s">
        <v>2313</v>
      </c>
    </row>
    <row r="380" spans="1:36" x14ac:dyDescent="0.3">
      <c r="A380" t="s">
        <v>414</v>
      </c>
      <c r="B380" s="2">
        <v>45592</v>
      </c>
      <c r="C380" t="s">
        <v>1706</v>
      </c>
      <c r="D380" t="s">
        <v>1852</v>
      </c>
      <c r="E380" t="s">
        <v>1985</v>
      </c>
      <c r="F380" t="s">
        <v>1761</v>
      </c>
      <c r="G380" t="s">
        <v>2247</v>
      </c>
      <c r="H380" t="s">
        <v>2257</v>
      </c>
      <c r="I380" t="s">
        <v>2262</v>
      </c>
      <c r="J380" t="s">
        <v>2265</v>
      </c>
      <c r="K380">
        <v>1</v>
      </c>
      <c r="L380">
        <v>100</v>
      </c>
      <c r="M380">
        <v>0.1</v>
      </c>
      <c r="N380">
        <v>100</v>
      </c>
      <c r="O380">
        <v>90</v>
      </c>
      <c r="P380" t="s">
        <v>2268</v>
      </c>
      <c r="Q380" t="s">
        <v>2271</v>
      </c>
      <c r="R380" t="s">
        <v>2274</v>
      </c>
      <c r="S380" t="s">
        <v>2286</v>
      </c>
      <c r="T380" t="s">
        <v>2289</v>
      </c>
      <c r="U380">
        <v>1</v>
      </c>
      <c r="V380">
        <v>39</v>
      </c>
      <c r="W380">
        <v>52</v>
      </c>
      <c r="X380">
        <v>56.51</v>
      </c>
      <c r="Y380">
        <v>33.49</v>
      </c>
      <c r="Z380" t="s">
        <v>2294</v>
      </c>
      <c r="AA380" t="s">
        <v>2296</v>
      </c>
      <c r="AB380">
        <v>100</v>
      </c>
      <c r="AC380">
        <v>10</v>
      </c>
      <c r="AD380">
        <v>90</v>
      </c>
      <c r="AE380">
        <v>56.51</v>
      </c>
      <c r="AF380">
        <v>33.49</v>
      </c>
      <c r="AG380">
        <v>2024</v>
      </c>
      <c r="AH380">
        <v>10</v>
      </c>
      <c r="AI380" t="s">
        <v>2310</v>
      </c>
      <c r="AJ380" t="s">
        <v>2318</v>
      </c>
    </row>
    <row r="381" spans="1:36" x14ac:dyDescent="0.3">
      <c r="A381" t="s">
        <v>415</v>
      </c>
      <c r="B381" s="2">
        <v>45328</v>
      </c>
      <c r="C381" t="s">
        <v>1702</v>
      </c>
      <c r="D381" t="s">
        <v>1878</v>
      </c>
      <c r="E381" t="s">
        <v>2155</v>
      </c>
      <c r="F381" t="s">
        <v>2238</v>
      </c>
      <c r="G381" t="s">
        <v>2248</v>
      </c>
      <c r="H381" t="s">
        <v>2257</v>
      </c>
      <c r="I381" t="s">
        <v>2262</v>
      </c>
      <c r="K381">
        <v>1</v>
      </c>
      <c r="L381">
        <v>145</v>
      </c>
      <c r="M381">
        <v>0.05</v>
      </c>
      <c r="N381">
        <v>145</v>
      </c>
      <c r="O381">
        <v>137.75</v>
      </c>
      <c r="P381" t="s">
        <v>2268</v>
      </c>
      <c r="Q381" t="s">
        <v>2271</v>
      </c>
      <c r="R381" t="s">
        <v>2274</v>
      </c>
      <c r="S381" t="s">
        <v>2280</v>
      </c>
      <c r="T381" t="s">
        <v>2290</v>
      </c>
      <c r="V381">
        <v>248</v>
      </c>
      <c r="X381">
        <v>75.819999999999993</v>
      </c>
      <c r="Y381">
        <v>61.93</v>
      </c>
      <c r="Z381" t="s">
        <v>2295</v>
      </c>
      <c r="AA381" t="s">
        <v>2297</v>
      </c>
      <c r="AB381">
        <v>145</v>
      </c>
      <c r="AC381">
        <v>7.25</v>
      </c>
      <c r="AD381">
        <v>137.75</v>
      </c>
      <c r="AE381">
        <v>75.819999999999993</v>
      </c>
      <c r="AF381">
        <v>61.930000000000007</v>
      </c>
      <c r="AG381">
        <v>2024</v>
      </c>
      <c r="AH381">
        <v>2</v>
      </c>
      <c r="AI381" t="s">
        <v>2303</v>
      </c>
      <c r="AJ381" t="s">
        <v>2313</v>
      </c>
    </row>
    <row r="382" spans="1:36" x14ac:dyDescent="0.3">
      <c r="A382" t="s">
        <v>416</v>
      </c>
      <c r="B382" s="2">
        <v>45554</v>
      </c>
      <c r="C382" t="s">
        <v>1723</v>
      </c>
      <c r="D382" t="s">
        <v>1798</v>
      </c>
      <c r="E382" t="s">
        <v>1988</v>
      </c>
      <c r="F382" t="s">
        <v>2239</v>
      </c>
      <c r="G382" t="s">
        <v>2253</v>
      </c>
      <c r="H382" t="s">
        <v>2258</v>
      </c>
      <c r="I382" t="s">
        <v>2260</v>
      </c>
      <c r="J382" t="s">
        <v>2265</v>
      </c>
      <c r="K382">
        <v>3</v>
      </c>
      <c r="L382">
        <v>95</v>
      </c>
      <c r="M382">
        <v>0</v>
      </c>
      <c r="N382">
        <v>285</v>
      </c>
      <c r="O382">
        <v>285</v>
      </c>
      <c r="P382" t="s">
        <v>2269</v>
      </c>
      <c r="Q382" t="s">
        <v>2272</v>
      </c>
      <c r="R382" t="s">
        <v>2275</v>
      </c>
      <c r="S382" t="s">
        <v>2287</v>
      </c>
      <c r="T382" t="s">
        <v>2290</v>
      </c>
      <c r="U382">
        <v>5</v>
      </c>
      <c r="V382">
        <v>202</v>
      </c>
      <c r="W382">
        <v>50</v>
      </c>
      <c r="X382">
        <v>51.29</v>
      </c>
      <c r="Y382">
        <v>131.13</v>
      </c>
      <c r="Z382" t="s">
        <v>2292</v>
      </c>
      <c r="AA382" t="s">
        <v>2297</v>
      </c>
      <c r="AB382">
        <v>285</v>
      </c>
      <c r="AC382">
        <v>0</v>
      </c>
      <c r="AD382">
        <v>285</v>
      </c>
      <c r="AE382">
        <v>153.87</v>
      </c>
      <c r="AF382">
        <v>131.13</v>
      </c>
      <c r="AG382">
        <v>2024</v>
      </c>
      <c r="AH382">
        <v>9</v>
      </c>
      <c r="AI382" t="s">
        <v>2300</v>
      </c>
      <c r="AJ382" t="s">
        <v>2316</v>
      </c>
    </row>
    <row r="383" spans="1:36" x14ac:dyDescent="0.3">
      <c r="A383" t="s">
        <v>417</v>
      </c>
      <c r="B383" s="2">
        <v>45598</v>
      </c>
      <c r="C383" t="s">
        <v>1710</v>
      </c>
      <c r="D383" t="s">
        <v>1910</v>
      </c>
      <c r="E383" t="s">
        <v>2089</v>
      </c>
      <c r="F383" t="s">
        <v>2240</v>
      </c>
      <c r="G383" t="s">
        <v>2248</v>
      </c>
      <c r="H383" t="s">
        <v>2257</v>
      </c>
      <c r="I383" t="s">
        <v>2262</v>
      </c>
      <c r="J383" t="s">
        <v>2266</v>
      </c>
      <c r="K383">
        <v>5</v>
      </c>
      <c r="L383">
        <v>145</v>
      </c>
      <c r="M383">
        <v>0</v>
      </c>
      <c r="N383">
        <v>725</v>
      </c>
      <c r="O383">
        <v>725</v>
      </c>
      <c r="P383" t="s">
        <v>2268</v>
      </c>
      <c r="Q383" t="s">
        <v>2271</v>
      </c>
      <c r="R383" t="s">
        <v>2278</v>
      </c>
      <c r="S383" t="s">
        <v>2287</v>
      </c>
      <c r="T383" t="s">
        <v>2289</v>
      </c>
      <c r="U383">
        <v>1</v>
      </c>
      <c r="V383">
        <v>0</v>
      </c>
      <c r="X383">
        <v>60.73</v>
      </c>
      <c r="Y383">
        <v>421.35</v>
      </c>
      <c r="Z383" t="s">
        <v>2292</v>
      </c>
      <c r="AA383" t="s">
        <v>2298</v>
      </c>
      <c r="AB383">
        <v>725</v>
      </c>
      <c r="AC383">
        <v>0</v>
      </c>
      <c r="AD383">
        <v>725</v>
      </c>
      <c r="AE383">
        <v>303.64999999999998</v>
      </c>
      <c r="AF383">
        <v>421.35</v>
      </c>
      <c r="AG383">
        <v>2024</v>
      </c>
      <c r="AH383">
        <v>11</v>
      </c>
      <c r="AI383" t="s">
        <v>2311</v>
      </c>
      <c r="AJ383" t="s">
        <v>2317</v>
      </c>
    </row>
    <row r="384" spans="1:36" x14ac:dyDescent="0.3">
      <c r="A384" t="s">
        <v>418</v>
      </c>
      <c r="B384" s="2">
        <v>45339</v>
      </c>
      <c r="C384" t="s">
        <v>1678</v>
      </c>
      <c r="D384" t="s">
        <v>1892</v>
      </c>
      <c r="E384" t="s">
        <v>2133</v>
      </c>
      <c r="F384" t="s">
        <v>2239</v>
      </c>
      <c r="G384" t="s">
        <v>2243</v>
      </c>
      <c r="H384" t="s">
        <v>2258</v>
      </c>
      <c r="I384" t="s">
        <v>2260</v>
      </c>
      <c r="J384" t="s">
        <v>2264</v>
      </c>
      <c r="K384">
        <v>2</v>
      </c>
      <c r="L384">
        <v>70</v>
      </c>
      <c r="N384">
        <v>140</v>
      </c>
      <c r="P384" t="s">
        <v>2268</v>
      </c>
      <c r="Q384" t="s">
        <v>2270</v>
      </c>
      <c r="R384" t="s">
        <v>2276</v>
      </c>
      <c r="S384" t="s">
        <v>2282</v>
      </c>
      <c r="T384" t="s">
        <v>2288</v>
      </c>
      <c r="U384">
        <v>1</v>
      </c>
      <c r="V384">
        <v>5</v>
      </c>
      <c r="W384">
        <v>25</v>
      </c>
      <c r="X384">
        <v>27.47</v>
      </c>
      <c r="Z384" t="s">
        <v>2294</v>
      </c>
      <c r="AA384" t="s">
        <v>2296</v>
      </c>
      <c r="AB384">
        <v>140</v>
      </c>
      <c r="AC384">
        <v>0</v>
      </c>
      <c r="AD384">
        <v>140</v>
      </c>
      <c r="AE384">
        <v>54.94</v>
      </c>
      <c r="AF384">
        <v>85.06</v>
      </c>
      <c r="AG384">
        <v>2024</v>
      </c>
      <c r="AH384">
        <v>2</v>
      </c>
      <c r="AI384" t="s">
        <v>2303</v>
      </c>
      <c r="AJ384" t="s">
        <v>2317</v>
      </c>
    </row>
    <row r="385" spans="1:36" x14ac:dyDescent="0.3">
      <c r="A385" t="s">
        <v>419</v>
      </c>
      <c r="B385" s="2">
        <v>45363</v>
      </c>
      <c r="C385" t="s">
        <v>1696</v>
      </c>
      <c r="D385" t="s">
        <v>1911</v>
      </c>
      <c r="E385" t="s">
        <v>2156</v>
      </c>
      <c r="F385" t="s">
        <v>2239</v>
      </c>
      <c r="G385" t="s">
        <v>2254</v>
      </c>
      <c r="H385" t="s">
        <v>2259</v>
      </c>
      <c r="I385" t="s">
        <v>2263</v>
      </c>
      <c r="J385" t="s">
        <v>2265</v>
      </c>
      <c r="K385">
        <v>2</v>
      </c>
      <c r="L385">
        <v>105</v>
      </c>
      <c r="M385">
        <v>0</v>
      </c>
      <c r="N385">
        <v>210</v>
      </c>
      <c r="O385">
        <v>210</v>
      </c>
      <c r="P385" t="s">
        <v>2269</v>
      </c>
      <c r="R385" t="s">
        <v>2279</v>
      </c>
      <c r="S385" t="s">
        <v>2283</v>
      </c>
      <c r="T385" t="s">
        <v>2288</v>
      </c>
      <c r="U385">
        <v>4</v>
      </c>
      <c r="W385">
        <v>49</v>
      </c>
      <c r="X385">
        <v>43.32</v>
      </c>
      <c r="Y385">
        <v>123.36</v>
      </c>
      <c r="Z385" t="s">
        <v>1761</v>
      </c>
      <c r="AA385" t="s">
        <v>1761</v>
      </c>
      <c r="AB385">
        <v>210</v>
      </c>
      <c r="AC385">
        <v>0</v>
      </c>
      <c r="AD385">
        <v>210</v>
      </c>
      <c r="AE385">
        <v>86.64</v>
      </c>
      <c r="AF385">
        <v>123.36</v>
      </c>
      <c r="AG385">
        <v>2024</v>
      </c>
      <c r="AH385">
        <v>3</v>
      </c>
      <c r="AI385" t="s">
        <v>2305</v>
      </c>
      <c r="AJ385" t="s">
        <v>2313</v>
      </c>
    </row>
    <row r="386" spans="1:36" x14ac:dyDescent="0.3">
      <c r="A386" t="s">
        <v>420</v>
      </c>
      <c r="B386" s="2">
        <v>45343</v>
      </c>
      <c r="C386" t="s">
        <v>1641</v>
      </c>
      <c r="D386" t="s">
        <v>1895</v>
      </c>
      <c r="E386" t="s">
        <v>2017</v>
      </c>
      <c r="F386" t="s">
        <v>2240</v>
      </c>
      <c r="G386" t="s">
        <v>2252</v>
      </c>
      <c r="H386" t="s">
        <v>2257</v>
      </c>
      <c r="I386" t="s">
        <v>2262</v>
      </c>
      <c r="J386" t="s">
        <v>2266</v>
      </c>
      <c r="K386">
        <v>3</v>
      </c>
      <c r="L386">
        <v>100</v>
      </c>
      <c r="M386">
        <v>0.15</v>
      </c>
      <c r="N386">
        <v>300</v>
      </c>
      <c r="O386">
        <v>255</v>
      </c>
      <c r="P386" t="s">
        <v>2268</v>
      </c>
      <c r="Q386" t="s">
        <v>2272</v>
      </c>
      <c r="R386" t="s">
        <v>2274</v>
      </c>
      <c r="S386" t="s">
        <v>2283</v>
      </c>
      <c r="T386" t="s">
        <v>2288</v>
      </c>
      <c r="V386">
        <v>463</v>
      </c>
      <c r="W386">
        <v>32</v>
      </c>
      <c r="X386">
        <v>47.77</v>
      </c>
      <c r="Y386">
        <v>111.69</v>
      </c>
      <c r="Z386" t="s">
        <v>2292</v>
      </c>
      <c r="AA386" t="s">
        <v>2296</v>
      </c>
      <c r="AB386">
        <v>300</v>
      </c>
      <c r="AC386">
        <v>45</v>
      </c>
      <c r="AD386">
        <v>255</v>
      </c>
      <c r="AE386">
        <v>143.31</v>
      </c>
      <c r="AF386">
        <v>111.69</v>
      </c>
      <c r="AG386">
        <v>2024</v>
      </c>
      <c r="AH386">
        <v>2</v>
      </c>
      <c r="AI386" t="s">
        <v>2303</v>
      </c>
      <c r="AJ386" t="s">
        <v>2312</v>
      </c>
    </row>
    <row r="387" spans="1:36" x14ac:dyDescent="0.3">
      <c r="A387" t="s">
        <v>421</v>
      </c>
      <c r="B387" s="2">
        <v>45625</v>
      </c>
      <c r="C387" t="s">
        <v>1725</v>
      </c>
      <c r="D387" t="s">
        <v>1761</v>
      </c>
      <c r="E387" t="s">
        <v>2044</v>
      </c>
      <c r="F387" t="s">
        <v>2239</v>
      </c>
      <c r="G387" t="s">
        <v>2248</v>
      </c>
      <c r="H387" t="s">
        <v>2257</v>
      </c>
      <c r="I387" t="s">
        <v>2262</v>
      </c>
      <c r="J387" t="s">
        <v>2266</v>
      </c>
      <c r="K387">
        <v>1</v>
      </c>
      <c r="L387">
        <v>145</v>
      </c>
      <c r="M387">
        <v>0.1</v>
      </c>
      <c r="N387">
        <v>145</v>
      </c>
      <c r="O387">
        <v>130.5</v>
      </c>
      <c r="P387" t="s">
        <v>2269</v>
      </c>
      <c r="Q387" t="s">
        <v>2271</v>
      </c>
      <c r="R387" t="s">
        <v>2279</v>
      </c>
      <c r="S387" t="s">
        <v>2284</v>
      </c>
      <c r="T387" t="s">
        <v>2289</v>
      </c>
      <c r="U387">
        <v>5</v>
      </c>
      <c r="V387">
        <v>453</v>
      </c>
      <c r="W387">
        <v>38</v>
      </c>
      <c r="X387">
        <v>80.66</v>
      </c>
      <c r="Y387">
        <v>49.84</v>
      </c>
      <c r="Z387" t="s">
        <v>2294</v>
      </c>
      <c r="AA387" t="s">
        <v>2296</v>
      </c>
      <c r="AB387">
        <v>145</v>
      </c>
      <c r="AC387">
        <v>14.5</v>
      </c>
      <c r="AD387">
        <v>130.5</v>
      </c>
      <c r="AE387">
        <v>80.66</v>
      </c>
      <c r="AF387">
        <v>49.84</v>
      </c>
      <c r="AG387">
        <v>2024</v>
      </c>
      <c r="AH387">
        <v>11</v>
      </c>
      <c r="AI387" t="s">
        <v>2311</v>
      </c>
      <c r="AJ387" t="s">
        <v>2315</v>
      </c>
    </row>
    <row r="388" spans="1:36" x14ac:dyDescent="0.3">
      <c r="A388" t="s">
        <v>422</v>
      </c>
      <c r="C388" t="s">
        <v>1691</v>
      </c>
      <c r="D388" t="s">
        <v>1847</v>
      </c>
      <c r="E388" t="s">
        <v>2056</v>
      </c>
      <c r="F388" t="s">
        <v>2240</v>
      </c>
      <c r="G388" t="s">
        <v>2254</v>
      </c>
      <c r="H388" t="s">
        <v>2259</v>
      </c>
      <c r="I388" t="s">
        <v>2263</v>
      </c>
      <c r="J388" t="s">
        <v>2266</v>
      </c>
      <c r="K388">
        <v>5</v>
      </c>
      <c r="L388">
        <v>110</v>
      </c>
      <c r="M388">
        <v>0</v>
      </c>
      <c r="N388">
        <v>550</v>
      </c>
      <c r="O388">
        <v>550</v>
      </c>
      <c r="P388" t="s">
        <v>2267</v>
      </c>
      <c r="Q388" t="s">
        <v>2270</v>
      </c>
      <c r="R388" t="s">
        <v>2279</v>
      </c>
      <c r="S388" t="s">
        <v>2287</v>
      </c>
      <c r="T388" t="s">
        <v>2288</v>
      </c>
      <c r="U388">
        <v>5</v>
      </c>
      <c r="V388">
        <v>327</v>
      </c>
      <c r="W388">
        <v>53</v>
      </c>
      <c r="X388">
        <v>62.08</v>
      </c>
      <c r="Y388">
        <v>239.6</v>
      </c>
      <c r="Z388" t="s">
        <v>2291</v>
      </c>
      <c r="AA388" t="s">
        <v>2296</v>
      </c>
      <c r="AB388">
        <v>550</v>
      </c>
      <c r="AC388">
        <v>0</v>
      </c>
      <c r="AD388">
        <v>550</v>
      </c>
      <c r="AE388">
        <v>310.39999999999998</v>
      </c>
      <c r="AF388">
        <v>239.6</v>
      </c>
    </row>
    <row r="389" spans="1:36" x14ac:dyDescent="0.3">
      <c r="A389" t="s">
        <v>423</v>
      </c>
      <c r="B389" s="2">
        <v>45561</v>
      </c>
      <c r="C389" t="s">
        <v>1721</v>
      </c>
      <c r="D389" t="s">
        <v>1872</v>
      </c>
      <c r="E389" t="s">
        <v>2044</v>
      </c>
      <c r="F389" t="s">
        <v>2239</v>
      </c>
      <c r="G389" t="s">
        <v>2246</v>
      </c>
      <c r="H389" t="s">
        <v>2259</v>
      </c>
      <c r="I389" t="s">
        <v>2262</v>
      </c>
      <c r="J389" t="s">
        <v>2266</v>
      </c>
      <c r="K389">
        <v>1</v>
      </c>
      <c r="L389">
        <v>90</v>
      </c>
      <c r="M389">
        <v>0</v>
      </c>
      <c r="N389">
        <v>90</v>
      </c>
      <c r="O389">
        <v>90</v>
      </c>
      <c r="P389" t="s">
        <v>2267</v>
      </c>
      <c r="Q389" t="s">
        <v>2272</v>
      </c>
      <c r="R389" t="s">
        <v>2274</v>
      </c>
      <c r="S389" t="s">
        <v>2281</v>
      </c>
      <c r="T389" t="s">
        <v>2290</v>
      </c>
      <c r="U389">
        <v>3</v>
      </c>
      <c r="V389">
        <v>4</v>
      </c>
      <c r="W389">
        <v>49</v>
      </c>
      <c r="X389">
        <v>54.94</v>
      </c>
      <c r="Y389">
        <v>35.06</v>
      </c>
      <c r="Z389" t="s">
        <v>2294</v>
      </c>
      <c r="AA389" t="s">
        <v>2299</v>
      </c>
      <c r="AB389">
        <v>90</v>
      </c>
      <c r="AC389">
        <v>0</v>
      </c>
      <c r="AD389">
        <v>90</v>
      </c>
      <c r="AE389">
        <v>54.94</v>
      </c>
      <c r="AF389">
        <v>35.06</v>
      </c>
      <c r="AG389">
        <v>2024</v>
      </c>
      <c r="AH389">
        <v>9</v>
      </c>
      <c r="AI389" t="s">
        <v>2300</v>
      </c>
      <c r="AJ389" t="s">
        <v>2316</v>
      </c>
    </row>
    <row r="390" spans="1:36" x14ac:dyDescent="0.3">
      <c r="A390" t="s">
        <v>424</v>
      </c>
      <c r="B390" s="2">
        <v>45446</v>
      </c>
      <c r="C390" t="s">
        <v>1679</v>
      </c>
      <c r="D390" t="s">
        <v>1781</v>
      </c>
      <c r="E390" t="s">
        <v>2073</v>
      </c>
      <c r="F390" t="s">
        <v>2238</v>
      </c>
      <c r="G390" t="s">
        <v>2254</v>
      </c>
      <c r="H390" t="s">
        <v>2259</v>
      </c>
      <c r="I390" t="s">
        <v>2263</v>
      </c>
      <c r="J390" t="s">
        <v>2266</v>
      </c>
      <c r="K390">
        <v>1</v>
      </c>
      <c r="L390">
        <v>120</v>
      </c>
      <c r="M390">
        <v>0.1</v>
      </c>
      <c r="N390">
        <v>120</v>
      </c>
      <c r="O390">
        <v>108</v>
      </c>
      <c r="P390" t="s">
        <v>2269</v>
      </c>
      <c r="Q390" t="s">
        <v>2270</v>
      </c>
      <c r="R390" t="s">
        <v>2277</v>
      </c>
      <c r="S390" t="s">
        <v>2282</v>
      </c>
      <c r="T390" t="s">
        <v>2289</v>
      </c>
      <c r="U390">
        <v>4</v>
      </c>
      <c r="V390">
        <v>283</v>
      </c>
      <c r="W390">
        <v>43</v>
      </c>
      <c r="X390">
        <v>56.85</v>
      </c>
      <c r="Y390">
        <v>51.15</v>
      </c>
      <c r="Z390" t="s">
        <v>2292</v>
      </c>
      <c r="AA390" t="s">
        <v>2299</v>
      </c>
      <c r="AB390">
        <v>120</v>
      </c>
      <c r="AC390">
        <v>12</v>
      </c>
      <c r="AD390">
        <v>108</v>
      </c>
      <c r="AE390">
        <v>56.85</v>
      </c>
      <c r="AF390">
        <v>51.15</v>
      </c>
      <c r="AG390">
        <v>2024</v>
      </c>
      <c r="AH390">
        <v>6</v>
      </c>
      <c r="AI390" t="s">
        <v>2304</v>
      </c>
      <c r="AJ390" t="s">
        <v>2314</v>
      </c>
    </row>
    <row r="391" spans="1:36" x14ac:dyDescent="0.3">
      <c r="A391" t="s">
        <v>425</v>
      </c>
      <c r="B391" s="2">
        <v>45460</v>
      </c>
      <c r="C391" t="s">
        <v>1636</v>
      </c>
      <c r="D391" t="s">
        <v>1766</v>
      </c>
      <c r="E391" t="s">
        <v>2061</v>
      </c>
      <c r="F391" t="s">
        <v>2239</v>
      </c>
      <c r="G391" t="s">
        <v>2255</v>
      </c>
      <c r="H391" t="s">
        <v>2260</v>
      </c>
      <c r="I391" t="s">
        <v>2260</v>
      </c>
      <c r="J391" t="s">
        <v>2266</v>
      </c>
      <c r="K391">
        <v>1</v>
      </c>
      <c r="L391">
        <v>180</v>
      </c>
      <c r="N391">
        <v>180</v>
      </c>
      <c r="P391" t="s">
        <v>2267</v>
      </c>
      <c r="Q391" t="s">
        <v>2270</v>
      </c>
      <c r="R391" t="s">
        <v>2273</v>
      </c>
      <c r="S391" t="s">
        <v>2284</v>
      </c>
      <c r="T391" t="s">
        <v>2288</v>
      </c>
      <c r="V391">
        <v>168</v>
      </c>
      <c r="W391">
        <v>18</v>
      </c>
      <c r="X391">
        <v>85.18</v>
      </c>
      <c r="Z391" t="s">
        <v>1761</v>
      </c>
      <c r="AA391" t="s">
        <v>1761</v>
      </c>
      <c r="AB391">
        <v>180</v>
      </c>
      <c r="AC391">
        <v>0</v>
      </c>
      <c r="AD391">
        <v>180</v>
      </c>
      <c r="AE391">
        <v>85.18</v>
      </c>
      <c r="AF391">
        <v>94.82</v>
      </c>
      <c r="AG391">
        <v>2024</v>
      </c>
      <c r="AH391">
        <v>6</v>
      </c>
      <c r="AI391" t="s">
        <v>2304</v>
      </c>
      <c r="AJ391" t="s">
        <v>2314</v>
      </c>
    </row>
    <row r="392" spans="1:36" x14ac:dyDescent="0.3">
      <c r="A392" t="s">
        <v>426</v>
      </c>
      <c r="B392" s="2">
        <v>45473</v>
      </c>
      <c r="C392" t="s">
        <v>1709</v>
      </c>
      <c r="D392" t="s">
        <v>1834</v>
      </c>
      <c r="E392" t="s">
        <v>1971</v>
      </c>
      <c r="F392" t="s">
        <v>1761</v>
      </c>
      <c r="G392" t="s">
        <v>2251</v>
      </c>
      <c r="H392" t="s">
        <v>2258</v>
      </c>
      <c r="I392" t="s">
        <v>2260</v>
      </c>
      <c r="K392">
        <v>1</v>
      </c>
      <c r="L392">
        <v>100</v>
      </c>
      <c r="M392">
        <v>0.15</v>
      </c>
      <c r="N392">
        <v>100</v>
      </c>
      <c r="O392">
        <v>85</v>
      </c>
      <c r="P392" t="s">
        <v>2267</v>
      </c>
      <c r="Q392" t="s">
        <v>2270</v>
      </c>
      <c r="R392" t="s">
        <v>2274</v>
      </c>
      <c r="S392" t="s">
        <v>2283</v>
      </c>
      <c r="T392" t="s">
        <v>2288</v>
      </c>
      <c r="U392">
        <v>1</v>
      </c>
      <c r="V392">
        <v>113</v>
      </c>
      <c r="W392">
        <v>60</v>
      </c>
      <c r="X392">
        <v>42.05</v>
      </c>
      <c r="Y392">
        <v>42.95</v>
      </c>
      <c r="Z392" t="s">
        <v>2291</v>
      </c>
      <c r="AA392" t="s">
        <v>2297</v>
      </c>
      <c r="AB392">
        <v>100</v>
      </c>
      <c r="AC392">
        <v>15</v>
      </c>
      <c r="AD392">
        <v>85</v>
      </c>
      <c r="AE392">
        <v>42.05</v>
      </c>
      <c r="AF392">
        <v>42.95</v>
      </c>
      <c r="AG392">
        <v>2024</v>
      </c>
      <c r="AH392">
        <v>6</v>
      </c>
      <c r="AI392" t="s">
        <v>2304</v>
      </c>
      <c r="AJ392" t="s">
        <v>2318</v>
      </c>
    </row>
    <row r="393" spans="1:36" x14ac:dyDescent="0.3">
      <c r="A393" t="s">
        <v>427</v>
      </c>
      <c r="B393" s="2">
        <v>45363</v>
      </c>
      <c r="C393" t="s">
        <v>1732</v>
      </c>
      <c r="D393" t="s">
        <v>1768</v>
      </c>
      <c r="E393" t="s">
        <v>2157</v>
      </c>
      <c r="F393" t="s">
        <v>2239</v>
      </c>
      <c r="G393" t="s">
        <v>2255</v>
      </c>
      <c r="H393" t="s">
        <v>2260</v>
      </c>
      <c r="I393" t="s">
        <v>2260</v>
      </c>
      <c r="J393" t="s">
        <v>2265</v>
      </c>
      <c r="K393">
        <v>1</v>
      </c>
      <c r="L393">
        <v>180</v>
      </c>
      <c r="N393">
        <v>180</v>
      </c>
      <c r="P393" t="s">
        <v>2267</v>
      </c>
      <c r="Q393" t="s">
        <v>2270</v>
      </c>
      <c r="R393" t="s">
        <v>2278</v>
      </c>
      <c r="S393" t="s">
        <v>2286</v>
      </c>
      <c r="T393" t="s">
        <v>2290</v>
      </c>
      <c r="V393">
        <v>379</v>
      </c>
      <c r="W393">
        <v>50</v>
      </c>
      <c r="X393">
        <v>77.900000000000006</v>
      </c>
      <c r="Z393" t="s">
        <v>1761</v>
      </c>
      <c r="AA393" t="s">
        <v>1761</v>
      </c>
      <c r="AB393">
        <v>180</v>
      </c>
      <c r="AC393">
        <v>0</v>
      </c>
      <c r="AD393">
        <v>180</v>
      </c>
      <c r="AE393">
        <v>77.900000000000006</v>
      </c>
      <c r="AF393">
        <v>102.1</v>
      </c>
      <c r="AG393">
        <v>2024</v>
      </c>
      <c r="AH393">
        <v>3</v>
      </c>
      <c r="AI393" t="s">
        <v>2305</v>
      </c>
      <c r="AJ393" t="s">
        <v>2313</v>
      </c>
    </row>
    <row r="394" spans="1:36" x14ac:dyDescent="0.3">
      <c r="A394" t="s">
        <v>428</v>
      </c>
      <c r="B394" s="2">
        <v>45448</v>
      </c>
      <c r="C394" t="s">
        <v>1690</v>
      </c>
      <c r="D394" t="s">
        <v>1748</v>
      </c>
      <c r="E394" t="s">
        <v>2158</v>
      </c>
      <c r="F394" t="s">
        <v>2240</v>
      </c>
      <c r="G394" t="s">
        <v>2256</v>
      </c>
      <c r="H394" t="s">
        <v>2261</v>
      </c>
      <c r="I394" t="s">
        <v>2260</v>
      </c>
      <c r="J394" t="s">
        <v>2266</v>
      </c>
      <c r="K394">
        <v>2</v>
      </c>
      <c r="L394">
        <v>195</v>
      </c>
      <c r="M394">
        <v>0.15</v>
      </c>
      <c r="N394">
        <v>390</v>
      </c>
      <c r="O394">
        <v>331.5</v>
      </c>
      <c r="P394" t="s">
        <v>2269</v>
      </c>
      <c r="R394" t="s">
        <v>2277</v>
      </c>
      <c r="S394" t="s">
        <v>2285</v>
      </c>
      <c r="T394" t="s">
        <v>2288</v>
      </c>
      <c r="U394">
        <v>1</v>
      </c>
      <c r="V394">
        <v>155</v>
      </c>
      <c r="W394">
        <v>19</v>
      </c>
      <c r="X394">
        <v>92.77</v>
      </c>
      <c r="Y394">
        <v>145.96</v>
      </c>
      <c r="Z394" t="s">
        <v>1761</v>
      </c>
      <c r="AA394" t="s">
        <v>2297</v>
      </c>
      <c r="AB394">
        <v>390</v>
      </c>
      <c r="AC394">
        <v>58.5</v>
      </c>
      <c r="AD394">
        <v>331.5</v>
      </c>
      <c r="AE394">
        <v>185.54</v>
      </c>
      <c r="AF394">
        <v>145.96</v>
      </c>
      <c r="AG394">
        <v>2024</v>
      </c>
      <c r="AH394">
        <v>6</v>
      </c>
      <c r="AI394" t="s">
        <v>2304</v>
      </c>
      <c r="AJ394" t="s">
        <v>2312</v>
      </c>
    </row>
    <row r="395" spans="1:36" x14ac:dyDescent="0.3">
      <c r="A395" t="s">
        <v>429</v>
      </c>
      <c r="B395" s="2">
        <v>45508</v>
      </c>
      <c r="C395" t="s">
        <v>1729</v>
      </c>
      <c r="D395" t="s">
        <v>1838</v>
      </c>
      <c r="E395" t="s">
        <v>2000</v>
      </c>
      <c r="F395" t="s">
        <v>2239</v>
      </c>
      <c r="G395" t="s">
        <v>2254</v>
      </c>
      <c r="H395" t="s">
        <v>2259</v>
      </c>
      <c r="I395" t="s">
        <v>2263</v>
      </c>
      <c r="K395">
        <v>1</v>
      </c>
      <c r="L395">
        <v>110</v>
      </c>
      <c r="M395">
        <v>0.1</v>
      </c>
      <c r="N395">
        <v>110</v>
      </c>
      <c r="O395">
        <v>99</v>
      </c>
      <c r="P395" t="s">
        <v>2269</v>
      </c>
      <c r="Q395" t="s">
        <v>2272</v>
      </c>
      <c r="R395" t="s">
        <v>2275</v>
      </c>
      <c r="S395" t="s">
        <v>2282</v>
      </c>
      <c r="T395" t="s">
        <v>2289</v>
      </c>
      <c r="U395">
        <v>5</v>
      </c>
      <c r="V395">
        <v>11</v>
      </c>
      <c r="W395">
        <v>52</v>
      </c>
      <c r="X395">
        <v>40.57</v>
      </c>
      <c r="Y395">
        <v>58.43</v>
      </c>
      <c r="Z395" t="s">
        <v>1761</v>
      </c>
      <c r="AA395" t="s">
        <v>2298</v>
      </c>
      <c r="AB395">
        <v>110</v>
      </c>
      <c r="AC395">
        <v>11</v>
      </c>
      <c r="AD395">
        <v>99</v>
      </c>
      <c r="AE395">
        <v>40.57</v>
      </c>
      <c r="AF395">
        <v>58.43</v>
      </c>
      <c r="AG395">
        <v>2024</v>
      </c>
      <c r="AH395">
        <v>8</v>
      </c>
      <c r="AI395" t="s">
        <v>2301</v>
      </c>
      <c r="AJ395" t="s">
        <v>2318</v>
      </c>
    </row>
    <row r="396" spans="1:36" x14ac:dyDescent="0.3">
      <c r="A396" t="s">
        <v>430</v>
      </c>
      <c r="C396" t="s">
        <v>1732</v>
      </c>
      <c r="D396" t="s">
        <v>1749</v>
      </c>
      <c r="E396" t="s">
        <v>2022</v>
      </c>
      <c r="F396" t="s">
        <v>2238</v>
      </c>
      <c r="G396" t="s">
        <v>2244</v>
      </c>
      <c r="H396" t="s">
        <v>2257</v>
      </c>
      <c r="I396" t="s">
        <v>2262</v>
      </c>
      <c r="J396" t="s">
        <v>2265</v>
      </c>
      <c r="K396">
        <v>2</v>
      </c>
      <c r="L396">
        <v>130</v>
      </c>
      <c r="N396">
        <v>260</v>
      </c>
      <c r="P396" t="s">
        <v>2269</v>
      </c>
      <c r="Q396" t="s">
        <v>2270</v>
      </c>
      <c r="R396" t="s">
        <v>2273</v>
      </c>
      <c r="S396" t="s">
        <v>2281</v>
      </c>
      <c r="T396" t="s">
        <v>2288</v>
      </c>
      <c r="U396">
        <v>2</v>
      </c>
      <c r="V396">
        <v>438</v>
      </c>
      <c r="X396">
        <v>67.72</v>
      </c>
      <c r="Z396" t="s">
        <v>2293</v>
      </c>
      <c r="AA396" t="s">
        <v>2299</v>
      </c>
      <c r="AB396">
        <v>260</v>
      </c>
      <c r="AC396">
        <v>0</v>
      </c>
      <c r="AD396">
        <v>260</v>
      </c>
      <c r="AE396">
        <v>135.44</v>
      </c>
      <c r="AF396">
        <v>124.56</v>
      </c>
    </row>
    <row r="397" spans="1:36" x14ac:dyDescent="0.3">
      <c r="A397" t="s">
        <v>431</v>
      </c>
      <c r="B397" s="2">
        <v>45414</v>
      </c>
      <c r="C397" t="s">
        <v>1700</v>
      </c>
      <c r="D397" t="s">
        <v>1761</v>
      </c>
      <c r="E397" t="s">
        <v>1988</v>
      </c>
      <c r="F397" t="s">
        <v>1761</v>
      </c>
      <c r="G397" t="s">
        <v>2250</v>
      </c>
      <c r="H397" t="s">
        <v>2259</v>
      </c>
      <c r="I397" t="s">
        <v>2262</v>
      </c>
      <c r="J397" t="s">
        <v>2264</v>
      </c>
      <c r="K397">
        <v>3</v>
      </c>
      <c r="L397">
        <v>90</v>
      </c>
      <c r="M397">
        <v>0</v>
      </c>
      <c r="N397">
        <v>270</v>
      </c>
      <c r="O397">
        <v>270</v>
      </c>
      <c r="Q397" t="s">
        <v>2270</v>
      </c>
      <c r="R397" t="s">
        <v>2274</v>
      </c>
      <c r="S397" t="s">
        <v>2285</v>
      </c>
      <c r="T397" t="s">
        <v>2288</v>
      </c>
      <c r="U397">
        <v>5</v>
      </c>
      <c r="V397">
        <v>130</v>
      </c>
      <c r="X397">
        <v>28.98</v>
      </c>
      <c r="Y397">
        <v>183.06</v>
      </c>
      <c r="Z397" t="s">
        <v>2293</v>
      </c>
      <c r="AA397" t="s">
        <v>2296</v>
      </c>
      <c r="AB397">
        <v>270</v>
      </c>
      <c r="AC397">
        <v>0</v>
      </c>
      <c r="AD397">
        <v>270</v>
      </c>
      <c r="AE397">
        <v>86.94</v>
      </c>
      <c r="AF397">
        <v>183.06</v>
      </c>
      <c r="AG397">
        <v>2024</v>
      </c>
      <c r="AH397">
        <v>5</v>
      </c>
      <c r="AI397" t="s">
        <v>2306</v>
      </c>
      <c r="AJ397" t="s">
        <v>2316</v>
      </c>
    </row>
    <row r="398" spans="1:36" x14ac:dyDescent="0.3">
      <c r="A398" t="s">
        <v>432</v>
      </c>
      <c r="B398" s="2">
        <v>45344</v>
      </c>
      <c r="C398" t="s">
        <v>1643</v>
      </c>
      <c r="D398" t="s">
        <v>1871</v>
      </c>
      <c r="E398" t="s">
        <v>2159</v>
      </c>
      <c r="F398" t="s">
        <v>2239</v>
      </c>
      <c r="G398" t="s">
        <v>2255</v>
      </c>
      <c r="H398" t="s">
        <v>2260</v>
      </c>
      <c r="I398" t="s">
        <v>2260</v>
      </c>
      <c r="J398" t="s">
        <v>2265</v>
      </c>
      <c r="K398">
        <v>3</v>
      </c>
      <c r="L398">
        <v>190</v>
      </c>
      <c r="M398">
        <v>0.05</v>
      </c>
      <c r="N398">
        <v>570</v>
      </c>
      <c r="O398">
        <v>541.5</v>
      </c>
      <c r="P398" t="s">
        <v>2269</v>
      </c>
      <c r="Q398" t="s">
        <v>2270</v>
      </c>
      <c r="R398" t="s">
        <v>2278</v>
      </c>
      <c r="S398" t="s">
        <v>2285</v>
      </c>
      <c r="T398" t="s">
        <v>2288</v>
      </c>
      <c r="U398">
        <v>2</v>
      </c>
      <c r="V398">
        <v>376</v>
      </c>
      <c r="W398">
        <v>16</v>
      </c>
      <c r="X398">
        <v>64.37</v>
      </c>
      <c r="Y398">
        <v>348.39</v>
      </c>
      <c r="Z398" t="s">
        <v>2291</v>
      </c>
      <c r="AA398" t="s">
        <v>2299</v>
      </c>
      <c r="AB398">
        <v>570</v>
      </c>
      <c r="AC398">
        <v>28.5</v>
      </c>
      <c r="AD398">
        <v>541.5</v>
      </c>
      <c r="AE398">
        <v>193.11</v>
      </c>
      <c r="AF398">
        <v>348.39</v>
      </c>
      <c r="AG398">
        <v>2024</v>
      </c>
      <c r="AH398">
        <v>2</v>
      </c>
      <c r="AI398" t="s">
        <v>2303</v>
      </c>
      <c r="AJ398" t="s">
        <v>2316</v>
      </c>
    </row>
    <row r="399" spans="1:36" x14ac:dyDescent="0.3">
      <c r="A399" t="s">
        <v>433</v>
      </c>
      <c r="B399" s="2">
        <v>45368</v>
      </c>
      <c r="C399" t="s">
        <v>1720</v>
      </c>
      <c r="D399" t="s">
        <v>1908</v>
      </c>
      <c r="E399" t="s">
        <v>1984</v>
      </c>
      <c r="F399" t="s">
        <v>2240</v>
      </c>
      <c r="G399" t="s">
        <v>2241</v>
      </c>
      <c r="H399" t="s">
        <v>2257</v>
      </c>
      <c r="I399" t="s">
        <v>2262</v>
      </c>
      <c r="J399" t="s">
        <v>2266</v>
      </c>
      <c r="K399">
        <v>1</v>
      </c>
      <c r="L399">
        <v>135</v>
      </c>
      <c r="N399">
        <v>135</v>
      </c>
      <c r="P399" t="s">
        <v>2267</v>
      </c>
      <c r="Q399" t="s">
        <v>2272</v>
      </c>
      <c r="R399" t="s">
        <v>2273</v>
      </c>
      <c r="S399" t="s">
        <v>2282</v>
      </c>
      <c r="T399" t="s">
        <v>2288</v>
      </c>
      <c r="U399">
        <v>4</v>
      </c>
      <c r="V399">
        <v>113</v>
      </c>
      <c r="W399">
        <v>10</v>
      </c>
      <c r="X399">
        <v>49.74</v>
      </c>
      <c r="AA399" t="s">
        <v>2299</v>
      </c>
      <c r="AB399">
        <v>135</v>
      </c>
      <c r="AC399">
        <v>0</v>
      </c>
      <c r="AD399">
        <v>135</v>
      </c>
      <c r="AE399">
        <v>49.74</v>
      </c>
      <c r="AF399">
        <v>85.259999999999991</v>
      </c>
      <c r="AG399">
        <v>2024</v>
      </c>
      <c r="AH399">
        <v>3</v>
      </c>
      <c r="AI399" t="s">
        <v>2305</v>
      </c>
      <c r="AJ399" t="s">
        <v>2318</v>
      </c>
    </row>
    <row r="400" spans="1:36" x14ac:dyDescent="0.3">
      <c r="A400" t="s">
        <v>434</v>
      </c>
      <c r="B400" s="2">
        <v>45643</v>
      </c>
      <c r="C400" t="s">
        <v>1724</v>
      </c>
      <c r="D400" t="s">
        <v>1809</v>
      </c>
      <c r="E400" t="s">
        <v>2064</v>
      </c>
      <c r="F400" t="s">
        <v>2240</v>
      </c>
      <c r="G400" t="s">
        <v>2242</v>
      </c>
      <c r="H400" t="s">
        <v>2258</v>
      </c>
      <c r="I400" t="s">
        <v>2260</v>
      </c>
      <c r="K400">
        <v>1</v>
      </c>
      <c r="L400">
        <v>130</v>
      </c>
      <c r="M400">
        <v>0</v>
      </c>
      <c r="N400">
        <v>130</v>
      </c>
      <c r="O400">
        <v>130</v>
      </c>
      <c r="P400" t="s">
        <v>2269</v>
      </c>
      <c r="R400" t="s">
        <v>2273</v>
      </c>
      <c r="S400" t="s">
        <v>2284</v>
      </c>
      <c r="T400" t="s">
        <v>2290</v>
      </c>
      <c r="U400">
        <v>5</v>
      </c>
      <c r="V400">
        <v>153</v>
      </c>
      <c r="X400">
        <v>55.77</v>
      </c>
      <c r="Y400">
        <v>74.23</v>
      </c>
      <c r="Z400" t="s">
        <v>2293</v>
      </c>
      <c r="AA400" t="s">
        <v>2296</v>
      </c>
      <c r="AB400">
        <v>130</v>
      </c>
      <c r="AC400">
        <v>0</v>
      </c>
      <c r="AD400">
        <v>130</v>
      </c>
      <c r="AE400">
        <v>55.77</v>
      </c>
      <c r="AF400">
        <v>74.22999999999999</v>
      </c>
      <c r="AG400">
        <v>2024</v>
      </c>
      <c r="AH400">
        <v>12</v>
      </c>
      <c r="AI400" t="s">
        <v>2309</v>
      </c>
      <c r="AJ400" t="s">
        <v>2313</v>
      </c>
    </row>
    <row r="401" spans="1:36" x14ac:dyDescent="0.3">
      <c r="A401" t="s">
        <v>435</v>
      </c>
      <c r="B401" s="2">
        <v>45657</v>
      </c>
      <c r="C401" t="s">
        <v>1701</v>
      </c>
      <c r="D401" t="s">
        <v>1912</v>
      </c>
      <c r="E401" t="s">
        <v>1967</v>
      </c>
      <c r="F401" t="s">
        <v>2240</v>
      </c>
      <c r="G401" t="s">
        <v>2241</v>
      </c>
      <c r="H401" t="s">
        <v>2257</v>
      </c>
      <c r="I401" t="s">
        <v>2262</v>
      </c>
      <c r="J401" t="s">
        <v>2265</v>
      </c>
      <c r="K401">
        <v>1</v>
      </c>
      <c r="L401">
        <v>130</v>
      </c>
      <c r="N401">
        <v>130</v>
      </c>
      <c r="Q401" t="s">
        <v>2270</v>
      </c>
      <c r="R401" t="s">
        <v>2274</v>
      </c>
      <c r="S401" t="s">
        <v>2283</v>
      </c>
      <c r="T401" t="s">
        <v>2288</v>
      </c>
      <c r="V401">
        <v>176</v>
      </c>
      <c r="X401">
        <v>47.89</v>
      </c>
      <c r="Z401" t="s">
        <v>2293</v>
      </c>
      <c r="AA401" t="s">
        <v>2297</v>
      </c>
      <c r="AB401">
        <v>130</v>
      </c>
      <c r="AC401">
        <v>0</v>
      </c>
      <c r="AD401">
        <v>130</v>
      </c>
      <c r="AE401">
        <v>47.89</v>
      </c>
      <c r="AF401">
        <v>82.11</v>
      </c>
      <c r="AG401">
        <v>2024</v>
      </c>
      <c r="AH401">
        <v>12</v>
      </c>
      <c r="AI401" t="s">
        <v>2309</v>
      </c>
      <c r="AJ401" t="s">
        <v>2313</v>
      </c>
    </row>
    <row r="402" spans="1:36" x14ac:dyDescent="0.3">
      <c r="A402" t="s">
        <v>436</v>
      </c>
      <c r="B402" s="2">
        <v>45627</v>
      </c>
      <c r="C402" t="s">
        <v>1726</v>
      </c>
      <c r="D402" t="s">
        <v>1796</v>
      </c>
      <c r="E402" t="s">
        <v>2086</v>
      </c>
      <c r="F402" t="s">
        <v>1761</v>
      </c>
      <c r="G402" t="s">
        <v>2250</v>
      </c>
      <c r="H402" t="s">
        <v>2259</v>
      </c>
      <c r="I402" t="s">
        <v>2262</v>
      </c>
      <c r="J402" t="s">
        <v>2266</v>
      </c>
      <c r="K402">
        <v>2</v>
      </c>
      <c r="L402">
        <v>75</v>
      </c>
      <c r="M402">
        <v>0.1</v>
      </c>
      <c r="N402">
        <v>150</v>
      </c>
      <c r="O402">
        <v>135</v>
      </c>
      <c r="R402" t="s">
        <v>2273</v>
      </c>
      <c r="S402" t="s">
        <v>2286</v>
      </c>
      <c r="T402" t="s">
        <v>2288</v>
      </c>
      <c r="V402">
        <v>185</v>
      </c>
      <c r="W402">
        <v>39</v>
      </c>
      <c r="X402">
        <v>38.200000000000003</v>
      </c>
      <c r="Y402">
        <v>58.6</v>
      </c>
      <c r="Z402" t="s">
        <v>2292</v>
      </c>
      <c r="AA402" t="s">
        <v>2298</v>
      </c>
      <c r="AB402">
        <v>150</v>
      </c>
      <c r="AC402">
        <v>15</v>
      </c>
      <c r="AD402">
        <v>135</v>
      </c>
      <c r="AE402">
        <v>76.400000000000006</v>
      </c>
      <c r="AF402">
        <v>58.599999999999987</v>
      </c>
      <c r="AG402">
        <v>2024</v>
      </c>
      <c r="AH402">
        <v>12</v>
      </c>
      <c r="AI402" t="s">
        <v>2309</v>
      </c>
      <c r="AJ402" t="s">
        <v>2318</v>
      </c>
    </row>
    <row r="403" spans="1:36" x14ac:dyDescent="0.3">
      <c r="A403" t="s">
        <v>437</v>
      </c>
      <c r="B403" s="2">
        <v>45420</v>
      </c>
      <c r="C403" t="s">
        <v>1709</v>
      </c>
      <c r="D403" t="s">
        <v>1913</v>
      </c>
      <c r="E403" t="s">
        <v>2108</v>
      </c>
      <c r="F403" t="s">
        <v>1761</v>
      </c>
      <c r="G403" t="s">
        <v>2242</v>
      </c>
      <c r="H403" t="s">
        <v>2258</v>
      </c>
      <c r="I403" t="s">
        <v>2260</v>
      </c>
      <c r="J403" t="s">
        <v>2264</v>
      </c>
      <c r="K403">
        <v>4</v>
      </c>
      <c r="L403">
        <v>130</v>
      </c>
      <c r="N403">
        <v>520</v>
      </c>
      <c r="P403" t="s">
        <v>2267</v>
      </c>
      <c r="Q403" t="s">
        <v>2272</v>
      </c>
      <c r="R403" t="s">
        <v>2278</v>
      </c>
      <c r="S403" t="s">
        <v>2282</v>
      </c>
      <c r="T403" t="s">
        <v>2288</v>
      </c>
      <c r="U403">
        <v>5</v>
      </c>
      <c r="V403">
        <v>491</v>
      </c>
      <c r="W403">
        <v>36</v>
      </c>
      <c r="X403">
        <v>59.51</v>
      </c>
      <c r="Z403" t="s">
        <v>2293</v>
      </c>
      <c r="AA403" t="s">
        <v>1761</v>
      </c>
      <c r="AB403">
        <v>520</v>
      </c>
      <c r="AC403">
        <v>0</v>
      </c>
      <c r="AD403">
        <v>520</v>
      </c>
      <c r="AE403">
        <v>238.04</v>
      </c>
      <c r="AF403">
        <v>281.95999999999998</v>
      </c>
      <c r="AG403">
        <v>2024</v>
      </c>
      <c r="AH403">
        <v>5</v>
      </c>
      <c r="AI403" t="s">
        <v>2306</v>
      </c>
      <c r="AJ403" t="s">
        <v>2312</v>
      </c>
    </row>
    <row r="404" spans="1:36" x14ac:dyDescent="0.3">
      <c r="A404" t="s">
        <v>438</v>
      </c>
      <c r="B404" s="2">
        <v>45359</v>
      </c>
      <c r="C404" t="s">
        <v>1727</v>
      </c>
      <c r="D404" t="s">
        <v>1831</v>
      </c>
      <c r="E404" t="s">
        <v>2020</v>
      </c>
      <c r="F404" t="s">
        <v>2239</v>
      </c>
      <c r="G404" t="s">
        <v>2250</v>
      </c>
      <c r="H404" t="s">
        <v>2259</v>
      </c>
      <c r="I404" t="s">
        <v>2262</v>
      </c>
      <c r="J404" t="s">
        <v>2264</v>
      </c>
      <c r="K404">
        <v>2</v>
      </c>
      <c r="L404">
        <v>85</v>
      </c>
      <c r="M404">
        <v>0</v>
      </c>
      <c r="N404">
        <v>170</v>
      </c>
      <c r="O404">
        <v>170</v>
      </c>
      <c r="P404" t="s">
        <v>2267</v>
      </c>
      <c r="R404" t="s">
        <v>2273</v>
      </c>
      <c r="S404" t="s">
        <v>2287</v>
      </c>
      <c r="T404" t="s">
        <v>2288</v>
      </c>
      <c r="U404">
        <v>5</v>
      </c>
      <c r="V404">
        <v>72</v>
      </c>
      <c r="X404">
        <v>36.47</v>
      </c>
      <c r="Y404">
        <v>97.06</v>
      </c>
      <c r="Z404" t="s">
        <v>2294</v>
      </c>
      <c r="AA404" t="s">
        <v>1761</v>
      </c>
      <c r="AB404">
        <v>170</v>
      </c>
      <c r="AC404">
        <v>0</v>
      </c>
      <c r="AD404">
        <v>170</v>
      </c>
      <c r="AE404">
        <v>72.94</v>
      </c>
      <c r="AF404">
        <v>97.06</v>
      </c>
      <c r="AG404">
        <v>2024</v>
      </c>
      <c r="AH404">
        <v>3</v>
      </c>
      <c r="AI404" t="s">
        <v>2305</v>
      </c>
      <c r="AJ404" t="s">
        <v>2315</v>
      </c>
    </row>
    <row r="405" spans="1:36" x14ac:dyDescent="0.3">
      <c r="A405" t="s">
        <v>439</v>
      </c>
      <c r="B405" s="2">
        <v>45555</v>
      </c>
      <c r="C405" t="s">
        <v>1724</v>
      </c>
      <c r="D405" t="s">
        <v>1773</v>
      </c>
      <c r="E405" t="s">
        <v>1970</v>
      </c>
      <c r="F405" t="s">
        <v>2238</v>
      </c>
      <c r="G405" t="s">
        <v>2252</v>
      </c>
      <c r="H405" t="s">
        <v>2257</v>
      </c>
      <c r="I405" t="s">
        <v>2262</v>
      </c>
      <c r="J405" t="s">
        <v>2266</v>
      </c>
      <c r="K405">
        <v>1</v>
      </c>
      <c r="L405">
        <v>95</v>
      </c>
      <c r="M405">
        <v>0.05</v>
      </c>
      <c r="N405">
        <v>95</v>
      </c>
      <c r="O405">
        <v>90.25</v>
      </c>
      <c r="P405" t="s">
        <v>2267</v>
      </c>
      <c r="Q405" t="s">
        <v>2271</v>
      </c>
      <c r="R405" t="s">
        <v>2277</v>
      </c>
      <c r="S405" t="s">
        <v>2282</v>
      </c>
      <c r="T405" t="s">
        <v>2290</v>
      </c>
      <c r="U405">
        <v>5</v>
      </c>
      <c r="V405">
        <v>209</v>
      </c>
      <c r="W405">
        <v>33</v>
      </c>
      <c r="X405">
        <v>51.41</v>
      </c>
      <c r="Y405">
        <v>38.840000000000003</v>
      </c>
      <c r="Z405" t="s">
        <v>2294</v>
      </c>
      <c r="AA405" t="s">
        <v>2296</v>
      </c>
      <c r="AB405">
        <v>95</v>
      </c>
      <c r="AC405">
        <v>4.75</v>
      </c>
      <c r="AD405">
        <v>90.25</v>
      </c>
      <c r="AE405">
        <v>51.41</v>
      </c>
      <c r="AF405">
        <v>38.840000000000003</v>
      </c>
      <c r="AG405">
        <v>2024</v>
      </c>
      <c r="AH405">
        <v>9</v>
      </c>
      <c r="AI405" t="s">
        <v>2300</v>
      </c>
      <c r="AJ405" t="s">
        <v>2315</v>
      </c>
    </row>
    <row r="406" spans="1:36" x14ac:dyDescent="0.3">
      <c r="A406" t="s">
        <v>440</v>
      </c>
      <c r="B406" s="2">
        <v>45598</v>
      </c>
      <c r="C406" t="s">
        <v>1735</v>
      </c>
      <c r="D406" t="s">
        <v>1906</v>
      </c>
      <c r="E406" t="s">
        <v>2094</v>
      </c>
      <c r="F406" t="s">
        <v>2239</v>
      </c>
      <c r="G406" t="s">
        <v>2241</v>
      </c>
      <c r="H406" t="s">
        <v>2257</v>
      </c>
      <c r="I406" t="s">
        <v>2262</v>
      </c>
      <c r="J406" t="s">
        <v>2266</v>
      </c>
      <c r="K406">
        <v>2</v>
      </c>
      <c r="L406">
        <v>130</v>
      </c>
      <c r="M406">
        <v>0</v>
      </c>
      <c r="N406">
        <v>260</v>
      </c>
      <c r="O406">
        <v>260</v>
      </c>
      <c r="P406" t="s">
        <v>2267</v>
      </c>
      <c r="Q406" t="s">
        <v>2272</v>
      </c>
      <c r="R406" t="s">
        <v>2276</v>
      </c>
      <c r="S406" t="s">
        <v>2283</v>
      </c>
      <c r="T406" t="s">
        <v>2290</v>
      </c>
      <c r="U406">
        <v>5</v>
      </c>
      <c r="V406">
        <v>110</v>
      </c>
      <c r="X406">
        <v>54.06</v>
      </c>
      <c r="Y406">
        <v>151.88</v>
      </c>
      <c r="Z406" t="s">
        <v>2294</v>
      </c>
      <c r="AA406" t="s">
        <v>2296</v>
      </c>
      <c r="AB406">
        <v>260</v>
      </c>
      <c r="AC406">
        <v>0</v>
      </c>
      <c r="AD406">
        <v>260</v>
      </c>
      <c r="AE406">
        <v>108.12</v>
      </c>
      <c r="AF406">
        <v>151.88</v>
      </c>
      <c r="AG406">
        <v>2024</v>
      </c>
      <c r="AH406">
        <v>11</v>
      </c>
      <c r="AI406" t="s">
        <v>2311</v>
      </c>
      <c r="AJ406" t="s">
        <v>2317</v>
      </c>
    </row>
    <row r="407" spans="1:36" x14ac:dyDescent="0.3">
      <c r="A407" t="s">
        <v>441</v>
      </c>
      <c r="C407" t="s">
        <v>1690</v>
      </c>
      <c r="D407" t="s">
        <v>1756</v>
      </c>
      <c r="E407" t="s">
        <v>2047</v>
      </c>
      <c r="F407" t="s">
        <v>1761</v>
      </c>
      <c r="G407" t="s">
        <v>2256</v>
      </c>
      <c r="H407" t="s">
        <v>2261</v>
      </c>
      <c r="I407" t="s">
        <v>2260</v>
      </c>
      <c r="J407" t="s">
        <v>2266</v>
      </c>
      <c r="K407">
        <v>2</v>
      </c>
      <c r="L407">
        <v>195</v>
      </c>
      <c r="M407">
        <v>0.05</v>
      </c>
      <c r="N407">
        <v>390</v>
      </c>
      <c r="O407">
        <v>370.5</v>
      </c>
      <c r="P407" t="s">
        <v>2269</v>
      </c>
      <c r="Q407" t="s">
        <v>2272</v>
      </c>
      <c r="R407" t="s">
        <v>2274</v>
      </c>
      <c r="S407" t="s">
        <v>2284</v>
      </c>
      <c r="T407" t="s">
        <v>2288</v>
      </c>
      <c r="U407">
        <v>2</v>
      </c>
      <c r="V407">
        <v>240</v>
      </c>
      <c r="W407">
        <v>23</v>
      </c>
      <c r="X407">
        <v>101.9</v>
      </c>
      <c r="Y407">
        <v>166.7</v>
      </c>
      <c r="Z407" t="s">
        <v>2293</v>
      </c>
      <c r="AA407" t="s">
        <v>2297</v>
      </c>
      <c r="AB407">
        <v>390</v>
      </c>
      <c r="AC407">
        <v>19.5</v>
      </c>
      <c r="AD407">
        <v>370.5</v>
      </c>
      <c r="AE407">
        <v>203.8</v>
      </c>
      <c r="AF407">
        <v>166.7</v>
      </c>
    </row>
    <row r="408" spans="1:36" x14ac:dyDescent="0.3">
      <c r="A408" t="s">
        <v>442</v>
      </c>
      <c r="B408" s="2">
        <v>45381</v>
      </c>
      <c r="C408" t="s">
        <v>1686</v>
      </c>
      <c r="D408" t="s">
        <v>1882</v>
      </c>
      <c r="E408" t="s">
        <v>2160</v>
      </c>
      <c r="F408" t="s">
        <v>2240</v>
      </c>
      <c r="G408" t="s">
        <v>2248</v>
      </c>
      <c r="H408" t="s">
        <v>2257</v>
      </c>
      <c r="I408" t="s">
        <v>2262</v>
      </c>
      <c r="J408" t="s">
        <v>2266</v>
      </c>
      <c r="K408">
        <v>1</v>
      </c>
      <c r="L408">
        <v>145</v>
      </c>
      <c r="M408">
        <v>0.15</v>
      </c>
      <c r="N408">
        <v>145</v>
      </c>
      <c r="O408">
        <v>123.25</v>
      </c>
      <c r="P408" t="s">
        <v>2268</v>
      </c>
      <c r="R408" t="s">
        <v>2273</v>
      </c>
      <c r="S408" t="s">
        <v>2286</v>
      </c>
      <c r="T408" t="s">
        <v>2288</v>
      </c>
      <c r="U408">
        <v>2</v>
      </c>
      <c r="V408">
        <v>166</v>
      </c>
      <c r="X408">
        <v>59.86</v>
      </c>
      <c r="Y408">
        <v>63.39</v>
      </c>
      <c r="Z408" t="s">
        <v>2293</v>
      </c>
      <c r="AA408" t="s">
        <v>1761</v>
      </c>
      <c r="AB408">
        <v>145</v>
      </c>
      <c r="AC408">
        <v>21.75</v>
      </c>
      <c r="AD408">
        <v>123.25</v>
      </c>
      <c r="AE408">
        <v>59.86</v>
      </c>
      <c r="AF408">
        <v>63.39</v>
      </c>
      <c r="AG408">
        <v>2024</v>
      </c>
      <c r="AH408">
        <v>3</v>
      </c>
      <c r="AI408" t="s">
        <v>2305</v>
      </c>
      <c r="AJ408" t="s">
        <v>2317</v>
      </c>
    </row>
    <row r="409" spans="1:36" x14ac:dyDescent="0.3">
      <c r="A409" t="s">
        <v>443</v>
      </c>
      <c r="B409" s="2">
        <v>45508</v>
      </c>
      <c r="C409" t="s">
        <v>1681</v>
      </c>
      <c r="D409" t="s">
        <v>1912</v>
      </c>
      <c r="E409" t="s">
        <v>2109</v>
      </c>
      <c r="F409" t="s">
        <v>1761</v>
      </c>
      <c r="G409" t="s">
        <v>2249</v>
      </c>
      <c r="H409" t="s">
        <v>2257</v>
      </c>
      <c r="I409" t="s">
        <v>2263</v>
      </c>
      <c r="J409" t="s">
        <v>2264</v>
      </c>
      <c r="K409">
        <v>1</v>
      </c>
      <c r="L409">
        <v>160</v>
      </c>
      <c r="M409">
        <v>0.15</v>
      </c>
      <c r="N409">
        <v>160</v>
      </c>
      <c r="O409">
        <v>136</v>
      </c>
      <c r="P409" t="s">
        <v>2267</v>
      </c>
      <c r="R409" t="s">
        <v>2278</v>
      </c>
      <c r="S409" t="s">
        <v>2282</v>
      </c>
      <c r="T409" t="s">
        <v>2288</v>
      </c>
      <c r="U409">
        <v>5</v>
      </c>
      <c r="V409">
        <v>347</v>
      </c>
      <c r="W409">
        <v>30</v>
      </c>
      <c r="X409">
        <v>68.89</v>
      </c>
      <c r="Y409">
        <v>67.11</v>
      </c>
      <c r="Z409" t="s">
        <v>2293</v>
      </c>
      <c r="AA409" t="s">
        <v>2296</v>
      </c>
      <c r="AB409">
        <v>160</v>
      </c>
      <c r="AC409">
        <v>24</v>
      </c>
      <c r="AD409">
        <v>136</v>
      </c>
      <c r="AE409">
        <v>68.89</v>
      </c>
      <c r="AF409">
        <v>67.11</v>
      </c>
      <c r="AG409">
        <v>2024</v>
      </c>
      <c r="AH409">
        <v>8</v>
      </c>
      <c r="AI409" t="s">
        <v>2301</v>
      </c>
      <c r="AJ409" t="s">
        <v>2318</v>
      </c>
    </row>
    <row r="410" spans="1:36" x14ac:dyDescent="0.3">
      <c r="A410" t="s">
        <v>444</v>
      </c>
      <c r="B410" s="2">
        <v>45322</v>
      </c>
      <c r="C410" t="s">
        <v>1646</v>
      </c>
      <c r="D410" t="s">
        <v>1823</v>
      </c>
      <c r="E410" t="s">
        <v>2161</v>
      </c>
      <c r="F410" t="s">
        <v>2239</v>
      </c>
      <c r="G410" t="s">
        <v>2244</v>
      </c>
      <c r="H410" t="s">
        <v>2257</v>
      </c>
      <c r="I410" t="s">
        <v>2262</v>
      </c>
      <c r="J410" t="s">
        <v>2266</v>
      </c>
      <c r="K410">
        <v>1</v>
      </c>
      <c r="L410">
        <v>130</v>
      </c>
      <c r="M410">
        <v>0.15</v>
      </c>
      <c r="N410">
        <v>130</v>
      </c>
      <c r="O410">
        <v>110.5</v>
      </c>
      <c r="R410" t="s">
        <v>2278</v>
      </c>
      <c r="S410" t="s">
        <v>2281</v>
      </c>
      <c r="T410" t="s">
        <v>2288</v>
      </c>
      <c r="U410">
        <v>4</v>
      </c>
      <c r="V410">
        <v>112</v>
      </c>
      <c r="W410">
        <v>59</v>
      </c>
      <c r="X410">
        <v>69.25</v>
      </c>
      <c r="Y410">
        <v>41.25</v>
      </c>
      <c r="Z410" t="s">
        <v>2292</v>
      </c>
      <c r="AA410" t="s">
        <v>2297</v>
      </c>
      <c r="AB410">
        <v>130</v>
      </c>
      <c r="AC410">
        <v>19.5</v>
      </c>
      <c r="AD410">
        <v>110.5</v>
      </c>
      <c r="AE410">
        <v>69.25</v>
      </c>
      <c r="AF410">
        <v>41.25</v>
      </c>
      <c r="AG410">
        <v>2024</v>
      </c>
      <c r="AH410">
        <v>1</v>
      </c>
      <c r="AI410" t="s">
        <v>2302</v>
      </c>
      <c r="AJ410" t="s">
        <v>2312</v>
      </c>
    </row>
    <row r="411" spans="1:36" x14ac:dyDescent="0.3">
      <c r="A411" t="s">
        <v>445</v>
      </c>
      <c r="B411" s="2">
        <v>45381</v>
      </c>
      <c r="C411" t="s">
        <v>1683</v>
      </c>
      <c r="D411" t="s">
        <v>1761</v>
      </c>
      <c r="E411" t="s">
        <v>2162</v>
      </c>
      <c r="F411" t="s">
        <v>2240</v>
      </c>
      <c r="G411" t="s">
        <v>2243</v>
      </c>
      <c r="H411" t="s">
        <v>2258</v>
      </c>
      <c r="I411" t="s">
        <v>2260</v>
      </c>
      <c r="J411" t="s">
        <v>2265</v>
      </c>
      <c r="K411">
        <v>1</v>
      </c>
      <c r="L411">
        <v>65</v>
      </c>
      <c r="M411">
        <v>0</v>
      </c>
      <c r="N411">
        <v>65</v>
      </c>
      <c r="O411">
        <v>65</v>
      </c>
      <c r="P411" t="s">
        <v>2269</v>
      </c>
      <c r="Q411" t="s">
        <v>2272</v>
      </c>
      <c r="R411" t="s">
        <v>2276</v>
      </c>
      <c r="S411" t="s">
        <v>2280</v>
      </c>
      <c r="T411" t="s">
        <v>2288</v>
      </c>
      <c r="U411">
        <v>5</v>
      </c>
      <c r="V411">
        <v>7</v>
      </c>
      <c r="W411">
        <v>18</v>
      </c>
      <c r="X411">
        <v>34.869999999999997</v>
      </c>
      <c r="Y411">
        <v>30.13</v>
      </c>
      <c r="Z411" t="s">
        <v>2294</v>
      </c>
      <c r="AA411" t="s">
        <v>1761</v>
      </c>
      <c r="AB411">
        <v>65</v>
      </c>
      <c r="AC411">
        <v>0</v>
      </c>
      <c r="AD411">
        <v>65</v>
      </c>
      <c r="AE411">
        <v>34.869999999999997</v>
      </c>
      <c r="AF411">
        <v>30.13</v>
      </c>
      <c r="AG411">
        <v>2024</v>
      </c>
      <c r="AH411">
        <v>3</v>
      </c>
      <c r="AI411" t="s">
        <v>2305</v>
      </c>
      <c r="AJ411" t="s">
        <v>2317</v>
      </c>
    </row>
    <row r="412" spans="1:36" x14ac:dyDescent="0.3">
      <c r="A412" t="s">
        <v>446</v>
      </c>
      <c r="B412" s="2">
        <v>45529</v>
      </c>
      <c r="C412" t="s">
        <v>1682</v>
      </c>
      <c r="D412" t="s">
        <v>1800</v>
      </c>
      <c r="E412" t="s">
        <v>1990</v>
      </c>
      <c r="F412" t="s">
        <v>2240</v>
      </c>
      <c r="G412" t="s">
        <v>2256</v>
      </c>
      <c r="H412" t="s">
        <v>2261</v>
      </c>
      <c r="I412" t="s">
        <v>2260</v>
      </c>
      <c r="J412" t="s">
        <v>2266</v>
      </c>
      <c r="K412">
        <v>2</v>
      </c>
      <c r="L412">
        <v>185</v>
      </c>
      <c r="M412">
        <v>0.05</v>
      </c>
      <c r="N412">
        <v>370</v>
      </c>
      <c r="O412">
        <v>351.5</v>
      </c>
      <c r="Q412" t="s">
        <v>2272</v>
      </c>
      <c r="R412" t="s">
        <v>2276</v>
      </c>
      <c r="S412" t="s">
        <v>2280</v>
      </c>
      <c r="T412" t="s">
        <v>2288</v>
      </c>
      <c r="W412">
        <v>36</v>
      </c>
      <c r="X412">
        <v>106.47</v>
      </c>
      <c r="Y412">
        <v>138.56</v>
      </c>
      <c r="Z412" t="s">
        <v>2293</v>
      </c>
      <c r="AA412" t="s">
        <v>1761</v>
      </c>
      <c r="AB412">
        <v>370</v>
      </c>
      <c r="AC412">
        <v>18.5</v>
      </c>
      <c r="AD412">
        <v>351.5</v>
      </c>
      <c r="AE412">
        <v>212.94</v>
      </c>
      <c r="AF412">
        <v>138.56</v>
      </c>
      <c r="AG412">
        <v>2024</v>
      </c>
      <c r="AH412">
        <v>8</v>
      </c>
      <c r="AI412" t="s">
        <v>2301</v>
      </c>
      <c r="AJ412" t="s">
        <v>2318</v>
      </c>
    </row>
    <row r="413" spans="1:36" x14ac:dyDescent="0.3">
      <c r="A413" t="s">
        <v>447</v>
      </c>
      <c r="B413" s="2">
        <v>45407</v>
      </c>
      <c r="C413" t="s">
        <v>1736</v>
      </c>
      <c r="D413" t="s">
        <v>1784</v>
      </c>
      <c r="E413" t="s">
        <v>2140</v>
      </c>
      <c r="F413" t="s">
        <v>2240</v>
      </c>
      <c r="G413" t="s">
        <v>2256</v>
      </c>
      <c r="H413" t="s">
        <v>2261</v>
      </c>
      <c r="I413" t="s">
        <v>2260</v>
      </c>
      <c r="J413" t="s">
        <v>2265</v>
      </c>
      <c r="K413">
        <v>1</v>
      </c>
      <c r="L413">
        <v>200</v>
      </c>
      <c r="N413">
        <v>200</v>
      </c>
      <c r="P413" t="s">
        <v>2269</v>
      </c>
      <c r="R413" t="s">
        <v>2273</v>
      </c>
      <c r="S413" t="s">
        <v>2286</v>
      </c>
      <c r="T413" t="s">
        <v>2290</v>
      </c>
      <c r="U413">
        <v>4</v>
      </c>
      <c r="V413">
        <v>196</v>
      </c>
      <c r="X413">
        <v>103.79</v>
      </c>
      <c r="Z413" t="s">
        <v>1761</v>
      </c>
      <c r="AA413" t="s">
        <v>2297</v>
      </c>
      <c r="AB413">
        <v>200</v>
      </c>
      <c r="AC413">
        <v>0</v>
      </c>
      <c r="AD413">
        <v>200</v>
      </c>
      <c r="AE413">
        <v>103.79</v>
      </c>
      <c r="AF413">
        <v>96.21</v>
      </c>
      <c r="AG413">
        <v>2024</v>
      </c>
      <c r="AH413">
        <v>4</v>
      </c>
      <c r="AI413" t="s">
        <v>2308</v>
      </c>
      <c r="AJ413" t="s">
        <v>2316</v>
      </c>
    </row>
    <row r="414" spans="1:36" x14ac:dyDescent="0.3">
      <c r="A414" t="s">
        <v>448</v>
      </c>
      <c r="B414" s="2">
        <v>45294</v>
      </c>
      <c r="C414" t="s">
        <v>1681</v>
      </c>
      <c r="D414" t="s">
        <v>1914</v>
      </c>
      <c r="E414" t="s">
        <v>1986</v>
      </c>
      <c r="F414" t="s">
        <v>2239</v>
      </c>
      <c r="G414" t="s">
        <v>2246</v>
      </c>
      <c r="H414" t="s">
        <v>2259</v>
      </c>
      <c r="I414" t="s">
        <v>2262</v>
      </c>
      <c r="J414" t="s">
        <v>2266</v>
      </c>
      <c r="K414">
        <v>1</v>
      </c>
      <c r="L414">
        <v>105</v>
      </c>
      <c r="M414">
        <v>0</v>
      </c>
      <c r="N414">
        <v>105</v>
      </c>
      <c r="O414">
        <v>105</v>
      </c>
      <c r="P414" t="s">
        <v>2268</v>
      </c>
      <c r="Q414" t="s">
        <v>2272</v>
      </c>
      <c r="R414" t="s">
        <v>2277</v>
      </c>
      <c r="S414" t="s">
        <v>2286</v>
      </c>
      <c r="T414" t="s">
        <v>2288</v>
      </c>
      <c r="U414">
        <v>5</v>
      </c>
      <c r="V414">
        <v>255</v>
      </c>
      <c r="W414">
        <v>38</v>
      </c>
      <c r="X414">
        <v>49.08</v>
      </c>
      <c r="Y414">
        <v>55.92</v>
      </c>
      <c r="Z414" t="s">
        <v>2291</v>
      </c>
      <c r="AA414" t="s">
        <v>1761</v>
      </c>
      <c r="AB414">
        <v>105</v>
      </c>
      <c r="AC414">
        <v>0</v>
      </c>
      <c r="AD414">
        <v>105</v>
      </c>
      <c r="AE414">
        <v>49.08</v>
      </c>
      <c r="AF414">
        <v>55.92</v>
      </c>
      <c r="AG414">
        <v>2024</v>
      </c>
      <c r="AH414">
        <v>1</v>
      </c>
      <c r="AI414" t="s">
        <v>2302</v>
      </c>
      <c r="AJ414" t="s">
        <v>2312</v>
      </c>
    </row>
    <row r="415" spans="1:36" x14ac:dyDescent="0.3">
      <c r="A415" t="s">
        <v>449</v>
      </c>
      <c r="B415" s="2">
        <v>45326</v>
      </c>
      <c r="C415" t="s">
        <v>1718</v>
      </c>
      <c r="D415" t="s">
        <v>1866</v>
      </c>
      <c r="E415" t="s">
        <v>2087</v>
      </c>
      <c r="F415" t="s">
        <v>1761</v>
      </c>
      <c r="G415" t="s">
        <v>2253</v>
      </c>
      <c r="H415" t="s">
        <v>2258</v>
      </c>
      <c r="I415" t="s">
        <v>2260</v>
      </c>
      <c r="J415" t="s">
        <v>2265</v>
      </c>
      <c r="K415">
        <v>1</v>
      </c>
      <c r="L415">
        <v>100</v>
      </c>
      <c r="N415">
        <v>100</v>
      </c>
      <c r="P415" t="s">
        <v>2269</v>
      </c>
      <c r="Q415" t="s">
        <v>2270</v>
      </c>
      <c r="R415" t="s">
        <v>2273</v>
      </c>
      <c r="S415" t="s">
        <v>2287</v>
      </c>
      <c r="T415" t="s">
        <v>2289</v>
      </c>
      <c r="U415">
        <v>3</v>
      </c>
      <c r="V415">
        <v>458</v>
      </c>
      <c r="W415">
        <v>36</v>
      </c>
      <c r="X415">
        <v>34.03</v>
      </c>
      <c r="Z415" t="s">
        <v>2293</v>
      </c>
      <c r="AA415" t="s">
        <v>2299</v>
      </c>
      <c r="AB415">
        <v>100</v>
      </c>
      <c r="AC415">
        <v>0</v>
      </c>
      <c r="AD415">
        <v>100</v>
      </c>
      <c r="AE415">
        <v>34.03</v>
      </c>
      <c r="AF415">
        <v>65.97</v>
      </c>
      <c r="AG415">
        <v>2024</v>
      </c>
      <c r="AH415">
        <v>2</v>
      </c>
      <c r="AI415" t="s">
        <v>2303</v>
      </c>
      <c r="AJ415" t="s">
        <v>2318</v>
      </c>
    </row>
    <row r="416" spans="1:36" x14ac:dyDescent="0.3">
      <c r="A416" t="s">
        <v>450</v>
      </c>
      <c r="B416" s="2">
        <v>45343</v>
      </c>
      <c r="C416" t="s">
        <v>1642</v>
      </c>
      <c r="D416" t="s">
        <v>1803</v>
      </c>
      <c r="E416" t="s">
        <v>2163</v>
      </c>
      <c r="F416" t="s">
        <v>2239</v>
      </c>
      <c r="G416" t="s">
        <v>2243</v>
      </c>
      <c r="H416" t="s">
        <v>2258</v>
      </c>
      <c r="I416" t="s">
        <v>2260</v>
      </c>
      <c r="J416" t="s">
        <v>2264</v>
      </c>
      <c r="K416">
        <v>1</v>
      </c>
      <c r="L416">
        <v>70</v>
      </c>
      <c r="M416">
        <v>0</v>
      </c>
      <c r="N416">
        <v>70</v>
      </c>
      <c r="O416">
        <v>70</v>
      </c>
      <c r="P416" t="s">
        <v>2268</v>
      </c>
      <c r="R416" t="s">
        <v>2279</v>
      </c>
      <c r="S416" t="s">
        <v>2280</v>
      </c>
      <c r="T416" t="s">
        <v>2288</v>
      </c>
      <c r="U416">
        <v>2</v>
      </c>
      <c r="V416">
        <v>188</v>
      </c>
      <c r="W416">
        <v>49</v>
      </c>
      <c r="X416">
        <v>27.49</v>
      </c>
      <c r="Y416">
        <v>42.51</v>
      </c>
      <c r="Z416" t="s">
        <v>2293</v>
      </c>
      <c r="AA416" t="s">
        <v>1761</v>
      </c>
      <c r="AB416">
        <v>70</v>
      </c>
      <c r="AC416">
        <v>0</v>
      </c>
      <c r="AD416">
        <v>70</v>
      </c>
      <c r="AE416">
        <v>27.49</v>
      </c>
      <c r="AF416">
        <v>42.510000000000012</v>
      </c>
      <c r="AG416">
        <v>2024</v>
      </c>
      <c r="AH416">
        <v>2</v>
      </c>
      <c r="AI416" t="s">
        <v>2303</v>
      </c>
      <c r="AJ416" t="s">
        <v>2312</v>
      </c>
    </row>
    <row r="417" spans="1:36" x14ac:dyDescent="0.3">
      <c r="A417" t="s">
        <v>451</v>
      </c>
      <c r="B417" s="2">
        <v>45544</v>
      </c>
      <c r="C417" t="s">
        <v>1724</v>
      </c>
      <c r="D417" t="s">
        <v>1871</v>
      </c>
      <c r="E417" t="s">
        <v>2164</v>
      </c>
      <c r="F417" t="s">
        <v>1761</v>
      </c>
      <c r="G417" t="s">
        <v>2246</v>
      </c>
      <c r="H417" t="s">
        <v>2259</v>
      </c>
      <c r="I417" t="s">
        <v>2262</v>
      </c>
      <c r="J417" t="s">
        <v>2264</v>
      </c>
      <c r="K417">
        <v>4</v>
      </c>
      <c r="L417">
        <v>95</v>
      </c>
      <c r="M417">
        <v>0</v>
      </c>
      <c r="N417">
        <v>380</v>
      </c>
      <c r="O417">
        <v>380</v>
      </c>
      <c r="P417" t="s">
        <v>2269</v>
      </c>
      <c r="Q417" t="s">
        <v>2270</v>
      </c>
      <c r="R417" t="s">
        <v>2276</v>
      </c>
      <c r="S417" t="s">
        <v>2280</v>
      </c>
      <c r="T417" t="s">
        <v>2290</v>
      </c>
      <c r="U417">
        <v>1</v>
      </c>
      <c r="V417">
        <v>182</v>
      </c>
      <c r="W417">
        <v>14</v>
      </c>
      <c r="X417">
        <v>51.54</v>
      </c>
      <c r="Y417">
        <v>173.84</v>
      </c>
      <c r="Z417" t="s">
        <v>2295</v>
      </c>
      <c r="AA417" t="s">
        <v>2297</v>
      </c>
      <c r="AB417">
        <v>380</v>
      </c>
      <c r="AC417">
        <v>0</v>
      </c>
      <c r="AD417">
        <v>380</v>
      </c>
      <c r="AE417">
        <v>206.16</v>
      </c>
      <c r="AF417">
        <v>173.84</v>
      </c>
      <c r="AG417">
        <v>2024</v>
      </c>
      <c r="AH417">
        <v>9</v>
      </c>
      <c r="AI417" t="s">
        <v>2300</v>
      </c>
      <c r="AJ417" t="s">
        <v>2314</v>
      </c>
    </row>
    <row r="418" spans="1:36" x14ac:dyDescent="0.3">
      <c r="A418" t="s">
        <v>452</v>
      </c>
      <c r="B418" s="2">
        <v>45505</v>
      </c>
      <c r="C418" t="s">
        <v>1660</v>
      </c>
      <c r="D418" t="s">
        <v>1915</v>
      </c>
      <c r="E418" t="s">
        <v>1950</v>
      </c>
      <c r="F418" t="s">
        <v>2239</v>
      </c>
      <c r="G418" t="s">
        <v>2241</v>
      </c>
      <c r="H418" t="s">
        <v>2257</v>
      </c>
      <c r="I418" t="s">
        <v>2262</v>
      </c>
      <c r="J418" t="s">
        <v>2264</v>
      </c>
      <c r="K418">
        <v>1</v>
      </c>
      <c r="L418">
        <v>125</v>
      </c>
      <c r="N418">
        <v>125</v>
      </c>
      <c r="P418" t="s">
        <v>2267</v>
      </c>
      <c r="Q418" t="s">
        <v>2271</v>
      </c>
      <c r="R418" t="s">
        <v>2278</v>
      </c>
      <c r="S418" t="s">
        <v>2286</v>
      </c>
      <c r="T418" t="s">
        <v>2290</v>
      </c>
      <c r="U418">
        <v>5</v>
      </c>
      <c r="V418">
        <v>412</v>
      </c>
      <c r="X418">
        <v>75.5</v>
      </c>
      <c r="Z418" t="s">
        <v>2292</v>
      </c>
      <c r="AA418" t="s">
        <v>2299</v>
      </c>
      <c r="AB418">
        <v>125</v>
      </c>
      <c r="AC418">
        <v>0</v>
      </c>
      <c r="AD418">
        <v>125</v>
      </c>
      <c r="AE418">
        <v>75.5</v>
      </c>
      <c r="AF418">
        <v>49.5</v>
      </c>
      <c r="AG418">
        <v>2024</v>
      </c>
      <c r="AH418">
        <v>8</v>
      </c>
      <c r="AI418" t="s">
        <v>2301</v>
      </c>
      <c r="AJ418" t="s">
        <v>2316</v>
      </c>
    </row>
    <row r="419" spans="1:36" x14ac:dyDescent="0.3">
      <c r="A419" t="s">
        <v>453</v>
      </c>
      <c r="B419" s="2">
        <v>45403</v>
      </c>
      <c r="C419" t="s">
        <v>1637</v>
      </c>
      <c r="D419" t="s">
        <v>1798</v>
      </c>
      <c r="E419" t="s">
        <v>2074</v>
      </c>
      <c r="F419" t="s">
        <v>2239</v>
      </c>
      <c r="G419" t="s">
        <v>2241</v>
      </c>
      <c r="H419" t="s">
        <v>2257</v>
      </c>
      <c r="I419" t="s">
        <v>2262</v>
      </c>
      <c r="J419" t="s">
        <v>2266</v>
      </c>
      <c r="K419">
        <v>1</v>
      </c>
      <c r="L419">
        <v>125</v>
      </c>
      <c r="M419">
        <v>0.05</v>
      </c>
      <c r="N419">
        <v>125</v>
      </c>
      <c r="O419">
        <v>118.75</v>
      </c>
      <c r="P419" t="s">
        <v>2267</v>
      </c>
      <c r="Q419" t="s">
        <v>2271</v>
      </c>
      <c r="R419" t="s">
        <v>2274</v>
      </c>
      <c r="S419" t="s">
        <v>2282</v>
      </c>
      <c r="T419" t="s">
        <v>2288</v>
      </c>
      <c r="U419">
        <v>5</v>
      </c>
      <c r="V419">
        <v>156</v>
      </c>
      <c r="W419">
        <v>48</v>
      </c>
      <c r="X419">
        <v>50.63</v>
      </c>
      <c r="Y419">
        <v>68.12</v>
      </c>
      <c r="Z419" t="s">
        <v>2293</v>
      </c>
      <c r="AA419" t="s">
        <v>2297</v>
      </c>
      <c r="AB419">
        <v>125</v>
      </c>
      <c r="AC419">
        <v>6.25</v>
      </c>
      <c r="AD419">
        <v>118.75</v>
      </c>
      <c r="AE419">
        <v>50.63</v>
      </c>
      <c r="AF419">
        <v>68.12</v>
      </c>
      <c r="AG419">
        <v>2024</v>
      </c>
      <c r="AH419">
        <v>4</v>
      </c>
      <c r="AI419" t="s">
        <v>2308</v>
      </c>
      <c r="AJ419" t="s">
        <v>2318</v>
      </c>
    </row>
    <row r="420" spans="1:36" x14ac:dyDescent="0.3">
      <c r="A420" t="s">
        <v>454</v>
      </c>
      <c r="B420" s="2">
        <v>45529</v>
      </c>
      <c r="C420" t="s">
        <v>1700</v>
      </c>
      <c r="D420" t="s">
        <v>1916</v>
      </c>
      <c r="E420" t="s">
        <v>1761</v>
      </c>
      <c r="F420" t="s">
        <v>2239</v>
      </c>
      <c r="G420" t="s">
        <v>2253</v>
      </c>
      <c r="H420" t="s">
        <v>2258</v>
      </c>
      <c r="I420" t="s">
        <v>2260</v>
      </c>
      <c r="J420" t="s">
        <v>2265</v>
      </c>
      <c r="K420">
        <v>1</v>
      </c>
      <c r="L420">
        <v>90</v>
      </c>
      <c r="M420">
        <v>0</v>
      </c>
      <c r="N420">
        <v>90</v>
      </c>
      <c r="O420">
        <v>90</v>
      </c>
      <c r="P420" t="s">
        <v>2267</v>
      </c>
      <c r="Q420" t="s">
        <v>2270</v>
      </c>
      <c r="R420" t="s">
        <v>2274</v>
      </c>
      <c r="S420" t="s">
        <v>2280</v>
      </c>
      <c r="T420" t="s">
        <v>2288</v>
      </c>
      <c r="U420">
        <v>1</v>
      </c>
      <c r="V420">
        <v>107</v>
      </c>
      <c r="W420">
        <v>38</v>
      </c>
      <c r="X420">
        <v>45.88</v>
      </c>
      <c r="Y420">
        <v>44.12</v>
      </c>
      <c r="Z420" t="s">
        <v>1761</v>
      </c>
      <c r="AA420" t="s">
        <v>2297</v>
      </c>
      <c r="AB420">
        <v>90</v>
      </c>
      <c r="AC420">
        <v>0</v>
      </c>
      <c r="AD420">
        <v>90</v>
      </c>
      <c r="AE420">
        <v>45.88</v>
      </c>
      <c r="AF420">
        <v>44.12</v>
      </c>
      <c r="AG420">
        <v>2024</v>
      </c>
      <c r="AH420">
        <v>8</v>
      </c>
      <c r="AI420" t="s">
        <v>2301</v>
      </c>
      <c r="AJ420" t="s">
        <v>2318</v>
      </c>
    </row>
    <row r="421" spans="1:36" x14ac:dyDescent="0.3">
      <c r="A421" t="s">
        <v>455</v>
      </c>
      <c r="B421" s="2">
        <v>45420</v>
      </c>
      <c r="C421" t="s">
        <v>1683</v>
      </c>
      <c r="D421" t="s">
        <v>1870</v>
      </c>
      <c r="E421" t="s">
        <v>1969</v>
      </c>
      <c r="F421" t="s">
        <v>1761</v>
      </c>
      <c r="G421" t="s">
        <v>2241</v>
      </c>
      <c r="H421" t="s">
        <v>2257</v>
      </c>
      <c r="I421" t="s">
        <v>2262</v>
      </c>
      <c r="J421" t="s">
        <v>2265</v>
      </c>
      <c r="K421">
        <v>2</v>
      </c>
      <c r="L421">
        <v>125</v>
      </c>
      <c r="M421">
        <v>0</v>
      </c>
      <c r="N421">
        <v>250</v>
      </c>
      <c r="O421">
        <v>250</v>
      </c>
      <c r="P421" t="s">
        <v>2267</v>
      </c>
      <c r="Q421" t="s">
        <v>2270</v>
      </c>
      <c r="R421" t="s">
        <v>2278</v>
      </c>
      <c r="S421" t="s">
        <v>2286</v>
      </c>
      <c r="T421" t="s">
        <v>2288</v>
      </c>
      <c r="U421">
        <v>5</v>
      </c>
      <c r="V421">
        <v>429</v>
      </c>
      <c r="W421">
        <v>33</v>
      </c>
      <c r="X421">
        <v>56.51</v>
      </c>
      <c r="Y421">
        <v>136.97999999999999</v>
      </c>
      <c r="Z421" t="s">
        <v>2293</v>
      </c>
      <c r="AA421" t="s">
        <v>2297</v>
      </c>
      <c r="AB421">
        <v>250</v>
      </c>
      <c r="AC421">
        <v>0</v>
      </c>
      <c r="AD421">
        <v>250</v>
      </c>
      <c r="AE421">
        <v>113.02</v>
      </c>
      <c r="AF421">
        <v>136.97999999999999</v>
      </c>
      <c r="AG421">
        <v>2024</v>
      </c>
      <c r="AH421">
        <v>5</v>
      </c>
      <c r="AI421" t="s">
        <v>2306</v>
      </c>
      <c r="AJ421" t="s">
        <v>2312</v>
      </c>
    </row>
    <row r="422" spans="1:36" x14ac:dyDescent="0.3">
      <c r="A422" t="s">
        <v>456</v>
      </c>
      <c r="B422" s="2">
        <v>45586</v>
      </c>
      <c r="C422" t="s">
        <v>1643</v>
      </c>
      <c r="D422" t="s">
        <v>1761</v>
      </c>
      <c r="E422" t="s">
        <v>2165</v>
      </c>
      <c r="F422" t="s">
        <v>2238</v>
      </c>
      <c r="G422" t="s">
        <v>2254</v>
      </c>
      <c r="H422" t="s">
        <v>2259</v>
      </c>
      <c r="I422" t="s">
        <v>2263</v>
      </c>
      <c r="J422" t="s">
        <v>2264</v>
      </c>
      <c r="K422">
        <v>1</v>
      </c>
      <c r="L422">
        <v>110</v>
      </c>
      <c r="M422">
        <v>0.1</v>
      </c>
      <c r="N422">
        <v>110</v>
      </c>
      <c r="O422">
        <v>99</v>
      </c>
      <c r="Q422" t="s">
        <v>2271</v>
      </c>
      <c r="R422" t="s">
        <v>2279</v>
      </c>
      <c r="S422" t="s">
        <v>2282</v>
      </c>
      <c r="T422" t="s">
        <v>2288</v>
      </c>
      <c r="U422">
        <v>1</v>
      </c>
      <c r="V422">
        <v>381</v>
      </c>
      <c r="W422">
        <v>48</v>
      </c>
      <c r="X422">
        <v>48.14</v>
      </c>
      <c r="Y422">
        <v>50.86</v>
      </c>
      <c r="Z422" t="s">
        <v>2294</v>
      </c>
      <c r="AA422" t="s">
        <v>2297</v>
      </c>
      <c r="AB422">
        <v>110</v>
      </c>
      <c r="AC422">
        <v>11</v>
      </c>
      <c r="AD422">
        <v>99</v>
      </c>
      <c r="AE422">
        <v>48.14</v>
      </c>
      <c r="AF422">
        <v>50.86</v>
      </c>
      <c r="AG422">
        <v>2024</v>
      </c>
      <c r="AH422">
        <v>10</v>
      </c>
      <c r="AI422" t="s">
        <v>2310</v>
      </c>
      <c r="AJ422" t="s">
        <v>2314</v>
      </c>
    </row>
    <row r="423" spans="1:36" x14ac:dyDescent="0.3">
      <c r="A423" t="s">
        <v>457</v>
      </c>
      <c r="B423" s="2">
        <v>45479</v>
      </c>
      <c r="C423" t="s">
        <v>1711</v>
      </c>
      <c r="D423" t="s">
        <v>1863</v>
      </c>
      <c r="E423" t="s">
        <v>1942</v>
      </c>
      <c r="F423" t="s">
        <v>2239</v>
      </c>
      <c r="G423" t="s">
        <v>2248</v>
      </c>
      <c r="H423" t="s">
        <v>2257</v>
      </c>
      <c r="I423" t="s">
        <v>2262</v>
      </c>
      <c r="J423" t="s">
        <v>2266</v>
      </c>
      <c r="K423">
        <v>1</v>
      </c>
      <c r="L423">
        <v>140</v>
      </c>
      <c r="M423">
        <v>0.1</v>
      </c>
      <c r="N423">
        <v>140</v>
      </c>
      <c r="O423">
        <v>126</v>
      </c>
      <c r="Q423" t="s">
        <v>2270</v>
      </c>
      <c r="R423" t="s">
        <v>2274</v>
      </c>
      <c r="S423" t="s">
        <v>2287</v>
      </c>
      <c r="T423" t="s">
        <v>2288</v>
      </c>
      <c r="V423">
        <v>133</v>
      </c>
      <c r="X423">
        <v>50.8</v>
      </c>
      <c r="Y423">
        <v>75.2</v>
      </c>
      <c r="Z423" t="s">
        <v>2293</v>
      </c>
      <c r="AA423" t="s">
        <v>2296</v>
      </c>
      <c r="AB423">
        <v>140</v>
      </c>
      <c r="AC423">
        <v>14</v>
      </c>
      <c r="AD423">
        <v>126</v>
      </c>
      <c r="AE423">
        <v>50.8</v>
      </c>
      <c r="AF423">
        <v>75.2</v>
      </c>
      <c r="AG423">
        <v>2024</v>
      </c>
      <c r="AH423">
        <v>7</v>
      </c>
      <c r="AI423" t="s">
        <v>2307</v>
      </c>
      <c r="AJ423" t="s">
        <v>2317</v>
      </c>
    </row>
    <row r="424" spans="1:36" x14ac:dyDescent="0.3">
      <c r="A424" t="s">
        <v>458</v>
      </c>
      <c r="B424" s="2">
        <v>45489</v>
      </c>
      <c r="C424" t="s">
        <v>1716</v>
      </c>
      <c r="D424" t="s">
        <v>1838</v>
      </c>
      <c r="E424" t="s">
        <v>2143</v>
      </c>
      <c r="F424" t="s">
        <v>2238</v>
      </c>
      <c r="G424" t="s">
        <v>2243</v>
      </c>
      <c r="H424" t="s">
        <v>2258</v>
      </c>
      <c r="I424" t="s">
        <v>2260</v>
      </c>
      <c r="J424" t="s">
        <v>2264</v>
      </c>
      <c r="K424">
        <v>2</v>
      </c>
      <c r="L424">
        <v>65</v>
      </c>
      <c r="M424">
        <v>0.05</v>
      </c>
      <c r="N424">
        <v>130</v>
      </c>
      <c r="O424">
        <v>123.5</v>
      </c>
      <c r="P424" t="s">
        <v>2267</v>
      </c>
      <c r="Q424" t="s">
        <v>2270</v>
      </c>
      <c r="R424" t="s">
        <v>2277</v>
      </c>
      <c r="S424" t="s">
        <v>2284</v>
      </c>
      <c r="T424" t="s">
        <v>2288</v>
      </c>
      <c r="V424">
        <v>163</v>
      </c>
      <c r="X424">
        <v>35.75</v>
      </c>
      <c r="Y424">
        <v>52</v>
      </c>
      <c r="Z424" t="s">
        <v>2291</v>
      </c>
      <c r="AA424" t="s">
        <v>2298</v>
      </c>
      <c r="AB424">
        <v>130</v>
      </c>
      <c r="AC424">
        <v>6.5</v>
      </c>
      <c r="AD424">
        <v>123.5</v>
      </c>
      <c r="AE424">
        <v>71.5</v>
      </c>
      <c r="AF424">
        <v>52</v>
      </c>
      <c r="AG424">
        <v>2024</v>
      </c>
      <c r="AH424">
        <v>7</v>
      </c>
      <c r="AI424" t="s">
        <v>2307</v>
      </c>
      <c r="AJ424" t="s">
        <v>2313</v>
      </c>
    </row>
    <row r="425" spans="1:36" x14ac:dyDescent="0.3">
      <c r="A425" t="s">
        <v>459</v>
      </c>
      <c r="B425" s="2">
        <v>45377</v>
      </c>
      <c r="C425" t="s">
        <v>1673</v>
      </c>
      <c r="D425" t="s">
        <v>1882</v>
      </c>
      <c r="E425" t="s">
        <v>2166</v>
      </c>
      <c r="F425" t="s">
        <v>2240</v>
      </c>
      <c r="G425" t="s">
        <v>2252</v>
      </c>
      <c r="H425" t="s">
        <v>2257</v>
      </c>
      <c r="I425" t="s">
        <v>2262</v>
      </c>
      <c r="J425" t="s">
        <v>2264</v>
      </c>
      <c r="K425">
        <v>1</v>
      </c>
      <c r="L425">
        <v>100</v>
      </c>
      <c r="M425">
        <v>0</v>
      </c>
      <c r="N425">
        <v>100</v>
      </c>
      <c r="O425">
        <v>100</v>
      </c>
      <c r="P425" t="s">
        <v>2269</v>
      </c>
      <c r="Q425" t="s">
        <v>2270</v>
      </c>
      <c r="R425" t="s">
        <v>2277</v>
      </c>
      <c r="S425" t="s">
        <v>2282</v>
      </c>
      <c r="T425" t="s">
        <v>2289</v>
      </c>
      <c r="U425">
        <v>3</v>
      </c>
      <c r="V425">
        <v>47</v>
      </c>
      <c r="X425">
        <v>52.31</v>
      </c>
      <c r="Y425">
        <v>47.69</v>
      </c>
      <c r="Z425" t="s">
        <v>2293</v>
      </c>
      <c r="AA425" t="s">
        <v>2296</v>
      </c>
      <c r="AB425">
        <v>100</v>
      </c>
      <c r="AC425">
        <v>0</v>
      </c>
      <c r="AD425">
        <v>100</v>
      </c>
      <c r="AE425">
        <v>52.31</v>
      </c>
      <c r="AF425">
        <v>47.69</v>
      </c>
      <c r="AG425">
        <v>2024</v>
      </c>
      <c r="AH425">
        <v>3</v>
      </c>
      <c r="AI425" t="s">
        <v>2305</v>
      </c>
      <c r="AJ425" t="s">
        <v>2313</v>
      </c>
    </row>
    <row r="426" spans="1:36" x14ac:dyDescent="0.3">
      <c r="A426" t="s">
        <v>460</v>
      </c>
      <c r="B426" s="2">
        <v>45564</v>
      </c>
      <c r="C426" t="s">
        <v>1730</v>
      </c>
      <c r="D426" t="s">
        <v>1850</v>
      </c>
      <c r="E426" t="s">
        <v>2067</v>
      </c>
      <c r="F426" t="s">
        <v>2238</v>
      </c>
      <c r="G426" t="s">
        <v>2243</v>
      </c>
      <c r="H426" t="s">
        <v>2258</v>
      </c>
      <c r="I426" t="s">
        <v>2260</v>
      </c>
      <c r="K426">
        <v>1</v>
      </c>
      <c r="L426">
        <v>70</v>
      </c>
      <c r="M426">
        <v>0.15</v>
      </c>
      <c r="N426">
        <v>70</v>
      </c>
      <c r="O426">
        <v>59.5</v>
      </c>
      <c r="P426" t="s">
        <v>2267</v>
      </c>
      <c r="Q426" t="s">
        <v>2270</v>
      </c>
      <c r="R426" t="s">
        <v>2275</v>
      </c>
      <c r="S426" t="s">
        <v>2287</v>
      </c>
      <c r="T426" t="s">
        <v>2289</v>
      </c>
      <c r="V426">
        <v>405</v>
      </c>
      <c r="W426">
        <v>31</v>
      </c>
      <c r="X426">
        <v>40.64</v>
      </c>
      <c r="Y426">
        <v>18.86</v>
      </c>
      <c r="Z426" t="s">
        <v>2293</v>
      </c>
      <c r="AA426" t="s">
        <v>2299</v>
      </c>
      <c r="AB426">
        <v>70</v>
      </c>
      <c r="AC426">
        <v>10.5</v>
      </c>
      <c r="AD426">
        <v>59.5</v>
      </c>
      <c r="AE426">
        <v>40.64</v>
      </c>
      <c r="AF426">
        <v>18.86</v>
      </c>
      <c r="AG426">
        <v>2024</v>
      </c>
      <c r="AH426">
        <v>9</v>
      </c>
      <c r="AI426" t="s">
        <v>2300</v>
      </c>
      <c r="AJ426" t="s">
        <v>2318</v>
      </c>
    </row>
    <row r="427" spans="1:36" x14ac:dyDescent="0.3">
      <c r="A427" t="s">
        <v>461</v>
      </c>
      <c r="B427" s="2">
        <v>45471</v>
      </c>
      <c r="C427" t="s">
        <v>1661</v>
      </c>
      <c r="D427" t="s">
        <v>1826</v>
      </c>
      <c r="E427" t="s">
        <v>2119</v>
      </c>
      <c r="F427" t="s">
        <v>2238</v>
      </c>
      <c r="G427" t="s">
        <v>2254</v>
      </c>
      <c r="H427" t="s">
        <v>2259</v>
      </c>
      <c r="I427" t="s">
        <v>2263</v>
      </c>
      <c r="J427" t="s">
        <v>2266</v>
      </c>
      <c r="K427">
        <v>1</v>
      </c>
      <c r="L427">
        <v>105</v>
      </c>
      <c r="N427">
        <v>105</v>
      </c>
      <c r="P427" t="s">
        <v>2269</v>
      </c>
      <c r="Q427" t="s">
        <v>2270</v>
      </c>
      <c r="R427" t="s">
        <v>2277</v>
      </c>
      <c r="S427" t="s">
        <v>2286</v>
      </c>
      <c r="T427" t="s">
        <v>2288</v>
      </c>
      <c r="U427">
        <v>1</v>
      </c>
      <c r="V427">
        <v>204</v>
      </c>
      <c r="W427">
        <v>11</v>
      </c>
      <c r="X427">
        <v>42.87</v>
      </c>
      <c r="Z427" t="s">
        <v>1761</v>
      </c>
      <c r="AA427" t="s">
        <v>2296</v>
      </c>
      <c r="AB427">
        <v>105</v>
      </c>
      <c r="AC427">
        <v>0</v>
      </c>
      <c r="AD427">
        <v>105</v>
      </c>
      <c r="AE427">
        <v>42.87</v>
      </c>
      <c r="AF427">
        <v>62.13</v>
      </c>
      <c r="AG427">
        <v>2024</v>
      </c>
      <c r="AH427">
        <v>6</v>
      </c>
      <c r="AI427" t="s">
        <v>2304</v>
      </c>
      <c r="AJ427" t="s">
        <v>2315</v>
      </c>
    </row>
    <row r="428" spans="1:36" x14ac:dyDescent="0.3">
      <c r="A428" t="s">
        <v>462</v>
      </c>
      <c r="B428" s="2">
        <v>45404</v>
      </c>
      <c r="C428" t="s">
        <v>1711</v>
      </c>
      <c r="D428" t="s">
        <v>1823</v>
      </c>
      <c r="E428" t="s">
        <v>2072</v>
      </c>
      <c r="F428" t="s">
        <v>2238</v>
      </c>
      <c r="G428" t="s">
        <v>2256</v>
      </c>
      <c r="H428" t="s">
        <v>2261</v>
      </c>
      <c r="I428" t="s">
        <v>2260</v>
      </c>
      <c r="J428" t="s">
        <v>2265</v>
      </c>
      <c r="K428">
        <v>2</v>
      </c>
      <c r="L428">
        <v>195</v>
      </c>
      <c r="M428">
        <v>0.05</v>
      </c>
      <c r="N428">
        <v>390</v>
      </c>
      <c r="O428">
        <v>370.5</v>
      </c>
      <c r="P428" t="s">
        <v>2269</v>
      </c>
      <c r="Q428" t="s">
        <v>2272</v>
      </c>
      <c r="R428" t="s">
        <v>2274</v>
      </c>
      <c r="S428" t="s">
        <v>2280</v>
      </c>
      <c r="T428" t="s">
        <v>2288</v>
      </c>
      <c r="U428">
        <v>5</v>
      </c>
      <c r="V428">
        <v>232</v>
      </c>
      <c r="W428">
        <v>32</v>
      </c>
      <c r="X428">
        <v>71.91</v>
      </c>
      <c r="Y428">
        <v>226.68</v>
      </c>
      <c r="Z428" t="s">
        <v>2292</v>
      </c>
      <c r="AA428" t="s">
        <v>2296</v>
      </c>
      <c r="AB428">
        <v>390</v>
      </c>
      <c r="AC428">
        <v>19.5</v>
      </c>
      <c r="AD428">
        <v>370.5</v>
      </c>
      <c r="AE428">
        <v>143.82</v>
      </c>
      <c r="AF428">
        <v>226.68</v>
      </c>
      <c r="AG428">
        <v>2024</v>
      </c>
      <c r="AH428">
        <v>4</v>
      </c>
      <c r="AI428" t="s">
        <v>2308</v>
      </c>
      <c r="AJ428" t="s">
        <v>2314</v>
      </c>
    </row>
    <row r="429" spans="1:36" x14ac:dyDescent="0.3">
      <c r="A429" t="s">
        <v>463</v>
      </c>
      <c r="B429" s="2">
        <v>45352</v>
      </c>
      <c r="C429" t="s">
        <v>1685</v>
      </c>
      <c r="D429" t="s">
        <v>1752</v>
      </c>
      <c r="E429" t="s">
        <v>2005</v>
      </c>
      <c r="F429" t="s">
        <v>2239</v>
      </c>
      <c r="G429" t="s">
        <v>2247</v>
      </c>
      <c r="H429" t="s">
        <v>2257</v>
      </c>
      <c r="I429" t="s">
        <v>2262</v>
      </c>
      <c r="J429" t="s">
        <v>2265</v>
      </c>
      <c r="K429">
        <v>2</v>
      </c>
      <c r="L429">
        <v>100</v>
      </c>
      <c r="M429">
        <v>0.1</v>
      </c>
      <c r="N429">
        <v>200</v>
      </c>
      <c r="O429">
        <v>180</v>
      </c>
      <c r="P429" t="s">
        <v>2267</v>
      </c>
      <c r="Q429" t="s">
        <v>2271</v>
      </c>
      <c r="R429" t="s">
        <v>2274</v>
      </c>
      <c r="S429" t="s">
        <v>2284</v>
      </c>
      <c r="T429" t="s">
        <v>2288</v>
      </c>
      <c r="X429">
        <v>49.86</v>
      </c>
      <c r="Y429">
        <v>80.28</v>
      </c>
      <c r="Z429" t="s">
        <v>2292</v>
      </c>
      <c r="AA429" t="s">
        <v>2296</v>
      </c>
      <c r="AB429">
        <v>200</v>
      </c>
      <c r="AC429">
        <v>20</v>
      </c>
      <c r="AD429">
        <v>180</v>
      </c>
      <c r="AE429">
        <v>99.72</v>
      </c>
      <c r="AF429">
        <v>80.28</v>
      </c>
      <c r="AG429">
        <v>2024</v>
      </c>
      <c r="AH429">
        <v>3</v>
      </c>
      <c r="AI429" t="s">
        <v>2305</v>
      </c>
      <c r="AJ429" t="s">
        <v>2315</v>
      </c>
    </row>
    <row r="430" spans="1:36" x14ac:dyDescent="0.3">
      <c r="A430" t="s">
        <v>464</v>
      </c>
      <c r="B430" s="2">
        <v>45510</v>
      </c>
      <c r="C430" t="s">
        <v>1652</v>
      </c>
      <c r="D430" t="s">
        <v>1891</v>
      </c>
      <c r="E430" t="s">
        <v>2135</v>
      </c>
      <c r="F430" t="s">
        <v>2240</v>
      </c>
      <c r="G430" t="s">
        <v>2254</v>
      </c>
      <c r="H430" t="s">
        <v>2259</v>
      </c>
      <c r="I430" t="s">
        <v>2263</v>
      </c>
      <c r="K430">
        <v>2</v>
      </c>
      <c r="L430">
        <v>110</v>
      </c>
      <c r="M430">
        <v>0</v>
      </c>
      <c r="N430">
        <v>220</v>
      </c>
      <c r="O430">
        <v>220</v>
      </c>
      <c r="P430" t="s">
        <v>2267</v>
      </c>
      <c r="Q430" t="s">
        <v>2270</v>
      </c>
      <c r="R430" t="s">
        <v>2273</v>
      </c>
      <c r="S430" t="s">
        <v>2281</v>
      </c>
      <c r="T430" t="s">
        <v>2290</v>
      </c>
      <c r="U430">
        <v>3</v>
      </c>
      <c r="V430">
        <v>468</v>
      </c>
      <c r="X430">
        <v>57.27</v>
      </c>
      <c r="Y430">
        <v>105.46</v>
      </c>
      <c r="AA430" t="s">
        <v>2296</v>
      </c>
      <c r="AB430">
        <v>220</v>
      </c>
      <c r="AC430">
        <v>0</v>
      </c>
      <c r="AD430">
        <v>220</v>
      </c>
      <c r="AE430">
        <v>114.54</v>
      </c>
      <c r="AF430">
        <v>105.46</v>
      </c>
      <c r="AG430">
        <v>2024</v>
      </c>
      <c r="AH430">
        <v>8</v>
      </c>
      <c r="AI430" t="s">
        <v>2301</v>
      </c>
      <c r="AJ430" t="s">
        <v>2313</v>
      </c>
    </row>
    <row r="431" spans="1:36" x14ac:dyDescent="0.3">
      <c r="A431" t="s">
        <v>465</v>
      </c>
      <c r="B431" s="2">
        <v>45414</v>
      </c>
      <c r="C431" t="s">
        <v>1666</v>
      </c>
      <c r="D431" t="s">
        <v>1768</v>
      </c>
      <c r="E431" t="s">
        <v>2063</v>
      </c>
      <c r="F431" t="s">
        <v>1761</v>
      </c>
      <c r="G431" t="s">
        <v>2252</v>
      </c>
      <c r="H431" t="s">
        <v>2257</v>
      </c>
      <c r="I431" t="s">
        <v>2262</v>
      </c>
      <c r="K431">
        <v>4</v>
      </c>
      <c r="L431">
        <v>90</v>
      </c>
      <c r="M431">
        <v>0</v>
      </c>
      <c r="N431">
        <v>360</v>
      </c>
      <c r="O431">
        <v>360</v>
      </c>
      <c r="P431" t="s">
        <v>2267</v>
      </c>
      <c r="Q431" t="s">
        <v>2271</v>
      </c>
      <c r="R431" t="s">
        <v>2276</v>
      </c>
      <c r="S431" t="s">
        <v>2284</v>
      </c>
      <c r="T431" t="s">
        <v>2290</v>
      </c>
      <c r="U431">
        <v>3</v>
      </c>
      <c r="V431">
        <v>295</v>
      </c>
      <c r="W431">
        <v>59</v>
      </c>
      <c r="X431">
        <v>40.01</v>
      </c>
      <c r="Y431">
        <v>199.96</v>
      </c>
      <c r="Z431" t="s">
        <v>2291</v>
      </c>
      <c r="AA431" t="s">
        <v>2296</v>
      </c>
      <c r="AB431">
        <v>360</v>
      </c>
      <c r="AC431">
        <v>0</v>
      </c>
      <c r="AD431">
        <v>360</v>
      </c>
      <c r="AE431">
        <v>160.04</v>
      </c>
      <c r="AF431">
        <v>199.96</v>
      </c>
      <c r="AG431">
        <v>2024</v>
      </c>
      <c r="AH431">
        <v>5</v>
      </c>
      <c r="AI431" t="s">
        <v>2306</v>
      </c>
      <c r="AJ431" t="s">
        <v>2316</v>
      </c>
    </row>
    <row r="432" spans="1:36" x14ac:dyDescent="0.3">
      <c r="A432" t="s">
        <v>466</v>
      </c>
      <c r="B432" s="2">
        <v>45439</v>
      </c>
      <c r="C432" t="s">
        <v>1696</v>
      </c>
      <c r="D432" t="s">
        <v>1882</v>
      </c>
      <c r="E432" t="s">
        <v>1966</v>
      </c>
      <c r="F432" t="s">
        <v>2239</v>
      </c>
      <c r="G432" t="s">
        <v>2255</v>
      </c>
      <c r="H432" t="s">
        <v>2260</v>
      </c>
      <c r="I432" t="s">
        <v>2260</v>
      </c>
      <c r="J432" t="s">
        <v>2265</v>
      </c>
      <c r="K432">
        <v>2</v>
      </c>
      <c r="L432">
        <v>175</v>
      </c>
      <c r="N432">
        <v>350</v>
      </c>
      <c r="P432" t="s">
        <v>2267</v>
      </c>
      <c r="Q432" t="s">
        <v>2272</v>
      </c>
      <c r="R432" t="s">
        <v>2279</v>
      </c>
      <c r="S432" t="s">
        <v>2285</v>
      </c>
      <c r="T432" t="s">
        <v>2288</v>
      </c>
      <c r="U432">
        <v>5</v>
      </c>
      <c r="V432">
        <v>36</v>
      </c>
      <c r="X432">
        <v>78.72</v>
      </c>
      <c r="Z432" t="s">
        <v>2293</v>
      </c>
      <c r="AA432" t="s">
        <v>2296</v>
      </c>
      <c r="AB432">
        <v>350</v>
      </c>
      <c r="AC432">
        <v>0</v>
      </c>
      <c r="AD432">
        <v>350</v>
      </c>
      <c r="AE432">
        <v>157.44</v>
      </c>
      <c r="AF432">
        <v>192.56</v>
      </c>
      <c r="AG432">
        <v>2024</v>
      </c>
      <c r="AH432">
        <v>5</v>
      </c>
      <c r="AI432" t="s">
        <v>2306</v>
      </c>
      <c r="AJ432" t="s">
        <v>2314</v>
      </c>
    </row>
    <row r="433" spans="1:36" x14ac:dyDescent="0.3">
      <c r="A433" t="s">
        <v>467</v>
      </c>
      <c r="B433" s="2">
        <v>45469</v>
      </c>
      <c r="C433" t="s">
        <v>1672</v>
      </c>
      <c r="D433" t="s">
        <v>1800</v>
      </c>
      <c r="E433" t="s">
        <v>2044</v>
      </c>
      <c r="F433" t="s">
        <v>2239</v>
      </c>
      <c r="G433" t="s">
        <v>2248</v>
      </c>
      <c r="H433" t="s">
        <v>2257</v>
      </c>
      <c r="I433" t="s">
        <v>2262</v>
      </c>
      <c r="J433" t="s">
        <v>2265</v>
      </c>
      <c r="K433">
        <v>3</v>
      </c>
      <c r="L433">
        <v>150</v>
      </c>
      <c r="M433">
        <v>0.15</v>
      </c>
      <c r="N433">
        <v>450</v>
      </c>
      <c r="O433">
        <v>382.5</v>
      </c>
      <c r="P433" t="s">
        <v>2267</v>
      </c>
      <c r="Q433" t="s">
        <v>2270</v>
      </c>
      <c r="R433" t="s">
        <v>2278</v>
      </c>
      <c r="S433" t="s">
        <v>2284</v>
      </c>
      <c r="T433" t="s">
        <v>2289</v>
      </c>
      <c r="V433">
        <v>357</v>
      </c>
      <c r="W433">
        <v>16</v>
      </c>
      <c r="X433">
        <v>51.72</v>
      </c>
      <c r="Y433">
        <v>227.34</v>
      </c>
      <c r="Z433" t="s">
        <v>2294</v>
      </c>
      <c r="AA433" t="s">
        <v>2298</v>
      </c>
      <c r="AB433">
        <v>450</v>
      </c>
      <c r="AC433">
        <v>67.5</v>
      </c>
      <c r="AD433">
        <v>382.5</v>
      </c>
      <c r="AE433">
        <v>155.16</v>
      </c>
      <c r="AF433">
        <v>227.34</v>
      </c>
      <c r="AG433">
        <v>2024</v>
      </c>
      <c r="AH433">
        <v>6</v>
      </c>
      <c r="AI433" t="s">
        <v>2304</v>
      </c>
      <c r="AJ433" t="s">
        <v>2312</v>
      </c>
    </row>
    <row r="434" spans="1:36" x14ac:dyDescent="0.3">
      <c r="A434" t="s">
        <v>468</v>
      </c>
      <c r="C434" t="s">
        <v>1668</v>
      </c>
      <c r="D434" t="s">
        <v>1917</v>
      </c>
      <c r="E434" t="s">
        <v>2135</v>
      </c>
      <c r="F434" t="s">
        <v>2238</v>
      </c>
      <c r="G434" t="s">
        <v>2244</v>
      </c>
      <c r="H434" t="s">
        <v>2257</v>
      </c>
      <c r="I434" t="s">
        <v>2262</v>
      </c>
      <c r="J434" t="s">
        <v>2266</v>
      </c>
      <c r="K434">
        <v>1</v>
      </c>
      <c r="L434">
        <v>120</v>
      </c>
      <c r="N434">
        <v>120</v>
      </c>
      <c r="Q434" t="s">
        <v>2271</v>
      </c>
      <c r="R434" t="s">
        <v>2275</v>
      </c>
      <c r="S434" t="s">
        <v>2285</v>
      </c>
      <c r="T434" t="s">
        <v>2290</v>
      </c>
      <c r="U434">
        <v>5</v>
      </c>
      <c r="V434">
        <v>433</v>
      </c>
      <c r="X434">
        <v>55.77</v>
      </c>
      <c r="Z434" t="s">
        <v>2293</v>
      </c>
      <c r="AA434" t="s">
        <v>2298</v>
      </c>
      <c r="AB434">
        <v>120</v>
      </c>
      <c r="AC434">
        <v>0</v>
      </c>
      <c r="AD434">
        <v>120</v>
      </c>
      <c r="AE434">
        <v>55.77</v>
      </c>
      <c r="AF434">
        <v>64.22999999999999</v>
      </c>
    </row>
    <row r="435" spans="1:36" x14ac:dyDescent="0.3">
      <c r="A435" t="s">
        <v>469</v>
      </c>
      <c r="B435" s="2">
        <v>45634</v>
      </c>
      <c r="C435" t="s">
        <v>1727</v>
      </c>
      <c r="D435" t="s">
        <v>1897</v>
      </c>
      <c r="E435" t="s">
        <v>2163</v>
      </c>
      <c r="F435" t="s">
        <v>1761</v>
      </c>
      <c r="G435" t="s">
        <v>2246</v>
      </c>
      <c r="H435" t="s">
        <v>2259</v>
      </c>
      <c r="I435" t="s">
        <v>2262</v>
      </c>
      <c r="J435" t="s">
        <v>2265</v>
      </c>
      <c r="K435">
        <v>2</v>
      </c>
      <c r="L435">
        <v>100</v>
      </c>
      <c r="N435">
        <v>200</v>
      </c>
      <c r="P435" t="s">
        <v>2268</v>
      </c>
      <c r="Q435" t="s">
        <v>2272</v>
      </c>
      <c r="R435" t="s">
        <v>2275</v>
      </c>
      <c r="S435" t="s">
        <v>2284</v>
      </c>
      <c r="T435" t="s">
        <v>2289</v>
      </c>
      <c r="U435">
        <v>4</v>
      </c>
      <c r="V435">
        <v>159</v>
      </c>
      <c r="W435">
        <v>33</v>
      </c>
      <c r="X435">
        <v>39.020000000000003</v>
      </c>
      <c r="Z435" t="s">
        <v>2294</v>
      </c>
      <c r="AA435" t="s">
        <v>2296</v>
      </c>
      <c r="AB435">
        <v>200</v>
      </c>
      <c r="AC435">
        <v>0</v>
      </c>
      <c r="AD435">
        <v>200</v>
      </c>
      <c r="AE435">
        <v>78.040000000000006</v>
      </c>
      <c r="AF435">
        <v>121.96</v>
      </c>
      <c r="AG435">
        <v>2024</v>
      </c>
      <c r="AH435">
        <v>12</v>
      </c>
      <c r="AI435" t="s">
        <v>2309</v>
      </c>
      <c r="AJ435" t="s">
        <v>2318</v>
      </c>
    </row>
    <row r="436" spans="1:36" x14ac:dyDescent="0.3">
      <c r="A436" t="s">
        <v>470</v>
      </c>
      <c r="B436" s="2">
        <v>45635</v>
      </c>
      <c r="C436" t="s">
        <v>1684</v>
      </c>
      <c r="D436" t="s">
        <v>1806</v>
      </c>
      <c r="E436" t="s">
        <v>2146</v>
      </c>
      <c r="F436" t="s">
        <v>2239</v>
      </c>
      <c r="G436" t="s">
        <v>2256</v>
      </c>
      <c r="H436" t="s">
        <v>2261</v>
      </c>
      <c r="I436" t="s">
        <v>2260</v>
      </c>
      <c r="J436" t="s">
        <v>2264</v>
      </c>
      <c r="K436">
        <v>1</v>
      </c>
      <c r="L436">
        <v>195</v>
      </c>
      <c r="M436">
        <v>0.1</v>
      </c>
      <c r="N436">
        <v>195</v>
      </c>
      <c r="O436">
        <v>175.5</v>
      </c>
      <c r="P436" t="s">
        <v>2267</v>
      </c>
      <c r="Q436" t="s">
        <v>2272</v>
      </c>
      <c r="R436" t="s">
        <v>2276</v>
      </c>
      <c r="S436" t="s">
        <v>2287</v>
      </c>
      <c r="T436" t="s">
        <v>2288</v>
      </c>
      <c r="U436">
        <v>2</v>
      </c>
      <c r="V436">
        <v>370</v>
      </c>
      <c r="W436">
        <v>25</v>
      </c>
      <c r="X436">
        <v>77.95</v>
      </c>
      <c r="Y436">
        <v>97.55</v>
      </c>
      <c r="Z436" t="s">
        <v>2294</v>
      </c>
      <c r="AA436" t="s">
        <v>2297</v>
      </c>
      <c r="AB436">
        <v>195</v>
      </c>
      <c r="AC436">
        <v>19.5</v>
      </c>
      <c r="AD436">
        <v>175.5</v>
      </c>
      <c r="AE436">
        <v>77.95</v>
      </c>
      <c r="AF436">
        <v>97.55</v>
      </c>
      <c r="AG436">
        <v>2024</v>
      </c>
      <c r="AH436">
        <v>12</v>
      </c>
      <c r="AI436" t="s">
        <v>2309</v>
      </c>
      <c r="AJ436" t="s">
        <v>2314</v>
      </c>
    </row>
    <row r="437" spans="1:36" x14ac:dyDescent="0.3">
      <c r="A437" t="s">
        <v>471</v>
      </c>
      <c r="B437" s="2">
        <v>45357</v>
      </c>
      <c r="C437" t="s">
        <v>1692</v>
      </c>
      <c r="D437" t="s">
        <v>1918</v>
      </c>
      <c r="E437" t="s">
        <v>1971</v>
      </c>
      <c r="F437" t="s">
        <v>2240</v>
      </c>
      <c r="G437" t="s">
        <v>2251</v>
      </c>
      <c r="H437" t="s">
        <v>2258</v>
      </c>
      <c r="I437" t="s">
        <v>2260</v>
      </c>
      <c r="J437" t="s">
        <v>2264</v>
      </c>
      <c r="K437">
        <v>1</v>
      </c>
      <c r="L437">
        <v>100</v>
      </c>
      <c r="M437">
        <v>0</v>
      </c>
      <c r="N437">
        <v>100</v>
      </c>
      <c r="O437">
        <v>100</v>
      </c>
      <c r="P437" t="s">
        <v>2269</v>
      </c>
      <c r="Q437" t="s">
        <v>2271</v>
      </c>
      <c r="R437" t="s">
        <v>2279</v>
      </c>
      <c r="S437" t="s">
        <v>2283</v>
      </c>
      <c r="T437" t="s">
        <v>2289</v>
      </c>
      <c r="U437">
        <v>3</v>
      </c>
      <c r="V437">
        <v>284</v>
      </c>
      <c r="W437">
        <v>17</v>
      </c>
      <c r="X437">
        <v>58.95</v>
      </c>
      <c r="Y437">
        <v>41.05</v>
      </c>
      <c r="Z437" t="s">
        <v>2292</v>
      </c>
      <c r="AA437" t="s">
        <v>2296</v>
      </c>
      <c r="AB437">
        <v>100</v>
      </c>
      <c r="AC437">
        <v>0</v>
      </c>
      <c r="AD437">
        <v>100</v>
      </c>
      <c r="AE437">
        <v>58.95</v>
      </c>
      <c r="AF437">
        <v>41.05</v>
      </c>
      <c r="AG437">
        <v>2024</v>
      </c>
      <c r="AH437">
        <v>3</v>
      </c>
      <c r="AI437" t="s">
        <v>2305</v>
      </c>
      <c r="AJ437" t="s">
        <v>2312</v>
      </c>
    </row>
    <row r="438" spans="1:36" x14ac:dyDescent="0.3">
      <c r="A438" t="s">
        <v>472</v>
      </c>
      <c r="B438" s="2">
        <v>45301</v>
      </c>
      <c r="C438" t="s">
        <v>1737</v>
      </c>
      <c r="D438" t="s">
        <v>1860</v>
      </c>
      <c r="E438" t="s">
        <v>1975</v>
      </c>
      <c r="F438" t="s">
        <v>2239</v>
      </c>
      <c r="G438" t="s">
        <v>2255</v>
      </c>
      <c r="H438" t="s">
        <v>2260</v>
      </c>
      <c r="I438" t="s">
        <v>2260</v>
      </c>
      <c r="J438" t="s">
        <v>2265</v>
      </c>
      <c r="K438">
        <v>1</v>
      </c>
      <c r="L438">
        <v>190</v>
      </c>
      <c r="M438">
        <v>0</v>
      </c>
      <c r="N438">
        <v>190</v>
      </c>
      <c r="O438">
        <v>190</v>
      </c>
      <c r="P438" t="s">
        <v>2268</v>
      </c>
      <c r="Q438" t="s">
        <v>2270</v>
      </c>
      <c r="R438" t="s">
        <v>2274</v>
      </c>
      <c r="S438" t="s">
        <v>2282</v>
      </c>
      <c r="T438" t="s">
        <v>2288</v>
      </c>
      <c r="U438">
        <v>5</v>
      </c>
      <c r="V438">
        <v>109</v>
      </c>
      <c r="W438">
        <v>34</v>
      </c>
      <c r="X438">
        <v>101.5</v>
      </c>
      <c r="Y438">
        <v>88.5</v>
      </c>
      <c r="Z438" t="s">
        <v>2292</v>
      </c>
      <c r="AA438" t="s">
        <v>2296</v>
      </c>
      <c r="AB438">
        <v>190</v>
      </c>
      <c r="AC438">
        <v>0</v>
      </c>
      <c r="AD438">
        <v>190</v>
      </c>
      <c r="AE438">
        <v>101.5</v>
      </c>
      <c r="AF438">
        <v>88.5</v>
      </c>
      <c r="AG438">
        <v>2024</v>
      </c>
      <c r="AH438">
        <v>1</v>
      </c>
      <c r="AI438" t="s">
        <v>2302</v>
      </c>
      <c r="AJ438" t="s">
        <v>2312</v>
      </c>
    </row>
    <row r="439" spans="1:36" x14ac:dyDescent="0.3">
      <c r="A439" t="s">
        <v>473</v>
      </c>
      <c r="B439" s="2">
        <v>45556</v>
      </c>
      <c r="C439" t="s">
        <v>1640</v>
      </c>
      <c r="D439" t="s">
        <v>1825</v>
      </c>
      <c r="E439" t="s">
        <v>1946</v>
      </c>
      <c r="F439" t="s">
        <v>2238</v>
      </c>
      <c r="G439" t="s">
        <v>2247</v>
      </c>
      <c r="H439" t="s">
        <v>2257</v>
      </c>
      <c r="I439" t="s">
        <v>2262</v>
      </c>
      <c r="J439" t="s">
        <v>2264</v>
      </c>
      <c r="K439">
        <v>1</v>
      </c>
      <c r="L439">
        <v>95</v>
      </c>
      <c r="M439">
        <v>0</v>
      </c>
      <c r="N439">
        <v>95</v>
      </c>
      <c r="O439">
        <v>95</v>
      </c>
      <c r="P439" t="s">
        <v>2267</v>
      </c>
      <c r="Q439" t="s">
        <v>2272</v>
      </c>
      <c r="R439" t="s">
        <v>2278</v>
      </c>
      <c r="S439" t="s">
        <v>2280</v>
      </c>
      <c r="T439" t="s">
        <v>2288</v>
      </c>
      <c r="U439">
        <v>1</v>
      </c>
      <c r="V439">
        <v>241</v>
      </c>
      <c r="X439">
        <v>53.88</v>
      </c>
      <c r="Y439">
        <v>41.12</v>
      </c>
      <c r="Z439" t="s">
        <v>2293</v>
      </c>
      <c r="AA439" t="s">
        <v>2297</v>
      </c>
      <c r="AB439">
        <v>95</v>
      </c>
      <c r="AC439">
        <v>0</v>
      </c>
      <c r="AD439">
        <v>95</v>
      </c>
      <c r="AE439">
        <v>53.88</v>
      </c>
      <c r="AF439">
        <v>41.12</v>
      </c>
      <c r="AG439">
        <v>2024</v>
      </c>
      <c r="AH439">
        <v>9</v>
      </c>
      <c r="AI439" t="s">
        <v>2300</v>
      </c>
      <c r="AJ439" t="s">
        <v>2317</v>
      </c>
    </row>
    <row r="440" spans="1:36" x14ac:dyDescent="0.3">
      <c r="A440" t="s">
        <v>474</v>
      </c>
      <c r="B440" s="2">
        <v>45614</v>
      </c>
      <c r="C440" t="s">
        <v>1636</v>
      </c>
      <c r="D440" t="s">
        <v>1839</v>
      </c>
      <c r="E440" t="s">
        <v>2131</v>
      </c>
      <c r="F440" t="s">
        <v>1761</v>
      </c>
      <c r="G440" t="s">
        <v>2242</v>
      </c>
      <c r="H440" t="s">
        <v>2258</v>
      </c>
      <c r="I440" t="s">
        <v>2260</v>
      </c>
      <c r="J440" t="s">
        <v>2264</v>
      </c>
      <c r="K440">
        <v>1</v>
      </c>
      <c r="L440">
        <v>120</v>
      </c>
      <c r="M440">
        <v>0.1</v>
      </c>
      <c r="N440">
        <v>120</v>
      </c>
      <c r="O440">
        <v>108</v>
      </c>
      <c r="P440" t="s">
        <v>2268</v>
      </c>
      <c r="Q440" t="s">
        <v>2270</v>
      </c>
      <c r="R440" t="s">
        <v>2273</v>
      </c>
      <c r="S440" t="s">
        <v>2281</v>
      </c>
      <c r="T440" t="s">
        <v>2288</v>
      </c>
      <c r="U440">
        <v>2</v>
      </c>
      <c r="V440">
        <v>297</v>
      </c>
      <c r="W440">
        <v>49</v>
      </c>
      <c r="X440">
        <v>62.09</v>
      </c>
      <c r="Y440">
        <v>45.91</v>
      </c>
      <c r="Z440" t="s">
        <v>1761</v>
      </c>
      <c r="AA440" t="s">
        <v>1761</v>
      </c>
      <c r="AB440">
        <v>120</v>
      </c>
      <c r="AC440">
        <v>12</v>
      </c>
      <c r="AD440">
        <v>108</v>
      </c>
      <c r="AE440">
        <v>62.09</v>
      </c>
      <c r="AF440">
        <v>45.91</v>
      </c>
      <c r="AG440">
        <v>2024</v>
      </c>
      <c r="AH440">
        <v>11</v>
      </c>
      <c r="AI440" t="s">
        <v>2311</v>
      </c>
      <c r="AJ440" t="s">
        <v>2314</v>
      </c>
    </row>
    <row r="441" spans="1:36" x14ac:dyDescent="0.3">
      <c r="A441" t="s">
        <v>475</v>
      </c>
      <c r="B441" s="2">
        <v>45617</v>
      </c>
      <c r="C441" t="s">
        <v>1736</v>
      </c>
      <c r="D441" t="s">
        <v>1769</v>
      </c>
      <c r="E441" t="s">
        <v>2108</v>
      </c>
      <c r="F441" t="s">
        <v>2240</v>
      </c>
      <c r="G441" t="s">
        <v>2242</v>
      </c>
      <c r="H441" t="s">
        <v>2258</v>
      </c>
      <c r="I441" t="s">
        <v>2260</v>
      </c>
      <c r="J441" t="s">
        <v>2265</v>
      </c>
      <c r="K441">
        <v>2</v>
      </c>
      <c r="L441">
        <v>130</v>
      </c>
      <c r="M441">
        <v>0.05</v>
      </c>
      <c r="N441">
        <v>260</v>
      </c>
      <c r="O441">
        <v>247</v>
      </c>
      <c r="P441" t="s">
        <v>2269</v>
      </c>
      <c r="Q441" t="s">
        <v>2270</v>
      </c>
      <c r="R441" t="s">
        <v>2274</v>
      </c>
      <c r="S441" t="s">
        <v>2286</v>
      </c>
      <c r="T441" t="s">
        <v>2288</v>
      </c>
      <c r="U441">
        <v>2</v>
      </c>
      <c r="V441">
        <v>441</v>
      </c>
      <c r="W441">
        <v>20</v>
      </c>
      <c r="X441">
        <v>56.83</v>
      </c>
      <c r="Y441">
        <v>133.34</v>
      </c>
      <c r="Z441" t="s">
        <v>2291</v>
      </c>
      <c r="AA441" t="s">
        <v>2296</v>
      </c>
      <c r="AB441">
        <v>260</v>
      </c>
      <c r="AC441">
        <v>13</v>
      </c>
      <c r="AD441">
        <v>247</v>
      </c>
      <c r="AE441">
        <v>113.66</v>
      </c>
      <c r="AF441">
        <v>133.34</v>
      </c>
      <c r="AG441">
        <v>2024</v>
      </c>
      <c r="AH441">
        <v>11</v>
      </c>
      <c r="AI441" t="s">
        <v>2311</v>
      </c>
      <c r="AJ441" t="s">
        <v>2316</v>
      </c>
    </row>
    <row r="442" spans="1:36" x14ac:dyDescent="0.3">
      <c r="A442" t="s">
        <v>476</v>
      </c>
      <c r="B442" s="2">
        <v>45603</v>
      </c>
      <c r="C442" t="s">
        <v>1732</v>
      </c>
      <c r="D442" t="s">
        <v>1821</v>
      </c>
      <c r="E442" t="s">
        <v>2163</v>
      </c>
      <c r="F442" t="s">
        <v>2240</v>
      </c>
      <c r="G442" t="s">
        <v>2249</v>
      </c>
      <c r="H442" t="s">
        <v>2257</v>
      </c>
      <c r="I442" t="s">
        <v>2263</v>
      </c>
      <c r="J442" t="s">
        <v>2265</v>
      </c>
      <c r="K442">
        <v>2</v>
      </c>
      <c r="L442">
        <v>165</v>
      </c>
      <c r="M442">
        <v>0</v>
      </c>
      <c r="N442">
        <v>330</v>
      </c>
      <c r="O442">
        <v>330</v>
      </c>
      <c r="P442" t="s">
        <v>2267</v>
      </c>
      <c r="R442" t="s">
        <v>2277</v>
      </c>
      <c r="S442" t="s">
        <v>2282</v>
      </c>
      <c r="T442" t="s">
        <v>2289</v>
      </c>
      <c r="U442">
        <v>2</v>
      </c>
      <c r="V442">
        <v>222</v>
      </c>
      <c r="W442">
        <v>17</v>
      </c>
      <c r="X442">
        <v>72.91</v>
      </c>
      <c r="Y442">
        <v>184.18</v>
      </c>
      <c r="Z442" t="s">
        <v>2292</v>
      </c>
      <c r="AA442" t="s">
        <v>2299</v>
      </c>
      <c r="AB442">
        <v>330</v>
      </c>
      <c r="AC442">
        <v>0</v>
      </c>
      <c r="AD442">
        <v>330</v>
      </c>
      <c r="AE442">
        <v>145.82</v>
      </c>
      <c r="AF442">
        <v>184.18</v>
      </c>
      <c r="AG442">
        <v>2024</v>
      </c>
      <c r="AH442">
        <v>11</v>
      </c>
      <c r="AI442" t="s">
        <v>2311</v>
      </c>
      <c r="AJ442" t="s">
        <v>2316</v>
      </c>
    </row>
    <row r="443" spans="1:36" x14ac:dyDescent="0.3">
      <c r="A443" t="s">
        <v>477</v>
      </c>
      <c r="B443" s="2">
        <v>45467</v>
      </c>
      <c r="C443" t="s">
        <v>1668</v>
      </c>
      <c r="D443" t="s">
        <v>1741</v>
      </c>
      <c r="E443" t="s">
        <v>1971</v>
      </c>
      <c r="F443" t="s">
        <v>2238</v>
      </c>
      <c r="G443" t="s">
        <v>2247</v>
      </c>
      <c r="H443" t="s">
        <v>2257</v>
      </c>
      <c r="I443" t="s">
        <v>2262</v>
      </c>
      <c r="J443" t="s">
        <v>2265</v>
      </c>
      <c r="L443">
        <v>95</v>
      </c>
      <c r="M443">
        <v>0.15</v>
      </c>
      <c r="N443">
        <v>475</v>
      </c>
      <c r="O443">
        <v>403.75</v>
      </c>
      <c r="P443" t="s">
        <v>2267</v>
      </c>
      <c r="Q443" t="s">
        <v>2272</v>
      </c>
      <c r="R443" t="s">
        <v>2275</v>
      </c>
      <c r="S443" t="s">
        <v>2281</v>
      </c>
      <c r="T443" t="s">
        <v>2288</v>
      </c>
      <c r="V443">
        <v>85</v>
      </c>
      <c r="W443">
        <v>47</v>
      </c>
      <c r="X443">
        <v>55.78</v>
      </c>
      <c r="Y443">
        <v>124.85</v>
      </c>
      <c r="Z443" t="s">
        <v>2294</v>
      </c>
      <c r="AA443" t="s">
        <v>2296</v>
      </c>
      <c r="AG443">
        <v>2024</v>
      </c>
      <c r="AH443">
        <v>6</v>
      </c>
      <c r="AI443" t="s">
        <v>2304</v>
      </c>
      <c r="AJ443" t="s">
        <v>2314</v>
      </c>
    </row>
    <row r="444" spans="1:36" x14ac:dyDescent="0.3">
      <c r="A444" t="s">
        <v>478</v>
      </c>
      <c r="B444" s="2">
        <v>45329</v>
      </c>
      <c r="C444" t="s">
        <v>1738</v>
      </c>
      <c r="D444" t="s">
        <v>1852</v>
      </c>
      <c r="E444" t="s">
        <v>2119</v>
      </c>
      <c r="F444" t="s">
        <v>2240</v>
      </c>
      <c r="G444" t="s">
        <v>2251</v>
      </c>
      <c r="H444" t="s">
        <v>2258</v>
      </c>
      <c r="I444" t="s">
        <v>2260</v>
      </c>
      <c r="J444" t="s">
        <v>2265</v>
      </c>
      <c r="K444">
        <v>1</v>
      </c>
      <c r="L444">
        <v>105</v>
      </c>
      <c r="M444">
        <v>0</v>
      </c>
      <c r="N444">
        <v>105</v>
      </c>
      <c r="O444">
        <v>105</v>
      </c>
      <c r="P444" t="s">
        <v>2269</v>
      </c>
      <c r="R444" t="s">
        <v>2274</v>
      </c>
      <c r="S444" t="s">
        <v>2284</v>
      </c>
      <c r="T444" t="s">
        <v>2288</v>
      </c>
      <c r="V444">
        <v>161</v>
      </c>
      <c r="W444">
        <v>11</v>
      </c>
      <c r="X444">
        <v>44.26</v>
      </c>
      <c r="Y444">
        <v>60.74</v>
      </c>
      <c r="Z444" t="s">
        <v>2293</v>
      </c>
      <c r="AA444" t="s">
        <v>2299</v>
      </c>
      <c r="AB444">
        <v>105</v>
      </c>
      <c r="AC444">
        <v>0</v>
      </c>
      <c r="AD444">
        <v>105</v>
      </c>
      <c r="AE444">
        <v>44.26</v>
      </c>
      <c r="AF444">
        <v>60.74</v>
      </c>
      <c r="AG444">
        <v>2024</v>
      </c>
      <c r="AH444">
        <v>2</v>
      </c>
      <c r="AI444" t="s">
        <v>2303</v>
      </c>
      <c r="AJ444" t="s">
        <v>2312</v>
      </c>
    </row>
    <row r="445" spans="1:36" x14ac:dyDescent="0.3">
      <c r="A445" t="s">
        <v>479</v>
      </c>
      <c r="B445" s="2">
        <v>45547</v>
      </c>
      <c r="C445" t="s">
        <v>1646</v>
      </c>
      <c r="D445" t="s">
        <v>1902</v>
      </c>
      <c r="E445" t="s">
        <v>1993</v>
      </c>
      <c r="F445" t="s">
        <v>2240</v>
      </c>
      <c r="G445" t="s">
        <v>2248</v>
      </c>
      <c r="H445" t="s">
        <v>2257</v>
      </c>
      <c r="I445" t="s">
        <v>2262</v>
      </c>
      <c r="K445">
        <v>1</v>
      </c>
      <c r="L445">
        <v>145</v>
      </c>
      <c r="M445">
        <v>0</v>
      </c>
      <c r="N445">
        <v>145</v>
      </c>
      <c r="O445">
        <v>145</v>
      </c>
      <c r="P445" t="s">
        <v>2268</v>
      </c>
      <c r="Q445" t="s">
        <v>2272</v>
      </c>
      <c r="R445" t="s">
        <v>2274</v>
      </c>
      <c r="S445" t="s">
        <v>2280</v>
      </c>
      <c r="T445" t="s">
        <v>2290</v>
      </c>
      <c r="U445">
        <v>2</v>
      </c>
      <c r="V445">
        <v>42</v>
      </c>
      <c r="W445">
        <v>39</v>
      </c>
      <c r="X445">
        <v>75.069999999999993</v>
      </c>
      <c r="Y445">
        <v>69.930000000000007</v>
      </c>
      <c r="Z445" t="s">
        <v>2293</v>
      </c>
      <c r="AA445" t="s">
        <v>2296</v>
      </c>
      <c r="AB445">
        <v>145</v>
      </c>
      <c r="AC445">
        <v>0</v>
      </c>
      <c r="AD445">
        <v>145</v>
      </c>
      <c r="AE445">
        <v>75.069999999999993</v>
      </c>
      <c r="AF445">
        <v>69.930000000000007</v>
      </c>
      <c r="AG445">
        <v>2024</v>
      </c>
      <c r="AH445">
        <v>9</v>
      </c>
      <c r="AI445" t="s">
        <v>2300</v>
      </c>
      <c r="AJ445" t="s">
        <v>2316</v>
      </c>
    </row>
    <row r="446" spans="1:36" x14ac:dyDescent="0.3">
      <c r="A446" t="s">
        <v>480</v>
      </c>
      <c r="B446" s="2">
        <v>45346</v>
      </c>
      <c r="C446" t="s">
        <v>1695</v>
      </c>
      <c r="D446" t="s">
        <v>1853</v>
      </c>
      <c r="E446" t="s">
        <v>2167</v>
      </c>
      <c r="F446" t="s">
        <v>2239</v>
      </c>
      <c r="G446" t="s">
        <v>2246</v>
      </c>
      <c r="H446" t="s">
        <v>2259</v>
      </c>
      <c r="I446" t="s">
        <v>2262</v>
      </c>
      <c r="J446" t="s">
        <v>2266</v>
      </c>
      <c r="K446">
        <v>1</v>
      </c>
      <c r="L446">
        <v>95</v>
      </c>
      <c r="M446">
        <v>0.1</v>
      </c>
      <c r="N446">
        <v>95</v>
      </c>
      <c r="O446">
        <v>85.5</v>
      </c>
      <c r="P446" t="s">
        <v>2268</v>
      </c>
      <c r="Q446" t="s">
        <v>2272</v>
      </c>
      <c r="R446" t="s">
        <v>2277</v>
      </c>
      <c r="S446" t="s">
        <v>2280</v>
      </c>
      <c r="T446" t="s">
        <v>2288</v>
      </c>
      <c r="U446">
        <v>3</v>
      </c>
      <c r="V446">
        <v>325</v>
      </c>
      <c r="W446">
        <v>40</v>
      </c>
      <c r="X446">
        <v>47.55</v>
      </c>
      <c r="Y446">
        <v>37.950000000000003</v>
      </c>
      <c r="Z446" t="s">
        <v>2292</v>
      </c>
      <c r="AA446" t="s">
        <v>2296</v>
      </c>
      <c r="AB446">
        <v>95</v>
      </c>
      <c r="AC446">
        <v>9.5</v>
      </c>
      <c r="AD446">
        <v>85.5</v>
      </c>
      <c r="AE446">
        <v>47.55</v>
      </c>
      <c r="AF446">
        <v>37.950000000000003</v>
      </c>
      <c r="AG446">
        <v>2024</v>
      </c>
      <c r="AH446">
        <v>2</v>
      </c>
      <c r="AI446" t="s">
        <v>2303</v>
      </c>
      <c r="AJ446" t="s">
        <v>2317</v>
      </c>
    </row>
    <row r="447" spans="1:36" x14ac:dyDescent="0.3">
      <c r="A447" t="s">
        <v>481</v>
      </c>
      <c r="C447" t="s">
        <v>1688</v>
      </c>
      <c r="D447" t="s">
        <v>1850</v>
      </c>
      <c r="E447" t="s">
        <v>1957</v>
      </c>
      <c r="F447" t="s">
        <v>2240</v>
      </c>
      <c r="G447" t="s">
        <v>2254</v>
      </c>
      <c r="H447" t="s">
        <v>2259</v>
      </c>
      <c r="I447" t="s">
        <v>2263</v>
      </c>
      <c r="J447" t="s">
        <v>2266</v>
      </c>
      <c r="K447">
        <v>2</v>
      </c>
      <c r="L447">
        <v>120</v>
      </c>
      <c r="M447">
        <v>0.15</v>
      </c>
      <c r="N447">
        <v>240</v>
      </c>
      <c r="O447">
        <v>204</v>
      </c>
      <c r="P447" t="s">
        <v>2269</v>
      </c>
      <c r="R447" t="s">
        <v>2273</v>
      </c>
      <c r="S447" t="s">
        <v>2287</v>
      </c>
      <c r="T447" t="s">
        <v>2290</v>
      </c>
      <c r="V447">
        <v>254</v>
      </c>
      <c r="W447">
        <v>29</v>
      </c>
      <c r="X447">
        <v>52.28</v>
      </c>
      <c r="Y447">
        <v>99.44</v>
      </c>
      <c r="Z447" t="s">
        <v>1761</v>
      </c>
      <c r="AA447" t="s">
        <v>2296</v>
      </c>
      <c r="AB447">
        <v>240</v>
      </c>
      <c r="AC447">
        <v>36</v>
      </c>
      <c r="AD447">
        <v>204</v>
      </c>
      <c r="AE447">
        <v>104.56</v>
      </c>
      <c r="AF447">
        <v>99.44</v>
      </c>
    </row>
    <row r="448" spans="1:36" x14ac:dyDescent="0.3">
      <c r="A448" t="s">
        <v>482</v>
      </c>
      <c r="B448" s="2">
        <v>45371</v>
      </c>
      <c r="C448" t="s">
        <v>1730</v>
      </c>
      <c r="D448" t="s">
        <v>1899</v>
      </c>
      <c r="E448" t="s">
        <v>2168</v>
      </c>
      <c r="F448" t="s">
        <v>2240</v>
      </c>
      <c r="G448" t="s">
        <v>2241</v>
      </c>
      <c r="H448" t="s">
        <v>2257</v>
      </c>
      <c r="I448" t="s">
        <v>2262</v>
      </c>
      <c r="K448">
        <v>1</v>
      </c>
      <c r="L448">
        <v>130</v>
      </c>
      <c r="M448">
        <v>0.1</v>
      </c>
      <c r="N448">
        <v>130</v>
      </c>
      <c r="O448">
        <v>117</v>
      </c>
      <c r="Q448" t="s">
        <v>2272</v>
      </c>
      <c r="R448" t="s">
        <v>2276</v>
      </c>
      <c r="S448" t="s">
        <v>2286</v>
      </c>
      <c r="T448" t="s">
        <v>2288</v>
      </c>
      <c r="U448">
        <v>5</v>
      </c>
      <c r="V448">
        <v>247</v>
      </c>
      <c r="X448">
        <v>66.44</v>
      </c>
      <c r="Y448">
        <v>50.56</v>
      </c>
      <c r="Z448" t="s">
        <v>1761</v>
      </c>
      <c r="AA448" t="s">
        <v>2298</v>
      </c>
      <c r="AB448">
        <v>130</v>
      </c>
      <c r="AC448">
        <v>13</v>
      </c>
      <c r="AD448">
        <v>117</v>
      </c>
      <c r="AE448">
        <v>66.44</v>
      </c>
      <c r="AF448">
        <v>50.56</v>
      </c>
      <c r="AG448">
        <v>2024</v>
      </c>
      <c r="AH448">
        <v>3</v>
      </c>
      <c r="AI448" t="s">
        <v>2305</v>
      </c>
      <c r="AJ448" t="s">
        <v>2312</v>
      </c>
    </row>
    <row r="449" spans="1:36" x14ac:dyDescent="0.3">
      <c r="A449" t="s">
        <v>483</v>
      </c>
      <c r="B449" s="2">
        <v>45347</v>
      </c>
      <c r="C449" t="s">
        <v>1654</v>
      </c>
      <c r="D449" t="s">
        <v>1812</v>
      </c>
      <c r="E449" t="s">
        <v>2138</v>
      </c>
      <c r="F449" t="s">
        <v>2239</v>
      </c>
      <c r="G449" t="s">
        <v>2249</v>
      </c>
      <c r="H449" t="s">
        <v>2257</v>
      </c>
      <c r="I449" t="s">
        <v>2263</v>
      </c>
      <c r="J449" t="s">
        <v>2264</v>
      </c>
      <c r="K449">
        <v>2</v>
      </c>
      <c r="L449">
        <v>160</v>
      </c>
      <c r="M449">
        <v>0</v>
      </c>
      <c r="O449">
        <v>320</v>
      </c>
      <c r="P449" t="s">
        <v>2267</v>
      </c>
      <c r="Q449" t="s">
        <v>2270</v>
      </c>
      <c r="R449" t="s">
        <v>2273</v>
      </c>
      <c r="S449" t="s">
        <v>2283</v>
      </c>
      <c r="T449" t="s">
        <v>2289</v>
      </c>
      <c r="U449">
        <v>5</v>
      </c>
      <c r="V449">
        <v>258</v>
      </c>
      <c r="W449">
        <v>12</v>
      </c>
      <c r="X449">
        <v>84.86</v>
      </c>
      <c r="Y449">
        <v>150.28</v>
      </c>
      <c r="Z449" t="s">
        <v>2294</v>
      </c>
      <c r="AA449" t="s">
        <v>2298</v>
      </c>
      <c r="AB449">
        <v>320</v>
      </c>
      <c r="AC449">
        <v>0</v>
      </c>
      <c r="AD449">
        <v>320</v>
      </c>
      <c r="AE449">
        <v>169.72</v>
      </c>
      <c r="AF449">
        <v>150.28</v>
      </c>
      <c r="AG449">
        <v>2024</v>
      </c>
      <c r="AH449">
        <v>2</v>
      </c>
      <c r="AI449" t="s">
        <v>2303</v>
      </c>
      <c r="AJ449" t="s">
        <v>2318</v>
      </c>
    </row>
    <row r="450" spans="1:36" x14ac:dyDescent="0.3">
      <c r="A450" t="s">
        <v>484</v>
      </c>
      <c r="B450" s="2">
        <v>45318</v>
      </c>
      <c r="C450" t="s">
        <v>1679</v>
      </c>
      <c r="D450" t="s">
        <v>1765</v>
      </c>
      <c r="E450" t="s">
        <v>2169</v>
      </c>
      <c r="F450" t="s">
        <v>2240</v>
      </c>
      <c r="G450" t="s">
        <v>2250</v>
      </c>
      <c r="H450" t="s">
        <v>2259</v>
      </c>
      <c r="I450" t="s">
        <v>2262</v>
      </c>
      <c r="J450" t="s">
        <v>2264</v>
      </c>
      <c r="K450">
        <v>1</v>
      </c>
      <c r="L450">
        <v>85</v>
      </c>
      <c r="M450">
        <v>0.05</v>
      </c>
      <c r="N450">
        <v>85</v>
      </c>
      <c r="O450">
        <v>80.75</v>
      </c>
      <c r="P450" t="s">
        <v>2267</v>
      </c>
      <c r="Q450" t="s">
        <v>2272</v>
      </c>
      <c r="R450" t="s">
        <v>2273</v>
      </c>
      <c r="S450" t="s">
        <v>2282</v>
      </c>
      <c r="T450" t="s">
        <v>2289</v>
      </c>
      <c r="U450">
        <v>2</v>
      </c>
      <c r="V450">
        <v>412</v>
      </c>
      <c r="W450">
        <v>13</v>
      </c>
      <c r="X450">
        <v>38.549999999999997</v>
      </c>
      <c r="Y450">
        <v>42.2</v>
      </c>
      <c r="Z450" t="s">
        <v>2293</v>
      </c>
      <c r="AA450" t="s">
        <v>2296</v>
      </c>
      <c r="AB450">
        <v>85</v>
      </c>
      <c r="AC450">
        <v>4.25</v>
      </c>
      <c r="AD450">
        <v>80.75</v>
      </c>
      <c r="AE450">
        <v>38.549999999999997</v>
      </c>
      <c r="AF450">
        <v>42.2</v>
      </c>
      <c r="AG450">
        <v>2024</v>
      </c>
      <c r="AH450">
        <v>1</v>
      </c>
      <c r="AI450" t="s">
        <v>2302</v>
      </c>
      <c r="AJ450" t="s">
        <v>2317</v>
      </c>
    </row>
    <row r="451" spans="1:36" x14ac:dyDescent="0.3">
      <c r="A451" t="s">
        <v>485</v>
      </c>
      <c r="B451" s="2">
        <v>45524</v>
      </c>
      <c r="C451" t="s">
        <v>1645</v>
      </c>
      <c r="D451" t="s">
        <v>1877</v>
      </c>
      <c r="E451" t="s">
        <v>2137</v>
      </c>
      <c r="F451" t="s">
        <v>2238</v>
      </c>
      <c r="G451" t="s">
        <v>2249</v>
      </c>
      <c r="H451" t="s">
        <v>2257</v>
      </c>
      <c r="I451" t="s">
        <v>2263</v>
      </c>
      <c r="J451" t="s">
        <v>2266</v>
      </c>
      <c r="K451">
        <v>5</v>
      </c>
      <c r="L451">
        <v>165</v>
      </c>
      <c r="M451">
        <v>0.1</v>
      </c>
      <c r="N451">
        <v>825</v>
      </c>
      <c r="O451">
        <v>742.5</v>
      </c>
      <c r="P451" t="s">
        <v>2267</v>
      </c>
      <c r="Q451" t="s">
        <v>2272</v>
      </c>
      <c r="R451" t="s">
        <v>2276</v>
      </c>
      <c r="S451" t="s">
        <v>2284</v>
      </c>
      <c r="T451" t="s">
        <v>2289</v>
      </c>
      <c r="U451">
        <v>5</v>
      </c>
      <c r="V451">
        <v>430</v>
      </c>
      <c r="X451">
        <v>79.959999999999994</v>
      </c>
      <c r="Y451">
        <v>342.7</v>
      </c>
      <c r="Z451" t="s">
        <v>2294</v>
      </c>
      <c r="AA451" t="s">
        <v>2296</v>
      </c>
      <c r="AB451">
        <v>825</v>
      </c>
      <c r="AC451">
        <v>82.5</v>
      </c>
      <c r="AD451">
        <v>742.5</v>
      </c>
      <c r="AE451">
        <v>399.8</v>
      </c>
      <c r="AF451">
        <v>342.7</v>
      </c>
      <c r="AG451">
        <v>2024</v>
      </c>
      <c r="AH451">
        <v>8</v>
      </c>
      <c r="AI451" t="s">
        <v>2301</v>
      </c>
      <c r="AJ451" t="s">
        <v>2313</v>
      </c>
    </row>
    <row r="452" spans="1:36" x14ac:dyDescent="0.3">
      <c r="A452" t="s">
        <v>486</v>
      </c>
      <c r="B452" s="2">
        <v>45360</v>
      </c>
      <c r="C452" t="s">
        <v>1728</v>
      </c>
      <c r="D452" t="s">
        <v>1919</v>
      </c>
      <c r="E452" t="s">
        <v>2170</v>
      </c>
      <c r="F452" t="s">
        <v>2240</v>
      </c>
      <c r="G452" t="s">
        <v>2249</v>
      </c>
      <c r="H452" t="s">
        <v>2257</v>
      </c>
      <c r="I452" t="s">
        <v>2263</v>
      </c>
      <c r="J452" t="s">
        <v>2266</v>
      </c>
      <c r="K452">
        <v>3</v>
      </c>
      <c r="L452">
        <v>160</v>
      </c>
      <c r="M452">
        <v>0.1</v>
      </c>
      <c r="N452">
        <v>480</v>
      </c>
      <c r="O452">
        <v>432</v>
      </c>
      <c r="P452" t="s">
        <v>2269</v>
      </c>
      <c r="Q452" t="s">
        <v>2272</v>
      </c>
      <c r="R452" t="s">
        <v>2274</v>
      </c>
      <c r="S452" t="s">
        <v>2284</v>
      </c>
      <c r="T452" t="s">
        <v>2289</v>
      </c>
      <c r="U452">
        <v>1</v>
      </c>
      <c r="V452">
        <v>168</v>
      </c>
      <c r="X452">
        <v>94.31</v>
      </c>
      <c r="Y452">
        <v>149.07</v>
      </c>
      <c r="Z452" t="s">
        <v>1761</v>
      </c>
      <c r="AA452" t="s">
        <v>2296</v>
      </c>
      <c r="AB452">
        <v>480</v>
      </c>
      <c r="AC452">
        <v>48</v>
      </c>
      <c r="AD452">
        <v>432</v>
      </c>
      <c r="AE452">
        <v>282.93</v>
      </c>
      <c r="AF452">
        <v>149.07</v>
      </c>
      <c r="AG452">
        <v>2024</v>
      </c>
      <c r="AH452">
        <v>3</v>
      </c>
      <c r="AI452" t="s">
        <v>2305</v>
      </c>
      <c r="AJ452" t="s">
        <v>2317</v>
      </c>
    </row>
    <row r="453" spans="1:36" x14ac:dyDescent="0.3">
      <c r="A453" t="s">
        <v>487</v>
      </c>
      <c r="B453" s="2">
        <v>45315</v>
      </c>
      <c r="C453" t="s">
        <v>1733</v>
      </c>
      <c r="D453" t="s">
        <v>1865</v>
      </c>
      <c r="E453" t="s">
        <v>2171</v>
      </c>
      <c r="F453" t="s">
        <v>1761</v>
      </c>
      <c r="G453" t="s">
        <v>2256</v>
      </c>
      <c r="H453" t="s">
        <v>2261</v>
      </c>
      <c r="I453" t="s">
        <v>2260</v>
      </c>
      <c r="K453">
        <v>1</v>
      </c>
      <c r="L453">
        <v>195</v>
      </c>
      <c r="M453">
        <v>0</v>
      </c>
      <c r="N453">
        <v>195</v>
      </c>
      <c r="O453">
        <v>195</v>
      </c>
      <c r="P453" t="s">
        <v>2267</v>
      </c>
      <c r="Q453" t="s">
        <v>2272</v>
      </c>
      <c r="R453" t="s">
        <v>2278</v>
      </c>
      <c r="S453" t="s">
        <v>2286</v>
      </c>
      <c r="T453" t="s">
        <v>2289</v>
      </c>
      <c r="U453">
        <v>4</v>
      </c>
      <c r="V453">
        <v>132</v>
      </c>
      <c r="W453">
        <v>28</v>
      </c>
      <c r="X453">
        <v>85.99</v>
      </c>
      <c r="Y453">
        <v>109.01</v>
      </c>
      <c r="Z453" t="s">
        <v>2293</v>
      </c>
      <c r="AA453" t="s">
        <v>2296</v>
      </c>
      <c r="AB453">
        <v>195</v>
      </c>
      <c r="AC453">
        <v>0</v>
      </c>
      <c r="AD453">
        <v>195</v>
      </c>
      <c r="AE453">
        <v>85.99</v>
      </c>
      <c r="AF453">
        <v>109.01</v>
      </c>
      <c r="AG453">
        <v>2024</v>
      </c>
      <c r="AH453">
        <v>1</v>
      </c>
      <c r="AI453" t="s">
        <v>2302</v>
      </c>
      <c r="AJ453" t="s">
        <v>2312</v>
      </c>
    </row>
    <row r="454" spans="1:36" x14ac:dyDescent="0.3">
      <c r="A454" t="s">
        <v>488</v>
      </c>
      <c r="C454" t="s">
        <v>1729</v>
      </c>
      <c r="D454" t="s">
        <v>1912</v>
      </c>
      <c r="E454" t="s">
        <v>2074</v>
      </c>
      <c r="F454" t="s">
        <v>1761</v>
      </c>
      <c r="G454" t="s">
        <v>2252</v>
      </c>
      <c r="H454" t="s">
        <v>2257</v>
      </c>
      <c r="I454" t="s">
        <v>2262</v>
      </c>
      <c r="J454" t="s">
        <v>2265</v>
      </c>
      <c r="K454">
        <v>1</v>
      </c>
      <c r="L454">
        <v>90</v>
      </c>
      <c r="N454">
        <v>90</v>
      </c>
      <c r="P454" t="s">
        <v>2267</v>
      </c>
      <c r="R454" t="s">
        <v>2276</v>
      </c>
      <c r="S454" t="s">
        <v>2282</v>
      </c>
      <c r="T454" t="s">
        <v>2288</v>
      </c>
      <c r="U454">
        <v>2</v>
      </c>
      <c r="V454">
        <v>233</v>
      </c>
      <c r="W454">
        <v>43</v>
      </c>
      <c r="X454">
        <v>44.06</v>
      </c>
      <c r="Z454" t="s">
        <v>2292</v>
      </c>
      <c r="AA454" t="s">
        <v>2296</v>
      </c>
      <c r="AB454">
        <v>90</v>
      </c>
      <c r="AC454">
        <v>0</v>
      </c>
      <c r="AD454">
        <v>90</v>
      </c>
      <c r="AE454">
        <v>44.06</v>
      </c>
      <c r="AF454">
        <v>45.94</v>
      </c>
    </row>
    <row r="455" spans="1:36" x14ac:dyDescent="0.3">
      <c r="A455" t="s">
        <v>489</v>
      </c>
      <c r="B455" s="2">
        <v>45560</v>
      </c>
      <c r="C455" t="s">
        <v>1728</v>
      </c>
      <c r="D455" t="s">
        <v>1851</v>
      </c>
      <c r="E455" t="s">
        <v>2172</v>
      </c>
      <c r="F455" t="s">
        <v>2238</v>
      </c>
      <c r="G455" t="s">
        <v>2247</v>
      </c>
      <c r="H455" t="s">
        <v>2257</v>
      </c>
      <c r="I455" t="s">
        <v>2262</v>
      </c>
      <c r="J455" t="s">
        <v>2266</v>
      </c>
      <c r="K455">
        <v>1</v>
      </c>
      <c r="L455">
        <v>100</v>
      </c>
      <c r="M455">
        <v>0</v>
      </c>
      <c r="N455">
        <v>100</v>
      </c>
      <c r="O455">
        <v>100</v>
      </c>
      <c r="P455" t="s">
        <v>2267</v>
      </c>
      <c r="Q455" t="s">
        <v>2272</v>
      </c>
      <c r="R455" t="s">
        <v>2276</v>
      </c>
      <c r="S455" t="s">
        <v>2287</v>
      </c>
      <c r="T455" t="s">
        <v>2290</v>
      </c>
      <c r="U455">
        <v>2</v>
      </c>
      <c r="V455">
        <v>497</v>
      </c>
      <c r="W455">
        <v>60</v>
      </c>
      <c r="X455">
        <v>38.090000000000003</v>
      </c>
      <c r="Y455">
        <v>61.91</v>
      </c>
      <c r="Z455" t="s">
        <v>2294</v>
      </c>
      <c r="AA455" t="s">
        <v>2298</v>
      </c>
      <c r="AB455">
        <v>100</v>
      </c>
      <c r="AC455">
        <v>0</v>
      </c>
      <c r="AD455">
        <v>100</v>
      </c>
      <c r="AE455">
        <v>38.090000000000003</v>
      </c>
      <c r="AF455">
        <v>61.91</v>
      </c>
      <c r="AG455">
        <v>2024</v>
      </c>
      <c r="AH455">
        <v>9</v>
      </c>
      <c r="AI455" t="s">
        <v>2300</v>
      </c>
      <c r="AJ455" t="s">
        <v>2312</v>
      </c>
    </row>
    <row r="456" spans="1:36" x14ac:dyDescent="0.3">
      <c r="A456" t="s">
        <v>490</v>
      </c>
      <c r="B456" s="2">
        <v>45359</v>
      </c>
      <c r="C456" t="s">
        <v>1673</v>
      </c>
      <c r="D456" t="s">
        <v>1795</v>
      </c>
      <c r="E456" t="s">
        <v>2092</v>
      </c>
      <c r="F456" t="s">
        <v>1761</v>
      </c>
      <c r="G456" t="s">
        <v>2250</v>
      </c>
      <c r="H456" t="s">
        <v>2259</v>
      </c>
      <c r="I456" t="s">
        <v>2262</v>
      </c>
      <c r="J456" t="s">
        <v>2266</v>
      </c>
      <c r="K456">
        <v>1</v>
      </c>
      <c r="L456">
        <v>85</v>
      </c>
      <c r="M456">
        <v>0.05</v>
      </c>
      <c r="N456">
        <v>85</v>
      </c>
      <c r="O456">
        <v>80.75</v>
      </c>
      <c r="P456" t="s">
        <v>2268</v>
      </c>
      <c r="Q456" t="s">
        <v>2272</v>
      </c>
      <c r="R456" t="s">
        <v>2273</v>
      </c>
      <c r="S456" t="s">
        <v>2282</v>
      </c>
      <c r="T456" t="s">
        <v>2288</v>
      </c>
      <c r="U456">
        <v>5</v>
      </c>
      <c r="V456">
        <v>147</v>
      </c>
      <c r="X456">
        <v>39.049999999999997</v>
      </c>
      <c r="Y456">
        <v>41.7</v>
      </c>
      <c r="Z456" t="s">
        <v>1761</v>
      </c>
      <c r="AA456" t="s">
        <v>2298</v>
      </c>
      <c r="AB456">
        <v>85</v>
      </c>
      <c r="AC456">
        <v>4.25</v>
      </c>
      <c r="AD456">
        <v>80.75</v>
      </c>
      <c r="AE456">
        <v>39.049999999999997</v>
      </c>
      <c r="AF456">
        <v>41.7</v>
      </c>
      <c r="AG456">
        <v>2024</v>
      </c>
      <c r="AH456">
        <v>3</v>
      </c>
      <c r="AI456" t="s">
        <v>2305</v>
      </c>
      <c r="AJ456" t="s">
        <v>2315</v>
      </c>
    </row>
    <row r="457" spans="1:36" x14ac:dyDescent="0.3">
      <c r="A457" t="s">
        <v>491</v>
      </c>
      <c r="B457" s="2">
        <v>45345</v>
      </c>
      <c r="C457" t="s">
        <v>1694</v>
      </c>
      <c r="D457" t="s">
        <v>1777</v>
      </c>
      <c r="E457" t="s">
        <v>2151</v>
      </c>
      <c r="F457" t="s">
        <v>2239</v>
      </c>
      <c r="G457" t="s">
        <v>2253</v>
      </c>
      <c r="H457" t="s">
        <v>2258</v>
      </c>
      <c r="I457" t="s">
        <v>2260</v>
      </c>
      <c r="J457" t="s">
        <v>2265</v>
      </c>
      <c r="K457">
        <v>1</v>
      </c>
      <c r="L457">
        <v>90</v>
      </c>
      <c r="M457">
        <v>0.05</v>
      </c>
      <c r="N457">
        <v>90</v>
      </c>
      <c r="O457">
        <v>85.5</v>
      </c>
      <c r="P457" t="s">
        <v>2267</v>
      </c>
      <c r="Q457" t="s">
        <v>2272</v>
      </c>
      <c r="R457" t="s">
        <v>2276</v>
      </c>
      <c r="S457" t="s">
        <v>2286</v>
      </c>
      <c r="T457" t="s">
        <v>2288</v>
      </c>
      <c r="U457">
        <v>5</v>
      </c>
      <c r="V457">
        <v>494</v>
      </c>
      <c r="W457">
        <v>44</v>
      </c>
      <c r="X457">
        <v>49.36</v>
      </c>
      <c r="Y457">
        <v>36.14</v>
      </c>
      <c r="Z457" t="s">
        <v>1761</v>
      </c>
      <c r="AA457" t="s">
        <v>1761</v>
      </c>
      <c r="AB457">
        <v>90</v>
      </c>
      <c r="AC457">
        <v>4.5</v>
      </c>
      <c r="AD457">
        <v>85.5</v>
      </c>
      <c r="AE457">
        <v>49.36</v>
      </c>
      <c r="AF457">
        <v>36.14</v>
      </c>
      <c r="AG457">
        <v>2024</v>
      </c>
      <c r="AH457">
        <v>2</v>
      </c>
      <c r="AI457" t="s">
        <v>2303</v>
      </c>
      <c r="AJ457" t="s">
        <v>2315</v>
      </c>
    </row>
    <row r="458" spans="1:36" x14ac:dyDescent="0.3">
      <c r="A458" t="s">
        <v>492</v>
      </c>
      <c r="B458" s="2">
        <v>45301</v>
      </c>
      <c r="C458" t="s">
        <v>1651</v>
      </c>
      <c r="D458" t="s">
        <v>1807</v>
      </c>
      <c r="E458" t="s">
        <v>1761</v>
      </c>
      <c r="F458" t="s">
        <v>1761</v>
      </c>
      <c r="G458" t="s">
        <v>2245</v>
      </c>
      <c r="H458" t="s">
        <v>2257</v>
      </c>
      <c r="I458" t="s">
        <v>2263</v>
      </c>
      <c r="J458" t="s">
        <v>2265</v>
      </c>
      <c r="K458">
        <v>1</v>
      </c>
      <c r="L458">
        <v>150</v>
      </c>
      <c r="M458">
        <v>0.1</v>
      </c>
      <c r="N458">
        <v>150</v>
      </c>
      <c r="O458">
        <v>135</v>
      </c>
      <c r="P458" t="s">
        <v>2267</v>
      </c>
      <c r="Q458" t="s">
        <v>2272</v>
      </c>
      <c r="R458" t="s">
        <v>2278</v>
      </c>
      <c r="S458" t="s">
        <v>2281</v>
      </c>
      <c r="T458" t="s">
        <v>2288</v>
      </c>
      <c r="U458">
        <v>5</v>
      </c>
      <c r="V458">
        <v>121</v>
      </c>
      <c r="W458">
        <v>10</v>
      </c>
      <c r="X458">
        <v>82.72</v>
      </c>
      <c r="Y458">
        <v>52.28</v>
      </c>
      <c r="Z458" t="s">
        <v>2293</v>
      </c>
      <c r="AA458" t="s">
        <v>2297</v>
      </c>
      <c r="AB458">
        <v>150</v>
      </c>
      <c r="AC458">
        <v>15</v>
      </c>
      <c r="AD458">
        <v>135</v>
      </c>
      <c r="AE458">
        <v>82.72</v>
      </c>
      <c r="AF458">
        <v>52.28</v>
      </c>
      <c r="AG458">
        <v>2024</v>
      </c>
      <c r="AH458">
        <v>1</v>
      </c>
      <c r="AI458" t="s">
        <v>2302</v>
      </c>
      <c r="AJ458" t="s">
        <v>2312</v>
      </c>
    </row>
    <row r="459" spans="1:36" x14ac:dyDescent="0.3">
      <c r="A459" t="s">
        <v>493</v>
      </c>
      <c r="B459" s="2">
        <v>45303</v>
      </c>
      <c r="C459" t="s">
        <v>1682</v>
      </c>
      <c r="D459" t="s">
        <v>1745</v>
      </c>
      <c r="E459" t="s">
        <v>2023</v>
      </c>
      <c r="F459" t="s">
        <v>2239</v>
      </c>
      <c r="G459" t="s">
        <v>2253</v>
      </c>
      <c r="H459" t="s">
        <v>2258</v>
      </c>
      <c r="I459" t="s">
        <v>2260</v>
      </c>
      <c r="J459" t="s">
        <v>2264</v>
      </c>
      <c r="K459">
        <v>2</v>
      </c>
      <c r="L459">
        <v>90</v>
      </c>
      <c r="M459">
        <v>0</v>
      </c>
      <c r="N459">
        <v>180</v>
      </c>
      <c r="O459">
        <v>180</v>
      </c>
      <c r="P459" t="s">
        <v>2269</v>
      </c>
      <c r="Q459" t="s">
        <v>2271</v>
      </c>
      <c r="R459" t="s">
        <v>2279</v>
      </c>
      <c r="S459" t="s">
        <v>2284</v>
      </c>
      <c r="T459" t="s">
        <v>2288</v>
      </c>
      <c r="U459">
        <v>1</v>
      </c>
      <c r="V459">
        <v>319</v>
      </c>
      <c r="W459">
        <v>17</v>
      </c>
      <c r="X459">
        <v>42.92</v>
      </c>
      <c r="Y459">
        <v>94.16</v>
      </c>
      <c r="Z459" t="s">
        <v>1761</v>
      </c>
      <c r="AA459" t="s">
        <v>2298</v>
      </c>
      <c r="AB459">
        <v>180</v>
      </c>
      <c r="AC459">
        <v>0</v>
      </c>
      <c r="AD459">
        <v>180</v>
      </c>
      <c r="AE459">
        <v>85.84</v>
      </c>
      <c r="AF459">
        <v>94.16</v>
      </c>
      <c r="AG459">
        <v>2024</v>
      </c>
      <c r="AH459">
        <v>1</v>
      </c>
      <c r="AI459" t="s">
        <v>2302</v>
      </c>
      <c r="AJ459" t="s">
        <v>2315</v>
      </c>
    </row>
    <row r="460" spans="1:36" x14ac:dyDescent="0.3">
      <c r="A460" t="s">
        <v>494</v>
      </c>
      <c r="B460" s="2">
        <v>45413</v>
      </c>
      <c r="C460" t="s">
        <v>1670</v>
      </c>
      <c r="D460" t="s">
        <v>1815</v>
      </c>
      <c r="E460" t="s">
        <v>2157</v>
      </c>
      <c r="F460" t="s">
        <v>2239</v>
      </c>
      <c r="G460" t="s">
        <v>2255</v>
      </c>
      <c r="H460" t="s">
        <v>2260</v>
      </c>
      <c r="I460" t="s">
        <v>2260</v>
      </c>
      <c r="J460" t="s">
        <v>2264</v>
      </c>
      <c r="K460">
        <v>1</v>
      </c>
      <c r="L460">
        <v>185</v>
      </c>
      <c r="M460">
        <v>0</v>
      </c>
      <c r="N460">
        <v>185</v>
      </c>
      <c r="O460">
        <v>185</v>
      </c>
      <c r="P460" t="s">
        <v>2267</v>
      </c>
      <c r="Q460" t="s">
        <v>2270</v>
      </c>
      <c r="R460" t="s">
        <v>2279</v>
      </c>
      <c r="S460" t="s">
        <v>2285</v>
      </c>
      <c r="T460" t="s">
        <v>2289</v>
      </c>
      <c r="U460">
        <v>5</v>
      </c>
      <c r="V460">
        <v>322</v>
      </c>
      <c r="W460">
        <v>20</v>
      </c>
      <c r="X460">
        <v>79.19</v>
      </c>
      <c r="Y460">
        <v>105.81</v>
      </c>
      <c r="Z460" t="s">
        <v>2291</v>
      </c>
      <c r="AA460" t="s">
        <v>2298</v>
      </c>
      <c r="AB460">
        <v>185</v>
      </c>
      <c r="AC460">
        <v>0</v>
      </c>
      <c r="AD460">
        <v>185</v>
      </c>
      <c r="AE460">
        <v>79.19</v>
      </c>
      <c r="AF460">
        <v>105.81</v>
      </c>
      <c r="AG460">
        <v>2024</v>
      </c>
      <c r="AH460">
        <v>5</v>
      </c>
      <c r="AI460" t="s">
        <v>2306</v>
      </c>
      <c r="AJ460" t="s">
        <v>2312</v>
      </c>
    </row>
    <row r="461" spans="1:36" x14ac:dyDescent="0.3">
      <c r="A461" t="s">
        <v>495</v>
      </c>
      <c r="B461" s="2">
        <v>45309</v>
      </c>
      <c r="C461" t="s">
        <v>1679</v>
      </c>
      <c r="D461" t="s">
        <v>1855</v>
      </c>
      <c r="E461" t="s">
        <v>2061</v>
      </c>
      <c r="F461" t="s">
        <v>2239</v>
      </c>
      <c r="G461" t="s">
        <v>2243</v>
      </c>
      <c r="H461" t="s">
        <v>2258</v>
      </c>
      <c r="I461" t="s">
        <v>2260</v>
      </c>
      <c r="J461" t="s">
        <v>2266</v>
      </c>
      <c r="K461">
        <v>2</v>
      </c>
      <c r="L461">
        <v>65</v>
      </c>
      <c r="M461">
        <v>0.05</v>
      </c>
      <c r="N461">
        <v>130</v>
      </c>
      <c r="O461">
        <v>123.5</v>
      </c>
      <c r="P461" t="s">
        <v>2269</v>
      </c>
      <c r="Q461" t="s">
        <v>2270</v>
      </c>
      <c r="R461" t="s">
        <v>2275</v>
      </c>
      <c r="S461" t="s">
        <v>2287</v>
      </c>
      <c r="T461" t="s">
        <v>2288</v>
      </c>
      <c r="U461">
        <v>4</v>
      </c>
      <c r="V461">
        <v>271</v>
      </c>
      <c r="W461">
        <v>10</v>
      </c>
      <c r="X461">
        <v>26.2</v>
      </c>
      <c r="Y461">
        <v>71.099999999999994</v>
      </c>
      <c r="Z461" t="s">
        <v>2293</v>
      </c>
      <c r="AA461" t="s">
        <v>2296</v>
      </c>
      <c r="AB461">
        <v>130</v>
      </c>
      <c r="AC461">
        <v>6.5</v>
      </c>
      <c r="AD461">
        <v>123.5</v>
      </c>
      <c r="AE461">
        <v>52.4</v>
      </c>
      <c r="AF461">
        <v>71.099999999999994</v>
      </c>
      <c r="AG461">
        <v>2024</v>
      </c>
      <c r="AH461">
        <v>1</v>
      </c>
      <c r="AI461" t="s">
        <v>2302</v>
      </c>
      <c r="AJ461" t="s">
        <v>2316</v>
      </c>
    </row>
    <row r="462" spans="1:36" x14ac:dyDescent="0.3">
      <c r="A462" t="s">
        <v>496</v>
      </c>
      <c r="B462" s="2">
        <v>45352</v>
      </c>
      <c r="C462" t="s">
        <v>1702</v>
      </c>
      <c r="D462" t="s">
        <v>1787</v>
      </c>
      <c r="E462" t="s">
        <v>1761</v>
      </c>
      <c r="F462" t="s">
        <v>2239</v>
      </c>
      <c r="G462" t="s">
        <v>2249</v>
      </c>
      <c r="H462" t="s">
        <v>2257</v>
      </c>
      <c r="I462" t="s">
        <v>2263</v>
      </c>
      <c r="J462" t="s">
        <v>2266</v>
      </c>
      <c r="K462">
        <v>1</v>
      </c>
      <c r="L462">
        <v>160</v>
      </c>
      <c r="N462">
        <v>160</v>
      </c>
      <c r="P462" t="s">
        <v>2267</v>
      </c>
      <c r="Q462" t="s">
        <v>2270</v>
      </c>
      <c r="R462" t="s">
        <v>2275</v>
      </c>
      <c r="S462" t="s">
        <v>2283</v>
      </c>
      <c r="T462" t="s">
        <v>2289</v>
      </c>
      <c r="U462">
        <v>5</v>
      </c>
      <c r="V462">
        <v>196</v>
      </c>
      <c r="X462">
        <v>89.62</v>
      </c>
      <c r="Z462" t="s">
        <v>2293</v>
      </c>
      <c r="AA462" t="s">
        <v>2298</v>
      </c>
      <c r="AB462">
        <v>160</v>
      </c>
      <c r="AC462">
        <v>0</v>
      </c>
      <c r="AD462">
        <v>160</v>
      </c>
      <c r="AE462">
        <v>89.62</v>
      </c>
      <c r="AF462">
        <v>70.38</v>
      </c>
      <c r="AG462">
        <v>2024</v>
      </c>
      <c r="AH462">
        <v>3</v>
      </c>
      <c r="AI462" t="s">
        <v>2305</v>
      </c>
      <c r="AJ462" t="s">
        <v>2315</v>
      </c>
    </row>
    <row r="463" spans="1:36" x14ac:dyDescent="0.3">
      <c r="A463" t="s">
        <v>497</v>
      </c>
      <c r="B463" s="2">
        <v>45397</v>
      </c>
      <c r="C463" t="s">
        <v>1648</v>
      </c>
      <c r="D463" t="s">
        <v>1872</v>
      </c>
      <c r="E463" t="s">
        <v>1975</v>
      </c>
      <c r="F463" t="s">
        <v>2238</v>
      </c>
      <c r="G463" t="s">
        <v>2248</v>
      </c>
      <c r="H463" t="s">
        <v>2257</v>
      </c>
      <c r="I463" t="s">
        <v>2262</v>
      </c>
      <c r="J463" t="s">
        <v>2266</v>
      </c>
      <c r="K463">
        <v>1</v>
      </c>
      <c r="L463">
        <v>155</v>
      </c>
      <c r="M463">
        <v>0</v>
      </c>
      <c r="N463">
        <v>155</v>
      </c>
      <c r="O463">
        <v>155</v>
      </c>
      <c r="Q463" t="s">
        <v>2271</v>
      </c>
      <c r="R463" t="s">
        <v>2279</v>
      </c>
      <c r="S463" t="s">
        <v>2287</v>
      </c>
      <c r="T463" t="s">
        <v>2288</v>
      </c>
      <c r="U463">
        <v>5</v>
      </c>
      <c r="V463">
        <v>286</v>
      </c>
      <c r="W463">
        <v>38</v>
      </c>
      <c r="X463">
        <v>51.3</v>
      </c>
      <c r="Y463">
        <v>103.7</v>
      </c>
      <c r="Z463" t="s">
        <v>2293</v>
      </c>
      <c r="AA463" t="s">
        <v>2296</v>
      </c>
      <c r="AB463">
        <v>155</v>
      </c>
      <c r="AC463">
        <v>0</v>
      </c>
      <c r="AD463">
        <v>155</v>
      </c>
      <c r="AE463">
        <v>51.3</v>
      </c>
      <c r="AF463">
        <v>103.7</v>
      </c>
      <c r="AG463">
        <v>2024</v>
      </c>
      <c r="AH463">
        <v>4</v>
      </c>
      <c r="AI463" t="s">
        <v>2308</v>
      </c>
      <c r="AJ463" t="s">
        <v>2314</v>
      </c>
    </row>
    <row r="464" spans="1:36" x14ac:dyDescent="0.3">
      <c r="A464" t="s">
        <v>498</v>
      </c>
      <c r="B464" s="2">
        <v>45621</v>
      </c>
      <c r="C464" t="s">
        <v>1709</v>
      </c>
      <c r="D464" t="s">
        <v>1857</v>
      </c>
      <c r="E464" t="s">
        <v>2173</v>
      </c>
      <c r="F464" t="s">
        <v>2240</v>
      </c>
      <c r="G464" t="s">
        <v>2252</v>
      </c>
      <c r="H464" t="s">
        <v>2257</v>
      </c>
      <c r="I464" t="s">
        <v>2262</v>
      </c>
      <c r="J464" t="s">
        <v>2266</v>
      </c>
      <c r="K464">
        <v>1</v>
      </c>
      <c r="L464">
        <v>90</v>
      </c>
      <c r="M464">
        <v>0</v>
      </c>
      <c r="N464">
        <v>90</v>
      </c>
      <c r="O464">
        <v>90</v>
      </c>
      <c r="P464" t="s">
        <v>2268</v>
      </c>
      <c r="Q464" t="s">
        <v>2270</v>
      </c>
      <c r="R464" t="s">
        <v>2279</v>
      </c>
      <c r="S464" t="s">
        <v>2287</v>
      </c>
      <c r="T464" t="s">
        <v>2288</v>
      </c>
      <c r="U464">
        <v>5</v>
      </c>
      <c r="V464">
        <v>2</v>
      </c>
      <c r="W464">
        <v>53</v>
      </c>
      <c r="X464">
        <v>50.33</v>
      </c>
      <c r="Y464">
        <v>39.67</v>
      </c>
      <c r="Z464" t="s">
        <v>2293</v>
      </c>
      <c r="AA464" t="s">
        <v>2296</v>
      </c>
      <c r="AB464">
        <v>90</v>
      </c>
      <c r="AC464">
        <v>0</v>
      </c>
      <c r="AD464">
        <v>90</v>
      </c>
      <c r="AE464">
        <v>50.33</v>
      </c>
      <c r="AF464">
        <v>39.67</v>
      </c>
      <c r="AG464">
        <v>2024</v>
      </c>
      <c r="AH464">
        <v>11</v>
      </c>
      <c r="AI464" t="s">
        <v>2311</v>
      </c>
      <c r="AJ464" t="s">
        <v>2314</v>
      </c>
    </row>
    <row r="465" spans="1:36" x14ac:dyDescent="0.3">
      <c r="A465" t="s">
        <v>499</v>
      </c>
      <c r="B465" s="2">
        <v>45626</v>
      </c>
      <c r="C465" t="s">
        <v>1658</v>
      </c>
      <c r="D465" t="s">
        <v>1844</v>
      </c>
      <c r="E465" t="s">
        <v>2016</v>
      </c>
      <c r="F465" t="s">
        <v>2239</v>
      </c>
      <c r="G465" t="s">
        <v>2252</v>
      </c>
      <c r="H465" t="s">
        <v>2257</v>
      </c>
      <c r="I465" t="s">
        <v>2262</v>
      </c>
      <c r="J465" t="s">
        <v>2265</v>
      </c>
      <c r="K465">
        <v>2</v>
      </c>
      <c r="L465">
        <v>100</v>
      </c>
      <c r="M465">
        <v>0.1</v>
      </c>
      <c r="N465">
        <v>200</v>
      </c>
      <c r="O465">
        <v>180</v>
      </c>
      <c r="Q465" t="s">
        <v>2272</v>
      </c>
      <c r="R465" t="s">
        <v>2273</v>
      </c>
      <c r="S465" t="s">
        <v>2284</v>
      </c>
      <c r="T465" t="s">
        <v>2288</v>
      </c>
      <c r="U465">
        <v>2</v>
      </c>
      <c r="V465">
        <v>126</v>
      </c>
      <c r="W465">
        <v>20</v>
      </c>
      <c r="X465">
        <v>46.84</v>
      </c>
      <c r="Y465">
        <v>86.32</v>
      </c>
      <c r="Z465" t="s">
        <v>2294</v>
      </c>
      <c r="AA465" t="s">
        <v>2298</v>
      </c>
      <c r="AB465">
        <v>200</v>
      </c>
      <c r="AC465">
        <v>20</v>
      </c>
      <c r="AD465">
        <v>180</v>
      </c>
      <c r="AE465">
        <v>93.68</v>
      </c>
      <c r="AF465">
        <v>86.32</v>
      </c>
      <c r="AG465">
        <v>2024</v>
      </c>
      <c r="AH465">
        <v>11</v>
      </c>
      <c r="AI465" t="s">
        <v>2311</v>
      </c>
      <c r="AJ465" t="s">
        <v>2317</v>
      </c>
    </row>
    <row r="466" spans="1:36" x14ac:dyDescent="0.3">
      <c r="A466" t="s">
        <v>500</v>
      </c>
      <c r="B466" s="2">
        <v>45642</v>
      </c>
      <c r="C466" t="s">
        <v>1694</v>
      </c>
      <c r="D466" t="s">
        <v>1867</v>
      </c>
      <c r="E466" t="s">
        <v>2174</v>
      </c>
      <c r="F466" t="s">
        <v>2240</v>
      </c>
      <c r="G466" t="s">
        <v>2256</v>
      </c>
      <c r="H466" t="s">
        <v>2261</v>
      </c>
      <c r="I466" t="s">
        <v>2260</v>
      </c>
      <c r="K466">
        <v>1</v>
      </c>
      <c r="L466">
        <v>200</v>
      </c>
      <c r="M466">
        <v>0.15</v>
      </c>
      <c r="N466">
        <v>200</v>
      </c>
      <c r="O466">
        <v>170</v>
      </c>
      <c r="P466" t="s">
        <v>2269</v>
      </c>
      <c r="Q466" t="s">
        <v>2271</v>
      </c>
      <c r="R466" t="s">
        <v>2274</v>
      </c>
      <c r="S466" t="s">
        <v>2280</v>
      </c>
      <c r="T466" t="s">
        <v>2290</v>
      </c>
      <c r="U466">
        <v>1</v>
      </c>
      <c r="V466">
        <v>480</v>
      </c>
      <c r="W466">
        <v>19</v>
      </c>
      <c r="X466">
        <v>91.36</v>
      </c>
      <c r="Y466">
        <v>78.64</v>
      </c>
      <c r="Z466" t="s">
        <v>1761</v>
      </c>
      <c r="AA466" t="s">
        <v>2297</v>
      </c>
      <c r="AB466">
        <v>200</v>
      </c>
      <c r="AC466">
        <v>30</v>
      </c>
      <c r="AD466">
        <v>170</v>
      </c>
      <c r="AE466">
        <v>91.36</v>
      </c>
      <c r="AF466">
        <v>78.64</v>
      </c>
      <c r="AG466">
        <v>2024</v>
      </c>
      <c r="AH466">
        <v>12</v>
      </c>
      <c r="AI466" t="s">
        <v>2309</v>
      </c>
      <c r="AJ466" t="s">
        <v>2314</v>
      </c>
    </row>
    <row r="467" spans="1:36" x14ac:dyDescent="0.3">
      <c r="A467" t="s">
        <v>501</v>
      </c>
      <c r="B467" s="2">
        <v>45552</v>
      </c>
      <c r="C467" t="s">
        <v>1708</v>
      </c>
      <c r="D467" t="s">
        <v>1788</v>
      </c>
      <c r="E467" t="s">
        <v>2025</v>
      </c>
      <c r="F467" t="s">
        <v>2240</v>
      </c>
      <c r="G467" t="s">
        <v>2242</v>
      </c>
      <c r="H467" t="s">
        <v>2258</v>
      </c>
      <c r="I467" t="s">
        <v>2260</v>
      </c>
      <c r="J467" t="s">
        <v>2266</v>
      </c>
      <c r="K467">
        <v>4</v>
      </c>
      <c r="L467">
        <v>120</v>
      </c>
      <c r="M467">
        <v>0.05</v>
      </c>
      <c r="N467">
        <v>480</v>
      </c>
      <c r="O467">
        <v>456</v>
      </c>
      <c r="P467" t="s">
        <v>2267</v>
      </c>
      <c r="Q467" t="s">
        <v>2270</v>
      </c>
      <c r="R467" t="s">
        <v>2274</v>
      </c>
      <c r="S467" t="s">
        <v>2283</v>
      </c>
      <c r="T467" t="s">
        <v>2288</v>
      </c>
      <c r="U467">
        <v>3</v>
      </c>
      <c r="V467">
        <v>455</v>
      </c>
      <c r="W467">
        <v>17</v>
      </c>
      <c r="X467">
        <v>43.88</v>
      </c>
      <c r="Y467">
        <v>280.48</v>
      </c>
      <c r="Z467" t="s">
        <v>2293</v>
      </c>
      <c r="AA467" t="s">
        <v>2298</v>
      </c>
      <c r="AB467">
        <v>480</v>
      </c>
      <c r="AC467">
        <v>24</v>
      </c>
      <c r="AD467">
        <v>456</v>
      </c>
      <c r="AE467">
        <v>175.52</v>
      </c>
      <c r="AF467">
        <v>280.48</v>
      </c>
      <c r="AG467">
        <v>2024</v>
      </c>
      <c r="AH467">
        <v>9</v>
      </c>
      <c r="AI467" t="s">
        <v>2300</v>
      </c>
      <c r="AJ467" t="s">
        <v>2313</v>
      </c>
    </row>
    <row r="468" spans="1:36" x14ac:dyDescent="0.3">
      <c r="A468" t="s">
        <v>502</v>
      </c>
      <c r="B468" s="2">
        <v>45477</v>
      </c>
      <c r="C468" t="s">
        <v>1636</v>
      </c>
      <c r="D468" t="s">
        <v>1816</v>
      </c>
      <c r="E468" t="s">
        <v>2100</v>
      </c>
      <c r="F468" t="s">
        <v>2239</v>
      </c>
      <c r="G468" t="s">
        <v>2248</v>
      </c>
      <c r="H468" t="s">
        <v>2257</v>
      </c>
      <c r="I468" t="s">
        <v>2262</v>
      </c>
      <c r="J468" t="s">
        <v>2266</v>
      </c>
      <c r="K468">
        <v>1</v>
      </c>
      <c r="L468">
        <v>145</v>
      </c>
      <c r="M468">
        <v>0.1</v>
      </c>
      <c r="N468">
        <v>145</v>
      </c>
      <c r="O468">
        <v>130.5</v>
      </c>
      <c r="P468" t="s">
        <v>2269</v>
      </c>
      <c r="R468" t="s">
        <v>2274</v>
      </c>
      <c r="S468" t="s">
        <v>2283</v>
      </c>
      <c r="T468" t="s">
        <v>2288</v>
      </c>
      <c r="U468">
        <v>5</v>
      </c>
      <c r="X468">
        <v>81.69</v>
      </c>
      <c r="Y468">
        <v>48.81</v>
      </c>
      <c r="Z468" t="s">
        <v>2291</v>
      </c>
      <c r="AA468" t="s">
        <v>2297</v>
      </c>
      <c r="AB468">
        <v>145</v>
      </c>
      <c r="AC468">
        <v>14.5</v>
      </c>
      <c r="AD468">
        <v>130.5</v>
      </c>
      <c r="AE468">
        <v>81.69</v>
      </c>
      <c r="AF468">
        <v>48.81</v>
      </c>
      <c r="AG468">
        <v>2024</v>
      </c>
      <c r="AH468">
        <v>7</v>
      </c>
      <c r="AI468" t="s">
        <v>2307</v>
      </c>
      <c r="AJ468" t="s">
        <v>2316</v>
      </c>
    </row>
    <row r="469" spans="1:36" x14ac:dyDescent="0.3">
      <c r="A469" t="s">
        <v>503</v>
      </c>
      <c r="B469" s="2">
        <v>45390</v>
      </c>
      <c r="C469" t="s">
        <v>1734</v>
      </c>
      <c r="D469" t="s">
        <v>1832</v>
      </c>
      <c r="E469" t="s">
        <v>2060</v>
      </c>
      <c r="F469" t="s">
        <v>2240</v>
      </c>
      <c r="G469" t="s">
        <v>2249</v>
      </c>
      <c r="H469" t="s">
        <v>2257</v>
      </c>
      <c r="I469" t="s">
        <v>2263</v>
      </c>
      <c r="J469" t="s">
        <v>2265</v>
      </c>
      <c r="K469">
        <v>1</v>
      </c>
      <c r="L469">
        <v>155</v>
      </c>
      <c r="P469" t="s">
        <v>2267</v>
      </c>
      <c r="R469" t="s">
        <v>2278</v>
      </c>
      <c r="S469" t="s">
        <v>2280</v>
      </c>
      <c r="T469" t="s">
        <v>2288</v>
      </c>
      <c r="U469">
        <v>5</v>
      </c>
      <c r="W469">
        <v>57</v>
      </c>
      <c r="X469">
        <v>88.11</v>
      </c>
      <c r="Z469" t="s">
        <v>2293</v>
      </c>
      <c r="AA469" t="s">
        <v>2297</v>
      </c>
      <c r="AB469">
        <v>155</v>
      </c>
      <c r="AC469">
        <v>0</v>
      </c>
      <c r="AD469">
        <v>155</v>
      </c>
      <c r="AE469">
        <v>88.11</v>
      </c>
      <c r="AF469">
        <v>66.89</v>
      </c>
      <c r="AG469">
        <v>2024</v>
      </c>
      <c r="AH469">
        <v>4</v>
      </c>
      <c r="AI469" t="s">
        <v>2308</v>
      </c>
      <c r="AJ469" t="s">
        <v>2314</v>
      </c>
    </row>
    <row r="470" spans="1:36" x14ac:dyDescent="0.3">
      <c r="A470" t="s">
        <v>504</v>
      </c>
      <c r="B470" s="2">
        <v>45327</v>
      </c>
      <c r="C470" t="s">
        <v>1711</v>
      </c>
      <c r="D470" t="s">
        <v>1902</v>
      </c>
      <c r="E470" t="s">
        <v>2175</v>
      </c>
      <c r="F470" t="s">
        <v>2240</v>
      </c>
      <c r="G470" t="s">
        <v>2243</v>
      </c>
      <c r="H470" t="s">
        <v>2258</v>
      </c>
      <c r="I470" t="s">
        <v>2260</v>
      </c>
      <c r="J470" t="s">
        <v>2265</v>
      </c>
      <c r="K470">
        <v>1</v>
      </c>
      <c r="L470">
        <v>65</v>
      </c>
      <c r="N470">
        <v>65</v>
      </c>
      <c r="Q470" t="s">
        <v>2272</v>
      </c>
      <c r="R470" t="s">
        <v>2273</v>
      </c>
      <c r="S470" t="s">
        <v>2282</v>
      </c>
      <c r="T470" t="s">
        <v>2288</v>
      </c>
      <c r="U470">
        <v>2</v>
      </c>
      <c r="V470">
        <v>280</v>
      </c>
      <c r="W470">
        <v>48</v>
      </c>
      <c r="X470">
        <v>27.95</v>
      </c>
      <c r="Z470" t="s">
        <v>1761</v>
      </c>
      <c r="AA470" t="s">
        <v>2296</v>
      </c>
      <c r="AB470">
        <v>65</v>
      </c>
      <c r="AC470">
        <v>0</v>
      </c>
      <c r="AD470">
        <v>65</v>
      </c>
      <c r="AE470">
        <v>27.95</v>
      </c>
      <c r="AF470">
        <v>37.049999999999997</v>
      </c>
      <c r="AG470">
        <v>2024</v>
      </c>
      <c r="AH470">
        <v>2</v>
      </c>
      <c r="AI470" t="s">
        <v>2303</v>
      </c>
      <c r="AJ470" t="s">
        <v>2314</v>
      </c>
    </row>
    <row r="471" spans="1:36" x14ac:dyDescent="0.3">
      <c r="A471" t="s">
        <v>505</v>
      </c>
      <c r="B471" s="2">
        <v>45469</v>
      </c>
      <c r="C471" t="s">
        <v>1673</v>
      </c>
      <c r="D471" t="s">
        <v>1762</v>
      </c>
      <c r="E471" t="s">
        <v>2176</v>
      </c>
      <c r="F471" t="s">
        <v>2239</v>
      </c>
      <c r="G471" t="s">
        <v>2247</v>
      </c>
      <c r="H471" t="s">
        <v>2257</v>
      </c>
      <c r="I471" t="s">
        <v>2262</v>
      </c>
      <c r="J471" t="s">
        <v>2265</v>
      </c>
      <c r="K471">
        <v>1</v>
      </c>
      <c r="L471">
        <v>95</v>
      </c>
      <c r="M471">
        <v>0.05</v>
      </c>
      <c r="N471">
        <v>95</v>
      </c>
      <c r="O471">
        <v>90.25</v>
      </c>
      <c r="P471" t="s">
        <v>2269</v>
      </c>
      <c r="Q471" t="s">
        <v>2270</v>
      </c>
      <c r="R471" t="s">
        <v>2274</v>
      </c>
      <c r="S471" t="s">
        <v>2285</v>
      </c>
      <c r="T471" t="s">
        <v>2288</v>
      </c>
      <c r="V471">
        <v>200</v>
      </c>
      <c r="W471">
        <v>49</v>
      </c>
      <c r="X471">
        <v>55.77</v>
      </c>
      <c r="Y471">
        <v>34.479999999999997</v>
      </c>
      <c r="Z471" t="s">
        <v>1761</v>
      </c>
      <c r="AA471" t="s">
        <v>1761</v>
      </c>
      <c r="AB471">
        <v>95</v>
      </c>
      <c r="AC471">
        <v>4.75</v>
      </c>
      <c r="AD471">
        <v>90.25</v>
      </c>
      <c r="AE471">
        <v>55.77</v>
      </c>
      <c r="AF471">
        <v>34.479999999999997</v>
      </c>
      <c r="AG471">
        <v>2024</v>
      </c>
      <c r="AH471">
        <v>6</v>
      </c>
      <c r="AI471" t="s">
        <v>2304</v>
      </c>
      <c r="AJ471" t="s">
        <v>2312</v>
      </c>
    </row>
    <row r="472" spans="1:36" x14ac:dyDescent="0.3">
      <c r="A472" t="s">
        <v>506</v>
      </c>
      <c r="B472" s="2">
        <v>45628</v>
      </c>
      <c r="C472" t="s">
        <v>1683</v>
      </c>
      <c r="D472" t="s">
        <v>1812</v>
      </c>
      <c r="E472" t="s">
        <v>2141</v>
      </c>
      <c r="F472" t="s">
        <v>2240</v>
      </c>
      <c r="G472" t="s">
        <v>2243</v>
      </c>
      <c r="H472" t="s">
        <v>2258</v>
      </c>
      <c r="I472" t="s">
        <v>2260</v>
      </c>
      <c r="J472" t="s">
        <v>2264</v>
      </c>
      <c r="K472">
        <v>2</v>
      </c>
      <c r="L472">
        <v>70</v>
      </c>
      <c r="M472">
        <v>0</v>
      </c>
      <c r="N472">
        <v>140</v>
      </c>
      <c r="O472">
        <v>140</v>
      </c>
      <c r="P472" t="s">
        <v>2269</v>
      </c>
      <c r="Q472" t="s">
        <v>2272</v>
      </c>
      <c r="R472" t="s">
        <v>2275</v>
      </c>
      <c r="S472" t="s">
        <v>2284</v>
      </c>
      <c r="T472" t="s">
        <v>2288</v>
      </c>
      <c r="U472">
        <v>1</v>
      </c>
      <c r="V472">
        <v>404</v>
      </c>
      <c r="W472">
        <v>41</v>
      </c>
      <c r="X472">
        <v>37.94</v>
      </c>
      <c r="Y472">
        <v>64.12</v>
      </c>
      <c r="Z472" t="s">
        <v>2293</v>
      </c>
      <c r="AA472" t="s">
        <v>2299</v>
      </c>
      <c r="AB472">
        <v>140</v>
      </c>
      <c r="AC472">
        <v>0</v>
      </c>
      <c r="AD472">
        <v>140</v>
      </c>
      <c r="AE472">
        <v>75.88</v>
      </c>
      <c r="AF472">
        <v>64.12</v>
      </c>
      <c r="AG472">
        <v>2024</v>
      </c>
      <c r="AH472">
        <v>12</v>
      </c>
      <c r="AI472" t="s">
        <v>2309</v>
      </c>
      <c r="AJ472" t="s">
        <v>2314</v>
      </c>
    </row>
    <row r="473" spans="1:36" x14ac:dyDescent="0.3">
      <c r="A473" t="s">
        <v>507</v>
      </c>
      <c r="B473" s="2">
        <v>45358</v>
      </c>
      <c r="C473" t="s">
        <v>1648</v>
      </c>
      <c r="D473" t="s">
        <v>1920</v>
      </c>
      <c r="E473" t="s">
        <v>1947</v>
      </c>
      <c r="F473" t="s">
        <v>2240</v>
      </c>
      <c r="G473" t="s">
        <v>2245</v>
      </c>
      <c r="H473" t="s">
        <v>2257</v>
      </c>
      <c r="I473" t="s">
        <v>2263</v>
      </c>
      <c r="J473" t="s">
        <v>2265</v>
      </c>
      <c r="K473">
        <v>2</v>
      </c>
      <c r="L473">
        <v>160</v>
      </c>
      <c r="M473">
        <v>0.05</v>
      </c>
      <c r="N473">
        <v>320</v>
      </c>
      <c r="O473">
        <v>304</v>
      </c>
      <c r="P473" t="s">
        <v>2269</v>
      </c>
      <c r="R473" t="s">
        <v>2278</v>
      </c>
      <c r="S473" t="s">
        <v>2284</v>
      </c>
      <c r="T473" t="s">
        <v>2288</v>
      </c>
      <c r="U473">
        <v>4</v>
      </c>
      <c r="V473">
        <v>239</v>
      </c>
      <c r="W473">
        <v>57</v>
      </c>
      <c r="X473">
        <v>66.31</v>
      </c>
      <c r="Y473">
        <v>171.38</v>
      </c>
      <c r="AA473" t="s">
        <v>2298</v>
      </c>
      <c r="AB473">
        <v>320</v>
      </c>
      <c r="AC473">
        <v>16</v>
      </c>
      <c r="AD473">
        <v>304</v>
      </c>
      <c r="AE473">
        <v>132.62</v>
      </c>
      <c r="AF473">
        <v>171.38</v>
      </c>
      <c r="AG473">
        <v>2024</v>
      </c>
      <c r="AH473">
        <v>3</v>
      </c>
      <c r="AI473" t="s">
        <v>2305</v>
      </c>
      <c r="AJ473" t="s">
        <v>2316</v>
      </c>
    </row>
    <row r="474" spans="1:36" x14ac:dyDescent="0.3">
      <c r="A474" t="s">
        <v>508</v>
      </c>
      <c r="B474" s="2">
        <v>45626</v>
      </c>
      <c r="C474" t="s">
        <v>1681</v>
      </c>
      <c r="D474" t="s">
        <v>1876</v>
      </c>
      <c r="E474" t="s">
        <v>2076</v>
      </c>
      <c r="F474" t="s">
        <v>2238</v>
      </c>
      <c r="G474" t="s">
        <v>2241</v>
      </c>
      <c r="H474" t="s">
        <v>2257</v>
      </c>
      <c r="I474" t="s">
        <v>2262</v>
      </c>
      <c r="J474" t="s">
        <v>2265</v>
      </c>
      <c r="K474">
        <v>2</v>
      </c>
      <c r="L474">
        <v>140</v>
      </c>
      <c r="M474">
        <v>0.05</v>
      </c>
      <c r="N474">
        <v>280</v>
      </c>
      <c r="O474">
        <v>266</v>
      </c>
      <c r="P474" t="s">
        <v>2268</v>
      </c>
      <c r="R474" t="s">
        <v>2275</v>
      </c>
      <c r="S474" t="s">
        <v>2284</v>
      </c>
      <c r="T474" t="s">
        <v>2288</v>
      </c>
      <c r="V474">
        <v>226</v>
      </c>
      <c r="X474">
        <v>63.59</v>
      </c>
      <c r="Y474">
        <v>138.82</v>
      </c>
      <c r="Z474" t="s">
        <v>2291</v>
      </c>
      <c r="AA474" t="s">
        <v>2296</v>
      </c>
      <c r="AB474">
        <v>280</v>
      </c>
      <c r="AC474">
        <v>14</v>
      </c>
      <c r="AD474">
        <v>266</v>
      </c>
      <c r="AE474">
        <v>127.18</v>
      </c>
      <c r="AF474">
        <v>138.82</v>
      </c>
      <c r="AG474">
        <v>2024</v>
      </c>
      <c r="AH474">
        <v>11</v>
      </c>
      <c r="AI474" t="s">
        <v>2311</v>
      </c>
      <c r="AJ474" t="s">
        <v>2317</v>
      </c>
    </row>
    <row r="475" spans="1:36" x14ac:dyDescent="0.3">
      <c r="A475" t="s">
        <v>509</v>
      </c>
      <c r="B475" s="2">
        <v>45567</v>
      </c>
      <c r="C475" t="s">
        <v>1681</v>
      </c>
      <c r="D475" t="s">
        <v>1768</v>
      </c>
      <c r="E475" t="s">
        <v>2170</v>
      </c>
      <c r="F475" t="s">
        <v>2240</v>
      </c>
      <c r="G475" t="s">
        <v>2252</v>
      </c>
      <c r="H475" t="s">
        <v>2257</v>
      </c>
      <c r="I475" t="s">
        <v>2262</v>
      </c>
      <c r="J475" t="s">
        <v>2265</v>
      </c>
      <c r="K475">
        <v>2</v>
      </c>
      <c r="L475">
        <v>90</v>
      </c>
      <c r="M475">
        <v>0</v>
      </c>
      <c r="N475">
        <v>180</v>
      </c>
      <c r="O475">
        <v>180</v>
      </c>
      <c r="Q475" t="s">
        <v>2272</v>
      </c>
      <c r="R475" t="s">
        <v>2279</v>
      </c>
      <c r="S475" t="s">
        <v>2282</v>
      </c>
      <c r="T475" t="s">
        <v>2289</v>
      </c>
      <c r="U475">
        <v>1</v>
      </c>
      <c r="W475">
        <v>28</v>
      </c>
      <c r="X475">
        <v>44.51</v>
      </c>
      <c r="Y475">
        <v>90.98</v>
      </c>
      <c r="Z475" t="s">
        <v>1761</v>
      </c>
      <c r="AA475" t="s">
        <v>2297</v>
      </c>
      <c r="AB475">
        <v>180</v>
      </c>
      <c r="AC475">
        <v>0</v>
      </c>
      <c r="AD475">
        <v>180</v>
      </c>
      <c r="AE475">
        <v>89.02</v>
      </c>
      <c r="AF475">
        <v>90.98</v>
      </c>
      <c r="AG475">
        <v>2024</v>
      </c>
      <c r="AH475">
        <v>10</v>
      </c>
      <c r="AI475" t="s">
        <v>2310</v>
      </c>
      <c r="AJ475" t="s">
        <v>2312</v>
      </c>
    </row>
    <row r="476" spans="1:36" x14ac:dyDescent="0.3">
      <c r="A476" t="s">
        <v>510</v>
      </c>
      <c r="B476" s="2">
        <v>45454</v>
      </c>
      <c r="C476" t="s">
        <v>1727</v>
      </c>
      <c r="D476" t="s">
        <v>1921</v>
      </c>
      <c r="E476" t="s">
        <v>2162</v>
      </c>
      <c r="F476" t="s">
        <v>2239</v>
      </c>
      <c r="G476" t="s">
        <v>2246</v>
      </c>
      <c r="H476" t="s">
        <v>2259</v>
      </c>
      <c r="I476" t="s">
        <v>2262</v>
      </c>
      <c r="J476" t="s">
        <v>2264</v>
      </c>
      <c r="K476">
        <v>1</v>
      </c>
      <c r="L476">
        <v>95</v>
      </c>
      <c r="M476">
        <v>0</v>
      </c>
      <c r="N476">
        <v>95</v>
      </c>
      <c r="O476">
        <v>95</v>
      </c>
      <c r="P476" t="s">
        <v>2269</v>
      </c>
      <c r="Q476" t="s">
        <v>2270</v>
      </c>
      <c r="R476" t="s">
        <v>2273</v>
      </c>
      <c r="S476" t="s">
        <v>2285</v>
      </c>
      <c r="T476" t="s">
        <v>2290</v>
      </c>
      <c r="U476">
        <v>5</v>
      </c>
      <c r="V476">
        <v>486</v>
      </c>
      <c r="W476">
        <v>43</v>
      </c>
      <c r="X476">
        <v>47.33</v>
      </c>
      <c r="Y476">
        <v>47.67</v>
      </c>
      <c r="Z476" t="s">
        <v>2293</v>
      </c>
      <c r="AA476" t="s">
        <v>2296</v>
      </c>
      <c r="AB476">
        <v>95</v>
      </c>
      <c r="AC476">
        <v>0</v>
      </c>
      <c r="AD476">
        <v>95</v>
      </c>
      <c r="AE476">
        <v>47.33</v>
      </c>
      <c r="AF476">
        <v>47.67</v>
      </c>
      <c r="AG476">
        <v>2024</v>
      </c>
      <c r="AH476">
        <v>6</v>
      </c>
      <c r="AI476" t="s">
        <v>2304</v>
      </c>
      <c r="AJ476" t="s">
        <v>2313</v>
      </c>
    </row>
    <row r="477" spans="1:36" x14ac:dyDescent="0.3">
      <c r="A477" t="s">
        <v>511</v>
      </c>
      <c r="B477" s="2">
        <v>45304</v>
      </c>
      <c r="C477" t="s">
        <v>1683</v>
      </c>
      <c r="D477" t="s">
        <v>1844</v>
      </c>
      <c r="E477" t="s">
        <v>1977</v>
      </c>
      <c r="F477" t="s">
        <v>2239</v>
      </c>
      <c r="G477" t="s">
        <v>2243</v>
      </c>
      <c r="H477" t="s">
        <v>2258</v>
      </c>
      <c r="I477" t="s">
        <v>2260</v>
      </c>
      <c r="K477">
        <v>1</v>
      </c>
      <c r="L477">
        <v>70</v>
      </c>
      <c r="N477">
        <v>70</v>
      </c>
      <c r="P477" t="s">
        <v>2268</v>
      </c>
      <c r="Q477" t="s">
        <v>2270</v>
      </c>
      <c r="R477" t="s">
        <v>2278</v>
      </c>
      <c r="S477" t="s">
        <v>2286</v>
      </c>
      <c r="T477" t="s">
        <v>2288</v>
      </c>
      <c r="V477">
        <v>350</v>
      </c>
      <c r="X477">
        <v>31.85</v>
      </c>
      <c r="Z477" t="s">
        <v>2292</v>
      </c>
      <c r="AA477" t="s">
        <v>2298</v>
      </c>
      <c r="AB477">
        <v>70</v>
      </c>
      <c r="AC477">
        <v>0</v>
      </c>
      <c r="AD477">
        <v>70</v>
      </c>
      <c r="AE477">
        <v>31.85</v>
      </c>
      <c r="AF477">
        <v>38.15</v>
      </c>
      <c r="AG477">
        <v>2024</v>
      </c>
      <c r="AH477">
        <v>1</v>
      </c>
      <c r="AI477" t="s">
        <v>2302</v>
      </c>
      <c r="AJ477" t="s">
        <v>2317</v>
      </c>
    </row>
    <row r="478" spans="1:36" x14ac:dyDescent="0.3">
      <c r="A478" t="s">
        <v>512</v>
      </c>
      <c r="B478" s="2">
        <v>45591</v>
      </c>
      <c r="C478" t="s">
        <v>1692</v>
      </c>
      <c r="D478" t="s">
        <v>1863</v>
      </c>
      <c r="E478" t="s">
        <v>2177</v>
      </c>
      <c r="F478" t="s">
        <v>2240</v>
      </c>
      <c r="G478" t="s">
        <v>2251</v>
      </c>
      <c r="H478" t="s">
        <v>2258</v>
      </c>
      <c r="I478" t="s">
        <v>2260</v>
      </c>
      <c r="J478" t="s">
        <v>2265</v>
      </c>
      <c r="K478">
        <v>1</v>
      </c>
      <c r="L478">
        <v>105</v>
      </c>
      <c r="M478">
        <v>0.05</v>
      </c>
      <c r="N478">
        <v>105</v>
      </c>
      <c r="O478">
        <v>99.75</v>
      </c>
      <c r="P478" t="s">
        <v>2268</v>
      </c>
      <c r="Q478" t="s">
        <v>2270</v>
      </c>
      <c r="R478" t="s">
        <v>2276</v>
      </c>
      <c r="S478" t="s">
        <v>2282</v>
      </c>
      <c r="T478" t="s">
        <v>2288</v>
      </c>
      <c r="U478">
        <v>5</v>
      </c>
      <c r="V478">
        <v>338</v>
      </c>
      <c r="X478">
        <v>47.76</v>
      </c>
      <c r="Y478">
        <v>51.99</v>
      </c>
      <c r="Z478" t="s">
        <v>2294</v>
      </c>
      <c r="AA478" t="s">
        <v>2296</v>
      </c>
      <c r="AB478">
        <v>105</v>
      </c>
      <c r="AC478">
        <v>5.25</v>
      </c>
      <c r="AD478">
        <v>99.75</v>
      </c>
      <c r="AE478">
        <v>47.76</v>
      </c>
      <c r="AF478">
        <v>51.99</v>
      </c>
      <c r="AG478">
        <v>2024</v>
      </c>
      <c r="AH478">
        <v>10</v>
      </c>
      <c r="AI478" t="s">
        <v>2310</v>
      </c>
      <c r="AJ478" t="s">
        <v>2317</v>
      </c>
    </row>
    <row r="479" spans="1:36" x14ac:dyDescent="0.3">
      <c r="A479" t="s">
        <v>513</v>
      </c>
      <c r="B479" s="2">
        <v>45387</v>
      </c>
      <c r="C479" t="s">
        <v>1692</v>
      </c>
      <c r="D479" t="s">
        <v>1802</v>
      </c>
      <c r="E479" t="s">
        <v>2013</v>
      </c>
      <c r="F479" t="s">
        <v>2239</v>
      </c>
      <c r="G479" t="s">
        <v>2254</v>
      </c>
      <c r="H479" t="s">
        <v>2259</v>
      </c>
      <c r="I479" t="s">
        <v>2263</v>
      </c>
      <c r="J479" t="s">
        <v>2264</v>
      </c>
      <c r="K479">
        <v>2</v>
      </c>
      <c r="L479">
        <v>110</v>
      </c>
      <c r="M479">
        <v>0.1</v>
      </c>
      <c r="N479">
        <v>220</v>
      </c>
      <c r="O479">
        <v>198</v>
      </c>
      <c r="P479" t="s">
        <v>2267</v>
      </c>
      <c r="Q479" t="s">
        <v>2272</v>
      </c>
      <c r="R479" t="s">
        <v>2275</v>
      </c>
      <c r="S479" t="s">
        <v>2284</v>
      </c>
      <c r="T479" t="s">
        <v>2288</v>
      </c>
      <c r="U479">
        <v>3</v>
      </c>
      <c r="V479">
        <v>21</v>
      </c>
      <c r="W479">
        <v>46</v>
      </c>
      <c r="X479">
        <v>48.31</v>
      </c>
      <c r="Y479">
        <v>101.38</v>
      </c>
      <c r="Z479" t="s">
        <v>2292</v>
      </c>
      <c r="AA479" t="s">
        <v>2296</v>
      </c>
      <c r="AB479">
        <v>220</v>
      </c>
      <c r="AC479">
        <v>22</v>
      </c>
      <c r="AD479">
        <v>198</v>
      </c>
      <c r="AE479">
        <v>96.62</v>
      </c>
      <c r="AF479">
        <v>101.38</v>
      </c>
      <c r="AG479">
        <v>2024</v>
      </c>
      <c r="AH479">
        <v>4</v>
      </c>
      <c r="AI479" t="s">
        <v>2308</v>
      </c>
      <c r="AJ479" t="s">
        <v>2315</v>
      </c>
    </row>
    <row r="480" spans="1:36" x14ac:dyDescent="0.3">
      <c r="A480" t="s">
        <v>514</v>
      </c>
      <c r="B480" s="2">
        <v>45364</v>
      </c>
      <c r="C480" t="s">
        <v>1677</v>
      </c>
      <c r="D480" t="s">
        <v>1850</v>
      </c>
      <c r="E480" t="s">
        <v>2025</v>
      </c>
      <c r="F480" t="s">
        <v>2239</v>
      </c>
      <c r="G480" t="s">
        <v>2253</v>
      </c>
      <c r="H480" t="s">
        <v>2258</v>
      </c>
      <c r="I480" t="s">
        <v>2260</v>
      </c>
      <c r="J480" t="s">
        <v>2265</v>
      </c>
      <c r="K480">
        <v>1</v>
      </c>
      <c r="L480">
        <v>95</v>
      </c>
      <c r="M480">
        <v>0.1</v>
      </c>
      <c r="N480">
        <v>95</v>
      </c>
      <c r="O480">
        <v>85.5</v>
      </c>
      <c r="P480" t="s">
        <v>2269</v>
      </c>
      <c r="Q480" t="s">
        <v>2272</v>
      </c>
      <c r="R480" t="s">
        <v>2275</v>
      </c>
      <c r="S480" t="s">
        <v>2285</v>
      </c>
      <c r="T480" t="s">
        <v>2290</v>
      </c>
      <c r="U480">
        <v>1</v>
      </c>
      <c r="V480">
        <v>464</v>
      </c>
      <c r="W480">
        <v>31</v>
      </c>
      <c r="X480">
        <v>33.76</v>
      </c>
      <c r="Y480">
        <v>51.74</v>
      </c>
      <c r="Z480" t="s">
        <v>2291</v>
      </c>
      <c r="AA480" t="s">
        <v>2298</v>
      </c>
      <c r="AB480">
        <v>95</v>
      </c>
      <c r="AC480">
        <v>9.5</v>
      </c>
      <c r="AD480">
        <v>85.5</v>
      </c>
      <c r="AE480">
        <v>33.76</v>
      </c>
      <c r="AF480">
        <v>51.74</v>
      </c>
      <c r="AG480">
        <v>2024</v>
      </c>
      <c r="AH480">
        <v>3</v>
      </c>
      <c r="AI480" t="s">
        <v>2305</v>
      </c>
      <c r="AJ480" t="s">
        <v>2312</v>
      </c>
    </row>
    <row r="481" spans="1:36" x14ac:dyDescent="0.3">
      <c r="A481" t="s">
        <v>515</v>
      </c>
      <c r="B481" s="2">
        <v>45591</v>
      </c>
      <c r="C481" t="s">
        <v>1702</v>
      </c>
      <c r="D481" t="s">
        <v>1783</v>
      </c>
      <c r="E481" t="s">
        <v>2005</v>
      </c>
      <c r="F481" t="s">
        <v>2238</v>
      </c>
      <c r="G481" t="s">
        <v>2241</v>
      </c>
      <c r="H481" t="s">
        <v>2257</v>
      </c>
      <c r="I481" t="s">
        <v>2262</v>
      </c>
      <c r="J481" t="s">
        <v>2266</v>
      </c>
      <c r="K481">
        <v>1</v>
      </c>
      <c r="L481">
        <v>135</v>
      </c>
      <c r="M481">
        <v>0.1</v>
      </c>
      <c r="N481">
        <v>135</v>
      </c>
      <c r="O481">
        <v>121.5</v>
      </c>
      <c r="P481" t="s">
        <v>2269</v>
      </c>
      <c r="Q481" t="s">
        <v>2272</v>
      </c>
      <c r="R481" t="s">
        <v>2275</v>
      </c>
      <c r="S481" t="s">
        <v>2285</v>
      </c>
      <c r="T481" t="s">
        <v>2288</v>
      </c>
      <c r="U481">
        <v>4</v>
      </c>
      <c r="W481">
        <v>25</v>
      </c>
      <c r="X481">
        <v>51.86</v>
      </c>
      <c r="Y481">
        <v>69.64</v>
      </c>
      <c r="Z481" t="s">
        <v>1761</v>
      </c>
      <c r="AA481" t="s">
        <v>2298</v>
      </c>
      <c r="AB481">
        <v>135</v>
      </c>
      <c r="AC481">
        <v>13.5</v>
      </c>
      <c r="AD481">
        <v>121.5</v>
      </c>
      <c r="AE481">
        <v>51.86</v>
      </c>
      <c r="AF481">
        <v>69.64</v>
      </c>
      <c r="AG481">
        <v>2024</v>
      </c>
      <c r="AH481">
        <v>10</v>
      </c>
      <c r="AI481" t="s">
        <v>2310</v>
      </c>
      <c r="AJ481" t="s">
        <v>2317</v>
      </c>
    </row>
    <row r="482" spans="1:36" x14ac:dyDescent="0.3">
      <c r="A482" t="s">
        <v>516</v>
      </c>
      <c r="B482" s="2">
        <v>45607</v>
      </c>
      <c r="C482" t="s">
        <v>1724</v>
      </c>
      <c r="D482" t="s">
        <v>1831</v>
      </c>
      <c r="E482" t="s">
        <v>2178</v>
      </c>
      <c r="F482" t="s">
        <v>2240</v>
      </c>
      <c r="G482" t="s">
        <v>2247</v>
      </c>
      <c r="H482" t="s">
        <v>2257</v>
      </c>
      <c r="I482" t="s">
        <v>2262</v>
      </c>
      <c r="J482" t="s">
        <v>2264</v>
      </c>
      <c r="K482">
        <v>1</v>
      </c>
      <c r="L482">
        <v>105</v>
      </c>
      <c r="M482">
        <v>0.05</v>
      </c>
      <c r="N482">
        <v>105</v>
      </c>
      <c r="O482">
        <v>99.75</v>
      </c>
      <c r="P482" t="s">
        <v>2269</v>
      </c>
      <c r="Q482" t="s">
        <v>2270</v>
      </c>
      <c r="R482" t="s">
        <v>2279</v>
      </c>
      <c r="S482" t="s">
        <v>2281</v>
      </c>
      <c r="T482" t="s">
        <v>2288</v>
      </c>
      <c r="U482">
        <v>3</v>
      </c>
      <c r="V482">
        <v>159</v>
      </c>
      <c r="X482">
        <v>35.270000000000003</v>
      </c>
      <c r="Y482">
        <v>64.48</v>
      </c>
      <c r="Z482" t="s">
        <v>1761</v>
      </c>
      <c r="AA482" t="s">
        <v>2299</v>
      </c>
      <c r="AB482">
        <v>105</v>
      </c>
      <c r="AC482">
        <v>5.25</v>
      </c>
      <c r="AD482">
        <v>99.75</v>
      </c>
      <c r="AE482">
        <v>35.270000000000003</v>
      </c>
      <c r="AF482">
        <v>64.47999999999999</v>
      </c>
      <c r="AG482">
        <v>2024</v>
      </c>
      <c r="AH482">
        <v>11</v>
      </c>
      <c r="AI482" t="s">
        <v>2311</v>
      </c>
      <c r="AJ482" t="s">
        <v>2314</v>
      </c>
    </row>
    <row r="483" spans="1:36" x14ac:dyDescent="0.3">
      <c r="A483" t="s">
        <v>517</v>
      </c>
      <c r="B483" s="2">
        <v>45569</v>
      </c>
      <c r="C483" t="s">
        <v>1691</v>
      </c>
      <c r="D483" t="s">
        <v>1877</v>
      </c>
      <c r="E483" t="s">
        <v>2034</v>
      </c>
      <c r="F483" t="s">
        <v>1761</v>
      </c>
      <c r="G483" t="s">
        <v>2248</v>
      </c>
      <c r="H483" t="s">
        <v>2257</v>
      </c>
      <c r="I483" t="s">
        <v>2262</v>
      </c>
      <c r="J483" t="s">
        <v>2266</v>
      </c>
      <c r="K483">
        <v>2</v>
      </c>
      <c r="L483">
        <v>145</v>
      </c>
      <c r="M483">
        <v>0</v>
      </c>
      <c r="N483">
        <v>290</v>
      </c>
      <c r="O483">
        <v>290</v>
      </c>
      <c r="R483" t="s">
        <v>2276</v>
      </c>
      <c r="S483" t="s">
        <v>2283</v>
      </c>
      <c r="T483" t="s">
        <v>2288</v>
      </c>
      <c r="U483">
        <v>4</v>
      </c>
      <c r="V483">
        <v>277</v>
      </c>
      <c r="W483">
        <v>42</v>
      </c>
      <c r="X483">
        <v>53.8</v>
      </c>
      <c r="Y483">
        <v>182.4</v>
      </c>
      <c r="Z483" t="s">
        <v>2293</v>
      </c>
      <c r="AA483" t="s">
        <v>2296</v>
      </c>
      <c r="AB483">
        <v>290</v>
      </c>
      <c r="AC483">
        <v>0</v>
      </c>
      <c r="AD483">
        <v>290</v>
      </c>
      <c r="AE483">
        <v>107.6</v>
      </c>
      <c r="AF483">
        <v>182.4</v>
      </c>
      <c r="AG483">
        <v>2024</v>
      </c>
      <c r="AH483">
        <v>10</v>
      </c>
      <c r="AI483" t="s">
        <v>2310</v>
      </c>
      <c r="AJ483" t="s">
        <v>2315</v>
      </c>
    </row>
    <row r="484" spans="1:36" x14ac:dyDescent="0.3">
      <c r="A484" t="s">
        <v>518</v>
      </c>
      <c r="B484" s="2">
        <v>45298</v>
      </c>
      <c r="C484" t="s">
        <v>1638</v>
      </c>
      <c r="D484" t="s">
        <v>1755</v>
      </c>
      <c r="E484" t="s">
        <v>2145</v>
      </c>
      <c r="F484" t="s">
        <v>2238</v>
      </c>
      <c r="G484" t="s">
        <v>2247</v>
      </c>
      <c r="H484" t="s">
        <v>2257</v>
      </c>
      <c r="I484" t="s">
        <v>2262</v>
      </c>
      <c r="J484" t="s">
        <v>2266</v>
      </c>
      <c r="K484">
        <v>3</v>
      </c>
      <c r="L484">
        <v>100</v>
      </c>
      <c r="N484">
        <v>300</v>
      </c>
      <c r="P484" t="s">
        <v>2269</v>
      </c>
      <c r="Q484" t="s">
        <v>2271</v>
      </c>
      <c r="R484" t="s">
        <v>2276</v>
      </c>
      <c r="S484" t="s">
        <v>2280</v>
      </c>
      <c r="T484" t="s">
        <v>2289</v>
      </c>
      <c r="U484">
        <v>2</v>
      </c>
      <c r="V484">
        <v>268</v>
      </c>
      <c r="X484">
        <v>48.41</v>
      </c>
      <c r="Z484" t="s">
        <v>2293</v>
      </c>
      <c r="AA484" t="s">
        <v>2296</v>
      </c>
      <c r="AB484">
        <v>300</v>
      </c>
      <c r="AC484">
        <v>0</v>
      </c>
      <c r="AD484">
        <v>300</v>
      </c>
      <c r="AE484">
        <v>145.22999999999999</v>
      </c>
      <c r="AF484">
        <v>154.77000000000001</v>
      </c>
      <c r="AG484">
        <v>2024</v>
      </c>
      <c r="AH484">
        <v>1</v>
      </c>
      <c r="AI484" t="s">
        <v>2302</v>
      </c>
      <c r="AJ484" t="s">
        <v>2318</v>
      </c>
    </row>
    <row r="485" spans="1:36" x14ac:dyDescent="0.3">
      <c r="A485" t="s">
        <v>519</v>
      </c>
      <c r="B485" s="2">
        <v>45405</v>
      </c>
      <c r="C485" t="s">
        <v>1691</v>
      </c>
      <c r="D485" t="s">
        <v>1834</v>
      </c>
      <c r="E485" t="s">
        <v>2142</v>
      </c>
      <c r="F485" t="s">
        <v>2238</v>
      </c>
      <c r="G485" t="s">
        <v>2250</v>
      </c>
      <c r="H485" t="s">
        <v>2259</v>
      </c>
      <c r="I485" t="s">
        <v>2262</v>
      </c>
      <c r="J485" t="s">
        <v>2265</v>
      </c>
      <c r="K485">
        <v>1</v>
      </c>
      <c r="L485">
        <v>80</v>
      </c>
      <c r="M485">
        <v>0</v>
      </c>
      <c r="N485">
        <v>80</v>
      </c>
      <c r="O485">
        <v>80</v>
      </c>
      <c r="P485" t="s">
        <v>2269</v>
      </c>
      <c r="Q485" t="s">
        <v>2271</v>
      </c>
      <c r="R485" t="s">
        <v>2277</v>
      </c>
      <c r="S485" t="s">
        <v>2281</v>
      </c>
      <c r="T485" t="s">
        <v>2288</v>
      </c>
      <c r="U485">
        <v>2</v>
      </c>
      <c r="V485">
        <v>97</v>
      </c>
      <c r="W485">
        <v>43</v>
      </c>
      <c r="X485">
        <v>32.76</v>
      </c>
      <c r="Y485">
        <v>47.24</v>
      </c>
      <c r="Z485" t="s">
        <v>1761</v>
      </c>
      <c r="AA485" t="s">
        <v>2297</v>
      </c>
      <c r="AB485">
        <v>80</v>
      </c>
      <c r="AC485">
        <v>0</v>
      </c>
      <c r="AD485">
        <v>80</v>
      </c>
      <c r="AE485">
        <v>32.76</v>
      </c>
      <c r="AF485">
        <v>47.24</v>
      </c>
      <c r="AG485">
        <v>2024</v>
      </c>
      <c r="AH485">
        <v>4</v>
      </c>
      <c r="AI485" t="s">
        <v>2308</v>
      </c>
      <c r="AJ485" t="s">
        <v>2313</v>
      </c>
    </row>
    <row r="486" spans="1:36" x14ac:dyDescent="0.3">
      <c r="A486" t="s">
        <v>520</v>
      </c>
      <c r="B486" s="2">
        <v>45644</v>
      </c>
      <c r="C486" t="s">
        <v>1703</v>
      </c>
      <c r="D486" t="s">
        <v>1922</v>
      </c>
      <c r="E486" t="s">
        <v>2056</v>
      </c>
      <c r="F486" t="s">
        <v>2239</v>
      </c>
      <c r="G486" t="s">
        <v>2252</v>
      </c>
      <c r="H486" t="s">
        <v>2257</v>
      </c>
      <c r="I486" t="s">
        <v>2262</v>
      </c>
      <c r="J486" t="s">
        <v>2265</v>
      </c>
      <c r="L486">
        <v>90</v>
      </c>
      <c r="M486">
        <v>0.05</v>
      </c>
      <c r="N486">
        <v>180</v>
      </c>
      <c r="O486">
        <v>171</v>
      </c>
      <c r="R486" t="s">
        <v>2277</v>
      </c>
      <c r="S486" t="s">
        <v>2287</v>
      </c>
      <c r="T486" t="s">
        <v>2288</v>
      </c>
      <c r="U486">
        <v>5</v>
      </c>
      <c r="V486">
        <v>159</v>
      </c>
      <c r="W486">
        <v>37</v>
      </c>
      <c r="X486">
        <v>37.43</v>
      </c>
      <c r="Y486">
        <v>96.14</v>
      </c>
      <c r="Z486" t="s">
        <v>2294</v>
      </c>
      <c r="AA486" t="s">
        <v>2298</v>
      </c>
      <c r="AG486">
        <v>2024</v>
      </c>
      <c r="AH486">
        <v>12</v>
      </c>
      <c r="AI486" t="s">
        <v>2309</v>
      </c>
      <c r="AJ486" t="s">
        <v>2312</v>
      </c>
    </row>
    <row r="487" spans="1:36" x14ac:dyDescent="0.3">
      <c r="A487" t="s">
        <v>521</v>
      </c>
      <c r="B487" s="2">
        <v>45498</v>
      </c>
      <c r="C487" t="s">
        <v>1735</v>
      </c>
      <c r="D487" t="s">
        <v>1868</v>
      </c>
      <c r="E487" t="s">
        <v>2061</v>
      </c>
      <c r="F487" t="s">
        <v>1761</v>
      </c>
      <c r="G487" t="s">
        <v>2241</v>
      </c>
      <c r="H487" t="s">
        <v>2257</v>
      </c>
      <c r="I487" t="s">
        <v>2262</v>
      </c>
      <c r="J487" t="s">
        <v>2264</v>
      </c>
      <c r="K487">
        <v>1</v>
      </c>
      <c r="L487">
        <v>125</v>
      </c>
      <c r="M487">
        <v>0.05</v>
      </c>
      <c r="N487">
        <v>125</v>
      </c>
      <c r="O487">
        <v>118.75</v>
      </c>
      <c r="Q487" t="s">
        <v>2272</v>
      </c>
      <c r="R487" t="s">
        <v>2279</v>
      </c>
      <c r="S487" t="s">
        <v>2284</v>
      </c>
      <c r="T487" t="s">
        <v>2289</v>
      </c>
      <c r="U487">
        <v>1</v>
      </c>
      <c r="V487">
        <v>252</v>
      </c>
      <c r="X487">
        <v>75.89</v>
      </c>
      <c r="Y487">
        <v>42.86</v>
      </c>
      <c r="Z487" t="s">
        <v>2292</v>
      </c>
      <c r="AA487" t="s">
        <v>2299</v>
      </c>
      <c r="AB487">
        <v>125</v>
      </c>
      <c r="AC487">
        <v>6.25</v>
      </c>
      <c r="AD487">
        <v>118.75</v>
      </c>
      <c r="AE487">
        <v>75.89</v>
      </c>
      <c r="AF487">
        <v>42.86</v>
      </c>
      <c r="AG487">
        <v>2024</v>
      </c>
      <c r="AH487">
        <v>7</v>
      </c>
      <c r="AI487" t="s">
        <v>2307</v>
      </c>
      <c r="AJ487" t="s">
        <v>2316</v>
      </c>
    </row>
    <row r="488" spans="1:36" x14ac:dyDescent="0.3">
      <c r="A488" t="s">
        <v>522</v>
      </c>
      <c r="B488" s="2">
        <v>45462</v>
      </c>
      <c r="C488" t="s">
        <v>1695</v>
      </c>
      <c r="D488" t="s">
        <v>1888</v>
      </c>
      <c r="E488" t="s">
        <v>2147</v>
      </c>
      <c r="F488" t="s">
        <v>2239</v>
      </c>
      <c r="G488" t="s">
        <v>2245</v>
      </c>
      <c r="H488" t="s">
        <v>2257</v>
      </c>
      <c r="I488" t="s">
        <v>2263</v>
      </c>
      <c r="J488" t="s">
        <v>2264</v>
      </c>
      <c r="K488">
        <v>5</v>
      </c>
      <c r="L488">
        <v>145</v>
      </c>
      <c r="M488">
        <v>0.1</v>
      </c>
      <c r="N488">
        <v>725</v>
      </c>
      <c r="O488">
        <v>652.5</v>
      </c>
      <c r="P488" t="s">
        <v>2267</v>
      </c>
      <c r="Q488" t="s">
        <v>2272</v>
      </c>
      <c r="R488" t="s">
        <v>2279</v>
      </c>
      <c r="S488" t="s">
        <v>2284</v>
      </c>
      <c r="T488" t="s">
        <v>2288</v>
      </c>
      <c r="U488">
        <v>2</v>
      </c>
      <c r="V488">
        <v>205</v>
      </c>
      <c r="W488">
        <v>23</v>
      </c>
      <c r="X488">
        <v>80.42</v>
      </c>
      <c r="Y488">
        <v>250.4</v>
      </c>
      <c r="Z488" t="s">
        <v>2293</v>
      </c>
      <c r="AA488" t="s">
        <v>2296</v>
      </c>
      <c r="AB488">
        <v>725</v>
      </c>
      <c r="AC488">
        <v>72.5</v>
      </c>
      <c r="AD488">
        <v>652.5</v>
      </c>
      <c r="AE488">
        <v>402.1</v>
      </c>
      <c r="AF488">
        <v>250.4</v>
      </c>
      <c r="AG488">
        <v>2024</v>
      </c>
      <c r="AH488">
        <v>6</v>
      </c>
      <c r="AI488" t="s">
        <v>2304</v>
      </c>
      <c r="AJ488" t="s">
        <v>2312</v>
      </c>
    </row>
    <row r="489" spans="1:36" x14ac:dyDescent="0.3">
      <c r="A489" t="s">
        <v>523</v>
      </c>
      <c r="B489" s="2">
        <v>45444</v>
      </c>
      <c r="C489" t="s">
        <v>1655</v>
      </c>
      <c r="D489" t="s">
        <v>1796</v>
      </c>
      <c r="E489" t="s">
        <v>2046</v>
      </c>
      <c r="F489" t="s">
        <v>2238</v>
      </c>
      <c r="G489" t="s">
        <v>2244</v>
      </c>
      <c r="H489" t="s">
        <v>2257</v>
      </c>
      <c r="I489" t="s">
        <v>2262</v>
      </c>
      <c r="J489" t="s">
        <v>2265</v>
      </c>
      <c r="K489">
        <v>2</v>
      </c>
      <c r="L489">
        <v>130</v>
      </c>
      <c r="N489">
        <v>260</v>
      </c>
      <c r="P489" t="s">
        <v>2268</v>
      </c>
      <c r="Q489" t="s">
        <v>2270</v>
      </c>
      <c r="R489" t="s">
        <v>2279</v>
      </c>
      <c r="S489" t="s">
        <v>2287</v>
      </c>
      <c r="T489" t="s">
        <v>2288</v>
      </c>
      <c r="V489">
        <v>154</v>
      </c>
      <c r="W489">
        <v>48</v>
      </c>
      <c r="X489">
        <v>49.05</v>
      </c>
      <c r="Z489" t="s">
        <v>1761</v>
      </c>
      <c r="AA489" t="s">
        <v>2297</v>
      </c>
      <c r="AB489">
        <v>260</v>
      </c>
      <c r="AC489">
        <v>0</v>
      </c>
      <c r="AD489">
        <v>260</v>
      </c>
      <c r="AE489">
        <v>98.1</v>
      </c>
      <c r="AF489">
        <v>161.9</v>
      </c>
      <c r="AG489">
        <v>2024</v>
      </c>
      <c r="AH489">
        <v>6</v>
      </c>
      <c r="AI489" t="s">
        <v>2304</v>
      </c>
      <c r="AJ489" t="s">
        <v>2317</v>
      </c>
    </row>
    <row r="490" spans="1:36" x14ac:dyDescent="0.3">
      <c r="A490" t="s">
        <v>524</v>
      </c>
      <c r="B490" s="2">
        <v>45599</v>
      </c>
      <c r="C490" t="s">
        <v>1738</v>
      </c>
      <c r="D490" t="s">
        <v>1760</v>
      </c>
      <c r="E490" t="s">
        <v>1966</v>
      </c>
      <c r="F490" t="s">
        <v>2240</v>
      </c>
      <c r="G490" t="s">
        <v>2244</v>
      </c>
      <c r="H490" t="s">
        <v>2257</v>
      </c>
      <c r="I490" t="s">
        <v>2262</v>
      </c>
      <c r="J490" t="s">
        <v>2266</v>
      </c>
      <c r="L490">
        <v>120</v>
      </c>
      <c r="M490">
        <v>0.1</v>
      </c>
      <c r="N490">
        <v>120</v>
      </c>
      <c r="O490">
        <v>108</v>
      </c>
      <c r="P490" t="s">
        <v>2267</v>
      </c>
      <c r="Q490" t="s">
        <v>2272</v>
      </c>
      <c r="R490" t="s">
        <v>2278</v>
      </c>
      <c r="S490" t="s">
        <v>2284</v>
      </c>
      <c r="T490" t="s">
        <v>2288</v>
      </c>
      <c r="U490">
        <v>2</v>
      </c>
      <c r="V490">
        <v>271</v>
      </c>
      <c r="W490">
        <v>40</v>
      </c>
      <c r="X490">
        <v>64.36</v>
      </c>
      <c r="Y490">
        <v>43.64</v>
      </c>
      <c r="Z490" t="s">
        <v>1761</v>
      </c>
      <c r="AA490" t="s">
        <v>2297</v>
      </c>
      <c r="AG490">
        <v>2024</v>
      </c>
      <c r="AH490">
        <v>11</v>
      </c>
      <c r="AI490" t="s">
        <v>2311</v>
      </c>
      <c r="AJ490" t="s">
        <v>2318</v>
      </c>
    </row>
    <row r="491" spans="1:36" x14ac:dyDescent="0.3">
      <c r="A491" t="s">
        <v>525</v>
      </c>
      <c r="B491" s="2">
        <v>45453</v>
      </c>
      <c r="C491" t="s">
        <v>1677</v>
      </c>
      <c r="D491" t="s">
        <v>1912</v>
      </c>
      <c r="E491" t="s">
        <v>2054</v>
      </c>
      <c r="F491" t="s">
        <v>2240</v>
      </c>
      <c r="G491" t="s">
        <v>2251</v>
      </c>
      <c r="H491" t="s">
        <v>2258</v>
      </c>
      <c r="I491" t="s">
        <v>2260</v>
      </c>
      <c r="J491" t="s">
        <v>2266</v>
      </c>
      <c r="K491">
        <v>1</v>
      </c>
      <c r="L491">
        <v>95</v>
      </c>
      <c r="M491">
        <v>0.05</v>
      </c>
      <c r="N491">
        <v>95</v>
      </c>
      <c r="O491">
        <v>90.25</v>
      </c>
      <c r="P491" t="s">
        <v>2269</v>
      </c>
      <c r="Q491" t="s">
        <v>2272</v>
      </c>
      <c r="R491" t="s">
        <v>2279</v>
      </c>
      <c r="S491" t="s">
        <v>2283</v>
      </c>
      <c r="T491" t="s">
        <v>2289</v>
      </c>
      <c r="U491">
        <v>2</v>
      </c>
      <c r="V491">
        <v>36</v>
      </c>
      <c r="X491">
        <v>53.82</v>
      </c>
      <c r="Y491">
        <v>36.43</v>
      </c>
      <c r="Z491" t="s">
        <v>2293</v>
      </c>
      <c r="AA491" t="s">
        <v>2299</v>
      </c>
      <c r="AB491">
        <v>95</v>
      </c>
      <c r="AC491">
        <v>4.75</v>
      </c>
      <c r="AD491">
        <v>90.25</v>
      </c>
      <c r="AE491">
        <v>53.82</v>
      </c>
      <c r="AF491">
        <v>36.43</v>
      </c>
      <c r="AG491">
        <v>2024</v>
      </c>
      <c r="AH491">
        <v>6</v>
      </c>
      <c r="AI491" t="s">
        <v>2304</v>
      </c>
      <c r="AJ491" t="s">
        <v>2314</v>
      </c>
    </row>
    <row r="492" spans="1:36" x14ac:dyDescent="0.3">
      <c r="A492" t="s">
        <v>526</v>
      </c>
      <c r="B492" s="2">
        <v>45526</v>
      </c>
      <c r="C492" t="s">
        <v>1697</v>
      </c>
      <c r="D492" t="s">
        <v>1923</v>
      </c>
      <c r="E492" t="s">
        <v>2144</v>
      </c>
      <c r="F492" t="s">
        <v>2239</v>
      </c>
      <c r="G492" t="s">
        <v>2255</v>
      </c>
      <c r="H492" t="s">
        <v>2260</v>
      </c>
      <c r="I492" t="s">
        <v>2260</v>
      </c>
      <c r="J492" t="s">
        <v>2264</v>
      </c>
      <c r="K492">
        <v>1</v>
      </c>
      <c r="L492">
        <v>185</v>
      </c>
      <c r="M492">
        <v>0.15</v>
      </c>
      <c r="N492">
        <v>185</v>
      </c>
      <c r="O492">
        <v>157.25</v>
      </c>
      <c r="P492" t="s">
        <v>2269</v>
      </c>
      <c r="R492" t="s">
        <v>2279</v>
      </c>
      <c r="S492" t="s">
        <v>2284</v>
      </c>
      <c r="T492" t="s">
        <v>2289</v>
      </c>
      <c r="U492">
        <v>5</v>
      </c>
      <c r="V492">
        <v>416</v>
      </c>
      <c r="W492">
        <v>43</v>
      </c>
      <c r="X492">
        <v>101.62</v>
      </c>
      <c r="Y492">
        <v>55.63</v>
      </c>
      <c r="Z492" t="s">
        <v>2292</v>
      </c>
      <c r="AA492" t="s">
        <v>2298</v>
      </c>
      <c r="AB492">
        <v>185</v>
      </c>
      <c r="AC492">
        <v>27.75</v>
      </c>
      <c r="AD492">
        <v>157.25</v>
      </c>
      <c r="AE492">
        <v>101.62</v>
      </c>
      <c r="AF492">
        <v>55.63</v>
      </c>
      <c r="AG492">
        <v>2024</v>
      </c>
      <c r="AH492">
        <v>8</v>
      </c>
      <c r="AI492" t="s">
        <v>2301</v>
      </c>
      <c r="AJ492" t="s">
        <v>2316</v>
      </c>
    </row>
    <row r="493" spans="1:36" x14ac:dyDescent="0.3">
      <c r="A493" t="s">
        <v>527</v>
      </c>
      <c r="B493" s="2">
        <v>45632</v>
      </c>
      <c r="C493" t="s">
        <v>1659</v>
      </c>
      <c r="D493" t="s">
        <v>1813</v>
      </c>
      <c r="E493" t="s">
        <v>2179</v>
      </c>
      <c r="F493" t="s">
        <v>2239</v>
      </c>
      <c r="G493" t="s">
        <v>2253</v>
      </c>
      <c r="H493" t="s">
        <v>2258</v>
      </c>
      <c r="I493" t="s">
        <v>2260</v>
      </c>
      <c r="J493" t="s">
        <v>2264</v>
      </c>
      <c r="K493">
        <v>3</v>
      </c>
      <c r="L493">
        <v>95</v>
      </c>
      <c r="N493">
        <v>285</v>
      </c>
      <c r="P493" t="s">
        <v>2267</v>
      </c>
      <c r="Q493" t="s">
        <v>2270</v>
      </c>
      <c r="R493" t="s">
        <v>2278</v>
      </c>
      <c r="S493" t="s">
        <v>2285</v>
      </c>
      <c r="T493" t="s">
        <v>2289</v>
      </c>
      <c r="U493">
        <v>5</v>
      </c>
      <c r="V493">
        <v>193</v>
      </c>
      <c r="X493">
        <v>52.18</v>
      </c>
      <c r="Z493" t="s">
        <v>1761</v>
      </c>
      <c r="AA493" t="s">
        <v>2296</v>
      </c>
      <c r="AB493">
        <v>285</v>
      </c>
      <c r="AC493">
        <v>0</v>
      </c>
      <c r="AD493">
        <v>285</v>
      </c>
      <c r="AE493">
        <v>156.54</v>
      </c>
      <c r="AF493">
        <v>128.46</v>
      </c>
      <c r="AG493">
        <v>2024</v>
      </c>
      <c r="AH493">
        <v>12</v>
      </c>
      <c r="AI493" t="s">
        <v>2309</v>
      </c>
      <c r="AJ493" t="s">
        <v>2315</v>
      </c>
    </row>
    <row r="494" spans="1:36" x14ac:dyDescent="0.3">
      <c r="A494" t="s">
        <v>528</v>
      </c>
      <c r="B494" s="2">
        <v>45476</v>
      </c>
      <c r="C494" t="s">
        <v>1652</v>
      </c>
      <c r="D494" t="s">
        <v>1924</v>
      </c>
      <c r="E494" t="s">
        <v>1761</v>
      </c>
      <c r="F494" t="s">
        <v>2239</v>
      </c>
      <c r="G494" t="s">
        <v>2254</v>
      </c>
      <c r="H494" t="s">
        <v>2259</v>
      </c>
      <c r="I494" t="s">
        <v>2263</v>
      </c>
      <c r="J494" t="s">
        <v>2264</v>
      </c>
      <c r="K494">
        <v>2</v>
      </c>
      <c r="L494">
        <v>110</v>
      </c>
      <c r="M494">
        <v>0</v>
      </c>
      <c r="N494">
        <v>220</v>
      </c>
      <c r="O494">
        <v>220</v>
      </c>
      <c r="P494" t="s">
        <v>2267</v>
      </c>
      <c r="Q494" t="s">
        <v>2270</v>
      </c>
      <c r="R494" t="s">
        <v>2277</v>
      </c>
      <c r="S494" t="s">
        <v>2280</v>
      </c>
      <c r="T494" t="s">
        <v>2288</v>
      </c>
      <c r="U494">
        <v>1</v>
      </c>
      <c r="W494">
        <v>38</v>
      </c>
      <c r="X494">
        <v>56</v>
      </c>
      <c r="Y494">
        <v>108</v>
      </c>
      <c r="Z494" t="s">
        <v>1761</v>
      </c>
      <c r="AA494" t="s">
        <v>2297</v>
      </c>
      <c r="AB494">
        <v>220</v>
      </c>
      <c r="AC494">
        <v>0</v>
      </c>
      <c r="AD494">
        <v>220</v>
      </c>
      <c r="AE494">
        <v>112</v>
      </c>
      <c r="AF494">
        <v>108</v>
      </c>
      <c r="AG494">
        <v>2024</v>
      </c>
      <c r="AH494">
        <v>7</v>
      </c>
      <c r="AI494" t="s">
        <v>2307</v>
      </c>
      <c r="AJ494" t="s">
        <v>2312</v>
      </c>
    </row>
    <row r="495" spans="1:36" x14ac:dyDescent="0.3">
      <c r="A495" t="s">
        <v>529</v>
      </c>
      <c r="B495" s="2">
        <v>45304</v>
      </c>
      <c r="C495" t="s">
        <v>1680</v>
      </c>
      <c r="D495" t="s">
        <v>1780</v>
      </c>
      <c r="E495" t="s">
        <v>2085</v>
      </c>
      <c r="F495" t="s">
        <v>2238</v>
      </c>
      <c r="G495" t="s">
        <v>2253</v>
      </c>
      <c r="H495" t="s">
        <v>2258</v>
      </c>
      <c r="I495" t="s">
        <v>2260</v>
      </c>
      <c r="J495" t="s">
        <v>2265</v>
      </c>
      <c r="K495">
        <v>1</v>
      </c>
      <c r="L495">
        <v>95</v>
      </c>
      <c r="M495">
        <v>0.1</v>
      </c>
      <c r="N495">
        <v>95</v>
      </c>
      <c r="O495">
        <v>85.5</v>
      </c>
      <c r="P495" t="s">
        <v>2267</v>
      </c>
      <c r="Q495" t="s">
        <v>2270</v>
      </c>
      <c r="R495" t="s">
        <v>2278</v>
      </c>
      <c r="S495" t="s">
        <v>2281</v>
      </c>
      <c r="T495" t="s">
        <v>2288</v>
      </c>
      <c r="U495">
        <v>4</v>
      </c>
      <c r="V495">
        <v>387</v>
      </c>
      <c r="W495">
        <v>59</v>
      </c>
      <c r="X495">
        <v>33.92</v>
      </c>
      <c r="Y495">
        <v>51.58</v>
      </c>
      <c r="Z495" t="s">
        <v>2291</v>
      </c>
      <c r="AA495" t="s">
        <v>2297</v>
      </c>
      <c r="AB495">
        <v>95</v>
      </c>
      <c r="AC495">
        <v>9.5</v>
      </c>
      <c r="AD495">
        <v>85.5</v>
      </c>
      <c r="AE495">
        <v>33.92</v>
      </c>
      <c r="AF495">
        <v>51.58</v>
      </c>
      <c r="AG495">
        <v>2024</v>
      </c>
      <c r="AH495">
        <v>1</v>
      </c>
      <c r="AI495" t="s">
        <v>2302</v>
      </c>
      <c r="AJ495" t="s">
        <v>2317</v>
      </c>
    </row>
    <row r="496" spans="1:36" x14ac:dyDescent="0.3">
      <c r="A496" t="s">
        <v>530</v>
      </c>
      <c r="B496" s="2">
        <v>45490</v>
      </c>
      <c r="C496" t="s">
        <v>1709</v>
      </c>
      <c r="D496" t="s">
        <v>1892</v>
      </c>
      <c r="E496" t="s">
        <v>2119</v>
      </c>
      <c r="F496" t="s">
        <v>2240</v>
      </c>
      <c r="G496" t="s">
        <v>2255</v>
      </c>
      <c r="H496" t="s">
        <v>2260</v>
      </c>
      <c r="I496" t="s">
        <v>2260</v>
      </c>
      <c r="J496" t="s">
        <v>2265</v>
      </c>
      <c r="K496">
        <v>1</v>
      </c>
      <c r="L496">
        <v>175</v>
      </c>
      <c r="M496">
        <v>0</v>
      </c>
      <c r="N496">
        <v>175</v>
      </c>
      <c r="O496">
        <v>175</v>
      </c>
      <c r="P496" t="s">
        <v>2267</v>
      </c>
      <c r="Q496" t="s">
        <v>2272</v>
      </c>
      <c r="R496" t="s">
        <v>2277</v>
      </c>
      <c r="S496" t="s">
        <v>2285</v>
      </c>
      <c r="T496" t="s">
        <v>2288</v>
      </c>
      <c r="U496">
        <v>4</v>
      </c>
      <c r="V496">
        <v>112</v>
      </c>
      <c r="W496">
        <v>15</v>
      </c>
      <c r="X496">
        <v>104.48</v>
      </c>
      <c r="Y496">
        <v>70.52</v>
      </c>
      <c r="Z496" t="s">
        <v>2291</v>
      </c>
      <c r="AA496" t="s">
        <v>2296</v>
      </c>
      <c r="AB496">
        <v>175</v>
      </c>
      <c r="AC496">
        <v>0</v>
      </c>
      <c r="AD496">
        <v>175</v>
      </c>
      <c r="AE496">
        <v>104.48</v>
      </c>
      <c r="AF496">
        <v>70.52</v>
      </c>
      <c r="AG496">
        <v>2024</v>
      </c>
      <c r="AH496">
        <v>7</v>
      </c>
      <c r="AI496" t="s">
        <v>2307</v>
      </c>
      <c r="AJ496" t="s">
        <v>2312</v>
      </c>
    </row>
    <row r="497" spans="1:36" x14ac:dyDescent="0.3">
      <c r="A497" t="s">
        <v>531</v>
      </c>
      <c r="B497" s="2">
        <v>45354</v>
      </c>
      <c r="C497" t="s">
        <v>1684</v>
      </c>
      <c r="D497" t="s">
        <v>1776</v>
      </c>
      <c r="E497" t="s">
        <v>2009</v>
      </c>
      <c r="F497" t="s">
        <v>2240</v>
      </c>
      <c r="G497" t="s">
        <v>2253</v>
      </c>
      <c r="H497" t="s">
        <v>2258</v>
      </c>
      <c r="I497" t="s">
        <v>2260</v>
      </c>
      <c r="J497" t="s">
        <v>2266</v>
      </c>
      <c r="K497">
        <v>3</v>
      </c>
      <c r="L497">
        <v>90</v>
      </c>
      <c r="M497">
        <v>0</v>
      </c>
      <c r="N497">
        <v>270</v>
      </c>
      <c r="O497">
        <v>270</v>
      </c>
      <c r="Q497" t="s">
        <v>2270</v>
      </c>
      <c r="R497" t="s">
        <v>2279</v>
      </c>
      <c r="S497" t="s">
        <v>2283</v>
      </c>
      <c r="T497" t="s">
        <v>2288</v>
      </c>
      <c r="U497">
        <v>3</v>
      </c>
      <c r="V497">
        <v>216</v>
      </c>
      <c r="W497">
        <v>13</v>
      </c>
      <c r="X497">
        <v>34.270000000000003</v>
      </c>
      <c r="Y497">
        <v>167.19</v>
      </c>
      <c r="Z497" t="s">
        <v>2293</v>
      </c>
      <c r="AA497" t="s">
        <v>2299</v>
      </c>
      <c r="AB497">
        <v>270</v>
      </c>
      <c r="AC497">
        <v>0</v>
      </c>
      <c r="AD497">
        <v>270</v>
      </c>
      <c r="AE497">
        <v>102.81</v>
      </c>
      <c r="AF497">
        <v>167.19</v>
      </c>
      <c r="AG497">
        <v>2024</v>
      </c>
      <c r="AH497">
        <v>3</v>
      </c>
      <c r="AI497" t="s">
        <v>2305</v>
      </c>
      <c r="AJ497" t="s">
        <v>2318</v>
      </c>
    </row>
    <row r="498" spans="1:36" x14ac:dyDescent="0.3">
      <c r="A498" t="s">
        <v>532</v>
      </c>
      <c r="C498" t="s">
        <v>1646</v>
      </c>
      <c r="D498" t="s">
        <v>1823</v>
      </c>
      <c r="E498" t="s">
        <v>2022</v>
      </c>
      <c r="F498" t="s">
        <v>2240</v>
      </c>
      <c r="G498" t="s">
        <v>2255</v>
      </c>
      <c r="H498" t="s">
        <v>2260</v>
      </c>
      <c r="I498" t="s">
        <v>2260</v>
      </c>
      <c r="K498">
        <v>1</v>
      </c>
      <c r="L498">
        <v>185</v>
      </c>
      <c r="M498">
        <v>0.05</v>
      </c>
      <c r="N498">
        <v>185</v>
      </c>
      <c r="O498">
        <v>175.75</v>
      </c>
      <c r="P498" t="s">
        <v>2269</v>
      </c>
      <c r="Q498" t="s">
        <v>2270</v>
      </c>
      <c r="R498" t="s">
        <v>2276</v>
      </c>
      <c r="S498" t="s">
        <v>2285</v>
      </c>
      <c r="T498" t="s">
        <v>2289</v>
      </c>
      <c r="U498">
        <v>3</v>
      </c>
      <c r="V498">
        <v>172</v>
      </c>
      <c r="W498">
        <v>12</v>
      </c>
      <c r="X498">
        <v>99.26</v>
      </c>
      <c r="Y498">
        <v>76.489999999999995</v>
      </c>
      <c r="Z498" t="s">
        <v>2293</v>
      </c>
      <c r="AA498" t="s">
        <v>2296</v>
      </c>
      <c r="AB498">
        <v>185</v>
      </c>
      <c r="AC498">
        <v>9.25</v>
      </c>
      <c r="AD498">
        <v>175.75</v>
      </c>
      <c r="AE498">
        <v>99.26</v>
      </c>
      <c r="AF498">
        <v>76.489999999999995</v>
      </c>
    </row>
    <row r="499" spans="1:36" x14ac:dyDescent="0.3">
      <c r="A499" t="s">
        <v>533</v>
      </c>
      <c r="B499" s="2">
        <v>45653</v>
      </c>
      <c r="C499" t="s">
        <v>1697</v>
      </c>
      <c r="D499" t="s">
        <v>1837</v>
      </c>
      <c r="E499" t="s">
        <v>1761</v>
      </c>
      <c r="F499" t="s">
        <v>2240</v>
      </c>
      <c r="G499" t="s">
        <v>2242</v>
      </c>
      <c r="H499" t="s">
        <v>2258</v>
      </c>
      <c r="I499" t="s">
        <v>2260</v>
      </c>
      <c r="J499" t="s">
        <v>2264</v>
      </c>
      <c r="K499">
        <v>4</v>
      </c>
      <c r="L499">
        <v>125</v>
      </c>
      <c r="N499">
        <v>500</v>
      </c>
      <c r="P499" t="s">
        <v>2267</v>
      </c>
      <c r="R499" t="s">
        <v>2278</v>
      </c>
      <c r="S499" t="s">
        <v>2281</v>
      </c>
      <c r="T499" t="s">
        <v>2288</v>
      </c>
      <c r="U499">
        <v>3</v>
      </c>
      <c r="V499">
        <v>293</v>
      </c>
      <c r="W499">
        <v>13</v>
      </c>
      <c r="X499">
        <v>57.28</v>
      </c>
      <c r="Z499" t="s">
        <v>2291</v>
      </c>
      <c r="AA499" t="s">
        <v>2296</v>
      </c>
      <c r="AB499">
        <v>500</v>
      </c>
      <c r="AC499">
        <v>0</v>
      </c>
      <c r="AD499">
        <v>500</v>
      </c>
      <c r="AE499">
        <v>229.12</v>
      </c>
      <c r="AF499">
        <v>270.88</v>
      </c>
      <c r="AG499">
        <v>2024</v>
      </c>
      <c r="AH499">
        <v>12</v>
      </c>
      <c r="AI499" t="s">
        <v>2309</v>
      </c>
      <c r="AJ499" t="s">
        <v>2315</v>
      </c>
    </row>
    <row r="500" spans="1:36" x14ac:dyDescent="0.3">
      <c r="A500" t="s">
        <v>534</v>
      </c>
      <c r="C500" t="s">
        <v>1684</v>
      </c>
      <c r="D500" t="s">
        <v>1908</v>
      </c>
      <c r="E500" t="s">
        <v>1761</v>
      </c>
      <c r="F500" t="s">
        <v>2239</v>
      </c>
      <c r="G500" t="s">
        <v>2247</v>
      </c>
      <c r="H500" t="s">
        <v>2257</v>
      </c>
      <c r="I500" t="s">
        <v>2262</v>
      </c>
      <c r="J500" t="s">
        <v>2265</v>
      </c>
      <c r="K500">
        <v>1</v>
      </c>
      <c r="L500">
        <v>95</v>
      </c>
      <c r="M500">
        <v>0.05</v>
      </c>
      <c r="N500">
        <v>95</v>
      </c>
      <c r="O500">
        <v>90.25</v>
      </c>
      <c r="Q500" t="s">
        <v>2271</v>
      </c>
      <c r="R500" t="s">
        <v>2278</v>
      </c>
      <c r="S500" t="s">
        <v>2282</v>
      </c>
      <c r="T500" t="s">
        <v>2290</v>
      </c>
      <c r="U500">
        <v>5</v>
      </c>
      <c r="V500">
        <v>285</v>
      </c>
      <c r="X500">
        <v>42.87</v>
      </c>
      <c r="Y500">
        <v>47.38</v>
      </c>
      <c r="Z500" t="s">
        <v>2294</v>
      </c>
      <c r="AA500" t="s">
        <v>2299</v>
      </c>
      <c r="AB500">
        <v>95</v>
      </c>
      <c r="AC500">
        <v>4.75</v>
      </c>
      <c r="AD500">
        <v>90.25</v>
      </c>
      <c r="AE500">
        <v>42.87</v>
      </c>
      <c r="AF500">
        <v>47.38</v>
      </c>
    </row>
    <row r="501" spans="1:36" x14ac:dyDescent="0.3">
      <c r="A501" t="s">
        <v>535</v>
      </c>
      <c r="B501" s="2">
        <v>45369</v>
      </c>
      <c r="C501" t="s">
        <v>1646</v>
      </c>
      <c r="D501" t="s">
        <v>1813</v>
      </c>
      <c r="E501" t="s">
        <v>2139</v>
      </c>
      <c r="F501" t="s">
        <v>2239</v>
      </c>
      <c r="G501" t="s">
        <v>2241</v>
      </c>
      <c r="H501" t="s">
        <v>2257</v>
      </c>
      <c r="I501" t="s">
        <v>2262</v>
      </c>
      <c r="J501" t="s">
        <v>2266</v>
      </c>
      <c r="K501">
        <v>1</v>
      </c>
      <c r="L501">
        <v>125</v>
      </c>
      <c r="M501">
        <v>0.1</v>
      </c>
      <c r="N501">
        <v>125</v>
      </c>
      <c r="O501">
        <v>112.5</v>
      </c>
      <c r="Q501" t="s">
        <v>2270</v>
      </c>
      <c r="R501" t="s">
        <v>2276</v>
      </c>
      <c r="S501" t="s">
        <v>2287</v>
      </c>
      <c r="T501" t="s">
        <v>2289</v>
      </c>
      <c r="U501">
        <v>2</v>
      </c>
      <c r="V501">
        <v>468</v>
      </c>
      <c r="W501">
        <v>39</v>
      </c>
      <c r="X501">
        <v>55.34</v>
      </c>
      <c r="Y501">
        <v>57.16</v>
      </c>
      <c r="Z501" t="s">
        <v>1761</v>
      </c>
      <c r="AA501" t="s">
        <v>1761</v>
      </c>
      <c r="AB501">
        <v>125</v>
      </c>
      <c r="AC501">
        <v>12.5</v>
      </c>
      <c r="AD501">
        <v>112.5</v>
      </c>
      <c r="AE501">
        <v>55.34</v>
      </c>
      <c r="AF501">
        <v>57.16</v>
      </c>
      <c r="AG501">
        <v>2024</v>
      </c>
      <c r="AH501">
        <v>3</v>
      </c>
      <c r="AI501" t="s">
        <v>2305</v>
      </c>
      <c r="AJ501" t="s">
        <v>2314</v>
      </c>
    </row>
    <row r="502" spans="1:36" x14ac:dyDescent="0.3">
      <c r="A502" t="s">
        <v>536</v>
      </c>
      <c r="B502" s="2">
        <v>45393</v>
      </c>
      <c r="C502" t="s">
        <v>1735</v>
      </c>
      <c r="D502" t="s">
        <v>1891</v>
      </c>
      <c r="E502" t="s">
        <v>1997</v>
      </c>
      <c r="F502" t="s">
        <v>2240</v>
      </c>
      <c r="G502" t="s">
        <v>2250</v>
      </c>
      <c r="H502" t="s">
        <v>2259</v>
      </c>
      <c r="I502" t="s">
        <v>2262</v>
      </c>
      <c r="J502" t="s">
        <v>2265</v>
      </c>
      <c r="K502">
        <v>2</v>
      </c>
      <c r="L502">
        <v>75</v>
      </c>
      <c r="M502">
        <v>0</v>
      </c>
      <c r="N502">
        <v>150</v>
      </c>
      <c r="O502">
        <v>150</v>
      </c>
      <c r="P502" t="s">
        <v>2269</v>
      </c>
      <c r="Q502" t="s">
        <v>2272</v>
      </c>
      <c r="R502" t="s">
        <v>2274</v>
      </c>
      <c r="S502" t="s">
        <v>2280</v>
      </c>
      <c r="T502" t="s">
        <v>2289</v>
      </c>
      <c r="U502">
        <v>2</v>
      </c>
      <c r="V502">
        <v>466</v>
      </c>
      <c r="W502">
        <v>15</v>
      </c>
      <c r="X502">
        <v>34.71</v>
      </c>
      <c r="Y502">
        <v>80.58</v>
      </c>
      <c r="Z502" t="s">
        <v>2293</v>
      </c>
      <c r="AA502" t="s">
        <v>2296</v>
      </c>
      <c r="AB502">
        <v>150</v>
      </c>
      <c r="AC502">
        <v>0</v>
      </c>
      <c r="AD502">
        <v>150</v>
      </c>
      <c r="AE502">
        <v>69.42</v>
      </c>
      <c r="AF502">
        <v>80.58</v>
      </c>
      <c r="AG502">
        <v>2024</v>
      </c>
      <c r="AH502">
        <v>4</v>
      </c>
      <c r="AI502" t="s">
        <v>2308</v>
      </c>
      <c r="AJ502" t="s">
        <v>2316</v>
      </c>
    </row>
    <row r="503" spans="1:36" x14ac:dyDescent="0.3">
      <c r="A503" t="s">
        <v>537</v>
      </c>
      <c r="B503" s="2">
        <v>45307</v>
      </c>
      <c r="C503" t="s">
        <v>1648</v>
      </c>
      <c r="D503" t="s">
        <v>1849</v>
      </c>
      <c r="E503" t="s">
        <v>2007</v>
      </c>
      <c r="F503" t="s">
        <v>2239</v>
      </c>
      <c r="G503" t="s">
        <v>2242</v>
      </c>
      <c r="H503" t="s">
        <v>2258</v>
      </c>
      <c r="I503" t="s">
        <v>2260</v>
      </c>
      <c r="J503" t="s">
        <v>2266</v>
      </c>
      <c r="K503">
        <v>2</v>
      </c>
      <c r="L503">
        <v>120</v>
      </c>
      <c r="M503">
        <v>0.15</v>
      </c>
      <c r="N503">
        <v>240</v>
      </c>
      <c r="O503">
        <v>204</v>
      </c>
      <c r="P503" t="s">
        <v>2267</v>
      </c>
      <c r="Q503" t="s">
        <v>2270</v>
      </c>
      <c r="R503" t="s">
        <v>2275</v>
      </c>
      <c r="S503" t="s">
        <v>2281</v>
      </c>
      <c r="T503" t="s">
        <v>2288</v>
      </c>
      <c r="V503">
        <v>365</v>
      </c>
      <c r="W503">
        <v>55</v>
      </c>
      <c r="X503">
        <v>54.52</v>
      </c>
      <c r="Y503">
        <v>94.96</v>
      </c>
      <c r="Z503" t="s">
        <v>2292</v>
      </c>
      <c r="AA503" t="s">
        <v>2299</v>
      </c>
      <c r="AB503">
        <v>240</v>
      </c>
      <c r="AC503">
        <v>36</v>
      </c>
      <c r="AD503">
        <v>204</v>
      </c>
      <c r="AE503">
        <v>109.04</v>
      </c>
      <c r="AF503">
        <v>94.96</v>
      </c>
      <c r="AG503">
        <v>2024</v>
      </c>
      <c r="AH503">
        <v>1</v>
      </c>
      <c r="AI503" t="s">
        <v>2302</v>
      </c>
      <c r="AJ503" t="s">
        <v>2313</v>
      </c>
    </row>
    <row r="504" spans="1:36" x14ac:dyDescent="0.3">
      <c r="A504" t="s">
        <v>538</v>
      </c>
      <c r="B504" s="2">
        <v>45322</v>
      </c>
      <c r="C504" t="s">
        <v>1733</v>
      </c>
      <c r="D504" t="s">
        <v>1893</v>
      </c>
      <c r="E504" t="s">
        <v>2113</v>
      </c>
      <c r="F504" t="s">
        <v>2240</v>
      </c>
      <c r="G504" t="s">
        <v>2244</v>
      </c>
      <c r="H504" t="s">
        <v>2257</v>
      </c>
      <c r="I504" t="s">
        <v>2262</v>
      </c>
      <c r="J504" t="s">
        <v>2265</v>
      </c>
      <c r="K504">
        <v>1</v>
      </c>
      <c r="L504">
        <v>130</v>
      </c>
      <c r="M504">
        <v>0.1</v>
      </c>
      <c r="N504">
        <v>130</v>
      </c>
      <c r="O504">
        <v>117</v>
      </c>
      <c r="P504" t="s">
        <v>2267</v>
      </c>
      <c r="Q504" t="s">
        <v>2272</v>
      </c>
      <c r="R504" t="s">
        <v>2273</v>
      </c>
      <c r="S504" t="s">
        <v>2286</v>
      </c>
      <c r="T504" t="s">
        <v>2290</v>
      </c>
      <c r="V504">
        <v>176</v>
      </c>
      <c r="W504">
        <v>52</v>
      </c>
      <c r="X504">
        <v>42.29</v>
      </c>
      <c r="Y504">
        <v>74.709999999999994</v>
      </c>
      <c r="Z504" t="s">
        <v>2293</v>
      </c>
      <c r="AA504" t="s">
        <v>2297</v>
      </c>
      <c r="AB504">
        <v>130</v>
      </c>
      <c r="AC504">
        <v>13</v>
      </c>
      <c r="AD504">
        <v>117</v>
      </c>
      <c r="AE504">
        <v>42.29</v>
      </c>
      <c r="AF504">
        <v>74.710000000000008</v>
      </c>
      <c r="AG504">
        <v>2024</v>
      </c>
      <c r="AH504">
        <v>1</v>
      </c>
      <c r="AI504" t="s">
        <v>2302</v>
      </c>
      <c r="AJ504" t="s">
        <v>2312</v>
      </c>
    </row>
    <row r="505" spans="1:36" x14ac:dyDescent="0.3">
      <c r="A505" t="s">
        <v>539</v>
      </c>
      <c r="B505" s="2">
        <v>45357</v>
      </c>
      <c r="C505" t="s">
        <v>1688</v>
      </c>
      <c r="D505" t="s">
        <v>1752</v>
      </c>
      <c r="E505" t="s">
        <v>2164</v>
      </c>
      <c r="F505" t="s">
        <v>2240</v>
      </c>
      <c r="G505" t="s">
        <v>2256</v>
      </c>
      <c r="H505" t="s">
        <v>2261</v>
      </c>
      <c r="I505" t="s">
        <v>2260</v>
      </c>
      <c r="K505">
        <v>1</v>
      </c>
      <c r="L505">
        <v>190</v>
      </c>
      <c r="M505">
        <v>0</v>
      </c>
      <c r="N505">
        <v>190</v>
      </c>
      <c r="O505">
        <v>190</v>
      </c>
      <c r="P505" t="s">
        <v>2267</v>
      </c>
      <c r="R505" t="s">
        <v>2275</v>
      </c>
      <c r="S505" t="s">
        <v>2284</v>
      </c>
      <c r="T505" t="s">
        <v>2288</v>
      </c>
      <c r="V505">
        <v>445</v>
      </c>
      <c r="W505">
        <v>28</v>
      </c>
      <c r="X505">
        <v>109.4</v>
      </c>
      <c r="Y505">
        <v>80.599999999999994</v>
      </c>
      <c r="Z505" t="s">
        <v>2293</v>
      </c>
      <c r="AA505" t="s">
        <v>2297</v>
      </c>
      <c r="AB505">
        <v>190</v>
      </c>
      <c r="AC505">
        <v>0</v>
      </c>
      <c r="AD505">
        <v>190</v>
      </c>
      <c r="AE505">
        <v>109.4</v>
      </c>
      <c r="AF505">
        <v>80.599999999999994</v>
      </c>
      <c r="AG505">
        <v>2024</v>
      </c>
      <c r="AH505">
        <v>3</v>
      </c>
      <c r="AI505" t="s">
        <v>2305</v>
      </c>
      <c r="AJ505" t="s">
        <v>2312</v>
      </c>
    </row>
    <row r="506" spans="1:36" x14ac:dyDescent="0.3">
      <c r="A506" t="s">
        <v>540</v>
      </c>
      <c r="B506" s="2">
        <v>45383</v>
      </c>
      <c r="C506" t="s">
        <v>1727</v>
      </c>
      <c r="D506" t="s">
        <v>1901</v>
      </c>
      <c r="E506" t="s">
        <v>2140</v>
      </c>
      <c r="F506" t="s">
        <v>2239</v>
      </c>
      <c r="G506" t="s">
        <v>2248</v>
      </c>
      <c r="H506" t="s">
        <v>2257</v>
      </c>
      <c r="I506" t="s">
        <v>2262</v>
      </c>
      <c r="J506" t="s">
        <v>2265</v>
      </c>
      <c r="L506">
        <v>145</v>
      </c>
      <c r="M506">
        <v>0.05</v>
      </c>
      <c r="N506">
        <v>290</v>
      </c>
      <c r="O506">
        <v>275.5</v>
      </c>
      <c r="P506" t="s">
        <v>2269</v>
      </c>
      <c r="R506" t="s">
        <v>2273</v>
      </c>
      <c r="S506" t="s">
        <v>2285</v>
      </c>
      <c r="T506" t="s">
        <v>2288</v>
      </c>
      <c r="U506">
        <v>3</v>
      </c>
      <c r="W506">
        <v>20</v>
      </c>
      <c r="X506">
        <v>83.06</v>
      </c>
      <c r="Y506">
        <v>109.38</v>
      </c>
      <c r="Z506" t="s">
        <v>1761</v>
      </c>
      <c r="AA506" t="s">
        <v>2297</v>
      </c>
      <c r="AG506">
        <v>2024</v>
      </c>
      <c r="AH506">
        <v>4</v>
      </c>
      <c r="AI506" t="s">
        <v>2308</v>
      </c>
      <c r="AJ506" t="s">
        <v>2314</v>
      </c>
    </row>
    <row r="507" spans="1:36" x14ac:dyDescent="0.3">
      <c r="A507" t="s">
        <v>541</v>
      </c>
      <c r="B507" s="2">
        <v>45649</v>
      </c>
      <c r="C507" t="s">
        <v>1672</v>
      </c>
      <c r="D507" t="s">
        <v>1925</v>
      </c>
      <c r="E507" t="s">
        <v>1980</v>
      </c>
      <c r="F507" t="s">
        <v>1761</v>
      </c>
      <c r="G507" t="s">
        <v>2242</v>
      </c>
      <c r="H507" t="s">
        <v>2258</v>
      </c>
      <c r="I507" t="s">
        <v>2260</v>
      </c>
      <c r="J507" t="s">
        <v>2265</v>
      </c>
      <c r="K507">
        <v>2</v>
      </c>
      <c r="L507">
        <v>115</v>
      </c>
      <c r="M507">
        <v>0.1</v>
      </c>
      <c r="N507">
        <v>230</v>
      </c>
      <c r="O507">
        <v>207</v>
      </c>
      <c r="P507" t="s">
        <v>2267</v>
      </c>
      <c r="Q507" t="s">
        <v>2272</v>
      </c>
      <c r="R507" t="s">
        <v>2279</v>
      </c>
      <c r="S507" t="s">
        <v>2284</v>
      </c>
      <c r="T507" t="s">
        <v>2288</v>
      </c>
      <c r="U507">
        <v>1</v>
      </c>
      <c r="V507">
        <v>329</v>
      </c>
      <c r="W507">
        <v>46</v>
      </c>
      <c r="X507">
        <v>42.68</v>
      </c>
      <c r="Y507">
        <v>121.64</v>
      </c>
      <c r="Z507" t="s">
        <v>2293</v>
      </c>
      <c r="AA507" t="s">
        <v>1761</v>
      </c>
      <c r="AB507">
        <v>230</v>
      </c>
      <c r="AC507">
        <v>23</v>
      </c>
      <c r="AD507">
        <v>207</v>
      </c>
      <c r="AE507">
        <v>85.36</v>
      </c>
      <c r="AF507">
        <v>121.64</v>
      </c>
      <c r="AG507">
        <v>2024</v>
      </c>
      <c r="AH507">
        <v>12</v>
      </c>
      <c r="AI507" t="s">
        <v>2309</v>
      </c>
      <c r="AJ507" t="s">
        <v>2314</v>
      </c>
    </row>
    <row r="508" spans="1:36" x14ac:dyDescent="0.3">
      <c r="A508" t="s">
        <v>542</v>
      </c>
      <c r="B508" s="2">
        <v>45634</v>
      </c>
      <c r="C508" t="s">
        <v>1739</v>
      </c>
      <c r="D508" t="s">
        <v>1779</v>
      </c>
      <c r="E508" t="s">
        <v>2073</v>
      </c>
      <c r="F508" t="s">
        <v>2239</v>
      </c>
      <c r="G508" t="s">
        <v>2248</v>
      </c>
      <c r="H508" t="s">
        <v>2257</v>
      </c>
      <c r="I508" t="s">
        <v>2262</v>
      </c>
      <c r="J508" t="s">
        <v>2265</v>
      </c>
      <c r="K508">
        <v>1</v>
      </c>
      <c r="L508">
        <v>140</v>
      </c>
      <c r="M508">
        <v>0.1</v>
      </c>
      <c r="N508">
        <v>140</v>
      </c>
      <c r="O508">
        <v>126</v>
      </c>
      <c r="P508" t="s">
        <v>2267</v>
      </c>
      <c r="Q508" t="s">
        <v>2270</v>
      </c>
      <c r="R508" t="s">
        <v>2275</v>
      </c>
      <c r="S508" t="s">
        <v>2286</v>
      </c>
      <c r="T508" t="s">
        <v>2290</v>
      </c>
      <c r="U508">
        <v>3</v>
      </c>
      <c r="V508">
        <v>38</v>
      </c>
      <c r="W508">
        <v>46</v>
      </c>
      <c r="X508">
        <v>63.51</v>
      </c>
      <c r="Y508">
        <v>62.49</v>
      </c>
      <c r="Z508" t="s">
        <v>1761</v>
      </c>
      <c r="AA508" t="s">
        <v>2297</v>
      </c>
      <c r="AB508">
        <v>140</v>
      </c>
      <c r="AC508">
        <v>14</v>
      </c>
      <c r="AD508">
        <v>126</v>
      </c>
      <c r="AE508">
        <v>63.51</v>
      </c>
      <c r="AF508">
        <v>62.49</v>
      </c>
      <c r="AG508">
        <v>2024</v>
      </c>
      <c r="AH508">
        <v>12</v>
      </c>
      <c r="AI508" t="s">
        <v>2309</v>
      </c>
      <c r="AJ508" t="s">
        <v>2318</v>
      </c>
    </row>
    <row r="509" spans="1:36" x14ac:dyDescent="0.3">
      <c r="A509" t="s">
        <v>543</v>
      </c>
      <c r="B509" s="2">
        <v>45369</v>
      </c>
      <c r="C509" t="s">
        <v>1643</v>
      </c>
      <c r="D509" t="s">
        <v>1772</v>
      </c>
      <c r="E509" t="s">
        <v>2180</v>
      </c>
      <c r="F509" t="s">
        <v>2239</v>
      </c>
      <c r="G509" t="s">
        <v>2244</v>
      </c>
      <c r="H509" t="s">
        <v>2257</v>
      </c>
      <c r="I509" t="s">
        <v>2262</v>
      </c>
      <c r="J509" t="s">
        <v>2264</v>
      </c>
      <c r="K509">
        <v>4</v>
      </c>
      <c r="L509">
        <v>120</v>
      </c>
      <c r="M509">
        <v>0.1</v>
      </c>
      <c r="N509">
        <v>480</v>
      </c>
      <c r="O509">
        <v>432</v>
      </c>
      <c r="P509" t="s">
        <v>2269</v>
      </c>
      <c r="Q509" t="s">
        <v>2270</v>
      </c>
      <c r="R509" t="s">
        <v>2274</v>
      </c>
      <c r="S509" t="s">
        <v>2285</v>
      </c>
      <c r="T509" t="s">
        <v>2288</v>
      </c>
      <c r="U509">
        <v>1</v>
      </c>
      <c r="V509">
        <v>83</v>
      </c>
      <c r="X509">
        <v>65.599999999999994</v>
      </c>
      <c r="Y509">
        <v>169.6</v>
      </c>
      <c r="Z509" t="s">
        <v>2291</v>
      </c>
      <c r="AA509" t="s">
        <v>2296</v>
      </c>
      <c r="AB509">
        <v>480</v>
      </c>
      <c r="AC509">
        <v>48</v>
      </c>
      <c r="AD509">
        <v>432</v>
      </c>
      <c r="AE509">
        <v>262.39999999999998</v>
      </c>
      <c r="AF509">
        <v>169.6</v>
      </c>
      <c r="AG509">
        <v>2024</v>
      </c>
      <c r="AH509">
        <v>3</v>
      </c>
      <c r="AI509" t="s">
        <v>2305</v>
      </c>
      <c r="AJ509" t="s">
        <v>2314</v>
      </c>
    </row>
    <row r="510" spans="1:36" x14ac:dyDescent="0.3">
      <c r="A510" t="s">
        <v>544</v>
      </c>
      <c r="B510" s="2">
        <v>45383</v>
      </c>
      <c r="C510" t="s">
        <v>1677</v>
      </c>
      <c r="D510" t="s">
        <v>1761</v>
      </c>
      <c r="E510" t="s">
        <v>2102</v>
      </c>
      <c r="F510" t="s">
        <v>2240</v>
      </c>
      <c r="G510" t="s">
        <v>2249</v>
      </c>
      <c r="H510" t="s">
        <v>2257</v>
      </c>
      <c r="I510" t="s">
        <v>2263</v>
      </c>
      <c r="J510" t="s">
        <v>2266</v>
      </c>
      <c r="K510">
        <v>2</v>
      </c>
      <c r="L510">
        <v>170</v>
      </c>
      <c r="M510">
        <v>0</v>
      </c>
      <c r="N510">
        <v>340</v>
      </c>
      <c r="O510">
        <v>340</v>
      </c>
      <c r="P510" t="s">
        <v>2268</v>
      </c>
      <c r="Q510" t="s">
        <v>2271</v>
      </c>
      <c r="R510" t="s">
        <v>2275</v>
      </c>
      <c r="S510" t="s">
        <v>2280</v>
      </c>
      <c r="T510" t="s">
        <v>2288</v>
      </c>
      <c r="U510">
        <v>5</v>
      </c>
      <c r="V510">
        <v>498</v>
      </c>
      <c r="X510">
        <v>89.46</v>
      </c>
      <c r="Y510">
        <v>161.08000000000001</v>
      </c>
      <c r="Z510" t="s">
        <v>2293</v>
      </c>
      <c r="AA510" t="s">
        <v>1761</v>
      </c>
      <c r="AB510">
        <v>340</v>
      </c>
      <c r="AC510">
        <v>0</v>
      </c>
      <c r="AD510">
        <v>340</v>
      </c>
      <c r="AE510">
        <v>178.92</v>
      </c>
      <c r="AF510">
        <v>161.08000000000001</v>
      </c>
      <c r="AG510">
        <v>2024</v>
      </c>
      <c r="AH510">
        <v>4</v>
      </c>
      <c r="AI510" t="s">
        <v>2308</v>
      </c>
      <c r="AJ510" t="s">
        <v>2314</v>
      </c>
    </row>
    <row r="511" spans="1:36" x14ac:dyDescent="0.3">
      <c r="A511" t="s">
        <v>545</v>
      </c>
      <c r="B511" s="2">
        <v>45568</v>
      </c>
      <c r="C511" t="s">
        <v>1735</v>
      </c>
      <c r="D511" t="s">
        <v>1798</v>
      </c>
      <c r="E511" t="s">
        <v>1957</v>
      </c>
      <c r="F511" t="s">
        <v>2240</v>
      </c>
      <c r="G511" t="s">
        <v>2245</v>
      </c>
      <c r="H511" t="s">
        <v>2257</v>
      </c>
      <c r="I511" t="s">
        <v>2263</v>
      </c>
      <c r="J511" t="s">
        <v>2266</v>
      </c>
      <c r="K511">
        <v>1</v>
      </c>
      <c r="L511">
        <v>150</v>
      </c>
      <c r="M511">
        <v>0.1</v>
      </c>
      <c r="N511">
        <v>150</v>
      </c>
      <c r="O511">
        <v>135</v>
      </c>
      <c r="Q511" t="s">
        <v>2270</v>
      </c>
      <c r="R511" t="s">
        <v>2279</v>
      </c>
      <c r="S511" t="s">
        <v>2280</v>
      </c>
      <c r="T511" t="s">
        <v>2288</v>
      </c>
      <c r="X511">
        <v>83.41</v>
      </c>
      <c r="Y511">
        <v>51.59</v>
      </c>
      <c r="Z511" t="s">
        <v>1761</v>
      </c>
      <c r="AA511" t="s">
        <v>2297</v>
      </c>
      <c r="AB511">
        <v>150</v>
      </c>
      <c r="AC511">
        <v>15</v>
      </c>
      <c r="AD511">
        <v>135</v>
      </c>
      <c r="AE511">
        <v>83.41</v>
      </c>
      <c r="AF511">
        <v>51.59</v>
      </c>
      <c r="AG511">
        <v>2024</v>
      </c>
      <c r="AH511">
        <v>10</v>
      </c>
      <c r="AI511" t="s">
        <v>2310</v>
      </c>
      <c r="AJ511" t="s">
        <v>2316</v>
      </c>
    </row>
    <row r="512" spans="1:36" x14ac:dyDescent="0.3">
      <c r="A512" t="s">
        <v>546</v>
      </c>
      <c r="B512" s="2">
        <v>45378</v>
      </c>
      <c r="C512" t="s">
        <v>1701</v>
      </c>
      <c r="D512" t="s">
        <v>1745</v>
      </c>
      <c r="E512" t="s">
        <v>1761</v>
      </c>
      <c r="F512" t="s">
        <v>2240</v>
      </c>
      <c r="G512" t="s">
        <v>2248</v>
      </c>
      <c r="H512" t="s">
        <v>2257</v>
      </c>
      <c r="I512" t="s">
        <v>2262</v>
      </c>
      <c r="J512" t="s">
        <v>2266</v>
      </c>
      <c r="K512">
        <v>2</v>
      </c>
      <c r="L512">
        <v>150</v>
      </c>
      <c r="M512">
        <v>0</v>
      </c>
      <c r="N512">
        <v>300</v>
      </c>
      <c r="O512">
        <v>300</v>
      </c>
      <c r="P512" t="s">
        <v>2269</v>
      </c>
      <c r="Q512" t="s">
        <v>2272</v>
      </c>
      <c r="R512" t="s">
        <v>2278</v>
      </c>
      <c r="S512" t="s">
        <v>2283</v>
      </c>
      <c r="T512" t="s">
        <v>2288</v>
      </c>
      <c r="U512">
        <v>3</v>
      </c>
      <c r="V512">
        <v>158</v>
      </c>
      <c r="X512">
        <v>81.239999999999995</v>
      </c>
      <c r="Y512">
        <v>137.52000000000001</v>
      </c>
      <c r="Z512" t="s">
        <v>2292</v>
      </c>
      <c r="AA512" t="s">
        <v>1761</v>
      </c>
      <c r="AB512">
        <v>300</v>
      </c>
      <c r="AC512">
        <v>0</v>
      </c>
      <c r="AD512">
        <v>300</v>
      </c>
      <c r="AE512">
        <v>162.47999999999999</v>
      </c>
      <c r="AF512">
        <v>137.52000000000001</v>
      </c>
      <c r="AG512">
        <v>2024</v>
      </c>
      <c r="AH512">
        <v>3</v>
      </c>
      <c r="AI512" t="s">
        <v>2305</v>
      </c>
      <c r="AJ512" t="s">
        <v>2312</v>
      </c>
    </row>
    <row r="513" spans="1:36" x14ac:dyDescent="0.3">
      <c r="A513" t="s">
        <v>547</v>
      </c>
      <c r="B513" s="2">
        <v>45421</v>
      </c>
      <c r="C513" t="s">
        <v>1678</v>
      </c>
      <c r="D513" t="s">
        <v>1818</v>
      </c>
      <c r="E513" t="s">
        <v>1949</v>
      </c>
      <c r="F513" t="s">
        <v>2239</v>
      </c>
      <c r="G513" t="s">
        <v>2247</v>
      </c>
      <c r="H513" t="s">
        <v>2257</v>
      </c>
      <c r="I513" t="s">
        <v>2262</v>
      </c>
      <c r="K513">
        <v>1</v>
      </c>
      <c r="L513">
        <v>100</v>
      </c>
      <c r="M513">
        <v>0.1</v>
      </c>
      <c r="N513">
        <v>100</v>
      </c>
      <c r="O513">
        <v>90</v>
      </c>
      <c r="P513" t="s">
        <v>2269</v>
      </c>
      <c r="Q513" t="s">
        <v>2272</v>
      </c>
      <c r="R513" t="s">
        <v>2273</v>
      </c>
      <c r="S513" t="s">
        <v>2285</v>
      </c>
      <c r="T513" t="s">
        <v>2288</v>
      </c>
      <c r="U513">
        <v>4</v>
      </c>
      <c r="V513">
        <v>126</v>
      </c>
      <c r="W513">
        <v>25</v>
      </c>
      <c r="X513">
        <v>51.38</v>
      </c>
      <c r="Y513">
        <v>38.619999999999997</v>
      </c>
      <c r="Z513" t="s">
        <v>1761</v>
      </c>
      <c r="AA513" t="s">
        <v>2299</v>
      </c>
      <c r="AB513">
        <v>100</v>
      </c>
      <c r="AC513">
        <v>10</v>
      </c>
      <c r="AD513">
        <v>90</v>
      </c>
      <c r="AE513">
        <v>51.38</v>
      </c>
      <c r="AF513">
        <v>38.619999999999997</v>
      </c>
      <c r="AG513">
        <v>2024</v>
      </c>
      <c r="AH513">
        <v>5</v>
      </c>
      <c r="AI513" t="s">
        <v>2306</v>
      </c>
      <c r="AJ513" t="s">
        <v>2316</v>
      </c>
    </row>
    <row r="514" spans="1:36" x14ac:dyDescent="0.3">
      <c r="A514" t="s">
        <v>548</v>
      </c>
      <c r="B514" s="2">
        <v>45390</v>
      </c>
      <c r="C514" t="s">
        <v>1648</v>
      </c>
      <c r="D514" t="s">
        <v>1907</v>
      </c>
      <c r="E514" t="s">
        <v>1761</v>
      </c>
      <c r="F514" t="s">
        <v>1761</v>
      </c>
      <c r="G514" t="s">
        <v>2251</v>
      </c>
      <c r="H514" t="s">
        <v>2258</v>
      </c>
      <c r="I514" t="s">
        <v>2260</v>
      </c>
      <c r="J514" t="s">
        <v>2265</v>
      </c>
      <c r="K514">
        <v>1</v>
      </c>
      <c r="L514">
        <v>110</v>
      </c>
      <c r="M514">
        <v>0.05</v>
      </c>
      <c r="N514">
        <v>110</v>
      </c>
      <c r="O514">
        <v>104.5</v>
      </c>
      <c r="P514" t="s">
        <v>2269</v>
      </c>
      <c r="Q514" t="s">
        <v>2270</v>
      </c>
      <c r="R514" t="s">
        <v>2276</v>
      </c>
      <c r="S514" t="s">
        <v>2285</v>
      </c>
      <c r="T514" t="s">
        <v>2288</v>
      </c>
      <c r="U514">
        <v>3</v>
      </c>
      <c r="V514">
        <v>263</v>
      </c>
      <c r="X514">
        <v>52.72</v>
      </c>
      <c r="Y514">
        <v>51.78</v>
      </c>
      <c r="Z514" t="s">
        <v>2293</v>
      </c>
      <c r="AA514" t="s">
        <v>1761</v>
      </c>
      <c r="AB514">
        <v>110</v>
      </c>
      <c r="AC514">
        <v>5.5</v>
      </c>
      <c r="AD514">
        <v>104.5</v>
      </c>
      <c r="AE514">
        <v>52.72</v>
      </c>
      <c r="AF514">
        <v>51.78</v>
      </c>
      <c r="AG514">
        <v>2024</v>
      </c>
      <c r="AH514">
        <v>4</v>
      </c>
      <c r="AI514" t="s">
        <v>2308</v>
      </c>
      <c r="AJ514" t="s">
        <v>2314</v>
      </c>
    </row>
    <row r="515" spans="1:36" x14ac:dyDescent="0.3">
      <c r="A515" t="s">
        <v>549</v>
      </c>
      <c r="B515" s="2">
        <v>45466</v>
      </c>
      <c r="C515" t="s">
        <v>1660</v>
      </c>
      <c r="D515" t="s">
        <v>1923</v>
      </c>
      <c r="E515" t="s">
        <v>2127</v>
      </c>
      <c r="F515" t="s">
        <v>2240</v>
      </c>
      <c r="G515" t="s">
        <v>2249</v>
      </c>
      <c r="H515" t="s">
        <v>2257</v>
      </c>
      <c r="I515" t="s">
        <v>2263</v>
      </c>
      <c r="J515" t="s">
        <v>2266</v>
      </c>
      <c r="K515">
        <v>4</v>
      </c>
      <c r="L515">
        <v>155</v>
      </c>
      <c r="M515">
        <v>0.1</v>
      </c>
      <c r="N515">
        <v>620</v>
      </c>
      <c r="O515">
        <v>558</v>
      </c>
      <c r="P515" t="s">
        <v>2268</v>
      </c>
      <c r="Q515" t="s">
        <v>2271</v>
      </c>
      <c r="R515" t="s">
        <v>2273</v>
      </c>
      <c r="S515" t="s">
        <v>2284</v>
      </c>
      <c r="T515" t="s">
        <v>2290</v>
      </c>
      <c r="U515">
        <v>1</v>
      </c>
      <c r="V515">
        <v>145</v>
      </c>
      <c r="W515">
        <v>13</v>
      </c>
      <c r="X515">
        <v>91.85</v>
      </c>
      <c r="Y515">
        <v>190.6</v>
      </c>
      <c r="Z515" t="s">
        <v>2293</v>
      </c>
      <c r="AA515" t="s">
        <v>2299</v>
      </c>
      <c r="AB515">
        <v>620</v>
      </c>
      <c r="AC515">
        <v>62</v>
      </c>
      <c r="AD515">
        <v>558</v>
      </c>
      <c r="AE515">
        <v>367.4</v>
      </c>
      <c r="AF515">
        <v>190.6</v>
      </c>
      <c r="AG515">
        <v>2024</v>
      </c>
      <c r="AH515">
        <v>6</v>
      </c>
      <c r="AI515" t="s">
        <v>2304</v>
      </c>
      <c r="AJ515" t="s">
        <v>2318</v>
      </c>
    </row>
    <row r="516" spans="1:36" x14ac:dyDescent="0.3">
      <c r="A516" t="s">
        <v>550</v>
      </c>
      <c r="B516" s="2">
        <v>45654</v>
      </c>
      <c r="C516" t="s">
        <v>1688</v>
      </c>
      <c r="D516" t="s">
        <v>1826</v>
      </c>
      <c r="E516" t="s">
        <v>2181</v>
      </c>
      <c r="F516" t="s">
        <v>2239</v>
      </c>
      <c r="G516" t="s">
        <v>2254</v>
      </c>
      <c r="H516" t="s">
        <v>2259</v>
      </c>
      <c r="I516" t="s">
        <v>2263</v>
      </c>
      <c r="J516" t="s">
        <v>2265</v>
      </c>
      <c r="K516">
        <v>2</v>
      </c>
      <c r="L516">
        <v>115</v>
      </c>
      <c r="M516">
        <v>0.1</v>
      </c>
      <c r="N516">
        <v>230</v>
      </c>
      <c r="O516">
        <v>207</v>
      </c>
      <c r="P516" t="s">
        <v>2268</v>
      </c>
      <c r="Q516" t="s">
        <v>2271</v>
      </c>
      <c r="R516" t="s">
        <v>2279</v>
      </c>
      <c r="S516" t="s">
        <v>2285</v>
      </c>
      <c r="T516" t="s">
        <v>2288</v>
      </c>
      <c r="U516">
        <v>5</v>
      </c>
      <c r="V516">
        <v>412</v>
      </c>
      <c r="W516">
        <v>43</v>
      </c>
      <c r="X516">
        <v>44.03</v>
      </c>
      <c r="Y516">
        <v>118.94</v>
      </c>
      <c r="Z516" t="s">
        <v>2291</v>
      </c>
      <c r="AA516" t="s">
        <v>2296</v>
      </c>
      <c r="AB516">
        <v>230</v>
      </c>
      <c r="AC516">
        <v>23</v>
      </c>
      <c r="AD516">
        <v>207</v>
      </c>
      <c r="AE516">
        <v>88.06</v>
      </c>
      <c r="AF516">
        <v>118.94</v>
      </c>
      <c r="AG516">
        <v>2024</v>
      </c>
      <c r="AH516">
        <v>12</v>
      </c>
      <c r="AI516" t="s">
        <v>2309</v>
      </c>
      <c r="AJ516" t="s">
        <v>2317</v>
      </c>
    </row>
    <row r="517" spans="1:36" x14ac:dyDescent="0.3">
      <c r="A517" t="s">
        <v>551</v>
      </c>
      <c r="B517" s="2">
        <v>45398</v>
      </c>
      <c r="C517" t="s">
        <v>1667</v>
      </c>
      <c r="D517" t="s">
        <v>1926</v>
      </c>
      <c r="E517" t="s">
        <v>2182</v>
      </c>
      <c r="F517" t="s">
        <v>2239</v>
      </c>
      <c r="G517" t="s">
        <v>2243</v>
      </c>
      <c r="H517" t="s">
        <v>2258</v>
      </c>
      <c r="I517" t="s">
        <v>2260</v>
      </c>
      <c r="J517" t="s">
        <v>2264</v>
      </c>
      <c r="K517">
        <v>1</v>
      </c>
      <c r="L517">
        <v>70</v>
      </c>
      <c r="M517">
        <v>0.05</v>
      </c>
      <c r="N517">
        <v>70</v>
      </c>
      <c r="O517">
        <v>66.5</v>
      </c>
      <c r="P517" t="s">
        <v>2267</v>
      </c>
      <c r="Q517" t="s">
        <v>2270</v>
      </c>
      <c r="R517" t="s">
        <v>2276</v>
      </c>
      <c r="S517" t="s">
        <v>2280</v>
      </c>
      <c r="T517" t="s">
        <v>2288</v>
      </c>
      <c r="U517">
        <v>5</v>
      </c>
      <c r="V517">
        <v>255</v>
      </c>
      <c r="W517">
        <v>45</v>
      </c>
      <c r="X517">
        <v>34.46</v>
      </c>
      <c r="Y517">
        <v>32.04</v>
      </c>
      <c r="Z517" t="s">
        <v>2294</v>
      </c>
      <c r="AA517" t="s">
        <v>2296</v>
      </c>
      <c r="AB517">
        <v>70</v>
      </c>
      <c r="AC517">
        <v>3.5</v>
      </c>
      <c r="AD517">
        <v>66.5</v>
      </c>
      <c r="AE517">
        <v>34.46</v>
      </c>
      <c r="AF517">
        <v>32.04</v>
      </c>
      <c r="AG517">
        <v>2024</v>
      </c>
      <c r="AH517">
        <v>4</v>
      </c>
      <c r="AI517" t="s">
        <v>2308</v>
      </c>
      <c r="AJ517" t="s">
        <v>2313</v>
      </c>
    </row>
    <row r="518" spans="1:36" x14ac:dyDescent="0.3">
      <c r="A518" t="s">
        <v>552</v>
      </c>
      <c r="B518" s="2">
        <v>45479</v>
      </c>
      <c r="C518" t="s">
        <v>1700</v>
      </c>
      <c r="D518" t="s">
        <v>1846</v>
      </c>
      <c r="E518" t="s">
        <v>2093</v>
      </c>
      <c r="F518" t="s">
        <v>1761</v>
      </c>
      <c r="G518" t="s">
        <v>2253</v>
      </c>
      <c r="H518" t="s">
        <v>2258</v>
      </c>
      <c r="I518" t="s">
        <v>2260</v>
      </c>
      <c r="K518">
        <v>2</v>
      </c>
      <c r="L518">
        <v>90</v>
      </c>
      <c r="M518">
        <v>0</v>
      </c>
      <c r="N518">
        <v>180</v>
      </c>
      <c r="O518">
        <v>180</v>
      </c>
      <c r="P518" t="s">
        <v>2267</v>
      </c>
      <c r="Q518" t="s">
        <v>2270</v>
      </c>
      <c r="R518" t="s">
        <v>2276</v>
      </c>
      <c r="S518" t="s">
        <v>2285</v>
      </c>
      <c r="T518" t="s">
        <v>2289</v>
      </c>
      <c r="U518">
        <v>5</v>
      </c>
      <c r="V518">
        <v>401</v>
      </c>
      <c r="W518">
        <v>47</v>
      </c>
      <c r="X518">
        <v>44.72</v>
      </c>
      <c r="Y518">
        <v>90.56</v>
      </c>
      <c r="Z518" t="s">
        <v>2291</v>
      </c>
      <c r="AA518" t="s">
        <v>2296</v>
      </c>
      <c r="AB518">
        <v>180</v>
      </c>
      <c r="AC518">
        <v>0</v>
      </c>
      <c r="AD518">
        <v>180</v>
      </c>
      <c r="AE518">
        <v>89.44</v>
      </c>
      <c r="AF518">
        <v>90.56</v>
      </c>
      <c r="AG518">
        <v>2024</v>
      </c>
      <c r="AH518">
        <v>7</v>
      </c>
      <c r="AI518" t="s">
        <v>2307</v>
      </c>
      <c r="AJ518" t="s">
        <v>2317</v>
      </c>
    </row>
    <row r="519" spans="1:36" x14ac:dyDescent="0.3">
      <c r="A519" t="s">
        <v>553</v>
      </c>
      <c r="B519" s="2">
        <v>45443</v>
      </c>
      <c r="C519" t="s">
        <v>1661</v>
      </c>
      <c r="D519" t="s">
        <v>1773</v>
      </c>
      <c r="E519" t="s">
        <v>2106</v>
      </c>
      <c r="F519" t="s">
        <v>2238</v>
      </c>
      <c r="G519" t="s">
        <v>2251</v>
      </c>
      <c r="H519" t="s">
        <v>2258</v>
      </c>
      <c r="I519" t="s">
        <v>2260</v>
      </c>
      <c r="J519" t="s">
        <v>2265</v>
      </c>
      <c r="K519">
        <v>2</v>
      </c>
      <c r="L519">
        <v>95</v>
      </c>
      <c r="M519">
        <v>0.05</v>
      </c>
      <c r="N519">
        <v>190</v>
      </c>
      <c r="O519">
        <v>180.5</v>
      </c>
      <c r="P519" t="s">
        <v>2269</v>
      </c>
      <c r="R519" t="s">
        <v>2273</v>
      </c>
      <c r="S519" t="s">
        <v>2283</v>
      </c>
      <c r="T519" t="s">
        <v>2290</v>
      </c>
      <c r="U519">
        <v>3</v>
      </c>
      <c r="V519">
        <v>120</v>
      </c>
      <c r="W519">
        <v>17</v>
      </c>
      <c r="X519">
        <v>36.57</v>
      </c>
      <c r="Y519">
        <v>107.36</v>
      </c>
      <c r="Z519" t="s">
        <v>2291</v>
      </c>
      <c r="AA519" t="s">
        <v>2297</v>
      </c>
      <c r="AB519">
        <v>190</v>
      </c>
      <c r="AC519">
        <v>9.5</v>
      </c>
      <c r="AD519">
        <v>180.5</v>
      </c>
      <c r="AE519">
        <v>73.14</v>
      </c>
      <c r="AF519">
        <v>107.36</v>
      </c>
      <c r="AG519">
        <v>2024</v>
      </c>
      <c r="AH519">
        <v>5</v>
      </c>
      <c r="AI519" t="s">
        <v>2306</v>
      </c>
      <c r="AJ519" t="s">
        <v>2315</v>
      </c>
    </row>
    <row r="520" spans="1:36" x14ac:dyDescent="0.3">
      <c r="A520" t="s">
        <v>554</v>
      </c>
      <c r="B520" s="2">
        <v>45372</v>
      </c>
      <c r="C520" t="s">
        <v>1672</v>
      </c>
      <c r="D520" t="s">
        <v>1820</v>
      </c>
      <c r="E520" t="s">
        <v>2070</v>
      </c>
      <c r="F520" t="s">
        <v>2240</v>
      </c>
      <c r="G520" t="s">
        <v>2244</v>
      </c>
      <c r="H520" t="s">
        <v>2257</v>
      </c>
      <c r="I520" t="s">
        <v>2262</v>
      </c>
      <c r="J520" t="s">
        <v>2266</v>
      </c>
      <c r="K520">
        <v>1</v>
      </c>
      <c r="L520">
        <v>125</v>
      </c>
      <c r="M520">
        <v>0.05</v>
      </c>
      <c r="N520">
        <v>125</v>
      </c>
      <c r="O520">
        <v>118.75</v>
      </c>
      <c r="Q520" t="s">
        <v>2272</v>
      </c>
      <c r="R520" t="s">
        <v>2276</v>
      </c>
      <c r="S520" t="s">
        <v>2286</v>
      </c>
      <c r="T520" t="s">
        <v>2290</v>
      </c>
      <c r="U520">
        <v>5</v>
      </c>
      <c r="V520">
        <v>133</v>
      </c>
      <c r="W520">
        <v>37</v>
      </c>
      <c r="X520">
        <v>68.22</v>
      </c>
      <c r="Y520">
        <v>50.53</v>
      </c>
      <c r="Z520" t="s">
        <v>1761</v>
      </c>
      <c r="AA520" t="s">
        <v>2299</v>
      </c>
      <c r="AB520">
        <v>125</v>
      </c>
      <c r="AC520">
        <v>6.25</v>
      </c>
      <c r="AD520">
        <v>118.75</v>
      </c>
      <c r="AE520">
        <v>68.22</v>
      </c>
      <c r="AF520">
        <v>50.53</v>
      </c>
      <c r="AG520">
        <v>2024</v>
      </c>
      <c r="AH520">
        <v>3</v>
      </c>
      <c r="AI520" t="s">
        <v>2305</v>
      </c>
      <c r="AJ520" t="s">
        <v>2316</v>
      </c>
    </row>
    <row r="521" spans="1:36" x14ac:dyDescent="0.3">
      <c r="A521" t="s">
        <v>555</v>
      </c>
      <c r="B521" s="2">
        <v>45626</v>
      </c>
      <c r="C521" t="s">
        <v>1641</v>
      </c>
      <c r="D521" t="s">
        <v>1760</v>
      </c>
      <c r="E521" t="s">
        <v>2183</v>
      </c>
      <c r="F521" t="s">
        <v>2239</v>
      </c>
      <c r="G521" t="s">
        <v>2243</v>
      </c>
      <c r="H521" t="s">
        <v>2258</v>
      </c>
      <c r="I521" t="s">
        <v>2260</v>
      </c>
      <c r="J521" t="s">
        <v>2266</v>
      </c>
      <c r="K521">
        <v>1</v>
      </c>
      <c r="L521">
        <v>75</v>
      </c>
      <c r="M521">
        <v>0</v>
      </c>
      <c r="N521">
        <v>75</v>
      </c>
      <c r="O521">
        <v>75</v>
      </c>
      <c r="P521" t="s">
        <v>2267</v>
      </c>
      <c r="Q521" t="s">
        <v>2270</v>
      </c>
      <c r="R521" t="s">
        <v>2278</v>
      </c>
      <c r="S521" t="s">
        <v>2284</v>
      </c>
      <c r="T521" t="s">
        <v>2289</v>
      </c>
      <c r="U521">
        <v>1</v>
      </c>
      <c r="V521">
        <v>165</v>
      </c>
      <c r="W521">
        <v>15</v>
      </c>
      <c r="X521">
        <v>27.13</v>
      </c>
      <c r="Y521">
        <v>47.87</v>
      </c>
      <c r="Z521" t="s">
        <v>1761</v>
      </c>
      <c r="AA521" t="s">
        <v>2296</v>
      </c>
      <c r="AB521">
        <v>75</v>
      </c>
      <c r="AC521">
        <v>0</v>
      </c>
      <c r="AD521">
        <v>75</v>
      </c>
      <c r="AE521">
        <v>27.13</v>
      </c>
      <c r="AF521">
        <v>47.87</v>
      </c>
      <c r="AG521">
        <v>2024</v>
      </c>
      <c r="AH521">
        <v>11</v>
      </c>
      <c r="AI521" t="s">
        <v>2311</v>
      </c>
      <c r="AJ521" t="s">
        <v>2317</v>
      </c>
    </row>
    <row r="522" spans="1:36" x14ac:dyDescent="0.3">
      <c r="A522" t="s">
        <v>556</v>
      </c>
      <c r="B522" s="2">
        <v>45479</v>
      </c>
      <c r="C522" t="s">
        <v>1725</v>
      </c>
      <c r="D522" t="s">
        <v>1789</v>
      </c>
      <c r="E522" t="s">
        <v>2020</v>
      </c>
      <c r="F522" t="s">
        <v>1761</v>
      </c>
      <c r="G522" t="s">
        <v>2253</v>
      </c>
      <c r="H522" t="s">
        <v>2258</v>
      </c>
      <c r="I522" t="s">
        <v>2260</v>
      </c>
      <c r="J522" t="s">
        <v>2266</v>
      </c>
      <c r="K522">
        <v>1</v>
      </c>
      <c r="L522">
        <v>95</v>
      </c>
      <c r="M522">
        <v>0.1</v>
      </c>
      <c r="N522">
        <v>95</v>
      </c>
      <c r="O522">
        <v>85.5</v>
      </c>
      <c r="P522" t="s">
        <v>2267</v>
      </c>
      <c r="Q522" t="s">
        <v>2272</v>
      </c>
      <c r="R522" t="s">
        <v>2276</v>
      </c>
      <c r="S522" t="s">
        <v>2287</v>
      </c>
      <c r="T522" t="s">
        <v>2288</v>
      </c>
      <c r="U522">
        <v>5</v>
      </c>
      <c r="V522">
        <v>248</v>
      </c>
      <c r="X522">
        <v>36.119999999999997</v>
      </c>
      <c r="Y522">
        <v>49.38</v>
      </c>
      <c r="Z522" t="s">
        <v>2293</v>
      </c>
      <c r="AA522" t="s">
        <v>2296</v>
      </c>
      <c r="AB522">
        <v>95</v>
      </c>
      <c r="AC522">
        <v>9.5</v>
      </c>
      <c r="AD522">
        <v>85.5</v>
      </c>
      <c r="AE522">
        <v>36.119999999999997</v>
      </c>
      <c r="AF522">
        <v>49.38</v>
      </c>
      <c r="AG522">
        <v>2024</v>
      </c>
      <c r="AH522">
        <v>7</v>
      </c>
      <c r="AI522" t="s">
        <v>2307</v>
      </c>
      <c r="AJ522" t="s">
        <v>2317</v>
      </c>
    </row>
    <row r="523" spans="1:36" x14ac:dyDescent="0.3">
      <c r="A523" t="s">
        <v>557</v>
      </c>
      <c r="B523" s="2">
        <v>45392</v>
      </c>
      <c r="C523" t="s">
        <v>1639</v>
      </c>
      <c r="D523" t="s">
        <v>1882</v>
      </c>
      <c r="E523" t="s">
        <v>2184</v>
      </c>
      <c r="F523" t="s">
        <v>2240</v>
      </c>
      <c r="G523" t="s">
        <v>2242</v>
      </c>
      <c r="H523" t="s">
        <v>2258</v>
      </c>
      <c r="I523" t="s">
        <v>2260</v>
      </c>
      <c r="J523" t="s">
        <v>2264</v>
      </c>
      <c r="K523">
        <v>3</v>
      </c>
      <c r="L523">
        <v>120</v>
      </c>
      <c r="M523">
        <v>0.1</v>
      </c>
      <c r="N523">
        <v>360</v>
      </c>
      <c r="O523">
        <v>324</v>
      </c>
      <c r="P523" t="s">
        <v>2268</v>
      </c>
      <c r="Q523" t="s">
        <v>2272</v>
      </c>
      <c r="R523" t="s">
        <v>2273</v>
      </c>
      <c r="S523" t="s">
        <v>2281</v>
      </c>
      <c r="T523" t="s">
        <v>2289</v>
      </c>
      <c r="U523">
        <v>4</v>
      </c>
      <c r="V523">
        <v>393</v>
      </c>
      <c r="W523">
        <v>12</v>
      </c>
      <c r="X523">
        <v>69.010000000000005</v>
      </c>
      <c r="Y523">
        <v>116.97</v>
      </c>
      <c r="Z523" t="s">
        <v>2291</v>
      </c>
      <c r="AA523" t="s">
        <v>2298</v>
      </c>
      <c r="AB523">
        <v>360</v>
      </c>
      <c r="AC523">
        <v>36</v>
      </c>
      <c r="AD523">
        <v>324</v>
      </c>
      <c r="AE523">
        <v>207.03</v>
      </c>
      <c r="AF523">
        <v>116.97</v>
      </c>
      <c r="AG523">
        <v>2024</v>
      </c>
      <c r="AH523">
        <v>4</v>
      </c>
      <c r="AI523" t="s">
        <v>2308</v>
      </c>
      <c r="AJ523" t="s">
        <v>2312</v>
      </c>
    </row>
    <row r="524" spans="1:36" x14ac:dyDescent="0.3">
      <c r="A524" t="s">
        <v>558</v>
      </c>
      <c r="B524" s="2">
        <v>45429</v>
      </c>
      <c r="C524" t="s">
        <v>1709</v>
      </c>
      <c r="D524" t="s">
        <v>1885</v>
      </c>
      <c r="E524" t="s">
        <v>2185</v>
      </c>
      <c r="F524" t="s">
        <v>1761</v>
      </c>
      <c r="G524" t="s">
        <v>2251</v>
      </c>
      <c r="H524" t="s">
        <v>2258</v>
      </c>
      <c r="I524" t="s">
        <v>2260</v>
      </c>
      <c r="J524" t="s">
        <v>2264</v>
      </c>
      <c r="K524">
        <v>1</v>
      </c>
      <c r="L524">
        <v>110</v>
      </c>
      <c r="M524">
        <v>0.15</v>
      </c>
      <c r="N524">
        <v>110</v>
      </c>
      <c r="O524">
        <v>93.5</v>
      </c>
      <c r="P524" t="s">
        <v>2267</v>
      </c>
      <c r="Q524" t="s">
        <v>2270</v>
      </c>
      <c r="R524" t="s">
        <v>2278</v>
      </c>
      <c r="S524" t="s">
        <v>2281</v>
      </c>
      <c r="T524" t="s">
        <v>2289</v>
      </c>
      <c r="U524">
        <v>4</v>
      </c>
      <c r="V524">
        <v>303</v>
      </c>
      <c r="W524">
        <v>39</v>
      </c>
      <c r="X524">
        <v>53.29</v>
      </c>
      <c r="Y524">
        <v>40.21</v>
      </c>
      <c r="Z524" t="s">
        <v>1761</v>
      </c>
      <c r="AA524" t="s">
        <v>2297</v>
      </c>
      <c r="AB524">
        <v>110</v>
      </c>
      <c r="AC524">
        <v>16.5</v>
      </c>
      <c r="AD524">
        <v>93.5</v>
      </c>
      <c r="AE524">
        <v>53.29</v>
      </c>
      <c r="AF524">
        <v>40.21</v>
      </c>
      <c r="AG524">
        <v>2024</v>
      </c>
      <c r="AH524">
        <v>5</v>
      </c>
      <c r="AI524" t="s">
        <v>2306</v>
      </c>
      <c r="AJ524" t="s">
        <v>2315</v>
      </c>
    </row>
    <row r="525" spans="1:36" x14ac:dyDescent="0.3">
      <c r="A525" t="s">
        <v>559</v>
      </c>
      <c r="B525" s="2">
        <v>45450</v>
      </c>
      <c r="C525" t="s">
        <v>1657</v>
      </c>
      <c r="D525" t="s">
        <v>1829</v>
      </c>
      <c r="E525" t="s">
        <v>2186</v>
      </c>
      <c r="F525" t="s">
        <v>2239</v>
      </c>
      <c r="G525" t="s">
        <v>2242</v>
      </c>
      <c r="H525" t="s">
        <v>2258</v>
      </c>
      <c r="I525" t="s">
        <v>2260</v>
      </c>
      <c r="J525" t="s">
        <v>2265</v>
      </c>
      <c r="K525">
        <v>1</v>
      </c>
      <c r="L525">
        <v>115</v>
      </c>
      <c r="M525">
        <v>0</v>
      </c>
      <c r="N525">
        <v>115</v>
      </c>
      <c r="O525">
        <v>115</v>
      </c>
      <c r="P525" t="s">
        <v>2267</v>
      </c>
      <c r="Q525" t="s">
        <v>2272</v>
      </c>
      <c r="R525" t="s">
        <v>2278</v>
      </c>
      <c r="S525" t="s">
        <v>2284</v>
      </c>
      <c r="T525" t="s">
        <v>2288</v>
      </c>
      <c r="U525">
        <v>4</v>
      </c>
      <c r="V525">
        <v>329</v>
      </c>
      <c r="W525">
        <v>17</v>
      </c>
      <c r="X525">
        <v>50.06</v>
      </c>
      <c r="Y525">
        <v>64.94</v>
      </c>
      <c r="Z525" t="s">
        <v>2293</v>
      </c>
      <c r="AA525" t="s">
        <v>2296</v>
      </c>
      <c r="AB525">
        <v>115</v>
      </c>
      <c r="AC525">
        <v>0</v>
      </c>
      <c r="AD525">
        <v>115</v>
      </c>
      <c r="AE525">
        <v>50.06</v>
      </c>
      <c r="AF525">
        <v>64.94</v>
      </c>
      <c r="AG525">
        <v>2024</v>
      </c>
      <c r="AH525">
        <v>6</v>
      </c>
      <c r="AI525" t="s">
        <v>2304</v>
      </c>
      <c r="AJ525" t="s">
        <v>2315</v>
      </c>
    </row>
    <row r="526" spans="1:36" x14ac:dyDescent="0.3">
      <c r="A526" t="s">
        <v>560</v>
      </c>
      <c r="B526" s="2">
        <v>45647</v>
      </c>
      <c r="C526" t="s">
        <v>1647</v>
      </c>
      <c r="D526" t="s">
        <v>1846</v>
      </c>
      <c r="E526" t="s">
        <v>2149</v>
      </c>
      <c r="F526" t="s">
        <v>2239</v>
      </c>
      <c r="G526" t="s">
        <v>2256</v>
      </c>
      <c r="H526" t="s">
        <v>2261</v>
      </c>
      <c r="I526" t="s">
        <v>2260</v>
      </c>
      <c r="J526" t="s">
        <v>2266</v>
      </c>
      <c r="K526">
        <v>1</v>
      </c>
      <c r="L526">
        <v>185</v>
      </c>
      <c r="M526">
        <v>0.15</v>
      </c>
      <c r="N526">
        <v>185</v>
      </c>
      <c r="O526">
        <v>157.25</v>
      </c>
      <c r="P526" t="s">
        <v>2268</v>
      </c>
      <c r="Q526" t="s">
        <v>2271</v>
      </c>
      <c r="R526" t="s">
        <v>2273</v>
      </c>
      <c r="S526" t="s">
        <v>2282</v>
      </c>
      <c r="T526" t="s">
        <v>2288</v>
      </c>
      <c r="U526">
        <v>3</v>
      </c>
      <c r="V526">
        <v>436</v>
      </c>
      <c r="W526">
        <v>12</v>
      </c>
      <c r="X526">
        <v>66.510000000000005</v>
      </c>
      <c r="Y526">
        <v>90.74</v>
      </c>
      <c r="Z526" t="s">
        <v>2294</v>
      </c>
      <c r="AA526" t="s">
        <v>2298</v>
      </c>
      <c r="AB526">
        <v>185</v>
      </c>
      <c r="AC526">
        <v>27.75</v>
      </c>
      <c r="AD526">
        <v>157.25</v>
      </c>
      <c r="AE526">
        <v>66.510000000000005</v>
      </c>
      <c r="AF526">
        <v>90.74</v>
      </c>
      <c r="AG526">
        <v>2024</v>
      </c>
      <c r="AH526">
        <v>12</v>
      </c>
      <c r="AI526" t="s">
        <v>2309</v>
      </c>
      <c r="AJ526" t="s">
        <v>2317</v>
      </c>
    </row>
    <row r="527" spans="1:36" x14ac:dyDescent="0.3">
      <c r="A527" t="s">
        <v>561</v>
      </c>
      <c r="B527" s="2">
        <v>45409</v>
      </c>
      <c r="C527" t="s">
        <v>1707</v>
      </c>
      <c r="D527" t="s">
        <v>1844</v>
      </c>
      <c r="E527" t="s">
        <v>2068</v>
      </c>
      <c r="F527" t="s">
        <v>2240</v>
      </c>
      <c r="G527" t="s">
        <v>2245</v>
      </c>
      <c r="H527" t="s">
        <v>2257</v>
      </c>
      <c r="I527" t="s">
        <v>2263</v>
      </c>
      <c r="J527" t="s">
        <v>2264</v>
      </c>
      <c r="K527">
        <v>2</v>
      </c>
      <c r="L527">
        <v>145</v>
      </c>
      <c r="M527">
        <v>0</v>
      </c>
      <c r="N527">
        <v>290</v>
      </c>
      <c r="O527">
        <v>290</v>
      </c>
      <c r="P527" t="s">
        <v>2267</v>
      </c>
      <c r="Q527" t="s">
        <v>2271</v>
      </c>
      <c r="R527" t="s">
        <v>2279</v>
      </c>
      <c r="S527" t="s">
        <v>2280</v>
      </c>
      <c r="T527" t="s">
        <v>2288</v>
      </c>
      <c r="U527">
        <v>5</v>
      </c>
      <c r="V527">
        <v>37</v>
      </c>
      <c r="W527">
        <v>42</v>
      </c>
      <c r="X527">
        <v>74.77</v>
      </c>
      <c r="Y527">
        <v>140.46</v>
      </c>
      <c r="Z527" t="s">
        <v>2293</v>
      </c>
      <c r="AA527" t="s">
        <v>2296</v>
      </c>
      <c r="AB527">
        <v>290</v>
      </c>
      <c r="AC527">
        <v>0</v>
      </c>
      <c r="AD527">
        <v>290</v>
      </c>
      <c r="AE527">
        <v>149.54</v>
      </c>
      <c r="AF527">
        <v>140.46</v>
      </c>
      <c r="AG527">
        <v>2024</v>
      </c>
      <c r="AH527">
        <v>4</v>
      </c>
      <c r="AI527" t="s">
        <v>2308</v>
      </c>
      <c r="AJ527" t="s">
        <v>2317</v>
      </c>
    </row>
    <row r="528" spans="1:36" x14ac:dyDescent="0.3">
      <c r="A528" t="s">
        <v>562</v>
      </c>
      <c r="B528" s="2">
        <v>45292</v>
      </c>
      <c r="C528" t="s">
        <v>1687</v>
      </c>
      <c r="D528" t="s">
        <v>1844</v>
      </c>
      <c r="E528" t="s">
        <v>2122</v>
      </c>
      <c r="F528" t="s">
        <v>2239</v>
      </c>
      <c r="G528" t="s">
        <v>2256</v>
      </c>
      <c r="H528" t="s">
        <v>2261</v>
      </c>
      <c r="I528" t="s">
        <v>2260</v>
      </c>
      <c r="J528" t="s">
        <v>2264</v>
      </c>
      <c r="K528">
        <v>1</v>
      </c>
      <c r="L528">
        <v>190</v>
      </c>
      <c r="M528">
        <v>0</v>
      </c>
      <c r="N528">
        <v>190</v>
      </c>
      <c r="O528">
        <v>190</v>
      </c>
      <c r="P528" t="s">
        <v>2269</v>
      </c>
      <c r="Q528" t="s">
        <v>2270</v>
      </c>
      <c r="R528" t="s">
        <v>2279</v>
      </c>
      <c r="S528" t="s">
        <v>2282</v>
      </c>
      <c r="T528" t="s">
        <v>2288</v>
      </c>
      <c r="U528">
        <v>1</v>
      </c>
      <c r="V528">
        <v>418</v>
      </c>
      <c r="X528">
        <v>103.47</v>
      </c>
      <c r="Y528">
        <v>86.53</v>
      </c>
      <c r="Z528" t="s">
        <v>1761</v>
      </c>
      <c r="AA528" t="s">
        <v>2296</v>
      </c>
      <c r="AB528">
        <v>190</v>
      </c>
      <c r="AC528">
        <v>0</v>
      </c>
      <c r="AD528">
        <v>190</v>
      </c>
      <c r="AE528">
        <v>103.47</v>
      </c>
      <c r="AF528">
        <v>86.53</v>
      </c>
      <c r="AG528">
        <v>2024</v>
      </c>
      <c r="AH528">
        <v>1</v>
      </c>
      <c r="AI528" t="s">
        <v>2302</v>
      </c>
      <c r="AJ528" t="s">
        <v>2314</v>
      </c>
    </row>
    <row r="529" spans="1:36" x14ac:dyDescent="0.3">
      <c r="A529" t="s">
        <v>563</v>
      </c>
      <c r="B529" s="2">
        <v>45428</v>
      </c>
      <c r="C529" t="s">
        <v>1689</v>
      </c>
      <c r="D529" t="s">
        <v>1793</v>
      </c>
      <c r="E529" t="s">
        <v>2182</v>
      </c>
      <c r="F529" t="s">
        <v>2240</v>
      </c>
      <c r="G529" t="s">
        <v>2251</v>
      </c>
      <c r="H529" t="s">
        <v>2258</v>
      </c>
      <c r="I529" t="s">
        <v>2260</v>
      </c>
      <c r="J529" t="s">
        <v>2266</v>
      </c>
      <c r="K529">
        <v>1</v>
      </c>
      <c r="L529">
        <v>95</v>
      </c>
      <c r="M529">
        <v>0.05</v>
      </c>
      <c r="N529">
        <v>95</v>
      </c>
      <c r="O529">
        <v>90.25</v>
      </c>
      <c r="P529" t="s">
        <v>2267</v>
      </c>
      <c r="R529" t="s">
        <v>2276</v>
      </c>
      <c r="S529" t="s">
        <v>2287</v>
      </c>
      <c r="T529" t="s">
        <v>2288</v>
      </c>
      <c r="U529">
        <v>1</v>
      </c>
      <c r="V529">
        <v>280</v>
      </c>
      <c r="W529">
        <v>24</v>
      </c>
      <c r="X529">
        <v>43.9</v>
      </c>
      <c r="Y529">
        <v>46.35</v>
      </c>
      <c r="Z529" t="s">
        <v>1761</v>
      </c>
      <c r="AA529" t="s">
        <v>2298</v>
      </c>
      <c r="AB529">
        <v>95</v>
      </c>
      <c r="AC529">
        <v>4.75</v>
      </c>
      <c r="AD529">
        <v>90.25</v>
      </c>
      <c r="AE529">
        <v>43.9</v>
      </c>
      <c r="AF529">
        <v>46.35</v>
      </c>
      <c r="AG529">
        <v>2024</v>
      </c>
      <c r="AH529">
        <v>5</v>
      </c>
      <c r="AI529" t="s">
        <v>2306</v>
      </c>
      <c r="AJ529" t="s">
        <v>2316</v>
      </c>
    </row>
    <row r="530" spans="1:36" x14ac:dyDescent="0.3">
      <c r="A530" t="s">
        <v>564</v>
      </c>
      <c r="B530" s="2">
        <v>45514</v>
      </c>
      <c r="C530" t="s">
        <v>1740</v>
      </c>
      <c r="D530" t="s">
        <v>1755</v>
      </c>
      <c r="E530" t="s">
        <v>2165</v>
      </c>
      <c r="F530" t="s">
        <v>2240</v>
      </c>
      <c r="G530" t="s">
        <v>2246</v>
      </c>
      <c r="H530" t="s">
        <v>2259</v>
      </c>
      <c r="I530" t="s">
        <v>2262</v>
      </c>
      <c r="J530" t="s">
        <v>2264</v>
      </c>
      <c r="K530">
        <v>2</v>
      </c>
      <c r="L530">
        <v>105</v>
      </c>
      <c r="M530">
        <v>0.05</v>
      </c>
      <c r="N530">
        <v>210</v>
      </c>
      <c r="O530">
        <v>199.5</v>
      </c>
      <c r="P530" t="s">
        <v>2267</v>
      </c>
      <c r="Q530" t="s">
        <v>2272</v>
      </c>
      <c r="R530" t="s">
        <v>2278</v>
      </c>
      <c r="S530" t="s">
        <v>2281</v>
      </c>
      <c r="T530" t="s">
        <v>2288</v>
      </c>
      <c r="V530">
        <v>424</v>
      </c>
      <c r="W530">
        <v>28</v>
      </c>
      <c r="X530">
        <v>52.39</v>
      </c>
      <c r="Y530">
        <v>94.72</v>
      </c>
      <c r="Z530" t="s">
        <v>2291</v>
      </c>
      <c r="AA530" t="s">
        <v>2297</v>
      </c>
      <c r="AB530">
        <v>210</v>
      </c>
      <c r="AC530">
        <v>10.5</v>
      </c>
      <c r="AD530">
        <v>199.5</v>
      </c>
      <c r="AE530">
        <v>104.78</v>
      </c>
      <c r="AF530">
        <v>94.72</v>
      </c>
      <c r="AG530">
        <v>2024</v>
      </c>
      <c r="AH530">
        <v>8</v>
      </c>
      <c r="AI530" t="s">
        <v>2301</v>
      </c>
      <c r="AJ530" t="s">
        <v>2317</v>
      </c>
    </row>
    <row r="531" spans="1:36" x14ac:dyDescent="0.3">
      <c r="A531" t="s">
        <v>565</v>
      </c>
      <c r="B531" s="2">
        <v>45317</v>
      </c>
      <c r="C531" t="s">
        <v>1728</v>
      </c>
      <c r="D531" t="s">
        <v>1894</v>
      </c>
      <c r="E531" t="s">
        <v>2171</v>
      </c>
      <c r="F531" t="s">
        <v>2238</v>
      </c>
      <c r="G531" t="s">
        <v>2250</v>
      </c>
      <c r="H531" t="s">
        <v>2259</v>
      </c>
      <c r="I531" t="s">
        <v>2262</v>
      </c>
      <c r="J531" t="s">
        <v>2265</v>
      </c>
      <c r="K531">
        <v>3</v>
      </c>
      <c r="L531">
        <v>90</v>
      </c>
      <c r="M531">
        <v>0</v>
      </c>
      <c r="N531">
        <v>270</v>
      </c>
      <c r="O531">
        <v>270</v>
      </c>
      <c r="P531" t="s">
        <v>2269</v>
      </c>
      <c r="R531" t="s">
        <v>2276</v>
      </c>
      <c r="S531" t="s">
        <v>2287</v>
      </c>
      <c r="T531" t="s">
        <v>2288</v>
      </c>
      <c r="U531">
        <v>1</v>
      </c>
      <c r="V531">
        <v>63</v>
      </c>
      <c r="W531">
        <v>53</v>
      </c>
      <c r="X531">
        <v>42.76</v>
      </c>
      <c r="Y531">
        <v>141.72</v>
      </c>
      <c r="Z531" t="s">
        <v>2292</v>
      </c>
      <c r="AA531" t="s">
        <v>2299</v>
      </c>
      <c r="AB531">
        <v>270</v>
      </c>
      <c r="AC531">
        <v>0</v>
      </c>
      <c r="AD531">
        <v>270</v>
      </c>
      <c r="AE531">
        <v>128.28</v>
      </c>
      <c r="AF531">
        <v>141.72</v>
      </c>
      <c r="AG531">
        <v>2024</v>
      </c>
      <c r="AH531">
        <v>1</v>
      </c>
      <c r="AI531" t="s">
        <v>2302</v>
      </c>
      <c r="AJ531" t="s">
        <v>2315</v>
      </c>
    </row>
    <row r="532" spans="1:36" x14ac:dyDescent="0.3">
      <c r="A532" t="s">
        <v>566</v>
      </c>
      <c r="B532" s="2">
        <v>45362</v>
      </c>
      <c r="C532" t="s">
        <v>1708</v>
      </c>
      <c r="D532" t="s">
        <v>1779</v>
      </c>
      <c r="E532" t="s">
        <v>2008</v>
      </c>
      <c r="F532" t="s">
        <v>2238</v>
      </c>
      <c r="G532" t="s">
        <v>2254</v>
      </c>
      <c r="H532" t="s">
        <v>2259</v>
      </c>
      <c r="I532" t="s">
        <v>2263</v>
      </c>
      <c r="J532" t="s">
        <v>2264</v>
      </c>
      <c r="K532">
        <v>2</v>
      </c>
      <c r="L532">
        <v>110</v>
      </c>
      <c r="M532">
        <v>0.1</v>
      </c>
      <c r="N532">
        <v>220</v>
      </c>
      <c r="O532">
        <v>198</v>
      </c>
      <c r="P532" t="s">
        <v>2269</v>
      </c>
      <c r="Q532" t="s">
        <v>2272</v>
      </c>
      <c r="R532" t="s">
        <v>2279</v>
      </c>
      <c r="S532" t="s">
        <v>2281</v>
      </c>
      <c r="T532" t="s">
        <v>2288</v>
      </c>
      <c r="U532">
        <v>3</v>
      </c>
      <c r="V532">
        <v>321</v>
      </c>
      <c r="W532">
        <v>50</v>
      </c>
      <c r="X532">
        <v>51.16</v>
      </c>
      <c r="Y532">
        <v>95.68</v>
      </c>
      <c r="Z532" t="s">
        <v>2291</v>
      </c>
      <c r="AA532" t="s">
        <v>1761</v>
      </c>
      <c r="AB532">
        <v>220</v>
      </c>
      <c r="AC532">
        <v>22</v>
      </c>
      <c r="AD532">
        <v>198</v>
      </c>
      <c r="AE532">
        <v>102.32</v>
      </c>
      <c r="AF532">
        <v>95.68</v>
      </c>
      <c r="AG532">
        <v>2024</v>
      </c>
      <c r="AH532">
        <v>3</v>
      </c>
      <c r="AI532" t="s">
        <v>2305</v>
      </c>
      <c r="AJ532" t="s">
        <v>2314</v>
      </c>
    </row>
    <row r="533" spans="1:36" x14ac:dyDescent="0.3">
      <c r="A533" t="s">
        <v>567</v>
      </c>
      <c r="B533" s="2">
        <v>45642</v>
      </c>
      <c r="C533" t="s">
        <v>1640</v>
      </c>
      <c r="D533" t="s">
        <v>1876</v>
      </c>
      <c r="E533" t="s">
        <v>1761</v>
      </c>
      <c r="F533" t="s">
        <v>2240</v>
      </c>
      <c r="G533" t="s">
        <v>2244</v>
      </c>
      <c r="H533" t="s">
        <v>2257</v>
      </c>
      <c r="I533" t="s">
        <v>2262</v>
      </c>
      <c r="J533" t="s">
        <v>2265</v>
      </c>
      <c r="K533">
        <v>1</v>
      </c>
      <c r="L533">
        <v>120</v>
      </c>
      <c r="M533">
        <v>0.1</v>
      </c>
      <c r="N533">
        <v>120</v>
      </c>
      <c r="O533">
        <v>108</v>
      </c>
      <c r="Q533" t="s">
        <v>2271</v>
      </c>
      <c r="R533" t="s">
        <v>2278</v>
      </c>
      <c r="S533" t="s">
        <v>2281</v>
      </c>
      <c r="T533" t="s">
        <v>2288</v>
      </c>
      <c r="U533">
        <v>3</v>
      </c>
      <c r="V533">
        <v>209</v>
      </c>
      <c r="W533">
        <v>28</v>
      </c>
      <c r="X533">
        <v>64</v>
      </c>
      <c r="Y533">
        <v>44</v>
      </c>
      <c r="Z533" t="s">
        <v>2293</v>
      </c>
      <c r="AA533" t="s">
        <v>1761</v>
      </c>
      <c r="AB533">
        <v>120</v>
      </c>
      <c r="AC533">
        <v>12</v>
      </c>
      <c r="AD533">
        <v>108</v>
      </c>
      <c r="AE533">
        <v>64</v>
      </c>
      <c r="AF533">
        <v>44</v>
      </c>
      <c r="AG533">
        <v>2024</v>
      </c>
      <c r="AH533">
        <v>12</v>
      </c>
      <c r="AI533" t="s">
        <v>2309</v>
      </c>
      <c r="AJ533" t="s">
        <v>2314</v>
      </c>
    </row>
    <row r="534" spans="1:36" x14ac:dyDescent="0.3">
      <c r="A534" t="s">
        <v>568</v>
      </c>
      <c r="B534" s="2">
        <v>45627</v>
      </c>
      <c r="C534" t="s">
        <v>1648</v>
      </c>
      <c r="D534" t="s">
        <v>1836</v>
      </c>
      <c r="E534" t="s">
        <v>2115</v>
      </c>
      <c r="F534" t="s">
        <v>2239</v>
      </c>
      <c r="G534" t="s">
        <v>2247</v>
      </c>
      <c r="H534" t="s">
        <v>2257</v>
      </c>
      <c r="I534" t="s">
        <v>2262</v>
      </c>
      <c r="K534">
        <v>1</v>
      </c>
      <c r="L534">
        <v>100</v>
      </c>
      <c r="N534">
        <v>100</v>
      </c>
      <c r="P534" t="s">
        <v>2269</v>
      </c>
      <c r="Q534" t="s">
        <v>2270</v>
      </c>
      <c r="R534" t="s">
        <v>2274</v>
      </c>
      <c r="S534" t="s">
        <v>2286</v>
      </c>
      <c r="T534" t="s">
        <v>2288</v>
      </c>
      <c r="U534">
        <v>5</v>
      </c>
      <c r="V534">
        <v>13</v>
      </c>
      <c r="W534">
        <v>59</v>
      </c>
      <c r="X534">
        <v>48.89</v>
      </c>
      <c r="Z534" t="s">
        <v>2293</v>
      </c>
      <c r="AA534" t="s">
        <v>2296</v>
      </c>
      <c r="AB534">
        <v>100</v>
      </c>
      <c r="AC534">
        <v>0</v>
      </c>
      <c r="AD534">
        <v>100</v>
      </c>
      <c r="AE534">
        <v>48.89</v>
      </c>
      <c r="AF534">
        <v>51.11</v>
      </c>
      <c r="AG534">
        <v>2024</v>
      </c>
      <c r="AH534">
        <v>12</v>
      </c>
      <c r="AI534" t="s">
        <v>2309</v>
      </c>
      <c r="AJ534" t="s">
        <v>2318</v>
      </c>
    </row>
    <row r="535" spans="1:36" x14ac:dyDescent="0.3">
      <c r="A535" t="s">
        <v>569</v>
      </c>
      <c r="B535" s="2">
        <v>45323</v>
      </c>
      <c r="C535" t="s">
        <v>1658</v>
      </c>
      <c r="D535" t="s">
        <v>1866</v>
      </c>
      <c r="E535" t="s">
        <v>1761</v>
      </c>
      <c r="F535" t="s">
        <v>2239</v>
      </c>
      <c r="G535" t="s">
        <v>2242</v>
      </c>
      <c r="H535" t="s">
        <v>2258</v>
      </c>
      <c r="I535" t="s">
        <v>2260</v>
      </c>
      <c r="J535" t="s">
        <v>2264</v>
      </c>
      <c r="K535">
        <v>1</v>
      </c>
      <c r="L535">
        <v>115</v>
      </c>
      <c r="M535">
        <v>0.05</v>
      </c>
      <c r="N535">
        <v>115</v>
      </c>
      <c r="O535">
        <v>109.25</v>
      </c>
      <c r="P535" t="s">
        <v>2267</v>
      </c>
      <c r="Q535" t="s">
        <v>2270</v>
      </c>
      <c r="R535" t="s">
        <v>2279</v>
      </c>
      <c r="S535" t="s">
        <v>2282</v>
      </c>
      <c r="T535" t="s">
        <v>2288</v>
      </c>
      <c r="U535">
        <v>4</v>
      </c>
      <c r="V535">
        <v>390</v>
      </c>
      <c r="W535">
        <v>55</v>
      </c>
      <c r="X535">
        <v>59.26</v>
      </c>
      <c r="Y535">
        <v>49.99</v>
      </c>
      <c r="Z535" t="s">
        <v>2293</v>
      </c>
      <c r="AA535" t="s">
        <v>2296</v>
      </c>
      <c r="AB535">
        <v>115</v>
      </c>
      <c r="AC535">
        <v>5.75</v>
      </c>
      <c r="AD535">
        <v>109.25</v>
      </c>
      <c r="AE535">
        <v>59.26</v>
      </c>
      <c r="AF535">
        <v>49.99</v>
      </c>
      <c r="AG535">
        <v>2024</v>
      </c>
      <c r="AH535">
        <v>2</v>
      </c>
      <c r="AI535" t="s">
        <v>2303</v>
      </c>
      <c r="AJ535" t="s">
        <v>2316</v>
      </c>
    </row>
    <row r="536" spans="1:36" x14ac:dyDescent="0.3">
      <c r="A536" t="s">
        <v>570</v>
      </c>
      <c r="C536" t="s">
        <v>1668</v>
      </c>
      <c r="D536" t="s">
        <v>1761</v>
      </c>
      <c r="E536" t="s">
        <v>2178</v>
      </c>
      <c r="F536" t="s">
        <v>2239</v>
      </c>
      <c r="G536" t="s">
        <v>2242</v>
      </c>
      <c r="H536" t="s">
        <v>2258</v>
      </c>
      <c r="I536" t="s">
        <v>2260</v>
      </c>
      <c r="J536" t="s">
        <v>2264</v>
      </c>
      <c r="K536">
        <v>2</v>
      </c>
      <c r="L536">
        <v>120</v>
      </c>
      <c r="M536">
        <v>0.05</v>
      </c>
      <c r="O536">
        <v>228</v>
      </c>
      <c r="P536" t="s">
        <v>2269</v>
      </c>
      <c r="Q536" t="s">
        <v>2272</v>
      </c>
      <c r="R536" t="s">
        <v>2273</v>
      </c>
      <c r="S536" t="s">
        <v>2282</v>
      </c>
      <c r="T536" t="s">
        <v>2288</v>
      </c>
      <c r="U536">
        <v>5</v>
      </c>
      <c r="V536">
        <v>12</v>
      </c>
      <c r="W536">
        <v>59</v>
      </c>
      <c r="X536">
        <v>60.8</v>
      </c>
      <c r="Y536">
        <v>106.4</v>
      </c>
      <c r="Z536" t="s">
        <v>2293</v>
      </c>
      <c r="AA536" t="s">
        <v>2298</v>
      </c>
      <c r="AB536">
        <v>240</v>
      </c>
      <c r="AC536">
        <v>12</v>
      </c>
      <c r="AD536">
        <v>228</v>
      </c>
      <c r="AE536">
        <v>121.6</v>
      </c>
      <c r="AF536">
        <v>106.4</v>
      </c>
    </row>
    <row r="537" spans="1:36" x14ac:dyDescent="0.3">
      <c r="A537" t="s">
        <v>571</v>
      </c>
      <c r="B537" s="2">
        <v>45508</v>
      </c>
      <c r="C537" t="s">
        <v>1664</v>
      </c>
      <c r="D537" t="s">
        <v>1818</v>
      </c>
      <c r="E537" t="s">
        <v>2173</v>
      </c>
      <c r="F537" t="s">
        <v>1761</v>
      </c>
      <c r="G537" t="s">
        <v>2252</v>
      </c>
      <c r="H537" t="s">
        <v>2257</v>
      </c>
      <c r="I537" t="s">
        <v>2262</v>
      </c>
      <c r="J537" t="s">
        <v>2264</v>
      </c>
      <c r="K537">
        <v>1</v>
      </c>
      <c r="L537">
        <v>85</v>
      </c>
      <c r="M537">
        <v>0</v>
      </c>
      <c r="N537">
        <v>85</v>
      </c>
      <c r="O537">
        <v>85</v>
      </c>
      <c r="P537" t="s">
        <v>2268</v>
      </c>
      <c r="Q537" t="s">
        <v>2270</v>
      </c>
      <c r="R537" t="s">
        <v>2273</v>
      </c>
      <c r="S537" t="s">
        <v>2285</v>
      </c>
      <c r="T537" t="s">
        <v>2288</v>
      </c>
      <c r="U537">
        <v>4</v>
      </c>
      <c r="V537">
        <v>147</v>
      </c>
      <c r="W537">
        <v>23</v>
      </c>
      <c r="X537">
        <v>48.43</v>
      </c>
      <c r="Y537">
        <v>36.57</v>
      </c>
      <c r="Z537" t="s">
        <v>1761</v>
      </c>
      <c r="AA537" t="s">
        <v>2297</v>
      </c>
      <c r="AB537">
        <v>85</v>
      </c>
      <c r="AC537">
        <v>0</v>
      </c>
      <c r="AD537">
        <v>85</v>
      </c>
      <c r="AE537">
        <v>48.43</v>
      </c>
      <c r="AF537">
        <v>36.57</v>
      </c>
      <c r="AG537">
        <v>2024</v>
      </c>
      <c r="AH537">
        <v>8</v>
      </c>
      <c r="AI537" t="s">
        <v>2301</v>
      </c>
      <c r="AJ537" t="s">
        <v>2318</v>
      </c>
    </row>
    <row r="538" spans="1:36" x14ac:dyDescent="0.3">
      <c r="A538" t="s">
        <v>572</v>
      </c>
      <c r="B538" s="2">
        <v>45303</v>
      </c>
      <c r="C538" t="s">
        <v>1723</v>
      </c>
      <c r="D538" t="s">
        <v>1917</v>
      </c>
      <c r="E538" t="s">
        <v>1958</v>
      </c>
      <c r="F538" t="s">
        <v>1761</v>
      </c>
      <c r="G538" t="s">
        <v>2256</v>
      </c>
      <c r="H538" t="s">
        <v>2261</v>
      </c>
      <c r="I538" t="s">
        <v>2260</v>
      </c>
      <c r="J538" t="s">
        <v>2266</v>
      </c>
      <c r="K538">
        <v>2</v>
      </c>
      <c r="L538">
        <v>200</v>
      </c>
      <c r="M538">
        <v>0.05</v>
      </c>
      <c r="N538">
        <v>400</v>
      </c>
      <c r="O538">
        <v>380</v>
      </c>
      <c r="P538" t="s">
        <v>2268</v>
      </c>
      <c r="Q538" t="s">
        <v>2272</v>
      </c>
      <c r="R538" t="s">
        <v>2273</v>
      </c>
      <c r="S538" t="s">
        <v>2280</v>
      </c>
      <c r="T538" t="s">
        <v>2288</v>
      </c>
      <c r="U538">
        <v>5</v>
      </c>
      <c r="V538">
        <v>264</v>
      </c>
      <c r="X538">
        <v>70.37</v>
      </c>
      <c r="Y538">
        <v>239.26</v>
      </c>
      <c r="Z538" t="s">
        <v>2293</v>
      </c>
      <c r="AA538" t="s">
        <v>2298</v>
      </c>
      <c r="AB538">
        <v>400</v>
      </c>
      <c r="AC538">
        <v>20</v>
      </c>
      <c r="AD538">
        <v>380</v>
      </c>
      <c r="AE538">
        <v>140.74</v>
      </c>
      <c r="AF538">
        <v>239.26</v>
      </c>
      <c r="AG538">
        <v>2024</v>
      </c>
      <c r="AH538">
        <v>1</v>
      </c>
      <c r="AI538" t="s">
        <v>2302</v>
      </c>
      <c r="AJ538" t="s">
        <v>2315</v>
      </c>
    </row>
    <row r="539" spans="1:36" x14ac:dyDescent="0.3">
      <c r="A539" t="s">
        <v>573</v>
      </c>
      <c r="B539" s="2">
        <v>45582</v>
      </c>
      <c r="C539" t="s">
        <v>1670</v>
      </c>
      <c r="D539" t="s">
        <v>1859</v>
      </c>
      <c r="E539" t="s">
        <v>2187</v>
      </c>
      <c r="F539" t="s">
        <v>2240</v>
      </c>
      <c r="G539" t="s">
        <v>2245</v>
      </c>
      <c r="H539" t="s">
        <v>2257</v>
      </c>
      <c r="I539" t="s">
        <v>2263</v>
      </c>
      <c r="J539" t="s">
        <v>2266</v>
      </c>
      <c r="K539">
        <v>1</v>
      </c>
      <c r="L539">
        <v>150</v>
      </c>
      <c r="M539">
        <v>0</v>
      </c>
      <c r="N539">
        <v>150</v>
      </c>
      <c r="O539">
        <v>150</v>
      </c>
      <c r="P539" t="s">
        <v>2267</v>
      </c>
      <c r="Q539" t="s">
        <v>2272</v>
      </c>
      <c r="R539" t="s">
        <v>2274</v>
      </c>
      <c r="S539" t="s">
        <v>2286</v>
      </c>
      <c r="T539" t="s">
        <v>2288</v>
      </c>
      <c r="U539">
        <v>5</v>
      </c>
      <c r="X539">
        <v>63.06</v>
      </c>
      <c r="Y539">
        <v>86.94</v>
      </c>
      <c r="Z539" t="s">
        <v>2292</v>
      </c>
      <c r="AA539" t="s">
        <v>1761</v>
      </c>
      <c r="AB539">
        <v>150</v>
      </c>
      <c r="AC539">
        <v>0</v>
      </c>
      <c r="AD539">
        <v>150</v>
      </c>
      <c r="AE539">
        <v>63.06</v>
      </c>
      <c r="AF539">
        <v>86.94</v>
      </c>
      <c r="AG539">
        <v>2024</v>
      </c>
      <c r="AH539">
        <v>10</v>
      </c>
      <c r="AI539" t="s">
        <v>2310</v>
      </c>
      <c r="AJ539" t="s">
        <v>2316</v>
      </c>
    </row>
    <row r="540" spans="1:36" x14ac:dyDescent="0.3">
      <c r="A540" t="s">
        <v>574</v>
      </c>
      <c r="B540" s="2">
        <v>45448</v>
      </c>
      <c r="C540" t="s">
        <v>1659</v>
      </c>
      <c r="D540" t="s">
        <v>1879</v>
      </c>
      <c r="E540" t="s">
        <v>2051</v>
      </c>
      <c r="F540" t="s">
        <v>2239</v>
      </c>
      <c r="G540" t="s">
        <v>2243</v>
      </c>
      <c r="H540" t="s">
        <v>2258</v>
      </c>
      <c r="I540" t="s">
        <v>2260</v>
      </c>
      <c r="J540" t="s">
        <v>2266</v>
      </c>
      <c r="K540">
        <v>1</v>
      </c>
      <c r="L540">
        <v>80</v>
      </c>
      <c r="M540">
        <v>0</v>
      </c>
      <c r="N540">
        <v>80</v>
      </c>
      <c r="O540">
        <v>80</v>
      </c>
      <c r="P540" t="s">
        <v>2269</v>
      </c>
      <c r="Q540" t="s">
        <v>2272</v>
      </c>
      <c r="R540" t="s">
        <v>2273</v>
      </c>
      <c r="S540" t="s">
        <v>2287</v>
      </c>
      <c r="T540" t="s">
        <v>2290</v>
      </c>
      <c r="V540">
        <v>112</v>
      </c>
      <c r="W540">
        <v>42</v>
      </c>
      <c r="X540">
        <v>26.97</v>
      </c>
      <c r="Y540">
        <v>53.03</v>
      </c>
      <c r="Z540" t="s">
        <v>1761</v>
      </c>
      <c r="AA540" t="s">
        <v>2297</v>
      </c>
      <c r="AB540">
        <v>80</v>
      </c>
      <c r="AC540">
        <v>0</v>
      </c>
      <c r="AD540">
        <v>80</v>
      </c>
      <c r="AE540">
        <v>26.97</v>
      </c>
      <c r="AF540">
        <v>53.03</v>
      </c>
      <c r="AG540">
        <v>2024</v>
      </c>
      <c r="AH540">
        <v>6</v>
      </c>
      <c r="AI540" t="s">
        <v>2304</v>
      </c>
      <c r="AJ540" t="s">
        <v>2312</v>
      </c>
    </row>
    <row r="541" spans="1:36" x14ac:dyDescent="0.3">
      <c r="A541" t="s">
        <v>575</v>
      </c>
      <c r="B541" s="2">
        <v>45300</v>
      </c>
      <c r="C541" t="s">
        <v>1637</v>
      </c>
      <c r="D541" t="s">
        <v>1888</v>
      </c>
      <c r="E541" t="s">
        <v>2098</v>
      </c>
      <c r="F541" t="s">
        <v>1761</v>
      </c>
      <c r="G541" t="s">
        <v>2247</v>
      </c>
      <c r="H541" t="s">
        <v>2257</v>
      </c>
      <c r="I541" t="s">
        <v>2262</v>
      </c>
      <c r="J541" t="s">
        <v>2266</v>
      </c>
      <c r="K541">
        <v>1</v>
      </c>
      <c r="L541">
        <v>110</v>
      </c>
      <c r="M541">
        <v>0.1</v>
      </c>
      <c r="N541">
        <v>110</v>
      </c>
      <c r="O541">
        <v>99</v>
      </c>
      <c r="P541" t="s">
        <v>2267</v>
      </c>
      <c r="Q541" t="s">
        <v>2272</v>
      </c>
      <c r="R541" t="s">
        <v>2279</v>
      </c>
      <c r="S541" t="s">
        <v>2282</v>
      </c>
      <c r="T541" t="s">
        <v>2288</v>
      </c>
      <c r="U541">
        <v>5</v>
      </c>
      <c r="W541">
        <v>14</v>
      </c>
      <c r="X541">
        <v>36.01</v>
      </c>
      <c r="Y541">
        <v>62.99</v>
      </c>
      <c r="Z541" t="s">
        <v>2293</v>
      </c>
      <c r="AA541" t="s">
        <v>2297</v>
      </c>
      <c r="AB541">
        <v>110</v>
      </c>
      <c r="AC541">
        <v>11</v>
      </c>
      <c r="AD541">
        <v>99</v>
      </c>
      <c r="AE541">
        <v>36.01</v>
      </c>
      <c r="AF541">
        <v>62.99</v>
      </c>
      <c r="AG541">
        <v>2024</v>
      </c>
      <c r="AH541">
        <v>1</v>
      </c>
      <c r="AI541" t="s">
        <v>2302</v>
      </c>
      <c r="AJ541" t="s">
        <v>2313</v>
      </c>
    </row>
    <row r="542" spans="1:36" x14ac:dyDescent="0.3">
      <c r="A542" t="s">
        <v>576</v>
      </c>
      <c r="B542" s="2">
        <v>45623</v>
      </c>
      <c r="C542" t="s">
        <v>1662</v>
      </c>
      <c r="D542" t="s">
        <v>1853</v>
      </c>
      <c r="E542" t="s">
        <v>2188</v>
      </c>
      <c r="F542" t="s">
        <v>1761</v>
      </c>
      <c r="G542" t="s">
        <v>2252</v>
      </c>
      <c r="H542" t="s">
        <v>2257</v>
      </c>
      <c r="I542" t="s">
        <v>2262</v>
      </c>
      <c r="J542" t="s">
        <v>2265</v>
      </c>
      <c r="K542">
        <v>1</v>
      </c>
      <c r="L542">
        <v>95</v>
      </c>
      <c r="M542">
        <v>0.05</v>
      </c>
      <c r="N542">
        <v>95</v>
      </c>
      <c r="O542">
        <v>90.25</v>
      </c>
      <c r="P542" t="s">
        <v>2267</v>
      </c>
      <c r="Q542" t="s">
        <v>2271</v>
      </c>
      <c r="R542" t="s">
        <v>2279</v>
      </c>
      <c r="S542" t="s">
        <v>2285</v>
      </c>
      <c r="T542" t="s">
        <v>2290</v>
      </c>
      <c r="U542">
        <v>1</v>
      </c>
      <c r="V542">
        <v>105</v>
      </c>
      <c r="X542">
        <v>35.51</v>
      </c>
      <c r="Y542">
        <v>54.74</v>
      </c>
      <c r="Z542" t="s">
        <v>2291</v>
      </c>
      <c r="AA542" t="s">
        <v>2297</v>
      </c>
      <c r="AB542">
        <v>95</v>
      </c>
      <c r="AC542">
        <v>4.75</v>
      </c>
      <c r="AD542">
        <v>90.25</v>
      </c>
      <c r="AE542">
        <v>35.51</v>
      </c>
      <c r="AF542">
        <v>54.74</v>
      </c>
      <c r="AG542">
        <v>2024</v>
      </c>
      <c r="AH542">
        <v>11</v>
      </c>
      <c r="AI542" t="s">
        <v>2311</v>
      </c>
      <c r="AJ542" t="s">
        <v>2312</v>
      </c>
    </row>
    <row r="543" spans="1:36" x14ac:dyDescent="0.3">
      <c r="A543" t="s">
        <v>577</v>
      </c>
      <c r="B543" s="2">
        <v>45574</v>
      </c>
      <c r="C543" t="s">
        <v>1643</v>
      </c>
      <c r="D543" t="s">
        <v>1799</v>
      </c>
      <c r="E543" t="s">
        <v>2184</v>
      </c>
      <c r="F543" t="s">
        <v>1761</v>
      </c>
      <c r="G543" t="s">
        <v>2248</v>
      </c>
      <c r="H543" t="s">
        <v>2257</v>
      </c>
      <c r="I543" t="s">
        <v>2262</v>
      </c>
      <c r="J543" t="s">
        <v>2265</v>
      </c>
      <c r="K543">
        <v>1</v>
      </c>
      <c r="L543">
        <v>155</v>
      </c>
      <c r="M543">
        <v>0</v>
      </c>
      <c r="N543">
        <v>155</v>
      </c>
      <c r="O543">
        <v>155</v>
      </c>
      <c r="P543" t="s">
        <v>2268</v>
      </c>
      <c r="Q543" t="s">
        <v>2270</v>
      </c>
      <c r="R543" t="s">
        <v>2277</v>
      </c>
      <c r="S543" t="s">
        <v>2281</v>
      </c>
      <c r="T543" t="s">
        <v>2288</v>
      </c>
      <c r="U543">
        <v>5</v>
      </c>
      <c r="V543">
        <v>465</v>
      </c>
      <c r="W543">
        <v>45</v>
      </c>
      <c r="X543">
        <v>51.95</v>
      </c>
      <c r="Y543">
        <v>103.05</v>
      </c>
      <c r="Z543" t="s">
        <v>2292</v>
      </c>
      <c r="AA543" t="s">
        <v>1761</v>
      </c>
      <c r="AB543">
        <v>155</v>
      </c>
      <c r="AC543">
        <v>0</v>
      </c>
      <c r="AD543">
        <v>155</v>
      </c>
      <c r="AE543">
        <v>51.95</v>
      </c>
      <c r="AF543">
        <v>103.05</v>
      </c>
      <c r="AG543">
        <v>2024</v>
      </c>
      <c r="AH543">
        <v>10</v>
      </c>
      <c r="AI543" t="s">
        <v>2310</v>
      </c>
      <c r="AJ543" t="s">
        <v>2312</v>
      </c>
    </row>
    <row r="544" spans="1:36" x14ac:dyDescent="0.3">
      <c r="A544" t="s">
        <v>578</v>
      </c>
      <c r="B544" s="2">
        <v>45480</v>
      </c>
      <c r="C544" t="s">
        <v>1667</v>
      </c>
      <c r="D544" t="s">
        <v>1867</v>
      </c>
      <c r="E544" t="s">
        <v>2092</v>
      </c>
      <c r="F544" t="s">
        <v>2239</v>
      </c>
      <c r="G544" t="s">
        <v>2244</v>
      </c>
      <c r="H544" t="s">
        <v>2257</v>
      </c>
      <c r="I544" t="s">
        <v>2262</v>
      </c>
      <c r="J544" t="s">
        <v>2265</v>
      </c>
      <c r="K544">
        <v>1</v>
      </c>
      <c r="L544">
        <v>120</v>
      </c>
      <c r="M544">
        <v>0</v>
      </c>
      <c r="N544">
        <v>120</v>
      </c>
      <c r="O544">
        <v>120</v>
      </c>
      <c r="P544" t="s">
        <v>2269</v>
      </c>
      <c r="Q544" t="s">
        <v>2270</v>
      </c>
      <c r="R544" t="s">
        <v>2274</v>
      </c>
      <c r="S544" t="s">
        <v>2287</v>
      </c>
      <c r="T544" t="s">
        <v>2288</v>
      </c>
      <c r="U544">
        <v>5</v>
      </c>
      <c r="V544">
        <v>351</v>
      </c>
      <c r="W544">
        <v>39</v>
      </c>
      <c r="X544">
        <v>52.9</v>
      </c>
      <c r="Y544">
        <v>67.099999999999994</v>
      </c>
      <c r="Z544" t="s">
        <v>1761</v>
      </c>
      <c r="AA544" t="s">
        <v>2296</v>
      </c>
      <c r="AB544">
        <v>120</v>
      </c>
      <c r="AC544">
        <v>0</v>
      </c>
      <c r="AD544">
        <v>120</v>
      </c>
      <c r="AE544">
        <v>52.9</v>
      </c>
      <c r="AF544">
        <v>67.099999999999994</v>
      </c>
      <c r="AG544">
        <v>2024</v>
      </c>
      <c r="AH544">
        <v>7</v>
      </c>
      <c r="AI544" t="s">
        <v>2307</v>
      </c>
      <c r="AJ544" t="s">
        <v>2318</v>
      </c>
    </row>
    <row r="545" spans="1:36" x14ac:dyDescent="0.3">
      <c r="A545" t="s">
        <v>579</v>
      </c>
      <c r="B545" s="2">
        <v>45300</v>
      </c>
      <c r="C545" t="s">
        <v>1692</v>
      </c>
      <c r="D545" t="s">
        <v>1871</v>
      </c>
      <c r="E545" t="s">
        <v>2066</v>
      </c>
      <c r="F545" t="s">
        <v>2240</v>
      </c>
      <c r="G545" t="s">
        <v>2250</v>
      </c>
      <c r="H545" t="s">
        <v>2259</v>
      </c>
      <c r="I545" t="s">
        <v>2262</v>
      </c>
      <c r="J545" t="s">
        <v>2266</v>
      </c>
      <c r="K545">
        <v>2</v>
      </c>
      <c r="L545">
        <v>80</v>
      </c>
      <c r="M545">
        <v>0</v>
      </c>
      <c r="N545">
        <v>160</v>
      </c>
      <c r="O545">
        <v>160</v>
      </c>
      <c r="P545" t="s">
        <v>2269</v>
      </c>
      <c r="Q545" t="s">
        <v>2272</v>
      </c>
      <c r="R545" t="s">
        <v>2277</v>
      </c>
      <c r="S545" t="s">
        <v>2286</v>
      </c>
      <c r="T545" t="s">
        <v>2288</v>
      </c>
      <c r="U545">
        <v>5</v>
      </c>
      <c r="V545">
        <v>184</v>
      </c>
      <c r="W545">
        <v>43</v>
      </c>
      <c r="X545">
        <v>47.88</v>
      </c>
      <c r="Y545">
        <v>64.239999999999995</v>
      </c>
      <c r="Z545" t="s">
        <v>2293</v>
      </c>
      <c r="AA545" t="s">
        <v>2296</v>
      </c>
      <c r="AB545">
        <v>160</v>
      </c>
      <c r="AC545">
        <v>0</v>
      </c>
      <c r="AD545">
        <v>160</v>
      </c>
      <c r="AE545">
        <v>95.76</v>
      </c>
      <c r="AF545">
        <v>64.239999999999995</v>
      </c>
      <c r="AG545">
        <v>2024</v>
      </c>
      <c r="AH545">
        <v>1</v>
      </c>
      <c r="AI545" t="s">
        <v>2302</v>
      </c>
      <c r="AJ545" t="s">
        <v>2313</v>
      </c>
    </row>
    <row r="546" spans="1:36" x14ac:dyDescent="0.3">
      <c r="A546" t="s">
        <v>580</v>
      </c>
      <c r="B546" s="2">
        <v>45368</v>
      </c>
      <c r="C546" t="s">
        <v>1699</v>
      </c>
      <c r="D546" t="s">
        <v>1874</v>
      </c>
      <c r="E546" t="s">
        <v>2107</v>
      </c>
      <c r="F546" t="s">
        <v>2239</v>
      </c>
      <c r="G546" t="s">
        <v>2256</v>
      </c>
      <c r="H546" t="s">
        <v>2261</v>
      </c>
      <c r="I546" t="s">
        <v>2260</v>
      </c>
      <c r="J546" t="s">
        <v>2265</v>
      </c>
      <c r="K546">
        <v>1</v>
      </c>
      <c r="L546">
        <v>190</v>
      </c>
      <c r="M546">
        <v>0</v>
      </c>
      <c r="N546">
        <v>190</v>
      </c>
      <c r="O546">
        <v>190</v>
      </c>
      <c r="P546" t="s">
        <v>2269</v>
      </c>
      <c r="R546" t="s">
        <v>2273</v>
      </c>
      <c r="S546" t="s">
        <v>2282</v>
      </c>
      <c r="T546" t="s">
        <v>2288</v>
      </c>
      <c r="U546">
        <v>5</v>
      </c>
      <c r="V546">
        <v>118</v>
      </c>
      <c r="W546">
        <v>47</v>
      </c>
      <c r="X546">
        <v>73.97</v>
      </c>
      <c r="Y546">
        <v>116.03</v>
      </c>
      <c r="Z546" t="s">
        <v>2291</v>
      </c>
      <c r="AA546" t="s">
        <v>1761</v>
      </c>
      <c r="AB546">
        <v>190</v>
      </c>
      <c r="AC546">
        <v>0</v>
      </c>
      <c r="AD546">
        <v>190</v>
      </c>
      <c r="AE546">
        <v>73.97</v>
      </c>
      <c r="AF546">
        <v>116.03</v>
      </c>
      <c r="AG546">
        <v>2024</v>
      </c>
      <c r="AH546">
        <v>3</v>
      </c>
      <c r="AI546" t="s">
        <v>2305</v>
      </c>
      <c r="AJ546" t="s">
        <v>2318</v>
      </c>
    </row>
    <row r="547" spans="1:36" x14ac:dyDescent="0.3">
      <c r="A547" t="s">
        <v>581</v>
      </c>
      <c r="B547" s="2">
        <v>45559</v>
      </c>
      <c r="C547" t="s">
        <v>1637</v>
      </c>
      <c r="D547" t="s">
        <v>1807</v>
      </c>
      <c r="E547" t="s">
        <v>2075</v>
      </c>
      <c r="F547" t="s">
        <v>2239</v>
      </c>
      <c r="G547" t="s">
        <v>2248</v>
      </c>
      <c r="H547" t="s">
        <v>2257</v>
      </c>
      <c r="I547" t="s">
        <v>2262</v>
      </c>
      <c r="K547">
        <v>2</v>
      </c>
      <c r="L547">
        <v>140</v>
      </c>
      <c r="M547">
        <v>0</v>
      </c>
      <c r="N547">
        <v>280</v>
      </c>
      <c r="O547">
        <v>280</v>
      </c>
      <c r="P547" t="s">
        <v>2268</v>
      </c>
      <c r="Q547" t="s">
        <v>2271</v>
      </c>
      <c r="R547" t="s">
        <v>2279</v>
      </c>
      <c r="S547" t="s">
        <v>2284</v>
      </c>
      <c r="T547" t="s">
        <v>2288</v>
      </c>
      <c r="V547">
        <v>432</v>
      </c>
      <c r="W547">
        <v>19</v>
      </c>
      <c r="X547">
        <v>73.739999999999995</v>
      </c>
      <c r="Y547">
        <v>132.52000000000001</v>
      </c>
      <c r="Z547" t="s">
        <v>2293</v>
      </c>
      <c r="AA547" t="s">
        <v>2297</v>
      </c>
      <c r="AB547">
        <v>280</v>
      </c>
      <c r="AC547">
        <v>0</v>
      </c>
      <c r="AD547">
        <v>280</v>
      </c>
      <c r="AE547">
        <v>147.47999999999999</v>
      </c>
      <c r="AF547">
        <v>132.52000000000001</v>
      </c>
      <c r="AG547">
        <v>2024</v>
      </c>
      <c r="AH547">
        <v>9</v>
      </c>
      <c r="AI547" t="s">
        <v>2300</v>
      </c>
      <c r="AJ547" t="s">
        <v>2313</v>
      </c>
    </row>
    <row r="548" spans="1:36" x14ac:dyDescent="0.3">
      <c r="A548" t="s">
        <v>582</v>
      </c>
      <c r="B548" s="2">
        <v>45492</v>
      </c>
      <c r="C548" t="s">
        <v>1739</v>
      </c>
      <c r="D548" t="s">
        <v>1753</v>
      </c>
      <c r="E548" t="s">
        <v>2114</v>
      </c>
      <c r="F548" t="s">
        <v>2239</v>
      </c>
      <c r="G548" t="s">
        <v>2255</v>
      </c>
      <c r="H548" t="s">
        <v>2260</v>
      </c>
      <c r="I548" t="s">
        <v>2260</v>
      </c>
      <c r="J548" t="s">
        <v>2264</v>
      </c>
      <c r="K548">
        <v>1</v>
      </c>
      <c r="L548">
        <v>185</v>
      </c>
      <c r="M548">
        <v>0</v>
      </c>
      <c r="N548">
        <v>185</v>
      </c>
      <c r="O548">
        <v>185</v>
      </c>
      <c r="P548" t="s">
        <v>2267</v>
      </c>
      <c r="Q548" t="s">
        <v>2270</v>
      </c>
      <c r="R548" t="s">
        <v>2274</v>
      </c>
      <c r="S548" t="s">
        <v>2282</v>
      </c>
      <c r="T548" t="s">
        <v>2290</v>
      </c>
      <c r="U548">
        <v>2</v>
      </c>
      <c r="V548">
        <v>73</v>
      </c>
      <c r="W548">
        <v>25</v>
      </c>
      <c r="X548">
        <v>88.59</v>
      </c>
      <c r="Y548">
        <v>96.41</v>
      </c>
      <c r="Z548" t="s">
        <v>2293</v>
      </c>
      <c r="AA548" t="s">
        <v>2296</v>
      </c>
      <c r="AB548">
        <v>185</v>
      </c>
      <c r="AC548">
        <v>0</v>
      </c>
      <c r="AD548">
        <v>185</v>
      </c>
      <c r="AE548">
        <v>88.59</v>
      </c>
      <c r="AF548">
        <v>96.41</v>
      </c>
      <c r="AG548">
        <v>2024</v>
      </c>
      <c r="AH548">
        <v>7</v>
      </c>
      <c r="AI548" t="s">
        <v>2307</v>
      </c>
      <c r="AJ548" t="s">
        <v>2315</v>
      </c>
    </row>
    <row r="549" spans="1:36" x14ac:dyDescent="0.3">
      <c r="A549" t="s">
        <v>583</v>
      </c>
      <c r="C549" t="s">
        <v>1686</v>
      </c>
      <c r="D549" t="s">
        <v>1842</v>
      </c>
      <c r="E549" t="s">
        <v>2189</v>
      </c>
      <c r="F549" t="s">
        <v>2240</v>
      </c>
      <c r="G549" t="s">
        <v>2241</v>
      </c>
      <c r="H549" t="s">
        <v>2257</v>
      </c>
      <c r="I549" t="s">
        <v>2262</v>
      </c>
      <c r="J549" t="s">
        <v>2266</v>
      </c>
      <c r="K549">
        <v>1</v>
      </c>
      <c r="L549">
        <v>140</v>
      </c>
      <c r="M549">
        <v>0.05</v>
      </c>
      <c r="N549">
        <v>140</v>
      </c>
      <c r="O549">
        <v>133</v>
      </c>
      <c r="P549" t="s">
        <v>2268</v>
      </c>
      <c r="Q549" t="s">
        <v>2270</v>
      </c>
      <c r="R549" t="s">
        <v>2274</v>
      </c>
      <c r="S549" t="s">
        <v>2280</v>
      </c>
      <c r="T549" t="s">
        <v>2289</v>
      </c>
      <c r="U549">
        <v>2</v>
      </c>
      <c r="V549">
        <v>255</v>
      </c>
      <c r="W549">
        <v>13</v>
      </c>
      <c r="X549">
        <v>45.89</v>
      </c>
      <c r="Y549">
        <v>87.11</v>
      </c>
      <c r="Z549" t="s">
        <v>1761</v>
      </c>
      <c r="AA549" t="s">
        <v>2296</v>
      </c>
      <c r="AB549">
        <v>140</v>
      </c>
      <c r="AC549">
        <v>7</v>
      </c>
      <c r="AD549">
        <v>133</v>
      </c>
      <c r="AE549">
        <v>45.89</v>
      </c>
      <c r="AF549">
        <v>87.11</v>
      </c>
    </row>
    <row r="550" spans="1:36" x14ac:dyDescent="0.3">
      <c r="A550" t="s">
        <v>584</v>
      </c>
      <c r="B550" s="2">
        <v>45451</v>
      </c>
      <c r="C550" t="s">
        <v>1729</v>
      </c>
      <c r="D550" t="s">
        <v>1761</v>
      </c>
      <c r="E550" t="s">
        <v>2073</v>
      </c>
      <c r="F550" t="s">
        <v>2239</v>
      </c>
      <c r="G550" t="s">
        <v>2241</v>
      </c>
      <c r="H550" t="s">
        <v>2257</v>
      </c>
      <c r="I550" t="s">
        <v>2262</v>
      </c>
      <c r="K550">
        <v>4</v>
      </c>
      <c r="L550">
        <v>140</v>
      </c>
      <c r="M550">
        <v>0</v>
      </c>
      <c r="N550">
        <v>560</v>
      </c>
      <c r="O550">
        <v>560</v>
      </c>
      <c r="P550" t="s">
        <v>2269</v>
      </c>
      <c r="Q550" t="s">
        <v>2270</v>
      </c>
      <c r="R550" t="s">
        <v>2274</v>
      </c>
      <c r="S550" t="s">
        <v>2280</v>
      </c>
      <c r="T550" t="s">
        <v>2288</v>
      </c>
      <c r="U550">
        <v>5</v>
      </c>
      <c r="X550">
        <v>73.489999999999995</v>
      </c>
      <c r="Y550">
        <v>266.04000000000002</v>
      </c>
      <c r="Z550" t="s">
        <v>2293</v>
      </c>
      <c r="AA550" t="s">
        <v>2296</v>
      </c>
      <c r="AB550">
        <v>560</v>
      </c>
      <c r="AC550">
        <v>0</v>
      </c>
      <c r="AD550">
        <v>560</v>
      </c>
      <c r="AE550">
        <v>293.95999999999998</v>
      </c>
      <c r="AF550">
        <v>266.04000000000002</v>
      </c>
      <c r="AG550">
        <v>2024</v>
      </c>
      <c r="AH550">
        <v>6</v>
      </c>
      <c r="AI550" t="s">
        <v>2304</v>
      </c>
      <c r="AJ550" t="s">
        <v>2317</v>
      </c>
    </row>
    <row r="551" spans="1:36" x14ac:dyDescent="0.3">
      <c r="A551" t="s">
        <v>585</v>
      </c>
      <c r="B551" s="2">
        <v>45641</v>
      </c>
      <c r="C551" t="s">
        <v>1738</v>
      </c>
      <c r="D551" t="s">
        <v>1884</v>
      </c>
      <c r="E551" t="s">
        <v>2162</v>
      </c>
      <c r="F551" t="s">
        <v>2239</v>
      </c>
      <c r="G551" t="s">
        <v>2247</v>
      </c>
      <c r="H551" t="s">
        <v>2257</v>
      </c>
      <c r="I551" t="s">
        <v>2262</v>
      </c>
      <c r="J551" t="s">
        <v>2265</v>
      </c>
      <c r="K551">
        <v>1</v>
      </c>
      <c r="L551">
        <v>105</v>
      </c>
      <c r="M551">
        <v>0.1</v>
      </c>
      <c r="N551">
        <v>105</v>
      </c>
      <c r="O551">
        <v>94.5</v>
      </c>
      <c r="P551" t="s">
        <v>2268</v>
      </c>
      <c r="R551" t="s">
        <v>2278</v>
      </c>
      <c r="S551" t="s">
        <v>2280</v>
      </c>
      <c r="T551" t="s">
        <v>2288</v>
      </c>
      <c r="U551">
        <v>4</v>
      </c>
      <c r="V551">
        <v>344</v>
      </c>
      <c r="W551">
        <v>28</v>
      </c>
      <c r="X551">
        <v>57.9</v>
      </c>
      <c r="Y551">
        <v>36.6</v>
      </c>
      <c r="Z551" t="s">
        <v>2294</v>
      </c>
      <c r="AA551" t="s">
        <v>1761</v>
      </c>
      <c r="AB551">
        <v>105</v>
      </c>
      <c r="AC551">
        <v>10.5</v>
      </c>
      <c r="AD551">
        <v>94.5</v>
      </c>
      <c r="AE551">
        <v>57.9</v>
      </c>
      <c r="AF551">
        <v>36.6</v>
      </c>
      <c r="AG551">
        <v>2024</v>
      </c>
      <c r="AH551">
        <v>12</v>
      </c>
      <c r="AI551" t="s">
        <v>2309</v>
      </c>
      <c r="AJ551" t="s">
        <v>2318</v>
      </c>
    </row>
    <row r="552" spans="1:36" x14ac:dyDescent="0.3">
      <c r="A552" t="s">
        <v>586</v>
      </c>
      <c r="B552" s="2">
        <v>45474</v>
      </c>
      <c r="C552" t="s">
        <v>1729</v>
      </c>
      <c r="D552" t="s">
        <v>1927</v>
      </c>
      <c r="E552" t="s">
        <v>2030</v>
      </c>
      <c r="F552" t="s">
        <v>2239</v>
      </c>
      <c r="G552" t="s">
        <v>2246</v>
      </c>
      <c r="H552" t="s">
        <v>2259</v>
      </c>
      <c r="I552" t="s">
        <v>2262</v>
      </c>
      <c r="J552" t="s">
        <v>2264</v>
      </c>
      <c r="K552">
        <v>1</v>
      </c>
      <c r="L552">
        <v>95</v>
      </c>
      <c r="M552">
        <v>0.05</v>
      </c>
      <c r="N552">
        <v>95</v>
      </c>
      <c r="O552">
        <v>90.25</v>
      </c>
      <c r="P552" t="s">
        <v>2267</v>
      </c>
      <c r="Q552" t="s">
        <v>2270</v>
      </c>
      <c r="R552" t="s">
        <v>2276</v>
      </c>
      <c r="S552" t="s">
        <v>2281</v>
      </c>
      <c r="T552" t="s">
        <v>2290</v>
      </c>
      <c r="V552">
        <v>209</v>
      </c>
      <c r="W552">
        <v>55</v>
      </c>
      <c r="X552">
        <v>52.58</v>
      </c>
      <c r="Y552">
        <v>37.67</v>
      </c>
      <c r="Z552" t="s">
        <v>2293</v>
      </c>
      <c r="AA552" t="s">
        <v>2298</v>
      </c>
      <c r="AB552">
        <v>95</v>
      </c>
      <c r="AC552">
        <v>4.75</v>
      </c>
      <c r="AD552">
        <v>90.25</v>
      </c>
      <c r="AE552">
        <v>52.58</v>
      </c>
      <c r="AF552">
        <v>37.67</v>
      </c>
      <c r="AG552">
        <v>2024</v>
      </c>
      <c r="AH552">
        <v>7</v>
      </c>
      <c r="AI552" t="s">
        <v>2307</v>
      </c>
      <c r="AJ552" t="s">
        <v>2314</v>
      </c>
    </row>
    <row r="553" spans="1:36" x14ac:dyDescent="0.3">
      <c r="A553" t="s">
        <v>587</v>
      </c>
      <c r="B553" s="2">
        <v>45394</v>
      </c>
      <c r="C553" t="s">
        <v>1653</v>
      </c>
      <c r="D553" t="s">
        <v>1900</v>
      </c>
      <c r="E553" t="s">
        <v>2142</v>
      </c>
      <c r="F553" t="s">
        <v>2238</v>
      </c>
      <c r="G553" t="s">
        <v>2255</v>
      </c>
      <c r="H553" t="s">
        <v>2260</v>
      </c>
      <c r="I553" t="s">
        <v>2260</v>
      </c>
      <c r="J553" t="s">
        <v>2265</v>
      </c>
      <c r="K553">
        <v>2</v>
      </c>
      <c r="L553">
        <v>190</v>
      </c>
      <c r="M553">
        <v>0.15</v>
      </c>
      <c r="N553">
        <v>380</v>
      </c>
      <c r="O553">
        <v>323</v>
      </c>
      <c r="P553" t="s">
        <v>2269</v>
      </c>
      <c r="Q553" t="s">
        <v>2271</v>
      </c>
      <c r="R553" t="s">
        <v>2279</v>
      </c>
      <c r="S553" t="s">
        <v>2282</v>
      </c>
      <c r="T553" t="s">
        <v>2289</v>
      </c>
      <c r="U553">
        <v>3</v>
      </c>
      <c r="W553">
        <v>24</v>
      </c>
      <c r="X553">
        <v>69.27</v>
      </c>
      <c r="Y553">
        <v>184.46</v>
      </c>
      <c r="Z553" t="s">
        <v>2293</v>
      </c>
      <c r="AA553" t="s">
        <v>2296</v>
      </c>
      <c r="AB553">
        <v>380</v>
      </c>
      <c r="AC553">
        <v>57</v>
      </c>
      <c r="AD553">
        <v>323</v>
      </c>
      <c r="AE553">
        <v>138.54</v>
      </c>
      <c r="AF553">
        <v>184.46</v>
      </c>
      <c r="AG553">
        <v>2024</v>
      </c>
      <c r="AH553">
        <v>4</v>
      </c>
      <c r="AI553" t="s">
        <v>2308</v>
      </c>
      <c r="AJ553" t="s">
        <v>2315</v>
      </c>
    </row>
    <row r="554" spans="1:36" x14ac:dyDescent="0.3">
      <c r="A554" t="s">
        <v>588</v>
      </c>
      <c r="B554" s="2">
        <v>45449</v>
      </c>
      <c r="C554" t="s">
        <v>1655</v>
      </c>
      <c r="D554" t="s">
        <v>1778</v>
      </c>
      <c r="E554" t="s">
        <v>2190</v>
      </c>
      <c r="F554" t="s">
        <v>2239</v>
      </c>
      <c r="G554" t="s">
        <v>2247</v>
      </c>
      <c r="H554" t="s">
        <v>2257</v>
      </c>
      <c r="I554" t="s">
        <v>2262</v>
      </c>
      <c r="J554" t="s">
        <v>2266</v>
      </c>
      <c r="K554">
        <v>1</v>
      </c>
      <c r="L554">
        <v>105</v>
      </c>
      <c r="M554">
        <v>0.1</v>
      </c>
      <c r="N554">
        <v>105</v>
      </c>
      <c r="O554">
        <v>94.5</v>
      </c>
      <c r="P554" t="s">
        <v>2267</v>
      </c>
      <c r="Q554" t="s">
        <v>2272</v>
      </c>
      <c r="R554" t="s">
        <v>2274</v>
      </c>
      <c r="S554" t="s">
        <v>2285</v>
      </c>
      <c r="T554" t="s">
        <v>2288</v>
      </c>
      <c r="V554">
        <v>126</v>
      </c>
      <c r="X554">
        <v>50.1</v>
      </c>
      <c r="Y554">
        <v>44.4</v>
      </c>
      <c r="Z554" t="s">
        <v>2291</v>
      </c>
      <c r="AA554" t="s">
        <v>2298</v>
      </c>
      <c r="AB554">
        <v>105</v>
      </c>
      <c r="AC554">
        <v>10.5</v>
      </c>
      <c r="AD554">
        <v>94.5</v>
      </c>
      <c r="AE554">
        <v>50.1</v>
      </c>
      <c r="AF554">
        <v>44.4</v>
      </c>
      <c r="AG554">
        <v>2024</v>
      </c>
      <c r="AH554">
        <v>6</v>
      </c>
      <c r="AI554" t="s">
        <v>2304</v>
      </c>
      <c r="AJ554" t="s">
        <v>2316</v>
      </c>
    </row>
    <row r="555" spans="1:36" x14ac:dyDescent="0.3">
      <c r="A555" t="s">
        <v>589</v>
      </c>
      <c r="B555" s="2">
        <v>45550</v>
      </c>
      <c r="C555" t="s">
        <v>1713</v>
      </c>
      <c r="D555" t="s">
        <v>1807</v>
      </c>
      <c r="E555" t="s">
        <v>2085</v>
      </c>
      <c r="F555" t="s">
        <v>2240</v>
      </c>
      <c r="G555" t="s">
        <v>2253</v>
      </c>
      <c r="H555" t="s">
        <v>2258</v>
      </c>
      <c r="I555" t="s">
        <v>2260</v>
      </c>
      <c r="J555" t="s">
        <v>2265</v>
      </c>
      <c r="K555">
        <v>2</v>
      </c>
      <c r="L555">
        <v>100</v>
      </c>
      <c r="M555">
        <v>0.05</v>
      </c>
      <c r="N555">
        <v>200</v>
      </c>
      <c r="O555">
        <v>190</v>
      </c>
      <c r="P555" t="s">
        <v>2269</v>
      </c>
      <c r="Q555" t="s">
        <v>2272</v>
      </c>
      <c r="R555" t="s">
        <v>2273</v>
      </c>
      <c r="S555" t="s">
        <v>2282</v>
      </c>
      <c r="T555" t="s">
        <v>2288</v>
      </c>
      <c r="V555">
        <v>70</v>
      </c>
      <c r="W555">
        <v>49</v>
      </c>
      <c r="X555">
        <v>47.49</v>
      </c>
      <c r="Y555">
        <v>95.02</v>
      </c>
      <c r="Z555" t="s">
        <v>2294</v>
      </c>
      <c r="AA555" t="s">
        <v>2299</v>
      </c>
      <c r="AB555">
        <v>200</v>
      </c>
      <c r="AC555">
        <v>10</v>
      </c>
      <c r="AD555">
        <v>190</v>
      </c>
      <c r="AE555">
        <v>94.98</v>
      </c>
      <c r="AF555">
        <v>95.02</v>
      </c>
      <c r="AG555">
        <v>2024</v>
      </c>
      <c r="AH555">
        <v>9</v>
      </c>
      <c r="AI555" t="s">
        <v>2300</v>
      </c>
      <c r="AJ555" t="s">
        <v>2318</v>
      </c>
    </row>
    <row r="556" spans="1:36" x14ac:dyDescent="0.3">
      <c r="A556" t="s">
        <v>590</v>
      </c>
      <c r="B556" s="2">
        <v>45440</v>
      </c>
      <c r="C556" t="s">
        <v>1730</v>
      </c>
      <c r="D556" t="s">
        <v>1924</v>
      </c>
      <c r="E556" t="s">
        <v>2121</v>
      </c>
      <c r="F556" t="s">
        <v>2239</v>
      </c>
      <c r="G556" t="s">
        <v>2244</v>
      </c>
      <c r="H556" t="s">
        <v>2257</v>
      </c>
      <c r="I556" t="s">
        <v>2262</v>
      </c>
      <c r="J556" t="s">
        <v>2265</v>
      </c>
      <c r="K556">
        <v>1</v>
      </c>
      <c r="L556">
        <v>130</v>
      </c>
      <c r="M556">
        <v>0</v>
      </c>
      <c r="N556">
        <v>130</v>
      </c>
      <c r="O556">
        <v>130</v>
      </c>
      <c r="P556" t="s">
        <v>2269</v>
      </c>
      <c r="Q556" t="s">
        <v>2272</v>
      </c>
      <c r="R556" t="s">
        <v>2279</v>
      </c>
      <c r="S556" t="s">
        <v>2283</v>
      </c>
      <c r="T556" t="s">
        <v>2290</v>
      </c>
      <c r="V556">
        <v>27</v>
      </c>
      <c r="W556">
        <v>52</v>
      </c>
      <c r="X556">
        <v>42.82</v>
      </c>
      <c r="Y556">
        <v>87.18</v>
      </c>
      <c r="Z556" t="s">
        <v>1761</v>
      </c>
      <c r="AA556" t="s">
        <v>2298</v>
      </c>
      <c r="AB556">
        <v>130</v>
      </c>
      <c r="AC556">
        <v>0</v>
      </c>
      <c r="AD556">
        <v>130</v>
      </c>
      <c r="AE556">
        <v>42.82</v>
      </c>
      <c r="AF556">
        <v>87.18</v>
      </c>
      <c r="AG556">
        <v>2024</v>
      </c>
      <c r="AH556">
        <v>5</v>
      </c>
      <c r="AI556" t="s">
        <v>2306</v>
      </c>
      <c r="AJ556" t="s">
        <v>2313</v>
      </c>
    </row>
    <row r="557" spans="1:36" x14ac:dyDescent="0.3">
      <c r="A557" t="s">
        <v>591</v>
      </c>
      <c r="C557" t="s">
        <v>1717</v>
      </c>
      <c r="D557" t="s">
        <v>1877</v>
      </c>
      <c r="E557" t="s">
        <v>2139</v>
      </c>
      <c r="F557" t="s">
        <v>2238</v>
      </c>
      <c r="G557" t="s">
        <v>2256</v>
      </c>
      <c r="H557" t="s">
        <v>2261</v>
      </c>
      <c r="I557" t="s">
        <v>2260</v>
      </c>
      <c r="J557" t="s">
        <v>2265</v>
      </c>
      <c r="K557">
        <v>1</v>
      </c>
      <c r="L557">
        <v>185</v>
      </c>
      <c r="N557">
        <v>185</v>
      </c>
      <c r="P557" t="s">
        <v>2268</v>
      </c>
      <c r="Q557" t="s">
        <v>2271</v>
      </c>
      <c r="R557" t="s">
        <v>2275</v>
      </c>
      <c r="S557" t="s">
        <v>2282</v>
      </c>
      <c r="T557" t="s">
        <v>2288</v>
      </c>
      <c r="U557">
        <v>2</v>
      </c>
      <c r="V557">
        <v>346</v>
      </c>
      <c r="W557">
        <v>39</v>
      </c>
      <c r="X557">
        <v>68.959999999999994</v>
      </c>
      <c r="Z557" t="s">
        <v>2292</v>
      </c>
      <c r="AA557" t="s">
        <v>2296</v>
      </c>
      <c r="AB557">
        <v>185</v>
      </c>
      <c r="AC557">
        <v>0</v>
      </c>
      <c r="AD557">
        <v>185</v>
      </c>
      <c r="AE557">
        <v>68.959999999999994</v>
      </c>
      <c r="AF557">
        <v>116.04</v>
      </c>
    </row>
    <row r="558" spans="1:36" x14ac:dyDescent="0.3">
      <c r="A558" t="s">
        <v>592</v>
      </c>
      <c r="B558" s="2">
        <v>45422</v>
      </c>
      <c r="C558" t="s">
        <v>1637</v>
      </c>
      <c r="D558" t="s">
        <v>1903</v>
      </c>
      <c r="E558" t="s">
        <v>1992</v>
      </c>
      <c r="F558" t="s">
        <v>2240</v>
      </c>
      <c r="G558" t="s">
        <v>2253</v>
      </c>
      <c r="H558" t="s">
        <v>2258</v>
      </c>
      <c r="I558" t="s">
        <v>2260</v>
      </c>
      <c r="J558" t="s">
        <v>2266</v>
      </c>
      <c r="K558">
        <v>2</v>
      </c>
      <c r="L558">
        <v>95</v>
      </c>
      <c r="N558">
        <v>190</v>
      </c>
      <c r="P558" t="s">
        <v>2269</v>
      </c>
      <c r="Q558" t="s">
        <v>2272</v>
      </c>
      <c r="R558" t="s">
        <v>2278</v>
      </c>
      <c r="S558" t="s">
        <v>2283</v>
      </c>
      <c r="T558" t="s">
        <v>2288</v>
      </c>
      <c r="U558">
        <v>3</v>
      </c>
      <c r="V558">
        <v>50</v>
      </c>
      <c r="W558">
        <v>16</v>
      </c>
      <c r="X558">
        <v>49.02</v>
      </c>
      <c r="AA558" t="s">
        <v>2296</v>
      </c>
      <c r="AB558">
        <v>190</v>
      </c>
      <c r="AC558">
        <v>0</v>
      </c>
      <c r="AD558">
        <v>190</v>
      </c>
      <c r="AE558">
        <v>98.04</v>
      </c>
      <c r="AF558">
        <v>91.96</v>
      </c>
      <c r="AG558">
        <v>2024</v>
      </c>
      <c r="AH558">
        <v>5</v>
      </c>
      <c r="AI558" t="s">
        <v>2306</v>
      </c>
      <c r="AJ558" t="s">
        <v>2315</v>
      </c>
    </row>
    <row r="559" spans="1:36" x14ac:dyDescent="0.3">
      <c r="A559" t="s">
        <v>593</v>
      </c>
      <c r="B559" s="2">
        <v>45614</v>
      </c>
      <c r="C559" t="s">
        <v>1722</v>
      </c>
      <c r="D559" t="s">
        <v>1834</v>
      </c>
      <c r="E559" t="s">
        <v>2113</v>
      </c>
      <c r="F559" t="s">
        <v>2240</v>
      </c>
      <c r="G559" t="s">
        <v>2243</v>
      </c>
      <c r="H559" t="s">
        <v>2258</v>
      </c>
      <c r="I559" t="s">
        <v>2260</v>
      </c>
      <c r="K559">
        <v>2</v>
      </c>
      <c r="L559">
        <v>70</v>
      </c>
      <c r="M559">
        <v>0.15</v>
      </c>
      <c r="N559">
        <v>140</v>
      </c>
      <c r="O559">
        <v>119</v>
      </c>
      <c r="P559" t="s">
        <v>2269</v>
      </c>
      <c r="Q559" t="s">
        <v>2271</v>
      </c>
      <c r="R559" t="s">
        <v>2277</v>
      </c>
      <c r="S559" t="s">
        <v>2287</v>
      </c>
      <c r="T559" t="s">
        <v>2289</v>
      </c>
      <c r="U559">
        <v>4</v>
      </c>
      <c r="V559">
        <v>301</v>
      </c>
      <c r="W559">
        <v>12</v>
      </c>
      <c r="X559">
        <v>27.45</v>
      </c>
      <c r="Y559">
        <v>64.099999999999994</v>
      </c>
      <c r="Z559" t="s">
        <v>2293</v>
      </c>
      <c r="AA559" t="s">
        <v>2298</v>
      </c>
      <c r="AB559">
        <v>140</v>
      </c>
      <c r="AC559">
        <v>21</v>
      </c>
      <c r="AD559">
        <v>119</v>
      </c>
      <c r="AE559">
        <v>54.9</v>
      </c>
      <c r="AF559">
        <v>64.099999999999994</v>
      </c>
      <c r="AG559">
        <v>2024</v>
      </c>
      <c r="AH559">
        <v>11</v>
      </c>
      <c r="AI559" t="s">
        <v>2311</v>
      </c>
      <c r="AJ559" t="s">
        <v>2314</v>
      </c>
    </row>
    <row r="560" spans="1:36" x14ac:dyDescent="0.3">
      <c r="A560" t="s">
        <v>594</v>
      </c>
      <c r="B560" s="2">
        <v>45531</v>
      </c>
      <c r="C560" t="s">
        <v>1739</v>
      </c>
      <c r="D560" t="s">
        <v>1759</v>
      </c>
      <c r="E560" t="s">
        <v>2109</v>
      </c>
      <c r="F560" t="s">
        <v>2240</v>
      </c>
      <c r="G560" t="s">
        <v>2248</v>
      </c>
      <c r="H560" t="s">
        <v>2257</v>
      </c>
      <c r="I560" t="s">
        <v>2262</v>
      </c>
      <c r="J560" t="s">
        <v>2264</v>
      </c>
      <c r="L560">
        <v>145</v>
      </c>
      <c r="M560">
        <v>0</v>
      </c>
      <c r="N560">
        <v>290</v>
      </c>
      <c r="O560">
        <v>290</v>
      </c>
      <c r="P560" t="s">
        <v>2268</v>
      </c>
      <c r="R560" t="s">
        <v>2276</v>
      </c>
      <c r="S560" t="s">
        <v>2285</v>
      </c>
      <c r="T560" t="s">
        <v>2288</v>
      </c>
      <c r="U560">
        <v>2</v>
      </c>
      <c r="V560">
        <v>362</v>
      </c>
      <c r="W560">
        <v>56</v>
      </c>
      <c r="X560">
        <v>52.76</v>
      </c>
      <c r="Y560">
        <v>184.48</v>
      </c>
      <c r="Z560" t="s">
        <v>1761</v>
      </c>
      <c r="AA560" t="s">
        <v>2296</v>
      </c>
      <c r="AG560">
        <v>2024</v>
      </c>
      <c r="AH560">
        <v>8</v>
      </c>
      <c r="AI560" t="s">
        <v>2301</v>
      </c>
      <c r="AJ560" t="s">
        <v>2313</v>
      </c>
    </row>
    <row r="561" spans="1:36" x14ac:dyDescent="0.3">
      <c r="A561" t="s">
        <v>595</v>
      </c>
      <c r="B561" s="2">
        <v>45371</v>
      </c>
      <c r="C561" t="s">
        <v>1722</v>
      </c>
      <c r="D561" t="s">
        <v>1865</v>
      </c>
      <c r="E561" t="s">
        <v>1761</v>
      </c>
      <c r="F561" t="s">
        <v>2239</v>
      </c>
      <c r="G561" t="s">
        <v>2255</v>
      </c>
      <c r="H561" t="s">
        <v>2260</v>
      </c>
      <c r="I561" t="s">
        <v>2260</v>
      </c>
      <c r="J561" t="s">
        <v>2266</v>
      </c>
      <c r="K561">
        <v>3</v>
      </c>
      <c r="L561">
        <v>190</v>
      </c>
      <c r="M561">
        <v>0</v>
      </c>
      <c r="N561">
        <v>570</v>
      </c>
      <c r="O561">
        <v>570</v>
      </c>
      <c r="P561" t="s">
        <v>2269</v>
      </c>
      <c r="Q561" t="s">
        <v>2272</v>
      </c>
      <c r="R561" t="s">
        <v>2274</v>
      </c>
      <c r="S561" t="s">
        <v>2286</v>
      </c>
      <c r="T561" t="s">
        <v>2290</v>
      </c>
      <c r="U561">
        <v>2</v>
      </c>
      <c r="W561">
        <v>54</v>
      </c>
      <c r="X561">
        <v>90.62</v>
      </c>
      <c r="Y561">
        <v>298.14</v>
      </c>
      <c r="Z561" t="s">
        <v>1761</v>
      </c>
      <c r="AA561" t="s">
        <v>2298</v>
      </c>
      <c r="AB561">
        <v>570</v>
      </c>
      <c r="AC561">
        <v>0</v>
      </c>
      <c r="AD561">
        <v>570</v>
      </c>
      <c r="AE561">
        <v>271.86</v>
      </c>
      <c r="AF561">
        <v>298.14</v>
      </c>
      <c r="AG561">
        <v>2024</v>
      </c>
      <c r="AH561">
        <v>3</v>
      </c>
      <c r="AI561" t="s">
        <v>2305</v>
      </c>
      <c r="AJ561" t="s">
        <v>2312</v>
      </c>
    </row>
    <row r="562" spans="1:36" x14ac:dyDescent="0.3">
      <c r="A562" t="s">
        <v>596</v>
      </c>
      <c r="B562" s="2">
        <v>45395</v>
      </c>
      <c r="C562" t="s">
        <v>1675</v>
      </c>
      <c r="D562" t="s">
        <v>1851</v>
      </c>
      <c r="E562" t="s">
        <v>2191</v>
      </c>
      <c r="F562" t="s">
        <v>2239</v>
      </c>
      <c r="G562" t="s">
        <v>2254</v>
      </c>
      <c r="H562" t="s">
        <v>2259</v>
      </c>
      <c r="I562" t="s">
        <v>2263</v>
      </c>
      <c r="K562">
        <v>1</v>
      </c>
      <c r="L562">
        <v>105</v>
      </c>
      <c r="M562">
        <v>0</v>
      </c>
      <c r="N562">
        <v>105</v>
      </c>
      <c r="O562">
        <v>105</v>
      </c>
      <c r="P562" t="s">
        <v>2268</v>
      </c>
      <c r="Q562" t="s">
        <v>2272</v>
      </c>
      <c r="R562" t="s">
        <v>2278</v>
      </c>
      <c r="S562" t="s">
        <v>2280</v>
      </c>
      <c r="T562" t="s">
        <v>2288</v>
      </c>
      <c r="U562">
        <v>4</v>
      </c>
      <c r="V562">
        <v>353</v>
      </c>
      <c r="W562">
        <v>26</v>
      </c>
      <c r="X562">
        <v>47.63</v>
      </c>
      <c r="Y562">
        <v>57.37</v>
      </c>
      <c r="Z562" t="s">
        <v>2294</v>
      </c>
      <c r="AA562" t="s">
        <v>2298</v>
      </c>
      <c r="AB562">
        <v>105</v>
      </c>
      <c r="AC562">
        <v>0</v>
      </c>
      <c r="AD562">
        <v>105</v>
      </c>
      <c r="AE562">
        <v>47.63</v>
      </c>
      <c r="AF562">
        <v>57.37</v>
      </c>
      <c r="AG562">
        <v>2024</v>
      </c>
      <c r="AH562">
        <v>4</v>
      </c>
      <c r="AI562" t="s">
        <v>2308</v>
      </c>
      <c r="AJ562" t="s">
        <v>2317</v>
      </c>
    </row>
    <row r="563" spans="1:36" x14ac:dyDescent="0.3">
      <c r="A563" t="s">
        <v>597</v>
      </c>
      <c r="B563" s="2">
        <v>45335</v>
      </c>
      <c r="C563" t="s">
        <v>1656</v>
      </c>
      <c r="D563" t="s">
        <v>1882</v>
      </c>
      <c r="E563" t="s">
        <v>2192</v>
      </c>
      <c r="F563" t="s">
        <v>2238</v>
      </c>
      <c r="G563" t="s">
        <v>2244</v>
      </c>
      <c r="H563" t="s">
        <v>2257</v>
      </c>
      <c r="I563" t="s">
        <v>2262</v>
      </c>
      <c r="J563" t="s">
        <v>2264</v>
      </c>
      <c r="K563">
        <v>2</v>
      </c>
      <c r="L563">
        <v>120</v>
      </c>
      <c r="M563">
        <v>0.05</v>
      </c>
      <c r="N563">
        <v>240</v>
      </c>
      <c r="O563">
        <v>228</v>
      </c>
      <c r="P563" t="s">
        <v>2267</v>
      </c>
      <c r="Q563" t="s">
        <v>2272</v>
      </c>
      <c r="R563" t="s">
        <v>2275</v>
      </c>
      <c r="S563" t="s">
        <v>2285</v>
      </c>
      <c r="T563" t="s">
        <v>2288</v>
      </c>
      <c r="U563">
        <v>3</v>
      </c>
      <c r="V563">
        <v>92</v>
      </c>
      <c r="W563">
        <v>47</v>
      </c>
      <c r="X563">
        <v>55.99</v>
      </c>
      <c r="Y563">
        <v>116.02</v>
      </c>
      <c r="Z563" t="s">
        <v>2293</v>
      </c>
      <c r="AA563" t="s">
        <v>2297</v>
      </c>
      <c r="AB563">
        <v>240</v>
      </c>
      <c r="AC563">
        <v>12</v>
      </c>
      <c r="AD563">
        <v>228</v>
      </c>
      <c r="AE563">
        <v>111.98</v>
      </c>
      <c r="AF563">
        <v>116.02</v>
      </c>
      <c r="AG563">
        <v>2024</v>
      </c>
      <c r="AH563">
        <v>2</v>
      </c>
      <c r="AI563" t="s">
        <v>2303</v>
      </c>
      <c r="AJ563" t="s">
        <v>2313</v>
      </c>
    </row>
    <row r="564" spans="1:36" x14ac:dyDescent="0.3">
      <c r="A564" t="s">
        <v>598</v>
      </c>
      <c r="B564" s="2">
        <v>45309</v>
      </c>
      <c r="C564" t="s">
        <v>1653</v>
      </c>
      <c r="D564" t="s">
        <v>1904</v>
      </c>
      <c r="E564" t="s">
        <v>2110</v>
      </c>
      <c r="F564" t="s">
        <v>2239</v>
      </c>
      <c r="G564" t="s">
        <v>2241</v>
      </c>
      <c r="H564" t="s">
        <v>2257</v>
      </c>
      <c r="I564" t="s">
        <v>2262</v>
      </c>
      <c r="J564" t="s">
        <v>2264</v>
      </c>
      <c r="K564">
        <v>2</v>
      </c>
      <c r="L564">
        <v>125</v>
      </c>
      <c r="N564">
        <v>250</v>
      </c>
      <c r="P564" t="s">
        <v>2267</v>
      </c>
      <c r="Q564" t="s">
        <v>2272</v>
      </c>
      <c r="R564" t="s">
        <v>2276</v>
      </c>
      <c r="S564" t="s">
        <v>2287</v>
      </c>
      <c r="T564" t="s">
        <v>2290</v>
      </c>
      <c r="U564">
        <v>3</v>
      </c>
      <c r="V564">
        <v>210</v>
      </c>
      <c r="W564">
        <v>20</v>
      </c>
      <c r="X564">
        <v>50.2</v>
      </c>
      <c r="Z564" t="s">
        <v>2293</v>
      </c>
      <c r="AA564" t="s">
        <v>2296</v>
      </c>
      <c r="AB564">
        <v>250</v>
      </c>
      <c r="AC564">
        <v>0</v>
      </c>
      <c r="AD564">
        <v>250</v>
      </c>
      <c r="AE564">
        <v>100.4</v>
      </c>
      <c r="AF564">
        <v>149.6</v>
      </c>
      <c r="AG564">
        <v>2024</v>
      </c>
      <c r="AH564">
        <v>1</v>
      </c>
      <c r="AI564" t="s">
        <v>2302</v>
      </c>
      <c r="AJ564" t="s">
        <v>2316</v>
      </c>
    </row>
    <row r="565" spans="1:36" x14ac:dyDescent="0.3">
      <c r="A565" t="s">
        <v>599</v>
      </c>
      <c r="B565" s="2">
        <v>45515</v>
      </c>
      <c r="C565" t="s">
        <v>1727</v>
      </c>
      <c r="D565" t="s">
        <v>1882</v>
      </c>
      <c r="E565" t="s">
        <v>2193</v>
      </c>
      <c r="F565" t="s">
        <v>2240</v>
      </c>
      <c r="G565" t="s">
        <v>2256</v>
      </c>
      <c r="H565" t="s">
        <v>2261</v>
      </c>
      <c r="I565" t="s">
        <v>2260</v>
      </c>
      <c r="J565" t="s">
        <v>2264</v>
      </c>
      <c r="K565">
        <v>2</v>
      </c>
      <c r="L565">
        <v>185</v>
      </c>
      <c r="M565">
        <v>0</v>
      </c>
      <c r="N565">
        <v>370</v>
      </c>
      <c r="O565">
        <v>370</v>
      </c>
      <c r="P565" t="s">
        <v>2267</v>
      </c>
      <c r="R565" t="s">
        <v>2279</v>
      </c>
      <c r="S565" t="s">
        <v>2281</v>
      </c>
      <c r="T565" t="s">
        <v>2288</v>
      </c>
      <c r="U565">
        <v>5</v>
      </c>
      <c r="V565">
        <v>5</v>
      </c>
      <c r="W565">
        <v>37</v>
      </c>
      <c r="X565">
        <v>66.56</v>
      </c>
      <c r="Y565">
        <v>236.88</v>
      </c>
      <c r="Z565" t="s">
        <v>2291</v>
      </c>
      <c r="AA565" t="s">
        <v>1761</v>
      </c>
      <c r="AB565">
        <v>370</v>
      </c>
      <c r="AC565">
        <v>0</v>
      </c>
      <c r="AD565">
        <v>370</v>
      </c>
      <c r="AE565">
        <v>133.12</v>
      </c>
      <c r="AF565">
        <v>236.88</v>
      </c>
      <c r="AG565">
        <v>2024</v>
      </c>
      <c r="AH565">
        <v>8</v>
      </c>
      <c r="AI565" t="s">
        <v>2301</v>
      </c>
      <c r="AJ565" t="s">
        <v>2318</v>
      </c>
    </row>
    <row r="566" spans="1:36" x14ac:dyDescent="0.3">
      <c r="A566" t="s">
        <v>600</v>
      </c>
      <c r="B566" s="2">
        <v>45414</v>
      </c>
      <c r="C566" t="s">
        <v>1731</v>
      </c>
      <c r="D566" t="s">
        <v>1755</v>
      </c>
      <c r="E566" t="s">
        <v>2111</v>
      </c>
      <c r="F566" t="s">
        <v>2240</v>
      </c>
      <c r="G566" t="s">
        <v>2241</v>
      </c>
      <c r="H566" t="s">
        <v>2257</v>
      </c>
      <c r="I566" t="s">
        <v>2262</v>
      </c>
      <c r="J566" t="s">
        <v>2266</v>
      </c>
      <c r="K566">
        <v>1</v>
      </c>
      <c r="L566">
        <v>140</v>
      </c>
      <c r="M566">
        <v>0.1</v>
      </c>
      <c r="N566">
        <v>140</v>
      </c>
      <c r="O566">
        <v>126</v>
      </c>
      <c r="P566" t="s">
        <v>2267</v>
      </c>
      <c r="Q566" t="s">
        <v>2272</v>
      </c>
      <c r="R566" t="s">
        <v>2278</v>
      </c>
      <c r="S566" t="s">
        <v>2283</v>
      </c>
      <c r="T566" t="s">
        <v>2288</v>
      </c>
      <c r="U566">
        <v>5</v>
      </c>
      <c r="V566">
        <v>160</v>
      </c>
      <c r="X566">
        <v>63.56</v>
      </c>
      <c r="Y566">
        <v>62.44</v>
      </c>
      <c r="Z566" t="s">
        <v>2292</v>
      </c>
      <c r="AA566" t="s">
        <v>2296</v>
      </c>
      <c r="AB566">
        <v>140</v>
      </c>
      <c r="AC566">
        <v>14</v>
      </c>
      <c r="AD566">
        <v>126</v>
      </c>
      <c r="AE566">
        <v>63.56</v>
      </c>
      <c r="AF566">
        <v>62.44</v>
      </c>
      <c r="AG566">
        <v>2024</v>
      </c>
      <c r="AH566">
        <v>5</v>
      </c>
      <c r="AI566" t="s">
        <v>2306</v>
      </c>
      <c r="AJ566" t="s">
        <v>2316</v>
      </c>
    </row>
    <row r="567" spans="1:36" x14ac:dyDescent="0.3">
      <c r="A567" t="s">
        <v>601</v>
      </c>
      <c r="B567" s="2">
        <v>45388</v>
      </c>
      <c r="C567" t="s">
        <v>1638</v>
      </c>
      <c r="D567" t="s">
        <v>1885</v>
      </c>
      <c r="E567" t="s">
        <v>1761</v>
      </c>
      <c r="F567" t="s">
        <v>2240</v>
      </c>
      <c r="G567" t="s">
        <v>2249</v>
      </c>
      <c r="H567" t="s">
        <v>2257</v>
      </c>
      <c r="I567" t="s">
        <v>2263</v>
      </c>
      <c r="J567" t="s">
        <v>2264</v>
      </c>
      <c r="K567">
        <v>1</v>
      </c>
      <c r="L567">
        <v>155</v>
      </c>
      <c r="M567">
        <v>0</v>
      </c>
      <c r="N567">
        <v>155</v>
      </c>
      <c r="O567">
        <v>155</v>
      </c>
      <c r="P567" t="s">
        <v>2267</v>
      </c>
      <c r="Q567" t="s">
        <v>2272</v>
      </c>
      <c r="R567" t="s">
        <v>2278</v>
      </c>
      <c r="S567" t="s">
        <v>2287</v>
      </c>
      <c r="T567" t="s">
        <v>2290</v>
      </c>
      <c r="U567">
        <v>5</v>
      </c>
      <c r="V567">
        <v>347</v>
      </c>
      <c r="W567">
        <v>21</v>
      </c>
      <c r="X567">
        <v>82.54</v>
      </c>
      <c r="Y567">
        <v>72.459999999999994</v>
      </c>
      <c r="Z567" t="s">
        <v>2293</v>
      </c>
      <c r="AA567" t="s">
        <v>2297</v>
      </c>
      <c r="AB567">
        <v>155</v>
      </c>
      <c r="AC567">
        <v>0</v>
      </c>
      <c r="AD567">
        <v>155</v>
      </c>
      <c r="AE567">
        <v>82.54</v>
      </c>
      <c r="AF567">
        <v>72.459999999999994</v>
      </c>
      <c r="AG567">
        <v>2024</v>
      </c>
      <c r="AH567">
        <v>4</v>
      </c>
      <c r="AI567" t="s">
        <v>2308</v>
      </c>
      <c r="AJ567" t="s">
        <v>2317</v>
      </c>
    </row>
    <row r="568" spans="1:36" x14ac:dyDescent="0.3">
      <c r="A568" t="s">
        <v>602</v>
      </c>
      <c r="B568" s="2">
        <v>45463</v>
      </c>
      <c r="C568" t="s">
        <v>1637</v>
      </c>
      <c r="D568" t="s">
        <v>1824</v>
      </c>
      <c r="E568" t="s">
        <v>2174</v>
      </c>
      <c r="F568" t="s">
        <v>1761</v>
      </c>
      <c r="G568" t="s">
        <v>2246</v>
      </c>
      <c r="H568" t="s">
        <v>2259</v>
      </c>
      <c r="I568" t="s">
        <v>2262</v>
      </c>
      <c r="J568" t="s">
        <v>2265</v>
      </c>
      <c r="K568">
        <v>1</v>
      </c>
      <c r="L568">
        <v>95</v>
      </c>
      <c r="M568">
        <v>0.15</v>
      </c>
      <c r="N568">
        <v>95</v>
      </c>
      <c r="O568">
        <v>80.75</v>
      </c>
      <c r="P568" t="s">
        <v>2268</v>
      </c>
      <c r="Q568" t="s">
        <v>2272</v>
      </c>
      <c r="R568" t="s">
        <v>2276</v>
      </c>
      <c r="S568" t="s">
        <v>2286</v>
      </c>
      <c r="T568" t="s">
        <v>2288</v>
      </c>
      <c r="U568">
        <v>4</v>
      </c>
      <c r="V568">
        <v>44</v>
      </c>
      <c r="X568">
        <v>38.01</v>
      </c>
      <c r="Y568">
        <v>42.74</v>
      </c>
      <c r="Z568" t="s">
        <v>2294</v>
      </c>
      <c r="AA568" t="s">
        <v>2298</v>
      </c>
      <c r="AB568">
        <v>95</v>
      </c>
      <c r="AC568">
        <v>14.25</v>
      </c>
      <c r="AD568">
        <v>80.75</v>
      </c>
      <c r="AE568">
        <v>38.01</v>
      </c>
      <c r="AF568">
        <v>42.74</v>
      </c>
      <c r="AG568">
        <v>2024</v>
      </c>
      <c r="AH568">
        <v>6</v>
      </c>
      <c r="AI568" t="s">
        <v>2304</v>
      </c>
      <c r="AJ568" t="s">
        <v>2316</v>
      </c>
    </row>
    <row r="569" spans="1:36" x14ac:dyDescent="0.3">
      <c r="A569" t="s">
        <v>603</v>
      </c>
      <c r="B569" s="2">
        <v>45423</v>
      </c>
      <c r="C569" t="s">
        <v>1652</v>
      </c>
      <c r="D569" t="s">
        <v>1928</v>
      </c>
      <c r="E569" t="s">
        <v>2021</v>
      </c>
      <c r="F569" t="s">
        <v>2240</v>
      </c>
      <c r="G569" t="s">
        <v>2255</v>
      </c>
      <c r="H569" t="s">
        <v>2260</v>
      </c>
      <c r="I569" t="s">
        <v>2260</v>
      </c>
      <c r="J569" t="s">
        <v>2264</v>
      </c>
      <c r="K569">
        <v>1</v>
      </c>
      <c r="L569">
        <v>180</v>
      </c>
      <c r="M569">
        <v>0.15</v>
      </c>
      <c r="N569">
        <v>180</v>
      </c>
      <c r="O569">
        <v>153</v>
      </c>
      <c r="P569" t="s">
        <v>2269</v>
      </c>
      <c r="Q569" t="s">
        <v>2270</v>
      </c>
      <c r="R569" t="s">
        <v>2275</v>
      </c>
      <c r="S569" t="s">
        <v>2280</v>
      </c>
      <c r="T569" t="s">
        <v>2288</v>
      </c>
      <c r="U569">
        <v>1</v>
      </c>
      <c r="W569">
        <v>32</v>
      </c>
      <c r="X569">
        <v>107.54</v>
      </c>
      <c r="Y569">
        <v>45.46</v>
      </c>
      <c r="Z569" t="s">
        <v>1761</v>
      </c>
      <c r="AA569" t="s">
        <v>2299</v>
      </c>
      <c r="AB569">
        <v>180</v>
      </c>
      <c r="AC569">
        <v>27</v>
      </c>
      <c r="AD569">
        <v>153</v>
      </c>
      <c r="AE569">
        <v>107.54</v>
      </c>
      <c r="AF569">
        <v>45.459999999999987</v>
      </c>
      <c r="AG569">
        <v>2024</v>
      </c>
      <c r="AH569">
        <v>5</v>
      </c>
      <c r="AI569" t="s">
        <v>2306</v>
      </c>
      <c r="AJ569" t="s">
        <v>2317</v>
      </c>
    </row>
    <row r="570" spans="1:36" x14ac:dyDescent="0.3">
      <c r="A570" t="s">
        <v>604</v>
      </c>
      <c r="B570" s="2">
        <v>45447</v>
      </c>
      <c r="C570" t="s">
        <v>1687</v>
      </c>
      <c r="D570" t="s">
        <v>1921</v>
      </c>
      <c r="E570" t="s">
        <v>2188</v>
      </c>
      <c r="F570" t="s">
        <v>1761</v>
      </c>
      <c r="G570" t="s">
        <v>2243</v>
      </c>
      <c r="H570" t="s">
        <v>2258</v>
      </c>
      <c r="I570" t="s">
        <v>2260</v>
      </c>
      <c r="J570" t="s">
        <v>2265</v>
      </c>
      <c r="K570">
        <v>3</v>
      </c>
      <c r="L570">
        <v>65</v>
      </c>
      <c r="M570">
        <v>0.1</v>
      </c>
      <c r="N570">
        <v>195</v>
      </c>
      <c r="O570">
        <v>175.5</v>
      </c>
      <c r="P570" t="s">
        <v>2267</v>
      </c>
      <c r="Q570" t="s">
        <v>2272</v>
      </c>
      <c r="R570" t="s">
        <v>2275</v>
      </c>
      <c r="S570" t="s">
        <v>2281</v>
      </c>
      <c r="T570" t="s">
        <v>2288</v>
      </c>
      <c r="U570">
        <v>4</v>
      </c>
      <c r="V570">
        <v>318</v>
      </c>
      <c r="X570">
        <v>41.53</v>
      </c>
      <c r="Y570">
        <v>50.91</v>
      </c>
      <c r="Z570" t="s">
        <v>2293</v>
      </c>
      <c r="AA570" t="s">
        <v>2296</v>
      </c>
      <c r="AB570">
        <v>195</v>
      </c>
      <c r="AC570">
        <v>19.5</v>
      </c>
      <c r="AD570">
        <v>175.5</v>
      </c>
      <c r="AE570">
        <v>124.59</v>
      </c>
      <c r="AF570">
        <v>50.91</v>
      </c>
      <c r="AG570">
        <v>2024</v>
      </c>
      <c r="AH570">
        <v>6</v>
      </c>
      <c r="AI570" t="s">
        <v>2304</v>
      </c>
      <c r="AJ570" t="s">
        <v>2313</v>
      </c>
    </row>
    <row r="571" spans="1:36" x14ac:dyDescent="0.3">
      <c r="A571" t="s">
        <v>605</v>
      </c>
      <c r="B571" s="2">
        <v>45440</v>
      </c>
      <c r="C571" t="s">
        <v>1658</v>
      </c>
      <c r="D571" t="s">
        <v>1904</v>
      </c>
      <c r="E571" t="s">
        <v>2193</v>
      </c>
      <c r="F571" t="s">
        <v>2238</v>
      </c>
      <c r="G571" t="s">
        <v>2242</v>
      </c>
      <c r="H571" t="s">
        <v>2258</v>
      </c>
      <c r="I571" t="s">
        <v>2260</v>
      </c>
      <c r="K571">
        <v>1</v>
      </c>
      <c r="L571">
        <v>125</v>
      </c>
      <c r="M571">
        <v>0.1</v>
      </c>
      <c r="N571">
        <v>125</v>
      </c>
      <c r="O571">
        <v>112.5</v>
      </c>
      <c r="P571" t="s">
        <v>2267</v>
      </c>
      <c r="Q571" t="s">
        <v>2270</v>
      </c>
      <c r="R571" t="s">
        <v>2276</v>
      </c>
      <c r="S571" t="s">
        <v>2283</v>
      </c>
      <c r="T571" t="s">
        <v>2289</v>
      </c>
      <c r="U571">
        <v>4</v>
      </c>
      <c r="V571">
        <v>235</v>
      </c>
      <c r="X571">
        <v>44.59</v>
      </c>
      <c r="Y571">
        <v>67.91</v>
      </c>
      <c r="Z571" t="s">
        <v>1761</v>
      </c>
      <c r="AA571" t="s">
        <v>2299</v>
      </c>
      <c r="AB571">
        <v>125</v>
      </c>
      <c r="AC571">
        <v>12.5</v>
      </c>
      <c r="AD571">
        <v>112.5</v>
      </c>
      <c r="AE571">
        <v>44.59</v>
      </c>
      <c r="AF571">
        <v>67.91</v>
      </c>
      <c r="AG571">
        <v>2024</v>
      </c>
      <c r="AH571">
        <v>5</v>
      </c>
      <c r="AI571" t="s">
        <v>2306</v>
      </c>
      <c r="AJ571" t="s">
        <v>2313</v>
      </c>
    </row>
    <row r="572" spans="1:36" x14ac:dyDescent="0.3">
      <c r="A572" t="s">
        <v>606</v>
      </c>
      <c r="B572" s="2">
        <v>45507</v>
      </c>
      <c r="C572" t="s">
        <v>1668</v>
      </c>
      <c r="D572" t="s">
        <v>1761</v>
      </c>
      <c r="E572" t="s">
        <v>2072</v>
      </c>
      <c r="F572" t="s">
        <v>2240</v>
      </c>
      <c r="G572" t="s">
        <v>2244</v>
      </c>
      <c r="H572" t="s">
        <v>2257</v>
      </c>
      <c r="I572" t="s">
        <v>2262</v>
      </c>
      <c r="K572">
        <v>1</v>
      </c>
      <c r="L572">
        <v>130</v>
      </c>
      <c r="M572">
        <v>0</v>
      </c>
      <c r="N572">
        <v>130</v>
      </c>
      <c r="O572">
        <v>130</v>
      </c>
      <c r="R572" t="s">
        <v>2275</v>
      </c>
      <c r="S572" t="s">
        <v>2280</v>
      </c>
      <c r="T572" t="s">
        <v>2288</v>
      </c>
      <c r="U572">
        <v>3</v>
      </c>
      <c r="V572">
        <v>267</v>
      </c>
      <c r="W572">
        <v>31</v>
      </c>
      <c r="X572">
        <v>52.55</v>
      </c>
      <c r="Y572">
        <v>77.45</v>
      </c>
      <c r="Z572" t="s">
        <v>2291</v>
      </c>
      <c r="AA572" t="s">
        <v>2297</v>
      </c>
      <c r="AB572">
        <v>130</v>
      </c>
      <c r="AC572">
        <v>0</v>
      </c>
      <c r="AD572">
        <v>130</v>
      </c>
      <c r="AE572">
        <v>52.55</v>
      </c>
      <c r="AF572">
        <v>77.45</v>
      </c>
      <c r="AG572">
        <v>2024</v>
      </c>
      <c r="AH572">
        <v>8</v>
      </c>
      <c r="AI572" t="s">
        <v>2301</v>
      </c>
      <c r="AJ572" t="s">
        <v>2317</v>
      </c>
    </row>
    <row r="573" spans="1:36" x14ac:dyDescent="0.3">
      <c r="A573" t="s">
        <v>607</v>
      </c>
      <c r="B573" s="2">
        <v>45331</v>
      </c>
      <c r="C573" t="s">
        <v>1690</v>
      </c>
      <c r="D573" t="s">
        <v>1811</v>
      </c>
      <c r="E573" t="s">
        <v>1761</v>
      </c>
      <c r="F573" t="s">
        <v>2239</v>
      </c>
      <c r="G573" t="s">
        <v>2255</v>
      </c>
      <c r="H573" t="s">
        <v>2260</v>
      </c>
      <c r="I573" t="s">
        <v>2260</v>
      </c>
      <c r="J573" t="s">
        <v>2266</v>
      </c>
      <c r="L573">
        <v>175</v>
      </c>
      <c r="N573">
        <v>175</v>
      </c>
      <c r="P573" t="s">
        <v>2269</v>
      </c>
      <c r="Q573" t="s">
        <v>2272</v>
      </c>
      <c r="R573" t="s">
        <v>2274</v>
      </c>
      <c r="S573" t="s">
        <v>2281</v>
      </c>
      <c r="T573" t="s">
        <v>2288</v>
      </c>
      <c r="U573">
        <v>5</v>
      </c>
      <c r="X573">
        <v>103.13</v>
      </c>
      <c r="Z573" t="s">
        <v>2294</v>
      </c>
      <c r="AA573" t="s">
        <v>1761</v>
      </c>
      <c r="AG573">
        <v>2024</v>
      </c>
      <c r="AH573">
        <v>2</v>
      </c>
      <c r="AI573" t="s">
        <v>2303</v>
      </c>
      <c r="AJ573" t="s">
        <v>2315</v>
      </c>
    </row>
    <row r="574" spans="1:36" x14ac:dyDescent="0.3">
      <c r="A574" t="s">
        <v>608</v>
      </c>
      <c r="B574" s="2">
        <v>45524</v>
      </c>
      <c r="C574" t="s">
        <v>1654</v>
      </c>
      <c r="D574" t="s">
        <v>1887</v>
      </c>
      <c r="E574" t="s">
        <v>2033</v>
      </c>
      <c r="F574" t="s">
        <v>2240</v>
      </c>
      <c r="G574" t="s">
        <v>2249</v>
      </c>
      <c r="H574" t="s">
        <v>2257</v>
      </c>
      <c r="I574" t="s">
        <v>2263</v>
      </c>
      <c r="J574" t="s">
        <v>2266</v>
      </c>
      <c r="K574">
        <v>1</v>
      </c>
      <c r="L574">
        <v>170</v>
      </c>
      <c r="M574">
        <v>0.1</v>
      </c>
      <c r="O574">
        <v>153</v>
      </c>
      <c r="P574" t="s">
        <v>2269</v>
      </c>
      <c r="Q574" t="s">
        <v>2271</v>
      </c>
      <c r="R574" t="s">
        <v>2273</v>
      </c>
      <c r="S574" t="s">
        <v>2284</v>
      </c>
      <c r="T574" t="s">
        <v>2288</v>
      </c>
      <c r="V574">
        <v>75</v>
      </c>
      <c r="X574">
        <v>63.34</v>
      </c>
      <c r="Y574">
        <v>89.66</v>
      </c>
      <c r="Z574" t="s">
        <v>2294</v>
      </c>
      <c r="AA574" t="s">
        <v>2296</v>
      </c>
      <c r="AB574">
        <v>170</v>
      </c>
      <c r="AC574">
        <v>17</v>
      </c>
      <c r="AD574">
        <v>153</v>
      </c>
      <c r="AE574">
        <v>63.34</v>
      </c>
      <c r="AF574">
        <v>89.66</v>
      </c>
      <c r="AG574">
        <v>2024</v>
      </c>
      <c r="AH574">
        <v>8</v>
      </c>
      <c r="AI574" t="s">
        <v>2301</v>
      </c>
      <c r="AJ574" t="s">
        <v>2313</v>
      </c>
    </row>
    <row r="575" spans="1:36" x14ac:dyDescent="0.3">
      <c r="A575" t="s">
        <v>609</v>
      </c>
      <c r="B575" s="2">
        <v>45519</v>
      </c>
      <c r="C575" t="s">
        <v>1659</v>
      </c>
      <c r="D575" t="s">
        <v>1749</v>
      </c>
      <c r="E575" t="s">
        <v>1990</v>
      </c>
      <c r="F575" t="s">
        <v>2240</v>
      </c>
      <c r="G575" t="s">
        <v>2255</v>
      </c>
      <c r="H575" t="s">
        <v>2260</v>
      </c>
      <c r="I575" t="s">
        <v>2260</v>
      </c>
      <c r="J575" t="s">
        <v>2264</v>
      </c>
      <c r="K575">
        <v>1</v>
      </c>
      <c r="L575">
        <v>175</v>
      </c>
      <c r="M575">
        <v>0</v>
      </c>
      <c r="N575">
        <v>175</v>
      </c>
      <c r="O575">
        <v>175</v>
      </c>
      <c r="P575" t="s">
        <v>2269</v>
      </c>
      <c r="Q575" t="s">
        <v>2272</v>
      </c>
      <c r="R575" t="s">
        <v>2274</v>
      </c>
      <c r="S575" t="s">
        <v>2283</v>
      </c>
      <c r="T575" t="s">
        <v>2290</v>
      </c>
      <c r="U575">
        <v>5</v>
      </c>
      <c r="V575">
        <v>178</v>
      </c>
      <c r="X575">
        <v>82.88</v>
      </c>
      <c r="Y575">
        <v>92.12</v>
      </c>
      <c r="Z575" t="s">
        <v>2295</v>
      </c>
      <c r="AA575" t="s">
        <v>2296</v>
      </c>
      <c r="AB575">
        <v>175</v>
      </c>
      <c r="AC575">
        <v>0</v>
      </c>
      <c r="AD575">
        <v>175</v>
      </c>
      <c r="AE575">
        <v>82.88</v>
      </c>
      <c r="AF575">
        <v>92.12</v>
      </c>
      <c r="AG575">
        <v>2024</v>
      </c>
      <c r="AH575">
        <v>8</v>
      </c>
      <c r="AI575" t="s">
        <v>2301</v>
      </c>
      <c r="AJ575" t="s">
        <v>2316</v>
      </c>
    </row>
    <row r="576" spans="1:36" x14ac:dyDescent="0.3">
      <c r="A576" t="s">
        <v>610</v>
      </c>
      <c r="B576" s="2">
        <v>45443</v>
      </c>
      <c r="C576" t="s">
        <v>1677</v>
      </c>
      <c r="D576" t="s">
        <v>1915</v>
      </c>
      <c r="E576" t="s">
        <v>2039</v>
      </c>
      <c r="F576" t="s">
        <v>2240</v>
      </c>
      <c r="G576" t="s">
        <v>2252</v>
      </c>
      <c r="H576" t="s">
        <v>2257</v>
      </c>
      <c r="I576" t="s">
        <v>2262</v>
      </c>
      <c r="J576" t="s">
        <v>2264</v>
      </c>
      <c r="K576">
        <v>4</v>
      </c>
      <c r="L576">
        <v>90</v>
      </c>
      <c r="M576">
        <v>0.05</v>
      </c>
      <c r="N576">
        <v>360</v>
      </c>
      <c r="O576">
        <v>342</v>
      </c>
      <c r="P576" t="s">
        <v>2267</v>
      </c>
      <c r="Q576" t="s">
        <v>2270</v>
      </c>
      <c r="R576" t="s">
        <v>2275</v>
      </c>
      <c r="S576" t="s">
        <v>2286</v>
      </c>
      <c r="T576" t="s">
        <v>2290</v>
      </c>
      <c r="U576">
        <v>3</v>
      </c>
      <c r="V576">
        <v>294</v>
      </c>
      <c r="W576">
        <v>60</v>
      </c>
      <c r="X576">
        <v>32.049999999999997</v>
      </c>
      <c r="Y576">
        <v>213.8</v>
      </c>
      <c r="Z576" t="s">
        <v>2291</v>
      </c>
      <c r="AA576" t="s">
        <v>2296</v>
      </c>
      <c r="AB576">
        <v>360</v>
      </c>
      <c r="AC576">
        <v>18</v>
      </c>
      <c r="AD576">
        <v>342</v>
      </c>
      <c r="AE576">
        <v>128.19999999999999</v>
      </c>
      <c r="AF576">
        <v>213.8</v>
      </c>
      <c r="AG576">
        <v>2024</v>
      </c>
      <c r="AH576">
        <v>5</v>
      </c>
      <c r="AI576" t="s">
        <v>2306</v>
      </c>
      <c r="AJ576" t="s">
        <v>2315</v>
      </c>
    </row>
    <row r="577" spans="1:36" x14ac:dyDescent="0.3">
      <c r="A577" t="s">
        <v>611</v>
      </c>
      <c r="B577" s="2">
        <v>45296</v>
      </c>
      <c r="C577" t="s">
        <v>1700</v>
      </c>
      <c r="D577" t="s">
        <v>1886</v>
      </c>
      <c r="E577" t="s">
        <v>2194</v>
      </c>
      <c r="F577" t="s">
        <v>2239</v>
      </c>
      <c r="G577" t="s">
        <v>2256</v>
      </c>
      <c r="H577" t="s">
        <v>2261</v>
      </c>
      <c r="I577" t="s">
        <v>2260</v>
      </c>
      <c r="J577" t="s">
        <v>2265</v>
      </c>
      <c r="K577">
        <v>1</v>
      </c>
      <c r="L577">
        <v>190</v>
      </c>
      <c r="M577">
        <v>0.1</v>
      </c>
      <c r="N577">
        <v>190</v>
      </c>
      <c r="O577">
        <v>171</v>
      </c>
      <c r="P577" t="s">
        <v>2268</v>
      </c>
      <c r="Q577" t="s">
        <v>2270</v>
      </c>
      <c r="R577" t="s">
        <v>2274</v>
      </c>
      <c r="S577" t="s">
        <v>2285</v>
      </c>
      <c r="T577" t="s">
        <v>2289</v>
      </c>
      <c r="V577">
        <v>127</v>
      </c>
      <c r="X577">
        <v>74.790000000000006</v>
      </c>
      <c r="Y577">
        <v>96.21</v>
      </c>
      <c r="Z577" t="s">
        <v>2294</v>
      </c>
      <c r="AA577" t="s">
        <v>2299</v>
      </c>
      <c r="AB577">
        <v>190</v>
      </c>
      <c r="AC577">
        <v>19</v>
      </c>
      <c r="AD577">
        <v>171</v>
      </c>
      <c r="AE577">
        <v>74.790000000000006</v>
      </c>
      <c r="AF577">
        <v>96.21</v>
      </c>
      <c r="AG577">
        <v>2024</v>
      </c>
      <c r="AH577">
        <v>1</v>
      </c>
      <c r="AI577" t="s">
        <v>2302</v>
      </c>
      <c r="AJ577" t="s">
        <v>2315</v>
      </c>
    </row>
    <row r="578" spans="1:36" x14ac:dyDescent="0.3">
      <c r="A578" t="s">
        <v>612</v>
      </c>
      <c r="B578" s="2">
        <v>45522</v>
      </c>
      <c r="C578" t="s">
        <v>1739</v>
      </c>
      <c r="D578" t="s">
        <v>1836</v>
      </c>
      <c r="E578" t="s">
        <v>1976</v>
      </c>
      <c r="F578" t="s">
        <v>2239</v>
      </c>
      <c r="G578" t="s">
        <v>2250</v>
      </c>
      <c r="H578" t="s">
        <v>2259</v>
      </c>
      <c r="I578" t="s">
        <v>2262</v>
      </c>
      <c r="J578" t="s">
        <v>2265</v>
      </c>
      <c r="K578">
        <v>1</v>
      </c>
      <c r="L578">
        <v>90</v>
      </c>
      <c r="M578">
        <v>0</v>
      </c>
      <c r="N578">
        <v>90</v>
      </c>
      <c r="O578">
        <v>90</v>
      </c>
      <c r="P578" t="s">
        <v>2268</v>
      </c>
      <c r="Q578" t="s">
        <v>2272</v>
      </c>
      <c r="R578" t="s">
        <v>2274</v>
      </c>
      <c r="S578" t="s">
        <v>2282</v>
      </c>
      <c r="T578" t="s">
        <v>2288</v>
      </c>
      <c r="V578">
        <v>383</v>
      </c>
      <c r="X578">
        <v>40.1</v>
      </c>
      <c r="Y578">
        <v>49.9</v>
      </c>
      <c r="Z578" t="s">
        <v>2292</v>
      </c>
      <c r="AA578" t="s">
        <v>2296</v>
      </c>
      <c r="AB578">
        <v>90</v>
      </c>
      <c r="AC578">
        <v>0</v>
      </c>
      <c r="AD578">
        <v>90</v>
      </c>
      <c r="AE578">
        <v>40.1</v>
      </c>
      <c r="AF578">
        <v>49.9</v>
      </c>
      <c r="AG578">
        <v>2024</v>
      </c>
      <c r="AH578">
        <v>8</v>
      </c>
      <c r="AI578" t="s">
        <v>2301</v>
      </c>
      <c r="AJ578" t="s">
        <v>2318</v>
      </c>
    </row>
    <row r="579" spans="1:36" x14ac:dyDescent="0.3">
      <c r="A579" t="s">
        <v>613</v>
      </c>
      <c r="B579" s="2">
        <v>45432</v>
      </c>
      <c r="C579" t="s">
        <v>1646</v>
      </c>
      <c r="D579" t="s">
        <v>1928</v>
      </c>
      <c r="E579" t="s">
        <v>2121</v>
      </c>
      <c r="F579" t="s">
        <v>2239</v>
      </c>
      <c r="G579" t="s">
        <v>2248</v>
      </c>
      <c r="H579" t="s">
        <v>2257</v>
      </c>
      <c r="I579" t="s">
        <v>2262</v>
      </c>
      <c r="J579" t="s">
        <v>2266</v>
      </c>
      <c r="K579">
        <v>1</v>
      </c>
      <c r="L579">
        <v>145</v>
      </c>
      <c r="M579">
        <v>0</v>
      </c>
      <c r="N579">
        <v>145</v>
      </c>
      <c r="O579">
        <v>145</v>
      </c>
      <c r="P579" t="s">
        <v>2268</v>
      </c>
      <c r="Q579" t="s">
        <v>2272</v>
      </c>
      <c r="R579" t="s">
        <v>2275</v>
      </c>
      <c r="S579" t="s">
        <v>2284</v>
      </c>
      <c r="T579" t="s">
        <v>2288</v>
      </c>
      <c r="U579">
        <v>2</v>
      </c>
      <c r="V579">
        <v>445</v>
      </c>
      <c r="W579">
        <v>11</v>
      </c>
      <c r="X579">
        <v>55.27</v>
      </c>
      <c r="Y579">
        <v>89.73</v>
      </c>
      <c r="Z579" t="s">
        <v>2293</v>
      </c>
      <c r="AA579" t="s">
        <v>2299</v>
      </c>
      <c r="AB579">
        <v>145</v>
      </c>
      <c r="AC579">
        <v>0</v>
      </c>
      <c r="AD579">
        <v>145</v>
      </c>
      <c r="AE579">
        <v>55.27</v>
      </c>
      <c r="AF579">
        <v>89.72999999999999</v>
      </c>
      <c r="AG579">
        <v>2024</v>
      </c>
      <c r="AH579">
        <v>5</v>
      </c>
      <c r="AI579" t="s">
        <v>2306</v>
      </c>
      <c r="AJ579" t="s">
        <v>2314</v>
      </c>
    </row>
    <row r="580" spans="1:36" x14ac:dyDescent="0.3">
      <c r="A580" t="s">
        <v>614</v>
      </c>
      <c r="B580" s="2">
        <v>45414</v>
      </c>
      <c r="C580" t="s">
        <v>1709</v>
      </c>
      <c r="D580" t="s">
        <v>1807</v>
      </c>
      <c r="E580" t="s">
        <v>2188</v>
      </c>
      <c r="F580" t="s">
        <v>2239</v>
      </c>
      <c r="G580" t="s">
        <v>2253</v>
      </c>
      <c r="H580" t="s">
        <v>2258</v>
      </c>
      <c r="I580" t="s">
        <v>2260</v>
      </c>
      <c r="J580" t="s">
        <v>2265</v>
      </c>
      <c r="K580">
        <v>2</v>
      </c>
      <c r="L580">
        <v>100</v>
      </c>
      <c r="M580">
        <v>0</v>
      </c>
      <c r="N580">
        <v>200</v>
      </c>
      <c r="O580">
        <v>200</v>
      </c>
      <c r="P580" t="s">
        <v>2268</v>
      </c>
      <c r="Q580" t="s">
        <v>2271</v>
      </c>
      <c r="R580" t="s">
        <v>2276</v>
      </c>
      <c r="S580" t="s">
        <v>2287</v>
      </c>
      <c r="T580" t="s">
        <v>2290</v>
      </c>
      <c r="V580">
        <v>498</v>
      </c>
      <c r="W580">
        <v>52</v>
      </c>
      <c r="X580">
        <v>38.81</v>
      </c>
      <c r="Y580">
        <v>122.38</v>
      </c>
      <c r="Z580" t="s">
        <v>2293</v>
      </c>
      <c r="AA580" t="s">
        <v>2296</v>
      </c>
      <c r="AB580">
        <v>200</v>
      </c>
      <c r="AC580">
        <v>0</v>
      </c>
      <c r="AD580">
        <v>200</v>
      </c>
      <c r="AE580">
        <v>77.62</v>
      </c>
      <c r="AF580">
        <v>122.38</v>
      </c>
      <c r="AG580">
        <v>2024</v>
      </c>
      <c r="AH580">
        <v>5</v>
      </c>
      <c r="AI580" t="s">
        <v>2306</v>
      </c>
      <c r="AJ580" t="s">
        <v>2316</v>
      </c>
    </row>
    <row r="581" spans="1:36" x14ac:dyDescent="0.3">
      <c r="A581" t="s">
        <v>615</v>
      </c>
      <c r="B581" s="2">
        <v>45510</v>
      </c>
      <c r="C581" t="s">
        <v>1714</v>
      </c>
      <c r="D581" t="s">
        <v>1855</v>
      </c>
      <c r="E581" t="s">
        <v>2005</v>
      </c>
      <c r="F581" t="s">
        <v>2238</v>
      </c>
      <c r="G581" t="s">
        <v>2255</v>
      </c>
      <c r="H581" t="s">
        <v>2260</v>
      </c>
      <c r="I581" t="s">
        <v>2260</v>
      </c>
      <c r="K581">
        <v>2</v>
      </c>
      <c r="L581">
        <v>180</v>
      </c>
      <c r="M581">
        <v>0</v>
      </c>
      <c r="N581">
        <v>360</v>
      </c>
      <c r="O581">
        <v>360</v>
      </c>
      <c r="P581" t="s">
        <v>2269</v>
      </c>
      <c r="R581" t="s">
        <v>2274</v>
      </c>
      <c r="S581" t="s">
        <v>2284</v>
      </c>
      <c r="T581" t="s">
        <v>2288</v>
      </c>
      <c r="U581">
        <v>5</v>
      </c>
      <c r="V581">
        <v>16</v>
      </c>
      <c r="W581">
        <v>48</v>
      </c>
      <c r="X581">
        <v>95.25</v>
      </c>
      <c r="Y581">
        <v>169.5</v>
      </c>
      <c r="Z581" t="s">
        <v>2293</v>
      </c>
      <c r="AA581" t="s">
        <v>2299</v>
      </c>
      <c r="AB581">
        <v>360</v>
      </c>
      <c r="AC581">
        <v>0</v>
      </c>
      <c r="AD581">
        <v>360</v>
      </c>
      <c r="AE581">
        <v>190.5</v>
      </c>
      <c r="AF581">
        <v>169.5</v>
      </c>
      <c r="AG581">
        <v>2024</v>
      </c>
      <c r="AH581">
        <v>8</v>
      </c>
      <c r="AI581" t="s">
        <v>2301</v>
      </c>
      <c r="AJ581" t="s">
        <v>2313</v>
      </c>
    </row>
    <row r="582" spans="1:36" x14ac:dyDescent="0.3">
      <c r="A582" t="s">
        <v>616</v>
      </c>
      <c r="B582" s="2">
        <v>45518</v>
      </c>
      <c r="C582" t="s">
        <v>1735</v>
      </c>
      <c r="D582" t="s">
        <v>1822</v>
      </c>
      <c r="E582" t="s">
        <v>2036</v>
      </c>
      <c r="F582" t="s">
        <v>2240</v>
      </c>
      <c r="G582" t="s">
        <v>2244</v>
      </c>
      <c r="H582" t="s">
        <v>2257</v>
      </c>
      <c r="I582" t="s">
        <v>2262</v>
      </c>
      <c r="J582" t="s">
        <v>2264</v>
      </c>
      <c r="K582">
        <v>3</v>
      </c>
      <c r="L582">
        <v>120</v>
      </c>
      <c r="M582">
        <v>0</v>
      </c>
      <c r="N582">
        <v>360</v>
      </c>
      <c r="O582">
        <v>360</v>
      </c>
      <c r="P582" t="s">
        <v>2268</v>
      </c>
      <c r="Q582" t="s">
        <v>2272</v>
      </c>
      <c r="R582" t="s">
        <v>2275</v>
      </c>
      <c r="S582" t="s">
        <v>2281</v>
      </c>
      <c r="T582" t="s">
        <v>2288</v>
      </c>
      <c r="U582">
        <v>2</v>
      </c>
      <c r="V582">
        <v>100</v>
      </c>
      <c r="W582">
        <v>54</v>
      </c>
      <c r="X582">
        <v>51.28</v>
      </c>
      <c r="Y582">
        <v>206.16</v>
      </c>
      <c r="Z582" t="s">
        <v>1761</v>
      </c>
      <c r="AA582" t="s">
        <v>1761</v>
      </c>
      <c r="AB582">
        <v>360</v>
      </c>
      <c r="AC582">
        <v>0</v>
      </c>
      <c r="AD582">
        <v>360</v>
      </c>
      <c r="AE582">
        <v>153.84</v>
      </c>
      <c r="AF582">
        <v>206.16</v>
      </c>
      <c r="AG582">
        <v>2024</v>
      </c>
      <c r="AH582">
        <v>8</v>
      </c>
      <c r="AI582" t="s">
        <v>2301</v>
      </c>
      <c r="AJ582" t="s">
        <v>2312</v>
      </c>
    </row>
    <row r="583" spans="1:36" x14ac:dyDescent="0.3">
      <c r="A583" t="s">
        <v>617</v>
      </c>
      <c r="B583" s="2">
        <v>45563</v>
      </c>
      <c r="C583" t="s">
        <v>1666</v>
      </c>
      <c r="D583" t="s">
        <v>1831</v>
      </c>
      <c r="E583" t="s">
        <v>1965</v>
      </c>
      <c r="F583" t="s">
        <v>2240</v>
      </c>
      <c r="G583" t="s">
        <v>2243</v>
      </c>
      <c r="H583" t="s">
        <v>2258</v>
      </c>
      <c r="I583" t="s">
        <v>2260</v>
      </c>
      <c r="J583" t="s">
        <v>2266</v>
      </c>
      <c r="K583">
        <v>1</v>
      </c>
      <c r="L583">
        <v>80</v>
      </c>
      <c r="M583">
        <v>0</v>
      </c>
      <c r="N583">
        <v>80</v>
      </c>
      <c r="O583">
        <v>80</v>
      </c>
      <c r="P583" t="s">
        <v>2268</v>
      </c>
      <c r="Q583" t="s">
        <v>2270</v>
      </c>
      <c r="R583" t="s">
        <v>2276</v>
      </c>
      <c r="S583" t="s">
        <v>2283</v>
      </c>
      <c r="T583" t="s">
        <v>2288</v>
      </c>
      <c r="U583">
        <v>5</v>
      </c>
      <c r="V583">
        <v>197</v>
      </c>
      <c r="X583">
        <v>41.45</v>
      </c>
      <c r="Y583">
        <v>38.549999999999997</v>
      </c>
      <c r="Z583" t="s">
        <v>2293</v>
      </c>
      <c r="AA583" t="s">
        <v>2298</v>
      </c>
      <c r="AB583">
        <v>80</v>
      </c>
      <c r="AC583">
        <v>0</v>
      </c>
      <c r="AD583">
        <v>80</v>
      </c>
      <c r="AE583">
        <v>41.45</v>
      </c>
      <c r="AF583">
        <v>38.549999999999997</v>
      </c>
      <c r="AG583">
        <v>2024</v>
      </c>
      <c r="AH583">
        <v>9</v>
      </c>
      <c r="AI583" t="s">
        <v>2300</v>
      </c>
      <c r="AJ583" t="s">
        <v>2317</v>
      </c>
    </row>
    <row r="584" spans="1:36" x14ac:dyDescent="0.3">
      <c r="A584" t="s">
        <v>618</v>
      </c>
      <c r="B584" s="2">
        <v>45456</v>
      </c>
      <c r="C584" t="s">
        <v>1657</v>
      </c>
      <c r="D584" t="s">
        <v>1774</v>
      </c>
      <c r="E584" t="s">
        <v>2139</v>
      </c>
      <c r="F584" t="s">
        <v>1761</v>
      </c>
      <c r="G584" t="s">
        <v>2245</v>
      </c>
      <c r="H584" t="s">
        <v>2257</v>
      </c>
      <c r="I584" t="s">
        <v>2263</v>
      </c>
      <c r="J584" t="s">
        <v>2264</v>
      </c>
      <c r="K584">
        <v>4</v>
      </c>
      <c r="L584">
        <v>150</v>
      </c>
      <c r="M584">
        <v>0.05</v>
      </c>
      <c r="N584">
        <v>600</v>
      </c>
      <c r="O584">
        <v>570</v>
      </c>
      <c r="P584" t="s">
        <v>2269</v>
      </c>
      <c r="Q584" t="s">
        <v>2270</v>
      </c>
      <c r="R584" t="s">
        <v>2277</v>
      </c>
      <c r="S584" t="s">
        <v>2284</v>
      </c>
      <c r="T584" t="s">
        <v>2288</v>
      </c>
      <c r="U584">
        <v>5</v>
      </c>
      <c r="V584">
        <v>376</v>
      </c>
      <c r="X584">
        <v>63.19</v>
      </c>
      <c r="Y584">
        <v>317.24</v>
      </c>
      <c r="Z584" t="s">
        <v>2293</v>
      </c>
      <c r="AA584" t="s">
        <v>1761</v>
      </c>
      <c r="AB584">
        <v>600</v>
      </c>
      <c r="AC584">
        <v>30</v>
      </c>
      <c r="AD584">
        <v>570</v>
      </c>
      <c r="AE584">
        <v>252.76</v>
      </c>
      <c r="AF584">
        <v>317.24</v>
      </c>
      <c r="AG584">
        <v>2024</v>
      </c>
      <c r="AH584">
        <v>6</v>
      </c>
      <c r="AI584" t="s">
        <v>2304</v>
      </c>
      <c r="AJ584" t="s">
        <v>2316</v>
      </c>
    </row>
    <row r="585" spans="1:36" x14ac:dyDescent="0.3">
      <c r="A585" t="s">
        <v>619</v>
      </c>
      <c r="B585" s="2">
        <v>45378</v>
      </c>
      <c r="C585" t="s">
        <v>1737</v>
      </c>
      <c r="D585" t="s">
        <v>1824</v>
      </c>
      <c r="E585" t="s">
        <v>2026</v>
      </c>
      <c r="F585" t="s">
        <v>2239</v>
      </c>
      <c r="G585" t="s">
        <v>2255</v>
      </c>
      <c r="H585" t="s">
        <v>2260</v>
      </c>
      <c r="I585" t="s">
        <v>2260</v>
      </c>
      <c r="K585">
        <v>2</v>
      </c>
      <c r="L585">
        <v>180</v>
      </c>
      <c r="M585">
        <v>0</v>
      </c>
      <c r="N585">
        <v>360</v>
      </c>
      <c r="O585">
        <v>360</v>
      </c>
      <c r="P585" t="s">
        <v>2267</v>
      </c>
      <c r="Q585" t="s">
        <v>2271</v>
      </c>
      <c r="R585" t="s">
        <v>2278</v>
      </c>
      <c r="S585" t="s">
        <v>2285</v>
      </c>
      <c r="T585" t="s">
        <v>2288</v>
      </c>
      <c r="U585">
        <v>3</v>
      </c>
      <c r="V585">
        <v>157</v>
      </c>
      <c r="W585">
        <v>25</v>
      </c>
      <c r="X585">
        <v>70.67</v>
      </c>
      <c r="Y585">
        <v>218.66</v>
      </c>
      <c r="Z585" t="s">
        <v>2293</v>
      </c>
      <c r="AA585" t="s">
        <v>2296</v>
      </c>
      <c r="AB585">
        <v>360</v>
      </c>
      <c r="AC585">
        <v>0</v>
      </c>
      <c r="AD585">
        <v>360</v>
      </c>
      <c r="AE585">
        <v>141.34</v>
      </c>
      <c r="AF585">
        <v>218.66</v>
      </c>
      <c r="AG585">
        <v>2024</v>
      </c>
      <c r="AH585">
        <v>3</v>
      </c>
      <c r="AI585" t="s">
        <v>2305</v>
      </c>
      <c r="AJ585" t="s">
        <v>2312</v>
      </c>
    </row>
    <row r="586" spans="1:36" x14ac:dyDescent="0.3">
      <c r="A586" t="s">
        <v>620</v>
      </c>
      <c r="B586" s="2">
        <v>45458</v>
      </c>
      <c r="C586" t="s">
        <v>1737</v>
      </c>
      <c r="D586" t="s">
        <v>1788</v>
      </c>
      <c r="E586" t="s">
        <v>2137</v>
      </c>
      <c r="F586" t="s">
        <v>2240</v>
      </c>
      <c r="G586" t="s">
        <v>2245</v>
      </c>
      <c r="H586" t="s">
        <v>2257</v>
      </c>
      <c r="I586" t="s">
        <v>2263</v>
      </c>
      <c r="J586" t="s">
        <v>2264</v>
      </c>
      <c r="K586">
        <v>1</v>
      </c>
      <c r="L586">
        <v>150</v>
      </c>
      <c r="M586">
        <v>0.1</v>
      </c>
      <c r="N586">
        <v>150</v>
      </c>
      <c r="O586">
        <v>135</v>
      </c>
      <c r="P586" t="s">
        <v>2269</v>
      </c>
      <c r="R586" t="s">
        <v>2275</v>
      </c>
      <c r="S586" t="s">
        <v>2286</v>
      </c>
      <c r="T586" t="s">
        <v>2288</v>
      </c>
      <c r="U586">
        <v>5</v>
      </c>
      <c r="V586">
        <v>477</v>
      </c>
      <c r="W586">
        <v>54</v>
      </c>
      <c r="X586">
        <v>77.319999999999993</v>
      </c>
      <c r="Y586">
        <v>57.68</v>
      </c>
      <c r="Z586" t="s">
        <v>2293</v>
      </c>
      <c r="AA586" t="s">
        <v>2297</v>
      </c>
      <c r="AB586">
        <v>150</v>
      </c>
      <c r="AC586">
        <v>15</v>
      </c>
      <c r="AD586">
        <v>135</v>
      </c>
      <c r="AE586">
        <v>77.319999999999993</v>
      </c>
      <c r="AF586">
        <v>57.680000000000007</v>
      </c>
      <c r="AG586">
        <v>2024</v>
      </c>
      <c r="AH586">
        <v>6</v>
      </c>
      <c r="AI586" t="s">
        <v>2304</v>
      </c>
      <c r="AJ586" t="s">
        <v>2317</v>
      </c>
    </row>
    <row r="587" spans="1:36" x14ac:dyDescent="0.3">
      <c r="A587" t="s">
        <v>621</v>
      </c>
      <c r="B587" s="2">
        <v>45523</v>
      </c>
      <c r="C587" t="s">
        <v>1690</v>
      </c>
      <c r="D587" t="s">
        <v>1751</v>
      </c>
      <c r="E587" t="s">
        <v>1970</v>
      </c>
      <c r="F587" t="s">
        <v>2238</v>
      </c>
      <c r="G587" t="s">
        <v>2248</v>
      </c>
      <c r="H587" t="s">
        <v>2257</v>
      </c>
      <c r="I587" t="s">
        <v>2262</v>
      </c>
      <c r="J587" t="s">
        <v>2264</v>
      </c>
      <c r="K587">
        <v>4</v>
      </c>
      <c r="L587">
        <v>155</v>
      </c>
      <c r="M587">
        <v>0.05</v>
      </c>
      <c r="N587">
        <v>620</v>
      </c>
      <c r="O587">
        <v>589</v>
      </c>
      <c r="P587" t="s">
        <v>2268</v>
      </c>
      <c r="Q587" t="s">
        <v>2270</v>
      </c>
      <c r="R587" t="s">
        <v>2276</v>
      </c>
      <c r="S587" t="s">
        <v>2285</v>
      </c>
      <c r="T587" t="s">
        <v>2288</v>
      </c>
      <c r="U587">
        <v>3</v>
      </c>
      <c r="V587">
        <v>289</v>
      </c>
      <c r="X587">
        <v>62.57</v>
      </c>
      <c r="Y587">
        <v>338.72</v>
      </c>
      <c r="Z587" t="s">
        <v>2292</v>
      </c>
      <c r="AA587" t="s">
        <v>2298</v>
      </c>
      <c r="AB587">
        <v>620</v>
      </c>
      <c r="AC587">
        <v>31</v>
      </c>
      <c r="AD587">
        <v>589</v>
      </c>
      <c r="AE587">
        <v>250.28</v>
      </c>
      <c r="AF587">
        <v>338.72</v>
      </c>
      <c r="AG587">
        <v>2024</v>
      </c>
      <c r="AH587">
        <v>8</v>
      </c>
      <c r="AI587" t="s">
        <v>2301</v>
      </c>
      <c r="AJ587" t="s">
        <v>2314</v>
      </c>
    </row>
    <row r="588" spans="1:36" x14ac:dyDescent="0.3">
      <c r="A588" t="s">
        <v>622</v>
      </c>
      <c r="B588" s="2">
        <v>45467</v>
      </c>
      <c r="C588" t="s">
        <v>1677</v>
      </c>
      <c r="D588" t="s">
        <v>1751</v>
      </c>
      <c r="E588" t="s">
        <v>2181</v>
      </c>
      <c r="F588" t="s">
        <v>2240</v>
      </c>
      <c r="G588" t="s">
        <v>2247</v>
      </c>
      <c r="H588" t="s">
        <v>2257</v>
      </c>
      <c r="I588" t="s">
        <v>2262</v>
      </c>
      <c r="J588" t="s">
        <v>2265</v>
      </c>
      <c r="K588">
        <v>1</v>
      </c>
      <c r="L588">
        <v>105</v>
      </c>
      <c r="M588">
        <v>0.1</v>
      </c>
      <c r="N588">
        <v>105</v>
      </c>
      <c r="O588">
        <v>94.5</v>
      </c>
      <c r="P588" t="s">
        <v>2269</v>
      </c>
      <c r="Q588" t="s">
        <v>2271</v>
      </c>
      <c r="R588" t="s">
        <v>2273</v>
      </c>
      <c r="S588" t="s">
        <v>2287</v>
      </c>
      <c r="T588" t="s">
        <v>2288</v>
      </c>
      <c r="U588">
        <v>3</v>
      </c>
      <c r="V588">
        <v>497</v>
      </c>
      <c r="W588">
        <v>23</v>
      </c>
      <c r="X588">
        <v>55.8</v>
      </c>
      <c r="Y588">
        <v>38.700000000000003</v>
      </c>
      <c r="Z588" t="s">
        <v>2294</v>
      </c>
      <c r="AA588" t="s">
        <v>2298</v>
      </c>
      <c r="AB588">
        <v>105</v>
      </c>
      <c r="AC588">
        <v>10.5</v>
      </c>
      <c r="AD588">
        <v>94.5</v>
      </c>
      <c r="AE588">
        <v>55.8</v>
      </c>
      <c r="AF588">
        <v>38.700000000000003</v>
      </c>
      <c r="AG588">
        <v>2024</v>
      </c>
      <c r="AH588">
        <v>6</v>
      </c>
      <c r="AI588" t="s">
        <v>2304</v>
      </c>
      <c r="AJ588" t="s">
        <v>2314</v>
      </c>
    </row>
    <row r="589" spans="1:36" x14ac:dyDescent="0.3">
      <c r="A589" t="s">
        <v>623</v>
      </c>
      <c r="B589" s="2">
        <v>45630</v>
      </c>
      <c r="C589" t="s">
        <v>1657</v>
      </c>
      <c r="D589" t="s">
        <v>1779</v>
      </c>
      <c r="E589" t="s">
        <v>2190</v>
      </c>
      <c r="F589" t="s">
        <v>2239</v>
      </c>
      <c r="G589" t="s">
        <v>2256</v>
      </c>
      <c r="H589" t="s">
        <v>2261</v>
      </c>
      <c r="I589" t="s">
        <v>2260</v>
      </c>
      <c r="J589" t="s">
        <v>2266</v>
      </c>
      <c r="K589">
        <v>2</v>
      </c>
      <c r="L589">
        <v>190</v>
      </c>
      <c r="N589">
        <v>380</v>
      </c>
      <c r="Q589" t="s">
        <v>2272</v>
      </c>
      <c r="R589" t="s">
        <v>2276</v>
      </c>
      <c r="S589" t="s">
        <v>2287</v>
      </c>
      <c r="T589" t="s">
        <v>2288</v>
      </c>
      <c r="U589">
        <v>3</v>
      </c>
      <c r="V589">
        <v>175</v>
      </c>
      <c r="W589">
        <v>14</v>
      </c>
      <c r="X589">
        <v>68.2</v>
      </c>
      <c r="Z589" t="s">
        <v>2293</v>
      </c>
      <c r="AA589" t="s">
        <v>1761</v>
      </c>
      <c r="AB589">
        <v>380</v>
      </c>
      <c r="AC589">
        <v>0</v>
      </c>
      <c r="AD589">
        <v>380</v>
      </c>
      <c r="AE589">
        <v>136.4</v>
      </c>
      <c r="AF589">
        <v>243.6</v>
      </c>
      <c r="AG589">
        <v>2024</v>
      </c>
      <c r="AH589">
        <v>12</v>
      </c>
      <c r="AI589" t="s">
        <v>2309</v>
      </c>
      <c r="AJ589" t="s">
        <v>2312</v>
      </c>
    </row>
    <row r="590" spans="1:36" x14ac:dyDescent="0.3">
      <c r="A590" t="s">
        <v>624</v>
      </c>
      <c r="B590" s="2">
        <v>45359</v>
      </c>
      <c r="C590" t="s">
        <v>1718</v>
      </c>
      <c r="D590" t="s">
        <v>1842</v>
      </c>
      <c r="E590" t="s">
        <v>1971</v>
      </c>
      <c r="F590" t="s">
        <v>2239</v>
      </c>
      <c r="G590" t="s">
        <v>2252</v>
      </c>
      <c r="H590" t="s">
        <v>2257</v>
      </c>
      <c r="I590" t="s">
        <v>2262</v>
      </c>
      <c r="J590" t="s">
        <v>2266</v>
      </c>
      <c r="K590">
        <v>2</v>
      </c>
      <c r="L590">
        <v>90</v>
      </c>
      <c r="M590">
        <v>0</v>
      </c>
      <c r="N590">
        <v>180</v>
      </c>
      <c r="O590">
        <v>180</v>
      </c>
      <c r="P590" t="s">
        <v>2268</v>
      </c>
      <c r="Q590" t="s">
        <v>2272</v>
      </c>
      <c r="R590" t="s">
        <v>2273</v>
      </c>
      <c r="S590" t="s">
        <v>2282</v>
      </c>
      <c r="T590" t="s">
        <v>2288</v>
      </c>
      <c r="V590">
        <v>344</v>
      </c>
      <c r="W590">
        <v>60</v>
      </c>
      <c r="X590">
        <v>52.99</v>
      </c>
      <c r="Y590">
        <v>74.02</v>
      </c>
      <c r="Z590" t="s">
        <v>1761</v>
      </c>
      <c r="AA590" t="s">
        <v>1761</v>
      </c>
      <c r="AB590">
        <v>180</v>
      </c>
      <c r="AC590">
        <v>0</v>
      </c>
      <c r="AD590">
        <v>180</v>
      </c>
      <c r="AE590">
        <v>105.98</v>
      </c>
      <c r="AF590">
        <v>74.02</v>
      </c>
      <c r="AG590">
        <v>2024</v>
      </c>
      <c r="AH590">
        <v>3</v>
      </c>
      <c r="AI590" t="s">
        <v>2305</v>
      </c>
      <c r="AJ590" t="s">
        <v>2315</v>
      </c>
    </row>
    <row r="591" spans="1:36" x14ac:dyDescent="0.3">
      <c r="A591" t="s">
        <v>625</v>
      </c>
      <c r="B591" s="2">
        <v>45550</v>
      </c>
      <c r="C591" t="s">
        <v>1710</v>
      </c>
      <c r="D591" t="s">
        <v>1892</v>
      </c>
      <c r="E591" t="s">
        <v>2150</v>
      </c>
      <c r="F591" t="s">
        <v>1761</v>
      </c>
      <c r="G591" t="s">
        <v>2252</v>
      </c>
      <c r="H591" t="s">
        <v>2257</v>
      </c>
      <c r="I591" t="s">
        <v>2262</v>
      </c>
      <c r="J591" t="s">
        <v>2264</v>
      </c>
      <c r="K591">
        <v>2</v>
      </c>
      <c r="L591">
        <v>85</v>
      </c>
      <c r="M591">
        <v>0</v>
      </c>
      <c r="N591">
        <v>170</v>
      </c>
      <c r="O591">
        <v>170</v>
      </c>
      <c r="P591" t="s">
        <v>2269</v>
      </c>
      <c r="Q591" t="s">
        <v>2270</v>
      </c>
      <c r="R591" t="s">
        <v>2276</v>
      </c>
      <c r="S591" t="s">
        <v>2280</v>
      </c>
      <c r="T591" t="s">
        <v>2290</v>
      </c>
      <c r="U591">
        <v>1</v>
      </c>
      <c r="V591">
        <v>78</v>
      </c>
      <c r="X591">
        <v>37.11</v>
      </c>
      <c r="Y591">
        <v>95.78</v>
      </c>
      <c r="Z591" t="s">
        <v>2292</v>
      </c>
      <c r="AA591" t="s">
        <v>1761</v>
      </c>
      <c r="AB591">
        <v>170</v>
      </c>
      <c r="AC591">
        <v>0</v>
      </c>
      <c r="AD591">
        <v>170</v>
      </c>
      <c r="AE591">
        <v>74.22</v>
      </c>
      <c r="AF591">
        <v>95.78</v>
      </c>
      <c r="AG591">
        <v>2024</v>
      </c>
      <c r="AH591">
        <v>9</v>
      </c>
      <c r="AI591" t="s">
        <v>2300</v>
      </c>
      <c r="AJ591" t="s">
        <v>2318</v>
      </c>
    </row>
    <row r="592" spans="1:36" x14ac:dyDescent="0.3">
      <c r="A592" t="s">
        <v>626</v>
      </c>
      <c r="B592" s="2">
        <v>45494</v>
      </c>
      <c r="C592" t="s">
        <v>1712</v>
      </c>
      <c r="D592" t="s">
        <v>1890</v>
      </c>
      <c r="E592" t="s">
        <v>2068</v>
      </c>
      <c r="F592" t="s">
        <v>2240</v>
      </c>
      <c r="G592" t="s">
        <v>2249</v>
      </c>
      <c r="H592" t="s">
        <v>2257</v>
      </c>
      <c r="I592" t="s">
        <v>2263</v>
      </c>
      <c r="J592" t="s">
        <v>2265</v>
      </c>
      <c r="K592">
        <v>1</v>
      </c>
      <c r="L592">
        <v>165</v>
      </c>
      <c r="M592">
        <v>0</v>
      </c>
      <c r="N592">
        <v>165</v>
      </c>
      <c r="O592">
        <v>165</v>
      </c>
      <c r="P592" t="s">
        <v>2269</v>
      </c>
      <c r="Q592" t="s">
        <v>2271</v>
      </c>
      <c r="R592" t="s">
        <v>2273</v>
      </c>
      <c r="S592" t="s">
        <v>2284</v>
      </c>
      <c r="T592" t="s">
        <v>2288</v>
      </c>
      <c r="U592">
        <v>5</v>
      </c>
      <c r="V592">
        <v>83</v>
      </c>
      <c r="W592">
        <v>24</v>
      </c>
      <c r="X592">
        <v>86.54</v>
      </c>
      <c r="Y592">
        <v>78.459999999999994</v>
      </c>
      <c r="Z592" t="s">
        <v>2291</v>
      </c>
      <c r="AA592" t="s">
        <v>2297</v>
      </c>
      <c r="AB592">
        <v>165</v>
      </c>
      <c r="AC592">
        <v>0</v>
      </c>
      <c r="AD592">
        <v>165</v>
      </c>
      <c r="AE592">
        <v>86.54</v>
      </c>
      <c r="AF592">
        <v>78.459999999999994</v>
      </c>
      <c r="AG592">
        <v>2024</v>
      </c>
      <c r="AH592">
        <v>7</v>
      </c>
      <c r="AI592" t="s">
        <v>2307</v>
      </c>
      <c r="AJ592" t="s">
        <v>2318</v>
      </c>
    </row>
    <row r="593" spans="1:36" x14ac:dyDescent="0.3">
      <c r="A593" t="s">
        <v>627</v>
      </c>
      <c r="B593" s="2">
        <v>45514</v>
      </c>
      <c r="C593" t="s">
        <v>1648</v>
      </c>
      <c r="D593" t="s">
        <v>1927</v>
      </c>
      <c r="E593" t="s">
        <v>2124</v>
      </c>
      <c r="F593" t="s">
        <v>1761</v>
      </c>
      <c r="G593" t="s">
        <v>2251</v>
      </c>
      <c r="H593" t="s">
        <v>2258</v>
      </c>
      <c r="I593" t="s">
        <v>2260</v>
      </c>
      <c r="J593" t="s">
        <v>2265</v>
      </c>
      <c r="K593">
        <v>1</v>
      </c>
      <c r="L593">
        <v>105</v>
      </c>
      <c r="M593">
        <v>0.1</v>
      </c>
      <c r="N593">
        <v>105</v>
      </c>
      <c r="O593">
        <v>94.5</v>
      </c>
      <c r="P593" t="s">
        <v>2269</v>
      </c>
      <c r="Q593" t="s">
        <v>2272</v>
      </c>
      <c r="R593" t="s">
        <v>2274</v>
      </c>
      <c r="S593" t="s">
        <v>2280</v>
      </c>
      <c r="T593" t="s">
        <v>2288</v>
      </c>
      <c r="U593">
        <v>3</v>
      </c>
      <c r="V593">
        <v>182</v>
      </c>
      <c r="W593">
        <v>22</v>
      </c>
      <c r="X593">
        <v>53.26</v>
      </c>
      <c r="Y593">
        <v>41.24</v>
      </c>
      <c r="Z593" t="s">
        <v>2293</v>
      </c>
      <c r="AA593" t="s">
        <v>2296</v>
      </c>
      <c r="AB593">
        <v>105</v>
      </c>
      <c r="AC593">
        <v>10.5</v>
      </c>
      <c r="AD593">
        <v>94.5</v>
      </c>
      <c r="AE593">
        <v>53.26</v>
      </c>
      <c r="AF593">
        <v>41.24</v>
      </c>
      <c r="AG593">
        <v>2024</v>
      </c>
      <c r="AH593">
        <v>8</v>
      </c>
      <c r="AI593" t="s">
        <v>2301</v>
      </c>
      <c r="AJ593" t="s">
        <v>2317</v>
      </c>
    </row>
    <row r="594" spans="1:36" x14ac:dyDescent="0.3">
      <c r="A594" t="s">
        <v>628</v>
      </c>
      <c r="B594" s="2">
        <v>45656</v>
      </c>
      <c r="C594" t="s">
        <v>1721</v>
      </c>
      <c r="D594" t="s">
        <v>1853</v>
      </c>
      <c r="E594" t="s">
        <v>2190</v>
      </c>
      <c r="F594" t="s">
        <v>2239</v>
      </c>
      <c r="G594" t="s">
        <v>2244</v>
      </c>
      <c r="H594" t="s">
        <v>2257</v>
      </c>
      <c r="I594" t="s">
        <v>2262</v>
      </c>
      <c r="J594" t="s">
        <v>2265</v>
      </c>
      <c r="K594">
        <v>1</v>
      </c>
      <c r="L594">
        <v>120</v>
      </c>
      <c r="M594">
        <v>0.1</v>
      </c>
      <c r="N594">
        <v>120</v>
      </c>
      <c r="O594">
        <v>108</v>
      </c>
      <c r="P594" t="s">
        <v>2268</v>
      </c>
      <c r="Q594" t="s">
        <v>2270</v>
      </c>
      <c r="R594" t="s">
        <v>2273</v>
      </c>
      <c r="S594" t="s">
        <v>2284</v>
      </c>
      <c r="T594" t="s">
        <v>2288</v>
      </c>
      <c r="U594">
        <v>5</v>
      </c>
      <c r="V594">
        <v>364</v>
      </c>
      <c r="X594">
        <v>57.8</v>
      </c>
      <c r="Y594">
        <v>50.2</v>
      </c>
      <c r="Z594" t="s">
        <v>1761</v>
      </c>
      <c r="AA594" t="s">
        <v>2299</v>
      </c>
      <c r="AB594">
        <v>120</v>
      </c>
      <c r="AC594">
        <v>12</v>
      </c>
      <c r="AD594">
        <v>108</v>
      </c>
      <c r="AE594">
        <v>57.8</v>
      </c>
      <c r="AF594">
        <v>50.2</v>
      </c>
      <c r="AG594">
        <v>2024</v>
      </c>
      <c r="AH594">
        <v>12</v>
      </c>
      <c r="AI594" t="s">
        <v>2309</v>
      </c>
      <c r="AJ594" t="s">
        <v>2314</v>
      </c>
    </row>
    <row r="595" spans="1:36" x14ac:dyDescent="0.3">
      <c r="A595" t="s">
        <v>629</v>
      </c>
      <c r="B595" s="2">
        <v>45398</v>
      </c>
      <c r="C595" t="s">
        <v>1711</v>
      </c>
      <c r="D595" t="s">
        <v>1833</v>
      </c>
      <c r="E595" t="s">
        <v>1954</v>
      </c>
      <c r="F595" t="s">
        <v>2239</v>
      </c>
      <c r="G595" t="s">
        <v>2255</v>
      </c>
      <c r="H595" t="s">
        <v>2260</v>
      </c>
      <c r="I595" t="s">
        <v>2260</v>
      </c>
      <c r="J595" t="s">
        <v>2266</v>
      </c>
      <c r="K595">
        <v>2</v>
      </c>
      <c r="L595">
        <v>180</v>
      </c>
      <c r="M595">
        <v>0.1</v>
      </c>
      <c r="N595">
        <v>360</v>
      </c>
      <c r="O595">
        <v>324</v>
      </c>
      <c r="P595" t="s">
        <v>2267</v>
      </c>
      <c r="Q595" t="s">
        <v>2272</v>
      </c>
      <c r="R595" t="s">
        <v>2279</v>
      </c>
      <c r="S595" t="s">
        <v>2284</v>
      </c>
      <c r="T595" t="s">
        <v>2290</v>
      </c>
      <c r="U595">
        <v>5</v>
      </c>
      <c r="V595">
        <v>325</v>
      </c>
      <c r="W595">
        <v>56</v>
      </c>
      <c r="X595">
        <v>98.57</v>
      </c>
      <c r="Y595">
        <v>126.86</v>
      </c>
      <c r="Z595" t="s">
        <v>2292</v>
      </c>
      <c r="AA595" t="s">
        <v>2296</v>
      </c>
      <c r="AB595">
        <v>360</v>
      </c>
      <c r="AC595">
        <v>36</v>
      </c>
      <c r="AD595">
        <v>324</v>
      </c>
      <c r="AE595">
        <v>197.14</v>
      </c>
      <c r="AF595">
        <v>126.86</v>
      </c>
      <c r="AG595">
        <v>2024</v>
      </c>
      <c r="AH595">
        <v>4</v>
      </c>
      <c r="AI595" t="s">
        <v>2308</v>
      </c>
      <c r="AJ595" t="s">
        <v>2313</v>
      </c>
    </row>
    <row r="596" spans="1:36" x14ac:dyDescent="0.3">
      <c r="A596" t="s">
        <v>630</v>
      </c>
      <c r="B596" s="2">
        <v>45397</v>
      </c>
      <c r="C596" t="s">
        <v>1717</v>
      </c>
      <c r="D596" t="s">
        <v>1778</v>
      </c>
      <c r="E596" t="s">
        <v>1761</v>
      </c>
      <c r="F596" t="s">
        <v>2240</v>
      </c>
      <c r="G596" t="s">
        <v>2246</v>
      </c>
      <c r="H596" t="s">
        <v>2259</v>
      </c>
      <c r="I596" t="s">
        <v>2262</v>
      </c>
      <c r="K596">
        <v>1</v>
      </c>
      <c r="L596">
        <v>100</v>
      </c>
      <c r="M596">
        <v>0.05</v>
      </c>
      <c r="N596">
        <v>100</v>
      </c>
      <c r="O596">
        <v>95</v>
      </c>
      <c r="P596" t="s">
        <v>2267</v>
      </c>
      <c r="Q596" t="s">
        <v>2270</v>
      </c>
      <c r="R596" t="s">
        <v>2273</v>
      </c>
      <c r="S596" t="s">
        <v>2280</v>
      </c>
      <c r="T596" t="s">
        <v>2288</v>
      </c>
      <c r="U596">
        <v>4</v>
      </c>
      <c r="V596">
        <v>3</v>
      </c>
      <c r="X596">
        <v>37.520000000000003</v>
      </c>
      <c r="Y596">
        <v>57.48</v>
      </c>
      <c r="Z596" t="s">
        <v>2291</v>
      </c>
      <c r="AA596" t="s">
        <v>1761</v>
      </c>
      <c r="AB596">
        <v>100</v>
      </c>
      <c r="AC596">
        <v>5</v>
      </c>
      <c r="AD596">
        <v>95</v>
      </c>
      <c r="AE596">
        <v>37.520000000000003</v>
      </c>
      <c r="AF596">
        <v>57.48</v>
      </c>
      <c r="AG596">
        <v>2024</v>
      </c>
      <c r="AH596">
        <v>4</v>
      </c>
      <c r="AI596" t="s">
        <v>2308</v>
      </c>
      <c r="AJ596" t="s">
        <v>2314</v>
      </c>
    </row>
    <row r="597" spans="1:36" x14ac:dyDescent="0.3">
      <c r="A597" t="s">
        <v>631</v>
      </c>
      <c r="B597" s="2">
        <v>45414</v>
      </c>
      <c r="C597" t="s">
        <v>1654</v>
      </c>
      <c r="D597" t="s">
        <v>1807</v>
      </c>
      <c r="E597" t="s">
        <v>1983</v>
      </c>
      <c r="F597" t="s">
        <v>2238</v>
      </c>
      <c r="G597" t="s">
        <v>2246</v>
      </c>
      <c r="H597" t="s">
        <v>2259</v>
      </c>
      <c r="I597" t="s">
        <v>2262</v>
      </c>
      <c r="J597" t="s">
        <v>2264</v>
      </c>
      <c r="K597">
        <v>2</v>
      </c>
      <c r="L597">
        <v>100</v>
      </c>
      <c r="M597">
        <v>0.05</v>
      </c>
      <c r="N597">
        <v>200</v>
      </c>
      <c r="O597">
        <v>190</v>
      </c>
      <c r="P597" t="s">
        <v>2269</v>
      </c>
      <c r="Q597" t="s">
        <v>2270</v>
      </c>
      <c r="R597" t="s">
        <v>2275</v>
      </c>
      <c r="S597" t="s">
        <v>2287</v>
      </c>
      <c r="T597" t="s">
        <v>2288</v>
      </c>
      <c r="U597">
        <v>4</v>
      </c>
      <c r="V597">
        <v>367</v>
      </c>
      <c r="W597">
        <v>56</v>
      </c>
      <c r="X597">
        <v>40.89</v>
      </c>
      <c r="Y597">
        <v>108.22</v>
      </c>
      <c r="Z597" t="s">
        <v>2291</v>
      </c>
      <c r="AA597" t="s">
        <v>2298</v>
      </c>
      <c r="AB597">
        <v>200</v>
      </c>
      <c r="AC597">
        <v>10</v>
      </c>
      <c r="AD597">
        <v>190</v>
      </c>
      <c r="AE597">
        <v>81.78</v>
      </c>
      <c r="AF597">
        <v>108.22</v>
      </c>
      <c r="AG597">
        <v>2024</v>
      </c>
      <c r="AH597">
        <v>5</v>
      </c>
      <c r="AI597" t="s">
        <v>2306</v>
      </c>
      <c r="AJ597" t="s">
        <v>2316</v>
      </c>
    </row>
    <row r="598" spans="1:36" x14ac:dyDescent="0.3">
      <c r="A598" t="s">
        <v>632</v>
      </c>
      <c r="B598" s="2">
        <v>45427</v>
      </c>
      <c r="C598" t="s">
        <v>1733</v>
      </c>
      <c r="D598" t="s">
        <v>1752</v>
      </c>
      <c r="E598" t="s">
        <v>2101</v>
      </c>
      <c r="F598" t="s">
        <v>1761</v>
      </c>
      <c r="G598" t="s">
        <v>2248</v>
      </c>
      <c r="H598" t="s">
        <v>2257</v>
      </c>
      <c r="I598" t="s">
        <v>2262</v>
      </c>
      <c r="J598" t="s">
        <v>2264</v>
      </c>
      <c r="K598">
        <v>1</v>
      </c>
      <c r="L598">
        <v>145</v>
      </c>
      <c r="M598">
        <v>0</v>
      </c>
      <c r="N598">
        <v>145</v>
      </c>
      <c r="O598">
        <v>145</v>
      </c>
      <c r="P598" t="s">
        <v>2268</v>
      </c>
      <c r="Q598" t="s">
        <v>2270</v>
      </c>
      <c r="R598" t="s">
        <v>2273</v>
      </c>
      <c r="S598" t="s">
        <v>2283</v>
      </c>
      <c r="T598" t="s">
        <v>2289</v>
      </c>
      <c r="U598">
        <v>4</v>
      </c>
      <c r="V598">
        <v>247</v>
      </c>
      <c r="W598">
        <v>38</v>
      </c>
      <c r="X598">
        <v>79.02</v>
      </c>
      <c r="Y598">
        <v>65.98</v>
      </c>
      <c r="Z598" t="s">
        <v>2294</v>
      </c>
      <c r="AA598" t="s">
        <v>2299</v>
      </c>
      <c r="AB598">
        <v>145</v>
      </c>
      <c r="AC598">
        <v>0</v>
      </c>
      <c r="AD598">
        <v>145</v>
      </c>
      <c r="AE598">
        <v>79.02</v>
      </c>
      <c r="AF598">
        <v>65.98</v>
      </c>
      <c r="AG598">
        <v>2024</v>
      </c>
      <c r="AH598">
        <v>5</v>
      </c>
      <c r="AI598" t="s">
        <v>2306</v>
      </c>
      <c r="AJ598" t="s">
        <v>2312</v>
      </c>
    </row>
    <row r="599" spans="1:36" x14ac:dyDescent="0.3">
      <c r="A599" t="s">
        <v>633</v>
      </c>
      <c r="B599" s="2">
        <v>45640</v>
      </c>
      <c r="C599" t="s">
        <v>1694</v>
      </c>
      <c r="D599" t="s">
        <v>1929</v>
      </c>
      <c r="E599" t="s">
        <v>2166</v>
      </c>
      <c r="F599" t="s">
        <v>2239</v>
      </c>
      <c r="G599" t="s">
        <v>2242</v>
      </c>
      <c r="H599" t="s">
        <v>2258</v>
      </c>
      <c r="I599" t="s">
        <v>2260</v>
      </c>
      <c r="J599" t="s">
        <v>2266</v>
      </c>
      <c r="K599">
        <v>5</v>
      </c>
      <c r="L599">
        <v>125</v>
      </c>
      <c r="M599">
        <v>0.05</v>
      </c>
      <c r="N599">
        <v>625</v>
      </c>
      <c r="O599">
        <v>593.75</v>
      </c>
      <c r="P599" t="s">
        <v>2268</v>
      </c>
      <c r="Q599" t="s">
        <v>2272</v>
      </c>
      <c r="R599" t="s">
        <v>2278</v>
      </c>
      <c r="S599" t="s">
        <v>2283</v>
      </c>
      <c r="T599" t="s">
        <v>2290</v>
      </c>
      <c r="U599">
        <v>4</v>
      </c>
      <c r="W599">
        <v>50</v>
      </c>
      <c r="X599">
        <v>65.239999999999995</v>
      </c>
      <c r="Y599">
        <v>267.55</v>
      </c>
      <c r="Z599" t="s">
        <v>2292</v>
      </c>
      <c r="AA599" t="s">
        <v>2297</v>
      </c>
      <c r="AB599">
        <v>625</v>
      </c>
      <c r="AC599">
        <v>31.25</v>
      </c>
      <c r="AD599">
        <v>593.75</v>
      </c>
      <c r="AE599">
        <v>326.2</v>
      </c>
      <c r="AF599">
        <v>267.55</v>
      </c>
      <c r="AG599">
        <v>2024</v>
      </c>
      <c r="AH599">
        <v>12</v>
      </c>
      <c r="AI599" t="s">
        <v>2309</v>
      </c>
      <c r="AJ599" t="s">
        <v>2317</v>
      </c>
    </row>
    <row r="600" spans="1:36" x14ac:dyDescent="0.3">
      <c r="A600" t="s">
        <v>634</v>
      </c>
      <c r="B600" s="2">
        <v>45297</v>
      </c>
      <c r="C600" t="s">
        <v>1689</v>
      </c>
      <c r="D600" t="s">
        <v>1913</v>
      </c>
      <c r="E600" t="s">
        <v>2023</v>
      </c>
      <c r="F600" t="s">
        <v>2239</v>
      </c>
      <c r="G600" t="s">
        <v>2251</v>
      </c>
      <c r="H600" t="s">
        <v>2258</v>
      </c>
      <c r="I600" t="s">
        <v>2260</v>
      </c>
      <c r="J600" t="s">
        <v>2264</v>
      </c>
      <c r="K600">
        <v>1</v>
      </c>
      <c r="L600">
        <v>105</v>
      </c>
      <c r="M600">
        <v>0</v>
      </c>
      <c r="N600">
        <v>105</v>
      </c>
      <c r="O600">
        <v>105</v>
      </c>
      <c r="P600" t="s">
        <v>2269</v>
      </c>
      <c r="Q600" t="s">
        <v>2271</v>
      </c>
      <c r="R600" t="s">
        <v>2276</v>
      </c>
      <c r="S600" t="s">
        <v>2281</v>
      </c>
      <c r="T600" t="s">
        <v>2288</v>
      </c>
      <c r="U600">
        <v>2</v>
      </c>
      <c r="V600">
        <v>323</v>
      </c>
      <c r="X600">
        <v>38.5</v>
      </c>
      <c r="Y600">
        <v>66.5</v>
      </c>
      <c r="Z600" t="s">
        <v>1761</v>
      </c>
      <c r="AA600" t="s">
        <v>2296</v>
      </c>
      <c r="AB600">
        <v>105</v>
      </c>
      <c r="AC600">
        <v>0</v>
      </c>
      <c r="AD600">
        <v>105</v>
      </c>
      <c r="AE600">
        <v>38.5</v>
      </c>
      <c r="AF600">
        <v>66.5</v>
      </c>
      <c r="AG600">
        <v>2024</v>
      </c>
      <c r="AH600">
        <v>1</v>
      </c>
      <c r="AI600" t="s">
        <v>2302</v>
      </c>
      <c r="AJ600" t="s">
        <v>2317</v>
      </c>
    </row>
    <row r="601" spans="1:36" x14ac:dyDescent="0.3">
      <c r="A601" t="s">
        <v>635</v>
      </c>
      <c r="B601" s="2">
        <v>45387</v>
      </c>
      <c r="C601" t="s">
        <v>1702</v>
      </c>
      <c r="D601" t="s">
        <v>1838</v>
      </c>
      <c r="E601" t="s">
        <v>1999</v>
      </c>
      <c r="F601" t="s">
        <v>2239</v>
      </c>
      <c r="G601" t="s">
        <v>2254</v>
      </c>
      <c r="H601" t="s">
        <v>2259</v>
      </c>
      <c r="I601" t="s">
        <v>2263</v>
      </c>
      <c r="J601" t="s">
        <v>2266</v>
      </c>
      <c r="K601">
        <v>3</v>
      </c>
      <c r="L601">
        <v>115</v>
      </c>
      <c r="M601">
        <v>0</v>
      </c>
      <c r="N601">
        <v>345</v>
      </c>
      <c r="O601">
        <v>345</v>
      </c>
      <c r="P601" t="s">
        <v>2269</v>
      </c>
      <c r="Q601" t="s">
        <v>2272</v>
      </c>
      <c r="R601" t="s">
        <v>2279</v>
      </c>
      <c r="S601" t="s">
        <v>2286</v>
      </c>
      <c r="T601" t="s">
        <v>2290</v>
      </c>
      <c r="U601">
        <v>1</v>
      </c>
      <c r="V601">
        <v>59</v>
      </c>
      <c r="X601">
        <v>61.93</v>
      </c>
      <c r="Y601">
        <v>159.21</v>
      </c>
      <c r="Z601" t="s">
        <v>2294</v>
      </c>
      <c r="AA601" t="s">
        <v>2299</v>
      </c>
      <c r="AB601">
        <v>345</v>
      </c>
      <c r="AC601">
        <v>0</v>
      </c>
      <c r="AD601">
        <v>345</v>
      </c>
      <c r="AE601">
        <v>185.79</v>
      </c>
      <c r="AF601">
        <v>159.21</v>
      </c>
      <c r="AG601">
        <v>2024</v>
      </c>
      <c r="AH601">
        <v>4</v>
      </c>
      <c r="AI601" t="s">
        <v>2308</v>
      </c>
      <c r="AJ601" t="s">
        <v>2315</v>
      </c>
    </row>
    <row r="602" spans="1:36" x14ac:dyDescent="0.3">
      <c r="A602" t="s">
        <v>636</v>
      </c>
      <c r="B602" s="2">
        <v>45529</v>
      </c>
      <c r="C602" t="s">
        <v>1724</v>
      </c>
      <c r="D602" t="s">
        <v>1807</v>
      </c>
      <c r="E602" t="s">
        <v>2041</v>
      </c>
      <c r="F602" t="s">
        <v>2240</v>
      </c>
      <c r="G602" t="s">
        <v>2256</v>
      </c>
      <c r="H602" t="s">
        <v>2261</v>
      </c>
      <c r="I602" t="s">
        <v>2260</v>
      </c>
      <c r="K602">
        <v>2</v>
      </c>
      <c r="L602">
        <v>190</v>
      </c>
      <c r="M602">
        <v>0</v>
      </c>
      <c r="N602">
        <v>380</v>
      </c>
      <c r="O602">
        <v>380</v>
      </c>
      <c r="P602" t="s">
        <v>2267</v>
      </c>
      <c r="Q602" t="s">
        <v>2270</v>
      </c>
      <c r="R602" t="s">
        <v>2275</v>
      </c>
      <c r="S602" t="s">
        <v>2286</v>
      </c>
      <c r="T602" t="s">
        <v>2289</v>
      </c>
      <c r="U602">
        <v>3</v>
      </c>
      <c r="V602">
        <v>44</v>
      </c>
      <c r="X602">
        <v>70.459999999999994</v>
      </c>
      <c r="Y602">
        <v>239.08</v>
      </c>
      <c r="Z602" t="s">
        <v>2291</v>
      </c>
      <c r="AA602" t="s">
        <v>2299</v>
      </c>
      <c r="AB602">
        <v>380</v>
      </c>
      <c r="AC602">
        <v>0</v>
      </c>
      <c r="AD602">
        <v>380</v>
      </c>
      <c r="AE602">
        <v>140.91999999999999</v>
      </c>
      <c r="AF602">
        <v>239.08</v>
      </c>
      <c r="AG602">
        <v>2024</v>
      </c>
      <c r="AH602">
        <v>8</v>
      </c>
      <c r="AI602" t="s">
        <v>2301</v>
      </c>
      <c r="AJ602" t="s">
        <v>2318</v>
      </c>
    </row>
    <row r="603" spans="1:36" x14ac:dyDescent="0.3">
      <c r="A603" t="s">
        <v>637</v>
      </c>
      <c r="B603" s="2">
        <v>45426</v>
      </c>
      <c r="C603" t="s">
        <v>1681</v>
      </c>
      <c r="D603" t="s">
        <v>1865</v>
      </c>
      <c r="E603" t="s">
        <v>2026</v>
      </c>
      <c r="F603" t="s">
        <v>2238</v>
      </c>
      <c r="G603" t="s">
        <v>2242</v>
      </c>
      <c r="H603" t="s">
        <v>2258</v>
      </c>
      <c r="I603" t="s">
        <v>2260</v>
      </c>
      <c r="J603" t="s">
        <v>2265</v>
      </c>
      <c r="K603">
        <v>3</v>
      </c>
      <c r="L603">
        <v>130</v>
      </c>
      <c r="M603">
        <v>0.05</v>
      </c>
      <c r="N603">
        <v>390</v>
      </c>
      <c r="O603">
        <v>370.5</v>
      </c>
      <c r="P603" t="s">
        <v>2267</v>
      </c>
      <c r="Q603" t="s">
        <v>2271</v>
      </c>
      <c r="R603" t="s">
        <v>2279</v>
      </c>
      <c r="S603" t="s">
        <v>2287</v>
      </c>
      <c r="T603" t="s">
        <v>2288</v>
      </c>
      <c r="U603">
        <v>5</v>
      </c>
      <c r="W603">
        <v>60</v>
      </c>
      <c r="X603">
        <v>65.27</v>
      </c>
      <c r="Y603">
        <v>174.69</v>
      </c>
      <c r="Z603" t="s">
        <v>2294</v>
      </c>
      <c r="AA603" t="s">
        <v>2296</v>
      </c>
      <c r="AB603">
        <v>390</v>
      </c>
      <c r="AC603">
        <v>19.5</v>
      </c>
      <c r="AD603">
        <v>370.5</v>
      </c>
      <c r="AE603">
        <v>195.81</v>
      </c>
      <c r="AF603">
        <v>174.69</v>
      </c>
      <c r="AG603">
        <v>2024</v>
      </c>
      <c r="AH603">
        <v>5</v>
      </c>
      <c r="AI603" t="s">
        <v>2306</v>
      </c>
      <c r="AJ603" t="s">
        <v>2313</v>
      </c>
    </row>
    <row r="604" spans="1:36" x14ac:dyDescent="0.3">
      <c r="A604" t="s">
        <v>638</v>
      </c>
      <c r="B604" s="2">
        <v>45494</v>
      </c>
      <c r="C604" t="s">
        <v>1715</v>
      </c>
      <c r="D604" t="s">
        <v>1823</v>
      </c>
      <c r="E604" t="s">
        <v>2007</v>
      </c>
      <c r="F604" t="s">
        <v>2240</v>
      </c>
      <c r="G604" t="s">
        <v>2243</v>
      </c>
      <c r="H604" t="s">
        <v>2258</v>
      </c>
      <c r="I604" t="s">
        <v>2260</v>
      </c>
      <c r="J604" t="s">
        <v>2266</v>
      </c>
      <c r="K604">
        <v>1</v>
      </c>
      <c r="L604">
        <v>75</v>
      </c>
      <c r="M604">
        <v>0</v>
      </c>
      <c r="N604">
        <v>75</v>
      </c>
      <c r="O604">
        <v>75</v>
      </c>
      <c r="P604" t="s">
        <v>2267</v>
      </c>
      <c r="Q604" t="s">
        <v>2270</v>
      </c>
      <c r="R604" t="s">
        <v>2274</v>
      </c>
      <c r="S604" t="s">
        <v>2284</v>
      </c>
      <c r="T604" t="s">
        <v>2289</v>
      </c>
      <c r="V604">
        <v>468</v>
      </c>
      <c r="X604">
        <v>28.73</v>
      </c>
      <c r="Y604">
        <v>46.27</v>
      </c>
      <c r="Z604" t="s">
        <v>2293</v>
      </c>
      <c r="AA604" t="s">
        <v>2298</v>
      </c>
      <c r="AB604">
        <v>75</v>
      </c>
      <c r="AC604">
        <v>0</v>
      </c>
      <c r="AD604">
        <v>75</v>
      </c>
      <c r="AE604">
        <v>28.73</v>
      </c>
      <c r="AF604">
        <v>46.27</v>
      </c>
      <c r="AG604">
        <v>2024</v>
      </c>
      <c r="AH604">
        <v>7</v>
      </c>
      <c r="AI604" t="s">
        <v>2307</v>
      </c>
      <c r="AJ604" t="s">
        <v>2318</v>
      </c>
    </row>
    <row r="605" spans="1:36" x14ac:dyDescent="0.3">
      <c r="A605" t="s">
        <v>639</v>
      </c>
      <c r="B605" s="2">
        <v>45540</v>
      </c>
      <c r="C605" t="s">
        <v>1644</v>
      </c>
      <c r="D605" t="s">
        <v>1804</v>
      </c>
      <c r="E605" t="s">
        <v>2106</v>
      </c>
      <c r="F605" t="s">
        <v>2240</v>
      </c>
      <c r="G605" t="s">
        <v>2246</v>
      </c>
      <c r="H605" t="s">
        <v>2259</v>
      </c>
      <c r="I605" t="s">
        <v>2262</v>
      </c>
      <c r="J605" t="s">
        <v>2264</v>
      </c>
      <c r="L605">
        <v>95</v>
      </c>
      <c r="M605">
        <v>0</v>
      </c>
      <c r="N605">
        <v>95</v>
      </c>
      <c r="O605">
        <v>95</v>
      </c>
      <c r="P605" t="s">
        <v>2269</v>
      </c>
      <c r="Q605" t="s">
        <v>2270</v>
      </c>
      <c r="R605" t="s">
        <v>2277</v>
      </c>
      <c r="S605" t="s">
        <v>2285</v>
      </c>
      <c r="T605" t="s">
        <v>2288</v>
      </c>
      <c r="U605">
        <v>3</v>
      </c>
      <c r="V605">
        <v>321</v>
      </c>
      <c r="W605">
        <v>41</v>
      </c>
      <c r="X605">
        <v>46.35</v>
      </c>
      <c r="Y605">
        <v>48.65</v>
      </c>
      <c r="Z605" t="s">
        <v>2293</v>
      </c>
      <c r="AA605" t="s">
        <v>2297</v>
      </c>
      <c r="AG605">
        <v>2024</v>
      </c>
      <c r="AH605">
        <v>9</v>
      </c>
      <c r="AI605" t="s">
        <v>2300</v>
      </c>
      <c r="AJ605" t="s">
        <v>2316</v>
      </c>
    </row>
    <row r="606" spans="1:36" x14ac:dyDescent="0.3">
      <c r="A606" t="s">
        <v>640</v>
      </c>
      <c r="B606" s="2">
        <v>45527</v>
      </c>
      <c r="C606" t="s">
        <v>1738</v>
      </c>
      <c r="D606" t="s">
        <v>1882</v>
      </c>
      <c r="E606" t="s">
        <v>1987</v>
      </c>
      <c r="F606" t="s">
        <v>1761</v>
      </c>
      <c r="G606" t="s">
        <v>2248</v>
      </c>
      <c r="H606" t="s">
        <v>2257</v>
      </c>
      <c r="I606" t="s">
        <v>2262</v>
      </c>
      <c r="J606" t="s">
        <v>2264</v>
      </c>
      <c r="K606">
        <v>1</v>
      </c>
      <c r="L606">
        <v>150</v>
      </c>
      <c r="M606">
        <v>0</v>
      </c>
      <c r="N606">
        <v>150</v>
      </c>
      <c r="O606">
        <v>150</v>
      </c>
      <c r="P606" t="s">
        <v>2267</v>
      </c>
      <c r="R606" t="s">
        <v>2278</v>
      </c>
      <c r="S606" t="s">
        <v>2286</v>
      </c>
      <c r="T606" t="s">
        <v>2289</v>
      </c>
      <c r="U606">
        <v>2</v>
      </c>
      <c r="W606">
        <v>23</v>
      </c>
      <c r="X606">
        <v>56.42</v>
      </c>
      <c r="Y606">
        <v>93.58</v>
      </c>
      <c r="Z606" t="s">
        <v>1761</v>
      </c>
      <c r="AA606" t="s">
        <v>2298</v>
      </c>
      <c r="AB606">
        <v>150</v>
      </c>
      <c r="AC606">
        <v>0</v>
      </c>
      <c r="AD606">
        <v>150</v>
      </c>
      <c r="AE606">
        <v>56.42</v>
      </c>
      <c r="AF606">
        <v>93.58</v>
      </c>
      <c r="AG606">
        <v>2024</v>
      </c>
      <c r="AH606">
        <v>8</v>
      </c>
      <c r="AI606" t="s">
        <v>2301</v>
      </c>
      <c r="AJ606" t="s">
        <v>2315</v>
      </c>
    </row>
    <row r="607" spans="1:36" x14ac:dyDescent="0.3">
      <c r="A607" t="s">
        <v>641</v>
      </c>
      <c r="B607" s="2">
        <v>45624</v>
      </c>
      <c r="C607" t="s">
        <v>1678</v>
      </c>
      <c r="D607" t="s">
        <v>1836</v>
      </c>
      <c r="E607" t="s">
        <v>2069</v>
      </c>
      <c r="F607" t="s">
        <v>1761</v>
      </c>
      <c r="G607" t="s">
        <v>2255</v>
      </c>
      <c r="H607" t="s">
        <v>2260</v>
      </c>
      <c r="I607" t="s">
        <v>2260</v>
      </c>
      <c r="J607" t="s">
        <v>2266</v>
      </c>
      <c r="L607">
        <v>180</v>
      </c>
      <c r="M607">
        <v>0.05</v>
      </c>
      <c r="N607">
        <v>180</v>
      </c>
      <c r="O607">
        <v>171</v>
      </c>
      <c r="P607" t="s">
        <v>2267</v>
      </c>
      <c r="R607" t="s">
        <v>2277</v>
      </c>
      <c r="S607" t="s">
        <v>2280</v>
      </c>
      <c r="T607" t="s">
        <v>2290</v>
      </c>
      <c r="U607">
        <v>5</v>
      </c>
      <c r="V607">
        <v>25</v>
      </c>
      <c r="X607">
        <v>92.04</v>
      </c>
      <c r="Y607">
        <v>78.959999999999994</v>
      </c>
      <c r="Z607" t="s">
        <v>2291</v>
      </c>
      <c r="AA607" t="s">
        <v>2296</v>
      </c>
      <c r="AG607">
        <v>2024</v>
      </c>
      <c r="AH607">
        <v>11</v>
      </c>
      <c r="AI607" t="s">
        <v>2311</v>
      </c>
      <c r="AJ607" t="s">
        <v>2316</v>
      </c>
    </row>
    <row r="608" spans="1:36" x14ac:dyDescent="0.3">
      <c r="A608" t="s">
        <v>642</v>
      </c>
      <c r="B608" s="2">
        <v>45467</v>
      </c>
      <c r="C608" t="s">
        <v>1650</v>
      </c>
      <c r="D608" t="s">
        <v>1774</v>
      </c>
      <c r="E608" t="s">
        <v>2195</v>
      </c>
      <c r="F608" t="s">
        <v>2240</v>
      </c>
      <c r="G608" t="s">
        <v>2251</v>
      </c>
      <c r="H608" t="s">
        <v>2258</v>
      </c>
      <c r="I608" t="s">
        <v>2260</v>
      </c>
      <c r="J608" t="s">
        <v>2266</v>
      </c>
      <c r="K608">
        <v>2</v>
      </c>
      <c r="L608">
        <v>110</v>
      </c>
      <c r="M608">
        <v>0</v>
      </c>
      <c r="N608">
        <v>220</v>
      </c>
      <c r="O608">
        <v>220</v>
      </c>
      <c r="P608" t="s">
        <v>2267</v>
      </c>
      <c r="Q608" t="s">
        <v>2270</v>
      </c>
      <c r="R608" t="s">
        <v>2278</v>
      </c>
      <c r="S608" t="s">
        <v>2287</v>
      </c>
      <c r="T608" t="s">
        <v>2288</v>
      </c>
      <c r="V608">
        <v>319</v>
      </c>
      <c r="W608">
        <v>53</v>
      </c>
      <c r="X608">
        <v>46.45</v>
      </c>
      <c r="Y608">
        <v>127.1</v>
      </c>
      <c r="Z608" t="s">
        <v>2292</v>
      </c>
      <c r="AA608" t="s">
        <v>2298</v>
      </c>
      <c r="AB608">
        <v>220</v>
      </c>
      <c r="AC608">
        <v>0</v>
      </c>
      <c r="AD608">
        <v>220</v>
      </c>
      <c r="AE608">
        <v>92.9</v>
      </c>
      <c r="AF608">
        <v>127.1</v>
      </c>
      <c r="AG608">
        <v>2024</v>
      </c>
      <c r="AH608">
        <v>6</v>
      </c>
      <c r="AI608" t="s">
        <v>2304</v>
      </c>
      <c r="AJ608" t="s">
        <v>2314</v>
      </c>
    </row>
    <row r="609" spans="1:36" x14ac:dyDescent="0.3">
      <c r="A609" t="s">
        <v>643</v>
      </c>
      <c r="B609" s="2">
        <v>45382</v>
      </c>
      <c r="C609" t="s">
        <v>1638</v>
      </c>
      <c r="D609" t="s">
        <v>1844</v>
      </c>
      <c r="E609" t="s">
        <v>2122</v>
      </c>
      <c r="F609" t="s">
        <v>1761</v>
      </c>
      <c r="G609" t="s">
        <v>2246</v>
      </c>
      <c r="H609" t="s">
        <v>2259</v>
      </c>
      <c r="I609" t="s">
        <v>2262</v>
      </c>
      <c r="J609" t="s">
        <v>2264</v>
      </c>
      <c r="K609">
        <v>1</v>
      </c>
      <c r="L609">
        <v>95</v>
      </c>
      <c r="M609">
        <v>0.1</v>
      </c>
      <c r="O609">
        <v>85.5</v>
      </c>
      <c r="P609" t="s">
        <v>2268</v>
      </c>
      <c r="Q609" t="s">
        <v>2272</v>
      </c>
      <c r="R609" t="s">
        <v>2277</v>
      </c>
      <c r="S609" t="s">
        <v>2287</v>
      </c>
      <c r="T609" t="s">
        <v>2288</v>
      </c>
      <c r="U609">
        <v>2</v>
      </c>
      <c r="V609">
        <v>166</v>
      </c>
      <c r="W609">
        <v>26</v>
      </c>
      <c r="X609">
        <v>39.56</v>
      </c>
      <c r="Y609">
        <v>45.94</v>
      </c>
      <c r="Z609" t="s">
        <v>2291</v>
      </c>
      <c r="AA609" t="s">
        <v>2297</v>
      </c>
      <c r="AB609">
        <v>95</v>
      </c>
      <c r="AC609">
        <v>9.5</v>
      </c>
      <c r="AD609">
        <v>85.5</v>
      </c>
      <c r="AE609">
        <v>39.56</v>
      </c>
      <c r="AF609">
        <v>45.94</v>
      </c>
      <c r="AG609">
        <v>2024</v>
      </c>
      <c r="AH609">
        <v>3</v>
      </c>
      <c r="AI609" t="s">
        <v>2305</v>
      </c>
      <c r="AJ609" t="s">
        <v>2318</v>
      </c>
    </row>
    <row r="610" spans="1:36" x14ac:dyDescent="0.3">
      <c r="A610" t="s">
        <v>644</v>
      </c>
      <c r="B610" s="2">
        <v>45639</v>
      </c>
      <c r="C610" t="s">
        <v>1739</v>
      </c>
      <c r="D610" t="s">
        <v>1811</v>
      </c>
      <c r="E610" t="s">
        <v>2099</v>
      </c>
      <c r="F610" t="s">
        <v>1761</v>
      </c>
      <c r="G610" t="s">
        <v>2249</v>
      </c>
      <c r="H610" t="s">
        <v>2257</v>
      </c>
      <c r="I610" t="s">
        <v>2263</v>
      </c>
      <c r="J610" t="s">
        <v>2265</v>
      </c>
      <c r="K610">
        <v>2</v>
      </c>
      <c r="L610">
        <v>160</v>
      </c>
      <c r="M610">
        <v>0.1</v>
      </c>
      <c r="N610">
        <v>320</v>
      </c>
      <c r="O610">
        <v>288</v>
      </c>
      <c r="P610" t="s">
        <v>2268</v>
      </c>
      <c r="Q610" t="s">
        <v>2272</v>
      </c>
      <c r="R610" t="s">
        <v>2275</v>
      </c>
      <c r="S610" t="s">
        <v>2280</v>
      </c>
      <c r="T610" t="s">
        <v>2288</v>
      </c>
      <c r="U610">
        <v>5</v>
      </c>
      <c r="V610">
        <v>493</v>
      </c>
      <c r="W610">
        <v>21</v>
      </c>
      <c r="X610">
        <v>62.84</v>
      </c>
      <c r="Y610">
        <v>162.32</v>
      </c>
      <c r="Z610" t="s">
        <v>2291</v>
      </c>
      <c r="AA610" t="s">
        <v>2299</v>
      </c>
      <c r="AB610">
        <v>320</v>
      </c>
      <c r="AC610">
        <v>32</v>
      </c>
      <c r="AD610">
        <v>288</v>
      </c>
      <c r="AE610">
        <v>125.68</v>
      </c>
      <c r="AF610">
        <v>162.32</v>
      </c>
      <c r="AG610">
        <v>2024</v>
      </c>
      <c r="AH610">
        <v>12</v>
      </c>
      <c r="AI610" t="s">
        <v>2309</v>
      </c>
      <c r="AJ610" t="s">
        <v>2315</v>
      </c>
    </row>
    <row r="611" spans="1:36" x14ac:dyDescent="0.3">
      <c r="A611" t="s">
        <v>645</v>
      </c>
      <c r="B611" s="2">
        <v>45331</v>
      </c>
      <c r="C611" t="s">
        <v>1649</v>
      </c>
      <c r="D611" t="s">
        <v>1864</v>
      </c>
      <c r="E611" t="s">
        <v>2100</v>
      </c>
      <c r="F611" t="s">
        <v>2240</v>
      </c>
      <c r="G611" t="s">
        <v>2252</v>
      </c>
      <c r="H611" t="s">
        <v>2257</v>
      </c>
      <c r="I611" t="s">
        <v>2262</v>
      </c>
      <c r="J611" t="s">
        <v>2265</v>
      </c>
      <c r="K611">
        <v>4</v>
      </c>
      <c r="L611">
        <v>90</v>
      </c>
      <c r="M611">
        <v>0.05</v>
      </c>
      <c r="N611">
        <v>360</v>
      </c>
      <c r="O611">
        <v>342</v>
      </c>
      <c r="P611" t="s">
        <v>2269</v>
      </c>
      <c r="Q611" t="s">
        <v>2270</v>
      </c>
      <c r="R611" t="s">
        <v>2277</v>
      </c>
      <c r="S611" t="s">
        <v>2282</v>
      </c>
      <c r="T611" t="s">
        <v>2289</v>
      </c>
      <c r="U611">
        <v>5</v>
      </c>
      <c r="V611">
        <v>20</v>
      </c>
      <c r="W611">
        <v>34</v>
      </c>
      <c r="X611">
        <v>36.549999999999997</v>
      </c>
      <c r="Y611">
        <v>195.8</v>
      </c>
      <c r="Z611" t="s">
        <v>2292</v>
      </c>
      <c r="AA611" t="s">
        <v>2299</v>
      </c>
      <c r="AB611">
        <v>360</v>
      </c>
      <c r="AC611">
        <v>18</v>
      </c>
      <c r="AD611">
        <v>342</v>
      </c>
      <c r="AE611">
        <v>146.19999999999999</v>
      </c>
      <c r="AF611">
        <v>195.8</v>
      </c>
      <c r="AG611">
        <v>2024</v>
      </c>
      <c r="AH611">
        <v>2</v>
      </c>
      <c r="AI611" t="s">
        <v>2303</v>
      </c>
      <c r="AJ611" t="s">
        <v>2315</v>
      </c>
    </row>
    <row r="612" spans="1:36" x14ac:dyDescent="0.3">
      <c r="A612" t="s">
        <v>646</v>
      </c>
      <c r="B612" s="2">
        <v>45424</v>
      </c>
      <c r="C612" t="s">
        <v>1640</v>
      </c>
      <c r="D612" t="s">
        <v>1760</v>
      </c>
      <c r="E612" t="s">
        <v>2044</v>
      </c>
      <c r="F612" t="s">
        <v>2239</v>
      </c>
      <c r="G612" t="s">
        <v>2245</v>
      </c>
      <c r="H612" t="s">
        <v>2257</v>
      </c>
      <c r="I612" t="s">
        <v>2263</v>
      </c>
      <c r="J612" t="s">
        <v>2266</v>
      </c>
      <c r="K612">
        <v>1</v>
      </c>
      <c r="L612">
        <v>150</v>
      </c>
      <c r="M612">
        <v>0.05</v>
      </c>
      <c r="N612">
        <v>150</v>
      </c>
      <c r="O612">
        <v>142.5</v>
      </c>
      <c r="P612" t="s">
        <v>2269</v>
      </c>
      <c r="Q612" t="s">
        <v>2272</v>
      </c>
      <c r="R612" t="s">
        <v>2275</v>
      </c>
      <c r="S612" t="s">
        <v>2286</v>
      </c>
      <c r="T612" t="s">
        <v>2288</v>
      </c>
      <c r="W612">
        <v>41</v>
      </c>
      <c r="X612">
        <v>63.97</v>
      </c>
      <c r="Y612">
        <v>78.53</v>
      </c>
      <c r="Z612" t="s">
        <v>2294</v>
      </c>
      <c r="AA612" t="s">
        <v>2299</v>
      </c>
      <c r="AB612">
        <v>150</v>
      </c>
      <c r="AC612">
        <v>7.5</v>
      </c>
      <c r="AD612">
        <v>142.5</v>
      </c>
      <c r="AE612">
        <v>63.97</v>
      </c>
      <c r="AF612">
        <v>78.53</v>
      </c>
      <c r="AG612">
        <v>2024</v>
      </c>
      <c r="AH612">
        <v>5</v>
      </c>
      <c r="AI612" t="s">
        <v>2306</v>
      </c>
      <c r="AJ612" t="s">
        <v>2318</v>
      </c>
    </row>
    <row r="613" spans="1:36" x14ac:dyDescent="0.3">
      <c r="A613" t="s">
        <v>647</v>
      </c>
      <c r="B613" s="2">
        <v>45439</v>
      </c>
      <c r="C613" t="s">
        <v>1680</v>
      </c>
      <c r="D613" t="s">
        <v>1782</v>
      </c>
      <c r="E613" t="s">
        <v>2128</v>
      </c>
      <c r="F613" t="s">
        <v>2239</v>
      </c>
      <c r="G613" t="s">
        <v>2254</v>
      </c>
      <c r="H613" t="s">
        <v>2259</v>
      </c>
      <c r="I613" t="s">
        <v>2263</v>
      </c>
      <c r="K613">
        <v>1</v>
      </c>
      <c r="L613">
        <v>110</v>
      </c>
      <c r="M613">
        <v>0.15</v>
      </c>
      <c r="N613">
        <v>110</v>
      </c>
      <c r="O613">
        <v>93.5</v>
      </c>
      <c r="P613" t="s">
        <v>2269</v>
      </c>
      <c r="Q613" t="s">
        <v>2270</v>
      </c>
      <c r="R613" t="s">
        <v>2276</v>
      </c>
      <c r="S613" t="s">
        <v>2280</v>
      </c>
      <c r="T613" t="s">
        <v>2290</v>
      </c>
      <c r="U613">
        <v>2</v>
      </c>
      <c r="V613">
        <v>385</v>
      </c>
      <c r="W613">
        <v>40</v>
      </c>
      <c r="X613">
        <v>39.01</v>
      </c>
      <c r="Y613">
        <v>54.49</v>
      </c>
      <c r="Z613" t="s">
        <v>1761</v>
      </c>
      <c r="AA613" t="s">
        <v>2299</v>
      </c>
      <c r="AB613">
        <v>110</v>
      </c>
      <c r="AC613">
        <v>16.5</v>
      </c>
      <c r="AD613">
        <v>93.5</v>
      </c>
      <c r="AE613">
        <v>39.01</v>
      </c>
      <c r="AF613">
        <v>54.49</v>
      </c>
      <c r="AG613">
        <v>2024</v>
      </c>
      <c r="AH613">
        <v>5</v>
      </c>
      <c r="AI613" t="s">
        <v>2306</v>
      </c>
      <c r="AJ613" t="s">
        <v>2314</v>
      </c>
    </row>
    <row r="614" spans="1:36" x14ac:dyDescent="0.3">
      <c r="A614" t="s">
        <v>648</v>
      </c>
      <c r="B614" s="2">
        <v>45621</v>
      </c>
      <c r="C614" t="s">
        <v>1680</v>
      </c>
      <c r="D614" t="s">
        <v>1895</v>
      </c>
      <c r="E614" t="s">
        <v>2031</v>
      </c>
      <c r="F614" t="s">
        <v>2240</v>
      </c>
      <c r="G614" t="s">
        <v>2254</v>
      </c>
      <c r="H614" t="s">
        <v>2259</v>
      </c>
      <c r="I614" t="s">
        <v>2263</v>
      </c>
      <c r="J614" t="s">
        <v>2264</v>
      </c>
      <c r="K614">
        <v>1</v>
      </c>
      <c r="L614">
        <v>110</v>
      </c>
      <c r="N614">
        <v>110</v>
      </c>
      <c r="Q614" t="s">
        <v>2271</v>
      </c>
      <c r="R614" t="s">
        <v>2274</v>
      </c>
      <c r="S614" t="s">
        <v>2285</v>
      </c>
      <c r="T614" t="s">
        <v>2288</v>
      </c>
      <c r="U614">
        <v>2</v>
      </c>
      <c r="V614">
        <v>286</v>
      </c>
      <c r="W614">
        <v>53</v>
      </c>
      <c r="X614">
        <v>53.67</v>
      </c>
      <c r="Z614" t="s">
        <v>2294</v>
      </c>
      <c r="AA614" t="s">
        <v>2299</v>
      </c>
      <c r="AB614">
        <v>110</v>
      </c>
      <c r="AC614">
        <v>0</v>
      </c>
      <c r="AD614">
        <v>110</v>
      </c>
      <c r="AE614">
        <v>53.67</v>
      </c>
      <c r="AF614">
        <v>56.33</v>
      </c>
      <c r="AG614">
        <v>2024</v>
      </c>
      <c r="AH614">
        <v>11</v>
      </c>
      <c r="AI614" t="s">
        <v>2311</v>
      </c>
      <c r="AJ614" t="s">
        <v>2314</v>
      </c>
    </row>
    <row r="615" spans="1:36" x14ac:dyDescent="0.3">
      <c r="A615" t="s">
        <v>649</v>
      </c>
      <c r="B615" s="2">
        <v>45413</v>
      </c>
      <c r="C615" t="s">
        <v>1703</v>
      </c>
      <c r="D615" t="s">
        <v>1826</v>
      </c>
      <c r="E615" t="s">
        <v>2067</v>
      </c>
      <c r="F615" t="s">
        <v>2239</v>
      </c>
      <c r="G615" t="s">
        <v>2244</v>
      </c>
      <c r="H615" t="s">
        <v>2257</v>
      </c>
      <c r="I615" t="s">
        <v>2262</v>
      </c>
      <c r="J615" t="s">
        <v>2266</v>
      </c>
      <c r="K615">
        <v>3</v>
      </c>
      <c r="L615">
        <v>120</v>
      </c>
      <c r="N615">
        <v>360</v>
      </c>
      <c r="R615" t="s">
        <v>2273</v>
      </c>
      <c r="S615" t="s">
        <v>2285</v>
      </c>
      <c r="T615" t="s">
        <v>2288</v>
      </c>
      <c r="U615">
        <v>4</v>
      </c>
      <c r="V615">
        <v>85</v>
      </c>
      <c r="X615">
        <v>55.4</v>
      </c>
      <c r="Z615" t="s">
        <v>1761</v>
      </c>
      <c r="AA615" t="s">
        <v>1761</v>
      </c>
      <c r="AB615">
        <v>360</v>
      </c>
      <c r="AC615">
        <v>0</v>
      </c>
      <c r="AD615">
        <v>360</v>
      </c>
      <c r="AE615">
        <v>166.2</v>
      </c>
      <c r="AF615">
        <v>193.8</v>
      </c>
      <c r="AG615">
        <v>2024</v>
      </c>
      <c r="AH615">
        <v>5</v>
      </c>
      <c r="AI615" t="s">
        <v>2306</v>
      </c>
      <c r="AJ615" t="s">
        <v>2312</v>
      </c>
    </row>
    <row r="616" spans="1:36" x14ac:dyDescent="0.3">
      <c r="A616" t="s">
        <v>650</v>
      </c>
      <c r="B616" s="2">
        <v>45344</v>
      </c>
      <c r="C616" t="s">
        <v>1679</v>
      </c>
      <c r="D616" t="s">
        <v>1783</v>
      </c>
      <c r="E616" t="s">
        <v>2155</v>
      </c>
      <c r="F616" t="s">
        <v>2239</v>
      </c>
      <c r="G616" t="s">
        <v>2243</v>
      </c>
      <c r="H616" t="s">
        <v>2258</v>
      </c>
      <c r="I616" t="s">
        <v>2260</v>
      </c>
      <c r="J616" t="s">
        <v>2265</v>
      </c>
      <c r="K616">
        <v>1</v>
      </c>
      <c r="L616">
        <v>70</v>
      </c>
      <c r="M616">
        <v>0</v>
      </c>
      <c r="N616">
        <v>70</v>
      </c>
      <c r="O616">
        <v>70</v>
      </c>
      <c r="P616" t="s">
        <v>2267</v>
      </c>
      <c r="Q616" t="s">
        <v>2270</v>
      </c>
      <c r="R616" t="s">
        <v>2276</v>
      </c>
      <c r="S616" t="s">
        <v>2282</v>
      </c>
      <c r="T616" t="s">
        <v>2289</v>
      </c>
      <c r="U616">
        <v>4</v>
      </c>
      <c r="V616">
        <v>53</v>
      </c>
      <c r="X616">
        <v>30.82</v>
      </c>
      <c r="Y616">
        <v>39.18</v>
      </c>
      <c r="Z616" t="s">
        <v>2291</v>
      </c>
      <c r="AA616" t="s">
        <v>2296</v>
      </c>
      <c r="AB616">
        <v>70</v>
      </c>
      <c r="AC616">
        <v>0</v>
      </c>
      <c r="AD616">
        <v>70</v>
      </c>
      <c r="AE616">
        <v>30.82</v>
      </c>
      <c r="AF616">
        <v>39.18</v>
      </c>
      <c r="AG616">
        <v>2024</v>
      </c>
      <c r="AH616">
        <v>2</v>
      </c>
      <c r="AI616" t="s">
        <v>2303</v>
      </c>
      <c r="AJ616" t="s">
        <v>2316</v>
      </c>
    </row>
    <row r="617" spans="1:36" x14ac:dyDescent="0.3">
      <c r="A617" t="s">
        <v>651</v>
      </c>
      <c r="B617" s="2">
        <v>45600</v>
      </c>
      <c r="C617" t="s">
        <v>1666</v>
      </c>
      <c r="D617" t="s">
        <v>1770</v>
      </c>
      <c r="E617" t="s">
        <v>2097</v>
      </c>
      <c r="F617" t="s">
        <v>2240</v>
      </c>
      <c r="G617" t="s">
        <v>2256</v>
      </c>
      <c r="H617" t="s">
        <v>2261</v>
      </c>
      <c r="I617" t="s">
        <v>2260</v>
      </c>
      <c r="J617" t="s">
        <v>2264</v>
      </c>
      <c r="K617">
        <v>2</v>
      </c>
      <c r="L617">
        <v>190</v>
      </c>
      <c r="N617">
        <v>380</v>
      </c>
      <c r="P617" t="s">
        <v>2269</v>
      </c>
      <c r="Q617" t="s">
        <v>2272</v>
      </c>
      <c r="R617" t="s">
        <v>2273</v>
      </c>
      <c r="S617" t="s">
        <v>2280</v>
      </c>
      <c r="T617" t="s">
        <v>2288</v>
      </c>
      <c r="U617">
        <v>2</v>
      </c>
      <c r="V617">
        <v>349</v>
      </c>
      <c r="W617">
        <v>48</v>
      </c>
      <c r="X617">
        <v>86.45</v>
      </c>
      <c r="Z617" t="s">
        <v>2293</v>
      </c>
      <c r="AA617" t="s">
        <v>1761</v>
      </c>
      <c r="AB617">
        <v>380</v>
      </c>
      <c r="AC617">
        <v>0</v>
      </c>
      <c r="AD617">
        <v>380</v>
      </c>
      <c r="AE617">
        <v>172.9</v>
      </c>
      <c r="AF617">
        <v>207.1</v>
      </c>
      <c r="AG617">
        <v>2024</v>
      </c>
      <c r="AH617">
        <v>11</v>
      </c>
      <c r="AI617" t="s">
        <v>2311</v>
      </c>
      <c r="AJ617" t="s">
        <v>2314</v>
      </c>
    </row>
    <row r="618" spans="1:36" x14ac:dyDescent="0.3">
      <c r="A618" t="s">
        <v>652</v>
      </c>
      <c r="B618" s="2">
        <v>45546</v>
      </c>
      <c r="C618" t="s">
        <v>1669</v>
      </c>
      <c r="D618" t="s">
        <v>1885</v>
      </c>
      <c r="E618" t="s">
        <v>2012</v>
      </c>
      <c r="F618" t="s">
        <v>2239</v>
      </c>
      <c r="G618" t="s">
        <v>2250</v>
      </c>
      <c r="H618" t="s">
        <v>2259</v>
      </c>
      <c r="I618" t="s">
        <v>2262</v>
      </c>
      <c r="J618" t="s">
        <v>2264</v>
      </c>
      <c r="K618">
        <v>2</v>
      </c>
      <c r="L618">
        <v>80</v>
      </c>
      <c r="M618">
        <v>0.1</v>
      </c>
      <c r="N618">
        <v>160</v>
      </c>
      <c r="O618">
        <v>144</v>
      </c>
      <c r="P618" t="s">
        <v>2267</v>
      </c>
      <c r="Q618" t="s">
        <v>2272</v>
      </c>
      <c r="R618" t="s">
        <v>2278</v>
      </c>
      <c r="S618" t="s">
        <v>2286</v>
      </c>
      <c r="T618" t="s">
        <v>2290</v>
      </c>
      <c r="U618">
        <v>4</v>
      </c>
      <c r="V618">
        <v>336</v>
      </c>
      <c r="W618">
        <v>11</v>
      </c>
      <c r="X618">
        <v>40.479999999999997</v>
      </c>
      <c r="Y618">
        <v>63.04</v>
      </c>
      <c r="Z618" t="s">
        <v>2294</v>
      </c>
      <c r="AA618" t="s">
        <v>2296</v>
      </c>
      <c r="AB618">
        <v>160</v>
      </c>
      <c r="AC618">
        <v>16</v>
      </c>
      <c r="AD618">
        <v>144</v>
      </c>
      <c r="AE618">
        <v>80.959999999999994</v>
      </c>
      <c r="AF618">
        <v>63.040000000000013</v>
      </c>
      <c r="AG618">
        <v>2024</v>
      </c>
      <c r="AH618">
        <v>9</v>
      </c>
      <c r="AI618" t="s">
        <v>2300</v>
      </c>
      <c r="AJ618" t="s">
        <v>2312</v>
      </c>
    </row>
    <row r="619" spans="1:36" x14ac:dyDescent="0.3">
      <c r="A619" t="s">
        <v>653</v>
      </c>
      <c r="B619" s="2">
        <v>45373</v>
      </c>
      <c r="C619" t="s">
        <v>1707</v>
      </c>
      <c r="D619" t="s">
        <v>1928</v>
      </c>
      <c r="E619" t="s">
        <v>1965</v>
      </c>
      <c r="F619" t="s">
        <v>2240</v>
      </c>
      <c r="G619" t="s">
        <v>2251</v>
      </c>
      <c r="H619" t="s">
        <v>2258</v>
      </c>
      <c r="I619" t="s">
        <v>2260</v>
      </c>
      <c r="J619" t="s">
        <v>2265</v>
      </c>
      <c r="K619">
        <v>1</v>
      </c>
      <c r="L619">
        <v>105</v>
      </c>
      <c r="M619">
        <v>0</v>
      </c>
      <c r="N619">
        <v>105</v>
      </c>
      <c r="O619">
        <v>105</v>
      </c>
      <c r="P619" t="s">
        <v>2267</v>
      </c>
      <c r="Q619" t="s">
        <v>2270</v>
      </c>
      <c r="R619" t="s">
        <v>2279</v>
      </c>
      <c r="S619" t="s">
        <v>2281</v>
      </c>
      <c r="T619" t="s">
        <v>2288</v>
      </c>
      <c r="U619">
        <v>5</v>
      </c>
      <c r="V619">
        <v>472</v>
      </c>
      <c r="X619">
        <v>39.130000000000003</v>
      </c>
      <c r="Y619">
        <v>65.87</v>
      </c>
      <c r="Z619" t="s">
        <v>2293</v>
      </c>
      <c r="AA619" t="s">
        <v>2298</v>
      </c>
      <c r="AB619">
        <v>105</v>
      </c>
      <c r="AC619">
        <v>0</v>
      </c>
      <c r="AD619">
        <v>105</v>
      </c>
      <c r="AE619">
        <v>39.130000000000003</v>
      </c>
      <c r="AF619">
        <v>65.87</v>
      </c>
      <c r="AG619">
        <v>2024</v>
      </c>
      <c r="AH619">
        <v>3</v>
      </c>
      <c r="AI619" t="s">
        <v>2305</v>
      </c>
      <c r="AJ619" t="s">
        <v>2315</v>
      </c>
    </row>
    <row r="620" spans="1:36" x14ac:dyDescent="0.3">
      <c r="A620" t="s">
        <v>654</v>
      </c>
      <c r="B620" s="2">
        <v>45294</v>
      </c>
      <c r="C620" t="s">
        <v>1652</v>
      </c>
      <c r="D620" t="s">
        <v>1928</v>
      </c>
      <c r="E620" t="s">
        <v>2196</v>
      </c>
      <c r="F620" t="s">
        <v>2238</v>
      </c>
      <c r="G620" t="s">
        <v>2242</v>
      </c>
      <c r="H620" t="s">
        <v>2258</v>
      </c>
      <c r="I620" t="s">
        <v>2260</v>
      </c>
      <c r="K620">
        <v>1</v>
      </c>
      <c r="L620">
        <v>130</v>
      </c>
      <c r="M620">
        <v>0.1</v>
      </c>
      <c r="N620">
        <v>130</v>
      </c>
      <c r="O620">
        <v>117</v>
      </c>
      <c r="P620" t="s">
        <v>2269</v>
      </c>
      <c r="Q620" t="s">
        <v>2270</v>
      </c>
      <c r="R620" t="s">
        <v>2274</v>
      </c>
      <c r="S620" t="s">
        <v>2286</v>
      </c>
      <c r="T620" t="s">
        <v>2288</v>
      </c>
      <c r="U620">
        <v>5</v>
      </c>
      <c r="V620">
        <v>428</v>
      </c>
      <c r="X620">
        <v>53.16</v>
      </c>
      <c r="Y620">
        <v>63.84</v>
      </c>
      <c r="Z620" t="s">
        <v>1761</v>
      </c>
      <c r="AA620" t="s">
        <v>2297</v>
      </c>
      <c r="AB620">
        <v>130</v>
      </c>
      <c r="AC620">
        <v>13</v>
      </c>
      <c r="AD620">
        <v>117</v>
      </c>
      <c r="AE620">
        <v>53.16</v>
      </c>
      <c r="AF620">
        <v>63.84</v>
      </c>
      <c r="AG620">
        <v>2024</v>
      </c>
      <c r="AH620">
        <v>1</v>
      </c>
      <c r="AI620" t="s">
        <v>2302</v>
      </c>
      <c r="AJ620" t="s">
        <v>2312</v>
      </c>
    </row>
    <row r="621" spans="1:36" x14ac:dyDescent="0.3">
      <c r="A621" t="s">
        <v>655</v>
      </c>
      <c r="B621" s="2">
        <v>45321</v>
      </c>
      <c r="C621" t="s">
        <v>1692</v>
      </c>
      <c r="D621" t="s">
        <v>1826</v>
      </c>
      <c r="E621" t="s">
        <v>1963</v>
      </c>
      <c r="F621" t="s">
        <v>2240</v>
      </c>
      <c r="G621" t="s">
        <v>2241</v>
      </c>
      <c r="H621" t="s">
        <v>2257</v>
      </c>
      <c r="I621" t="s">
        <v>2262</v>
      </c>
      <c r="J621" t="s">
        <v>2264</v>
      </c>
      <c r="K621">
        <v>1</v>
      </c>
      <c r="L621">
        <v>130</v>
      </c>
      <c r="M621">
        <v>0.15</v>
      </c>
      <c r="N621">
        <v>130</v>
      </c>
      <c r="O621">
        <v>110.5</v>
      </c>
      <c r="P621" t="s">
        <v>2269</v>
      </c>
      <c r="Q621" t="s">
        <v>2272</v>
      </c>
      <c r="R621" t="s">
        <v>2275</v>
      </c>
      <c r="S621" t="s">
        <v>2282</v>
      </c>
      <c r="T621" t="s">
        <v>2288</v>
      </c>
      <c r="U621">
        <v>5</v>
      </c>
      <c r="X621">
        <v>54.76</v>
      </c>
      <c r="Y621">
        <v>55.74</v>
      </c>
      <c r="Z621" t="s">
        <v>2293</v>
      </c>
      <c r="AA621" t="s">
        <v>2296</v>
      </c>
      <c r="AB621">
        <v>130</v>
      </c>
      <c r="AC621">
        <v>19.5</v>
      </c>
      <c r="AD621">
        <v>110.5</v>
      </c>
      <c r="AE621">
        <v>54.76</v>
      </c>
      <c r="AF621">
        <v>55.74</v>
      </c>
      <c r="AG621">
        <v>2024</v>
      </c>
      <c r="AH621">
        <v>1</v>
      </c>
      <c r="AI621" t="s">
        <v>2302</v>
      </c>
      <c r="AJ621" t="s">
        <v>2313</v>
      </c>
    </row>
    <row r="622" spans="1:36" x14ac:dyDescent="0.3">
      <c r="A622" t="s">
        <v>656</v>
      </c>
      <c r="B622" s="2">
        <v>45580</v>
      </c>
      <c r="C622" t="s">
        <v>1688</v>
      </c>
      <c r="D622" t="s">
        <v>1818</v>
      </c>
      <c r="E622" t="s">
        <v>2197</v>
      </c>
      <c r="F622" t="s">
        <v>1761</v>
      </c>
      <c r="G622" t="s">
        <v>2244</v>
      </c>
      <c r="H622" t="s">
        <v>2257</v>
      </c>
      <c r="I622" t="s">
        <v>2262</v>
      </c>
      <c r="J622" t="s">
        <v>2266</v>
      </c>
      <c r="K622">
        <v>2</v>
      </c>
      <c r="L622">
        <v>120</v>
      </c>
      <c r="M622">
        <v>0</v>
      </c>
      <c r="N622">
        <v>240</v>
      </c>
      <c r="O622">
        <v>240</v>
      </c>
      <c r="P622" t="s">
        <v>2267</v>
      </c>
      <c r="R622" t="s">
        <v>2275</v>
      </c>
      <c r="S622" t="s">
        <v>2280</v>
      </c>
      <c r="T622" t="s">
        <v>2288</v>
      </c>
      <c r="U622">
        <v>5</v>
      </c>
      <c r="V622">
        <v>409</v>
      </c>
      <c r="W622">
        <v>18</v>
      </c>
      <c r="X622">
        <v>45.64</v>
      </c>
      <c r="Y622">
        <v>148.72</v>
      </c>
      <c r="Z622" t="s">
        <v>2291</v>
      </c>
      <c r="AA622" t="s">
        <v>2297</v>
      </c>
      <c r="AB622">
        <v>240</v>
      </c>
      <c r="AC622">
        <v>0</v>
      </c>
      <c r="AD622">
        <v>240</v>
      </c>
      <c r="AE622">
        <v>91.28</v>
      </c>
      <c r="AF622">
        <v>148.72</v>
      </c>
      <c r="AG622">
        <v>2024</v>
      </c>
      <c r="AH622">
        <v>10</v>
      </c>
      <c r="AI622" t="s">
        <v>2310</v>
      </c>
      <c r="AJ622" t="s">
        <v>2313</v>
      </c>
    </row>
    <row r="623" spans="1:36" x14ac:dyDescent="0.3">
      <c r="A623" t="s">
        <v>657</v>
      </c>
      <c r="B623" s="2">
        <v>45332</v>
      </c>
      <c r="C623" t="s">
        <v>1727</v>
      </c>
      <c r="D623" t="s">
        <v>1926</v>
      </c>
      <c r="E623" t="s">
        <v>2006</v>
      </c>
      <c r="F623" t="s">
        <v>2240</v>
      </c>
      <c r="G623" t="s">
        <v>2250</v>
      </c>
      <c r="H623" t="s">
        <v>2259</v>
      </c>
      <c r="I623" t="s">
        <v>2262</v>
      </c>
      <c r="J623" t="s">
        <v>2266</v>
      </c>
      <c r="K623">
        <v>1</v>
      </c>
      <c r="L623">
        <v>80</v>
      </c>
      <c r="N623">
        <v>80</v>
      </c>
      <c r="P623" t="s">
        <v>2267</v>
      </c>
      <c r="Q623" t="s">
        <v>2272</v>
      </c>
      <c r="R623" t="s">
        <v>2279</v>
      </c>
      <c r="S623" t="s">
        <v>2281</v>
      </c>
      <c r="T623" t="s">
        <v>2290</v>
      </c>
      <c r="U623">
        <v>5</v>
      </c>
      <c r="V623">
        <v>178</v>
      </c>
      <c r="W623">
        <v>53</v>
      </c>
      <c r="X623">
        <v>47.11</v>
      </c>
      <c r="Z623" t="s">
        <v>2291</v>
      </c>
      <c r="AA623" t="s">
        <v>2299</v>
      </c>
      <c r="AB623">
        <v>80</v>
      </c>
      <c r="AC623">
        <v>0</v>
      </c>
      <c r="AD623">
        <v>80</v>
      </c>
      <c r="AE623">
        <v>47.11</v>
      </c>
      <c r="AF623">
        <v>32.89</v>
      </c>
      <c r="AG623">
        <v>2024</v>
      </c>
      <c r="AH623">
        <v>2</v>
      </c>
      <c r="AI623" t="s">
        <v>2303</v>
      </c>
      <c r="AJ623" t="s">
        <v>2317</v>
      </c>
    </row>
    <row r="624" spans="1:36" x14ac:dyDescent="0.3">
      <c r="A624" t="s">
        <v>658</v>
      </c>
      <c r="B624" s="2">
        <v>45558</v>
      </c>
      <c r="C624" t="s">
        <v>1672</v>
      </c>
      <c r="D624" t="s">
        <v>1840</v>
      </c>
      <c r="E624" t="s">
        <v>2139</v>
      </c>
      <c r="F624" t="s">
        <v>2239</v>
      </c>
      <c r="G624" t="s">
        <v>2249</v>
      </c>
      <c r="H624" t="s">
        <v>2257</v>
      </c>
      <c r="I624" t="s">
        <v>2263</v>
      </c>
      <c r="K624">
        <v>1</v>
      </c>
      <c r="L624">
        <v>165</v>
      </c>
      <c r="M624">
        <v>0.05</v>
      </c>
      <c r="N624">
        <v>165</v>
      </c>
      <c r="O624">
        <v>156.75</v>
      </c>
      <c r="P624" t="s">
        <v>2269</v>
      </c>
      <c r="Q624" t="s">
        <v>2272</v>
      </c>
      <c r="R624" t="s">
        <v>2278</v>
      </c>
      <c r="S624" t="s">
        <v>2286</v>
      </c>
      <c r="T624" t="s">
        <v>2288</v>
      </c>
      <c r="V624">
        <v>26</v>
      </c>
      <c r="W624">
        <v>14</v>
      </c>
      <c r="X624">
        <v>91.04</v>
      </c>
      <c r="Y624">
        <v>65.709999999999994</v>
      </c>
      <c r="Z624" t="s">
        <v>2291</v>
      </c>
      <c r="AA624" t="s">
        <v>2298</v>
      </c>
      <c r="AB624">
        <v>165</v>
      </c>
      <c r="AC624">
        <v>8.25</v>
      </c>
      <c r="AD624">
        <v>156.75</v>
      </c>
      <c r="AE624">
        <v>91.04</v>
      </c>
      <c r="AF624">
        <v>65.709999999999994</v>
      </c>
      <c r="AG624">
        <v>2024</v>
      </c>
      <c r="AH624">
        <v>9</v>
      </c>
      <c r="AI624" t="s">
        <v>2300</v>
      </c>
      <c r="AJ624" t="s">
        <v>2314</v>
      </c>
    </row>
    <row r="625" spans="1:36" x14ac:dyDescent="0.3">
      <c r="A625" t="s">
        <v>659</v>
      </c>
      <c r="B625" s="2">
        <v>45382</v>
      </c>
      <c r="C625" t="s">
        <v>1670</v>
      </c>
      <c r="D625" t="s">
        <v>1920</v>
      </c>
      <c r="E625" t="s">
        <v>1761</v>
      </c>
      <c r="F625" t="s">
        <v>2240</v>
      </c>
      <c r="G625" t="s">
        <v>2245</v>
      </c>
      <c r="H625" t="s">
        <v>2257</v>
      </c>
      <c r="I625" t="s">
        <v>2263</v>
      </c>
      <c r="J625" t="s">
        <v>2265</v>
      </c>
      <c r="K625">
        <v>1</v>
      </c>
      <c r="L625">
        <v>160</v>
      </c>
      <c r="M625">
        <v>0.1</v>
      </c>
      <c r="N625">
        <v>160</v>
      </c>
      <c r="O625">
        <v>144</v>
      </c>
      <c r="P625" t="s">
        <v>2269</v>
      </c>
      <c r="Q625" t="s">
        <v>2271</v>
      </c>
      <c r="R625" t="s">
        <v>2276</v>
      </c>
      <c r="S625" t="s">
        <v>2282</v>
      </c>
      <c r="T625" t="s">
        <v>2288</v>
      </c>
      <c r="U625">
        <v>4</v>
      </c>
      <c r="V625">
        <v>471</v>
      </c>
      <c r="W625">
        <v>13</v>
      </c>
      <c r="X625">
        <v>55.63</v>
      </c>
      <c r="Y625">
        <v>88.37</v>
      </c>
      <c r="Z625" t="s">
        <v>2293</v>
      </c>
      <c r="AA625" t="s">
        <v>2296</v>
      </c>
      <c r="AB625">
        <v>160</v>
      </c>
      <c r="AC625">
        <v>16</v>
      </c>
      <c r="AD625">
        <v>144</v>
      </c>
      <c r="AE625">
        <v>55.63</v>
      </c>
      <c r="AF625">
        <v>88.37</v>
      </c>
      <c r="AG625">
        <v>2024</v>
      </c>
      <c r="AH625">
        <v>3</v>
      </c>
      <c r="AI625" t="s">
        <v>2305</v>
      </c>
      <c r="AJ625" t="s">
        <v>2318</v>
      </c>
    </row>
    <row r="626" spans="1:36" x14ac:dyDescent="0.3">
      <c r="A626" t="s">
        <v>660</v>
      </c>
      <c r="B626" s="2">
        <v>45471</v>
      </c>
      <c r="C626" t="s">
        <v>1712</v>
      </c>
      <c r="D626" t="s">
        <v>1761</v>
      </c>
      <c r="E626" t="s">
        <v>2061</v>
      </c>
      <c r="F626" t="s">
        <v>1761</v>
      </c>
      <c r="G626" t="s">
        <v>2249</v>
      </c>
      <c r="H626" t="s">
        <v>2257</v>
      </c>
      <c r="I626" t="s">
        <v>2263</v>
      </c>
      <c r="J626" t="s">
        <v>2266</v>
      </c>
      <c r="K626">
        <v>2</v>
      </c>
      <c r="L626">
        <v>155</v>
      </c>
      <c r="M626">
        <v>0</v>
      </c>
      <c r="N626">
        <v>310</v>
      </c>
      <c r="O626">
        <v>310</v>
      </c>
      <c r="P626" t="s">
        <v>2269</v>
      </c>
      <c r="R626" t="s">
        <v>2275</v>
      </c>
      <c r="S626" t="s">
        <v>2281</v>
      </c>
      <c r="T626" t="s">
        <v>2288</v>
      </c>
      <c r="U626">
        <v>5</v>
      </c>
      <c r="W626">
        <v>17</v>
      </c>
      <c r="X626">
        <v>64.11</v>
      </c>
      <c r="Y626">
        <v>181.78</v>
      </c>
      <c r="Z626" t="s">
        <v>2291</v>
      </c>
      <c r="AA626" t="s">
        <v>1761</v>
      </c>
      <c r="AB626">
        <v>310</v>
      </c>
      <c r="AC626">
        <v>0</v>
      </c>
      <c r="AD626">
        <v>310</v>
      </c>
      <c r="AE626">
        <v>128.22</v>
      </c>
      <c r="AF626">
        <v>181.78</v>
      </c>
      <c r="AG626">
        <v>2024</v>
      </c>
      <c r="AH626">
        <v>6</v>
      </c>
      <c r="AI626" t="s">
        <v>2304</v>
      </c>
      <c r="AJ626" t="s">
        <v>2315</v>
      </c>
    </row>
    <row r="627" spans="1:36" x14ac:dyDescent="0.3">
      <c r="A627" t="s">
        <v>661</v>
      </c>
      <c r="B627" s="2">
        <v>45638</v>
      </c>
      <c r="C627" t="s">
        <v>1646</v>
      </c>
      <c r="D627" t="s">
        <v>1906</v>
      </c>
      <c r="E627" t="s">
        <v>2074</v>
      </c>
      <c r="F627" t="s">
        <v>2239</v>
      </c>
      <c r="G627" t="s">
        <v>2244</v>
      </c>
      <c r="H627" t="s">
        <v>2257</v>
      </c>
      <c r="I627" t="s">
        <v>2262</v>
      </c>
      <c r="K627">
        <v>4</v>
      </c>
      <c r="L627">
        <v>125</v>
      </c>
      <c r="M627">
        <v>0</v>
      </c>
      <c r="N627">
        <v>500</v>
      </c>
      <c r="O627">
        <v>500</v>
      </c>
      <c r="Q627" t="s">
        <v>2270</v>
      </c>
      <c r="R627" t="s">
        <v>2275</v>
      </c>
      <c r="S627" t="s">
        <v>2280</v>
      </c>
      <c r="T627" t="s">
        <v>2288</v>
      </c>
      <c r="U627">
        <v>4</v>
      </c>
      <c r="V627">
        <v>358</v>
      </c>
      <c r="W627">
        <v>50</v>
      </c>
      <c r="X627">
        <v>45.72</v>
      </c>
      <c r="Y627">
        <v>317.12</v>
      </c>
      <c r="Z627" t="s">
        <v>2293</v>
      </c>
      <c r="AA627" t="s">
        <v>2297</v>
      </c>
      <c r="AB627">
        <v>500</v>
      </c>
      <c r="AC627">
        <v>0</v>
      </c>
      <c r="AD627">
        <v>500</v>
      </c>
      <c r="AE627">
        <v>182.88</v>
      </c>
      <c r="AF627">
        <v>317.12</v>
      </c>
      <c r="AG627">
        <v>2024</v>
      </c>
      <c r="AH627">
        <v>12</v>
      </c>
      <c r="AI627" t="s">
        <v>2309</v>
      </c>
      <c r="AJ627" t="s">
        <v>2316</v>
      </c>
    </row>
    <row r="628" spans="1:36" x14ac:dyDescent="0.3">
      <c r="A628" t="s">
        <v>662</v>
      </c>
      <c r="B628" s="2">
        <v>45436</v>
      </c>
      <c r="C628" t="s">
        <v>1665</v>
      </c>
      <c r="D628" t="s">
        <v>1798</v>
      </c>
      <c r="E628" t="s">
        <v>2140</v>
      </c>
      <c r="F628" t="s">
        <v>2239</v>
      </c>
      <c r="G628" t="s">
        <v>2243</v>
      </c>
      <c r="H628" t="s">
        <v>2258</v>
      </c>
      <c r="I628" t="s">
        <v>2260</v>
      </c>
      <c r="J628" t="s">
        <v>2266</v>
      </c>
      <c r="K628">
        <v>2</v>
      </c>
      <c r="L628">
        <v>80</v>
      </c>
      <c r="M628">
        <v>0.1</v>
      </c>
      <c r="N628">
        <v>160</v>
      </c>
      <c r="O628">
        <v>144</v>
      </c>
      <c r="P628" t="s">
        <v>2267</v>
      </c>
      <c r="Q628" t="s">
        <v>2270</v>
      </c>
      <c r="R628" t="s">
        <v>2275</v>
      </c>
      <c r="S628" t="s">
        <v>2286</v>
      </c>
      <c r="T628" t="s">
        <v>2288</v>
      </c>
      <c r="U628">
        <v>2</v>
      </c>
      <c r="V628">
        <v>74</v>
      </c>
      <c r="W628">
        <v>53</v>
      </c>
      <c r="X628">
        <v>32.1</v>
      </c>
      <c r="Y628">
        <v>79.8</v>
      </c>
      <c r="Z628" t="s">
        <v>1761</v>
      </c>
      <c r="AA628" t="s">
        <v>1761</v>
      </c>
      <c r="AB628">
        <v>160</v>
      </c>
      <c r="AC628">
        <v>16</v>
      </c>
      <c r="AD628">
        <v>144</v>
      </c>
      <c r="AE628">
        <v>64.2</v>
      </c>
      <c r="AF628">
        <v>79.8</v>
      </c>
      <c r="AG628">
        <v>2024</v>
      </c>
      <c r="AH628">
        <v>5</v>
      </c>
      <c r="AI628" t="s">
        <v>2306</v>
      </c>
      <c r="AJ628" t="s">
        <v>2315</v>
      </c>
    </row>
    <row r="629" spans="1:36" x14ac:dyDescent="0.3">
      <c r="A629" t="s">
        <v>663</v>
      </c>
      <c r="B629" s="2">
        <v>45498</v>
      </c>
      <c r="C629" t="s">
        <v>1687</v>
      </c>
      <c r="D629" t="s">
        <v>1789</v>
      </c>
      <c r="E629" t="s">
        <v>1987</v>
      </c>
      <c r="F629" t="s">
        <v>2240</v>
      </c>
      <c r="G629" t="s">
        <v>2247</v>
      </c>
      <c r="H629" t="s">
        <v>2257</v>
      </c>
      <c r="I629" t="s">
        <v>2262</v>
      </c>
      <c r="J629" t="s">
        <v>2266</v>
      </c>
      <c r="K629">
        <v>2</v>
      </c>
      <c r="L629">
        <v>100</v>
      </c>
      <c r="M629">
        <v>0</v>
      </c>
      <c r="N629">
        <v>200</v>
      </c>
      <c r="O629">
        <v>200</v>
      </c>
      <c r="P629" t="s">
        <v>2268</v>
      </c>
      <c r="Q629" t="s">
        <v>2270</v>
      </c>
      <c r="R629" t="s">
        <v>2276</v>
      </c>
      <c r="S629" t="s">
        <v>2285</v>
      </c>
      <c r="T629" t="s">
        <v>2290</v>
      </c>
      <c r="U629">
        <v>2</v>
      </c>
      <c r="V629">
        <v>6</v>
      </c>
      <c r="W629">
        <v>32</v>
      </c>
      <c r="X629">
        <v>52.69</v>
      </c>
      <c r="Y629">
        <v>94.62</v>
      </c>
      <c r="Z629" t="s">
        <v>1761</v>
      </c>
      <c r="AA629" t="s">
        <v>2299</v>
      </c>
      <c r="AB629">
        <v>200</v>
      </c>
      <c r="AC629">
        <v>0</v>
      </c>
      <c r="AD629">
        <v>200</v>
      </c>
      <c r="AE629">
        <v>105.38</v>
      </c>
      <c r="AF629">
        <v>94.62</v>
      </c>
      <c r="AG629">
        <v>2024</v>
      </c>
      <c r="AH629">
        <v>7</v>
      </c>
      <c r="AI629" t="s">
        <v>2307</v>
      </c>
      <c r="AJ629" t="s">
        <v>2316</v>
      </c>
    </row>
    <row r="630" spans="1:36" x14ac:dyDescent="0.3">
      <c r="A630" t="s">
        <v>664</v>
      </c>
      <c r="C630" t="s">
        <v>1723</v>
      </c>
      <c r="D630" t="s">
        <v>1802</v>
      </c>
      <c r="E630" t="s">
        <v>2063</v>
      </c>
      <c r="F630" t="s">
        <v>2239</v>
      </c>
      <c r="G630" t="s">
        <v>2254</v>
      </c>
      <c r="H630" t="s">
        <v>2259</v>
      </c>
      <c r="I630" t="s">
        <v>2263</v>
      </c>
      <c r="J630" t="s">
        <v>2265</v>
      </c>
      <c r="K630">
        <v>1</v>
      </c>
      <c r="L630">
        <v>105</v>
      </c>
      <c r="M630">
        <v>0</v>
      </c>
      <c r="N630">
        <v>105</v>
      </c>
      <c r="O630">
        <v>105</v>
      </c>
      <c r="P630" t="s">
        <v>2267</v>
      </c>
      <c r="Q630" t="s">
        <v>2271</v>
      </c>
      <c r="R630" t="s">
        <v>2275</v>
      </c>
      <c r="S630" t="s">
        <v>2282</v>
      </c>
      <c r="T630" t="s">
        <v>2288</v>
      </c>
      <c r="U630">
        <v>5</v>
      </c>
      <c r="V630">
        <v>413</v>
      </c>
      <c r="W630">
        <v>60</v>
      </c>
      <c r="X630">
        <v>64.510000000000005</v>
      </c>
      <c r="Y630">
        <v>40.49</v>
      </c>
      <c r="Z630" t="s">
        <v>2292</v>
      </c>
      <c r="AA630" t="s">
        <v>2296</v>
      </c>
      <c r="AB630">
        <v>105</v>
      </c>
      <c r="AC630">
        <v>0</v>
      </c>
      <c r="AD630">
        <v>105</v>
      </c>
      <c r="AE630">
        <v>64.510000000000005</v>
      </c>
      <c r="AF630">
        <v>40.489999999999988</v>
      </c>
    </row>
    <row r="631" spans="1:36" x14ac:dyDescent="0.3">
      <c r="A631" t="s">
        <v>665</v>
      </c>
      <c r="B631" s="2">
        <v>45525</v>
      </c>
      <c r="C631" t="s">
        <v>1740</v>
      </c>
      <c r="D631" t="s">
        <v>1930</v>
      </c>
      <c r="E631" t="s">
        <v>2043</v>
      </c>
      <c r="F631" t="s">
        <v>2240</v>
      </c>
      <c r="G631" t="s">
        <v>2248</v>
      </c>
      <c r="H631" t="s">
        <v>2257</v>
      </c>
      <c r="I631" t="s">
        <v>2262</v>
      </c>
      <c r="J631" t="s">
        <v>2266</v>
      </c>
      <c r="K631">
        <v>1</v>
      </c>
      <c r="L631">
        <v>140</v>
      </c>
      <c r="M631">
        <v>0.1</v>
      </c>
      <c r="N631">
        <v>140</v>
      </c>
      <c r="O631">
        <v>126</v>
      </c>
      <c r="P631" t="s">
        <v>2267</v>
      </c>
      <c r="Q631" t="s">
        <v>2270</v>
      </c>
      <c r="R631" t="s">
        <v>2277</v>
      </c>
      <c r="S631" t="s">
        <v>2280</v>
      </c>
      <c r="T631" t="s">
        <v>2289</v>
      </c>
      <c r="U631">
        <v>5</v>
      </c>
      <c r="X631">
        <v>53.24</v>
      </c>
      <c r="Y631">
        <v>72.760000000000005</v>
      </c>
      <c r="Z631" t="s">
        <v>2293</v>
      </c>
      <c r="AA631" t="s">
        <v>2298</v>
      </c>
      <c r="AB631">
        <v>140</v>
      </c>
      <c r="AC631">
        <v>14</v>
      </c>
      <c r="AD631">
        <v>126</v>
      </c>
      <c r="AE631">
        <v>53.24</v>
      </c>
      <c r="AF631">
        <v>72.759999999999991</v>
      </c>
      <c r="AG631">
        <v>2024</v>
      </c>
      <c r="AH631">
        <v>8</v>
      </c>
      <c r="AI631" t="s">
        <v>2301</v>
      </c>
      <c r="AJ631" t="s">
        <v>2312</v>
      </c>
    </row>
    <row r="632" spans="1:36" x14ac:dyDescent="0.3">
      <c r="A632" t="s">
        <v>666</v>
      </c>
      <c r="B632" s="2">
        <v>45439</v>
      </c>
      <c r="C632" t="s">
        <v>1711</v>
      </c>
      <c r="D632" t="s">
        <v>1841</v>
      </c>
      <c r="E632" t="s">
        <v>2155</v>
      </c>
      <c r="F632" t="s">
        <v>2239</v>
      </c>
      <c r="G632" t="s">
        <v>2242</v>
      </c>
      <c r="H632" t="s">
        <v>2258</v>
      </c>
      <c r="I632" t="s">
        <v>2260</v>
      </c>
      <c r="J632" t="s">
        <v>2264</v>
      </c>
      <c r="K632">
        <v>1</v>
      </c>
      <c r="L632">
        <v>115</v>
      </c>
      <c r="M632">
        <v>0.1</v>
      </c>
      <c r="O632">
        <v>103.5</v>
      </c>
      <c r="R632" t="s">
        <v>2273</v>
      </c>
      <c r="S632" t="s">
        <v>2285</v>
      </c>
      <c r="T632" t="s">
        <v>2290</v>
      </c>
      <c r="V632">
        <v>314</v>
      </c>
      <c r="X632">
        <v>46.01</v>
      </c>
      <c r="Y632">
        <v>57.49</v>
      </c>
      <c r="Z632" t="s">
        <v>1761</v>
      </c>
      <c r="AA632" t="s">
        <v>1761</v>
      </c>
      <c r="AB632">
        <v>115</v>
      </c>
      <c r="AC632">
        <v>11.5</v>
      </c>
      <c r="AD632">
        <v>103.5</v>
      </c>
      <c r="AE632">
        <v>46.01</v>
      </c>
      <c r="AF632">
        <v>57.49</v>
      </c>
      <c r="AG632">
        <v>2024</v>
      </c>
      <c r="AH632">
        <v>5</v>
      </c>
      <c r="AI632" t="s">
        <v>2306</v>
      </c>
      <c r="AJ632" t="s">
        <v>2314</v>
      </c>
    </row>
    <row r="633" spans="1:36" x14ac:dyDescent="0.3">
      <c r="A633" t="s">
        <v>667</v>
      </c>
      <c r="C633" t="s">
        <v>1707</v>
      </c>
      <c r="D633" t="s">
        <v>1919</v>
      </c>
      <c r="E633" t="s">
        <v>2053</v>
      </c>
      <c r="F633" t="s">
        <v>1761</v>
      </c>
      <c r="G633" t="s">
        <v>2251</v>
      </c>
      <c r="H633" t="s">
        <v>2258</v>
      </c>
      <c r="I633" t="s">
        <v>2260</v>
      </c>
      <c r="J633" t="s">
        <v>2264</v>
      </c>
      <c r="K633">
        <v>1</v>
      </c>
      <c r="L633">
        <v>100</v>
      </c>
      <c r="M633">
        <v>0</v>
      </c>
      <c r="O633">
        <v>100</v>
      </c>
      <c r="P633" t="s">
        <v>2268</v>
      </c>
      <c r="R633" t="s">
        <v>2276</v>
      </c>
      <c r="S633" t="s">
        <v>2286</v>
      </c>
      <c r="T633" t="s">
        <v>2290</v>
      </c>
      <c r="U633">
        <v>3</v>
      </c>
      <c r="V633">
        <v>375</v>
      </c>
      <c r="W633">
        <v>16</v>
      </c>
      <c r="X633">
        <v>55.33</v>
      </c>
      <c r="Y633">
        <v>44.67</v>
      </c>
      <c r="Z633" t="s">
        <v>1761</v>
      </c>
      <c r="AA633" t="s">
        <v>2298</v>
      </c>
      <c r="AB633">
        <v>100</v>
      </c>
      <c r="AC633">
        <v>0</v>
      </c>
      <c r="AD633">
        <v>100</v>
      </c>
      <c r="AE633">
        <v>55.33</v>
      </c>
      <c r="AF633">
        <v>44.67</v>
      </c>
    </row>
    <row r="634" spans="1:36" x14ac:dyDescent="0.3">
      <c r="A634" t="s">
        <v>668</v>
      </c>
      <c r="B634" s="2">
        <v>45618</v>
      </c>
      <c r="C634" t="s">
        <v>1688</v>
      </c>
      <c r="D634" t="s">
        <v>1833</v>
      </c>
      <c r="E634" t="s">
        <v>2198</v>
      </c>
      <c r="F634" t="s">
        <v>2240</v>
      </c>
      <c r="G634" t="s">
        <v>2250</v>
      </c>
      <c r="H634" t="s">
        <v>2259</v>
      </c>
      <c r="I634" t="s">
        <v>2262</v>
      </c>
      <c r="J634" t="s">
        <v>2264</v>
      </c>
      <c r="K634">
        <v>1</v>
      </c>
      <c r="L634">
        <v>90</v>
      </c>
      <c r="M634">
        <v>0.05</v>
      </c>
      <c r="O634">
        <v>85.5</v>
      </c>
      <c r="P634" t="s">
        <v>2269</v>
      </c>
      <c r="Q634" t="s">
        <v>2272</v>
      </c>
      <c r="R634" t="s">
        <v>2274</v>
      </c>
      <c r="S634" t="s">
        <v>2287</v>
      </c>
      <c r="T634" t="s">
        <v>2288</v>
      </c>
      <c r="U634">
        <v>2</v>
      </c>
      <c r="V634">
        <v>149</v>
      </c>
      <c r="W634">
        <v>29</v>
      </c>
      <c r="X634">
        <v>29.45</v>
      </c>
      <c r="Y634">
        <v>56.05</v>
      </c>
      <c r="Z634" t="s">
        <v>2293</v>
      </c>
      <c r="AA634" t="s">
        <v>1761</v>
      </c>
      <c r="AB634">
        <v>90</v>
      </c>
      <c r="AC634">
        <v>4.5</v>
      </c>
      <c r="AD634">
        <v>85.5</v>
      </c>
      <c r="AE634">
        <v>29.45</v>
      </c>
      <c r="AF634">
        <v>56.05</v>
      </c>
      <c r="AG634">
        <v>2024</v>
      </c>
      <c r="AH634">
        <v>11</v>
      </c>
      <c r="AI634" t="s">
        <v>2311</v>
      </c>
      <c r="AJ634" t="s">
        <v>2315</v>
      </c>
    </row>
    <row r="635" spans="1:36" x14ac:dyDescent="0.3">
      <c r="A635" t="s">
        <v>669</v>
      </c>
      <c r="B635" s="2">
        <v>45641</v>
      </c>
      <c r="C635" t="s">
        <v>1665</v>
      </c>
      <c r="D635" t="s">
        <v>1763</v>
      </c>
      <c r="E635" t="s">
        <v>2199</v>
      </c>
      <c r="F635" t="s">
        <v>1761</v>
      </c>
      <c r="G635" t="s">
        <v>2253</v>
      </c>
      <c r="H635" t="s">
        <v>2258</v>
      </c>
      <c r="I635" t="s">
        <v>2260</v>
      </c>
      <c r="J635" t="s">
        <v>2266</v>
      </c>
      <c r="K635">
        <v>1</v>
      </c>
      <c r="L635">
        <v>100</v>
      </c>
      <c r="N635">
        <v>100</v>
      </c>
      <c r="P635" t="s">
        <v>2268</v>
      </c>
      <c r="Q635" t="s">
        <v>2271</v>
      </c>
      <c r="R635" t="s">
        <v>2277</v>
      </c>
      <c r="S635" t="s">
        <v>2287</v>
      </c>
      <c r="T635" t="s">
        <v>2288</v>
      </c>
      <c r="U635">
        <v>5</v>
      </c>
      <c r="V635">
        <v>251</v>
      </c>
      <c r="W635">
        <v>44</v>
      </c>
      <c r="X635">
        <v>32.5</v>
      </c>
      <c r="Z635" t="s">
        <v>2293</v>
      </c>
      <c r="AA635" t="s">
        <v>2298</v>
      </c>
      <c r="AB635">
        <v>100</v>
      </c>
      <c r="AC635">
        <v>0</v>
      </c>
      <c r="AD635">
        <v>100</v>
      </c>
      <c r="AE635">
        <v>32.5</v>
      </c>
      <c r="AF635">
        <v>67.5</v>
      </c>
      <c r="AG635">
        <v>2024</v>
      </c>
      <c r="AH635">
        <v>12</v>
      </c>
      <c r="AI635" t="s">
        <v>2309</v>
      </c>
      <c r="AJ635" t="s">
        <v>2318</v>
      </c>
    </row>
    <row r="636" spans="1:36" x14ac:dyDescent="0.3">
      <c r="A636" t="s">
        <v>670</v>
      </c>
      <c r="B636" s="2">
        <v>45579</v>
      </c>
      <c r="C636" t="s">
        <v>1640</v>
      </c>
      <c r="D636" t="s">
        <v>1931</v>
      </c>
      <c r="E636" t="s">
        <v>2200</v>
      </c>
      <c r="F636" t="s">
        <v>2240</v>
      </c>
      <c r="G636" t="s">
        <v>2248</v>
      </c>
      <c r="H636" t="s">
        <v>2257</v>
      </c>
      <c r="I636" t="s">
        <v>2262</v>
      </c>
      <c r="J636" t="s">
        <v>2266</v>
      </c>
      <c r="K636">
        <v>1</v>
      </c>
      <c r="L636">
        <v>145</v>
      </c>
      <c r="M636">
        <v>0</v>
      </c>
      <c r="N636">
        <v>145</v>
      </c>
      <c r="O636">
        <v>145</v>
      </c>
      <c r="Q636" t="s">
        <v>2270</v>
      </c>
      <c r="R636" t="s">
        <v>2274</v>
      </c>
      <c r="S636" t="s">
        <v>2286</v>
      </c>
      <c r="T636" t="s">
        <v>2290</v>
      </c>
      <c r="U636">
        <v>1</v>
      </c>
      <c r="V636">
        <v>244</v>
      </c>
      <c r="W636">
        <v>46</v>
      </c>
      <c r="X636">
        <v>62.45</v>
      </c>
      <c r="Y636">
        <v>82.55</v>
      </c>
      <c r="Z636" t="s">
        <v>2293</v>
      </c>
      <c r="AA636" t="s">
        <v>2298</v>
      </c>
      <c r="AB636">
        <v>145</v>
      </c>
      <c r="AC636">
        <v>0</v>
      </c>
      <c r="AD636">
        <v>145</v>
      </c>
      <c r="AE636">
        <v>62.45</v>
      </c>
      <c r="AF636">
        <v>82.55</v>
      </c>
      <c r="AG636">
        <v>2024</v>
      </c>
      <c r="AH636">
        <v>10</v>
      </c>
      <c r="AI636" t="s">
        <v>2310</v>
      </c>
      <c r="AJ636" t="s">
        <v>2314</v>
      </c>
    </row>
    <row r="637" spans="1:36" x14ac:dyDescent="0.3">
      <c r="A637" t="s">
        <v>671</v>
      </c>
      <c r="B637" s="2">
        <v>45657</v>
      </c>
      <c r="C637" t="s">
        <v>1644</v>
      </c>
      <c r="D637" t="s">
        <v>1925</v>
      </c>
      <c r="E637" t="s">
        <v>1988</v>
      </c>
      <c r="F637" t="s">
        <v>2238</v>
      </c>
      <c r="G637" t="s">
        <v>2246</v>
      </c>
      <c r="H637" t="s">
        <v>2259</v>
      </c>
      <c r="I637" t="s">
        <v>2262</v>
      </c>
      <c r="K637">
        <v>1</v>
      </c>
      <c r="L637">
        <v>100</v>
      </c>
      <c r="M637">
        <v>0</v>
      </c>
      <c r="N637">
        <v>100</v>
      </c>
      <c r="O637">
        <v>100</v>
      </c>
      <c r="P637" t="s">
        <v>2267</v>
      </c>
      <c r="Q637" t="s">
        <v>2271</v>
      </c>
      <c r="R637" t="s">
        <v>2277</v>
      </c>
      <c r="S637" t="s">
        <v>2283</v>
      </c>
      <c r="T637" t="s">
        <v>2290</v>
      </c>
      <c r="U637">
        <v>1</v>
      </c>
      <c r="W637">
        <v>57</v>
      </c>
      <c r="X637">
        <v>36.76</v>
      </c>
      <c r="Y637">
        <v>63.24</v>
      </c>
      <c r="Z637" t="s">
        <v>2292</v>
      </c>
      <c r="AA637" t="s">
        <v>2297</v>
      </c>
      <c r="AB637">
        <v>100</v>
      </c>
      <c r="AC637">
        <v>0</v>
      </c>
      <c r="AD637">
        <v>100</v>
      </c>
      <c r="AE637">
        <v>36.76</v>
      </c>
      <c r="AF637">
        <v>63.24</v>
      </c>
      <c r="AG637">
        <v>2024</v>
      </c>
      <c r="AH637">
        <v>12</v>
      </c>
      <c r="AI637" t="s">
        <v>2309</v>
      </c>
      <c r="AJ637" t="s">
        <v>2313</v>
      </c>
    </row>
    <row r="638" spans="1:36" x14ac:dyDescent="0.3">
      <c r="A638" t="s">
        <v>672</v>
      </c>
      <c r="B638" s="2">
        <v>45602</v>
      </c>
      <c r="C638" t="s">
        <v>1705</v>
      </c>
      <c r="D638" t="s">
        <v>1753</v>
      </c>
      <c r="E638" t="s">
        <v>1972</v>
      </c>
      <c r="F638" t="s">
        <v>2238</v>
      </c>
      <c r="G638" t="s">
        <v>2250</v>
      </c>
      <c r="H638" t="s">
        <v>2259</v>
      </c>
      <c r="I638" t="s">
        <v>2262</v>
      </c>
      <c r="K638">
        <v>1</v>
      </c>
      <c r="L638">
        <v>75</v>
      </c>
      <c r="M638">
        <v>0.05</v>
      </c>
      <c r="N638">
        <v>75</v>
      </c>
      <c r="O638">
        <v>71.25</v>
      </c>
      <c r="P638" t="s">
        <v>2269</v>
      </c>
      <c r="Q638" t="s">
        <v>2272</v>
      </c>
      <c r="R638" t="s">
        <v>2277</v>
      </c>
      <c r="S638" t="s">
        <v>2287</v>
      </c>
      <c r="T638" t="s">
        <v>2289</v>
      </c>
      <c r="U638">
        <v>2</v>
      </c>
      <c r="V638">
        <v>392</v>
      </c>
      <c r="W638">
        <v>21</v>
      </c>
      <c r="X638">
        <v>32.57</v>
      </c>
      <c r="Y638">
        <v>38.68</v>
      </c>
      <c r="Z638" t="s">
        <v>1761</v>
      </c>
      <c r="AA638" t="s">
        <v>2299</v>
      </c>
      <c r="AB638">
        <v>75</v>
      </c>
      <c r="AC638">
        <v>3.75</v>
      </c>
      <c r="AD638">
        <v>71.25</v>
      </c>
      <c r="AE638">
        <v>32.57</v>
      </c>
      <c r="AF638">
        <v>38.68</v>
      </c>
      <c r="AG638">
        <v>2024</v>
      </c>
      <c r="AH638">
        <v>11</v>
      </c>
      <c r="AI638" t="s">
        <v>2311</v>
      </c>
      <c r="AJ638" t="s">
        <v>2312</v>
      </c>
    </row>
    <row r="639" spans="1:36" x14ac:dyDescent="0.3">
      <c r="A639" t="s">
        <v>673</v>
      </c>
      <c r="B639" s="2">
        <v>45569</v>
      </c>
      <c r="C639" t="s">
        <v>1651</v>
      </c>
      <c r="D639" t="s">
        <v>1798</v>
      </c>
      <c r="E639" t="s">
        <v>1990</v>
      </c>
      <c r="F639" t="s">
        <v>2240</v>
      </c>
      <c r="G639" t="s">
        <v>2245</v>
      </c>
      <c r="H639" t="s">
        <v>2257</v>
      </c>
      <c r="I639" t="s">
        <v>2263</v>
      </c>
      <c r="J639" t="s">
        <v>2265</v>
      </c>
      <c r="K639">
        <v>5</v>
      </c>
      <c r="L639">
        <v>155</v>
      </c>
      <c r="M639">
        <v>0</v>
      </c>
      <c r="N639">
        <v>775</v>
      </c>
      <c r="O639">
        <v>775</v>
      </c>
      <c r="P639" t="s">
        <v>2267</v>
      </c>
      <c r="Q639" t="s">
        <v>2271</v>
      </c>
      <c r="R639" t="s">
        <v>2277</v>
      </c>
      <c r="S639" t="s">
        <v>2280</v>
      </c>
      <c r="T639" t="s">
        <v>2288</v>
      </c>
      <c r="U639">
        <v>5</v>
      </c>
      <c r="V639">
        <v>132</v>
      </c>
      <c r="X639">
        <v>55.8</v>
      </c>
      <c r="Y639">
        <v>496</v>
      </c>
      <c r="Z639" t="s">
        <v>1761</v>
      </c>
      <c r="AA639" t="s">
        <v>1761</v>
      </c>
      <c r="AB639">
        <v>775</v>
      </c>
      <c r="AC639">
        <v>0</v>
      </c>
      <c r="AD639">
        <v>775</v>
      </c>
      <c r="AE639">
        <v>279</v>
      </c>
      <c r="AF639">
        <v>496</v>
      </c>
      <c r="AG639">
        <v>2024</v>
      </c>
      <c r="AH639">
        <v>10</v>
      </c>
      <c r="AI639" t="s">
        <v>2310</v>
      </c>
      <c r="AJ639" t="s">
        <v>2315</v>
      </c>
    </row>
    <row r="640" spans="1:36" x14ac:dyDescent="0.3">
      <c r="A640" t="s">
        <v>674</v>
      </c>
      <c r="B640" s="2">
        <v>45607</v>
      </c>
      <c r="C640" t="s">
        <v>1714</v>
      </c>
      <c r="D640" t="s">
        <v>1796</v>
      </c>
      <c r="E640" t="s">
        <v>1959</v>
      </c>
      <c r="F640" t="s">
        <v>2238</v>
      </c>
      <c r="G640" t="s">
        <v>2252</v>
      </c>
      <c r="H640" t="s">
        <v>2257</v>
      </c>
      <c r="I640" t="s">
        <v>2262</v>
      </c>
      <c r="J640" t="s">
        <v>2266</v>
      </c>
      <c r="K640">
        <v>3</v>
      </c>
      <c r="L640">
        <v>90</v>
      </c>
      <c r="M640">
        <v>0.05</v>
      </c>
      <c r="N640">
        <v>270</v>
      </c>
      <c r="O640">
        <v>256.5</v>
      </c>
      <c r="Q640" t="s">
        <v>2272</v>
      </c>
      <c r="R640" t="s">
        <v>2279</v>
      </c>
      <c r="S640" t="s">
        <v>2282</v>
      </c>
      <c r="T640" t="s">
        <v>2288</v>
      </c>
      <c r="U640">
        <v>2</v>
      </c>
      <c r="V640">
        <v>3</v>
      </c>
      <c r="X640">
        <v>33.799999999999997</v>
      </c>
      <c r="Y640">
        <v>155.1</v>
      </c>
      <c r="Z640" t="s">
        <v>2293</v>
      </c>
      <c r="AA640" t="s">
        <v>2296</v>
      </c>
      <c r="AB640">
        <v>270</v>
      </c>
      <c r="AC640">
        <v>13.5</v>
      </c>
      <c r="AD640">
        <v>256.5</v>
      </c>
      <c r="AE640">
        <v>101.4</v>
      </c>
      <c r="AF640">
        <v>155.1</v>
      </c>
      <c r="AG640">
        <v>2024</v>
      </c>
      <c r="AH640">
        <v>11</v>
      </c>
      <c r="AI640" t="s">
        <v>2311</v>
      </c>
      <c r="AJ640" t="s">
        <v>2314</v>
      </c>
    </row>
    <row r="641" spans="1:36" x14ac:dyDescent="0.3">
      <c r="A641" t="s">
        <v>675</v>
      </c>
      <c r="B641" s="2">
        <v>45416</v>
      </c>
      <c r="C641" t="s">
        <v>1664</v>
      </c>
      <c r="D641" t="s">
        <v>1869</v>
      </c>
      <c r="E641" t="s">
        <v>2177</v>
      </c>
      <c r="F641" t="s">
        <v>2239</v>
      </c>
      <c r="G641" t="s">
        <v>2252</v>
      </c>
      <c r="H641" t="s">
        <v>2257</v>
      </c>
      <c r="I641" t="s">
        <v>2262</v>
      </c>
      <c r="K641">
        <v>1</v>
      </c>
      <c r="L641">
        <v>85</v>
      </c>
      <c r="M641">
        <v>0</v>
      </c>
      <c r="N641">
        <v>85</v>
      </c>
      <c r="O641">
        <v>85</v>
      </c>
      <c r="P641" t="s">
        <v>2267</v>
      </c>
      <c r="Q641" t="s">
        <v>2272</v>
      </c>
      <c r="R641" t="s">
        <v>2276</v>
      </c>
      <c r="S641" t="s">
        <v>2285</v>
      </c>
      <c r="T641" t="s">
        <v>2288</v>
      </c>
      <c r="U641">
        <v>1</v>
      </c>
      <c r="V641">
        <v>352</v>
      </c>
      <c r="X641">
        <v>38.6</v>
      </c>
      <c r="Y641">
        <v>46.4</v>
      </c>
      <c r="Z641" t="s">
        <v>2292</v>
      </c>
      <c r="AA641" t="s">
        <v>2296</v>
      </c>
      <c r="AB641">
        <v>85</v>
      </c>
      <c r="AC641">
        <v>0</v>
      </c>
      <c r="AD641">
        <v>85</v>
      </c>
      <c r="AE641">
        <v>38.6</v>
      </c>
      <c r="AF641">
        <v>46.4</v>
      </c>
      <c r="AG641">
        <v>2024</v>
      </c>
      <c r="AH641">
        <v>5</v>
      </c>
      <c r="AI641" t="s">
        <v>2306</v>
      </c>
      <c r="AJ641" t="s">
        <v>2317</v>
      </c>
    </row>
    <row r="642" spans="1:36" x14ac:dyDescent="0.3">
      <c r="A642" t="s">
        <v>676</v>
      </c>
      <c r="B642" s="2">
        <v>45311</v>
      </c>
      <c r="C642" t="s">
        <v>1705</v>
      </c>
      <c r="D642" t="s">
        <v>1888</v>
      </c>
      <c r="E642" t="s">
        <v>1973</v>
      </c>
      <c r="F642" t="s">
        <v>1761</v>
      </c>
      <c r="G642" t="s">
        <v>2255</v>
      </c>
      <c r="H642" t="s">
        <v>2260</v>
      </c>
      <c r="I642" t="s">
        <v>2260</v>
      </c>
      <c r="J642" t="s">
        <v>2265</v>
      </c>
      <c r="K642">
        <v>4</v>
      </c>
      <c r="L642">
        <v>190</v>
      </c>
      <c r="M642">
        <v>0</v>
      </c>
      <c r="N642">
        <v>760</v>
      </c>
      <c r="O642">
        <v>760</v>
      </c>
      <c r="P642" t="s">
        <v>2267</v>
      </c>
      <c r="Q642" t="s">
        <v>2270</v>
      </c>
      <c r="R642" t="s">
        <v>2275</v>
      </c>
      <c r="S642" t="s">
        <v>2287</v>
      </c>
      <c r="T642" t="s">
        <v>2288</v>
      </c>
      <c r="U642">
        <v>1</v>
      </c>
      <c r="V642">
        <v>12</v>
      </c>
      <c r="W642">
        <v>14</v>
      </c>
      <c r="X642">
        <v>96.02</v>
      </c>
      <c r="Y642">
        <v>375.92</v>
      </c>
      <c r="Z642" t="s">
        <v>2292</v>
      </c>
      <c r="AA642" t="s">
        <v>2297</v>
      </c>
      <c r="AB642">
        <v>760</v>
      </c>
      <c r="AC642">
        <v>0</v>
      </c>
      <c r="AD642">
        <v>760</v>
      </c>
      <c r="AE642">
        <v>384.08</v>
      </c>
      <c r="AF642">
        <v>375.92</v>
      </c>
      <c r="AG642">
        <v>2024</v>
      </c>
      <c r="AH642">
        <v>1</v>
      </c>
      <c r="AI642" t="s">
        <v>2302</v>
      </c>
      <c r="AJ642" t="s">
        <v>2317</v>
      </c>
    </row>
    <row r="643" spans="1:36" x14ac:dyDescent="0.3">
      <c r="A643" t="s">
        <v>677</v>
      </c>
      <c r="B643" s="2">
        <v>45616</v>
      </c>
      <c r="C643" t="s">
        <v>1714</v>
      </c>
      <c r="D643" t="s">
        <v>1891</v>
      </c>
      <c r="E643" t="s">
        <v>1948</v>
      </c>
      <c r="F643" t="s">
        <v>2238</v>
      </c>
      <c r="G643" t="s">
        <v>2246</v>
      </c>
      <c r="H643" t="s">
        <v>2259</v>
      </c>
      <c r="I643" t="s">
        <v>2262</v>
      </c>
      <c r="J643" t="s">
        <v>2266</v>
      </c>
      <c r="K643">
        <v>1</v>
      </c>
      <c r="L643">
        <v>100</v>
      </c>
      <c r="M643">
        <v>0</v>
      </c>
      <c r="N643">
        <v>100</v>
      </c>
      <c r="O643">
        <v>100</v>
      </c>
      <c r="P643" t="s">
        <v>2269</v>
      </c>
      <c r="Q643" t="s">
        <v>2272</v>
      </c>
      <c r="R643" t="s">
        <v>2278</v>
      </c>
      <c r="S643" t="s">
        <v>2285</v>
      </c>
      <c r="T643" t="s">
        <v>2289</v>
      </c>
      <c r="U643">
        <v>2</v>
      </c>
      <c r="V643">
        <v>167</v>
      </c>
      <c r="W643">
        <v>17</v>
      </c>
      <c r="X643">
        <v>40.65</v>
      </c>
      <c r="Y643">
        <v>59.35</v>
      </c>
      <c r="Z643" t="s">
        <v>1761</v>
      </c>
      <c r="AA643" t="s">
        <v>2296</v>
      </c>
      <c r="AB643">
        <v>100</v>
      </c>
      <c r="AC643">
        <v>0</v>
      </c>
      <c r="AD643">
        <v>100</v>
      </c>
      <c r="AE643">
        <v>40.65</v>
      </c>
      <c r="AF643">
        <v>59.35</v>
      </c>
      <c r="AG643">
        <v>2024</v>
      </c>
      <c r="AH643">
        <v>11</v>
      </c>
      <c r="AI643" t="s">
        <v>2311</v>
      </c>
      <c r="AJ643" t="s">
        <v>2312</v>
      </c>
    </row>
    <row r="644" spans="1:36" x14ac:dyDescent="0.3">
      <c r="A644" t="s">
        <v>678</v>
      </c>
      <c r="B644" s="2">
        <v>45472</v>
      </c>
      <c r="C644" t="s">
        <v>1702</v>
      </c>
      <c r="D644" t="s">
        <v>1859</v>
      </c>
      <c r="E644" t="s">
        <v>1964</v>
      </c>
      <c r="F644" t="s">
        <v>1761</v>
      </c>
      <c r="G644" t="s">
        <v>2253</v>
      </c>
      <c r="H644" t="s">
        <v>2258</v>
      </c>
      <c r="I644" t="s">
        <v>2260</v>
      </c>
      <c r="K644">
        <v>1</v>
      </c>
      <c r="L644">
        <v>100</v>
      </c>
      <c r="M644">
        <v>0.05</v>
      </c>
      <c r="N644">
        <v>100</v>
      </c>
      <c r="O644">
        <v>95</v>
      </c>
      <c r="P644" t="s">
        <v>2268</v>
      </c>
      <c r="Q644" t="s">
        <v>2272</v>
      </c>
      <c r="R644" t="s">
        <v>2273</v>
      </c>
      <c r="S644" t="s">
        <v>2284</v>
      </c>
      <c r="T644" t="s">
        <v>2288</v>
      </c>
      <c r="U644">
        <v>1</v>
      </c>
      <c r="V644">
        <v>316</v>
      </c>
      <c r="W644">
        <v>50</v>
      </c>
      <c r="X644">
        <v>53.99</v>
      </c>
      <c r="Y644">
        <v>41.01</v>
      </c>
      <c r="Z644" t="s">
        <v>1761</v>
      </c>
      <c r="AA644" t="s">
        <v>2297</v>
      </c>
      <c r="AB644">
        <v>100</v>
      </c>
      <c r="AC644">
        <v>5</v>
      </c>
      <c r="AD644">
        <v>95</v>
      </c>
      <c r="AE644">
        <v>53.99</v>
      </c>
      <c r="AF644">
        <v>41.01</v>
      </c>
      <c r="AG644">
        <v>2024</v>
      </c>
      <c r="AH644">
        <v>6</v>
      </c>
      <c r="AI644" t="s">
        <v>2304</v>
      </c>
      <c r="AJ644" t="s">
        <v>2317</v>
      </c>
    </row>
    <row r="645" spans="1:36" x14ac:dyDescent="0.3">
      <c r="A645" t="s">
        <v>679</v>
      </c>
      <c r="B645" s="2">
        <v>45553</v>
      </c>
      <c r="C645" t="s">
        <v>1705</v>
      </c>
      <c r="D645" t="s">
        <v>1829</v>
      </c>
      <c r="E645" t="s">
        <v>2200</v>
      </c>
      <c r="F645" t="s">
        <v>2238</v>
      </c>
      <c r="G645" t="s">
        <v>2254</v>
      </c>
      <c r="H645" t="s">
        <v>2259</v>
      </c>
      <c r="I645" t="s">
        <v>2263</v>
      </c>
      <c r="J645" t="s">
        <v>2266</v>
      </c>
      <c r="K645">
        <v>2</v>
      </c>
      <c r="L645">
        <v>115</v>
      </c>
      <c r="M645">
        <v>0</v>
      </c>
      <c r="N645">
        <v>230</v>
      </c>
      <c r="O645">
        <v>230</v>
      </c>
      <c r="P645" t="s">
        <v>2269</v>
      </c>
      <c r="Q645" t="s">
        <v>2272</v>
      </c>
      <c r="R645" t="s">
        <v>2274</v>
      </c>
      <c r="S645" t="s">
        <v>2284</v>
      </c>
      <c r="T645" t="s">
        <v>2290</v>
      </c>
      <c r="V645">
        <v>234</v>
      </c>
      <c r="W645">
        <v>49</v>
      </c>
      <c r="X645">
        <v>63.51</v>
      </c>
      <c r="Y645">
        <v>102.98</v>
      </c>
      <c r="Z645" t="s">
        <v>2291</v>
      </c>
      <c r="AA645" t="s">
        <v>1761</v>
      </c>
      <c r="AB645">
        <v>230</v>
      </c>
      <c r="AC645">
        <v>0</v>
      </c>
      <c r="AD645">
        <v>230</v>
      </c>
      <c r="AE645">
        <v>127.02</v>
      </c>
      <c r="AF645">
        <v>102.98</v>
      </c>
      <c r="AG645">
        <v>2024</v>
      </c>
      <c r="AH645">
        <v>9</v>
      </c>
      <c r="AI645" t="s">
        <v>2300</v>
      </c>
      <c r="AJ645" t="s">
        <v>2312</v>
      </c>
    </row>
    <row r="646" spans="1:36" x14ac:dyDescent="0.3">
      <c r="A646" t="s">
        <v>680</v>
      </c>
      <c r="B646" s="2">
        <v>45529</v>
      </c>
      <c r="C646" t="s">
        <v>1636</v>
      </c>
      <c r="D646" t="s">
        <v>1846</v>
      </c>
      <c r="E646" t="s">
        <v>2103</v>
      </c>
      <c r="F646" t="s">
        <v>1761</v>
      </c>
      <c r="G646" t="s">
        <v>2243</v>
      </c>
      <c r="H646" t="s">
        <v>2258</v>
      </c>
      <c r="I646" t="s">
        <v>2260</v>
      </c>
      <c r="J646" t="s">
        <v>2264</v>
      </c>
      <c r="K646">
        <v>2</v>
      </c>
      <c r="L646">
        <v>80</v>
      </c>
      <c r="M646">
        <v>0</v>
      </c>
      <c r="N646">
        <v>160</v>
      </c>
      <c r="O646">
        <v>160</v>
      </c>
      <c r="P646" t="s">
        <v>2267</v>
      </c>
      <c r="R646" t="s">
        <v>2277</v>
      </c>
      <c r="S646" t="s">
        <v>2282</v>
      </c>
      <c r="T646" t="s">
        <v>2290</v>
      </c>
      <c r="U646">
        <v>3</v>
      </c>
      <c r="V646">
        <v>47</v>
      </c>
      <c r="X646">
        <v>38.97</v>
      </c>
      <c r="Y646">
        <v>82.06</v>
      </c>
      <c r="Z646" t="s">
        <v>2293</v>
      </c>
      <c r="AA646" t="s">
        <v>2298</v>
      </c>
      <c r="AB646">
        <v>160</v>
      </c>
      <c r="AC646">
        <v>0</v>
      </c>
      <c r="AD646">
        <v>160</v>
      </c>
      <c r="AE646">
        <v>77.94</v>
      </c>
      <c r="AF646">
        <v>82.06</v>
      </c>
      <c r="AG646">
        <v>2024</v>
      </c>
      <c r="AH646">
        <v>8</v>
      </c>
      <c r="AI646" t="s">
        <v>2301</v>
      </c>
      <c r="AJ646" t="s">
        <v>2318</v>
      </c>
    </row>
    <row r="647" spans="1:36" x14ac:dyDescent="0.3">
      <c r="A647" t="s">
        <v>681</v>
      </c>
      <c r="B647" s="2">
        <v>45356</v>
      </c>
      <c r="C647" t="s">
        <v>1672</v>
      </c>
      <c r="D647" t="s">
        <v>1932</v>
      </c>
      <c r="E647" t="s">
        <v>2067</v>
      </c>
      <c r="F647" t="s">
        <v>2240</v>
      </c>
      <c r="G647" t="s">
        <v>2241</v>
      </c>
      <c r="H647" t="s">
        <v>2257</v>
      </c>
      <c r="I647" t="s">
        <v>2262</v>
      </c>
      <c r="J647" t="s">
        <v>2265</v>
      </c>
      <c r="K647">
        <v>2</v>
      </c>
      <c r="L647">
        <v>125</v>
      </c>
      <c r="M647">
        <v>0</v>
      </c>
      <c r="N647">
        <v>250</v>
      </c>
      <c r="O647">
        <v>250</v>
      </c>
      <c r="P647" t="s">
        <v>2267</v>
      </c>
      <c r="Q647" t="s">
        <v>2270</v>
      </c>
      <c r="R647" t="s">
        <v>2274</v>
      </c>
      <c r="S647" t="s">
        <v>2282</v>
      </c>
      <c r="T647" t="s">
        <v>2288</v>
      </c>
      <c r="U647">
        <v>4</v>
      </c>
      <c r="V647">
        <v>325</v>
      </c>
      <c r="W647">
        <v>22</v>
      </c>
      <c r="X647">
        <v>75.78</v>
      </c>
      <c r="Y647">
        <v>98.44</v>
      </c>
      <c r="Z647" t="s">
        <v>2293</v>
      </c>
      <c r="AA647" t="s">
        <v>2297</v>
      </c>
      <c r="AB647">
        <v>250</v>
      </c>
      <c r="AC647">
        <v>0</v>
      </c>
      <c r="AD647">
        <v>250</v>
      </c>
      <c r="AE647">
        <v>151.56</v>
      </c>
      <c r="AF647">
        <v>98.44</v>
      </c>
      <c r="AG647">
        <v>2024</v>
      </c>
      <c r="AH647">
        <v>3</v>
      </c>
      <c r="AI647" t="s">
        <v>2305</v>
      </c>
      <c r="AJ647" t="s">
        <v>2313</v>
      </c>
    </row>
    <row r="648" spans="1:36" x14ac:dyDescent="0.3">
      <c r="A648" t="s">
        <v>682</v>
      </c>
      <c r="B648" s="2">
        <v>45564</v>
      </c>
      <c r="C648" t="s">
        <v>1718</v>
      </c>
      <c r="D648" t="s">
        <v>1839</v>
      </c>
      <c r="E648" t="s">
        <v>1958</v>
      </c>
      <c r="F648" t="s">
        <v>2240</v>
      </c>
      <c r="G648" t="s">
        <v>2247</v>
      </c>
      <c r="H648" t="s">
        <v>2257</v>
      </c>
      <c r="I648" t="s">
        <v>2262</v>
      </c>
      <c r="J648" t="s">
        <v>2264</v>
      </c>
      <c r="K648">
        <v>1</v>
      </c>
      <c r="L648">
        <v>100</v>
      </c>
      <c r="M648">
        <v>0</v>
      </c>
      <c r="N648">
        <v>100</v>
      </c>
      <c r="O648">
        <v>100</v>
      </c>
      <c r="P648" t="s">
        <v>2269</v>
      </c>
      <c r="Q648" t="s">
        <v>2272</v>
      </c>
      <c r="R648" t="s">
        <v>2275</v>
      </c>
      <c r="S648" t="s">
        <v>2284</v>
      </c>
      <c r="T648" t="s">
        <v>2288</v>
      </c>
      <c r="V648">
        <v>74</v>
      </c>
      <c r="W648">
        <v>39</v>
      </c>
      <c r="X648">
        <v>47.13</v>
      </c>
      <c r="Y648">
        <v>52.87</v>
      </c>
      <c r="Z648" t="s">
        <v>2293</v>
      </c>
      <c r="AA648" t="s">
        <v>2297</v>
      </c>
      <c r="AB648">
        <v>100</v>
      </c>
      <c r="AC648">
        <v>0</v>
      </c>
      <c r="AD648">
        <v>100</v>
      </c>
      <c r="AE648">
        <v>47.13</v>
      </c>
      <c r="AF648">
        <v>52.87</v>
      </c>
      <c r="AG648">
        <v>2024</v>
      </c>
      <c r="AH648">
        <v>9</v>
      </c>
      <c r="AI648" t="s">
        <v>2300</v>
      </c>
      <c r="AJ648" t="s">
        <v>2318</v>
      </c>
    </row>
    <row r="649" spans="1:36" x14ac:dyDescent="0.3">
      <c r="A649" t="s">
        <v>683</v>
      </c>
      <c r="B649" s="2">
        <v>45415</v>
      </c>
      <c r="C649" t="s">
        <v>1710</v>
      </c>
      <c r="D649" t="s">
        <v>1841</v>
      </c>
      <c r="E649" t="s">
        <v>1999</v>
      </c>
      <c r="F649" t="s">
        <v>2239</v>
      </c>
      <c r="G649" t="s">
        <v>2254</v>
      </c>
      <c r="H649" t="s">
        <v>2259</v>
      </c>
      <c r="I649" t="s">
        <v>2263</v>
      </c>
      <c r="J649" t="s">
        <v>2265</v>
      </c>
      <c r="K649">
        <v>4</v>
      </c>
      <c r="L649">
        <v>110</v>
      </c>
      <c r="M649">
        <v>0.05</v>
      </c>
      <c r="N649">
        <v>440</v>
      </c>
      <c r="O649">
        <v>418</v>
      </c>
      <c r="R649" t="s">
        <v>2274</v>
      </c>
      <c r="S649" t="s">
        <v>2281</v>
      </c>
      <c r="T649" t="s">
        <v>2290</v>
      </c>
      <c r="U649">
        <v>5</v>
      </c>
      <c r="V649">
        <v>314</v>
      </c>
      <c r="W649">
        <v>41</v>
      </c>
      <c r="X649">
        <v>59.74</v>
      </c>
      <c r="Y649">
        <v>179.04</v>
      </c>
      <c r="Z649" t="s">
        <v>2293</v>
      </c>
      <c r="AA649" t="s">
        <v>2299</v>
      </c>
      <c r="AB649">
        <v>440</v>
      </c>
      <c r="AC649">
        <v>22</v>
      </c>
      <c r="AD649">
        <v>418</v>
      </c>
      <c r="AE649">
        <v>238.96</v>
      </c>
      <c r="AF649">
        <v>179.04</v>
      </c>
      <c r="AG649">
        <v>2024</v>
      </c>
      <c r="AH649">
        <v>5</v>
      </c>
      <c r="AI649" t="s">
        <v>2306</v>
      </c>
      <c r="AJ649" t="s">
        <v>2315</v>
      </c>
    </row>
    <row r="650" spans="1:36" x14ac:dyDescent="0.3">
      <c r="A650" t="s">
        <v>684</v>
      </c>
      <c r="B650" s="2">
        <v>45442</v>
      </c>
      <c r="C650" t="s">
        <v>1692</v>
      </c>
      <c r="D650" t="s">
        <v>1871</v>
      </c>
      <c r="E650" t="s">
        <v>2201</v>
      </c>
      <c r="F650" t="s">
        <v>1761</v>
      </c>
      <c r="G650" t="s">
        <v>2242</v>
      </c>
      <c r="H650" t="s">
        <v>2258</v>
      </c>
      <c r="I650" t="s">
        <v>2260</v>
      </c>
      <c r="J650" t="s">
        <v>2266</v>
      </c>
      <c r="K650">
        <v>1</v>
      </c>
      <c r="L650">
        <v>115</v>
      </c>
      <c r="M650">
        <v>0</v>
      </c>
      <c r="N650">
        <v>115</v>
      </c>
      <c r="O650">
        <v>115</v>
      </c>
      <c r="P650" t="s">
        <v>2269</v>
      </c>
      <c r="R650" t="s">
        <v>2279</v>
      </c>
      <c r="S650" t="s">
        <v>2287</v>
      </c>
      <c r="T650" t="s">
        <v>2288</v>
      </c>
      <c r="U650">
        <v>5</v>
      </c>
      <c r="V650">
        <v>23</v>
      </c>
      <c r="X650">
        <v>63.16</v>
      </c>
      <c r="Y650">
        <v>51.84</v>
      </c>
      <c r="Z650" t="s">
        <v>2292</v>
      </c>
      <c r="AA650" t="s">
        <v>2298</v>
      </c>
      <c r="AB650">
        <v>115</v>
      </c>
      <c r="AC650">
        <v>0</v>
      </c>
      <c r="AD650">
        <v>115</v>
      </c>
      <c r="AE650">
        <v>63.16</v>
      </c>
      <c r="AF650">
        <v>51.84</v>
      </c>
      <c r="AG650">
        <v>2024</v>
      </c>
      <c r="AH650">
        <v>5</v>
      </c>
      <c r="AI650" t="s">
        <v>2306</v>
      </c>
      <c r="AJ650" t="s">
        <v>2316</v>
      </c>
    </row>
    <row r="651" spans="1:36" x14ac:dyDescent="0.3">
      <c r="A651" t="s">
        <v>685</v>
      </c>
      <c r="B651" s="2">
        <v>45305</v>
      </c>
      <c r="C651" t="s">
        <v>1732</v>
      </c>
      <c r="D651" t="s">
        <v>1754</v>
      </c>
      <c r="E651" t="s">
        <v>2033</v>
      </c>
      <c r="F651" t="s">
        <v>1761</v>
      </c>
      <c r="G651" t="s">
        <v>2248</v>
      </c>
      <c r="H651" t="s">
        <v>2257</v>
      </c>
      <c r="I651" t="s">
        <v>2262</v>
      </c>
      <c r="J651" t="s">
        <v>2264</v>
      </c>
      <c r="K651">
        <v>2</v>
      </c>
      <c r="L651">
        <v>145</v>
      </c>
      <c r="M651">
        <v>0</v>
      </c>
      <c r="N651">
        <v>290</v>
      </c>
      <c r="O651">
        <v>290</v>
      </c>
      <c r="P651" t="s">
        <v>2268</v>
      </c>
      <c r="Q651" t="s">
        <v>2272</v>
      </c>
      <c r="R651" t="s">
        <v>2277</v>
      </c>
      <c r="S651" t="s">
        <v>2284</v>
      </c>
      <c r="T651" t="s">
        <v>2288</v>
      </c>
      <c r="U651">
        <v>2</v>
      </c>
      <c r="V651">
        <v>455</v>
      </c>
      <c r="W651">
        <v>22</v>
      </c>
      <c r="X651">
        <v>64.75</v>
      </c>
      <c r="Y651">
        <v>160.5</v>
      </c>
      <c r="Z651" t="s">
        <v>1761</v>
      </c>
      <c r="AA651" t="s">
        <v>1761</v>
      </c>
      <c r="AB651">
        <v>290</v>
      </c>
      <c r="AC651">
        <v>0</v>
      </c>
      <c r="AD651">
        <v>290</v>
      </c>
      <c r="AE651">
        <v>129.5</v>
      </c>
      <c r="AF651">
        <v>160.5</v>
      </c>
      <c r="AG651">
        <v>2024</v>
      </c>
      <c r="AH651">
        <v>1</v>
      </c>
      <c r="AI651" t="s">
        <v>2302</v>
      </c>
      <c r="AJ651" t="s">
        <v>2318</v>
      </c>
    </row>
    <row r="652" spans="1:36" x14ac:dyDescent="0.3">
      <c r="A652" t="s">
        <v>686</v>
      </c>
      <c r="B652" s="2">
        <v>45645</v>
      </c>
      <c r="C652" t="s">
        <v>1704</v>
      </c>
      <c r="D652" t="s">
        <v>1901</v>
      </c>
      <c r="E652" t="s">
        <v>2001</v>
      </c>
      <c r="F652" t="s">
        <v>2240</v>
      </c>
      <c r="G652" t="s">
        <v>2242</v>
      </c>
      <c r="H652" t="s">
        <v>2258</v>
      </c>
      <c r="I652" t="s">
        <v>2260</v>
      </c>
      <c r="J652" t="s">
        <v>2266</v>
      </c>
      <c r="K652">
        <v>1</v>
      </c>
      <c r="L652">
        <v>115</v>
      </c>
      <c r="M652">
        <v>0.05</v>
      </c>
      <c r="O652">
        <v>109.25</v>
      </c>
      <c r="P652" t="s">
        <v>2267</v>
      </c>
      <c r="Q652" t="s">
        <v>2270</v>
      </c>
      <c r="R652" t="s">
        <v>2275</v>
      </c>
      <c r="S652" t="s">
        <v>2282</v>
      </c>
      <c r="T652" t="s">
        <v>2289</v>
      </c>
      <c r="U652">
        <v>3</v>
      </c>
      <c r="V652">
        <v>447</v>
      </c>
      <c r="W652">
        <v>40</v>
      </c>
      <c r="X652">
        <v>44.56</v>
      </c>
      <c r="Y652">
        <v>64.69</v>
      </c>
      <c r="Z652" t="s">
        <v>2291</v>
      </c>
      <c r="AA652" t="s">
        <v>2296</v>
      </c>
      <c r="AB652">
        <v>115</v>
      </c>
      <c r="AC652">
        <v>5.75</v>
      </c>
      <c r="AD652">
        <v>109.25</v>
      </c>
      <c r="AE652">
        <v>44.56</v>
      </c>
      <c r="AF652">
        <v>64.69</v>
      </c>
      <c r="AG652">
        <v>2024</v>
      </c>
      <c r="AH652">
        <v>12</v>
      </c>
      <c r="AI652" t="s">
        <v>2309</v>
      </c>
      <c r="AJ652" t="s">
        <v>2316</v>
      </c>
    </row>
    <row r="653" spans="1:36" x14ac:dyDescent="0.3">
      <c r="A653" t="s">
        <v>687</v>
      </c>
      <c r="B653" s="2">
        <v>45513</v>
      </c>
      <c r="C653" t="s">
        <v>1712</v>
      </c>
      <c r="D653" t="s">
        <v>1805</v>
      </c>
      <c r="E653" t="s">
        <v>2196</v>
      </c>
      <c r="F653" t="s">
        <v>2239</v>
      </c>
      <c r="G653" t="s">
        <v>2241</v>
      </c>
      <c r="H653" t="s">
        <v>2257</v>
      </c>
      <c r="I653" t="s">
        <v>2262</v>
      </c>
      <c r="J653" t="s">
        <v>2266</v>
      </c>
      <c r="K653">
        <v>2</v>
      </c>
      <c r="L653">
        <v>140</v>
      </c>
      <c r="M653">
        <v>0.15</v>
      </c>
      <c r="N653">
        <v>280</v>
      </c>
      <c r="O653">
        <v>238</v>
      </c>
      <c r="P653" t="s">
        <v>2268</v>
      </c>
      <c r="Q653" t="s">
        <v>2270</v>
      </c>
      <c r="R653" t="s">
        <v>2278</v>
      </c>
      <c r="S653" t="s">
        <v>2285</v>
      </c>
      <c r="T653" t="s">
        <v>2289</v>
      </c>
      <c r="U653">
        <v>4</v>
      </c>
      <c r="V653">
        <v>19</v>
      </c>
      <c r="W653">
        <v>44</v>
      </c>
      <c r="X653">
        <v>47.44</v>
      </c>
      <c r="Y653">
        <v>143.12</v>
      </c>
      <c r="Z653" t="s">
        <v>2293</v>
      </c>
      <c r="AA653" t="s">
        <v>2296</v>
      </c>
      <c r="AB653">
        <v>280</v>
      </c>
      <c r="AC653">
        <v>42</v>
      </c>
      <c r="AD653">
        <v>238</v>
      </c>
      <c r="AE653">
        <v>94.88</v>
      </c>
      <c r="AF653">
        <v>143.12</v>
      </c>
      <c r="AG653">
        <v>2024</v>
      </c>
      <c r="AH653">
        <v>8</v>
      </c>
      <c r="AI653" t="s">
        <v>2301</v>
      </c>
      <c r="AJ653" t="s">
        <v>2315</v>
      </c>
    </row>
    <row r="654" spans="1:36" x14ac:dyDescent="0.3">
      <c r="A654" t="s">
        <v>688</v>
      </c>
      <c r="B654" s="2">
        <v>45521</v>
      </c>
      <c r="C654" t="s">
        <v>1733</v>
      </c>
      <c r="D654" t="s">
        <v>1900</v>
      </c>
      <c r="E654" t="s">
        <v>2015</v>
      </c>
      <c r="F654" t="s">
        <v>2239</v>
      </c>
      <c r="G654" t="s">
        <v>2254</v>
      </c>
      <c r="H654" t="s">
        <v>2259</v>
      </c>
      <c r="I654" t="s">
        <v>2263</v>
      </c>
      <c r="J654" t="s">
        <v>2266</v>
      </c>
      <c r="L654">
        <v>110</v>
      </c>
      <c r="M654">
        <v>0</v>
      </c>
      <c r="N654">
        <v>110</v>
      </c>
      <c r="O654">
        <v>110</v>
      </c>
      <c r="Q654" t="s">
        <v>2272</v>
      </c>
      <c r="R654" t="s">
        <v>2274</v>
      </c>
      <c r="S654" t="s">
        <v>2282</v>
      </c>
      <c r="T654" t="s">
        <v>2288</v>
      </c>
      <c r="U654">
        <v>5</v>
      </c>
      <c r="V654">
        <v>146</v>
      </c>
      <c r="W654">
        <v>39</v>
      </c>
      <c r="X654">
        <v>57.8</v>
      </c>
      <c r="Y654">
        <v>52.2</v>
      </c>
      <c r="Z654" t="s">
        <v>1761</v>
      </c>
      <c r="AA654" t="s">
        <v>1761</v>
      </c>
      <c r="AG654">
        <v>2024</v>
      </c>
      <c r="AH654">
        <v>8</v>
      </c>
      <c r="AI654" t="s">
        <v>2301</v>
      </c>
      <c r="AJ654" t="s">
        <v>2317</v>
      </c>
    </row>
    <row r="655" spans="1:36" x14ac:dyDescent="0.3">
      <c r="A655" t="s">
        <v>689</v>
      </c>
      <c r="B655" s="2">
        <v>45356</v>
      </c>
      <c r="C655" t="s">
        <v>1728</v>
      </c>
      <c r="D655" t="s">
        <v>1774</v>
      </c>
      <c r="E655" t="s">
        <v>1981</v>
      </c>
      <c r="F655" t="s">
        <v>2240</v>
      </c>
      <c r="G655" t="s">
        <v>2246</v>
      </c>
      <c r="H655" t="s">
        <v>2259</v>
      </c>
      <c r="I655" t="s">
        <v>2262</v>
      </c>
      <c r="J655" t="s">
        <v>2266</v>
      </c>
      <c r="K655">
        <v>1</v>
      </c>
      <c r="L655">
        <v>105</v>
      </c>
      <c r="M655">
        <v>0.15</v>
      </c>
      <c r="N655">
        <v>105</v>
      </c>
      <c r="O655">
        <v>89.25</v>
      </c>
      <c r="P655" t="s">
        <v>2269</v>
      </c>
      <c r="Q655" t="s">
        <v>2270</v>
      </c>
      <c r="R655" t="s">
        <v>2276</v>
      </c>
      <c r="S655" t="s">
        <v>2282</v>
      </c>
      <c r="T655" t="s">
        <v>2288</v>
      </c>
      <c r="U655">
        <v>3</v>
      </c>
      <c r="V655">
        <v>73</v>
      </c>
      <c r="W655">
        <v>34</v>
      </c>
      <c r="X655">
        <v>40.28</v>
      </c>
      <c r="Y655">
        <v>48.97</v>
      </c>
      <c r="Z655" t="s">
        <v>2294</v>
      </c>
      <c r="AA655" t="s">
        <v>2296</v>
      </c>
      <c r="AB655">
        <v>105</v>
      </c>
      <c r="AC655">
        <v>15.75</v>
      </c>
      <c r="AD655">
        <v>89.25</v>
      </c>
      <c r="AE655">
        <v>40.28</v>
      </c>
      <c r="AF655">
        <v>48.97</v>
      </c>
      <c r="AG655">
        <v>2024</v>
      </c>
      <c r="AH655">
        <v>3</v>
      </c>
      <c r="AI655" t="s">
        <v>2305</v>
      </c>
      <c r="AJ655" t="s">
        <v>2313</v>
      </c>
    </row>
    <row r="656" spans="1:36" x14ac:dyDescent="0.3">
      <c r="A656" t="s">
        <v>690</v>
      </c>
      <c r="B656" s="2">
        <v>45345</v>
      </c>
      <c r="C656" t="s">
        <v>1636</v>
      </c>
      <c r="D656" t="s">
        <v>1752</v>
      </c>
      <c r="E656" t="s">
        <v>1761</v>
      </c>
      <c r="F656" t="s">
        <v>1761</v>
      </c>
      <c r="G656" t="s">
        <v>2244</v>
      </c>
      <c r="H656" t="s">
        <v>2257</v>
      </c>
      <c r="I656" t="s">
        <v>2262</v>
      </c>
      <c r="J656" t="s">
        <v>2266</v>
      </c>
      <c r="K656">
        <v>1</v>
      </c>
      <c r="L656">
        <v>120</v>
      </c>
      <c r="M656">
        <v>0</v>
      </c>
      <c r="N656">
        <v>120</v>
      </c>
      <c r="O656">
        <v>120</v>
      </c>
      <c r="P656" t="s">
        <v>2267</v>
      </c>
      <c r="Q656" t="s">
        <v>2270</v>
      </c>
      <c r="R656" t="s">
        <v>2279</v>
      </c>
      <c r="S656" t="s">
        <v>2286</v>
      </c>
      <c r="T656" t="s">
        <v>2289</v>
      </c>
      <c r="U656">
        <v>5</v>
      </c>
      <c r="V656">
        <v>192</v>
      </c>
      <c r="W656">
        <v>34</v>
      </c>
      <c r="X656">
        <v>53.76</v>
      </c>
      <c r="Y656">
        <v>66.239999999999995</v>
      </c>
      <c r="Z656" t="s">
        <v>2291</v>
      </c>
      <c r="AA656" t="s">
        <v>2296</v>
      </c>
      <c r="AB656">
        <v>120</v>
      </c>
      <c r="AC656">
        <v>0</v>
      </c>
      <c r="AD656">
        <v>120</v>
      </c>
      <c r="AE656">
        <v>53.76</v>
      </c>
      <c r="AF656">
        <v>66.240000000000009</v>
      </c>
      <c r="AG656">
        <v>2024</v>
      </c>
      <c r="AH656">
        <v>2</v>
      </c>
      <c r="AI656" t="s">
        <v>2303</v>
      </c>
      <c r="AJ656" t="s">
        <v>2315</v>
      </c>
    </row>
    <row r="657" spans="1:36" x14ac:dyDescent="0.3">
      <c r="A657" t="s">
        <v>691</v>
      </c>
      <c r="B657" s="2">
        <v>45444</v>
      </c>
      <c r="C657" t="s">
        <v>1669</v>
      </c>
      <c r="D657" t="s">
        <v>1861</v>
      </c>
      <c r="E657" t="s">
        <v>2193</v>
      </c>
      <c r="F657" t="s">
        <v>2240</v>
      </c>
      <c r="G657" t="s">
        <v>2249</v>
      </c>
      <c r="H657" t="s">
        <v>2257</v>
      </c>
      <c r="I657" t="s">
        <v>2263</v>
      </c>
      <c r="K657">
        <v>3</v>
      </c>
      <c r="L657">
        <v>160</v>
      </c>
      <c r="M657">
        <v>0.15</v>
      </c>
      <c r="N657">
        <v>480</v>
      </c>
      <c r="O657">
        <v>408</v>
      </c>
      <c r="Q657" t="s">
        <v>2270</v>
      </c>
      <c r="R657" t="s">
        <v>2274</v>
      </c>
      <c r="S657" t="s">
        <v>2281</v>
      </c>
      <c r="T657" t="s">
        <v>2290</v>
      </c>
      <c r="U657">
        <v>1</v>
      </c>
      <c r="V657">
        <v>127</v>
      </c>
      <c r="W657">
        <v>23</v>
      </c>
      <c r="X657">
        <v>89.18</v>
      </c>
      <c r="Y657">
        <v>140.46</v>
      </c>
      <c r="Z657" t="s">
        <v>2294</v>
      </c>
      <c r="AA657" t="s">
        <v>2297</v>
      </c>
      <c r="AB657">
        <v>480</v>
      </c>
      <c r="AC657">
        <v>72</v>
      </c>
      <c r="AD657">
        <v>408</v>
      </c>
      <c r="AE657">
        <v>267.54000000000002</v>
      </c>
      <c r="AF657">
        <v>140.46</v>
      </c>
      <c r="AG657">
        <v>2024</v>
      </c>
      <c r="AH657">
        <v>6</v>
      </c>
      <c r="AI657" t="s">
        <v>2304</v>
      </c>
      <c r="AJ657" t="s">
        <v>2317</v>
      </c>
    </row>
    <row r="658" spans="1:36" x14ac:dyDescent="0.3">
      <c r="A658" t="s">
        <v>692</v>
      </c>
      <c r="B658" s="2">
        <v>45305</v>
      </c>
      <c r="C658" t="s">
        <v>1681</v>
      </c>
      <c r="D658" t="s">
        <v>1832</v>
      </c>
      <c r="E658" t="s">
        <v>2071</v>
      </c>
      <c r="F658" t="s">
        <v>2239</v>
      </c>
      <c r="G658" t="s">
        <v>2244</v>
      </c>
      <c r="H658" t="s">
        <v>2257</v>
      </c>
      <c r="I658" t="s">
        <v>2262</v>
      </c>
      <c r="J658" t="s">
        <v>2265</v>
      </c>
      <c r="K658">
        <v>1</v>
      </c>
      <c r="L658">
        <v>130</v>
      </c>
      <c r="M658">
        <v>0</v>
      </c>
      <c r="N658">
        <v>130</v>
      </c>
      <c r="O658">
        <v>130</v>
      </c>
      <c r="P658" t="s">
        <v>2267</v>
      </c>
      <c r="Q658" t="s">
        <v>2270</v>
      </c>
      <c r="R658" t="s">
        <v>2279</v>
      </c>
      <c r="S658" t="s">
        <v>2287</v>
      </c>
      <c r="T658" t="s">
        <v>2288</v>
      </c>
      <c r="U658">
        <v>5</v>
      </c>
      <c r="V658">
        <v>447</v>
      </c>
      <c r="X658">
        <v>53.44</v>
      </c>
      <c r="Y658">
        <v>76.56</v>
      </c>
      <c r="Z658" t="s">
        <v>2291</v>
      </c>
      <c r="AA658" t="s">
        <v>2299</v>
      </c>
      <c r="AB658">
        <v>130</v>
      </c>
      <c r="AC658">
        <v>0</v>
      </c>
      <c r="AD658">
        <v>130</v>
      </c>
      <c r="AE658">
        <v>53.44</v>
      </c>
      <c r="AF658">
        <v>76.56</v>
      </c>
      <c r="AG658">
        <v>2024</v>
      </c>
      <c r="AH658">
        <v>1</v>
      </c>
      <c r="AI658" t="s">
        <v>2302</v>
      </c>
      <c r="AJ658" t="s">
        <v>2318</v>
      </c>
    </row>
    <row r="659" spans="1:36" x14ac:dyDescent="0.3">
      <c r="A659" t="s">
        <v>693</v>
      </c>
      <c r="B659" s="2">
        <v>45334</v>
      </c>
      <c r="C659" t="s">
        <v>1666</v>
      </c>
      <c r="D659" t="s">
        <v>1890</v>
      </c>
      <c r="E659" t="s">
        <v>1943</v>
      </c>
      <c r="F659" t="s">
        <v>1761</v>
      </c>
      <c r="G659" t="s">
        <v>2253</v>
      </c>
      <c r="H659" t="s">
        <v>2258</v>
      </c>
      <c r="I659" t="s">
        <v>2260</v>
      </c>
      <c r="J659" t="s">
        <v>2264</v>
      </c>
      <c r="K659">
        <v>5</v>
      </c>
      <c r="L659">
        <v>90</v>
      </c>
      <c r="M659">
        <v>0</v>
      </c>
      <c r="N659">
        <v>450</v>
      </c>
      <c r="O659">
        <v>450</v>
      </c>
      <c r="R659" t="s">
        <v>2274</v>
      </c>
      <c r="S659" t="s">
        <v>2280</v>
      </c>
      <c r="T659" t="s">
        <v>2290</v>
      </c>
      <c r="U659">
        <v>4</v>
      </c>
      <c r="V659">
        <v>24</v>
      </c>
      <c r="W659">
        <v>15</v>
      </c>
      <c r="X659">
        <v>33.61</v>
      </c>
      <c r="Y659">
        <v>281.95</v>
      </c>
      <c r="Z659" t="s">
        <v>2294</v>
      </c>
      <c r="AA659" t="s">
        <v>2298</v>
      </c>
      <c r="AB659">
        <v>450</v>
      </c>
      <c r="AC659">
        <v>0</v>
      </c>
      <c r="AD659">
        <v>450</v>
      </c>
      <c r="AE659">
        <v>168.05</v>
      </c>
      <c r="AF659">
        <v>281.95</v>
      </c>
      <c r="AG659">
        <v>2024</v>
      </c>
      <c r="AH659">
        <v>2</v>
      </c>
      <c r="AI659" t="s">
        <v>2303</v>
      </c>
      <c r="AJ659" t="s">
        <v>2314</v>
      </c>
    </row>
    <row r="660" spans="1:36" x14ac:dyDescent="0.3">
      <c r="A660" t="s">
        <v>694</v>
      </c>
      <c r="B660" s="2">
        <v>45471</v>
      </c>
      <c r="C660" t="s">
        <v>1641</v>
      </c>
      <c r="D660" t="s">
        <v>1846</v>
      </c>
      <c r="E660" t="s">
        <v>2129</v>
      </c>
      <c r="F660" t="s">
        <v>1761</v>
      </c>
      <c r="G660" t="s">
        <v>2242</v>
      </c>
      <c r="H660" t="s">
        <v>2258</v>
      </c>
      <c r="I660" t="s">
        <v>2260</v>
      </c>
      <c r="J660" t="s">
        <v>2264</v>
      </c>
      <c r="K660">
        <v>1</v>
      </c>
      <c r="L660">
        <v>120</v>
      </c>
      <c r="M660">
        <v>0</v>
      </c>
      <c r="N660">
        <v>120</v>
      </c>
      <c r="O660">
        <v>120</v>
      </c>
      <c r="Q660" t="s">
        <v>2270</v>
      </c>
      <c r="R660" t="s">
        <v>2274</v>
      </c>
      <c r="S660" t="s">
        <v>2280</v>
      </c>
      <c r="T660" t="s">
        <v>2288</v>
      </c>
      <c r="V660">
        <v>255</v>
      </c>
      <c r="W660">
        <v>13</v>
      </c>
      <c r="X660">
        <v>54.18</v>
      </c>
      <c r="Y660">
        <v>65.819999999999993</v>
      </c>
      <c r="Z660" t="s">
        <v>2292</v>
      </c>
      <c r="AA660" t="s">
        <v>2297</v>
      </c>
      <c r="AB660">
        <v>120</v>
      </c>
      <c r="AC660">
        <v>0</v>
      </c>
      <c r="AD660">
        <v>120</v>
      </c>
      <c r="AE660">
        <v>54.18</v>
      </c>
      <c r="AF660">
        <v>65.819999999999993</v>
      </c>
      <c r="AG660">
        <v>2024</v>
      </c>
      <c r="AH660">
        <v>6</v>
      </c>
      <c r="AI660" t="s">
        <v>2304</v>
      </c>
      <c r="AJ660" t="s">
        <v>2315</v>
      </c>
    </row>
    <row r="661" spans="1:36" x14ac:dyDescent="0.3">
      <c r="A661" t="s">
        <v>695</v>
      </c>
      <c r="B661" s="2">
        <v>45525</v>
      </c>
      <c r="C661" t="s">
        <v>1664</v>
      </c>
      <c r="D661" t="s">
        <v>1919</v>
      </c>
      <c r="E661" t="s">
        <v>2138</v>
      </c>
      <c r="F661" t="s">
        <v>2239</v>
      </c>
      <c r="G661" t="s">
        <v>2241</v>
      </c>
      <c r="H661" t="s">
        <v>2257</v>
      </c>
      <c r="I661" t="s">
        <v>2262</v>
      </c>
      <c r="J661" t="s">
        <v>2265</v>
      </c>
      <c r="K661">
        <v>1</v>
      </c>
      <c r="L661">
        <v>130</v>
      </c>
      <c r="M661">
        <v>0</v>
      </c>
      <c r="N661">
        <v>130</v>
      </c>
      <c r="O661">
        <v>130</v>
      </c>
      <c r="P661" t="s">
        <v>2267</v>
      </c>
      <c r="Q661" t="s">
        <v>2270</v>
      </c>
      <c r="R661" t="s">
        <v>2274</v>
      </c>
      <c r="S661" t="s">
        <v>2283</v>
      </c>
      <c r="T661" t="s">
        <v>2288</v>
      </c>
      <c r="U661">
        <v>4</v>
      </c>
      <c r="V661">
        <v>329</v>
      </c>
      <c r="W661">
        <v>31</v>
      </c>
      <c r="X661">
        <v>51.02</v>
      </c>
      <c r="Y661">
        <v>78.98</v>
      </c>
      <c r="Z661" t="s">
        <v>1761</v>
      </c>
      <c r="AA661" t="s">
        <v>2299</v>
      </c>
      <c r="AB661">
        <v>130</v>
      </c>
      <c r="AC661">
        <v>0</v>
      </c>
      <c r="AD661">
        <v>130</v>
      </c>
      <c r="AE661">
        <v>51.02</v>
      </c>
      <c r="AF661">
        <v>78.97999999999999</v>
      </c>
      <c r="AG661">
        <v>2024</v>
      </c>
      <c r="AH661">
        <v>8</v>
      </c>
      <c r="AI661" t="s">
        <v>2301</v>
      </c>
      <c r="AJ661" t="s">
        <v>2312</v>
      </c>
    </row>
    <row r="662" spans="1:36" x14ac:dyDescent="0.3">
      <c r="A662" t="s">
        <v>696</v>
      </c>
      <c r="B662" s="2">
        <v>45299</v>
      </c>
      <c r="C662" t="s">
        <v>1695</v>
      </c>
      <c r="D662" t="s">
        <v>1889</v>
      </c>
      <c r="E662" t="s">
        <v>2102</v>
      </c>
      <c r="F662" t="s">
        <v>2240</v>
      </c>
      <c r="G662" t="s">
        <v>2256</v>
      </c>
      <c r="H662" t="s">
        <v>2261</v>
      </c>
      <c r="I662" t="s">
        <v>2260</v>
      </c>
      <c r="J662" t="s">
        <v>2264</v>
      </c>
      <c r="K662">
        <v>2</v>
      </c>
      <c r="L662">
        <v>200</v>
      </c>
      <c r="M662">
        <v>0.1</v>
      </c>
      <c r="N662">
        <v>400</v>
      </c>
      <c r="O662">
        <v>360</v>
      </c>
      <c r="P662" t="s">
        <v>2269</v>
      </c>
      <c r="Q662" t="s">
        <v>2272</v>
      </c>
      <c r="R662" t="s">
        <v>2277</v>
      </c>
      <c r="S662" t="s">
        <v>2283</v>
      </c>
      <c r="T662" t="s">
        <v>2289</v>
      </c>
      <c r="U662">
        <v>3</v>
      </c>
      <c r="V662">
        <v>40</v>
      </c>
      <c r="X662">
        <v>96.44</v>
      </c>
      <c r="Y662">
        <v>167.12</v>
      </c>
      <c r="Z662" t="s">
        <v>1761</v>
      </c>
      <c r="AA662" t="s">
        <v>2299</v>
      </c>
      <c r="AB662">
        <v>400</v>
      </c>
      <c r="AC662">
        <v>40</v>
      </c>
      <c r="AD662">
        <v>360</v>
      </c>
      <c r="AE662">
        <v>192.88</v>
      </c>
      <c r="AF662">
        <v>167.12</v>
      </c>
      <c r="AG662">
        <v>2024</v>
      </c>
      <c r="AH662">
        <v>1</v>
      </c>
      <c r="AI662" t="s">
        <v>2302</v>
      </c>
      <c r="AJ662" t="s">
        <v>2314</v>
      </c>
    </row>
    <row r="663" spans="1:36" x14ac:dyDescent="0.3">
      <c r="A663" t="s">
        <v>697</v>
      </c>
      <c r="B663" s="2">
        <v>45565</v>
      </c>
      <c r="C663" t="s">
        <v>1736</v>
      </c>
      <c r="D663" t="s">
        <v>1885</v>
      </c>
      <c r="E663" t="s">
        <v>1991</v>
      </c>
      <c r="F663" t="s">
        <v>2239</v>
      </c>
      <c r="G663" t="s">
        <v>2253</v>
      </c>
      <c r="H663" t="s">
        <v>2258</v>
      </c>
      <c r="I663" t="s">
        <v>2260</v>
      </c>
      <c r="J663" t="s">
        <v>2265</v>
      </c>
      <c r="K663">
        <v>1</v>
      </c>
      <c r="L663">
        <v>100</v>
      </c>
      <c r="M663">
        <v>0.1</v>
      </c>
      <c r="N663">
        <v>100</v>
      </c>
      <c r="O663">
        <v>90</v>
      </c>
      <c r="P663" t="s">
        <v>2269</v>
      </c>
      <c r="R663" t="s">
        <v>2277</v>
      </c>
      <c r="S663" t="s">
        <v>2283</v>
      </c>
      <c r="T663" t="s">
        <v>2288</v>
      </c>
      <c r="U663">
        <v>3</v>
      </c>
      <c r="V663">
        <v>455</v>
      </c>
      <c r="X663">
        <v>47.51</v>
      </c>
      <c r="Y663">
        <v>42.49</v>
      </c>
      <c r="Z663" t="s">
        <v>2293</v>
      </c>
      <c r="AA663" t="s">
        <v>2296</v>
      </c>
      <c r="AB663">
        <v>100</v>
      </c>
      <c r="AC663">
        <v>10</v>
      </c>
      <c r="AD663">
        <v>90</v>
      </c>
      <c r="AE663">
        <v>47.51</v>
      </c>
      <c r="AF663">
        <v>42.49</v>
      </c>
      <c r="AG663">
        <v>2024</v>
      </c>
      <c r="AH663">
        <v>9</v>
      </c>
      <c r="AI663" t="s">
        <v>2300</v>
      </c>
      <c r="AJ663" t="s">
        <v>2314</v>
      </c>
    </row>
    <row r="664" spans="1:36" x14ac:dyDescent="0.3">
      <c r="A664" t="s">
        <v>698</v>
      </c>
      <c r="B664" s="2">
        <v>45524</v>
      </c>
      <c r="C664" t="s">
        <v>1654</v>
      </c>
      <c r="D664" t="s">
        <v>1762</v>
      </c>
      <c r="E664" t="s">
        <v>2036</v>
      </c>
      <c r="F664" t="s">
        <v>2239</v>
      </c>
      <c r="G664" t="s">
        <v>2249</v>
      </c>
      <c r="H664" t="s">
        <v>2257</v>
      </c>
      <c r="I664" t="s">
        <v>2263</v>
      </c>
      <c r="J664" t="s">
        <v>2264</v>
      </c>
      <c r="K664">
        <v>2</v>
      </c>
      <c r="L664">
        <v>160</v>
      </c>
      <c r="M664">
        <v>0.05</v>
      </c>
      <c r="N664">
        <v>320</v>
      </c>
      <c r="O664">
        <v>304</v>
      </c>
      <c r="P664" t="s">
        <v>2269</v>
      </c>
      <c r="R664" t="s">
        <v>2276</v>
      </c>
      <c r="S664" t="s">
        <v>2286</v>
      </c>
      <c r="T664" t="s">
        <v>2288</v>
      </c>
      <c r="U664">
        <v>2</v>
      </c>
      <c r="V664">
        <v>238</v>
      </c>
      <c r="X664">
        <v>58.71</v>
      </c>
      <c r="Y664">
        <v>186.58</v>
      </c>
      <c r="Z664" t="s">
        <v>2291</v>
      </c>
      <c r="AA664" t="s">
        <v>2296</v>
      </c>
      <c r="AB664">
        <v>320</v>
      </c>
      <c r="AC664">
        <v>16</v>
      </c>
      <c r="AD664">
        <v>304</v>
      </c>
      <c r="AE664">
        <v>117.42</v>
      </c>
      <c r="AF664">
        <v>186.58</v>
      </c>
      <c r="AG664">
        <v>2024</v>
      </c>
      <c r="AH664">
        <v>8</v>
      </c>
      <c r="AI664" t="s">
        <v>2301</v>
      </c>
      <c r="AJ664" t="s">
        <v>2313</v>
      </c>
    </row>
    <row r="665" spans="1:36" x14ac:dyDescent="0.3">
      <c r="A665" t="s">
        <v>699</v>
      </c>
      <c r="B665" s="2">
        <v>45546</v>
      </c>
      <c r="C665" t="s">
        <v>1710</v>
      </c>
      <c r="D665" t="s">
        <v>1910</v>
      </c>
      <c r="E665" t="s">
        <v>2094</v>
      </c>
      <c r="F665" t="s">
        <v>2238</v>
      </c>
      <c r="G665" t="s">
        <v>2247</v>
      </c>
      <c r="H665" t="s">
        <v>2257</v>
      </c>
      <c r="I665" t="s">
        <v>2262</v>
      </c>
      <c r="J665" t="s">
        <v>2265</v>
      </c>
      <c r="K665">
        <v>1</v>
      </c>
      <c r="L665">
        <v>100</v>
      </c>
      <c r="M665">
        <v>0</v>
      </c>
      <c r="N665">
        <v>100</v>
      </c>
      <c r="O665">
        <v>100</v>
      </c>
      <c r="P665" t="s">
        <v>2269</v>
      </c>
      <c r="Q665" t="s">
        <v>2272</v>
      </c>
      <c r="R665" t="s">
        <v>2276</v>
      </c>
      <c r="S665" t="s">
        <v>2280</v>
      </c>
      <c r="T665" t="s">
        <v>2288</v>
      </c>
      <c r="U665">
        <v>2</v>
      </c>
      <c r="V665">
        <v>229</v>
      </c>
      <c r="X665">
        <v>58.24</v>
      </c>
      <c r="Y665">
        <v>41.76</v>
      </c>
      <c r="Z665" t="s">
        <v>1761</v>
      </c>
      <c r="AA665" t="s">
        <v>2298</v>
      </c>
      <c r="AB665">
        <v>100</v>
      </c>
      <c r="AC665">
        <v>0</v>
      </c>
      <c r="AD665">
        <v>100</v>
      </c>
      <c r="AE665">
        <v>58.24</v>
      </c>
      <c r="AF665">
        <v>41.76</v>
      </c>
      <c r="AG665">
        <v>2024</v>
      </c>
      <c r="AH665">
        <v>9</v>
      </c>
      <c r="AI665" t="s">
        <v>2300</v>
      </c>
      <c r="AJ665" t="s">
        <v>2312</v>
      </c>
    </row>
    <row r="666" spans="1:36" x14ac:dyDescent="0.3">
      <c r="A666" t="s">
        <v>700</v>
      </c>
      <c r="B666" s="2">
        <v>45390</v>
      </c>
      <c r="C666" t="s">
        <v>1684</v>
      </c>
      <c r="D666" t="s">
        <v>1933</v>
      </c>
      <c r="E666" t="s">
        <v>2202</v>
      </c>
      <c r="F666" t="s">
        <v>2238</v>
      </c>
      <c r="G666" t="s">
        <v>2255</v>
      </c>
      <c r="H666" t="s">
        <v>2260</v>
      </c>
      <c r="I666" t="s">
        <v>2260</v>
      </c>
      <c r="J666" t="s">
        <v>2266</v>
      </c>
      <c r="K666">
        <v>1</v>
      </c>
      <c r="L666">
        <v>175</v>
      </c>
      <c r="M666">
        <v>0.05</v>
      </c>
      <c r="N666">
        <v>175</v>
      </c>
      <c r="O666">
        <v>166.25</v>
      </c>
      <c r="P666" t="s">
        <v>2269</v>
      </c>
      <c r="Q666" t="s">
        <v>2270</v>
      </c>
      <c r="R666" t="s">
        <v>2278</v>
      </c>
      <c r="S666" t="s">
        <v>2286</v>
      </c>
      <c r="T666" t="s">
        <v>2288</v>
      </c>
      <c r="U666">
        <v>4</v>
      </c>
      <c r="V666">
        <v>99</v>
      </c>
      <c r="W666">
        <v>52</v>
      </c>
      <c r="X666">
        <v>93.85</v>
      </c>
      <c r="Y666">
        <v>72.400000000000006</v>
      </c>
      <c r="Z666" t="s">
        <v>1761</v>
      </c>
      <c r="AA666" t="s">
        <v>2299</v>
      </c>
      <c r="AB666">
        <v>175</v>
      </c>
      <c r="AC666">
        <v>8.75</v>
      </c>
      <c r="AD666">
        <v>166.25</v>
      </c>
      <c r="AE666">
        <v>93.85</v>
      </c>
      <c r="AF666">
        <v>72.400000000000006</v>
      </c>
      <c r="AG666">
        <v>2024</v>
      </c>
      <c r="AH666">
        <v>4</v>
      </c>
      <c r="AI666" t="s">
        <v>2308</v>
      </c>
      <c r="AJ666" t="s">
        <v>2314</v>
      </c>
    </row>
    <row r="667" spans="1:36" x14ac:dyDescent="0.3">
      <c r="A667" t="s">
        <v>701</v>
      </c>
      <c r="B667" s="2">
        <v>45441</v>
      </c>
      <c r="C667" t="s">
        <v>1680</v>
      </c>
      <c r="D667" t="s">
        <v>1864</v>
      </c>
      <c r="E667" t="s">
        <v>2194</v>
      </c>
      <c r="F667" t="s">
        <v>2238</v>
      </c>
      <c r="G667" t="s">
        <v>2256</v>
      </c>
      <c r="H667" t="s">
        <v>2261</v>
      </c>
      <c r="I667" t="s">
        <v>2260</v>
      </c>
      <c r="J667" t="s">
        <v>2264</v>
      </c>
      <c r="K667">
        <v>1</v>
      </c>
      <c r="L667">
        <v>200</v>
      </c>
      <c r="M667">
        <v>0.1</v>
      </c>
      <c r="N667">
        <v>200</v>
      </c>
      <c r="O667">
        <v>180</v>
      </c>
      <c r="R667" t="s">
        <v>2275</v>
      </c>
      <c r="S667" t="s">
        <v>2284</v>
      </c>
      <c r="T667" t="s">
        <v>2288</v>
      </c>
      <c r="U667">
        <v>4</v>
      </c>
      <c r="V667">
        <v>37</v>
      </c>
      <c r="W667">
        <v>18</v>
      </c>
      <c r="X667">
        <v>107.86</v>
      </c>
      <c r="Y667">
        <v>72.14</v>
      </c>
      <c r="Z667" t="s">
        <v>1761</v>
      </c>
      <c r="AA667" t="s">
        <v>1761</v>
      </c>
      <c r="AB667">
        <v>200</v>
      </c>
      <c r="AC667">
        <v>20</v>
      </c>
      <c r="AD667">
        <v>180</v>
      </c>
      <c r="AE667">
        <v>107.86</v>
      </c>
      <c r="AF667">
        <v>72.14</v>
      </c>
      <c r="AG667">
        <v>2024</v>
      </c>
      <c r="AH667">
        <v>5</v>
      </c>
      <c r="AI667" t="s">
        <v>2306</v>
      </c>
      <c r="AJ667" t="s">
        <v>2312</v>
      </c>
    </row>
    <row r="668" spans="1:36" x14ac:dyDescent="0.3">
      <c r="A668" t="s">
        <v>702</v>
      </c>
      <c r="C668" t="s">
        <v>1686</v>
      </c>
      <c r="D668" t="s">
        <v>1774</v>
      </c>
      <c r="E668" t="s">
        <v>2075</v>
      </c>
      <c r="F668" t="s">
        <v>2240</v>
      </c>
      <c r="G668" t="s">
        <v>2254</v>
      </c>
      <c r="H668" t="s">
        <v>2259</v>
      </c>
      <c r="I668" t="s">
        <v>2263</v>
      </c>
      <c r="K668">
        <v>1</v>
      </c>
      <c r="L668">
        <v>120</v>
      </c>
      <c r="M668">
        <v>0.1</v>
      </c>
      <c r="N668">
        <v>120</v>
      </c>
      <c r="O668">
        <v>108</v>
      </c>
      <c r="P668" t="s">
        <v>2267</v>
      </c>
      <c r="Q668" t="s">
        <v>2272</v>
      </c>
      <c r="R668" t="s">
        <v>2277</v>
      </c>
      <c r="S668" t="s">
        <v>2280</v>
      </c>
      <c r="T668" t="s">
        <v>2288</v>
      </c>
      <c r="U668">
        <v>2</v>
      </c>
      <c r="W668">
        <v>24</v>
      </c>
      <c r="X668">
        <v>55.74</v>
      </c>
      <c r="Y668">
        <v>52.26</v>
      </c>
      <c r="Z668" t="s">
        <v>1761</v>
      </c>
      <c r="AA668" t="s">
        <v>2296</v>
      </c>
      <c r="AB668">
        <v>120</v>
      </c>
      <c r="AC668">
        <v>12</v>
      </c>
      <c r="AD668">
        <v>108</v>
      </c>
      <c r="AE668">
        <v>55.74</v>
      </c>
      <c r="AF668">
        <v>52.26</v>
      </c>
    </row>
    <row r="669" spans="1:36" x14ac:dyDescent="0.3">
      <c r="A669" t="s">
        <v>703</v>
      </c>
      <c r="B669" s="2">
        <v>45652</v>
      </c>
      <c r="C669" t="s">
        <v>1647</v>
      </c>
      <c r="D669" t="s">
        <v>1850</v>
      </c>
      <c r="E669" t="s">
        <v>1950</v>
      </c>
      <c r="F669" t="s">
        <v>2239</v>
      </c>
      <c r="G669" t="s">
        <v>2252</v>
      </c>
      <c r="H669" t="s">
        <v>2257</v>
      </c>
      <c r="I669" t="s">
        <v>2262</v>
      </c>
      <c r="J669" t="s">
        <v>2266</v>
      </c>
      <c r="K669">
        <v>1</v>
      </c>
      <c r="L669">
        <v>90</v>
      </c>
      <c r="N669">
        <v>90</v>
      </c>
      <c r="P669" t="s">
        <v>2269</v>
      </c>
      <c r="Q669" t="s">
        <v>2272</v>
      </c>
      <c r="R669" t="s">
        <v>2278</v>
      </c>
      <c r="S669" t="s">
        <v>2286</v>
      </c>
      <c r="T669" t="s">
        <v>2288</v>
      </c>
      <c r="V669">
        <v>36</v>
      </c>
      <c r="W669">
        <v>29</v>
      </c>
      <c r="X669">
        <v>44.31</v>
      </c>
      <c r="Z669" t="s">
        <v>2292</v>
      </c>
      <c r="AA669" t="s">
        <v>2299</v>
      </c>
      <c r="AB669">
        <v>90</v>
      </c>
      <c r="AC669">
        <v>0</v>
      </c>
      <c r="AD669">
        <v>90</v>
      </c>
      <c r="AE669">
        <v>44.31</v>
      </c>
      <c r="AF669">
        <v>45.69</v>
      </c>
      <c r="AG669">
        <v>2024</v>
      </c>
      <c r="AH669">
        <v>12</v>
      </c>
      <c r="AI669" t="s">
        <v>2309</v>
      </c>
      <c r="AJ669" t="s">
        <v>2316</v>
      </c>
    </row>
    <row r="670" spans="1:36" x14ac:dyDescent="0.3">
      <c r="A670" t="s">
        <v>704</v>
      </c>
      <c r="B670" s="2">
        <v>45374</v>
      </c>
      <c r="C670" t="s">
        <v>1655</v>
      </c>
      <c r="D670" t="s">
        <v>1931</v>
      </c>
      <c r="E670" t="s">
        <v>2069</v>
      </c>
      <c r="F670" t="s">
        <v>1761</v>
      </c>
      <c r="G670" t="s">
        <v>2245</v>
      </c>
      <c r="H670" t="s">
        <v>2257</v>
      </c>
      <c r="I670" t="s">
        <v>2263</v>
      </c>
      <c r="K670">
        <v>1</v>
      </c>
      <c r="L670">
        <v>150</v>
      </c>
      <c r="M670">
        <v>0.15</v>
      </c>
      <c r="N670">
        <v>150</v>
      </c>
      <c r="O670">
        <v>127.5</v>
      </c>
      <c r="Q670" t="s">
        <v>2272</v>
      </c>
      <c r="R670" t="s">
        <v>2278</v>
      </c>
      <c r="S670" t="s">
        <v>2282</v>
      </c>
      <c r="T670" t="s">
        <v>2288</v>
      </c>
      <c r="V670">
        <v>53</v>
      </c>
      <c r="W670">
        <v>44</v>
      </c>
      <c r="X670">
        <v>57.61</v>
      </c>
      <c r="Y670">
        <v>69.89</v>
      </c>
      <c r="Z670" t="s">
        <v>1761</v>
      </c>
      <c r="AA670" t="s">
        <v>2297</v>
      </c>
      <c r="AB670">
        <v>150</v>
      </c>
      <c r="AC670">
        <v>22.5</v>
      </c>
      <c r="AD670">
        <v>127.5</v>
      </c>
      <c r="AE670">
        <v>57.61</v>
      </c>
      <c r="AF670">
        <v>69.89</v>
      </c>
      <c r="AG670">
        <v>2024</v>
      </c>
      <c r="AH670">
        <v>3</v>
      </c>
      <c r="AI670" t="s">
        <v>2305</v>
      </c>
      <c r="AJ670" t="s">
        <v>2317</v>
      </c>
    </row>
    <row r="671" spans="1:36" x14ac:dyDescent="0.3">
      <c r="A671" t="s">
        <v>705</v>
      </c>
      <c r="B671" s="2">
        <v>45402</v>
      </c>
      <c r="C671" t="s">
        <v>1649</v>
      </c>
      <c r="D671" t="s">
        <v>1923</v>
      </c>
      <c r="E671" t="s">
        <v>2129</v>
      </c>
      <c r="F671" t="s">
        <v>1761</v>
      </c>
      <c r="G671" t="s">
        <v>2249</v>
      </c>
      <c r="H671" t="s">
        <v>2257</v>
      </c>
      <c r="I671" t="s">
        <v>2263</v>
      </c>
      <c r="J671" t="s">
        <v>2264</v>
      </c>
      <c r="K671">
        <v>2</v>
      </c>
      <c r="L671">
        <v>170</v>
      </c>
      <c r="M671">
        <v>0</v>
      </c>
      <c r="O671">
        <v>340</v>
      </c>
      <c r="Q671" t="s">
        <v>2271</v>
      </c>
      <c r="R671" t="s">
        <v>2279</v>
      </c>
      <c r="S671" t="s">
        <v>2286</v>
      </c>
      <c r="T671" t="s">
        <v>2288</v>
      </c>
      <c r="U671">
        <v>4</v>
      </c>
      <c r="V671">
        <v>38</v>
      </c>
      <c r="W671">
        <v>47</v>
      </c>
      <c r="X671">
        <v>83.18</v>
      </c>
      <c r="Y671">
        <v>173.64</v>
      </c>
      <c r="Z671" t="s">
        <v>1761</v>
      </c>
      <c r="AA671" t="s">
        <v>2297</v>
      </c>
      <c r="AB671">
        <v>340</v>
      </c>
      <c r="AC671">
        <v>0</v>
      </c>
      <c r="AD671">
        <v>340</v>
      </c>
      <c r="AE671">
        <v>166.36</v>
      </c>
      <c r="AF671">
        <v>173.64</v>
      </c>
      <c r="AG671">
        <v>2024</v>
      </c>
      <c r="AH671">
        <v>4</v>
      </c>
      <c r="AI671" t="s">
        <v>2308</v>
      </c>
      <c r="AJ671" t="s">
        <v>2317</v>
      </c>
    </row>
    <row r="672" spans="1:36" x14ac:dyDescent="0.3">
      <c r="A672" t="s">
        <v>706</v>
      </c>
      <c r="B672" s="2">
        <v>45302</v>
      </c>
      <c r="C672" t="s">
        <v>1657</v>
      </c>
      <c r="D672" t="s">
        <v>1751</v>
      </c>
      <c r="E672" t="s">
        <v>2203</v>
      </c>
      <c r="F672" t="s">
        <v>2238</v>
      </c>
      <c r="G672" t="s">
        <v>2252</v>
      </c>
      <c r="H672" t="s">
        <v>2257</v>
      </c>
      <c r="I672" t="s">
        <v>2262</v>
      </c>
      <c r="J672" t="s">
        <v>2266</v>
      </c>
      <c r="K672">
        <v>2</v>
      </c>
      <c r="L672">
        <v>90</v>
      </c>
      <c r="M672">
        <v>0.1</v>
      </c>
      <c r="N672">
        <v>180</v>
      </c>
      <c r="O672">
        <v>162</v>
      </c>
      <c r="P672" t="s">
        <v>2269</v>
      </c>
      <c r="R672" t="s">
        <v>2273</v>
      </c>
      <c r="S672" t="s">
        <v>2284</v>
      </c>
      <c r="T672" t="s">
        <v>2288</v>
      </c>
      <c r="U672">
        <v>5</v>
      </c>
      <c r="V672">
        <v>273</v>
      </c>
      <c r="W672">
        <v>35</v>
      </c>
      <c r="X672">
        <v>46</v>
      </c>
      <c r="Y672">
        <v>70</v>
      </c>
      <c r="Z672" t="s">
        <v>2293</v>
      </c>
      <c r="AA672" t="s">
        <v>2298</v>
      </c>
      <c r="AB672">
        <v>180</v>
      </c>
      <c r="AC672">
        <v>18</v>
      </c>
      <c r="AD672">
        <v>162</v>
      </c>
      <c r="AE672">
        <v>92</v>
      </c>
      <c r="AF672">
        <v>70</v>
      </c>
      <c r="AG672">
        <v>2024</v>
      </c>
      <c r="AH672">
        <v>1</v>
      </c>
      <c r="AI672" t="s">
        <v>2302</v>
      </c>
      <c r="AJ672" t="s">
        <v>2316</v>
      </c>
    </row>
    <row r="673" spans="1:36" x14ac:dyDescent="0.3">
      <c r="A673" t="s">
        <v>707</v>
      </c>
      <c r="B673" s="2">
        <v>45398</v>
      </c>
      <c r="C673" t="s">
        <v>1727</v>
      </c>
      <c r="D673" t="s">
        <v>1837</v>
      </c>
      <c r="E673" t="s">
        <v>2154</v>
      </c>
      <c r="F673" t="s">
        <v>2240</v>
      </c>
      <c r="G673" t="s">
        <v>2247</v>
      </c>
      <c r="H673" t="s">
        <v>2257</v>
      </c>
      <c r="I673" t="s">
        <v>2262</v>
      </c>
      <c r="J673" t="s">
        <v>2266</v>
      </c>
      <c r="K673">
        <v>1</v>
      </c>
      <c r="L673">
        <v>100</v>
      </c>
      <c r="M673">
        <v>0.05</v>
      </c>
      <c r="O673">
        <v>95</v>
      </c>
      <c r="P673" t="s">
        <v>2269</v>
      </c>
      <c r="Q673" t="s">
        <v>2272</v>
      </c>
      <c r="R673" t="s">
        <v>2279</v>
      </c>
      <c r="S673" t="s">
        <v>2281</v>
      </c>
      <c r="T673" t="s">
        <v>2288</v>
      </c>
      <c r="V673">
        <v>339</v>
      </c>
      <c r="W673">
        <v>34</v>
      </c>
      <c r="X673">
        <v>57.66</v>
      </c>
      <c r="Y673">
        <v>37.340000000000003</v>
      </c>
      <c r="Z673" t="s">
        <v>1761</v>
      </c>
      <c r="AA673" t="s">
        <v>2299</v>
      </c>
      <c r="AB673">
        <v>100</v>
      </c>
      <c r="AC673">
        <v>5</v>
      </c>
      <c r="AD673">
        <v>95</v>
      </c>
      <c r="AE673">
        <v>57.66</v>
      </c>
      <c r="AF673">
        <v>37.340000000000003</v>
      </c>
      <c r="AG673">
        <v>2024</v>
      </c>
      <c r="AH673">
        <v>4</v>
      </c>
      <c r="AI673" t="s">
        <v>2308</v>
      </c>
      <c r="AJ673" t="s">
        <v>2313</v>
      </c>
    </row>
    <row r="674" spans="1:36" x14ac:dyDescent="0.3">
      <c r="A674" t="s">
        <v>708</v>
      </c>
      <c r="B674" s="2">
        <v>45428</v>
      </c>
      <c r="C674" t="s">
        <v>1645</v>
      </c>
      <c r="D674" t="s">
        <v>1755</v>
      </c>
      <c r="E674" t="s">
        <v>2203</v>
      </c>
      <c r="F674" t="s">
        <v>2240</v>
      </c>
      <c r="G674" t="s">
        <v>2249</v>
      </c>
      <c r="H674" t="s">
        <v>2257</v>
      </c>
      <c r="I674" t="s">
        <v>2263</v>
      </c>
      <c r="J674" t="s">
        <v>2266</v>
      </c>
      <c r="K674">
        <v>1</v>
      </c>
      <c r="L674">
        <v>165</v>
      </c>
      <c r="M674">
        <v>0.1</v>
      </c>
      <c r="N674">
        <v>165</v>
      </c>
      <c r="O674">
        <v>148.5</v>
      </c>
      <c r="Q674" t="s">
        <v>2272</v>
      </c>
      <c r="R674" t="s">
        <v>2276</v>
      </c>
      <c r="S674" t="s">
        <v>2286</v>
      </c>
      <c r="T674" t="s">
        <v>2288</v>
      </c>
      <c r="U674">
        <v>5</v>
      </c>
      <c r="V674">
        <v>287</v>
      </c>
      <c r="W674">
        <v>12</v>
      </c>
      <c r="X674">
        <v>71.86</v>
      </c>
      <c r="Y674">
        <v>76.64</v>
      </c>
      <c r="Z674" t="s">
        <v>1761</v>
      </c>
      <c r="AA674" t="s">
        <v>2298</v>
      </c>
      <c r="AB674">
        <v>165</v>
      </c>
      <c r="AC674">
        <v>16.5</v>
      </c>
      <c r="AD674">
        <v>148.5</v>
      </c>
      <c r="AE674">
        <v>71.86</v>
      </c>
      <c r="AF674">
        <v>76.64</v>
      </c>
      <c r="AG674">
        <v>2024</v>
      </c>
      <c r="AH674">
        <v>5</v>
      </c>
      <c r="AI674" t="s">
        <v>2306</v>
      </c>
      <c r="AJ674" t="s">
        <v>2316</v>
      </c>
    </row>
    <row r="675" spans="1:36" x14ac:dyDescent="0.3">
      <c r="A675" t="s">
        <v>709</v>
      </c>
      <c r="B675" s="2">
        <v>45596</v>
      </c>
      <c r="C675" t="s">
        <v>1664</v>
      </c>
      <c r="D675" t="s">
        <v>1785</v>
      </c>
      <c r="E675" t="s">
        <v>1761</v>
      </c>
      <c r="F675" t="s">
        <v>2239</v>
      </c>
      <c r="G675" t="s">
        <v>2253</v>
      </c>
      <c r="H675" t="s">
        <v>2258</v>
      </c>
      <c r="I675" t="s">
        <v>2260</v>
      </c>
      <c r="J675" t="s">
        <v>2265</v>
      </c>
      <c r="K675">
        <v>1</v>
      </c>
      <c r="L675">
        <v>95</v>
      </c>
      <c r="M675">
        <v>0.1</v>
      </c>
      <c r="N675">
        <v>95</v>
      </c>
      <c r="O675">
        <v>85.5</v>
      </c>
      <c r="P675" t="s">
        <v>2267</v>
      </c>
      <c r="Q675" t="s">
        <v>2272</v>
      </c>
      <c r="R675" t="s">
        <v>2275</v>
      </c>
      <c r="S675" t="s">
        <v>2282</v>
      </c>
      <c r="T675" t="s">
        <v>2288</v>
      </c>
      <c r="U675">
        <v>2</v>
      </c>
      <c r="V675">
        <v>420</v>
      </c>
      <c r="X675">
        <v>40.75</v>
      </c>
      <c r="Y675">
        <v>44.75</v>
      </c>
      <c r="Z675" t="s">
        <v>2291</v>
      </c>
      <c r="AA675" t="s">
        <v>2297</v>
      </c>
      <c r="AB675">
        <v>95</v>
      </c>
      <c r="AC675">
        <v>9.5</v>
      </c>
      <c r="AD675">
        <v>85.5</v>
      </c>
      <c r="AE675">
        <v>40.75</v>
      </c>
      <c r="AF675">
        <v>44.75</v>
      </c>
      <c r="AG675">
        <v>2024</v>
      </c>
      <c r="AH675">
        <v>10</v>
      </c>
      <c r="AI675" t="s">
        <v>2310</v>
      </c>
      <c r="AJ675" t="s">
        <v>2316</v>
      </c>
    </row>
    <row r="676" spans="1:36" x14ac:dyDescent="0.3">
      <c r="A676" t="s">
        <v>710</v>
      </c>
      <c r="B676" s="2">
        <v>45408</v>
      </c>
      <c r="C676" t="s">
        <v>1657</v>
      </c>
      <c r="D676" t="s">
        <v>1768</v>
      </c>
      <c r="E676" t="s">
        <v>2204</v>
      </c>
      <c r="F676" t="s">
        <v>1761</v>
      </c>
      <c r="G676" t="s">
        <v>2241</v>
      </c>
      <c r="H676" t="s">
        <v>2257</v>
      </c>
      <c r="I676" t="s">
        <v>2262</v>
      </c>
      <c r="J676" t="s">
        <v>2264</v>
      </c>
      <c r="K676">
        <v>1</v>
      </c>
      <c r="L676">
        <v>130</v>
      </c>
      <c r="M676">
        <v>0.15</v>
      </c>
      <c r="N676">
        <v>130</v>
      </c>
      <c r="O676">
        <v>110.5</v>
      </c>
      <c r="P676" t="s">
        <v>2267</v>
      </c>
      <c r="R676" t="s">
        <v>2276</v>
      </c>
      <c r="S676" t="s">
        <v>2285</v>
      </c>
      <c r="T676" t="s">
        <v>2288</v>
      </c>
      <c r="U676">
        <v>5</v>
      </c>
      <c r="V676">
        <v>328</v>
      </c>
      <c r="W676">
        <v>58</v>
      </c>
      <c r="X676">
        <v>73.709999999999994</v>
      </c>
      <c r="Y676">
        <v>36.79</v>
      </c>
      <c r="Z676" t="s">
        <v>2293</v>
      </c>
      <c r="AA676" t="s">
        <v>1761</v>
      </c>
      <c r="AB676">
        <v>130</v>
      </c>
      <c r="AC676">
        <v>19.5</v>
      </c>
      <c r="AD676">
        <v>110.5</v>
      </c>
      <c r="AE676">
        <v>73.709999999999994</v>
      </c>
      <c r="AF676">
        <v>36.790000000000013</v>
      </c>
      <c r="AG676">
        <v>2024</v>
      </c>
      <c r="AH676">
        <v>4</v>
      </c>
      <c r="AI676" t="s">
        <v>2308</v>
      </c>
      <c r="AJ676" t="s">
        <v>2315</v>
      </c>
    </row>
    <row r="677" spans="1:36" x14ac:dyDescent="0.3">
      <c r="A677" t="s">
        <v>711</v>
      </c>
      <c r="B677" s="2">
        <v>45586</v>
      </c>
      <c r="C677" t="s">
        <v>1724</v>
      </c>
      <c r="D677" t="s">
        <v>1851</v>
      </c>
      <c r="E677" t="s">
        <v>2139</v>
      </c>
      <c r="F677" t="s">
        <v>2240</v>
      </c>
      <c r="G677" t="s">
        <v>2242</v>
      </c>
      <c r="H677" t="s">
        <v>2258</v>
      </c>
      <c r="I677" t="s">
        <v>2260</v>
      </c>
      <c r="J677" t="s">
        <v>2266</v>
      </c>
      <c r="K677">
        <v>2</v>
      </c>
      <c r="L677">
        <v>125</v>
      </c>
      <c r="M677">
        <v>0.05</v>
      </c>
      <c r="N677">
        <v>250</v>
      </c>
      <c r="O677">
        <v>237.5</v>
      </c>
      <c r="P677" t="s">
        <v>2267</v>
      </c>
      <c r="Q677" t="s">
        <v>2270</v>
      </c>
      <c r="R677" t="s">
        <v>2275</v>
      </c>
      <c r="S677" t="s">
        <v>2280</v>
      </c>
      <c r="T677" t="s">
        <v>2288</v>
      </c>
      <c r="U677">
        <v>5</v>
      </c>
      <c r="V677">
        <v>31</v>
      </c>
      <c r="W677">
        <v>36</v>
      </c>
      <c r="X677">
        <v>65.599999999999994</v>
      </c>
      <c r="Y677">
        <v>106.3</v>
      </c>
      <c r="Z677" t="s">
        <v>2293</v>
      </c>
      <c r="AA677" t="s">
        <v>2298</v>
      </c>
      <c r="AB677">
        <v>250</v>
      </c>
      <c r="AC677">
        <v>12.5</v>
      </c>
      <c r="AD677">
        <v>237.5</v>
      </c>
      <c r="AE677">
        <v>131.19999999999999</v>
      </c>
      <c r="AF677">
        <v>106.3</v>
      </c>
      <c r="AG677">
        <v>2024</v>
      </c>
      <c r="AH677">
        <v>10</v>
      </c>
      <c r="AI677" t="s">
        <v>2310</v>
      </c>
      <c r="AJ677" t="s">
        <v>2314</v>
      </c>
    </row>
    <row r="678" spans="1:36" x14ac:dyDescent="0.3">
      <c r="A678" t="s">
        <v>712</v>
      </c>
      <c r="B678" s="2">
        <v>45321</v>
      </c>
      <c r="C678" t="s">
        <v>1710</v>
      </c>
      <c r="D678" t="s">
        <v>1881</v>
      </c>
      <c r="E678" t="s">
        <v>2087</v>
      </c>
      <c r="F678" t="s">
        <v>2238</v>
      </c>
      <c r="G678" t="s">
        <v>2253</v>
      </c>
      <c r="H678" t="s">
        <v>2258</v>
      </c>
      <c r="I678" t="s">
        <v>2260</v>
      </c>
      <c r="J678" t="s">
        <v>2264</v>
      </c>
      <c r="K678">
        <v>1</v>
      </c>
      <c r="L678">
        <v>85</v>
      </c>
      <c r="M678">
        <v>0.05</v>
      </c>
      <c r="N678">
        <v>85</v>
      </c>
      <c r="O678">
        <v>80.75</v>
      </c>
      <c r="Q678" t="s">
        <v>2270</v>
      </c>
      <c r="R678" t="s">
        <v>2278</v>
      </c>
      <c r="S678" t="s">
        <v>2286</v>
      </c>
      <c r="T678" t="s">
        <v>2290</v>
      </c>
      <c r="U678">
        <v>4</v>
      </c>
      <c r="W678">
        <v>48</v>
      </c>
      <c r="X678">
        <v>38.33</v>
      </c>
      <c r="Y678">
        <v>42.42</v>
      </c>
      <c r="Z678" t="s">
        <v>2294</v>
      </c>
      <c r="AA678" t="s">
        <v>2298</v>
      </c>
      <c r="AB678">
        <v>85</v>
      </c>
      <c r="AC678">
        <v>4.25</v>
      </c>
      <c r="AD678">
        <v>80.75</v>
      </c>
      <c r="AE678">
        <v>38.33</v>
      </c>
      <c r="AF678">
        <v>42.42</v>
      </c>
      <c r="AG678">
        <v>2024</v>
      </c>
      <c r="AH678">
        <v>1</v>
      </c>
      <c r="AI678" t="s">
        <v>2302</v>
      </c>
      <c r="AJ678" t="s">
        <v>2313</v>
      </c>
    </row>
    <row r="679" spans="1:36" x14ac:dyDescent="0.3">
      <c r="A679" t="s">
        <v>713</v>
      </c>
      <c r="B679" s="2">
        <v>45636</v>
      </c>
      <c r="C679" t="s">
        <v>1703</v>
      </c>
      <c r="D679" t="s">
        <v>1824</v>
      </c>
      <c r="E679" t="s">
        <v>2032</v>
      </c>
      <c r="F679" t="s">
        <v>2239</v>
      </c>
      <c r="G679" t="s">
        <v>2255</v>
      </c>
      <c r="H679" t="s">
        <v>2260</v>
      </c>
      <c r="I679" t="s">
        <v>2260</v>
      </c>
      <c r="J679" t="s">
        <v>2265</v>
      </c>
      <c r="K679">
        <v>1</v>
      </c>
      <c r="L679">
        <v>180</v>
      </c>
      <c r="M679">
        <v>0.05</v>
      </c>
      <c r="N679">
        <v>180</v>
      </c>
      <c r="O679">
        <v>171</v>
      </c>
      <c r="P679" t="s">
        <v>2267</v>
      </c>
      <c r="Q679" t="s">
        <v>2270</v>
      </c>
      <c r="R679" t="s">
        <v>2278</v>
      </c>
      <c r="S679" t="s">
        <v>2281</v>
      </c>
      <c r="T679" t="s">
        <v>2288</v>
      </c>
      <c r="W679">
        <v>23</v>
      </c>
      <c r="X679">
        <v>82.53</v>
      </c>
      <c r="Y679">
        <v>88.47</v>
      </c>
      <c r="Z679" t="s">
        <v>2293</v>
      </c>
      <c r="AA679" t="s">
        <v>2299</v>
      </c>
      <c r="AB679">
        <v>180</v>
      </c>
      <c r="AC679">
        <v>9</v>
      </c>
      <c r="AD679">
        <v>171</v>
      </c>
      <c r="AE679">
        <v>82.53</v>
      </c>
      <c r="AF679">
        <v>88.47</v>
      </c>
      <c r="AG679">
        <v>2024</v>
      </c>
      <c r="AH679">
        <v>12</v>
      </c>
      <c r="AI679" t="s">
        <v>2309</v>
      </c>
      <c r="AJ679" t="s">
        <v>2313</v>
      </c>
    </row>
    <row r="680" spans="1:36" x14ac:dyDescent="0.3">
      <c r="A680" t="s">
        <v>714</v>
      </c>
      <c r="B680" s="2">
        <v>45388</v>
      </c>
      <c r="C680" t="s">
        <v>1639</v>
      </c>
      <c r="D680" t="s">
        <v>1865</v>
      </c>
      <c r="E680" t="s">
        <v>2031</v>
      </c>
      <c r="F680" t="s">
        <v>2238</v>
      </c>
      <c r="G680" t="s">
        <v>2252</v>
      </c>
      <c r="H680" t="s">
        <v>2257</v>
      </c>
      <c r="I680" t="s">
        <v>2262</v>
      </c>
      <c r="J680" t="s">
        <v>2264</v>
      </c>
      <c r="K680">
        <v>1</v>
      </c>
      <c r="L680">
        <v>100</v>
      </c>
      <c r="M680">
        <v>0</v>
      </c>
      <c r="N680">
        <v>100</v>
      </c>
      <c r="O680">
        <v>100</v>
      </c>
      <c r="P680" t="s">
        <v>2269</v>
      </c>
      <c r="Q680" t="s">
        <v>2272</v>
      </c>
      <c r="R680" t="s">
        <v>2276</v>
      </c>
      <c r="S680" t="s">
        <v>2280</v>
      </c>
      <c r="T680" t="s">
        <v>2288</v>
      </c>
      <c r="U680">
        <v>4</v>
      </c>
      <c r="V680">
        <v>20</v>
      </c>
      <c r="W680">
        <v>30</v>
      </c>
      <c r="X680">
        <v>38.07</v>
      </c>
      <c r="Y680">
        <v>61.93</v>
      </c>
      <c r="Z680" t="s">
        <v>2293</v>
      </c>
      <c r="AA680" t="s">
        <v>2296</v>
      </c>
      <c r="AB680">
        <v>100</v>
      </c>
      <c r="AC680">
        <v>0</v>
      </c>
      <c r="AD680">
        <v>100</v>
      </c>
      <c r="AE680">
        <v>38.07</v>
      </c>
      <c r="AF680">
        <v>61.93</v>
      </c>
      <c r="AG680">
        <v>2024</v>
      </c>
      <c r="AH680">
        <v>4</v>
      </c>
      <c r="AI680" t="s">
        <v>2308</v>
      </c>
      <c r="AJ680" t="s">
        <v>2317</v>
      </c>
    </row>
    <row r="681" spans="1:36" x14ac:dyDescent="0.3">
      <c r="A681" t="s">
        <v>715</v>
      </c>
      <c r="B681" s="2">
        <v>45432</v>
      </c>
      <c r="C681" t="s">
        <v>1718</v>
      </c>
      <c r="D681" t="s">
        <v>1883</v>
      </c>
      <c r="E681" t="s">
        <v>2146</v>
      </c>
      <c r="F681" t="s">
        <v>1761</v>
      </c>
      <c r="G681" t="s">
        <v>2247</v>
      </c>
      <c r="H681" t="s">
        <v>2257</v>
      </c>
      <c r="I681" t="s">
        <v>2262</v>
      </c>
      <c r="J681" t="s">
        <v>2266</v>
      </c>
      <c r="K681">
        <v>1</v>
      </c>
      <c r="L681">
        <v>110</v>
      </c>
      <c r="M681">
        <v>0.15</v>
      </c>
      <c r="N681">
        <v>110</v>
      </c>
      <c r="O681">
        <v>93.5</v>
      </c>
      <c r="P681" t="s">
        <v>2267</v>
      </c>
      <c r="Q681" t="s">
        <v>2272</v>
      </c>
      <c r="R681" t="s">
        <v>2275</v>
      </c>
      <c r="S681" t="s">
        <v>2283</v>
      </c>
      <c r="T681" t="s">
        <v>2290</v>
      </c>
      <c r="U681">
        <v>4</v>
      </c>
      <c r="V681">
        <v>179</v>
      </c>
      <c r="X681">
        <v>36.119999999999997</v>
      </c>
      <c r="Y681">
        <v>57.38</v>
      </c>
      <c r="Z681" t="s">
        <v>2292</v>
      </c>
      <c r="AA681" t="s">
        <v>2299</v>
      </c>
      <c r="AB681">
        <v>110</v>
      </c>
      <c r="AC681">
        <v>16.5</v>
      </c>
      <c r="AD681">
        <v>93.5</v>
      </c>
      <c r="AE681">
        <v>36.119999999999997</v>
      </c>
      <c r="AF681">
        <v>57.38</v>
      </c>
      <c r="AG681">
        <v>2024</v>
      </c>
      <c r="AH681">
        <v>5</v>
      </c>
      <c r="AI681" t="s">
        <v>2306</v>
      </c>
      <c r="AJ681" t="s">
        <v>2314</v>
      </c>
    </row>
    <row r="682" spans="1:36" x14ac:dyDescent="0.3">
      <c r="A682" t="s">
        <v>716</v>
      </c>
      <c r="B682" s="2">
        <v>45379</v>
      </c>
      <c r="C682" t="s">
        <v>1637</v>
      </c>
      <c r="D682" t="s">
        <v>1926</v>
      </c>
      <c r="E682" t="s">
        <v>2002</v>
      </c>
      <c r="F682" t="s">
        <v>2240</v>
      </c>
      <c r="G682" t="s">
        <v>2250</v>
      </c>
      <c r="H682" t="s">
        <v>2259</v>
      </c>
      <c r="I682" t="s">
        <v>2262</v>
      </c>
      <c r="J682" t="s">
        <v>2265</v>
      </c>
      <c r="K682">
        <v>1</v>
      </c>
      <c r="L682">
        <v>80</v>
      </c>
      <c r="M682">
        <v>0.05</v>
      </c>
      <c r="N682">
        <v>80</v>
      </c>
      <c r="O682">
        <v>76</v>
      </c>
      <c r="P682" t="s">
        <v>2269</v>
      </c>
      <c r="Q682" t="s">
        <v>2272</v>
      </c>
      <c r="R682" t="s">
        <v>2274</v>
      </c>
      <c r="S682" t="s">
        <v>2285</v>
      </c>
      <c r="T682" t="s">
        <v>2288</v>
      </c>
      <c r="U682">
        <v>5</v>
      </c>
      <c r="V682">
        <v>164</v>
      </c>
      <c r="X682">
        <v>30.2</v>
      </c>
      <c r="Y682">
        <v>45.8</v>
      </c>
      <c r="Z682" t="s">
        <v>2293</v>
      </c>
      <c r="AA682" t="s">
        <v>2297</v>
      </c>
      <c r="AB682">
        <v>80</v>
      </c>
      <c r="AC682">
        <v>4</v>
      </c>
      <c r="AD682">
        <v>76</v>
      </c>
      <c r="AE682">
        <v>30.2</v>
      </c>
      <c r="AF682">
        <v>45.8</v>
      </c>
      <c r="AG682">
        <v>2024</v>
      </c>
      <c r="AH682">
        <v>3</v>
      </c>
      <c r="AI682" t="s">
        <v>2305</v>
      </c>
      <c r="AJ682" t="s">
        <v>2316</v>
      </c>
    </row>
    <row r="683" spans="1:36" x14ac:dyDescent="0.3">
      <c r="A683" t="s">
        <v>717</v>
      </c>
      <c r="B683" s="2">
        <v>45615</v>
      </c>
      <c r="C683" t="s">
        <v>1663</v>
      </c>
      <c r="D683" t="s">
        <v>1862</v>
      </c>
      <c r="E683" t="s">
        <v>2205</v>
      </c>
      <c r="F683" t="s">
        <v>2239</v>
      </c>
      <c r="G683" t="s">
        <v>2247</v>
      </c>
      <c r="H683" t="s">
        <v>2257</v>
      </c>
      <c r="I683" t="s">
        <v>2262</v>
      </c>
      <c r="J683" t="s">
        <v>2264</v>
      </c>
      <c r="K683">
        <v>1</v>
      </c>
      <c r="L683">
        <v>100</v>
      </c>
      <c r="M683">
        <v>0.05</v>
      </c>
      <c r="N683">
        <v>100</v>
      </c>
      <c r="O683">
        <v>95</v>
      </c>
      <c r="P683" t="s">
        <v>2267</v>
      </c>
      <c r="R683" t="s">
        <v>2279</v>
      </c>
      <c r="S683" t="s">
        <v>2281</v>
      </c>
      <c r="T683" t="s">
        <v>2289</v>
      </c>
      <c r="U683">
        <v>5</v>
      </c>
      <c r="V683">
        <v>32</v>
      </c>
      <c r="W683">
        <v>14</v>
      </c>
      <c r="X683">
        <v>35.15</v>
      </c>
      <c r="Y683">
        <v>59.85</v>
      </c>
      <c r="Z683" t="s">
        <v>1761</v>
      </c>
      <c r="AA683" t="s">
        <v>2296</v>
      </c>
      <c r="AB683">
        <v>100</v>
      </c>
      <c r="AC683">
        <v>5</v>
      </c>
      <c r="AD683">
        <v>95</v>
      </c>
      <c r="AE683">
        <v>35.15</v>
      </c>
      <c r="AF683">
        <v>59.85</v>
      </c>
      <c r="AG683">
        <v>2024</v>
      </c>
      <c r="AH683">
        <v>11</v>
      </c>
      <c r="AI683" t="s">
        <v>2311</v>
      </c>
      <c r="AJ683" t="s">
        <v>2313</v>
      </c>
    </row>
    <row r="684" spans="1:36" x14ac:dyDescent="0.3">
      <c r="A684" t="s">
        <v>718</v>
      </c>
      <c r="B684" s="2">
        <v>45449</v>
      </c>
      <c r="C684" t="s">
        <v>1658</v>
      </c>
      <c r="D684" t="s">
        <v>1798</v>
      </c>
      <c r="E684" t="s">
        <v>2161</v>
      </c>
      <c r="F684" t="s">
        <v>1761</v>
      </c>
      <c r="G684" t="s">
        <v>2247</v>
      </c>
      <c r="H684" t="s">
        <v>2257</v>
      </c>
      <c r="I684" t="s">
        <v>2262</v>
      </c>
      <c r="J684" t="s">
        <v>2265</v>
      </c>
      <c r="K684">
        <v>2</v>
      </c>
      <c r="L684">
        <v>95</v>
      </c>
      <c r="M684">
        <v>0.05</v>
      </c>
      <c r="N684">
        <v>190</v>
      </c>
      <c r="O684">
        <v>180.5</v>
      </c>
      <c r="P684" t="s">
        <v>2267</v>
      </c>
      <c r="Q684" t="s">
        <v>2271</v>
      </c>
      <c r="R684" t="s">
        <v>2279</v>
      </c>
      <c r="S684" t="s">
        <v>2287</v>
      </c>
      <c r="T684" t="s">
        <v>2288</v>
      </c>
      <c r="U684">
        <v>5</v>
      </c>
      <c r="V684">
        <v>243</v>
      </c>
      <c r="W684">
        <v>16</v>
      </c>
      <c r="X684">
        <v>58.48</v>
      </c>
      <c r="Y684">
        <v>63.54</v>
      </c>
      <c r="Z684" t="s">
        <v>1761</v>
      </c>
      <c r="AA684" t="s">
        <v>2298</v>
      </c>
      <c r="AB684">
        <v>190</v>
      </c>
      <c r="AC684">
        <v>9.5</v>
      </c>
      <c r="AD684">
        <v>180.5</v>
      </c>
      <c r="AE684">
        <v>116.96</v>
      </c>
      <c r="AF684">
        <v>63.540000000000013</v>
      </c>
      <c r="AG684">
        <v>2024</v>
      </c>
      <c r="AH684">
        <v>6</v>
      </c>
      <c r="AI684" t="s">
        <v>2304</v>
      </c>
      <c r="AJ684" t="s">
        <v>2316</v>
      </c>
    </row>
    <row r="685" spans="1:36" x14ac:dyDescent="0.3">
      <c r="A685" t="s">
        <v>719</v>
      </c>
      <c r="B685" s="2">
        <v>45379</v>
      </c>
      <c r="C685" t="s">
        <v>1720</v>
      </c>
      <c r="D685" t="s">
        <v>1741</v>
      </c>
      <c r="E685" t="s">
        <v>1947</v>
      </c>
      <c r="F685" t="s">
        <v>2240</v>
      </c>
      <c r="G685" t="s">
        <v>2244</v>
      </c>
      <c r="H685" t="s">
        <v>2257</v>
      </c>
      <c r="I685" t="s">
        <v>2262</v>
      </c>
      <c r="J685" t="s">
        <v>2266</v>
      </c>
      <c r="K685">
        <v>1</v>
      </c>
      <c r="L685">
        <v>120</v>
      </c>
      <c r="M685">
        <v>0.15</v>
      </c>
      <c r="N685">
        <v>120</v>
      </c>
      <c r="O685">
        <v>102</v>
      </c>
      <c r="P685" t="s">
        <v>2267</v>
      </c>
      <c r="Q685" t="s">
        <v>2272</v>
      </c>
      <c r="R685" t="s">
        <v>2275</v>
      </c>
      <c r="S685" t="s">
        <v>2282</v>
      </c>
      <c r="T685" t="s">
        <v>2288</v>
      </c>
      <c r="U685">
        <v>2</v>
      </c>
      <c r="V685">
        <v>403</v>
      </c>
      <c r="W685">
        <v>41</v>
      </c>
      <c r="X685">
        <v>66.56</v>
      </c>
      <c r="Y685">
        <v>35.44</v>
      </c>
      <c r="Z685" t="s">
        <v>2291</v>
      </c>
      <c r="AA685" t="s">
        <v>2296</v>
      </c>
      <c r="AB685">
        <v>120</v>
      </c>
      <c r="AC685">
        <v>18</v>
      </c>
      <c r="AD685">
        <v>102</v>
      </c>
      <c r="AE685">
        <v>66.56</v>
      </c>
      <c r="AF685">
        <v>35.44</v>
      </c>
      <c r="AG685">
        <v>2024</v>
      </c>
      <c r="AH685">
        <v>3</v>
      </c>
      <c r="AI685" t="s">
        <v>2305</v>
      </c>
      <c r="AJ685" t="s">
        <v>2316</v>
      </c>
    </row>
    <row r="686" spans="1:36" x14ac:dyDescent="0.3">
      <c r="A686" t="s">
        <v>720</v>
      </c>
      <c r="B686" s="2">
        <v>45303</v>
      </c>
      <c r="C686" t="s">
        <v>1669</v>
      </c>
      <c r="D686" t="s">
        <v>1860</v>
      </c>
      <c r="E686" t="s">
        <v>2134</v>
      </c>
      <c r="F686" t="s">
        <v>2240</v>
      </c>
      <c r="G686" t="s">
        <v>2242</v>
      </c>
      <c r="H686" t="s">
        <v>2258</v>
      </c>
      <c r="I686" t="s">
        <v>2260</v>
      </c>
      <c r="J686" t="s">
        <v>2264</v>
      </c>
      <c r="K686">
        <v>1</v>
      </c>
      <c r="L686">
        <v>130</v>
      </c>
      <c r="M686">
        <v>0</v>
      </c>
      <c r="N686">
        <v>130</v>
      </c>
      <c r="O686">
        <v>130</v>
      </c>
      <c r="P686" t="s">
        <v>2269</v>
      </c>
      <c r="Q686" t="s">
        <v>2271</v>
      </c>
      <c r="R686" t="s">
        <v>2277</v>
      </c>
      <c r="S686" t="s">
        <v>2286</v>
      </c>
      <c r="T686" t="s">
        <v>2288</v>
      </c>
      <c r="V686">
        <v>407</v>
      </c>
      <c r="W686">
        <v>51</v>
      </c>
      <c r="X686">
        <v>67.66</v>
      </c>
      <c r="Y686">
        <v>62.34</v>
      </c>
      <c r="Z686" t="s">
        <v>2293</v>
      </c>
      <c r="AA686" t="s">
        <v>2296</v>
      </c>
      <c r="AB686">
        <v>130</v>
      </c>
      <c r="AC686">
        <v>0</v>
      </c>
      <c r="AD686">
        <v>130</v>
      </c>
      <c r="AE686">
        <v>67.66</v>
      </c>
      <c r="AF686">
        <v>62.34</v>
      </c>
      <c r="AG686">
        <v>2024</v>
      </c>
      <c r="AH686">
        <v>1</v>
      </c>
      <c r="AI686" t="s">
        <v>2302</v>
      </c>
      <c r="AJ686" t="s">
        <v>2315</v>
      </c>
    </row>
    <row r="687" spans="1:36" x14ac:dyDescent="0.3">
      <c r="A687" t="s">
        <v>721</v>
      </c>
      <c r="B687" s="2">
        <v>45645</v>
      </c>
      <c r="C687" t="s">
        <v>1688</v>
      </c>
      <c r="D687" t="s">
        <v>1801</v>
      </c>
      <c r="E687" t="s">
        <v>2059</v>
      </c>
      <c r="F687" t="s">
        <v>2238</v>
      </c>
      <c r="G687" t="s">
        <v>2243</v>
      </c>
      <c r="H687" t="s">
        <v>2258</v>
      </c>
      <c r="I687" t="s">
        <v>2260</v>
      </c>
      <c r="J687" t="s">
        <v>2265</v>
      </c>
      <c r="K687">
        <v>1</v>
      </c>
      <c r="L687">
        <v>70</v>
      </c>
      <c r="M687">
        <v>0.1</v>
      </c>
      <c r="N687">
        <v>70</v>
      </c>
      <c r="O687">
        <v>63</v>
      </c>
      <c r="P687" t="s">
        <v>2268</v>
      </c>
      <c r="R687" t="s">
        <v>2277</v>
      </c>
      <c r="S687" t="s">
        <v>2286</v>
      </c>
      <c r="T687" t="s">
        <v>2288</v>
      </c>
      <c r="U687">
        <v>5</v>
      </c>
      <c r="V687">
        <v>374</v>
      </c>
      <c r="W687">
        <v>46</v>
      </c>
      <c r="X687">
        <v>34.36</v>
      </c>
      <c r="Y687">
        <v>28.64</v>
      </c>
      <c r="Z687" t="s">
        <v>2293</v>
      </c>
      <c r="AA687" t="s">
        <v>2296</v>
      </c>
      <c r="AB687">
        <v>70</v>
      </c>
      <c r="AC687">
        <v>7</v>
      </c>
      <c r="AD687">
        <v>63</v>
      </c>
      <c r="AE687">
        <v>34.36</v>
      </c>
      <c r="AF687">
        <v>28.64</v>
      </c>
      <c r="AG687">
        <v>2024</v>
      </c>
      <c r="AH687">
        <v>12</v>
      </c>
      <c r="AI687" t="s">
        <v>2309</v>
      </c>
      <c r="AJ687" t="s">
        <v>2316</v>
      </c>
    </row>
    <row r="688" spans="1:36" x14ac:dyDescent="0.3">
      <c r="A688" t="s">
        <v>722</v>
      </c>
      <c r="B688" s="2">
        <v>45503</v>
      </c>
      <c r="C688" t="s">
        <v>1722</v>
      </c>
      <c r="D688" t="s">
        <v>1919</v>
      </c>
      <c r="E688" t="s">
        <v>2075</v>
      </c>
      <c r="F688" t="s">
        <v>2238</v>
      </c>
      <c r="G688" t="s">
        <v>2254</v>
      </c>
      <c r="H688" t="s">
        <v>2259</v>
      </c>
      <c r="I688" t="s">
        <v>2263</v>
      </c>
      <c r="J688" t="s">
        <v>2266</v>
      </c>
      <c r="K688">
        <v>2</v>
      </c>
      <c r="L688">
        <v>115</v>
      </c>
      <c r="M688">
        <v>0</v>
      </c>
      <c r="N688">
        <v>230</v>
      </c>
      <c r="O688">
        <v>230</v>
      </c>
      <c r="P688" t="s">
        <v>2267</v>
      </c>
      <c r="R688" t="s">
        <v>2273</v>
      </c>
      <c r="S688" t="s">
        <v>2282</v>
      </c>
      <c r="T688" t="s">
        <v>2288</v>
      </c>
      <c r="U688">
        <v>1</v>
      </c>
      <c r="V688">
        <v>16</v>
      </c>
      <c r="X688">
        <v>53.44</v>
      </c>
      <c r="Y688">
        <v>123.12</v>
      </c>
      <c r="Z688" t="s">
        <v>2294</v>
      </c>
      <c r="AA688" t="s">
        <v>1761</v>
      </c>
      <c r="AB688">
        <v>230</v>
      </c>
      <c r="AC688">
        <v>0</v>
      </c>
      <c r="AD688">
        <v>230</v>
      </c>
      <c r="AE688">
        <v>106.88</v>
      </c>
      <c r="AF688">
        <v>123.12</v>
      </c>
      <c r="AG688">
        <v>2024</v>
      </c>
      <c r="AH688">
        <v>7</v>
      </c>
      <c r="AI688" t="s">
        <v>2307</v>
      </c>
      <c r="AJ688" t="s">
        <v>2313</v>
      </c>
    </row>
    <row r="689" spans="1:36" x14ac:dyDescent="0.3">
      <c r="A689" t="s">
        <v>723</v>
      </c>
      <c r="B689" s="2">
        <v>45588</v>
      </c>
      <c r="C689" t="s">
        <v>1731</v>
      </c>
      <c r="D689" t="s">
        <v>1785</v>
      </c>
      <c r="E689" t="s">
        <v>2078</v>
      </c>
      <c r="F689" t="s">
        <v>2240</v>
      </c>
      <c r="G689" t="s">
        <v>2248</v>
      </c>
      <c r="H689" t="s">
        <v>2257</v>
      </c>
      <c r="I689" t="s">
        <v>2262</v>
      </c>
      <c r="J689" t="s">
        <v>2266</v>
      </c>
      <c r="K689">
        <v>1</v>
      </c>
      <c r="L689">
        <v>150</v>
      </c>
      <c r="M689">
        <v>0.05</v>
      </c>
      <c r="N689">
        <v>150</v>
      </c>
      <c r="O689">
        <v>142.5</v>
      </c>
      <c r="P689" t="s">
        <v>2269</v>
      </c>
      <c r="R689" t="s">
        <v>2274</v>
      </c>
      <c r="S689" t="s">
        <v>2280</v>
      </c>
      <c r="T689" t="s">
        <v>2288</v>
      </c>
      <c r="V689">
        <v>109</v>
      </c>
      <c r="W689">
        <v>39</v>
      </c>
      <c r="X689">
        <v>58.39</v>
      </c>
      <c r="Y689">
        <v>84.11</v>
      </c>
      <c r="Z689" t="s">
        <v>1761</v>
      </c>
      <c r="AA689" t="s">
        <v>2299</v>
      </c>
      <c r="AB689">
        <v>150</v>
      </c>
      <c r="AC689">
        <v>7.5</v>
      </c>
      <c r="AD689">
        <v>142.5</v>
      </c>
      <c r="AE689">
        <v>58.39</v>
      </c>
      <c r="AF689">
        <v>84.11</v>
      </c>
      <c r="AG689">
        <v>2024</v>
      </c>
      <c r="AH689">
        <v>10</v>
      </c>
      <c r="AI689" t="s">
        <v>2310</v>
      </c>
      <c r="AJ689" t="s">
        <v>2312</v>
      </c>
    </row>
    <row r="690" spans="1:36" x14ac:dyDescent="0.3">
      <c r="A690" t="s">
        <v>724</v>
      </c>
      <c r="B690" s="2">
        <v>45362</v>
      </c>
      <c r="C690" t="s">
        <v>1728</v>
      </c>
      <c r="D690" t="s">
        <v>1765</v>
      </c>
      <c r="E690" t="s">
        <v>2206</v>
      </c>
      <c r="F690" t="s">
        <v>2238</v>
      </c>
      <c r="G690" t="s">
        <v>2252</v>
      </c>
      <c r="H690" t="s">
        <v>2257</v>
      </c>
      <c r="I690" t="s">
        <v>2262</v>
      </c>
      <c r="K690">
        <v>3</v>
      </c>
      <c r="L690">
        <v>85</v>
      </c>
      <c r="M690">
        <v>0.1</v>
      </c>
      <c r="N690">
        <v>255</v>
      </c>
      <c r="O690">
        <v>229.5</v>
      </c>
      <c r="P690" t="s">
        <v>2269</v>
      </c>
      <c r="Q690" t="s">
        <v>2270</v>
      </c>
      <c r="R690" t="s">
        <v>2277</v>
      </c>
      <c r="S690" t="s">
        <v>2284</v>
      </c>
      <c r="T690" t="s">
        <v>2289</v>
      </c>
      <c r="U690">
        <v>3</v>
      </c>
      <c r="V690">
        <v>218</v>
      </c>
      <c r="W690">
        <v>35</v>
      </c>
      <c r="X690">
        <v>46.78</v>
      </c>
      <c r="Y690">
        <v>89.16</v>
      </c>
      <c r="Z690" t="s">
        <v>2291</v>
      </c>
      <c r="AA690" t="s">
        <v>2297</v>
      </c>
      <c r="AB690">
        <v>255</v>
      </c>
      <c r="AC690">
        <v>25.5</v>
      </c>
      <c r="AD690">
        <v>229.5</v>
      </c>
      <c r="AE690">
        <v>140.34</v>
      </c>
      <c r="AF690">
        <v>89.16</v>
      </c>
      <c r="AG690">
        <v>2024</v>
      </c>
      <c r="AH690">
        <v>3</v>
      </c>
      <c r="AI690" t="s">
        <v>2305</v>
      </c>
      <c r="AJ690" t="s">
        <v>2314</v>
      </c>
    </row>
    <row r="691" spans="1:36" x14ac:dyDescent="0.3">
      <c r="A691" t="s">
        <v>725</v>
      </c>
      <c r="B691" s="2">
        <v>45314</v>
      </c>
      <c r="C691" t="s">
        <v>1707</v>
      </c>
      <c r="D691" t="s">
        <v>1775</v>
      </c>
      <c r="E691" t="s">
        <v>2071</v>
      </c>
      <c r="F691" t="s">
        <v>2240</v>
      </c>
      <c r="G691" t="s">
        <v>2247</v>
      </c>
      <c r="H691" t="s">
        <v>2257</v>
      </c>
      <c r="I691" t="s">
        <v>2262</v>
      </c>
      <c r="J691" t="s">
        <v>2264</v>
      </c>
      <c r="K691">
        <v>2</v>
      </c>
      <c r="L691">
        <v>100</v>
      </c>
      <c r="M691">
        <v>0.05</v>
      </c>
      <c r="N691">
        <v>200</v>
      </c>
      <c r="O691">
        <v>190</v>
      </c>
      <c r="P691" t="s">
        <v>2267</v>
      </c>
      <c r="Q691" t="s">
        <v>2270</v>
      </c>
      <c r="R691" t="s">
        <v>2279</v>
      </c>
      <c r="S691" t="s">
        <v>2283</v>
      </c>
      <c r="T691" t="s">
        <v>2288</v>
      </c>
      <c r="U691">
        <v>5</v>
      </c>
      <c r="V691">
        <v>155</v>
      </c>
      <c r="W691">
        <v>24</v>
      </c>
      <c r="X691">
        <v>37.32</v>
      </c>
      <c r="Y691">
        <v>115.36</v>
      </c>
      <c r="Z691" t="s">
        <v>2293</v>
      </c>
      <c r="AA691" t="s">
        <v>2299</v>
      </c>
      <c r="AB691">
        <v>200</v>
      </c>
      <c r="AC691">
        <v>10</v>
      </c>
      <c r="AD691">
        <v>190</v>
      </c>
      <c r="AE691">
        <v>74.64</v>
      </c>
      <c r="AF691">
        <v>115.36</v>
      </c>
      <c r="AG691">
        <v>2024</v>
      </c>
      <c r="AH691">
        <v>1</v>
      </c>
      <c r="AI691" t="s">
        <v>2302</v>
      </c>
      <c r="AJ691" t="s">
        <v>2313</v>
      </c>
    </row>
    <row r="692" spans="1:36" x14ac:dyDescent="0.3">
      <c r="A692" t="s">
        <v>726</v>
      </c>
      <c r="B692" s="2">
        <v>45590</v>
      </c>
      <c r="C692" t="s">
        <v>1691</v>
      </c>
      <c r="D692" t="s">
        <v>1825</v>
      </c>
      <c r="E692" t="s">
        <v>2121</v>
      </c>
      <c r="F692" t="s">
        <v>1761</v>
      </c>
      <c r="G692" t="s">
        <v>2248</v>
      </c>
      <c r="H692" t="s">
        <v>2257</v>
      </c>
      <c r="I692" t="s">
        <v>2262</v>
      </c>
      <c r="J692" t="s">
        <v>2264</v>
      </c>
      <c r="K692">
        <v>1</v>
      </c>
      <c r="L692">
        <v>145</v>
      </c>
      <c r="M692">
        <v>0.05</v>
      </c>
      <c r="O692">
        <v>137.75</v>
      </c>
      <c r="P692" t="s">
        <v>2267</v>
      </c>
      <c r="Q692" t="s">
        <v>2272</v>
      </c>
      <c r="R692" t="s">
        <v>2273</v>
      </c>
      <c r="S692" t="s">
        <v>2284</v>
      </c>
      <c r="T692" t="s">
        <v>2289</v>
      </c>
      <c r="U692">
        <v>2</v>
      </c>
      <c r="V692">
        <v>168</v>
      </c>
      <c r="W692">
        <v>34</v>
      </c>
      <c r="X692">
        <v>66.989999999999995</v>
      </c>
      <c r="Y692">
        <v>70.760000000000005</v>
      </c>
      <c r="Z692" t="s">
        <v>2292</v>
      </c>
      <c r="AA692" t="s">
        <v>2296</v>
      </c>
      <c r="AB692">
        <v>145</v>
      </c>
      <c r="AC692">
        <v>7.25</v>
      </c>
      <c r="AD692">
        <v>137.75</v>
      </c>
      <c r="AE692">
        <v>66.989999999999995</v>
      </c>
      <c r="AF692">
        <v>70.760000000000005</v>
      </c>
      <c r="AG692">
        <v>2024</v>
      </c>
      <c r="AH692">
        <v>10</v>
      </c>
      <c r="AI692" t="s">
        <v>2310</v>
      </c>
      <c r="AJ692" t="s">
        <v>2315</v>
      </c>
    </row>
    <row r="693" spans="1:36" x14ac:dyDescent="0.3">
      <c r="A693" t="s">
        <v>727</v>
      </c>
      <c r="B693" s="2">
        <v>45533</v>
      </c>
      <c r="C693" t="s">
        <v>1683</v>
      </c>
      <c r="D693" t="s">
        <v>1815</v>
      </c>
      <c r="E693" t="s">
        <v>2207</v>
      </c>
      <c r="F693" t="s">
        <v>2239</v>
      </c>
      <c r="G693" t="s">
        <v>2254</v>
      </c>
      <c r="H693" t="s">
        <v>2259</v>
      </c>
      <c r="I693" t="s">
        <v>2263</v>
      </c>
      <c r="J693" t="s">
        <v>2266</v>
      </c>
      <c r="K693">
        <v>1</v>
      </c>
      <c r="L693">
        <v>120</v>
      </c>
      <c r="N693">
        <v>120</v>
      </c>
      <c r="P693" t="s">
        <v>2269</v>
      </c>
      <c r="Q693" t="s">
        <v>2270</v>
      </c>
      <c r="R693" t="s">
        <v>2279</v>
      </c>
      <c r="S693" t="s">
        <v>2286</v>
      </c>
      <c r="T693" t="s">
        <v>2288</v>
      </c>
      <c r="U693">
        <v>2</v>
      </c>
      <c r="V693">
        <v>45</v>
      </c>
      <c r="W693">
        <v>56</v>
      </c>
      <c r="X693">
        <v>65.72</v>
      </c>
      <c r="Z693" t="s">
        <v>2293</v>
      </c>
      <c r="AA693" t="s">
        <v>2299</v>
      </c>
      <c r="AB693">
        <v>120</v>
      </c>
      <c r="AC693">
        <v>0</v>
      </c>
      <c r="AD693">
        <v>120</v>
      </c>
      <c r="AE693">
        <v>65.72</v>
      </c>
      <c r="AF693">
        <v>54.28</v>
      </c>
      <c r="AG693">
        <v>2024</v>
      </c>
      <c r="AH693">
        <v>8</v>
      </c>
      <c r="AI693" t="s">
        <v>2301</v>
      </c>
      <c r="AJ693" t="s">
        <v>2316</v>
      </c>
    </row>
    <row r="694" spans="1:36" x14ac:dyDescent="0.3">
      <c r="A694" t="s">
        <v>728</v>
      </c>
      <c r="B694" s="2">
        <v>45387</v>
      </c>
      <c r="C694" t="s">
        <v>1703</v>
      </c>
      <c r="D694" t="s">
        <v>1782</v>
      </c>
      <c r="E694" t="s">
        <v>1946</v>
      </c>
      <c r="F694" t="s">
        <v>2238</v>
      </c>
      <c r="G694" t="s">
        <v>2243</v>
      </c>
      <c r="H694" t="s">
        <v>2258</v>
      </c>
      <c r="I694" t="s">
        <v>2260</v>
      </c>
      <c r="J694" t="s">
        <v>2265</v>
      </c>
      <c r="K694">
        <v>1</v>
      </c>
      <c r="L694">
        <v>80</v>
      </c>
      <c r="M694">
        <v>0.05</v>
      </c>
      <c r="N694">
        <v>80</v>
      </c>
      <c r="O694">
        <v>76</v>
      </c>
      <c r="P694" t="s">
        <v>2269</v>
      </c>
      <c r="Q694" t="s">
        <v>2272</v>
      </c>
      <c r="R694" t="s">
        <v>2276</v>
      </c>
      <c r="S694" t="s">
        <v>2281</v>
      </c>
      <c r="T694" t="s">
        <v>2288</v>
      </c>
      <c r="U694">
        <v>3</v>
      </c>
      <c r="V694">
        <v>199</v>
      </c>
      <c r="W694">
        <v>50</v>
      </c>
      <c r="X694">
        <v>35.32</v>
      </c>
      <c r="Y694">
        <v>40.68</v>
      </c>
      <c r="Z694" t="s">
        <v>2294</v>
      </c>
      <c r="AA694" t="s">
        <v>2297</v>
      </c>
      <c r="AB694">
        <v>80</v>
      </c>
      <c r="AC694">
        <v>4</v>
      </c>
      <c r="AD694">
        <v>76</v>
      </c>
      <c r="AE694">
        <v>35.32</v>
      </c>
      <c r="AF694">
        <v>40.68</v>
      </c>
      <c r="AG694">
        <v>2024</v>
      </c>
      <c r="AH694">
        <v>4</v>
      </c>
      <c r="AI694" t="s">
        <v>2308</v>
      </c>
      <c r="AJ694" t="s">
        <v>2315</v>
      </c>
    </row>
    <row r="695" spans="1:36" x14ac:dyDescent="0.3">
      <c r="A695" t="s">
        <v>729</v>
      </c>
      <c r="B695" s="2">
        <v>45628</v>
      </c>
      <c r="C695" t="s">
        <v>1658</v>
      </c>
      <c r="D695" t="s">
        <v>1772</v>
      </c>
      <c r="E695" t="s">
        <v>1987</v>
      </c>
      <c r="F695" t="s">
        <v>1761</v>
      </c>
      <c r="G695" t="s">
        <v>2241</v>
      </c>
      <c r="H695" t="s">
        <v>2257</v>
      </c>
      <c r="I695" t="s">
        <v>2262</v>
      </c>
      <c r="J695" t="s">
        <v>2266</v>
      </c>
      <c r="K695">
        <v>1</v>
      </c>
      <c r="L695">
        <v>135</v>
      </c>
      <c r="N695">
        <v>135</v>
      </c>
      <c r="P695" t="s">
        <v>2268</v>
      </c>
      <c r="Q695" t="s">
        <v>2270</v>
      </c>
      <c r="R695" t="s">
        <v>2277</v>
      </c>
      <c r="S695" t="s">
        <v>2280</v>
      </c>
      <c r="T695" t="s">
        <v>2290</v>
      </c>
      <c r="U695">
        <v>4</v>
      </c>
      <c r="W695">
        <v>21</v>
      </c>
      <c r="X695">
        <v>48.82</v>
      </c>
      <c r="Z695" t="s">
        <v>2295</v>
      </c>
      <c r="AA695" t="s">
        <v>1761</v>
      </c>
      <c r="AB695">
        <v>135</v>
      </c>
      <c r="AC695">
        <v>0</v>
      </c>
      <c r="AD695">
        <v>135</v>
      </c>
      <c r="AE695">
        <v>48.82</v>
      </c>
      <c r="AF695">
        <v>86.18</v>
      </c>
      <c r="AG695">
        <v>2024</v>
      </c>
      <c r="AH695">
        <v>12</v>
      </c>
      <c r="AI695" t="s">
        <v>2309</v>
      </c>
      <c r="AJ695" t="s">
        <v>2314</v>
      </c>
    </row>
    <row r="696" spans="1:36" x14ac:dyDescent="0.3">
      <c r="A696" t="s">
        <v>730</v>
      </c>
      <c r="B696" s="2">
        <v>45430</v>
      </c>
      <c r="C696" t="s">
        <v>1672</v>
      </c>
      <c r="D696" t="s">
        <v>1882</v>
      </c>
      <c r="E696" t="s">
        <v>2198</v>
      </c>
      <c r="F696" t="s">
        <v>2239</v>
      </c>
      <c r="G696" t="s">
        <v>2246</v>
      </c>
      <c r="H696" t="s">
        <v>2259</v>
      </c>
      <c r="I696" t="s">
        <v>2262</v>
      </c>
      <c r="J696" t="s">
        <v>2265</v>
      </c>
      <c r="K696">
        <v>1</v>
      </c>
      <c r="L696">
        <v>90</v>
      </c>
      <c r="M696">
        <v>0</v>
      </c>
      <c r="N696">
        <v>90</v>
      </c>
      <c r="O696">
        <v>90</v>
      </c>
      <c r="P696" t="s">
        <v>2267</v>
      </c>
      <c r="Q696" t="s">
        <v>2272</v>
      </c>
      <c r="R696" t="s">
        <v>2275</v>
      </c>
      <c r="S696" t="s">
        <v>2284</v>
      </c>
      <c r="T696" t="s">
        <v>2288</v>
      </c>
      <c r="U696">
        <v>1</v>
      </c>
      <c r="V696">
        <v>314</v>
      </c>
      <c r="W696">
        <v>38</v>
      </c>
      <c r="X696">
        <v>38.090000000000003</v>
      </c>
      <c r="Y696">
        <v>51.91</v>
      </c>
      <c r="Z696" t="s">
        <v>2293</v>
      </c>
      <c r="AA696" t="s">
        <v>2297</v>
      </c>
      <c r="AB696">
        <v>90</v>
      </c>
      <c r="AC696">
        <v>0</v>
      </c>
      <c r="AD696">
        <v>90</v>
      </c>
      <c r="AE696">
        <v>38.090000000000003</v>
      </c>
      <c r="AF696">
        <v>51.91</v>
      </c>
      <c r="AG696">
        <v>2024</v>
      </c>
      <c r="AH696">
        <v>5</v>
      </c>
      <c r="AI696" t="s">
        <v>2306</v>
      </c>
      <c r="AJ696" t="s">
        <v>2317</v>
      </c>
    </row>
    <row r="697" spans="1:36" x14ac:dyDescent="0.3">
      <c r="A697" t="s">
        <v>731</v>
      </c>
      <c r="B697" s="2">
        <v>45495</v>
      </c>
      <c r="C697" t="s">
        <v>1651</v>
      </c>
      <c r="D697" t="s">
        <v>1934</v>
      </c>
      <c r="E697" t="s">
        <v>2208</v>
      </c>
      <c r="F697" t="s">
        <v>2240</v>
      </c>
      <c r="G697" t="s">
        <v>2256</v>
      </c>
      <c r="H697" t="s">
        <v>2261</v>
      </c>
      <c r="I697" t="s">
        <v>2260</v>
      </c>
      <c r="J697" t="s">
        <v>2264</v>
      </c>
      <c r="K697">
        <v>1</v>
      </c>
      <c r="L697">
        <v>195</v>
      </c>
      <c r="M697">
        <v>0.05</v>
      </c>
      <c r="N697">
        <v>195</v>
      </c>
      <c r="O697">
        <v>185.25</v>
      </c>
      <c r="P697" t="s">
        <v>2268</v>
      </c>
      <c r="R697" t="s">
        <v>2279</v>
      </c>
      <c r="S697" t="s">
        <v>2286</v>
      </c>
      <c r="T697" t="s">
        <v>2288</v>
      </c>
      <c r="U697">
        <v>4</v>
      </c>
      <c r="V697">
        <v>243</v>
      </c>
      <c r="W697">
        <v>28</v>
      </c>
      <c r="X697">
        <v>112.85</v>
      </c>
      <c r="Y697">
        <v>72.400000000000006</v>
      </c>
      <c r="Z697" t="s">
        <v>1761</v>
      </c>
      <c r="AA697" t="s">
        <v>1761</v>
      </c>
      <c r="AB697">
        <v>195</v>
      </c>
      <c r="AC697">
        <v>9.75</v>
      </c>
      <c r="AD697">
        <v>185.25</v>
      </c>
      <c r="AE697">
        <v>112.85</v>
      </c>
      <c r="AF697">
        <v>72.400000000000006</v>
      </c>
      <c r="AG697">
        <v>2024</v>
      </c>
      <c r="AH697">
        <v>7</v>
      </c>
      <c r="AI697" t="s">
        <v>2307</v>
      </c>
      <c r="AJ697" t="s">
        <v>2314</v>
      </c>
    </row>
    <row r="698" spans="1:36" x14ac:dyDescent="0.3">
      <c r="A698" t="s">
        <v>732</v>
      </c>
      <c r="B698" s="2">
        <v>45453</v>
      </c>
      <c r="C698" t="s">
        <v>1710</v>
      </c>
      <c r="D698" t="s">
        <v>1912</v>
      </c>
      <c r="E698" t="s">
        <v>2108</v>
      </c>
      <c r="F698" t="s">
        <v>2239</v>
      </c>
      <c r="G698" t="s">
        <v>2253</v>
      </c>
      <c r="H698" t="s">
        <v>2258</v>
      </c>
      <c r="I698" t="s">
        <v>2260</v>
      </c>
      <c r="J698" t="s">
        <v>2264</v>
      </c>
      <c r="K698">
        <v>2</v>
      </c>
      <c r="L698">
        <v>100</v>
      </c>
      <c r="M698">
        <v>0.05</v>
      </c>
      <c r="N698">
        <v>200</v>
      </c>
      <c r="O698">
        <v>190</v>
      </c>
      <c r="Q698" t="s">
        <v>2270</v>
      </c>
      <c r="R698" t="s">
        <v>2279</v>
      </c>
      <c r="S698" t="s">
        <v>2285</v>
      </c>
      <c r="T698" t="s">
        <v>2288</v>
      </c>
      <c r="U698">
        <v>5</v>
      </c>
      <c r="V698">
        <v>96</v>
      </c>
      <c r="W698">
        <v>55</v>
      </c>
      <c r="X698">
        <v>46.37</v>
      </c>
      <c r="Y698">
        <v>97.26</v>
      </c>
      <c r="Z698" t="s">
        <v>2291</v>
      </c>
      <c r="AA698" t="s">
        <v>2296</v>
      </c>
      <c r="AB698">
        <v>200</v>
      </c>
      <c r="AC698">
        <v>10</v>
      </c>
      <c r="AD698">
        <v>190</v>
      </c>
      <c r="AE698">
        <v>92.74</v>
      </c>
      <c r="AF698">
        <v>97.26</v>
      </c>
      <c r="AG698">
        <v>2024</v>
      </c>
      <c r="AH698">
        <v>6</v>
      </c>
      <c r="AI698" t="s">
        <v>2304</v>
      </c>
      <c r="AJ698" t="s">
        <v>2314</v>
      </c>
    </row>
    <row r="699" spans="1:36" x14ac:dyDescent="0.3">
      <c r="A699" t="s">
        <v>733</v>
      </c>
      <c r="B699" s="2">
        <v>45528</v>
      </c>
      <c r="C699" t="s">
        <v>1672</v>
      </c>
      <c r="D699" t="s">
        <v>1751</v>
      </c>
      <c r="E699" t="s">
        <v>1961</v>
      </c>
      <c r="F699" t="s">
        <v>1761</v>
      </c>
      <c r="G699" t="s">
        <v>2252</v>
      </c>
      <c r="H699" t="s">
        <v>2257</v>
      </c>
      <c r="I699" t="s">
        <v>2262</v>
      </c>
      <c r="J699" t="s">
        <v>2264</v>
      </c>
      <c r="K699">
        <v>4</v>
      </c>
      <c r="L699">
        <v>85</v>
      </c>
      <c r="M699">
        <v>0.15</v>
      </c>
      <c r="N699">
        <v>340</v>
      </c>
      <c r="O699">
        <v>289</v>
      </c>
      <c r="P699" t="s">
        <v>2269</v>
      </c>
      <c r="Q699" t="s">
        <v>2271</v>
      </c>
      <c r="R699" t="s">
        <v>2279</v>
      </c>
      <c r="S699" t="s">
        <v>2281</v>
      </c>
      <c r="T699" t="s">
        <v>2290</v>
      </c>
      <c r="U699">
        <v>3</v>
      </c>
      <c r="V699">
        <v>154</v>
      </c>
      <c r="X699">
        <v>49.08</v>
      </c>
      <c r="Y699">
        <v>92.68</v>
      </c>
      <c r="Z699" t="s">
        <v>2293</v>
      </c>
      <c r="AA699" t="s">
        <v>2297</v>
      </c>
      <c r="AB699">
        <v>340</v>
      </c>
      <c r="AC699">
        <v>51</v>
      </c>
      <c r="AD699">
        <v>289</v>
      </c>
      <c r="AE699">
        <v>196.32</v>
      </c>
      <c r="AF699">
        <v>92.68</v>
      </c>
      <c r="AG699">
        <v>2024</v>
      </c>
      <c r="AH699">
        <v>8</v>
      </c>
      <c r="AI699" t="s">
        <v>2301</v>
      </c>
      <c r="AJ699" t="s">
        <v>2317</v>
      </c>
    </row>
    <row r="700" spans="1:36" x14ac:dyDescent="0.3">
      <c r="A700" t="s">
        <v>734</v>
      </c>
      <c r="B700" s="2">
        <v>45611</v>
      </c>
      <c r="C700" t="s">
        <v>1641</v>
      </c>
      <c r="D700" t="s">
        <v>1920</v>
      </c>
      <c r="E700" t="s">
        <v>2129</v>
      </c>
      <c r="F700" t="s">
        <v>2239</v>
      </c>
      <c r="G700" t="s">
        <v>2243</v>
      </c>
      <c r="H700" t="s">
        <v>2258</v>
      </c>
      <c r="I700" t="s">
        <v>2260</v>
      </c>
      <c r="K700">
        <v>1</v>
      </c>
      <c r="L700">
        <v>70</v>
      </c>
      <c r="M700">
        <v>0.05</v>
      </c>
      <c r="N700">
        <v>70</v>
      </c>
      <c r="O700">
        <v>66.5</v>
      </c>
      <c r="P700" t="s">
        <v>2267</v>
      </c>
      <c r="Q700" t="s">
        <v>2272</v>
      </c>
      <c r="R700" t="s">
        <v>2278</v>
      </c>
      <c r="S700" t="s">
        <v>2282</v>
      </c>
      <c r="T700" t="s">
        <v>2290</v>
      </c>
      <c r="U700">
        <v>5</v>
      </c>
      <c r="V700">
        <v>177</v>
      </c>
      <c r="W700">
        <v>13</v>
      </c>
      <c r="X700">
        <v>24.69</v>
      </c>
      <c r="Y700">
        <v>41.81</v>
      </c>
      <c r="Z700" t="s">
        <v>2294</v>
      </c>
      <c r="AA700" t="s">
        <v>2298</v>
      </c>
      <c r="AB700">
        <v>70</v>
      </c>
      <c r="AC700">
        <v>3.5</v>
      </c>
      <c r="AD700">
        <v>66.5</v>
      </c>
      <c r="AE700">
        <v>24.69</v>
      </c>
      <c r="AF700">
        <v>41.81</v>
      </c>
      <c r="AG700">
        <v>2024</v>
      </c>
      <c r="AH700">
        <v>11</v>
      </c>
      <c r="AI700" t="s">
        <v>2311</v>
      </c>
      <c r="AJ700" t="s">
        <v>2315</v>
      </c>
    </row>
    <row r="701" spans="1:36" x14ac:dyDescent="0.3">
      <c r="A701" t="s">
        <v>735</v>
      </c>
      <c r="B701" s="2">
        <v>45469</v>
      </c>
      <c r="C701" t="s">
        <v>1702</v>
      </c>
      <c r="D701" t="s">
        <v>1880</v>
      </c>
      <c r="E701" t="s">
        <v>1761</v>
      </c>
      <c r="F701" t="s">
        <v>1761</v>
      </c>
      <c r="G701" t="s">
        <v>2249</v>
      </c>
      <c r="H701" t="s">
        <v>2257</v>
      </c>
      <c r="I701" t="s">
        <v>2263</v>
      </c>
      <c r="J701" t="s">
        <v>2265</v>
      </c>
      <c r="K701">
        <v>1</v>
      </c>
      <c r="L701">
        <v>170</v>
      </c>
      <c r="M701">
        <v>0.05</v>
      </c>
      <c r="N701">
        <v>170</v>
      </c>
      <c r="O701">
        <v>161.5</v>
      </c>
      <c r="R701" t="s">
        <v>2278</v>
      </c>
      <c r="S701" t="s">
        <v>2280</v>
      </c>
      <c r="T701" t="s">
        <v>2288</v>
      </c>
      <c r="V701">
        <v>321</v>
      </c>
      <c r="W701">
        <v>46</v>
      </c>
      <c r="X701">
        <v>79.62</v>
      </c>
      <c r="Y701">
        <v>81.88</v>
      </c>
      <c r="Z701" t="s">
        <v>2291</v>
      </c>
      <c r="AA701" t="s">
        <v>2299</v>
      </c>
      <c r="AB701">
        <v>170</v>
      </c>
      <c r="AC701">
        <v>8.5</v>
      </c>
      <c r="AD701">
        <v>161.5</v>
      </c>
      <c r="AE701">
        <v>79.62</v>
      </c>
      <c r="AF701">
        <v>81.88</v>
      </c>
      <c r="AG701">
        <v>2024</v>
      </c>
      <c r="AH701">
        <v>6</v>
      </c>
      <c r="AI701" t="s">
        <v>2304</v>
      </c>
      <c r="AJ701" t="s">
        <v>2312</v>
      </c>
    </row>
    <row r="702" spans="1:36" x14ac:dyDescent="0.3">
      <c r="A702" t="s">
        <v>736</v>
      </c>
      <c r="B702" s="2">
        <v>45524</v>
      </c>
      <c r="C702" t="s">
        <v>1683</v>
      </c>
      <c r="D702" t="s">
        <v>1751</v>
      </c>
      <c r="E702" t="s">
        <v>2078</v>
      </c>
      <c r="F702" t="s">
        <v>1761</v>
      </c>
      <c r="G702" t="s">
        <v>2242</v>
      </c>
      <c r="H702" t="s">
        <v>2258</v>
      </c>
      <c r="I702" t="s">
        <v>2260</v>
      </c>
      <c r="J702" t="s">
        <v>2264</v>
      </c>
      <c r="K702">
        <v>2</v>
      </c>
      <c r="L702">
        <v>125</v>
      </c>
      <c r="M702">
        <v>0</v>
      </c>
      <c r="N702">
        <v>250</v>
      </c>
      <c r="O702">
        <v>250</v>
      </c>
      <c r="P702" t="s">
        <v>2268</v>
      </c>
      <c r="R702" t="s">
        <v>2276</v>
      </c>
      <c r="S702" t="s">
        <v>2287</v>
      </c>
      <c r="T702" t="s">
        <v>2290</v>
      </c>
      <c r="U702">
        <v>4</v>
      </c>
      <c r="V702">
        <v>6</v>
      </c>
      <c r="X702">
        <v>55.77</v>
      </c>
      <c r="Y702">
        <v>138.46</v>
      </c>
      <c r="Z702" t="s">
        <v>2291</v>
      </c>
      <c r="AA702" t="s">
        <v>2298</v>
      </c>
      <c r="AB702">
        <v>250</v>
      </c>
      <c r="AC702">
        <v>0</v>
      </c>
      <c r="AD702">
        <v>250</v>
      </c>
      <c r="AE702">
        <v>111.54</v>
      </c>
      <c r="AF702">
        <v>138.46</v>
      </c>
      <c r="AG702">
        <v>2024</v>
      </c>
      <c r="AH702">
        <v>8</v>
      </c>
      <c r="AI702" t="s">
        <v>2301</v>
      </c>
      <c r="AJ702" t="s">
        <v>2313</v>
      </c>
    </row>
    <row r="703" spans="1:36" x14ac:dyDescent="0.3">
      <c r="A703" t="s">
        <v>737</v>
      </c>
      <c r="B703" s="2">
        <v>45604</v>
      </c>
      <c r="C703" t="s">
        <v>1679</v>
      </c>
      <c r="D703" t="s">
        <v>1775</v>
      </c>
      <c r="E703" t="s">
        <v>2209</v>
      </c>
      <c r="F703" t="s">
        <v>2239</v>
      </c>
      <c r="G703" t="s">
        <v>2245</v>
      </c>
      <c r="H703" t="s">
        <v>2257</v>
      </c>
      <c r="I703" t="s">
        <v>2263</v>
      </c>
      <c r="J703" t="s">
        <v>2265</v>
      </c>
      <c r="K703">
        <v>1</v>
      </c>
      <c r="L703">
        <v>160</v>
      </c>
      <c r="M703">
        <v>0.1</v>
      </c>
      <c r="N703">
        <v>160</v>
      </c>
      <c r="O703">
        <v>144</v>
      </c>
      <c r="P703" t="s">
        <v>2268</v>
      </c>
      <c r="Q703" t="s">
        <v>2272</v>
      </c>
      <c r="R703" t="s">
        <v>2275</v>
      </c>
      <c r="S703" t="s">
        <v>2282</v>
      </c>
      <c r="T703" t="s">
        <v>2288</v>
      </c>
      <c r="U703">
        <v>4</v>
      </c>
      <c r="V703">
        <v>497</v>
      </c>
      <c r="W703">
        <v>42</v>
      </c>
      <c r="X703">
        <v>56.3</v>
      </c>
      <c r="Y703">
        <v>87.7</v>
      </c>
      <c r="Z703" t="s">
        <v>1761</v>
      </c>
      <c r="AA703" t="s">
        <v>1761</v>
      </c>
      <c r="AB703">
        <v>160</v>
      </c>
      <c r="AC703">
        <v>16</v>
      </c>
      <c r="AD703">
        <v>144</v>
      </c>
      <c r="AE703">
        <v>56.3</v>
      </c>
      <c r="AF703">
        <v>87.7</v>
      </c>
      <c r="AG703">
        <v>2024</v>
      </c>
      <c r="AH703">
        <v>11</v>
      </c>
      <c r="AI703" t="s">
        <v>2311</v>
      </c>
      <c r="AJ703" t="s">
        <v>2315</v>
      </c>
    </row>
    <row r="704" spans="1:36" x14ac:dyDescent="0.3">
      <c r="A704" t="s">
        <v>738</v>
      </c>
      <c r="B704" s="2">
        <v>45417</v>
      </c>
      <c r="C704" t="s">
        <v>1653</v>
      </c>
      <c r="D704" t="s">
        <v>1776</v>
      </c>
      <c r="E704" t="s">
        <v>2210</v>
      </c>
      <c r="F704" t="s">
        <v>2239</v>
      </c>
      <c r="G704" t="s">
        <v>2242</v>
      </c>
      <c r="H704" t="s">
        <v>2258</v>
      </c>
      <c r="I704" t="s">
        <v>2260</v>
      </c>
      <c r="J704" t="s">
        <v>2264</v>
      </c>
      <c r="K704">
        <v>1</v>
      </c>
      <c r="L704">
        <v>120</v>
      </c>
      <c r="M704">
        <v>0.15</v>
      </c>
      <c r="N704">
        <v>120</v>
      </c>
      <c r="O704">
        <v>102</v>
      </c>
      <c r="P704" t="s">
        <v>2267</v>
      </c>
      <c r="Q704" t="s">
        <v>2271</v>
      </c>
      <c r="R704" t="s">
        <v>2273</v>
      </c>
      <c r="S704" t="s">
        <v>2280</v>
      </c>
      <c r="T704" t="s">
        <v>2288</v>
      </c>
      <c r="U704">
        <v>3</v>
      </c>
      <c r="V704">
        <v>380</v>
      </c>
      <c r="W704">
        <v>57</v>
      </c>
      <c r="X704">
        <v>63.92</v>
      </c>
      <c r="Y704">
        <v>38.08</v>
      </c>
      <c r="Z704" t="s">
        <v>1761</v>
      </c>
      <c r="AA704" t="s">
        <v>2296</v>
      </c>
      <c r="AB704">
        <v>120</v>
      </c>
      <c r="AC704">
        <v>18</v>
      </c>
      <c r="AD704">
        <v>102</v>
      </c>
      <c r="AE704">
        <v>63.92</v>
      </c>
      <c r="AF704">
        <v>38.08</v>
      </c>
      <c r="AG704">
        <v>2024</v>
      </c>
      <c r="AH704">
        <v>5</v>
      </c>
      <c r="AI704" t="s">
        <v>2306</v>
      </c>
      <c r="AJ704" t="s">
        <v>2318</v>
      </c>
    </row>
    <row r="705" spans="1:36" x14ac:dyDescent="0.3">
      <c r="A705" t="s">
        <v>739</v>
      </c>
      <c r="B705" s="2">
        <v>45630</v>
      </c>
      <c r="C705" t="s">
        <v>1670</v>
      </c>
      <c r="D705" t="s">
        <v>1759</v>
      </c>
      <c r="E705" t="s">
        <v>2148</v>
      </c>
      <c r="F705" t="s">
        <v>1761</v>
      </c>
      <c r="G705" t="s">
        <v>2249</v>
      </c>
      <c r="H705" t="s">
        <v>2257</v>
      </c>
      <c r="I705" t="s">
        <v>2263</v>
      </c>
      <c r="J705" t="s">
        <v>2266</v>
      </c>
      <c r="K705">
        <v>2</v>
      </c>
      <c r="L705">
        <v>155</v>
      </c>
      <c r="M705">
        <v>0.1</v>
      </c>
      <c r="N705">
        <v>310</v>
      </c>
      <c r="O705">
        <v>279</v>
      </c>
      <c r="P705" t="s">
        <v>2269</v>
      </c>
      <c r="Q705" t="s">
        <v>2270</v>
      </c>
      <c r="R705" t="s">
        <v>2276</v>
      </c>
      <c r="S705" t="s">
        <v>2282</v>
      </c>
      <c r="T705" t="s">
        <v>2288</v>
      </c>
      <c r="U705">
        <v>3</v>
      </c>
      <c r="W705">
        <v>18</v>
      </c>
      <c r="X705">
        <v>84.56</v>
      </c>
      <c r="Y705">
        <v>109.88</v>
      </c>
      <c r="Z705" t="s">
        <v>2293</v>
      </c>
      <c r="AA705" t="s">
        <v>2299</v>
      </c>
      <c r="AB705">
        <v>310</v>
      </c>
      <c r="AC705">
        <v>31</v>
      </c>
      <c r="AD705">
        <v>279</v>
      </c>
      <c r="AE705">
        <v>169.12</v>
      </c>
      <c r="AF705">
        <v>109.88</v>
      </c>
      <c r="AG705">
        <v>2024</v>
      </c>
      <c r="AH705">
        <v>12</v>
      </c>
      <c r="AI705" t="s">
        <v>2309</v>
      </c>
      <c r="AJ705" t="s">
        <v>2312</v>
      </c>
    </row>
    <row r="706" spans="1:36" x14ac:dyDescent="0.3">
      <c r="A706" t="s">
        <v>740</v>
      </c>
      <c r="B706" s="2">
        <v>45292</v>
      </c>
      <c r="C706" t="s">
        <v>1664</v>
      </c>
      <c r="D706" t="s">
        <v>1807</v>
      </c>
      <c r="E706" t="s">
        <v>1947</v>
      </c>
      <c r="F706" t="s">
        <v>2240</v>
      </c>
      <c r="G706" t="s">
        <v>2250</v>
      </c>
      <c r="H706" t="s">
        <v>2259</v>
      </c>
      <c r="I706" t="s">
        <v>2262</v>
      </c>
      <c r="K706">
        <v>1</v>
      </c>
      <c r="L706">
        <v>75</v>
      </c>
      <c r="M706">
        <v>0.05</v>
      </c>
      <c r="N706">
        <v>75</v>
      </c>
      <c r="O706">
        <v>71.25</v>
      </c>
      <c r="P706" t="s">
        <v>2269</v>
      </c>
      <c r="Q706" t="s">
        <v>2270</v>
      </c>
      <c r="R706" t="s">
        <v>2278</v>
      </c>
      <c r="S706" t="s">
        <v>2284</v>
      </c>
      <c r="T706" t="s">
        <v>2288</v>
      </c>
      <c r="U706">
        <v>3</v>
      </c>
      <c r="V706">
        <v>478</v>
      </c>
      <c r="W706">
        <v>46</v>
      </c>
      <c r="X706">
        <v>42.92</v>
      </c>
      <c r="Y706">
        <v>28.33</v>
      </c>
      <c r="Z706" t="s">
        <v>2293</v>
      </c>
      <c r="AA706" t="s">
        <v>1761</v>
      </c>
      <c r="AB706">
        <v>75</v>
      </c>
      <c r="AC706">
        <v>3.75</v>
      </c>
      <c r="AD706">
        <v>71.25</v>
      </c>
      <c r="AE706">
        <v>42.92</v>
      </c>
      <c r="AF706">
        <v>28.33</v>
      </c>
      <c r="AG706">
        <v>2024</v>
      </c>
      <c r="AH706">
        <v>1</v>
      </c>
      <c r="AI706" t="s">
        <v>2302</v>
      </c>
      <c r="AJ706" t="s">
        <v>2314</v>
      </c>
    </row>
    <row r="707" spans="1:36" x14ac:dyDescent="0.3">
      <c r="A707" t="s">
        <v>741</v>
      </c>
      <c r="B707" s="2">
        <v>45433</v>
      </c>
      <c r="C707" t="s">
        <v>1680</v>
      </c>
      <c r="D707" t="s">
        <v>1827</v>
      </c>
      <c r="E707" t="s">
        <v>1761</v>
      </c>
      <c r="F707" t="s">
        <v>2240</v>
      </c>
      <c r="G707" t="s">
        <v>2245</v>
      </c>
      <c r="H707" t="s">
        <v>2257</v>
      </c>
      <c r="I707" t="s">
        <v>2263</v>
      </c>
      <c r="J707" t="s">
        <v>2266</v>
      </c>
      <c r="K707">
        <v>1</v>
      </c>
      <c r="L707">
        <v>160</v>
      </c>
      <c r="N707">
        <v>160</v>
      </c>
      <c r="P707" t="s">
        <v>2267</v>
      </c>
      <c r="Q707" t="s">
        <v>2272</v>
      </c>
      <c r="R707" t="s">
        <v>2274</v>
      </c>
      <c r="S707" t="s">
        <v>2281</v>
      </c>
      <c r="T707" t="s">
        <v>2288</v>
      </c>
      <c r="U707">
        <v>2</v>
      </c>
      <c r="V707">
        <v>91</v>
      </c>
      <c r="W707">
        <v>54</v>
      </c>
      <c r="X707">
        <v>67.84</v>
      </c>
      <c r="Z707" t="s">
        <v>2293</v>
      </c>
      <c r="AA707" t="s">
        <v>2297</v>
      </c>
      <c r="AB707">
        <v>160</v>
      </c>
      <c r="AC707">
        <v>0</v>
      </c>
      <c r="AD707">
        <v>160</v>
      </c>
      <c r="AE707">
        <v>67.84</v>
      </c>
      <c r="AF707">
        <v>92.16</v>
      </c>
      <c r="AG707">
        <v>2024</v>
      </c>
      <c r="AH707">
        <v>5</v>
      </c>
      <c r="AI707" t="s">
        <v>2306</v>
      </c>
      <c r="AJ707" t="s">
        <v>2313</v>
      </c>
    </row>
    <row r="708" spans="1:36" x14ac:dyDescent="0.3">
      <c r="A708" t="s">
        <v>742</v>
      </c>
      <c r="B708" s="2">
        <v>45513</v>
      </c>
      <c r="C708" t="s">
        <v>1643</v>
      </c>
      <c r="D708" t="s">
        <v>1838</v>
      </c>
      <c r="E708" t="s">
        <v>2029</v>
      </c>
      <c r="F708" t="s">
        <v>2239</v>
      </c>
      <c r="G708" t="s">
        <v>2241</v>
      </c>
      <c r="H708" t="s">
        <v>2257</v>
      </c>
      <c r="I708" t="s">
        <v>2262</v>
      </c>
      <c r="J708" t="s">
        <v>2264</v>
      </c>
      <c r="K708">
        <v>4</v>
      </c>
      <c r="L708">
        <v>135</v>
      </c>
      <c r="M708">
        <v>0</v>
      </c>
      <c r="N708">
        <v>540</v>
      </c>
      <c r="O708">
        <v>540</v>
      </c>
      <c r="P708" t="s">
        <v>2267</v>
      </c>
      <c r="Q708" t="s">
        <v>2272</v>
      </c>
      <c r="R708" t="s">
        <v>2274</v>
      </c>
      <c r="S708" t="s">
        <v>2281</v>
      </c>
      <c r="T708" t="s">
        <v>2290</v>
      </c>
      <c r="U708">
        <v>3</v>
      </c>
      <c r="V708">
        <v>76</v>
      </c>
      <c r="X708">
        <v>63.36</v>
      </c>
      <c r="Y708">
        <v>286.56</v>
      </c>
      <c r="Z708" t="s">
        <v>2291</v>
      </c>
      <c r="AA708" t="s">
        <v>2296</v>
      </c>
      <c r="AB708">
        <v>540</v>
      </c>
      <c r="AC708">
        <v>0</v>
      </c>
      <c r="AD708">
        <v>540</v>
      </c>
      <c r="AE708">
        <v>253.44</v>
      </c>
      <c r="AF708">
        <v>286.56</v>
      </c>
      <c r="AG708">
        <v>2024</v>
      </c>
      <c r="AH708">
        <v>8</v>
      </c>
      <c r="AI708" t="s">
        <v>2301</v>
      </c>
      <c r="AJ708" t="s">
        <v>2315</v>
      </c>
    </row>
    <row r="709" spans="1:36" x14ac:dyDescent="0.3">
      <c r="A709" t="s">
        <v>743</v>
      </c>
      <c r="B709" s="2">
        <v>45579</v>
      </c>
      <c r="C709" t="s">
        <v>1731</v>
      </c>
      <c r="D709" t="s">
        <v>1885</v>
      </c>
      <c r="E709" t="s">
        <v>2147</v>
      </c>
      <c r="F709" t="s">
        <v>2239</v>
      </c>
      <c r="G709" t="s">
        <v>2250</v>
      </c>
      <c r="H709" t="s">
        <v>2259</v>
      </c>
      <c r="I709" t="s">
        <v>2262</v>
      </c>
      <c r="J709" t="s">
        <v>2266</v>
      </c>
      <c r="L709">
        <v>80</v>
      </c>
      <c r="M709">
        <v>0.1</v>
      </c>
      <c r="N709">
        <v>80</v>
      </c>
      <c r="O709">
        <v>72</v>
      </c>
      <c r="P709" t="s">
        <v>2267</v>
      </c>
      <c r="R709" t="s">
        <v>2273</v>
      </c>
      <c r="S709" t="s">
        <v>2280</v>
      </c>
      <c r="T709" t="s">
        <v>2288</v>
      </c>
      <c r="U709">
        <v>5</v>
      </c>
      <c r="V709">
        <v>186</v>
      </c>
      <c r="W709">
        <v>16</v>
      </c>
      <c r="X709">
        <v>35.049999999999997</v>
      </c>
      <c r="Y709">
        <v>36.950000000000003</v>
      </c>
      <c r="Z709" t="s">
        <v>2292</v>
      </c>
      <c r="AA709" t="s">
        <v>2297</v>
      </c>
      <c r="AG709">
        <v>2024</v>
      </c>
      <c r="AH709">
        <v>10</v>
      </c>
      <c r="AI709" t="s">
        <v>2310</v>
      </c>
      <c r="AJ709" t="s">
        <v>2314</v>
      </c>
    </row>
    <row r="710" spans="1:36" x14ac:dyDescent="0.3">
      <c r="A710" t="s">
        <v>744</v>
      </c>
      <c r="B710" s="2">
        <v>45384</v>
      </c>
      <c r="C710" t="s">
        <v>1675</v>
      </c>
      <c r="D710" t="s">
        <v>1821</v>
      </c>
      <c r="E710" t="s">
        <v>1948</v>
      </c>
      <c r="F710" t="s">
        <v>2239</v>
      </c>
      <c r="G710" t="s">
        <v>2253</v>
      </c>
      <c r="H710" t="s">
        <v>2258</v>
      </c>
      <c r="I710" t="s">
        <v>2260</v>
      </c>
      <c r="K710">
        <v>2</v>
      </c>
      <c r="L710">
        <v>85</v>
      </c>
      <c r="N710">
        <v>170</v>
      </c>
      <c r="P710" t="s">
        <v>2269</v>
      </c>
      <c r="Q710" t="s">
        <v>2272</v>
      </c>
      <c r="R710" t="s">
        <v>2279</v>
      </c>
      <c r="S710" t="s">
        <v>2286</v>
      </c>
      <c r="T710" t="s">
        <v>2290</v>
      </c>
      <c r="U710">
        <v>2</v>
      </c>
      <c r="V710">
        <v>201</v>
      </c>
      <c r="X710">
        <v>48.18</v>
      </c>
      <c r="Z710" t="s">
        <v>2293</v>
      </c>
      <c r="AA710" t="s">
        <v>2299</v>
      </c>
      <c r="AB710">
        <v>170</v>
      </c>
      <c r="AC710">
        <v>0</v>
      </c>
      <c r="AD710">
        <v>170</v>
      </c>
      <c r="AE710">
        <v>96.36</v>
      </c>
      <c r="AF710">
        <v>73.64</v>
      </c>
      <c r="AG710">
        <v>2024</v>
      </c>
      <c r="AH710">
        <v>4</v>
      </c>
      <c r="AI710" t="s">
        <v>2308</v>
      </c>
      <c r="AJ710" t="s">
        <v>2313</v>
      </c>
    </row>
    <row r="711" spans="1:36" x14ac:dyDescent="0.3">
      <c r="A711" t="s">
        <v>745</v>
      </c>
      <c r="B711" s="2">
        <v>45358</v>
      </c>
      <c r="C711" t="s">
        <v>1669</v>
      </c>
      <c r="D711" t="s">
        <v>1862</v>
      </c>
      <c r="E711" t="s">
        <v>2061</v>
      </c>
      <c r="F711" t="s">
        <v>2240</v>
      </c>
      <c r="G711" t="s">
        <v>2251</v>
      </c>
      <c r="H711" t="s">
        <v>2258</v>
      </c>
      <c r="I711" t="s">
        <v>2260</v>
      </c>
      <c r="J711" t="s">
        <v>2265</v>
      </c>
      <c r="K711">
        <v>4</v>
      </c>
      <c r="L711">
        <v>100</v>
      </c>
      <c r="M711">
        <v>0.05</v>
      </c>
      <c r="N711">
        <v>400</v>
      </c>
      <c r="O711">
        <v>380</v>
      </c>
      <c r="P711" t="s">
        <v>2267</v>
      </c>
      <c r="Q711" t="s">
        <v>2272</v>
      </c>
      <c r="R711" t="s">
        <v>2274</v>
      </c>
      <c r="S711" t="s">
        <v>2287</v>
      </c>
      <c r="T711" t="s">
        <v>2288</v>
      </c>
      <c r="V711">
        <v>201</v>
      </c>
      <c r="X711">
        <v>59.1</v>
      </c>
      <c r="Y711">
        <v>143.6</v>
      </c>
      <c r="Z711" t="s">
        <v>1761</v>
      </c>
      <c r="AA711" t="s">
        <v>2299</v>
      </c>
      <c r="AB711">
        <v>400</v>
      </c>
      <c r="AC711">
        <v>20</v>
      </c>
      <c r="AD711">
        <v>380</v>
      </c>
      <c r="AE711">
        <v>236.4</v>
      </c>
      <c r="AF711">
        <v>143.6</v>
      </c>
      <c r="AG711">
        <v>2024</v>
      </c>
      <c r="AH711">
        <v>3</v>
      </c>
      <c r="AI711" t="s">
        <v>2305</v>
      </c>
      <c r="AJ711" t="s">
        <v>2316</v>
      </c>
    </row>
    <row r="712" spans="1:36" x14ac:dyDescent="0.3">
      <c r="A712" t="s">
        <v>746</v>
      </c>
      <c r="B712" s="2">
        <v>45414</v>
      </c>
      <c r="C712" t="s">
        <v>1706</v>
      </c>
      <c r="D712" t="s">
        <v>1741</v>
      </c>
      <c r="E712" t="s">
        <v>2144</v>
      </c>
      <c r="F712" t="s">
        <v>1761</v>
      </c>
      <c r="G712" t="s">
        <v>2251</v>
      </c>
      <c r="H712" t="s">
        <v>2258</v>
      </c>
      <c r="I712" t="s">
        <v>2260</v>
      </c>
      <c r="J712" t="s">
        <v>2265</v>
      </c>
      <c r="K712">
        <v>1</v>
      </c>
      <c r="L712">
        <v>100</v>
      </c>
      <c r="M712">
        <v>0</v>
      </c>
      <c r="N712">
        <v>100</v>
      </c>
      <c r="O712">
        <v>100</v>
      </c>
      <c r="P712" t="s">
        <v>2269</v>
      </c>
      <c r="R712" t="s">
        <v>2273</v>
      </c>
      <c r="S712" t="s">
        <v>2286</v>
      </c>
      <c r="T712" t="s">
        <v>2288</v>
      </c>
      <c r="U712">
        <v>4</v>
      </c>
      <c r="V712">
        <v>203</v>
      </c>
      <c r="X712">
        <v>46.58</v>
      </c>
      <c r="Y712">
        <v>53.42</v>
      </c>
      <c r="Z712" t="s">
        <v>2292</v>
      </c>
      <c r="AA712" t="s">
        <v>2296</v>
      </c>
      <c r="AB712">
        <v>100</v>
      </c>
      <c r="AC712">
        <v>0</v>
      </c>
      <c r="AD712">
        <v>100</v>
      </c>
      <c r="AE712">
        <v>46.58</v>
      </c>
      <c r="AF712">
        <v>53.42</v>
      </c>
      <c r="AG712">
        <v>2024</v>
      </c>
      <c r="AH712">
        <v>5</v>
      </c>
      <c r="AI712" t="s">
        <v>2306</v>
      </c>
      <c r="AJ712" t="s">
        <v>2316</v>
      </c>
    </row>
    <row r="713" spans="1:36" x14ac:dyDescent="0.3">
      <c r="A713" t="s">
        <v>747</v>
      </c>
      <c r="B713" s="2">
        <v>45481</v>
      </c>
      <c r="C713" t="s">
        <v>1657</v>
      </c>
      <c r="D713" t="s">
        <v>1816</v>
      </c>
      <c r="E713" t="s">
        <v>2162</v>
      </c>
      <c r="F713" t="s">
        <v>2240</v>
      </c>
      <c r="G713" t="s">
        <v>2243</v>
      </c>
      <c r="H713" t="s">
        <v>2258</v>
      </c>
      <c r="I713" t="s">
        <v>2260</v>
      </c>
      <c r="J713" t="s">
        <v>2266</v>
      </c>
      <c r="K713">
        <v>2</v>
      </c>
      <c r="L713">
        <v>80</v>
      </c>
      <c r="M713">
        <v>0.05</v>
      </c>
      <c r="N713">
        <v>160</v>
      </c>
      <c r="O713">
        <v>152</v>
      </c>
      <c r="P713" t="s">
        <v>2268</v>
      </c>
      <c r="Q713" t="s">
        <v>2270</v>
      </c>
      <c r="R713" t="s">
        <v>2278</v>
      </c>
      <c r="S713" t="s">
        <v>2283</v>
      </c>
      <c r="T713" t="s">
        <v>2290</v>
      </c>
      <c r="U713">
        <v>4</v>
      </c>
      <c r="V713">
        <v>233</v>
      </c>
      <c r="W713">
        <v>33</v>
      </c>
      <c r="X713">
        <v>24.99</v>
      </c>
      <c r="Y713">
        <v>102.02</v>
      </c>
      <c r="Z713" t="s">
        <v>2292</v>
      </c>
      <c r="AA713" t="s">
        <v>2297</v>
      </c>
      <c r="AB713">
        <v>160</v>
      </c>
      <c r="AC713">
        <v>8</v>
      </c>
      <c r="AD713">
        <v>152</v>
      </c>
      <c r="AE713">
        <v>49.98</v>
      </c>
      <c r="AF713">
        <v>102.02</v>
      </c>
      <c r="AG713">
        <v>2024</v>
      </c>
      <c r="AH713">
        <v>7</v>
      </c>
      <c r="AI713" t="s">
        <v>2307</v>
      </c>
      <c r="AJ713" t="s">
        <v>2314</v>
      </c>
    </row>
    <row r="714" spans="1:36" x14ac:dyDescent="0.3">
      <c r="A714" t="s">
        <v>748</v>
      </c>
      <c r="B714" s="2">
        <v>45323</v>
      </c>
      <c r="C714" t="s">
        <v>1649</v>
      </c>
      <c r="D714" t="s">
        <v>1743</v>
      </c>
      <c r="E714" t="s">
        <v>2211</v>
      </c>
      <c r="F714" t="s">
        <v>2239</v>
      </c>
      <c r="G714" t="s">
        <v>2245</v>
      </c>
      <c r="H714" t="s">
        <v>2257</v>
      </c>
      <c r="I714" t="s">
        <v>2263</v>
      </c>
      <c r="J714" t="s">
        <v>2264</v>
      </c>
      <c r="K714">
        <v>1</v>
      </c>
      <c r="L714">
        <v>160</v>
      </c>
      <c r="M714">
        <v>0.05</v>
      </c>
      <c r="N714">
        <v>160</v>
      </c>
      <c r="O714">
        <v>152</v>
      </c>
      <c r="P714" t="s">
        <v>2267</v>
      </c>
      <c r="Q714" t="s">
        <v>2272</v>
      </c>
      <c r="R714" t="s">
        <v>2275</v>
      </c>
      <c r="S714" t="s">
        <v>2282</v>
      </c>
      <c r="T714" t="s">
        <v>2290</v>
      </c>
      <c r="U714">
        <v>3</v>
      </c>
      <c r="V714">
        <v>325</v>
      </c>
      <c r="X714">
        <v>79.63</v>
      </c>
      <c r="Y714">
        <v>72.37</v>
      </c>
      <c r="Z714" t="s">
        <v>1761</v>
      </c>
      <c r="AA714" t="s">
        <v>2296</v>
      </c>
      <c r="AB714">
        <v>160</v>
      </c>
      <c r="AC714">
        <v>8</v>
      </c>
      <c r="AD714">
        <v>152</v>
      </c>
      <c r="AE714">
        <v>79.63</v>
      </c>
      <c r="AF714">
        <v>72.37</v>
      </c>
      <c r="AG714">
        <v>2024</v>
      </c>
      <c r="AH714">
        <v>2</v>
      </c>
      <c r="AI714" t="s">
        <v>2303</v>
      </c>
      <c r="AJ714" t="s">
        <v>2316</v>
      </c>
    </row>
    <row r="715" spans="1:36" x14ac:dyDescent="0.3">
      <c r="A715" t="s">
        <v>749</v>
      </c>
      <c r="B715" s="2">
        <v>45615</v>
      </c>
      <c r="C715" t="s">
        <v>1740</v>
      </c>
      <c r="D715" t="s">
        <v>1821</v>
      </c>
      <c r="E715" t="s">
        <v>2051</v>
      </c>
      <c r="F715" t="s">
        <v>2240</v>
      </c>
      <c r="G715" t="s">
        <v>2252</v>
      </c>
      <c r="H715" t="s">
        <v>2257</v>
      </c>
      <c r="I715" t="s">
        <v>2262</v>
      </c>
      <c r="J715" t="s">
        <v>2264</v>
      </c>
      <c r="K715">
        <v>1</v>
      </c>
      <c r="L715">
        <v>100</v>
      </c>
      <c r="M715">
        <v>0.05</v>
      </c>
      <c r="N715">
        <v>100</v>
      </c>
      <c r="O715">
        <v>95</v>
      </c>
      <c r="P715" t="s">
        <v>2267</v>
      </c>
      <c r="Q715" t="s">
        <v>2272</v>
      </c>
      <c r="R715" t="s">
        <v>2277</v>
      </c>
      <c r="S715" t="s">
        <v>2283</v>
      </c>
      <c r="T715" t="s">
        <v>2288</v>
      </c>
      <c r="U715">
        <v>1</v>
      </c>
      <c r="V715">
        <v>92</v>
      </c>
      <c r="W715">
        <v>43</v>
      </c>
      <c r="X715">
        <v>42.89</v>
      </c>
      <c r="Y715">
        <v>52.11</v>
      </c>
      <c r="Z715" t="s">
        <v>2291</v>
      </c>
      <c r="AA715" t="s">
        <v>1761</v>
      </c>
      <c r="AB715">
        <v>100</v>
      </c>
      <c r="AC715">
        <v>5</v>
      </c>
      <c r="AD715">
        <v>95</v>
      </c>
      <c r="AE715">
        <v>42.89</v>
      </c>
      <c r="AF715">
        <v>52.11</v>
      </c>
      <c r="AG715">
        <v>2024</v>
      </c>
      <c r="AH715">
        <v>11</v>
      </c>
      <c r="AI715" t="s">
        <v>2311</v>
      </c>
      <c r="AJ715" t="s">
        <v>2313</v>
      </c>
    </row>
    <row r="716" spans="1:36" x14ac:dyDescent="0.3">
      <c r="A716" t="s">
        <v>750</v>
      </c>
      <c r="B716" s="2">
        <v>45530</v>
      </c>
      <c r="C716" t="s">
        <v>1648</v>
      </c>
      <c r="D716" t="s">
        <v>1754</v>
      </c>
      <c r="E716" t="s">
        <v>2142</v>
      </c>
      <c r="F716" t="s">
        <v>1761</v>
      </c>
      <c r="G716" t="s">
        <v>2241</v>
      </c>
      <c r="H716" t="s">
        <v>2257</v>
      </c>
      <c r="I716" t="s">
        <v>2262</v>
      </c>
      <c r="J716" t="s">
        <v>2264</v>
      </c>
      <c r="K716">
        <v>1</v>
      </c>
      <c r="L716">
        <v>130</v>
      </c>
      <c r="M716">
        <v>0</v>
      </c>
      <c r="N716">
        <v>130</v>
      </c>
      <c r="O716">
        <v>130</v>
      </c>
      <c r="P716" t="s">
        <v>2268</v>
      </c>
      <c r="Q716" t="s">
        <v>2272</v>
      </c>
      <c r="R716" t="s">
        <v>2273</v>
      </c>
      <c r="S716" t="s">
        <v>2283</v>
      </c>
      <c r="T716" t="s">
        <v>2289</v>
      </c>
      <c r="U716">
        <v>5</v>
      </c>
      <c r="V716">
        <v>295</v>
      </c>
      <c r="X716">
        <v>70.680000000000007</v>
      </c>
      <c r="Y716">
        <v>59.32</v>
      </c>
      <c r="Z716" t="s">
        <v>1761</v>
      </c>
      <c r="AA716" t="s">
        <v>2299</v>
      </c>
      <c r="AB716">
        <v>130</v>
      </c>
      <c r="AC716">
        <v>0</v>
      </c>
      <c r="AD716">
        <v>130</v>
      </c>
      <c r="AE716">
        <v>70.680000000000007</v>
      </c>
      <c r="AF716">
        <v>59.319999999999993</v>
      </c>
      <c r="AG716">
        <v>2024</v>
      </c>
      <c r="AH716">
        <v>8</v>
      </c>
      <c r="AI716" t="s">
        <v>2301</v>
      </c>
      <c r="AJ716" t="s">
        <v>2314</v>
      </c>
    </row>
    <row r="717" spans="1:36" x14ac:dyDescent="0.3">
      <c r="A717" t="s">
        <v>751</v>
      </c>
      <c r="B717" s="2">
        <v>45470</v>
      </c>
      <c r="C717" t="s">
        <v>1636</v>
      </c>
      <c r="D717" t="s">
        <v>1799</v>
      </c>
      <c r="E717" t="s">
        <v>2096</v>
      </c>
      <c r="F717" t="s">
        <v>2240</v>
      </c>
      <c r="G717" t="s">
        <v>2241</v>
      </c>
      <c r="H717" t="s">
        <v>2257</v>
      </c>
      <c r="I717" t="s">
        <v>2262</v>
      </c>
      <c r="J717" t="s">
        <v>2264</v>
      </c>
      <c r="K717">
        <v>2</v>
      </c>
      <c r="L717">
        <v>125</v>
      </c>
      <c r="M717">
        <v>0.1</v>
      </c>
      <c r="O717">
        <v>225</v>
      </c>
      <c r="P717" t="s">
        <v>2269</v>
      </c>
      <c r="R717" t="s">
        <v>2276</v>
      </c>
      <c r="S717" t="s">
        <v>2284</v>
      </c>
      <c r="T717" t="s">
        <v>2288</v>
      </c>
      <c r="U717">
        <v>1</v>
      </c>
      <c r="X717">
        <v>73.680000000000007</v>
      </c>
      <c r="Y717">
        <v>77.64</v>
      </c>
      <c r="Z717" t="s">
        <v>1761</v>
      </c>
      <c r="AA717" t="s">
        <v>2298</v>
      </c>
      <c r="AB717">
        <v>250</v>
      </c>
      <c r="AC717">
        <v>25</v>
      </c>
      <c r="AD717">
        <v>225</v>
      </c>
      <c r="AE717">
        <v>147.36000000000001</v>
      </c>
      <c r="AF717">
        <v>77.639999999999986</v>
      </c>
      <c r="AG717">
        <v>2024</v>
      </c>
      <c r="AH717">
        <v>6</v>
      </c>
      <c r="AI717" t="s">
        <v>2304</v>
      </c>
      <c r="AJ717" t="s">
        <v>2316</v>
      </c>
    </row>
    <row r="718" spans="1:36" x14ac:dyDescent="0.3">
      <c r="A718" t="s">
        <v>752</v>
      </c>
      <c r="B718" s="2">
        <v>45653</v>
      </c>
      <c r="C718" t="s">
        <v>1735</v>
      </c>
      <c r="D718" t="s">
        <v>1883</v>
      </c>
      <c r="E718" t="s">
        <v>2052</v>
      </c>
      <c r="F718" t="s">
        <v>2240</v>
      </c>
      <c r="G718" t="s">
        <v>2252</v>
      </c>
      <c r="H718" t="s">
        <v>2257</v>
      </c>
      <c r="I718" t="s">
        <v>2262</v>
      </c>
      <c r="J718" t="s">
        <v>2264</v>
      </c>
      <c r="K718">
        <v>1</v>
      </c>
      <c r="L718">
        <v>85</v>
      </c>
      <c r="M718">
        <v>0</v>
      </c>
      <c r="N718">
        <v>85</v>
      </c>
      <c r="O718">
        <v>85</v>
      </c>
      <c r="P718" t="s">
        <v>2267</v>
      </c>
      <c r="Q718" t="s">
        <v>2272</v>
      </c>
      <c r="R718" t="s">
        <v>2279</v>
      </c>
      <c r="S718" t="s">
        <v>2285</v>
      </c>
      <c r="T718" t="s">
        <v>2288</v>
      </c>
      <c r="U718">
        <v>1</v>
      </c>
      <c r="V718">
        <v>148</v>
      </c>
      <c r="W718">
        <v>54</v>
      </c>
      <c r="X718">
        <v>47.27</v>
      </c>
      <c r="Y718">
        <v>37.729999999999997</v>
      </c>
      <c r="Z718" t="s">
        <v>1761</v>
      </c>
      <c r="AA718" t="s">
        <v>2298</v>
      </c>
      <c r="AB718">
        <v>85</v>
      </c>
      <c r="AC718">
        <v>0</v>
      </c>
      <c r="AD718">
        <v>85</v>
      </c>
      <c r="AE718">
        <v>47.27</v>
      </c>
      <c r="AF718">
        <v>37.729999999999997</v>
      </c>
      <c r="AG718">
        <v>2024</v>
      </c>
      <c r="AH718">
        <v>12</v>
      </c>
      <c r="AI718" t="s">
        <v>2309</v>
      </c>
      <c r="AJ718" t="s">
        <v>2315</v>
      </c>
    </row>
    <row r="719" spans="1:36" x14ac:dyDescent="0.3">
      <c r="A719" t="s">
        <v>753</v>
      </c>
      <c r="C719" t="s">
        <v>1677</v>
      </c>
      <c r="D719" t="s">
        <v>1793</v>
      </c>
      <c r="E719" t="s">
        <v>2048</v>
      </c>
      <c r="F719" t="s">
        <v>1761</v>
      </c>
      <c r="G719" t="s">
        <v>2248</v>
      </c>
      <c r="H719" t="s">
        <v>2257</v>
      </c>
      <c r="I719" t="s">
        <v>2262</v>
      </c>
      <c r="J719" t="s">
        <v>2266</v>
      </c>
      <c r="K719">
        <v>1</v>
      </c>
      <c r="L719">
        <v>155</v>
      </c>
      <c r="M719">
        <v>0.15</v>
      </c>
      <c r="N719">
        <v>155</v>
      </c>
      <c r="O719">
        <v>131.75</v>
      </c>
      <c r="P719" t="s">
        <v>2269</v>
      </c>
      <c r="Q719" t="s">
        <v>2272</v>
      </c>
      <c r="R719" t="s">
        <v>2279</v>
      </c>
      <c r="S719" t="s">
        <v>2280</v>
      </c>
      <c r="T719" t="s">
        <v>2288</v>
      </c>
      <c r="U719">
        <v>1</v>
      </c>
      <c r="V719">
        <v>99</v>
      </c>
      <c r="W719">
        <v>27</v>
      </c>
      <c r="X719">
        <v>78.180000000000007</v>
      </c>
      <c r="Y719">
        <v>53.57</v>
      </c>
      <c r="Z719" t="s">
        <v>2293</v>
      </c>
      <c r="AA719" t="s">
        <v>2296</v>
      </c>
      <c r="AB719">
        <v>155</v>
      </c>
      <c r="AC719">
        <v>23.25</v>
      </c>
      <c r="AD719">
        <v>131.75</v>
      </c>
      <c r="AE719">
        <v>78.180000000000007</v>
      </c>
      <c r="AF719">
        <v>53.569999999999993</v>
      </c>
    </row>
    <row r="720" spans="1:36" x14ac:dyDescent="0.3">
      <c r="A720" t="s">
        <v>754</v>
      </c>
      <c r="B720" s="2">
        <v>45532</v>
      </c>
      <c r="C720" t="s">
        <v>1721</v>
      </c>
      <c r="D720" t="s">
        <v>1935</v>
      </c>
      <c r="E720" t="s">
        <v>2038</v>
      </c>
      <c r="F720" t="s">
        <v>2240</v>
      </c>
      <c r="G720" t="s">
        <v>2245</v>
      </c>
      <c r="H720" t="s">
        <v>2257</v>
      </c>
      <c r="I720" t="s">
        <v>2263</v>
      </c>
      <c r="J720" t="s">
        <v>2265</v>
      </c>
      <c r="K720">
        <v>2</v>
      </c>
      <c r="L720">
        <v>145</v>
      </c>
      <c r="M720">
        <v>0</v>
      </c>
      <c r="N720">
        <v>290</v>
      </c>
      <c r="O720">
        <v>290</v>
      </c>
      <c r="P720" t="s">
        <v>2267</v>
      </c>
      <c r="Q720" t="s">
        <v>2272</v>
      </c>
      <c r="R720" t="s">
        <v>2273</v>
      </c>
      <c r="S720" t="s">
        <v>2283</v>
      </c>
      <c r="T720" t="s">
        <v>2289</v>
      </c>
      <c r="U720">
        <v>5</v>
      </c>
      <c r="X720">
        <v>87.87</v>
      </c>
      <c r="Y720">
        <v>114.26</v>
      </c>
      <c r="Z720" t="s">
        <v>2291</v>
      </c>
      <c r="AA720" t="s">
        <v>2299</v>
      </c>
      <c r="AB720">
        <v>290</v>
      </c>
      <c r="AC720">
        <v>0</v>
      </c>
      <c r="AD720">
        <v>290</v>
      </c>
      <c r="AE720">
        <v>175.74</v>
      </c>
      <c r="AF720">
        <v>114.26</v>
      </c>
      <c r="AG720">
        <v>2024</v>
      </c>
      <c r="AH720">
        <v>8</v>
      </c>
      <c r="AI720" t="s">
        <v>2301</v>
      </c>
      <c r="AJ720" t="s">
        <v>2312</v>
      </c>
    </row>
    <row r="721" spans="1:36" x14ac:dyDescent="0.3">
      <c r="A721" t="s">
        <v>755</v>
      </c>
      <c r="B721" s="2">
        <v>45296</v>
      </c>
      <c r="C721" t="s">
        <v>1697</v>
      </c>
      <c r="D721" t="s">
        <v>1854</v>
      </c>
      <c r="E721" t="s">
        <v>2019</v>
      </c>
      <c r="F721" t="s">
        <v>2239</v>
      </c>
      <c r="G721" t="s">
        <v>2253</v>
      </c>
      <c r="H721" t="s">
        <v>2258</v>
      </c>
      <c r="I721" t="s">
        <v>2260</v>
      </c>
      <c r="J721" t="s">
        <v>2266</v>
      </c>
      <c r="K721">
        <v>1</v>
      </c>
      <c r="L721">
        <v>85</v>
      </c>
      <c r="M721">
        <v>0</v>
      </c>
      <c r="N721">
        <v>85</v>
      </c>
      <c r="O721">
        <v>85</v>
      </c>
      <c r="P721" t="s">
        <v>2268</v>
      </c>
      <c r="Q721" t="s">
        <v>2272</v>
      </c>
      <c r="R721" t="s">
        <v>2279</v>
      </c>
      <c r="S721" t="s">
        <v>2281</v>
      </c>
      <c r="T721" t="s">
        <v>2288</v>
      </c>
      <c r="U721">
        <v>1</v>
      </c>
      <c r="V721">
        <v>101</v>
      </c>
      <c r="W721">
        <v>10</v>
      </c>
      <c r="X721">
        <v>42.97</v>
      </c>
      <c r="Y721">
        <v>42.03</v>
      </c>
      <c r="AA721" t="s">
        <v>2296</v>
      </c>
      <c r="AB721">
        <v>85</v>
      </c>
      <c r="AC721">
        <v>0</v>
      </c>
      <c r="AD721">
        <v>85</v>
      </c>
      <c r="AE721">
        <v>42.97</v>
      </c>
      <c r="AF721">
        <v>42.03</v>
      </c>
      <c r="AG721">
        <v>2024</v>
      </c>
      <c r="AH721">
        <v>1</v>
      </c>
      <c r="AI721" t="s">
        <v>2302</v>
      </c>
      <c r="AJ721" t="s">
        <v>2315</v>
      </c>
    </row>
    <row r="722" spans="1:36" x14ac:dyDescent="0.3">
      <c r="A722" t="s">
        <v>756</v>
      </c>
      <c r="B722" s="2">
        <v>45347</v>
      </c>
      <c r="C722" t="s">
        <v>1678</v>
      </c>
      <c r="D722" t="s">
        <v>1888</v>
      </c>
      <c r="E722" t="s">
        <v>2017</v>
      </c>
      <c r="F722" t="s">
        <v>2240</v>
      </c>
      <c r="G722" t="s">
        <v>2254</v>
      </c>
      <c r="H722" t="s">
        <v>2259</v>
      </c>
      <c r="I722" t="s">
        <v>2263</v>
      </c>
      <c r="J722" t="s">
        <v>2264</v>
      </c>
      <c r="K722">
        <v>2</v>
      </c>
      <c r="L722">
        <v>110</v>
      </c>
      <c r="M722">
        <v>0.15</v>
      </c>
      <c r="N722">
        <v>220</v>
      </c>
      <c r="O722">
        <v>187</v>
      </c>
      <c r="P722" t="s">
        <v>2269</v>
      </c>
      <c r="R722" t="s">
        <v>2276</v>
      </c>
      <c r="S722" t="s">
        <v>2283</v>
      </c>
      <c r="T722" t="s">
        <v>2288</v>
      </c>
      <c r="U722">
        <v>4</v>
      </c>
      <c r="V722">
        <v>483</v>
      </c>
      <c r="W722">
        <v>27</v>
      </c>
      <c r="X722">
        <v>49.03</v>
      </c>
      <c r="Y722">
        <v>88.94</v>
      </c>
      <c r="Z722" t="s">
        <v>1761</v>
      </c>
      <c r="AA722" t="s">
        <v>2296</v>
      </c>
      <c r="AB722">
        <v>220</v>
      </c>
      <c r="AC722">
        <v>33</v>
      </c>
      <c r="AD722">
        <v>187</v>
      </c>
      <c r="AE722">
        <v>98.06</v>
      </c>
      <c r="AF722">
        <v>88.94</v>
      </c>
      <c r="AG722">
        <v>2024</v>
      </c>
      <c r="AH722">
        <v>2</v>
      </c>
      <c r="AI722" t="s">
        <v>2303</v>
      </c>
      <c r="AJ722" t="s">
        <v>2318</v>
      </c>
    </row>
    <row r="723" spans="1:36" x14ac:dyDescent="0.3">
      <c r="A723" t="s">
        <v>757</v>
      </c>
      <c r="B723" s="2">
        <v>45525</v>
      </c>
      <c r="C723" t="s">
        <v>1661</v>
      </c>
      <c r="D723" t="s">
        <v>1767</v>
      </c>
      <c r="E723" t="s">
        <v>1761</v>
      </c>
      <c r="F723" t="s">
        <v>2238</v>
      </c>
      <c r="G723" t="s">
        <v>2252</v>
      </c>
      <c r="H723" t="s">
        <v>2257</v>
      </c>
      <c r="I723" t="s">
        <v>2262</v>
      </c>
      <c r="J723" t="s">
        <v>2265</v>
      </c>
      <c r="K723">
        <v>1</v>
      </c>
      <c r="L723">
        <v>100</v>
      </c>
      <c r="M723">
        <v>0.1</v>
      </c>
      <c r="N723">
        <v>100</v>
      </c>
      <c r="O723">
        <v>90</v>
      </c>
      <c r="P723" t="s">
        <v>2269</v>
      </c>
      <c r="Q723" t="s">
        <v>2270</v>
      </c>
      <c r="R723" t="s">
        <v>2278</v>
      </c>
      <c r="S723" t="s">
        <v>2282</v>
      </c>
      <c r="T723" t="s">
        <v>2288</v>
      </c>
      <c r="U723">
        <v>5</v>
      </c>
      <c r="V723">
        <v>40</v>
      </c>
      <c r="X723">
        <v>47.27</v>
      </c>
      <c r="Y723">
        <v>42.73</v>
      </c>
      <c r="Z723" t="s">
        <v>1761</v>
      </c>
      <c r="AA723" t="s">
        <v>2297</v>
      </c>
      <c r="AB723">
        <v>100</v>
      </c>
      <c r="AC723">
        <v>10</v>
      </c>
      <c r="AD723">
        <v>90</v>
      </c>
      <c r="AE723">
        <v>47.27</v>
      </c>
      <c r="AF723">
        <v>42.73</v>
      </c>
      <c r="AG723">
        <v>2024</v>
      </c>
      <c r="AH723">
        <v>8</v>
      </c>
      <c r="AI723" t="s">
        <v>2301</v>
      </c>
      <c r="AJ723" t="s">
        <v>2312</v>
      </c>
    </row>
    <row r="724" spans="1:36" x14ac:dyDescent="0.3">
      <c r="A724" t="s">
        <v>758</v>
      </c>
      <c r="B724" s="2">
        <v>45491</v>
      </c>
      <c r="C724" t="s">
        <v>1655</v>
      </c>
      <c r="D724" t="s">
        <v>1760</v>
      </c>
      <c r="E724" t="s">
        <v>2199</v>
      </c>
      <c r="F724" t="s">
        <v>2239</v>
      </c>
      <c r="G724" t="s">
        <v>2243</v>
      </c>
      <c r="H724" t="s">
        <v>2258</v>
      </c>
      <c r="I724" t="s">
        <v>2260</v>
      </c>
      <c r="J724" t="s">
        <v>2265</v>
      </c>
      <c r="K724">
        <v>2</v>
      </c>
      <c r="L724">
        <v>75</v>
      </c>
      <c r="M724">
        <v>0.1</v>
      </c>
      <c r="N724">
        <v>150</v>
      </c>
      <c r="O724">
        <v>135</v>
      </c>
      <c r="P724" t="s">
        <v>2267</v>
      </c>
      <c r="Q724" t="s">
        <v>2272</v>
      </c>
      <c r="R724" t="s">
        <v>2275</v>
      </c>
      <c r="S724" t="s">
        <v>2287</v>
      </c>
      <c r="T724" t="s">
        <v>2288</v>
      </c>
      <c r="U724">
        <v>5</v>
      </c>
      <c r="V724">
        <v>217</v>
      </c>
      <c r="W724">
        <v>25</v>
      </c>
      <c r="X724">
        <v>38.909999999999997</v>
      </c>
      <c r="Y724">
        <v>57.18</v>
      </c>
      <c r="Z724" t="s">
        <v>2294</v>
      </c>
      <c r="AA724" t="s">
        <v>2296</v>
      </c>
      <c r="AB724">
        <v>150</v>
      </c>
      <c r="AC724">
        <v>15</v>
      </c>
      <c r="AD724">
        <v>135</v>
      </c>
      <c r="AE724">
        <v>77.819999999999993</v>
      </c>
      <c r="AF724">
        <v>57.180000000000007</v>
      </c>
      <c r="AG724">
        <v>2024</v>
      </c>
      <c r="AH724">
        <v>7</v>
      </c>
      <c r="AI724" t="s">
        <v>2307</v>
      </c>
      <c r="AJ724" t="s">
        <v>2316</v>
      </c>
    </row>
    <row r="725" spans="1:36" x14ac:dyDescent="0.3">
      <c r="A725" t="s">
        <v>759</v>
      </c>
      <c r="B725" s="2">
        <v>45646</v>
      </c>
      <c r="C725" t="s">
        <v>1711</v>
      </c>
      <c r="D725" t="s">
        <v>1892</v>
      </c>
      <c r="E725" t="s">
        <v>1979</v>
      </c>
      <c r="F725" t="s">
        <v>2240</v>
      </c>
      <c r="G725" t="s">
        <v>2248</v>
      </c>
      <c r="H725" t="s">
        <v>2257</v>
      </c>
      <c r="I725" t="s">
        <v>2262</v>
      </c>
      <c r="J725" t="s">
        <v>2264</v>
      </c>
      <c r="K725">
        <v>1</v>
      </c>
      <c r="L725">
        <v>145</v>
      </c>
      <c r="M725">
        <v>0.1</v>
      </c>
      <c r="N725">
        <v>145</v>
      </c>
      <c r="O725">
        <v>130.5</v>
      </c>
      <c r="R725" t="s">
        <v>2273</v>
      </c>
      <c r="S725" t="s">
        <v>2284</v>
      </c>
      <c r="T725" t="s">
        <v>2288</v>
      </c>
      <c r="U725">
        <v>4</v>
      </c>
      <c r="V725">
        <v>220</v>
      </c>
      <c r="W725">
        <v>38</v>
      </c>
      <c r="X725">
        <v>66.069999999999993</v>
      </c>
      <c r="Y725">
        <v>64.430000000000007</v>
      </c>
      <c r="Z725" t="s">
        <v>1761</v>
      </c>
      <c r="AA725" t="s">
        <v>2297</v>
      </c>
      <c r="AB725">
        <v>145</v>
      </c>
      <c r="AC725">
        <v>14.5</v>
      </c>
      <c r="AD725">
        <v>130.5</v>
      </c>
      <c r="AE725">
        <v>66.069999999999993</v>
      </c>
      <c r="AF725">
        <v>64.430000000000007</v>
      </c>
      <c r="AG725">
        <v>2024</v>
      </c>
      <c r="AH725">
        <v>12</v>
      </c>
      <c r="AI725" t="s">
        <v>2309</v>
      </c>
      <c r="AJ725" t="s">
        <v>2315</v>
      </c>
    </row>
    <row r="726" spans="1:36" x14ac:dyDescent="0.3">
      <c r="A726" t="s">
        <v>760</v>
      </c>
      <c r="B726" s="2">
        <v>45332</v>
      </c>
      <c r="C726" t="s">
        <v>1654</v>
      </c>
      <c r="D726" t="s">
        <v>1774</v>
      </c>
      <c r="E726" t="s">
        <v>2056</v>
      </c>
      <c r="F726" t="s">
        <v>2240</v>
      </c>
      <c r="G726" t="s">
        <v>2249</v>
      </c>
      <c r="H726" t="s">
        <v>2257</v>
      </c>
      <c r="I726" t="s">
        <v>2263</v>
      </c>
      <c r="J726" t="s">
        <v>2264</v>
      </c>
      <c r="K726">
        <v>1</v>
      </c>
      <c r="L726">
        <v>160</v>
      </c>
      <c r="M726">
        <v>0.05</v>
      </c>
      <c r="N726">
        <v>160</v>
      </c>
      <c r="O726">
        <v>152</v>
      </c>
      <c r="P726" t="s">
        <v>2267</v>
      </c>
      <c r="Q726" t="s">
        <v>2272</v>
      </c>
      <c r="R726" t="s">
        <v>2273</v>
      </c>
      <c r="S726" t="s">
        <v>2282</v>
      </c>
      <c r="T726" t="s">
        <v>2288</v>
      </c>
      <c r="U726">
        <v>5</v>
      </c>
      <c r="V726">
        <v>279</v>
      </c>
      <c r="W726">
        <v>31</v>
      </c>
      <c r="X726">
        <v>87.24</v>
      </c>
      <c r="Y726">
        <v>64.760000000000005</v>
      </c>
      <c r="Z726" t="s">
        <v>2294</v>
      </c>
      <c r="AA726" t="s">
        <v>2298</v>
      </c>
      <c r="AB726">
        <v>160</v>
      </c>
      <c r="AC726">
        <v>8</v>
      </c>
      <c r="AD726">
        <v>152</v>
      </c>
      <c r="AE726">
        <v>87.24</v>
      </c>
      <c r="AF726">
        <v>64.760000000000005</v>
      </c>
      <c r="AG726">
        <v>2024</v>
      </c>
      <c r="AH726">
        <v>2</v>
      </c>
      <c r="AI726" t="s">
        <v>2303</v>
      </c>
      <c r="AJ726" t="s">
        <v>2317</v>
      </c>
    </row>
    <row r="727" spans="1:36" x14ac:dyDescent="0.3">
      <c r="A727" t="s">
        <v>761</v>
      </c>
      <c r="C727" t="s">
        <v>1695</v>
      </c>
      <c r="D727" t="s">
        <v>1799</v>
      </c>
      <c r="E727" t="s">
        <v>2127</v>
      </c>
      <c r="F727" t="s">
        <v>2238</v>
      </c>
      <c r="G727" t="s">
        <v>2242</v>
      </c>
      <c r="H727" t="s">
        <v>2258</v>
      </c>
      <c r="I727" t="s">
        <v>2260</v>
      </c>
      <c r="J727" t="s">
        <v>2265</v>
      </c>
      <c r="L727">
        <v>130</v>
      </c>
      <c r="M727">
        <v>0</v>
      </c>
      <c r="N727">
        <v>260</v>
      </c>
      <c r="O727">
        <v>260</v>
      </c>
      <c r="P727" t="s">
        <v>2269</v>
      </c>
      <c r="Q727" t="s">
        <v>2272</v>
      </c>
      <c r="R727" t="s">
        <v>2274</v>
      </c>
      <c r="S727" t="s">
        <v>2282</v>
      </c>
      <c r="T727" t="s">
        <v>2288</v>
      </c>
      <c r="U727">
        <v>3</v>
      </c>
      <c r="V727">
        <v>166</v>
      </c>
      <c r="W727">
        <v>34</v>
      </c>
      <c r="X727">
        <v>61.55</v>
      </c>
      <c r="Y727">
        <v>136.9</v>
      </c>
      <c r="Z727" t="s">
        <v>2293</v>
      </c>
      <c r="AA727" t="s">
        <v>2296</v>
      </c>
    </row>
    <row r="728" spans="1:36" x14ac:dyDescent="0.3">
      <c r="A728" t="s">
        <v>762</v>
      </c>
      <c r="B728" s="2">
        <v>45461</v>
      </c>
      <c r="C728" t="s">
        <v>1676</v>
      </c>
      <c r="D728" t="s">
        <v>1771</v>
      </c>
      <c r="E728" t="s">
        <v>1966</v>
      </c>
      <c r="F728" t="s">
        <v>2240</v>
      </c>
      <c r="G728" t="s">
        <v>2249</v>
      </c>
      <c r="H728" t="s">
        <v>2257</v>
      </c>
      <c r="I728" t="s">
        <v>2263</v>
      </c>
      <c r="J728" t="s">
        <v>2266</v>
      </c>
      <c r="K728">
        <v>1</v>
      </c>
      <c r="L728">
        <v>170</v>
      </c>
      <c r="M728">
        <v>0.05</v>
      </c>
      <c r="N728">
        <v>170</v>
      </c>
      <c r="O728">
        <v>161.5</v>
      </c>
      <c r="P728" t="s">
        <v>2268</v>
      </c>
      <c r="Q728" t="s">
        <v>2271</v>
      </c>
      <c r="R728" t="s">
        <v>2278</v>
      </c>
      <c r="S728" t="s">
        <v>2284</v>
      </c>
      <c r="T728" t="s">
        <v>2288</v>
      </c>
      <c r="U728">
        <v>3</v>
      </c>
      <c r="V728">
        <v>129</v>
      </c>
      <c r="W728">
        <v>24</v>
      </c>
      <c r="X728">
        <v>85.07</v>
      </c>
      <c r="Y728">
        <v>76.430000000000007</v>
      </c>
      <c r="Z728" t="s">
        <v>1761</v>
      </c>
      <c r="AA728" t="s">
        <v>2299</v>
      </c>
      <c r="AB728">
        <v>170</v>
      </c>
      <c r="AC728">
        <v>8.5</v>
      </c>
      <c r="AD728">
        <v>161.5</v>
      </c>
      <c r="AE728">
        <v>85.07</v>
      </c>
      <c r="AF728">
        <v>76.430000000000007</v>
      </c>
      <c r="AG728">
        <v>2024</v>
      </c>
      <c r="AH728">
        <v>6</v>
      </c>
      <c r="AI728" t="s">
        <v>2304</v>
      </c>
      <c r="AJ728" t="s">
        <v>2313</v>
      </c>
    </row>
    <row r="729" spans="1:36" x14ac:dyDescent="0.3">
      <c r="A729" t="s">
        <v>763</v>
      </c>
      <c r="B729" s="2">
        <v>45493</v>
      </c>
      <c r="C729" t="s">
        <v>1657</v>
      </c>
      <c r="D729" t="s">
        <v>1933</v>
      </c>
      <c r="E729" t="s">
        <v>2212</v>
      </c>
      <c r="F729" t="s">
        <v>2240</v>
      </c>
      <c r="G729" t="s">
        <v>2246</v>
      </c>
      <c r="H729" t="s">
        <v>2259</v>
      </c>
      <c r="I729" t="s">
        <v>2262</v>
      </c>
      <c r="J729" t="s">
        <v>2266</v>
      </c>
      <c r="K729">
        <v>1</v>
      </c>
      <c r="L729">
        <v>105</v>
      </c>
      <c r="M729">
        <v>0.05</v>
      </c>
      <c r="N729">
        <v>105</v>
      </c>
      <c r="O729">
        <v>99.75</v>
      </c>
      <c r="P729" t="s">
        <v>2268</v>
      </c>
      <c r="Q729" t="s">
        <v>2270</v>
      </c>
      <c r="R729" t="s">
        <v>2275</v>
      </c>
      <c r="S729" t="s">
        <v>2286</v>
      </c>
      <c r="T729" t="s">
        <v>2288</v>
      </c>
      <c r="U729">
        <v>2</v>
      </c>
      <c r="V729">
        <v>395</v>
      </c>
      <c r="W729">
        <v>16</v>
      </c>
      <c r="X729">
        <v>37.49</v>
      </c>
      <c r="Y729">
        <v>62.26</v>
      </c>
      <c r="Z729" t="s">
        <v>2293</v>
      </c>
      <c r="AA729" t="s">
        <v>2297</v>
      </c>
      <c r="AB729">
        <v>105</v>
      </c>
      <c r="AC729">
        <v>5.25</v>
      </c>
      <c r="AD729">
        <v>99.75</v>
      </c>
      <c r="AE729">
        <v>37.49</v>
      </c>
      <c r="AF729">
        <v>62.26</v>
      </c>
      <c r="AG729">
        <v>2024</v>
      </c>
      <c r="AH729">
        <v>7</v>
      </c>
      <c r="AI729" t="s">
        <v>2307</v>
      </c>
      <c r="AJ729" t="s">
        <v>2317</v>
      </c>
    </row>
    <row r="730" spans="1:36" x14ac:dyDescent="0.3">
      <c r="A730" t="s">
        <v>764</v>
      </c>
      <c r="B730" s="2">
        <v>45530</v>
      </c>
      <c r="C730" t="s">
        <v>1645</v>
      </c>
      <c r="D730" t="s">
        <v>1856</v>
      </c>
      <c r="E730" t="s">
        <v>2122</v>
      </c>
      <c r="F730" t="s">
        <v>2239</v>
      </c>
      <c r="G730" t="s">
        <v>2254</v>
      </c>
      <c r="H730" t="s">
        <v>2259</v>
      </c>
      <c r="I730" t="s">
        <v>2263</v>
      </c>
      <c r="J730" t="s">
        <v>2264</v>
      </c>
      <c r="K730">
        <v>3</v>
      </c>
      <c r="L730">
        <v>110</v>
      </c>
      <c r="M730">
        <v>0</v>
      </c>
      <c r="N730">
        <v>330</v>
      </c>
      <c r="O730">
        <v>330</v>
      </c>
      <c r="P730" t="s">
        <v>2269</v>
      </c>
      <c r="Q730" t="s">
        <v>2271</v>
      </c>
      <c r="R730" t="s">
        <v>2279</v>
      </c>
      <c r="S730" t="s">
        <v>2287</v>
      </c>
      <c r="T730" t="s">
        <v>2288</v>
      </c>
      <c r="U730">
        <v>5</v>
      </c>
      <c r="V730">
        <v>99</v>
      </c>
      <c r="W730">
        <v>39</v>
      </c>
      <c r="X730">
        <v>64.47</v>
      </c>
      <c r="Y730">
        <v>136.59</v>
      </c>
      <c r="Z730" t="s">
        <v>2293</v>
      </c>
      <c r="AA730" t="s">
        <v>2297</v>
      </c>
      <c r="AB730">
        <v>330</v>
      </c>
      <c r="AC730">
        <v>0</v>
      </c>
      <c r="AD730">
        <v>330</v>
      </c>
      <c r="AE730">
        <v>193.41</v>
      </c>
      <c r="AF730">
        <v>136.59</v>
      </c>
      <c r="AG730">
        <v>2024</v>
      </c>
      <c r="AH730">
        <v>8</v>
      </c>
      <c r="AI730" t="s">
        <v>2301</v>
      </c>
      <c r="AJ730" t="s">
        <v>2314</v>
      </c>
    </row>
    <row r="731" spans="1:36" x14ac:dyDescent="0.3">
      <c r="A731" t="s">
        <v>765</v>
      </c>
      <c r="B731" s="2">
        <v>45475</v>
      </c>
      <c r="C731" t="s">
        <v>1656</v>
      </c>
      <c r="D731" t="s">
        <v>1761</v>
      </c>
      <c r="E731" t="s">
        <v>2187</v>
      </c>
      <c r="F731" t="s">
        <v>2240</v>
      </c>
      <c r="G731" t="s">
        <v>2248</v>
      </c>
      <c r="H731" t="s">
        <v>2257</v>
      </c>
      <c r="I731" t="s">
        <v>2262</v>
      </c>
      <c r="J731" t="s">
        <v>2264</v>
      </c>
      <c r="K731">
        <v>3</v>
      </c>
      <c r="L731">
        <v>150</v>
      </c>
      <c r="M731">
        <v>0.15</v>
      </c>
      <c r="N731">
        <v>450</v>
      </c>
      <c r="O731">
        <v>382.5</v>
      </c>
      <c r="P731" t="s">
        <v>2269</v>
      </c>
      <c r="Q731" t="s">
        <v>2272</v>
      </c>
      <c r="R731" t="s">
        <v>2275</v>
      </c>
      <c r="S731" t="s">
        <v>2287</v>
      </c>
      <c r="T731" t="s">
        <v>2288</v>
      </c>
      <c r="U731">
        <v>4</v>
      </c>
      <c r="V731">
        <v>413</v>
      </c>
      <c r="W731">
        <v>16</v>
      </c>
      <c r="X731">
        <v>64</v>
      </c>
      <c r="Y731">
        <v>190.5</v>
      </c>
      <c r="Z731" t="s">
        <v>1761</v>
      </c>
      <c r="AA731" t="s">
        <v>2296</v>
      </c>
      <c r="AB731">
        <v>450</v>
      </c>
      <c r="AC731">
        <v>67.5</v>
      </c>
      <c r="AD731">
        <v>382.5</v>
      </c>
      <c r="AE731">
        <v>192</v>
      </c>
      <c r="AF731">
        <v>190.5</v>
      </c>
      <c r="AG731">
        <v>2024</v>
      </c>
      <c r="AH731">
        <v>7</v>
      </c>
      <c r="AI731" t="s">
        <v>2307</v>
      </c>
      <c r="AJ731" t="s">
        <v>2313</v>
      </c>
    </row>
    <row r="732" spans="1:36" x14ac:dyDescent="0.3">
      <c r="A732" t="s">
        <v>766</v>
      </c>
      <c r="B732" s="2">
        <v>45635</v>
      </c>
      <c r="C732" t="s">
        <v>1650</v>
      </c>
      <c r="D732" t="s">
        <v>1753</v>
      </c>
      <c r="E732" t="s">
        <v>1761</v>
      </c>
      <c r="F732" t="s">
        <v>2239</v>
      </c>
      <c r="G732" t="s">
        <v>2253</v>
      </c>
      <c r="H732" t="s">
        <v>2258</v>
      </c>
      <c r="I732" t="s">
        <v>2260</v>
      </c>
      <c r="K732">
        <v>2</v>
      </c>
      <c r="L732">
        <v>100</v>
      </c>
      <c r="M732">
        <v>0</v>
      </c>
      <c r="N732">
        <v>200</v>
      </c>
      <c r="O732">
        <v>200</v>
      </c>
      <c r="P732" t="s">
        <v>2267</v>
      </c>
      <c r="Q732" t="s">
        <v>2270</v>
      </c>
      <c r="R732" t="s">
        <v>2277</v>
      </c>
      <c r="S732" t="s">
        <v>2284</v>
      </c>
      <c r="T732" t="s">
        <v>2288</v>
      </c>
      <c r="U732">
        <v>5</v>
      </c>
      <c r="V732">
        <v>0</v>
      </c>
      <c r="W732">
        <v>34</v>
      </c>
      <c r="X732">
        <v>45.53</v>
      </c>
      <c r="Y732">
        <v>108.94</v>
      </c>
      <c r="Z732" t="s">
        <v>1761</v>
      </c>
      <c r="AA732" t="s">
        <v>2296</v>
      </c>
      <c r="AB732">
        <v>200</v>
      </c>
      <c r="AC732">
        <v>0</v>
      </c>
      <c r="AD732">
        <v>200</v>
      </c>
      <c r="AE732">
        <v>91.06</v>
      </c>
      <c r="AF732">
        <v>108.94</v>
      </c>
      <c r="AG732">
        <v>2024</v>
      </c>
      <c r="AH732">
        <v>12</v>
      </c>
      <c r="AI732" t="s">
        <v>2309</v>
      </c>
      <c r="AJ732" t="s">
        <v>2314</v>
      </c>
    </row>
    <row r="733" spans="1:36" x14ac:dyDescent="0.3">
      <c r="A733" t="s">
        <v>767</v>
      </c>
      <c r="B733" s="2">
        <v>45531</v>
      </c>
      <c r="C733" t="s">
        <v>1738</v>
      </c>
      <c r="D733" t="s">
        <v>1787</v>
      </c>
      <c r="E733" t="s">
        <v>2149</v>
      </c>
      <c r="F733" t="s">
        <v>2238</v>
      </c>
      <c r="G733" t="s">
        <v>2255</v>
      </c>
      <c r="H733" t="s">
        <v>2260</v>
      </c>
      <c r="I733" t="s">
        <v>2260</v>
      </c>
      <c r="J733" t="s">
        <v>2266</v>
      </c>
      <c r="K733">
        <v>2</v>
      </c>
      <c r="L733">
        <v>185</v>
      </c>
      <c r="M733">
        <v>0.05</v>
      </c>
      <c r="N733">
        <v>370</v>
      </c>
      <c r="O733">
        <v>351.5</v>
      </c>
      <c r="P733" t="s">
        <v>2269</v>
      </c>
      <c r="Q733" t="s">
        <v>2272</v>
      </c>
      <c r="R733" t="s">
        <v>2275</v>
      </c>
      <c r="S733" t="s">
        <v>2284</v>
      </c>
      <c r="T733" t="s">
        <v>2288</v>
      </c>
      <c r="U733">
        <v>3</v>
      </c>
      <c r="V733">
        <v>382</v>
      </c>
      <c r="W733">
        <v>50</v>
      </c>
      <c r="X733">
        <v>105.59</v>
      </c>
      <c r="Y733">
        <v>140.32</v>
      </c>
      <c r="Z733" t="s">
        <v>1761</v>
      </c>
      <c r="AA733" t="s">
        <v>2299</v>
      </c>
      <c r="AB733">
        <v>370</v>
      </c>
      <c r="AC733">
        <v>18.5</v>
      </c>
      <c r="AD733">
        <v>351.5</v>
      </c>
      <c r="AE733">
        <v>211.18</v>
      </c>
      <c r="AF733">
        <v>140.32</v>
      </c>
      <c r="AG733">
        <v>2024</v>
      </c>
      <c r="AH733">
        <v>8</v>
      </c>
      <c r="AI733" t="s">
        <v>2301</v>
      </c>
      <c r="AJ733" t="s">
        <v>2313</v>
      </c>
    </row>
    <row r="734" spans="1:36" x14ac:dyDescent="0.3">
      <c r="A734" t="s">
        <v>768</v>
      </c>
      <c r="B734" s="2">
        <v>45421</v>
      </c>
      <c r="C734" t="s">
        <v>1715</v>
      </c>
      <c r="D734" t="s">
        <v>1846</v>
      </c>
      <c r="E734" t="s">
        <v>2113</v>
      </c>
      <c r="F734" t="s">
        <v>2238</v>
      </c>
      <c r="G734" t="s">
        <v>2250</v>
      </c>
      <c r="H734" t="s">
        <v>2259</v>
      </c>
      <c r="I734" t="s">
        <v>2262</v>
      </c>
      <c r="J734" t="s">
        <v>2265</v>
      </c>
      <c r="K734">
        <v>1</v>
      </c>
      <c r="L734">
        <v>85</v>
      </c>
      <c r="M734">
        <v>0</v>
      </c>
      <c r="N734">
        <v>85</v>
      </c>
      <c r="O734">
        <v>85</v>
      </c>
      <c r="P734" t="s">
        <v>2267</v>
      </c>
      <c r="R734" t="s">
        <v>2274</v>
      </c>
      <c r="S734" t="s">
        <v>2287</v>
      </c>
      <c r="T734" t="s">
        <v>2288</v>
      </c>
      <c r="U734">
        <v>2</v>
      </c>
      <c r="V734">
        <v>55</v>
      </c>
      <c r="W734">
        <v>54</v>
      </c>
      <c r="X734">
        <v>32.450000000000003</v>
      </c>
      <c r="Y734">
        <v>52.55</v>
      </c>
      <c r="Z734" t="s">
        <v>2291</v>
      </c>
      <c r="AA734" t="s">
        <v>2299</v>
      </c>
      <c r="AB734">
        <v>85</v>
      </c>
      <c r="AC734">
        <v>0</v>
      </c>
      <c r="AD734">
        <v>85</v>
      </c>
      <c r="AE734">
        <v>32.450000000000003</v>
      </c>
      <c r="AF734">
        <v>52.55</v>
      </c>
      <c r="AG734">
        <v>2024</v>
      </c>
      <c r="AH734">
        <v>5</v>
      </c>
      <c r="AI734" t="s">
        <v>2306</v>
      </c>
      <c r="AJ734" t="s">
        <v>2316</v>
      </c>
    </row>
    <row r="735" spans="1:36" x14ac:dyDescent="0.3">
      <c r="A735" t="s">
        <v>769</v>
      </c>
      <c r="B735" s="2">
        <v>45434</v>
      </c>
      <c r="C735" t="s">
        <v>1717</v>
      </c>
      <c r="D735" t="s">
        <v>1872</v>
      </c>
      <c r="E735" t="s">
        <v>2139</v>
      </c>
      <c r="F735" t="s">
        <v>2239</v>
      </c>
      <c r="G735" t="s">
        <v>2243</v>
      </c>
      <c r="H735" t="s">
        <v>2258</v>
      </c>
      <c r="I735" t="s">
        <v>2260</v>
      </c>
      <c r="J735" t="s">
        <v>2264</v>
      </c>
      <c r="K735">
        <v>1</v>
      </c>
      <c r="L735">
        <v>80</v>
      </c>
      <c r="M735">
        <v>0</v>
      </c>
      <c r="N735">
        <v>80</v>
      </c>
      <c r="O735">
        <v>80</v>
      </c>
      <c r="P735" t="s">
        <v>2267</v>
      </c>
      <c r="Q735" t="s">
        <v>2271</v>
      </c>
      <c r="R735" t="s">
        <v>2279</v>
      </c>
      <c r="S735" t="s">
        <v>2280</v>
      </c>
      <c r="T735" t="s">
        <v>2290</v>
      </c>
      <c r="U735">
        <v>4</v>
      </c>
      <c r="V735">
        <v>432</v>
      </c>
      <c r="X735">
        <v>35.26</v>
      </c>
      <c r="Y735">
        <v>44.74</v>
      </c>
      <c r="Z735" t="s">
        <v>2293</v>
      </c>
      <c r="AA735" t="s">
        <v>2297</v>
      </c>
      <c r="AB735">
        <v>80</v>
      </c>
      <c r="AC735">
        <v>0</v>
      </c>
      <c r="AD735">
        <v>80</v>
      </c>
      <c r="AE735">
        <v>35.26</v>
      </c>
      <c r="AF735">
        <v>44.74</v>
      </c>
      <c r="AG735">
        <v>2024</v>
      </c>
      <c r="AH735">
        <v>5</v>
      </c>
      <c r="AI735" t="s">
        <v>2306</v>
      </c>
      <c r="AJ735" t="s">
        <v>2312</v>
      </c>
    </row>
    <row r="736" spans="1:36" x14ac:dyDescent="0.3">
      <c r="A736" t="s">
        <v>770</v>
      </c>
      <c r="B736" s="2">
        <v>45400</v>
      </c>
      <c r="C736" t="s">
        <v>1738</v>
      </c>
      <c r="D736" t="s">
        <v>1784</v>
      </c>
      <c r="E736" t="s">
        <v>2003</v>
      </c>
      <c r="F736" t="s">
        <v>1761</v>
      </c>
      <c r="G736" t="s">
        <v>2245</v>
      </c>
      <c r="H736" t="s">
        <v>2257</v>
      </c>
      <c r="I736" t="s">
        <v>2263</v>
      </c>
      <c r="K736">
        <v>2</v>
      </c>
      <c r="L736">
        <v>145</v>
      </c>
      <c r="M736">
        <v>0</v>
      </c>
      <c r="N736">
        <v>290</v>
      </c>
      <c r="O736">
        <v>290</v>
      </c>
      <c r="P736" t="s">
        <v>2267</v>
      </c>
      <c r="R736" t="s">
        <v>2279</v>
      </c>
      <c r="S736" t="s">
        <v>2282</v>
      </c>
      <c r="T736" t="s">
        <v>2288</v>
      </c>
      <c r="U736">
        <v>3</v>
      </c>
      <c r="V736">
        <v>175</v>
      </c>
      <c r="W736">
        <v>27</v>
      </c>
      <c r="X736">
        <v>62.48</v>
      </c>
      <c r="Y736">
        <v>165.04</v>
      </c>
      <c r="Z736" t="s">
        <v>1761</v>
      </c>
      <c r="AA736" t="s">
        <v>2296</v>
      </c>
      <c r="AB736">
        <v>290</v>
      </c>
      <c r="AC736">
        <v>0</v>
      </c>
      <c r="AD736">
        <v>290</v>
      </c>
      <c r="AE736">
        <v>124.96</v>
      </c>
      <c r="AF736">
        <v>165.04</v>
      </c>
      <c r="AG736">
        <v>2024</v>
      </c>
      <c r="AH736">
        <v>4</v>
      </c>
      <c r="AI736" t="s">
        <v>2308</v>
      </c>
      <c r="AJ736" t="s">
        <v>2316</v>
      </c>
    </row>
    <row r="737" spans="1:36" x14ac:dyDescent="0.3">
      <c r="A737" t="s">
        <v>771</v>
      </c>
      <c r="B737" s="2">
        <v>45598</v>
      </c>
      <c r="C737" t="s">
        <v>1709</v>
      </c>
      <c r="D737" t="s">
        <v>1878</v>
      </c>
      <c r="E737" t="s">
        <v>2197</v>
      </c>
      <c r="F737" t="s">
        <v>1761</v>
      </c>
      <c r="G737" t="s">
        <v>2248</v>
      </c>
      <c r="H737" t="s">
        <v>2257</v>
      </c>
      <c r="I737" t="s">
        <v>2262</v>
      </c>
      <c r="J737" t="s">
        <v>2264</v>
      </c>
      <c r="K737">
        <v>1</v>
      </c>
      <c r="L737">
        <v>140</v>
      </c>
      <c r="N737">
        <v>140</v>
      </c>
      <c r="P737" t="s">
        <v>2268</v>
      </c>
      <c r="Q737" t="s">
        <v>2270</v>
      </c>
      <c r="R737" t="s">
        <v>2276</v>
      </c>
      <c r="S737" t="s">
        <v>2281</v>
      </c>
      <c r="T737" t="s">
        <v>2290</v>
      </c>
      <c r="U737">
        <v>1</v>
      </c>
      <c r="V737">
        <v>39</v>
      </c>
      <c r="W737">
        <v>24</v>
      </c>
      <c r="X737">
        <v>75.5</v>
      </c>
      <c r="Z737" t="s">
        <v>1761</v>
      </c>
      <c r="AA737" t="s">
        <v>2297</v>
      </c>
      <c r="AB737">
        <v>140</v>
      </c>
      <c r="AC737">
        <v>0</v>
      </c>
      <c r="AD737">
        <v>140</v>
      </c>
      <c r="AE737">
        <v>75.5</v>
      </c>
      <c r="AF737">
        <v>64.5</v>
      </c>
      <c r="AG737">
        <v>2024</v>
      </c>
      <c r="AH737">
        <v>11</v>
      </c>
      <c r="AI737" t="s">
        <v>2311</v>
      </c>
      <c r="AJ737" t="s">
        <v>2317</v>
      </c>
    </row>
    <row r="738" spans="1:36" x14ac:dyDescent="0.3">
      <c r="A738" t="s">
        <v>772</v>
      </c>
      <c r="B738" s="2">
        <v>45621</v>
      </c>
      <c r="C738" t="s">
        <v>1740</v>
      </c>
      <c r="D738" t="s">
        <v>1847</v>
      </c>
      <c r="E738" t="s">
        <v>2213</v>
      </c>
      <c r="F738" t="s">
        <v>1761</v>
      </c>
      <c r="G738" t="s">
        <v>2243</v>
      </c>
      <c r="H738" t="s">
        <v>2258</v>
      </c>
      <c r="I738" t="s">
        <v>2260</v>
      </c>
      <c r="J738" t="s">
        <v>2265</v>
      </c>
      <c r="K738">
        <v>1</v>
      </c>
      <c r="L738">
        <v>75</v>
      </c>
      <c r="M738">
        <v>0.05</v>
      </c>
      <c r="N738">
        <v>75</v>
      </c>
      <c r="O738">
        <v>71.25</v>
      </c>
      <c r="P738" t="s">
        <v>2267</v>
      </c>
      <c r="Q738" t="s">
        <v>2272</v>
      </c>
      <c r="R738" t="s">
        <v>2273</v>
      </c>
      <c r="S738" t="s">
        <v>2282</v>
      </c>
      <c r="T738" t="s">
        <v>2288</v>
      </c>
      <c r="U738">
        <v>3</v>
      </c>
      <c r="V738">
        <v>109</v>
      </c>
      <c r="W738">
        <v>28</v>
      </c>
      <c r="X738">
        <v>26.15</v>
      </c>
      <c r="Y738">
        <v>45.1</v>
      </c>
      <c r="Z738" t="s">
        <v>1761</v>
      </c>
      <c r="AA738" t="s">
        <v>1761</v>
      </c>
      <c r="AB738">
        <v>75</v>
      </c>
      <c r="AC738">
        <v>3.75</v>
      </c>
      <c r="AD738">
        <v>71.25</v>
      </c>
      <c r="AE738">
        <v>26.15</v>
      </c>
      <c r="AF738">
        <v>45.1</v>
      </c>
      <c r="AG738">
        <v>2024</v>
      </c>
      <c r="AH738">
        <v>11</v>
      </c>
      <c r="AI738" t="s">
        <v>2311</v>
      </c>
      <c r="AJ738" t="s">
        <v>2314</v>
      </c>
    </row>
    <row r="739" spans="1:36" x14ac:dyDescent="0.3">
      <c r="A739" t="s">
        <v>773</v>
      </c>
      <c r="B739" s="2">
        <v>45600</v>
      </c>
      <c r="C739" t="s">
        <v>1642</v>
      </c>
      <c r="D739" t="s">
        <v>1906</v>
      </c>
      <c r="E739" t="s">
        <v>2077</v>
      </c>
      <c r="F739" t="s">
        <v>1761</v>
      </c>
      <c r="G739" t="s">
        <v>2244</v>
      </c>
      <c r="H739" t="s">
        <v>2257</v>
      </c>
      <c r="I739" t="s">
        <v>2262</v>
      </c>
      <c r="J739" t="s">
        <v>2265</v>
      </c>
      <c r="K739">
        <v>2</v>
      </c>
      <c r="L739">
        <v>130</v>
      </c>
      <c r="M739">
        <v>0.1</v>
      </c>
      <c r="N739">
        <v>260</v>
      </c>
      <c r="O739">
        <v>234</v>
      </c>
      <c r="P739" t="s">
        <v>2267</v>
      </c>
      <c r="Q739" t="s">
        <v>2271</v>
      </c>
      <c r="R739" t="s">
        <v>2275</v>
      </c>
      <c r="S739" t="s">
        <v>2283</v>
      </c>
      <c r="T739" t="s">
        <v>2288</v>
      </c>
      <c r="U739">
        <v>2</v>
      </c>
      <c r="V739">
        <v>93</v>
      </c>
      <c r="W739">
        <v>16</v>
      </c>
      <c r="X739">
        <v>51.83</v>
      </c>
      <c r="Y739">
        <v>130.34</v>
      </c>
      <c r="Z739" t="s">
        <v>2293</v>
      </c>
      <c r="AA739" t="s">
        <v>2299</v>
      </c>
      <c r="AB739">
        <v>260</v>
      </c>
      <c r="AC739">
        <v>26</v>
      </c>
      <c r="AD739">
        <v>234</v>
      </c>
      <c r="AE739">
        <v>103.66</v>
      </c>
      <c r="AF739">
        <v>130.34</v>
      </c>
      <c r="AG739">
        <v>2024</v>
      </c>
      <c r="AH739">
        <v>11</v>
      </c>
      <c r="AI739" t="s">
        <v>2311</v>
      </c>
      <c r="AJ739" t="s">
        <v>2314</v>
      </c>
    </row>
    <row r="740" spans="1:36" x14ac:dyDescent="0.3">
      <c r="A740" t="s">
        <v>774</v>
      </c>
      <c r="B740" s="2">
        <v>45372</v>
      </c>
      <c r="C740" t="s">
        <v>1735</v>
      </c>
      <c r="D740" t="s">
        <v>1760</v>
      </c>
      <c r="E740" t="s">
        <v>2166</v>
      </c>
      <c r="F740" t="s">
        <v>1761</v>
      </c>
      <c r="G740" t="s">
        <v>2245</v>
      </c>
      <c r="H740" t="s">
        <v>2257</v>
      </c>
      <c r="I740" t="s">
        <v>2263</v>
      </c>
      <c r="K740">
        <v>1</v>
      </c>
      <c r="L740">
        <v>145</v>
      </c>
      <c r="M740">
        <v>0</v>
      </c>
      <c r="N740">
        <v>145</v>
      </c>
      <c r="O740">
        <v>145</v>
      </c>
      <c r="P740" t="s">
        <v>2268</v>
      </c>
      <c r="Q740" t="s">
        <v>2271</v>
      </c>
      <c r="R740" t="s">
        <v>2279</v>
      </c>
      <c r="S740" t="s">
        <v>2280</v>
      </c>
      <c r="T740" t="s">
        <v>2288</v>
      </c>
      <c r="U740">
        <v>5</v>
      </c>
      <c r="V740">
        <v>298</v>
      </c>
      <c r="W740">
        <v>18</v>
      </c>
      <c r="X740">
        <v>82.15</v>
      </c>
      <c r="Y740">
        <v>62.85</v>
      </c>
      <c r="Z740" t="s">
        <v>2292</v>
      </c>
      <c r="AA740" t="s">
        <v>2296</v>
      </c>
      <c r="AB740">
        <v>145</v>
      </c>
      <c r="AC740">
        <v>0</v>
      </c>
      <c r="AD740">
        <v>145</v>
      </c>
      <c r="AE740">
        <v>82.15</v>
      </c>
      <c r="AF740">
        <v>62.849999999999987</v>
      </c>
      <c r="AG740">
        <v>2024</v>
      </c>
      <c r="AH740">
        <v>3</v>
      </c>
      <c r="AI740" t="s">
        <v>2305</v>
      </c>
      <c r="AJ740" t="s">
        <v>2316</v>
      </c>
    </row>
    <row r="741" spans="1:36" x14ac:dyDescent="0.3">
      <c r="A741" t="s">
        <v>775</v>
      </c>
      <c r="B741" s="2">
        <v>45535</v>
      </c>
      <c r="C741" t="s">
        <v>1723</v>
      </c>
      <c r="D741" t="s">
        <v>1930</v>
      </c>
      <c r="E741" t="s">
        <v>2149</v>
      </c>
      <c r="F741" t="s">
        <v>2238</v>
      </c>
      <c r="G741" t="s">
        <v>2247</v>
      </c>
      <c r="H741" t="s">
        <v>2257</v>
      </c>
      <c r="I741" t="s">
        <v>2262</v>
      </c>
      <c r="J741" t="s">
        <v>2266</v>
      </c>
      <c r="K741">
        <v>3</v>
      </c>
      <c r="L741">
        <v>105</v>
      </c>
      <c r="M741">
        <v>0.1</v>
      </c>
      <c r="N741">
        <v>315</v>
      </c>
      <c r="O741">
        <v>283.5</v>
      </c>
      <c r="P741" t="s">
        <v>2267</v>
      </c>
      <c r="Q741" t="s">
        <v>2272</v>
      </c>
      <c r="R741" t="s">
        <v>2276</v>
      </c>
      <c r="S741" t="s">
        <v>2282</v>
      </c>
      <c r="T741" t="s">
        <v>2288</v>
      </c>
      <c r="V741">
        <v>436</v>
      </c>
      <c r="W741">
        <v>39</v>
      </c>
      <c r="X741">
        <v>45.7</v>
      </c>
      <c r="Y741">
        <v>146.4</v>
      </c>
      <c r="Z741" t="s">
        <v>2294</v>
      </c>
      <c r="AA741" t="s">
        <v>2296</v>
      </c>
      <c r="AB741">
        <v>315</v>
      </c>
      <c r="AC741">
        <v>31.5</v>
      </c>
      <c r="AD741">
        <v>283.5</v>
      </c>
      <c r="AE741">
        <v>137.1</v>
      </c>
      <c r="AF741">
        <v>146.4</v>
      </c>
      <c r="AG741">
        <v>2024</v>
      </c>
      <c r="AH741">
        <v>8</v>
      </c>
      <c r="AI741" t="s">
        <v>2301</v>
      </c>
      <c r="AJ741" t="s">
        <v>2317</v>
      </c>
    </row>
    <row r="742" spans="1:36" x14ac:dyDescent="0.3">
      <c r="A742" t="s">
        <v>776</v>
      </c>
      <c r="B742" s="2">
        <v>45617</v>
      </c>
      <c r="C742" t="s">
        <v>1699</v>
      </c>
      <c r="D742" t="s">
        <v>1913</v>
      </c>
      <c r="E742" t="s">
        <v>2195</v>
      </c>
      <c r="F742" t="s">
        <v>2240</v>
      </c>
      <c r="G742" t="s">
        <v>2245</v>
      </c>
      <c r="H742" t="s">
        <v>2257</v>
      </c>
      <c r="I742" t="s">
        <v>2263</v>
      </c>
      <c r="K742">
        <v>1</v>
      </c>
      <c r="L742">
        <v>150</v>
      </c>
      <c r="M742">
        <v>0</v>
      </c>
      <c r="N742">
        <v>150</v>
      </c>
      <c r="O742">
        <v>150</v>
      </c>
      <c r="P742" t="s">
        <v>2269</v>
      </c>
      <c r="Q742" t="s">
        <v>2270</v>
      </c>
      <c r="R742" t="s">
        <v>2274</v>
      </c>
      <c r="S742" t="s">
        <v>2280</v>
      </c>
      <c r="T742" t="s">
        <v>2288</v>
      </c>
      <c r="U742">
        <v>4</v>
      </c>
      <c r="V742">
        <v>294</v>
      </c>
      <c r="X742">
        <v>55.31</v>
      </c>
      <c r="Y742">
        <v>94.69</v>
      </c>
      <c r="Z742" t="s">
        <v>1761</v>
      </c>
      <c r="AA742" t="s">
        <v>2296</v>
      </c>
      <c r="AB742">
        <v>150</v>
      </c>
      <c r="AC742">
        <v>0</v>
      </c>
      <c r="AD742">
        <v>150</v>
      </c>
      <c r="AE742">
        <v>55.31</v>
      </c>
      <c r="AF742">
        <v>94.69</v>
      </c>
      <c r="AG742">
        <v>2024</v>
      </c>
      <c r="AH742">
        <v>11</v>
      </c>
      <c r="AI742" t="s">
        <v>2311</v>
      </c>
      <c r="AJ742" t="s">
        <v>2316</v>
      </c>
    </row>
    <row r="743" spans="1:36" x14ac:dyDescent="0.3">
      <c r="A743" t="s">
        <v>777</v>
      </c>
      <c r="B743" s="2">
        <v>45616</v>
      </c>
      <c r="C743" t="s">
        <v>1674</v>
      </c>
      <c r="D743" t="s">
        <v>1903</v>
      </c>
      <c r="E743" t="s">
        <v>2158</v>
      </c>
      <c r="F743" t="s">
        <v>2240</v>
      </c>
      <c r="G743" t="s">
        <v>2255</v>
      </c>
      <c r="H743" t="s">
        <v>2260</v>
      </c>
      <c r="I743" t="s">
        <v>2260</v>
      </c>
      <c r="J743" t="s">
        <v>2264</v>
      </c>
      <c r="K743">
        <v>1</v>
      </c>
      <c r="L743">
        <v>180</v>
      </c>
      <c r="M743">
        <v>0.1</v>
      </c>
      <c r="N743">
        <v>180</v>
      </c>
      <c r="O743">
        <v>162</v>
      </c>
      <c r="P743" t="s">
        <v>2267</v>
      </c>
      <c r="Q743" t="s">
        <v>2270</v>
      </c>
      <c r="R743" t="s">
        <v>2276</v>
      </c>
      <c r="S743" t="s">
        <v>2285</v>
      </c>
      <c r="T743" t="s">
        <v>2288</v>
      </c>
      <c r="U743">
        <v>3</v>
      </c>
      <c r="V743">
        <v>18</v>
      </c>
      <c r="W743">
        <v>40</v>
      </c>
      <c r="X743">
        <v>98.89</v>
      </c>
      <c r="Y743">
        <v>63.11</v>
      </c>
      <c r="Z743" t="s">
        <v>2292</v>
      </c>
      <c r="AA743" t="s">
        <v>2297</v>
      </c>
      <c r="AB743">
        <v>180</v>
      </c>
      <c r="AC743">
        <v>18</v>
      </c>
      <c r="AD743">
        <v>162</v>
      </c>
      <c r="AE743">
        <v>98.89</v>
      </c>
      <c r="AF743">
        <v>63.11</v>
      </c>
      <c r="AG743">
        <v>2024</v>
      </c>
      <c r="AH743">
        <v>11</v>
      </c>
      <c r="AI743" t="s">
        <v>2311</v>
      </c>
      <c r="AJ743" t="s">
        <v>2312</v>
      </c>
    </row>
    <row r="744" spans="1:36" x14ac:dyDescent="0.3">
      <c r="A744" t="s">
        <v>778</v>
      </c>
      <c r="B744" s="2">
        <v>45296</v>
      </c>
      <c r="C744" t="s">
        <v>1676</v>
      </c>
      <c r="D744" t="s">
        <v>1916</v>
      </c>
      <c r="E744" t="s">
        <v>2209</v>
      </c>
      <c r="F744" t="s">
        <v>1761</v>
      </c>
      <c r="G744" t="s">
        <v>2242</v>
      </c>
      <c r="H744" t="s">
        <v>2258</v>
      </c>
      <c r="I744" t="s">
        <v>2260</v>
      </c>
      <c r="J744" t="s">
        <v>2264</v>
      </c>
      <c r="K744">
        <v>2</v>
      </c>
      <c r="L744">
        <v>120</v>
      </c>
      <c r="M744">
        <v>0</v>
      </c>
      <c r="N744">
        <v>240</v>
      </c>
      <c r="O744">
        <v>240</v>
      </c>
      <c r="P744" t="s">
        <v>2267</v>
      </c>
      <c r="Q744" t="s">
        <v>2272</v>
      </c>
      <c r="R744" t="s">
        <v>2273</v>
      </c>
      <c r="S744" t="s">
        <v>2283</v>
      </c>
      <c r="T744" t="s">
        <v>2288</v>
      </c>
      <c r="U744">
        <v>5</v>
      </c>
      <c r="V744">
        <v>74</v>
      </c>
      <c r="W744">
        <v>15</v>
      </c>
      <c r="X744">
        <v>58.57</v>
      </c>
      <c r="Y744">
        <v>122.86</v>
      </c>
      <c r="Z744" t="s">
        <v>2293</v>
      </c>
      <c r="AA744" t="s">
        <v>2296</v>
      </c>
      <c r="AB744">
        <v>240</v>
      </c>
      <c r="AC744">
        <v>0</v>
      </c>
      <c r="AD744">
        <v>240</v>
      </c>
      <c r="AE744">
        <v>117.14</v>
      </c>
      <c r="AF744">
        <v>122.86</v>
      </c>
      <c r="AG744">
        <v>2024</v>
      </c>
      <c r="AH744">
        <v>1</v>
      </c>
      <c r="AI744" t="s">
        <v>2302</v>
      </c>
      <c r="AJ744" t="s">
        <v>2315</v>
      </c>
    </row>
    <row r="745" spans="1:36" x14ac:dyDescent="0.3">
      <c r="A745" t="s">
        <v>779</v>
      </c>
      <c r="B745" s="2">
        <v>45421</v>
      </c>
      <c r="C745" t="s">
        <v>1737</v>
      </c>
      <c r="D745" t="s">
        <v>1917</v>
      </c>
      <c r="E745" t="s">
        <v>2068</v>
      </c>
      <c r="F745" t="s">
        <v>2240</v>
      </c>
      <c r="G745" t="s">
        <v>2244</v>
      </c>
      <c r="H745" t="s">
        <v>2257</v>
      </c>
      <c r="I745" t="s">
        <v>2262</v>
      </c>
      <c r="J745" t="s">
        <v>2266</v>
      </c>
      <c r="K745">
        <v>1</v>
      </c>
      <c r="L745">
        <v>125</v>
      </c>
      <c r="M745">
        <v>0.05</v>
      </c>
      <c r="N745">
        <v>125</v>
      </c>
      <c r="O745">
        <v>118.75</v>
      </c>
      <c r="P745" t="s">
        <v>2269</v>
      </c>
      <c r="R745" t="s">
        <v>2276</v>
      </c>
      <c r="S745" t="s">
        <v>2286</v>
      </c>
      <c r="T745" t="s">
        <v>2288</v>
      </c>
      <c r="U745">
        <v>5</v>
      </c>
      <c r="V745">
        <v>72</v>
      </c>
      <c r="W745">
        <v>24</v>
      </c>
      <c r="X745">
        <v>52.08</v>
      </c>
      <c r="Y745">
        <v>66.67</v>
      </c>
      <c r="Z745" t="s">
        <v>1761</v>
      </c>
      <c r="AA745" t="s">
        <v>1761</v>
      </c>
      <c r="AB745">
        <v>125</v>
      </c>
      <c r="AC745">
        <v>6.25</v>
      </c>
      <c r="AD745">
        <v>118.75</v>
      </c>
      <c r="AE745">
        <v>52.08</v>
      </c>
      <c r="AF745">
        <v>66.67</v>
      </c>
      <c r="AG745">
        <v>2024</v>
      </c>
      <c r="AH745">
        <v>5</v>
      </c>
      <c r="AI745" t="s">
        <v>2306</v>
      </c>
      <c r="AJ745" t="s">
        <v>2316</v>
      </c>
    </row>
    <row r="746" spans="1:36" x14ac:dyDescent="0.3">
      <c r="A746" t="s">
        <v>780</v>
      </c>
      <c r="B746" s="2">
        <v>45654</v>
      </c>
      <c r="C746" t="s">
        <v>1677</v>
      </c>
      <c r="D746" t="s">
        <v>1918</v>
      </c>
      <c r="E746" t="s">
        <v>2214</v>
      </c>
      <c r="F746" t="s">
        <v>1761</v>
      </c>
      <c r="G746" t="s">
        <v>2254</v>
      </c>
      <c r="H746" t="s">
        <v>2259</v>
      </c>
      <c r="I746" t="s">
        <v>2263</v>
      </c>
      <c r="J746" t="s">
        <v>2266</v>
      </c>
      <c r="K746">
        <v>1</v>
      </c>
      <c r="L746">
        <v>110</v>
      </c>
      <c r="N746">
        <v>110</v>
      </c>
      <c r="P746" t="s">
        <v>2269</v>
      </c>
      <c r="Q746" t="s">
        <v>2270</v>
      </c>
      <c r="R746" t="s">
        <v>2279</v>
      </c>
      <c r="S746" t="s">
        <v>2285</v>
      </c>
      <c r="T746" t="s">
        <v>2288</v>
      </c>
      <c r="U746">
        <v>5</v>
      </c>
      <c r="V746">
        <v>251</v>
      </c>
      <c r="W746">
        <v>15</v>
      </c>
      <c r="X746">
        <v>40.799999999999997</v>
      </c>
      <c r="Z746" t="s">
        <v>2293</v>
      </c>
      <c r="AA746" t="s">
        <v>2298</v>
      </c>
      <c r="AB746">
        <v>110</v>
      </c>
      <c r="AC746">
        <v>0</v>
      </c>
      <c r="AD746">
        <v>110</v>
      </c>
      <c r="AE746">
        <v>40.799999999999997</v>
      </c>
      <c r="AF746">
        <v>69.2</v>
      </c>
      <c r="AG746">
        <v>2024</v>
      </c>
      <c r="AH746">
        <v>12</v>
      </c>
      <c r="AI746" t="s">
        <v>2309</v>
      </c>
      <c r="AJ746" t="s">
        <v>2317</v>
      </c>
    </row>
    <row r="747" spans="1:36" x14ac:dyDescent="0.3">
      <c r="A747" t="s">
        <v>781</v>
      </c>
      <c r="B747" s="2">
        <v>45594</v>
      </c>
      <c r="C747" t="s">
        <v>1639</v>
      </c>
      <c r="D747" t="s">
        <v>1837</v>
      </c>
      <c r="E747" t="s">
        <v>2043</v>
      </c>
      <c r="F747" t="s">
        <v>2240</v>
      </c>
      <c r="G747" t="s">
        <v>2255</v>
      </c>
      <c r="H747" t="s">
        <v>2260</v>
      </c>
      <c r="I747" t="s">
        <v>2260</v>
      </c>
      <c r="J747" t="s">
        <v>2265</v>
      </c>
      <c r="K747">
        <v>2</v>
      </c>
      <c r="L747">
        <v>175</v>
      </c>
      <c r="M747">
        <v>0.1</v>
      </c>
      <c r="N747">
        <v>350</v>
      </c>
      <c r="O747">
        <v>315</v>
      </c>
      <c r="P747" t="s">
        <v>2268</v>
      </c>
      <c r="Q747" t="s">
        <v>2270</v>
      </c>
      <c r="R747" t="s">
        <v>2278</v>
      </c>
      <c r="S747" t="s">
        <v>2285</v>
      </c>
      <c r="T747" t="s">
        <v>2290</v>
      </c>
      <c r="U747">
        <v>2</v>
      </c>
      <c r="V747">
        <v>308</v>
      </c>
      <c r="W747">
        <v>18</v>
      </c>
      <c r="X747">
        <v>103.83</v>
      </c>
      <c r="Y747">
        <v>107.34</v>
      </c>
      <c r="Z747" t="s">
        <v>2291</v>
      </c>
      <c r="AA747" t="s">
        <v>2299</v>
      </c>
      <c r="AB747">
        <v>350</v>
      </c>
      <c r="AC747">
        <v>35</v>
      </c>
      <c r="AD747">
        <v>315</v>
      </c>
      <c r="AE747">
        <v>207.66</v>
      </c>
      <c r="AF747">
        <v>107.34</v>
      </c>
      <c r="AG747">
        <v>2024</v>
      </c>
      <c r="AH747">
        <v>10</v>
      </c>
      <c r="AI747" t="s">
        <v>2310</v>
      </c>
      <c r="AJ747" t="s">
        <v>2313</v>
      </c>
    </row>
    <row r="748" spans="1:36" x14ac:dyDescent="0.3">
      <c r="A748" t="s">
        <v>782</v>
      </c>
      <c r="B748" s="2">
        <v>45465</v>
      </c>
      <c r="C748" t="s">
        <v>1700</v>
      </c>
      <c r="D748" t="s">
        <v>1829</v>
      </c>
      <c r="E748" t="s">
        <v>2171</v>
      </c>
      <c r="F748" t="s">
        <v>2240</v>
      </c>
      <c r="G748" t="s">
        <v>2255</v>
      </c>
      <c r="H748" t="s">
        <v>2260</v>
      </c>
      <c r="I748" t="s">
        <v>2260</v>
      </c>
      <c r="J748" t="s">
        <v>2266</v>
      </c>
      <c r="K748">
        <v>1</v>
      </c>
      <c r="L748">
        <v>190</v>
      </c>
      <c r="N748">
        <v>190</v>
      </c>
      <c r="P748" t="s">
        <v>2269</v>
      </c>
      <c r="Q748" t="s">
        <v>2270</v>
      </c>
      <c r="R748" t="s">
        <v>2276</v>
      </c>
      <c r="S748" t="s">
        <v>2281</v>
      </c>
      <c r="T748" t="s">
        <v>2289</v>
      </c>
      <c r="U748">
        <v>5</v>
      </c>
      <c r="V748">
        <v>500</v>
      </c>
      <c r="W748">
        <v>20</v>
      </c>
      <c r="X748">
        <v>73.22</v>
      </c>
      <c r="Z748" t="s">
        <v>1761</v>
      </c>
      <c r="AA748" t="s">
        <v>2298</v>
      </c>
      <c r="AB748">
        <v>190</v>
      </c>
      <c r="AC748">
        <v>0</v>
      </c>
      <c r="AD748">
        <v>190</v>
      </c>
      <c r="AE748">
        <v>73.22</v>
      </c>
      <c r="AF748">
        <v>116.78</v>
      </c>
      <c r="AG748">
        <v>2024</v>
      </c>
      <c r="AH748">
        <v>6</v>
      </c>
      <c r="AI748" t="s">
        <v>2304</v>
      </c>
      <c r="AJ748" t="s">
        <v>2317</v>
      </c>
    </row>
    <row r="749" spans="1:36" x14ac:dyDescent="0.3">
      <c r="A749" t="s">
        <v>783</v>
      </c>
      <c r="B749" s="2">
        <v>45415</v>
      </c>
      <c r="C749" t="s">
        <v>1676</v>
      </c>
      <c r="D749" t="s">
        <v>1820</v>
      </c>
      <c r="E749" t="s">
        <v>2083</v>
      </c>
      <c r="F749" t="s">
        <v>2240</v>
      </c>
      <c r="G749" t="s">
        <v>2246</v>
      </c>
      <c r="H749" t="s">
        <v>2259</v>
      </c>
      <c r="I749" t="s">
        <v>2262</v>
      </c>
      <c r="J749" t="s">
        <v>2264</v>
      </c>
      <c r="K749">
        <v>1</v>
      </c>
      <c r="L749">
        <v>95</v>
      </c>
      <c r="M749">
        <v>0.05</v>
      </c>
      <c r="N749">
        <v>95</v>
      </c>
      <c r="O749">
        <v>90.25</v>
      </c>
      <c r="P749" t="s">
        <v>2268</v>
      </c>
      <c r="Q749" t="s">
        <v>2272</v>
      </c>
      <c r="R749" t="s">
        <v>2278</v>
      </c>
      <c r="S749" t="s">
        <v>2282</v>
      </c>
      <c r="T749" t="s">
        <v>2288</v>
      </c>
      <c r="U749">
        <v>5</v>
      </c>
      <c r="V749">
        <v>384</v>
      </c>
      <c r="W749">
        <v>23</v>
      </c>
      <c r="X749">
        <v>47.75</v>
      </c>
      <c r="Y749">
        <v>42.5</v>
      </c>
      <c r="Z749" t="s">
        <v>2294</v>
      </c>
      <c r="AA749" t="s">
        <v>1761</v>
      </c>
      <c r="AB749">
        <v>95</v>
      </c>
      <c r="AC749">
        <v>4.75</v>
      </c>
      <c r="AD749">
        <v>90.25</v>
      </c>
      <c r="AE749">
        <v>47.75</v>
      </c>
      <c r="AF749">
        <v>42.5</v>
      </c>
      <c r="AG749">
        <v>2024</v>
      </c>
      <c r="AH749">
        <v>5</v>
      </c>
      <c r="AI749" t="s">
        <v>2306</v>
      </c>
      <c r="AJ749" t="s">
        <v>2315</v>
      </c>
    </row>
    <row r="750" spans="1:36" x14ac:dyDescent="0.3">
      <c r="A750" t="s">
        <v>784</v>
      </c>
      <c r="B750" s="2">
        <v>45438</v>
      </c>
      <c r="C750" t="s">
        <v>1735</v>
      </c>
      <c r="D750" t="s">
        <v>1827</v>
      </c>
      <c r="E750" t="s">
        <v>2032</v>
      </c>
      <c r="F750" t="s">
        <v>2239</v>
      </c>
      <c r="G750" t="s">
        <v>2253</v>
      </c>
      <c r="H750" t="s">
        <v>2258</v>
      </c>
      <c r="I750" t="s">
        <v>2260</v>
      </c>
      <c r="J750" t="s">
        <v>2266</v>
      </c>
      <c r="K750">
        <v>2</v>
      </c>
      <c r="L750">
        <v>85</v>
      </c>
      <c r="M750">
        <v>0.15</v>
      </c>
      <c r="N750">
        <v>170</v>
      </c>
      <c r="O750">
        <v>144.5</v>
      </c>
      <c r="P750" t="s">
        <v>2267</v>
      </c>
      <c r="Q750" t="s">
        <v>2270</v>
      </c>
      <c r="R750" t="s">
        <v>2273</v>
      </c>
      <c r="S750" t="s">
        <v>2284</v>
      </c>
      <c r="T750" t="s">
        <v>2290</v>
      </c>
      <c r="U750">
        <v>4</v>
      </c>
      <c r="V750">
        <v>468</v>
      </c>
      <c r="W750">
        <v>15</v>
      </c>
      <c r="X750">
        <v>49.22</v>
      </c>
      <c r="Y750">
        <v>46.06</v>
      </c>
      <c r="Z750" t="s">
        <v>2292</v>
      </c>
      <c r="AA750" t="s">
        <v>2297</v>
      </c>
      <c r="AB750">
        <v>170</v>
      </c>
      <c r="AC750">
        <v>25.5</v>
      </c>
      <c r="AD750">
        <v>144.5</v>
      </c>
      <c r="AE750">
        <v>98.44</v>
      </c>
      <c r="AF750">
        <v>46.06</v>
      </c>
      <c r="AG750">
        <v>2024</v>
      </c>
      <c r="AH750">
        <v>5</v>
      </c>
      <c r="AI750" t="s">
        <v>2306</v>
      </c>
      <c r="AJ750" t="s">
        <v>2318</v>
      </c>
    </row>
    <row r="751" spans="1:36" x14ac:dyDescent="0.3">
      <c r="A751" t="s">
        <v>785</v>
      </c>
      <c r="B751" s="2">
        <v>45379</v>
      </c>
      <c r="C751" t="s">
        <v>1659</v>
      </c>
      <c r="D751" t="s">
        <v>1834</v>
      </c>
      <c r="E751" t="s">
        <v>2032</v>
      </c>
      <c r="F751" t="s">
        <v>2240</v>
      </c>
      <c r="G751" t="s">
        <v>2251</v>
      </c>
      <c r="H751" t="s">
        <v>2258</v>
      </c>
      <c r="I751" t="s">
        <v>2260</v>
      </c>
      <c r="J751" t="s">
        <v>2264</v>
      </c>
      <c r="K751">
        <v>2</v>
      </c>
      <c r="L751">
        <v>95</v>
      </c>
      <c r="M751">
        <v>0.1</v>
      </c>
      <c r="N751">
        <v>190</v>
      </c>
      <c r="O751">
        <v>171</v>
      </c>
      <c r="P751" t="s">
        <v>2269</v>
      </c>
      <c r="Q751" t="s">
        <v>2271</v>
      </c>
      <c r="R751" t="s">
        <v>2273</v>
      </c>
      <c r="S751" t="s">
        <v>2280</v>
      </c>
      <c r="T751" t="s">
        <v>2288</v>
      </c>
      <c r="U751">
        <v>1</v>
      </c>
      <c r="V751">
        <v>260</v>
      </c>
      <c r="W751">
        <v>11</v>
      </c>
      <c r="X751">
        <v>48.91</v>
      </c>
      <c r="Y751">
        <v>73.180000000000007</v>
      </c>
      <c r="Z751" t="s">
        <v>2292</v>
      </c>
      <c r="AA751" t="s">
        <v>2297</v>
      </c>
      <c r="AB751">
        <v>190</v>
      </c>
      <c r="AC751">
        <v>19</v>
      </c>
      <c r="AD751">
        <v>171</v>
      </c>
      <c r="AE751">
        <v>97.82</v>
      </c>
      <c r="AF751">
        <v>73.180000000000007</v>
      </c>
      <c r="AG751">
        <v>2024</v>
      </c>
      <c r="AH751">
        <v>3</v>
      </c>
      <c r="AI751" t="s">
        <v>2305</v>
      </c>
      <c r="AJ751" t="s">
        <v>2316</v>
      </c>
    </row>
    <row r="752" spans="1:36" x14ac:dyDescent="0.3">
      <c r="A752" t="s">
        <v>786</v>
      </c>
      <c r="B752" s="2">
        <v>45627</v>
      </c>
      <c r="C752" t="s">
        <v>1676</v>
      </c>
      <c r="D752" t="s">
        <v>1750</v>
      </c>
      <c r="E752" t="s">
        <v>1946</v>
      </c>
      <c r="F752" t="s">
        <v>2240</v>
      </c>
      <c r="G752" t="s">
        <v>2241</v>
      </c>
      <c r="H752" t="s">
        <v>2257</v>
      </c>
      <c r="I752" t="s">
        <v>2262</v>
      </c>
      <c r="K752">
        <v>1</v>
      </c>
      <c r="L752">
        <v>135</v>
      </c>
      <c r="M752">
        <v>0</v>
      </c>
      <c r="N752">
        <v>135</v>
      </c>
      <c r="O752">
        <v>135</v>
      </c>
      <c r="P752" t="s">
        <v>2269</v>
      </c>
      <c r="Q752" t="s">
        <v>2272</v>
      </c>
      <c r="R752" t="s">
        <v>2273</v>
      </c>
      <c r="S752" t="s">
        <v>2282</v>
      </c>
      <c r="T752" t="s">
        <v>2290</v>
      </c>
      <c r="U752">
        <v>5</v>
      </c>
      <c r="V752">
        <v>95</v>
      </c>
      <c r="W752">
        <v>15</v>
      </c>
      <c r="X752">
        <v>59.29</v>
      </c>
      <c r="Y752">
        <v>75.709999999999994</v>
      </c>
      <c r="Z752" t="s">
        <v>2291</v>
      </c>
      <c r="AA752" t="s">
        <v>1761</v>
      </c>
      <c r="AB752">
        <v>135</v>
      </c>
      <c r="AC752">
        <v>0</v>
      </c>
      <c r="AD752">
        <v>135</v>
      </c>
      <c r="AE752">
        <v>59.29</v>
      </c>
      <c r="AF752">
        <v>75.710000000000008</v>
      </c>
      <c r="AG752">
        <v>2024</v>
      </c>
      <c r="AH752">
        <v>12</v>
      </c>
      <c r="AI752" t="s">
        <v>2309</v>
      </c>
      <c r="AJ752" t="s">
        <v>2318</v>
      </c>
    </row>
    <row r="753" spans="1:36" x14ac:dyDescent="0.3">
      <c r="A753" t="s">
        <v>787</v>
      </c>
      <c r="B753" s="2">
        <v>45297</v>
      </c>
      <c r="C753" t="s">
        <v>1728</v>
      </c>
      <c r="D753" t="s">
        <v>1907</v>
      </c>
      <c r="E753" t="s">
        <v>2120</v>
      </c>
      <c r="F753" t="s">
        <v>2240</v>
      </c>
      <c r="G753" t="s">
        <v>2255</v>
      </c>
      <c r="H753" t="s">
        <v>2260</v>
      </c>
      <c r="I753" t="s">
        <v>2260</v>
      </c>
      <c r="J753" t="s">
        <v>2265</v>
      </c>
      <c r="K753">
        <v>4</v>
      </c>
      <c r="L753">
        <v>180</v>
      </c>
      <c r="M753">
        <v>0.05</v>
      </c>
      <c r="N753">
        <v>720</v>
      </c>
      <c r="O753">
        <v>684</v>
      </c>
      <c r="P753" t="s">
        <v>2268</v>
      </c>
      <c r="Q753" t="s">
        <v>2270</v>
      </c>
      <c r="R753" t="s">
        <v>2278</v>
      </c>
      <c r="S753" t="s">
        <v>2285</v>
      </c>
      <c r="T753" t="s">
        <v>2288</v>
      </c>
      <c r="U753">
        <v>5</v>
      </c>
      <c r="V753">
        <v>268</v>
      </c>
      <c r="W753">
        <v>44</v>
      </c>
      <c r="X753">
        <v>73.760000000000005</v>
      </c>
      <c r="Y753">
        <v>388.96</v>
      </c>
      <c r="Z753" t="s">
        <v>2291</v>
      </c>
      <c r="AA753" t="s">
        <v>2296</v>
      </c>
      <c r="AB753">
        <v>720</v>
      </c>
      <c r="AC753">
        <v>36</v>
      </c>
      <c r="AD753">
        <v>684</v>
      </c>
      <c r="AE753">
        <v>295.04000000000002</v>
      </c>
      <c r="AF753">
        <v>388.96</v>
      </c>
      <c r="AG753">
        <v>2024</v>
      </c>
      <c r="AH753">
        <v>1</v>
      </c>
      <c r="AI753" t="s">
        <v>2302</v>
      </c>
      <c r="AJ753" t="s">
        <v>2317</v>
      </c>
    </row>
    <row r="754" spans="1:36" x14ac:dyDescent="0.3">
      <c r="A754" t="s">
        <v>788</v>
      </c>
      <c r="B754" s="2">
        <v>45560</v>
      </c>
      <c r="C754" t="s">
        <v>1660</v>
      </c>
      <c r="D754" t="s">
        <v>1795</v>
      </c>
      <c r="E754" t="s">
        <v>1956</v>
      </c>
      <c r="F754" t="s">
        <v>2240</v>
      </c>
      <c r="G754" t="s">
        <v>2244</v>
      </c>
      <c r="H754" t="s">
        <v>2257</v>
      </c>
      <c r="I754" t="s">
        <v>2262</v>
      </c>
      <c r="J754" t="s">
        <v>2264</v>
      </c>
      <c r="K754">
        <v>2</v>
      </c>
      <c r="L754">
        <v>125</v>
      </c>
      <c r="M754">
        <v>0</v>
      </c>
      <c r="N754">
        <v>250</v>
      </c>
      <c r="O754">
        <v>250</v>
      </c>
      <c r="P754" t="s">
        <v>2267</v>
      </c>
      <c r="R754" t="s">
        <v>2277</v>
      </c>
      <c r="S754" t="s">
        <v>2283</v>
      </c>
      <c r="T754" t="s">
        <v>2288</v>
      </c>
      <c r="U754">
        <v>2</v>
      </c>
      <c r="V754">
        <v>14</v>
      </c>
      <c r="W754">
        <v>11</v>
      </c>
      <c r="X754">
        <v>46.75</v>
      </c>
      <c r="Y754">
        <v>156.5</v>
      </c>
      <c r="Z754" t="s">
        <v>2292</v>
      </c>
      <c r="AA754" t="s">
        <v>2299</v>
      </c>
      <c r="AB754">
        <v>250</v>
      </c>
      <c r="AC754">
        <v>0</v>
      </c>
      <c r="AD754">
        <v>250</v>
      </c>
      <c r="AE754">
        <v>93.5</v>
      </c>
      <c r="AF754">
        <v>156.5</v>
      </c>
      <c r="AG754">
        <v>2024</v>
      </c>
      <c r="AH754">
        <v>9</v>
      </c>
      <c r="AI754" t="s">
        <v>2300</v>
      </c>
      <c r="AJ754" t="s">
        <v>2312</v>
      </c>
    </row>
    <row r="755" spans="1:36" x14ac:dyDescent="0.3">
      <c r="A755" t="s">
        <v>789</v>
      </c>
      <c r="B755" s="2">
        <v>45553</v>
      </c>
      <c r="C755" t="s">
        <v>1717</v>
      </c>
      <c r="D755" t="s">
        <v>1847</v>
      </c>
      <c r="E755" t="s">
        <v>1761</v>
      </c>
      <c r="F755" t="s">
        <v>2240</v>
      </c>
      <c r="G755" t="s">
        <v>2245</v>
      </c>
      <c r="H755" t="s">
        <v>2257</v>
      </c>
      <c r="I755" t="s">
        <v>2263</v>
      </c>
      <c r="K755">
        <v>1</v>
      </c>
      <c r="L755">
        <v>155</v>
      </c>
      <c r="M755">
        <v>0.1</v>
      </c>
      <c r="N755">
        <v>155</v>
      </c>
      <c r="O755">
        <v>139.5</v>
      </c>
      <c r="P755" t="s">
        <v>2268</v>
      </c>
      <c r="R755" t="s">
        <v>2278</v>
      </c>
      <c r="S755" t="s">
        <v>2284</v>
      </c>
      <c r="T755" t="s">
        <v>2290</v>
      </c>
      <c r="U755">
        <v>5</v>
      </c>
      <c r="V755">
        <v>201</v>
      </c>
      <c r="W755">
        <v>32</v>
      </c>
      <c r="X755">
        <v>88.81</v>
      </c>
      <c r="Y755">
        <v>50.69</v>
      </c>
      <c r="Z755" t="s">
        <v>2292</v>
      </c>
      <c r="AA755" t="s">
        <v>1761</v>
      </c>
      <c r="AB755">
        <v>155</v>
      </c>
      <c r="AC755">
        <v>15.5</v>
      </c>
      <c r="AD755">
        <v>139.5</v>
      </c>
      <c r="AE755">
        <v>88.81</v>
      </c>
      <c r="AF755">
        <v>50.69</v>
      </c>
      <c r="AG755">
        <v>2024</v>
      </c>
      <c r="AH755">
        <v>9</v>
      </c>
      <c r="AI755" t="s">
        <v>2300</v>
      </c>
      <c r="AJ755" t="s">
        <v>2312</v>
      </c>
    </row>
    <row r="756" spans="1:36" x14ac:dyDescent="0.3">
      <c r="A756" t="s">
        <v>790</v>
      </c>
      <c r="B756" s="2">
        <v>45303</v>
      </c>
      <c r="C756" t="s">
        <v>1715</v>
      </c>
      <c r="D756" t="s">
        <v>1842</v>
      </c>
      <c r="E756" t="s">
        <v>2058</v>
      </c>
      <c r="F756" t="s">
        <v>2238</v>
      </c>
      <c r="G756" t="s">
        <v>2252</v>
      </c>
      <c r="H756" t="s">
        <v>2257</v>
      </c>
      <c r="I756" t="s">
        <v>2262</v>
      </c>
      <c r="K756">
        <v>2</v>
      </c>
      <c r="L756">
        <v>90</v>
      </c>
      <c r="M756">
        <v>0.1</v>
      </c>
      <c r="N756">
        <v>180</v>
      </c>
      <c r="O756">
        <v>162</v>
      </c>
      <c r="R756" t="s">
        <v>2276</v>
      </c>
      <c r="S756" t="s">
        <v>2283</v>
      </c>
      <c r="T756" t="s">
        <v>2289</v>
      </c>
      <c r="U756">
        <v>1</v>
      </c>
      <c r="W756">
        <v>42</v>
      </c>
      <c r="X756">
        <v>45.92</v>
      </c>
      <c r="Y756">
        <v>70.16</v>
      </c>
      <c r="Z756" t="s">
        <v>2294</v>
      </c>
      <c r="AA756" t="s">
        <v>2297</v>
      </c>
      <c r="AB756">
        <v>180</v>
      </c>
      <c r="AC756">
        <v>18</v>
      </c>
      <c r="AD756">
        <v>162</v>
      </c>
      <c r="AE756">
        <v>91.84</v>
      </c>
      <c r="AF756">
        <v>70.16</v>
      </c>
      <c r="AG756">
        <v>2024</v>
      </c>
      <c r="AH756">
        <v>1</v>
      </c>
      <c r="AI756" t="s">
        <v>2302</v>
      </c>
      <c r="AJ756" t="s">
        <v>2315</v>
      </c>
    </row>
    <row r="757" spans="1:36" x14ac:dyDescent="0.3">
      <c r="A757" t="s">
        <v>791</v>
      </c>
      <c r="B757" s="2">
        <v>45420</v>
      </c>
      <c r="C757" t="s">
        <v>1647</v>
      </c>
      <c r="D757" t="s">
        <v>1840</v>
      </c>
      <c r="E757" t="s">
        <v>1995</v>
      </c>
      <c r="F757" t="s">
        <v>2239</v>
      </c>
      <c r="G757" t="s">
        <v>2244</v>
      </c>
      <c r="H757" t="s">
        <v>2257</v>
      </c>
      <c r="I757" t="s">
        <v>2262</v>
      </c>
      <c r="J757" t="s">
        <v>2265</v>
      </c>
      <c r="K757">
        <v>2</v>
      </c>
      <c r="L757">
        <v>130</v>
      </c>
      <c r="M757">
        <v>0.15</v>
      </c>
      <c r="N757">
        <v>260</v>
      </c>
      <c r="O757">
        <v>221</v>
      </c>
      <c r="P757" t="s">
        <v>2268</v>
      </c>
      <c r="Q757" t="s">
        <v>2272</v>
      </c>
      <c r="R757" t="s">
        <v>2277</v>
      </c>
      <c r="S757" t="s">
        <v>2285</v>
      </c>
      <c r="T757" t="s">
        <v>2288</v>
      </c>
      <c r="V757">
        <v>167</v>
      </c>
      <c r="W757">
        <v>49</v>
      </c>
      <c r="X757">
        <v>52.89</v>
      </c>
      <c r="Y757">
        <v>115.22</v>
      </c>
      <c r="Z757" t="s">
        <v>1761</v>
      </c>
      <c r="AA757" t="s">
        <v>2296</v>
      </c>
      <c r="AB757">
        <v>260</v>
      </c>
      <c r="AC757">
        <v>39</v>
      </c>
      <c r="AD757">
        <v>221</v>
      </c>
      <c r="AE757">
        <v>105.78</v>
      </c>
      <c r="AF757">
        <v>115.22</v>
      </c>
      <c r="AG757">
        <v>2024</v>
      </c>
      <c r="AH757">
        <v>5</v>
      </c>
      <c r="AI757" t="s">
        <v>2306</v>
      </c>
      <c r="AJ757" t="s">
        <v>2312</v>
      </c>
    </row>
    <row r="758" spans="1:36" x14ac:dyDescent="0.3">
      <c r="A758" t="s">
        <v>792</v>
      </c>
      <c r="B758" s="2">
        <v>45306</v>
      </c>
      <c r="C758" t="s">
        <v>1690</v>
      </c>
      <c r="D758" t="s">
        <v>1881</v>
      </c>
      <c r="E758" t="s">
        <v>2056</v>
      </c>
      <c r="F758" t="s">
        <v>2239</v>
      </c>
      <c r="G758" t="s">
        <v>2245</v>
      </c>
      <c r="H758" t="s">
        <v>2257</v>
      </c>
      <c r="I758" t="s">
        <v>2263</v>
      </c>
      <c r="J758" t="s">
        <v>2264</v>
      </c>
      <c r="K758">
        <v>2</v>
      </c>
      <c r="L758">
        <v>150</v>
      </c>
      <c r="M758">
        <v>0.05</v>
      </c>
      <c r="N758">
        <v>300</v>
      </c>
      <c r="O758">
        <v>285</v>
      </c>
      <c r="P758" t="s">
        <v>2269</v>
      </c>
      <c r="R758" t="s">
        <v>2273</v>
      </c>
      <c r="S758" t="s">
        <v>2280</v>
      </c>
      <c r="T758" t="s">
        <v>2288</v>
      </c>
      <c r="V758">
        <v>223</v>
      </c>
      <c r="X758">
        <v>57.67</v>
      </c>
      <c r="Y758">
        <v>169.66</v>
      </c>
      <c r="Z758" t="s">
        <v>2293</v>
      </c>
      <c r="AA758" t="s">
        <v>2296</v>
      </c>
      <c r="AB758">
        <v>300</v>
      </c>
      <c r="AC758">
        <v>15</v>
      </c>
      <c r="AD758">
        <v>285</v>
      </c>
      <c r="AE758">
        <v>115.34</v>
      </c>
      <c r="AF758">
        <v>169.66</v>
      </c>
      <c r="AG758">
        <v>2024</v>
      </c>
      <c r="AH758">
        <v>1</v>
      </c>
      <c r="AI758" t="s">
        <v>2302</v>
      </c>
      <c r="AJ758" t="s">
        <v>2314</v>
      </c>
    </row>
    <row r="759" spans="1:36" x14ac:dyDescent="0.3">
      <c r="A759" t="s">
        <v>793</v>
      </c>
      <c r="B759" s="2">
        <v>45328</v>
      </c>
      <c r="C759" t="s">
        <v>1687</v>
      </c>
      <c r="D759" t="s">
        <v>1851</v>
      </c>
      <c r="E759" t="s">
        <v>2068</v>
      </c>
      <c r="F759" t="s">
        <v>2239</v>
      </c>
      <c r="G759" t="s">
        <v>2250</v>
      </c>
      <c r="H759" t="s">
        <v>2259</v>
      </c>
      <c r="I759" t="s">
        <v>2262</v>
      </c>
      <c r="K759">
        <v>1</v>
      </c>
      <c r="L759">
        <v>80</v>
      </c>
      <c r="M759">
        <v>0.15</v>
      </c>
      <c r="N759">
        <v>80</v>
      </c>
      <c r="O759">
        <v>68</v>
      </c>
      <c r="P759" t="s">
        <v>2268</v>
      </c>
      <c r="Q759" t="s">
        <v>2272</v>
      </c>
      <c r="R759" t="s">
        <v>2279</v>
      </c>
      <c r="S759" t="s">
        <v>2281</v>
      </c>
      <c r="T759" t="s">
        <v>2288</v>
      </c>
      <c r="U759">
        <v>5</v>
      </c>
      <c r="W759">
        <v>23</v>
      </c>
      <c r="X759">
        <v>28.29</v>
      </c>
      <c r="Y759">
        <v>39.71</v>
      </c>
      <c r="Z759" t="s">
        <v>1761</v>
      </c>
      <c r="AA759" t="s">
        <v>2296</v>
      </c>
      <c r="AB759">
        <v>80</v>
      </c>
      <c r="AC759">
        <v>12</v>
      </c>
      <c r="AD759">
        <v>68</v>
      </c>
      <c r="AE759">
        <v>28.29</v>
      </c>
      <c r="AF759">
        <v>39.71</v>
      </c>
      <c r="AG759">
        <v>2024</v>
      </c>
      <c r="AH759">
        <v>2</v>
      </c>
      <c r="AI759" t="s">
        <v>2303</v>
      </c>
      <c r="AJ759" t="s">
        <v>2313</v>
      </c>
    </row>
    <row r="760" spans="1:36" x14ac:dyDescent="0.3">
      <c r="A760" t="s">
        <v>794</v>
      </c>
      <c r="B760" s="2">
        <v>45586</v>
      </c>
      <c r="C760" t="s">
        <v>1670</v>
      </c>
      <c r="D760" t="s">
        <v>1927</v>
      </c>
      <c r="E760" t="s">
        <v>2001</v>
      </c>
      <c r="F760" t="s">
        <v>2240</v>
      </c>
      <c r="G760" t="s">
        <v>2252</v>
      </c>
      <c r="H760" t="s">
        <v>2257</v>
      </c>
      <c r="I760" t="s">
        <v>2262</v>
      </c>
      <c r="J760" t="s">
        <v>2264</v>
      </c>
      <c r="K760">
        <v>1</v>
      </c>
      <c r="L760">
        <v>90</v>
      </c>
      <c r="M760">
        <v>0.1</v>
      </c>
      <c r="N760">
        <v>90</v>
      </c>
      <c r="O760">
        <v>81</v>
      </c>
      <c r="P760" t="s">
        <v>2268</v>
      </c>
      <c r="Q760" t="s">
        <v>2272</v>
      </c>
      <c r="R760" t="s">
        <v>2278</v>
      </c>
      <c r="S760" t="s">
        <v>2287</v>
      </c>
      <c r="T760" t="s">
        <v>2288</v>
      </c>
      <c r="V760">
        <v>453</v>
      </c>
      <c r="W760">
        <v>45</v>
      </c>
      <c r="X760">
        <v>37.46</v>
      </c>
      <c r="Y760">
        <v>43.54</v>
      </c>
      <c r="Z760" t="s">
        <v>2292</v>
      </c>
      <c r="AA760" t="s">
        <v>2296</v>
      </c>
      <c r="AB760">
        <v>90</v>
      </c>
      <c r="AC760">
        <v>9</v>
      </c>
      <c r="AD760">
        <v>81</v>
      </c>
      <c r="AE760">
        <v>37.46</v>
      </c>
      <c r="AF760">
        <v>43.54</v>
      </c>
      <c r="AG760">
        <v>2024</v>
      </c>
      <c r="AH760">
        <v>10</v>
      </c>
      <c r="AI760" t="s">
        <v>2310</v>
      </c>
      <c r="AJ760" t="s">
        <v>2314</v>
      </c>
    </row>
    <row r="761" spans="1:36" x14ac:dyDescent="0.3">
      <c r="A761" t="s">
        <v>795</v>
      </c>
      <c r="B761" s="2">
        <v>45394</v>
      </c>
      <c r="C761" t="s">
        <v>1712</v>
      </c>
      <c r="D761" t="s">
        <v>1826</v>
      </c>
      <c r="E761" t="s">
        <v>1993</v>
      </c>
      <c r="F761" t="s">
        <v>2238</v>
      </c>
      <c r="G761" t="s">
        <v>2250</v>
      </c>
      <c r="H761" t="s">
        <v>2259</v>
      </c>
      <c r="I761" t="s">
        <v>2262</v>
      </c>
      <c r="J761" t="s">
        <v>2265</v>
      </c>
      <c r="K761">
        <v>1</v>
      </c>
      <c r="L761">
        <v>80</v>
      </c>
      <c r="N761">
        <v>80</v>
      </c>
      <c r="P761" t="s">
        <v>2269</v>
      </c>
      <c r="Q761" t="s">
        <v>2272</v>
      </c>
      <c r="R761" t="s">
        <v>2275</v>
      </c>
      <c r="S761" t="s">
        <v>2283</v>
      </c>
      <c r="T761" t="s">
        <v>2290</v>
      </c>
      <c r="U761">
        <v>4</v>
      </c>
      <c r="V761">
        <v>464</v>
      </c>
      <c r="W761">
        <v>39</v>
      </c>
      <c r="X761">
        <v>33.76</v>
      </c>
      <c r="Z761" t="s">
        <v>2293</v>
      </c>
      <c r="AA761" t="s">
        <v>2297</v>
      </c>
      <c r="AB761">
        <v>80</v>
      </c>
      <c r="AC761">
        <v>0</v>
      </c>
      <c r="AD761">
        <v>80</v>
      </c>
      <c r="AE761">
        <v>33.76</v>
      </c>
      <c r="AF761">
        <v>46.24</v>
      </c>
      <c r="AG761">
        <v>2024</v>
      </c>
      <c r="AH761">
        <v>4</v>
      </c>
      <c r="AI761" t="s">
        <v>2308</v>
      </c>
      <c r="AJ761" t="s">
        <v>2315</v>
      </c>
    </row>
    <row r="762" spans="1:36" x14ac:dyDescent="0.3">
      <c r="A762" t="s">
        <v>796</v>
      </c>
      <c r="B762" s="2">
        <v>45301</v>
      </c>
      <c r="C762" t="s">
        <v>1717</v>
      </c>
      <c r="D762" t="s">
        <v>1820</v>
      </c>
      <c r="E762" t="s">
        <v>2125</v>
      </c>
      <c r="F762" t="s">
        <v>2239</v>
      </c>
      <c r="G762" t="s">
        <v>2255</v>
      </c>
      <c r="H762" t="s">
        <v>2260</v>
      </c>
      <c r="I762" t="s">
        <v>2260</v>
      </c>
      <c r="J762" t="s">
        <v>2266</v>
      </c>
      <c r="K762">
        <v>3</v>
      </c>
      <c r="L762">
        <v>175</v>
      </c>
      <c r="M762">
        <v>0.1</v>
      </c>
      <c r="N762">
        <v>525</v>
      </c>
      <c r="O762">
        <v>472.5</v>
      </c>
      <c r="P762" t="s">
        <v>2267</v>
      </c>
      <c r="Q762" t="s">
        <v>2272</v>
      </c>
      <c r="R762" t="s">
        <v>2277</v>
      </c>
      <c r="S762" t="s">
        <v>2282</v>
      </c>
      <c r="T762" t="s">
        <v>2288</v>
      </c>
      <c r="U762">
        <v>1</v>
      </c>
      <c r="V762">
        <v>133</v>
      </c>
      <c r="W762">
        <v>37</v>
      </c>
      <c r="X762">
        <v>68.77</v>
      </c>
      <c r="Y762">
        <v>266.19</v>
      </c>
      <c r="Z762" t="s">
        <v>1761</v>
      </c>
      <c r="AA762" t="s">
        <v>2299</v>
      </c>
      <c r="AB762">
        <v>525</v>
      </c>
      <c r="AC762">
        <v>52.5</v>
      </c>
      <c r="AD762">
        <v>472.5</v>
      </c>
      <c r="AE762">
        <v>206.31</v>
      </c>
      <c r="AF762">
        <v>266.19</v>
      </c>
      <c r="AG762">
        <v>2024</v>
      </c>
      <c r="AH762">
        <v>1</v>
      </c>
      <c r="AI762" t="s">
        <v>2302</v>
      </c>
      <c r="AJ762" t="s">
        <v>2312</v>
      </c>
    </row>
    <row r="763" spans="1:36" x14ac:dyDescent="0.3">
      <c r="A763" t="s">
        <v>797</v>
      </c>
      <c r="B763" s="2">
        <v>45329</v>
      </c>
      <c r="C763" t="s">
        <v>1645</v>
      </c>
      <c r="D763" t="s">
        <v>1842</v>
      </c>
      <c r="E763" t="s">
        <v>2070</v>
      </c>
      <c r="F763" t="s">
        <v>2240</v>
      </c>
      <c r="G763" t="s">
        <v>2248</v>
      </c>
      <c r="H763" t="s">
        <v>2257</v>
      </c>
      <c r="I763" t="s">
        <v>2262</v>
      </c>
      <c r="J763" t="s">
        <v>2266</v>
      </c>
      <c r="K763">
        <v>1</v>
      </c>
      <c r="L763">
        <v>155</v>
      </c>
      <c r="M763">
        <v>0.1</v>
      </c>
      <c r="N763">
        <v>155</v>
      </c>
      <c r="O763">
        <v>139.5</v>
      </c>
      <c r="P763" t="s">
        <v>2267</v>
      </c>
      <c r="Q763" t="s">
        <v>2272</v>
      </c>
      <c r="R763" t="s">
        <v>2277</v>
      </c>
      <c r="S763" t="s">
        <v>2284</v>
      </c>
      <c r="T763" t="s">
        <v>2288</v>
      </c>
      <c r="U763">
        <v>1</v>
      </c>
      <c r="V763">
        <v>448</v>
      </c>
      <c r="W763">
        <v>21</v>
      </c>
      <c r="X763">
        <v>72.14</v>
      </c>
      <c r="Y763">
        <v>67.36</v>
      </c>
      <c r="Z763" t="s">
        <v>2292</v>
      </c>
      <c r="AA763" t="s">
        <v>1761</v>
      </c>
      <c r="AB763">
        <v>155</v>
      </c>
      <c r="AC763">
        <v>15.5</v>
      </c>
      <c r="AD763">
        <v>139.5</v>
      </c>
      <c r="AE763">
        <v>72.14</v>
      </c>
      <c r="AF763">
        <v>67.36</v>
      </c>
      <c r="AG763">
        <v>2024</v>
      </c>
      <c r="AH763">
        <v>2</v>
      </c>
      <c r="AI763" t="s">
        <v>2303</v>
      </c>
      <c r="AJ763" t="s">
        <v>2312</v>
      </c>
    </row>
    <row r="764" spans="1:36" x14ac:dyDescent="0.3">
      <c r="A764" t="s">
        <v>798</v>
      </c>
      <c r="B764" s="2">
        <v>45390</v>
      </c>
      <c r="C764" t="s">
        <v>1647</v>
      </c>
      <c r="D764" t="s">
        <v>1859</v>
      </c>
      <c r="E764" t="s">
        <v>2054</v>
      </c>
      <c r="F764" t="s">
        <v>2239</v>
      </c>
      <c r="G764" t="s">
        <v>2252</v>
      </c>
      <c r="H764" t="s">
        <v>2257</v>
      </c>
      <c r="I764" t="s">
        <v>2262</v>
      </c>
      <c r="J764" t="s">
        <v>2264</v>
      </c>
      <c r="K764">
        <v>2</v>
      </c>
      <c r="L764">
        <v>100</v>
      </c>
      <c r="M764">
        <v>0</v>
      </c>
      <c r="N764">
        <v>200</v>
      </c>
      <c r="O764">
        <v>200</v>
      </c>
      <c r="P764" t="s">
        <v>2267</v>
      </c>
      <c r="Q764" t="s">
        <v>2271</v>
      </c>
      <c r="R764" t="s">
        <v>2277</v>
      </c>
      <c r="S764" t="s">
        <v>2281</v>
      </c>
      <c r="T764" t="s">
        <v>2288</v>
      </c>
      <c r="U764">
        <v>5</v>
      </c>
      <c r="V764">
        <v>483</v>
      </c>
      <c r="W764">
        <v>27</v>
      </c>
      <c r="X764">
        <v>53.82</v>
      </c>
      <c r="Y764">
        <v>92.36</v>
      </c>
      <c r="Z764" t="s">
        <v>2293</v>
      </c>
      <c r="AA764" t="s">
        <v>2299</v>
      </c>
      <c r="AB764">
        <v>200</v>
      </c>
      <c r="AC764">
        <v>0</v>
      </c>
      <c r="AD764">
        <v>200</v>
      </c>
      <c r="AE764">
        <v>107.64</v>
      </c>
      <c r="AF764">
        <v>92.36</v>
      </c>
      <c r="AG764">
        <v>2024</v>
      </c>
      <c r="AH764">
        <v>4</v>
      </c>
      <c r="AI764" t="s">
        <v>2308</v>
      </c>
      <c r="AJ764" t="s">
        <v>2314</v>
      </c>
    </row>
    <row r="765" spans="1:36" x14ac:dyDescent="0.3">
      <c r="A765" t="s">
        <v>799</v>
      </c>
      <c r="B765" s="2">
        <v>45419</v>
      </c>
      <c r="C765" t="s">
        <v>1637</v>
      </c>
      <c r="D765" t="s">
        <v>1797</v>
      </c>
      <c r="E765" t="s">
        <v>2155</v>
      </c>
      <c r="F765" t="s">
        <v>2238</v>
      </c>
      <c r="G765" t="s">
        <v>2247</v>
      </c>
      <c r="H765" t="s">
        <v>2257</v>
      </c>
      <c r="I765" t="s">
        <v>2262</v>
      </c>
      <c r="J765" t="s">
        <v>2266</v>
      </c>
      <c r="K765">
        <v>2</v>
      </c>
      <c r="L765">
        <v>110</v>
      </c>
      <c r="M765">
        <v>0.1</v>
      </c>
      <c r="N765">
        <v>220</v>
      </c>
      <c r="O765">
        <v>198</v>
      </c>
      <c r="P765" t="s">
        <v>2268</v>
      </c>
      <c r="R765" t="s">
        <v>2273</v>
      </c>
      <c r="S765" t="s">
        <v>2282</v>
      </c>
      <c r="T765" t="s">
        <v>2288</v>
      </c>
      <c r="V765">
        <v>106</v>
      </c>
      <c r="X765">
        <v>56.43</v>
      </c>
      <c r="Y765">
        <v>85.14</v>
      </c>
      <c r="Z765" t="s">
        <v>1761</v>
      </c>
      <c r="AA765" t="s">
        <v>2296</v>
      </c>
      <c r="AB765">
        <v>220</v>
      </c>
      <c r="AC765">
        <v>22</v>
      </c>
      <c r="AD765">
        <v>198</v>
      </c>
      <c r="AE765">
        <v>112.86</v>
      </c>
      <c r="AF765">
        <v>85.14</v>
      </c>
      <c r="AG765">
        <v>2024</v>
      </c>
      <c r="AH765">
        <v>5</v>
      </c>
      <c r="AI765" t="s">
        <v>2306</v>
      </c>
      <c r="AJ765" t="s">
        <v>2313</v>
      </c>
    </row>
    <row r="766" spans="1:36" x14ac:dyDescent="0.3">
      <c r="A766" t="s">
        <v>800</v>
      </c>
      <c r="B766" s="2">
        <v>45456</v>
      </c>
      <c r="C766" t="s">
        <v>1734</v>
      </c>
      <c r="D766" t="s">
        <v>1790</v>
      </c>
      <c r="E766" t="s">
        <v>2133</v>
      </c>
      <c r="F766" t="s">
        <v>2238</v>
      </c>
      <c r="G766" t="s">
        <v>2251</v>
      </c>
      <c r="H766" t="s">
        <v>2258</v>
      </c>
      <c r="I766" t="s">
        <v>2260</v>
      </c>
      <c r="J766" t="s">
        <v>2265</v>
      </c>
      <c r="K766">
        <v>1</v>
      </c>
      <c r="L766">
        <v>100</v>
      </c>
      <c r="M766">
        <v>0.05</v>
      </c>
      <c r="N766">
        <v>100</v>
      </c>
      <c r="O766">
        <v>95</v>
      </c>
      <c r="P766" t="s">
        <v>2267</v>
      </c>
      <c r="Q766" t="s">
        <v>2270</v>
      </c>
      <c r="R766" t="s">
        <v>2277</v>
      </c>
      <c r="S766" t="s">
        <v>2285</v>
      </c>
      <c r="T766" t="s">
        <v>2288</v>
      </c>
      <c r="U766">
        <v>5</v>
      </c>
      <c r="V766">
        <v>240</v>
      </c>
      <c r="W766">
        <v>50</v>
      </c>
      <c r="X766">
        <v>46.6</v>
      </c>
      <c r="Y766">
        <v>48.4</v>
      </c>
      <c r="Z766" t="s">
        <v>1761</v>
      </c>
      <c r="AA766" t="s">
        <v>2296</v>
      </c>
      <c r="AB766">
        <v>100</v>
      </c>
      <c r="AC766">
        <v>5</v>
      </c>
      <c r="AD766">
        <v>95</v>
      </c>
      <c r="AE766">
        <v>46.6</v>
      </c>
      <c r="AF766">
        <v>48.4</v>
      </c>
      <c r="AG766">
        <v>2024</v>
      </c>
      <c r="AH766">
        <v>6</v>
      </c>
      <c r="AI766" t="s">
        <v>2304</v>
      </c>
      <c r="AJ766" t="s">
        <v>2316</v>
      </c>
    </row>
    <row r="767" spans="1:36" x14ac:dyDescent="0.3">
      <c r="A767" t="s">
        <v>801</v>
      </c>
      <c r="B767" s="2">
        <v>45640</v>
      </c>
      <c r="C767" t="s">
        <v>1724</v>
      </c>
      <c r="D767" t="s">
        <v>1820</v>
      </c>
      <c r="E767" t="s">
        <v>2168</v>
      </c>
      <c r="F767" t="s">
        <v>2239</v>
      </c>
      <c r="G767" t="s">
        <v>2243</v>
      </c>
      <c r="H767" t="s">
        <v>2258</v>
      </c>
      <c r="I767" t="s">
        <v>2260</v>
      </c>
      <c r="J767" t="s">
        <v>2264</v>
      </c>
      <c r="K767">
        <v>1</v>
      </c>
      <c r="L767">
        <v>65</v>
      </c>
      <c r="N767">
        <v>65</v>
      </c>
      <c r="P767" t="s">
        <v>2269</v>
      </c>
      <c r="Q767" t="s">
        <v>2270</v>
      </c>
      <c r="R767" t="s">
        <v>2275</v>
      </c>
      <c r="S767" t="s">
        <v>2283</v>
      </c>
      <c r="T767" t="s">
        <v>2288</v>
      </c>
      <c r="U767">
        <v>4</v>
      </c>
      <c r="V767">
        <v>433</v>
      </c>
      <c r="X767">
        <v>33.130000000000003</v>
      </c>
      <c r="Z767" t="s">
        <v>2294</v>
      </c>
      <c r="AA767" t="s">
        <v>2299</v>
      </c>
      <c r="AB767">
        <v>65</v>
      </c>
      <c r="AC767">
        <v>0</v>
      </c>
      <c r="AD767">
        <v>65</v>
      </c>
      <c r="AE767">
        <v>33.130000000000003</v>
      </c>
      <c r="AF767">
        <v>31.87</v>
      </c>
      <c r="AG767">
        <v>2024</v>
      </c>
      <c r="AH767">
        <v>12</v>
      </c>
      <c r="AI767" t="s">
        <v>2309</v>
      </c>
      <c r="AJ767" t="s">
        <v>2317</v>
      </c>
    </row>
    <row r="768" spans="1:36" x14ac:dyDescent="0.3">
      <c r="A768" t="s">
        <v>802</v>
      </c>
      <c r="B768" s="2">
        <v>45657</v>
      </c>
      <c r="C768" t="s">
        <v>1676</v>
      </c>
      <c r="D768" t="s">
        <v>1814</v>
      </c>
      <c r="E768" t="s">
        <v>2110</v>
      </c>
      <c r="F768" t="s">
        <v>2240</v>
      </c>
      <c r="G768" t="s">
        <v>2253</v>
      </c>
      <c r="H768" t="s">
        <v>2258</v>
      </c>
      <c r="I768" t="s">
        <v>2260</v>
      </c>
      <c r="K768">
        <v>1</v>
      </c>
      <c r="L768">
        <v>85</v>
      </c>
      <c r="M768">
        <v>0</v>
      </c>
      <c r="N768">
        <v>85</v>
      </c>
      <c r="O768">
        <v>85</v>
      </c>
      <c r="P768" t="s">
        <v>2268</v>
      </c>
      <c r="Q768" t="s">
        <v>2272</v>
      </c>
      <c r="R768" t="s">
        <v>2276</v>
      </c>
      <c r="S768" t="s">
        <v>2282</v>
      </c>
      <c r="T768" t="s">
        <v>2288</v>
      </c>
      <c r="U768">
        <v>3</v>
      </c>
      <c r="V768">
        <v>352</v>
      </c>
      <c r="X768">
        <v>45.06</v>
      </c>
      <c r="Y768">
        <v>39.94</v>
      </c>
      <c r="Z768" t="s">
        <v>2294</v>
      </c>
      <c r="AA768" t="s">
        <v>2297</v>
      </c>
      <c r="AB768">
        <v>85</v>
      </c>
      <c r="AC768">
        <v>0</v>
      </c>
      <c r="AD768">
        <v>85</v>
      </c>
      <c r="AE768">
        <v>45.06</v>
      </c>
      <c r="AF768">
        <v>39.94</v>
      </c>
      <c r="AG768">
        <v>2024</v>
      </c>
      <c r="AH768">
        <v>12</v>
      </c>
      <c r="AI768" t="s">
        <v>2309</v>
      </c>
      <c r="AJ768" t="s">
        <v>2313</v>
      </c>
    </row>
    <row r="769" spans="1:36" x14ac:dyDescent="0.3">
      <c r="A769" t="s">
        <v>803</v>
      </c>
      <c r="B769" s="2">
        <v>45641</v>
      </c>
      <c r="C769" t="s">
        <v>1702</v>
      </c>
      <c r="D769" t="s">
        <v>1771</v>
      </c>
      <c r="E769" t="s">
        <v>2212</v>
      </c>
      <c r="F769" t="s">
        <v>2240</v>
      </c>
      <c r="G769" t="s">
        <v>2256</v>
      </c>
      <c r="H769" t="s">
        <v>2261</v>
      </c>
      <c r="I769" t="s">
        <v>2260</v>
      </c>
      <c r="J769" t="s">
        <v>2266</v>
      </c>
      <c r="K769">
        <v>1</v>
      </c>
      <c r="L769">
        <v>195</v>
      </c>
      <c r="M769">
        <v>0</v>
      </c>
      <c r="N769">
        <v>195</v>
      </c>
      <c r="O769">
        <v>195</v>
      </c>
      <c r="P769" t="s">
        <v>2267</v>
      </c>
      <c r="Q769" t="s">
        <v>2271</v>
      </c>
      <c r="R769" t="s">
        <v>2277</v>
      </c>
      <c r="S769" t="s">
        <v>2284</v>
      </c>
      <c r="T769" t="s">
        <v>2288</v>
      </c>
      <c r="U769">
        <v>1</v>
      </c>
      <c r="V769">
        <v>303</v>
      </c>
      <c r="W769">
        <v>38</v>
      </c>
      <c r="X769">
        <v>111.02</v>
      </c>
      <c r="Y769">
        <v>83.98</v>
      </c>
      <c r="Z769" t="s">
        <v>1761</v>
      </c>
      <c r="AA769" t="s">
        <v>1761</v>
      </c>
      <c r="AB769">
        <v>195</v>
      </c>
      <c r="AC769">
        <v>0</v>
      </c>
      <c r="AD769">
        <v>195</v>
      </c>
      <c r="AE769">
        <v>111.02</v>
      </c>
      <c r="AF769">
        <v>83.98</v>
      </c>
      <c r="AG769">
        <v>2024</v>
      </c>
      <c r="AH769">
        <v>12</v>
      </c>
      <c r="AI769" t="s">
        <v>2309</v>
      </c>
      <c r="AJ769" t="s">
        <v>2318</v>
      </c>
    </row>
    <row r="770" spans="1:36" x14ac:dyDescent="0.3">
      <c r="A770" t="s">
        <v>804</v>
      </c>
      <c r="B770" s="2">
        <v>45489</v>
      </c>
      <c r="C770" t="s">
        <v>1647</v>
      </c>
      <c r="D770" t="s">
        <v>1833</v>
      </c>
      <c r="E770" t="s">
        <v>2192</v>
      </c>
      <c r="F770" t="s">
        <v>1761</v>
      </c>
      <c r="G770" t="s">
        <v>2253</v>
      </c>
      <c r="H770" t="s">
        <v>2258</v>
      </c>
      <c r="I770" t="s">
        <v>2260</v>
      </c>
      <c r="J770" t="s">
        <v>2264</v>
      </c>
      <c r="K770">
        <v>1</v>
      </c>
      <c r="L770">
        <v>90</v>
      </c>
      <c r="M770">
        <v>0.05</v>
      </c>
      <c r="N770">
        <v>90</v>
      </c>
      <c r="O770">
        <v>85.5</v>
      </c>
      <c r="P770" t="s">
        <v>2267</v>
      </c>
      <c r="Q770" t="s">
        <v>2272</v>
      </c>
      <c r="R770" t="s">
        <v>2275</v>
      </c>
      <c r="S770" t="s">
        <v>2283</v>
      </c>
      <c r="T770" t="s">
        <v>2288</v>
      </c>
      <c r="U770">
        <v>2</v>
      </c>
      <c r="V770">
        <v>247</v>
      </c>
      <c r="W770">
        <v>48</v>
      </c>
      <c r="X770">
        <v>53.66</v>
      </c>
      <c r="Y770">
        <v>31.84</v>
      </c>
      <c r="Z770" t="s">
        <v>2293</v>
      </c>
      <c r="AA770" t="s">
        <v>1761</v>
      </c>
      <c r="AB770">
        <v>90</v>
      </c>
      <c r="AC770">
        <v>4.5</v>
      </c>
      <c r="AD770">
        <v>85.5</v>
      </c>
      <c r="AE770">
        <v>53.66</v>
      </c>
      <c r="AF770">
        <v>31.84</v>
      </c>
      <c r="AG770">
        <v>2024</v>
      </c>
      <c r="AH770">
        <v>7</v>
      </c>
      <c r="AI770" t="s">
        <v>2307</v>
      </c>
      <c r="AJ770" t="s">
        <v>2313</v>
      </c>
    </row>
    <row r="771" spans="1:36" x14ac:dyDescent="0.3">
      <c r="A771" t="s">
        <v>805</v>
      </c>
      <c r="B771" s="2">
        <v>45503</v>
      </c>
      <c r="C771" t="s">
        <v>1740</v>
      </c>
      <c r="D771" t="s">
        <v>1841</v>
      </c>
      <c r="E771" t="s">
        <v>2135</v>
      </c>
      <c r="F771" t="s">
        <v>2238</v>
      </c>
      <c r="G771" t="s">
        <v>2245</v>
      </c>
      <c r="H771" t="s">
        <v>2257</v>
      </c>
      <c r="I771" t="s">
        <v>2263</v>
      </c>
      <c r="K771">
        <v>1</v>
      </c>
      <c r="L771">
        <v>160</v>
      </c>
      <c r="M771">
        <v>0.15</v>
      </c>
      <c r="N771">
        <v>160</v>
      </c>
      <c r="O771">
        <v>136</v>
      </c>
      <c r="P771" t="s">
        <v>2267</v>
      </c>
      <c r="Q771" t="s">
        <v>2270</v>
      </c>
      <c r="R771" t="s">
        <v>2279</v>
      </c>
      <c r="S771" t="s">
        <v>2281</v>
      </c>
      <c r="T771" t="s">
        <v>2288</v>
      </c>
      <c r="U771">
        <v>4</v>
      </c>
      <c r="V771">
        <v>249</v>
      </c>
      <c r="W771">
        <v>48</v>
      </c>
      <c r="X771">
        <v>65.39</v>
      </c>
      <c r="Y771">
        <v>70.61</v>
      </c>
      <c r="Z771" t="s">
        <v>2293</v>
      </c>
      <c r="AA771" t="s">
        <v>2298</v>
      </c>
      <c r="AB771">
        <v>160</v>
      </c>
      <c r="AC771">
        <v>24</v>
      </c>
      <c r="AD771">
        <v>136</v>
      </c>
      <c r="AE771">
        <v>65.39</v>
      </c>
      <c r="AF771">
        <v>70.61</v>
      </c>
      <c r="AG771">
        <v>2024</v>
      </c>
      <c r="AH771">
        <v>7</v>
      </c>
      <c r="AI771" t="s">
        <v>2307</v>
      </c>
      <c r="AJ771" t="s">
        <v>2313</v>
      </c>
    </row>
    <row r="772" spans="1:36" x14ac:dyDescent="0.3">
      <c r="A772" t="s">
        <v>806</v>
      </c>
      <c r="B772" s="2">
        <v>45625</v>
      </c>
      <c r="C772" t="s">
        <v>1705</v>
      </c>
      <c r="D772" t="s">
        <v>1757</v>
      </c>
      <c r="E772" t="s">
        <v>2168</v>
      </c>
      <c r="F772" t="s">
        <v>2240</v>
      </c>
      <c r="G772" t="s">
        <v>2254</v>
      </c>
      <c r="H772" t="s">
        <v>2259</v>
      </c>
      <c r="I772" t="s">
        <v>2263</v>
      </c>
      <c r="J772" t="s">
        <v>2266</v>
      </c>
      <c r="K772">
        <v>2</v>
      </c>
      <c r="L772">
        <v>105</v>
      </c>
      <c r="M772">
        <v>0.05</v>
      </c>
      <c r="N772">
        <v>210</v>
      </c>
      <c r="O772">
        <v>199.5</v>
      </c>
      <c r="P772" t="s">
        <v>2267</v>
      </c>
      <c r="Q772" t="s">
        <v>2270</v>
      </c>
      <c r="R772" t="s">
        <v>2273</v>
      </c>
      <c r="S772" t="s">
        <v>2280</v>
      </c>
      <c r="T772" t="s">
        <v>2289</v>
      </c>
      <c r="V772">
        <v>414</v>
      </c>
      <c r="W772">
        <v>54</v>
      </c>
      <c r="X772">
        <v>65.87</v>
      </c>
      <c r="Y772">
        <v>67.760000000000005</v>
      </c>
      <c r="Z772" t="s">
        <v>2291</v>
      </c>
      <c r="AA772" t="s">
        <v>2296</v>
      </c>
      <c r="AB772">
        <v>210</v>
      </c>
      <c r="AC772">
        <v>10.5</v>
      </c>
      <c r="AD772">
        <v>199.5</v>
      </c>
      <c r="AE772">
        <v>131.74</v>
      </c>
      <c r="AF772">
        <v>67.759999999999991</v>
      </c>
      <c r="AG772">
        <v>2024</v>
      </c>
      <c r="AH772">
        <v>11</v>
      </c>
      <c r="AI772" t="s">
        <v>2311</v>
      </c>
      <c r="AJ772" t="s">
        <v>2315</v>
      </c>
    </row>
    <row r="773" spans="1:36" x14ac:dyDescent="0.3">
      <c r="A773" t="s">
        <v>807</v>
      </c>
      <c r="B773" s="2">
        <v>45368</v>
      </c>
      <c r="C773" t="s">
        <v>1685</v>
      </c>
      <c r="D773" t="s">
        <v>1928</v>
      </c>
      <c r="E773" t="s">
        <v>2147</v>
      </c>
      <c r="F773" t="s">
        <v>2239</v>
      </c>
      <c r="G773" t="s">
        <v>2248</v>
      </c>
      <c r="H773" t="s">
        <v>2257</v>
      </c>
      <c r="I773" t="s">
        <v>2262</v>
      </c>
      <c r="J773" t="s">
        <v>2264</v>
      </c>
      <c r="K773">
        <v>1</v>
      </c>
      <c r="L773">
        <v>145</v>
      </c>
      <c r="N773">
        <v>145</v>
      </c>
      <c r="P773" t="s">
        <v>2267</v>
      </c>
      <c r="Q773" t="s">
        <v>2270</v>
      </c>
      <c r="R773" t="s">
        <v>2276</v>
      </c>
      <c r="S773" t="s">
        <v>2287</v>
      </c>
      <c r="T773" t="s">
        <v>2289</v>
      </c>
      <c r="U773">
        <v>3</v>
      </c>
      <c r="V773">
        <v>252</v>
      </c>
      <c r="X773">
        <v>77.88</v>
      </c>
      <c r="Z773" t="s">
        <v>2294</v>
      </c>
      <c r="AA773" t="s">
        <v>2298</v>
      </c>
      <c r="AB773">
        <v>145</v>
      </c>
      <c r="AC773">
        <v>0</v>
      </c>
      <c r="AD773">
        <v>145</v>
      </c>
      <c r="AE773">
        <v>77.88</v>
      </c>
      <c r="AF773">
        <v>67.12</v>
      </c>
      <c r="AG773">
        <v>2024</v>
      </c>
      <c r="AH773">
        <v>3</v>
      </c>
      <c r="AI773" t="s">
        <v>2305</v>
      </c>
      <c r="AJ773" t="s">
        <v>2318</v>
      </c>
    </row>
    <row r="774" spans="1:36" x14ac:dyDescent="0.3">
      <c r="A774" t="s">
        <v>808</v>
      </c>
      <c r="B774" s="2">
        <v>45318</v>
      </c>
      <c r="C774" t="s">
        <v>1661</v>
      </c>
      <c r="D774" t="s">
        <v>1774</v>
      </c>
      <c r="E774" t="s">
        <v>1954</v>
      </c>
      <c r="F774" t="s">
        <v>2239</v>
      </c>
      <c r="G774" t="s">
        <v>2245</v>
      </c>
      <c r="H774" t="s">
        <v>2257</v>
      </c>
      <c r="I774" t="s">
        <v>2263</v>
      </c>
      <c r="J774" t="s">
        <v>2266</v>
      </c>
      <c r="K774">
        <v>2</v>
      </c>
      <c r="L774">
        <v>145</v>
      </c>
      <c r="M774">
        <v>0</v>
      </c>
      <c r="N774">
        <v>290</v>
      </c>
      <c r="O774">
        <v>290</v>
      </c>
      <c r="P774" t="s">
        <v>2267</v>
      </c>
      <c r="Q774" t="s">
        <v>2271</v>
      </c>
      <c r="R774" t="s">
        <v>2277</v>
      </c>
      <c r="S774" t="s">
        <v>2285</v>
      </c>
      <c r="T774" t="s">
        <v>2288</v>
      </c>
      <c r="V774">
        <v>479</v>
      </c>
      <c r="W774">
        <v>50</v>
      </c>
      <c r="X774">
        <v>85.46</v>
      </c>
      <c r="Y774">
        <v>119.08</v>
      </c>
      <c r="Z774" t="s">
        <v>2294</v>
      </c>
      <c r="AA774" t="s">
        <v>1761</v>
      </c>
      <c r="AB774">
        <v>290</v>
      </c>
      <c r="AC774">
        <v>0</v>
      </c>
      <c r="AD774">
        <v>290</v>
      </c>
      <c r="AE774">
        <v>170.92</v>
      </c>
      <c r="AF774">
        <v>119.08</v>
      </c>
      <c r="AG774">
        <v>2024</v>
      </c>
      <c r="AH774">
        <v>1</v>
      </c>
      <c r="AI774" t="s">
        <v>2302</v>
      </c>
      <c r="AJ774" t="s">
        <v>2317</v>
      </c>
    </row>
    <row r="775" spans="1:36" x14ac:dyDescent="0.3">
      <c r="A775" t="s">
        <v>809</v>
      </c>
      <c r="B775" s="2">
        <v>45418</v>
      </c>
      <c r="C775" t="s">
        <v>1692</v>
      </c>
      <c r="D775" t="s">
        <v>1796</v>
      </c>
      <c r="E775" t="s">
        <v>2041</v>
      </c>
      <c r="F775" t="s">
        <v>2240</v>
      </c>
      <c r="G775" t="s">
        <v>2254</v>
      </c>
      <c r="H775" t="s">
        <v>2259</v>
      </c>
      <c r="I775" t="s">
        <v>2263</v>
      </c>
      <c r="J775" t="s">
        <v>2266</v>
      </c>
      <c r="K775">
        <v>1</v>
      </c>
      <c r="L775">
        <v>105</v>
      </c>
      <c r="M775">
        <v>0.05</v>
      </c>
      <c r="N775">
        <v>105</v>
      </c>
      <c r="O775">
        <v>99.75</v>
      </c>
      <c r="P775" t="s">
        <v>2269</v>
      </c>
      <c r="R775" t="s">
        <v>2274</v>
      </c>
      <c r="S775" t="s">
        <v>2281</v>
      </c>
      <c r="T775" t="s">
        <v>2288</v>
      </c>
      <c r="U775">
        <v>2</v>
      </c>
      <c r="V775">
        <v>91</v>
      </c>
      <c r="W775">
        <v>30</v>
      </c>
      <c r="X775">
        <v>50.68</v>
      </c>
      <c r="Y775">
        <v>49.07</v>
      </c>
      <c r="Z775" t="s">
        <v>1761</v>
      </c>
      <c r="AA775" t="s">
        <v>2297</v>
      </c>
      <c r="AB775">
        <v>105</v>
      </c>
      <c r="AC775">
        <v>5.25</v>
      </c>
      <c r="AD775">
        <v>99.75</v>
      </c>
      <c r="AE775">
        <v>50.68</v>
      </c>
      <c r="AF775">
        <v>49.07</v>
      </c>
      <c r="AG775">
        <v>2024</v>
      </c>
      <c r="AH775">
        <v>5</v>
      </c>
      <c r="AI775" t="s">
        <v>2306</v>
      </c>
      <c r="AJ775" t="s">
        <v>2314</v>
      </c>
    </row>
    <row r="776" spans="1:36" x14ac:dyDescent="0.3">
      <c r="A776" t="s">
        <v>810</v>
      </c>
      <c r="B776" s="2">
        <v>45294</v>
      </c>
      <c r="C776" t="s">
        <v>1703</v>
      </c>
      <c r="D776" t="s">
        <v>1794</v>
      </c>
      <c r="E776" t="s">
        <v>2210</v>
      </c>
      <c r="F776" t="s">
        <v>2240</v>
      </c>
      <c r="G776" t="s">
        <v>2250</v>
      </c>
      <c r="H776" t="s">
        <v>2259</v>
      </c>
      <c r="I776" t="s">
        <v>2262</v>
      </c>
      <c r="J776" t="s">
        <v>2264</v>
      </c>
      <c r="K776">
        <v>1</v>
      </c>
      <c r="L776">
        <v>85</v>
      </c>
      <c r="N776">
        <v>85</v>
      </c>
      <c r="P776" t="s">
        <v>2267</v>
      </c>
      <c r="Q776" t="s">
        <v>2271</v>
      </c>
      <c r="R776" t="s">
        <v>2278</v>
      </c>
      <c r="S776" t="s">
        <v>2286</v>
      </c>
      <c r="T776" t="s">
        <v>2288</v>
      </c>
      <c r="U776">
        <v>5</v>
      </c>
      <c r="V776">
        <v>207</v>
      </c>
      <c r="W776">
        <v>14</v>
      </c>
      <c r="X776">
        <v>34.409999999999997</v>
      </c>
      <c r="Z776" t="s">
        <v>1761</v>
      </c>
      <c r="AA776" t="s">
        <v>1761</v>
      </c>
      <c r="AB776">
        <v>85</v>
      </c>
      <c r="AC776">
        <v>0</v>
      </c>
      <c r="AD776">
        <v>85</v>
      </c>
      <c r="AE776">
        <v>34.409999999999997</v>
      </c>
      <c r="AF776">
        <v>50.59</v>
      </c>
      <c r="AG776">
        <v>2024</v>
      </c>
      <c r="AH776">
        <v>1</v>
      </c>
      <c r="AI776" t="s">
        <v>2302</v>
      </c>
      <c r="AJ776" t="s">
        <v>2312</v>
      </c>
    </row>
    <row r="777" spans="1:36" x14ac:dyDescent="0.3">
      <c r="A777" t="s">
        <v>811</v>
      </c>
      <c r="B777" s="2">
        <v>45644</v>
      </c>
      <c r="C777" t="s">
        <v>1647</v>
      </c>
      <c r="D777" t="s">
        <v>1787</v>
      </c>
      <c r="E777" t="s">
        <v>2215</v>
      </c>
      <c r="F777" t="s">
        <v>2239</v>
      </c>
      <c r="G777" t="s">
        <v>2241</v>
      </c>
      <c r="H777" t="s">
        <v>2257</v>
      </c>
      <c r="I777" t="s">
        <v>2262</v>
      </c>
      <c r="J777" t="s">
        <v>2266</v>
      </c>
      <c r="K777">
        <v>1</v>
      </c>
      <c r="L777">
        <v>135</v>
      </c>
      <c r="M777">
        <v>0.05</v>
      </c>
      <c r="N777">
        <v>135</v>
      </c>
      <c r="O777">
        <v>128.25</v>
      </c>
      <c r="P777" t="s">
        <v>2267</v>
      </c>
      <c r="Q777" t="s">
        <v>2272</v>
      </c>
      <c r="R777" t="s">
        <v>2278</v>
      </c>
      <c r="S777" t="s">
        <v>2280</v>
      </c>
      <c r="T777" t="s">
        <v>2288</v>
      </c>
      <c r="U777">
        <v>4</v>
      </c>
      <c r="W777">
        <v>29</v>
      </c>
      <c r="X777">
        <v>47.84</v>
      </c>
      <c r="Y777">
        <v>80.41</v>
      </c>
      <c r="Z777" t="s">
        <v>2293</v>
      </c>
      <c r="AA777" t="s">
        <v>2296</v>
      </c>
      <c r="AB777">
        <v>135</v>
      </c>
      <c r="AC777">
        <v>6.75</v>
      </c>
      <c r="AD777">
        <v>128.25</v>
      </c>
      <c r="AE777">
        <v>47.84</v>
      </c>
      <c r="AF777">
        <v>80.41</v>
      </c>
      <c r="AG777">
        <v>2024</v>
      </c>
      <c r="AH777">
        <v>12</v>
      </c>
      <c r="AI777" t="s">
        <v>2309</v>
      </c>
      <c r="AJ777" t="s">
        <v>2312</v>
      </c>
    </row>
    <row r="778" spans="1:36" x14ac:dyDescent="0.3">
      <c r="A778" t="s">
        <v>812</v>
      </c>
      <c r="B778" s="2">
        <v>45381</v>
      </c>
      <c r="C778" t="s">
        <v>1720</v>
      </c>
      <c r="D778" t="s">
        <v>1782</v>
      </c>
      <c r="E778" t="s">
        <v>2076</v>
      </c>
      <c r="F778" t="s">
        <v>2240</v>
      </c>
      <c r="G778" t="s">
        <v>2249</v>
      </c>
      <c r="H778" t="s">
        <v>2257</v>
      </c>
      <c r="I778" t="s">
        <v>2263</v>
      </c>
      <c r="J778" t="s">
        <v>2266</v>
      </c>
      <c r="K778">
        <v>2</v>
      </c>
      <c r="L778">
        <v>170</v>
      </c>
      <c r="M778">
        <v>0.15</v>
      </c>
      <c r="N778">
        <v>340</v>
      </c>
      <c r="O778">
        <v>289</v>
      </c>
      <c r="P778" t="s">
        <v>2269</v>
      </c>
      <c r="Q778" t="s">
        <v>2272</v>
      </c>
      <c r="R778" t="s">
        <v>2278</v>
      </c>
      <c r="S778" t="s">
        <v>2282</v>
      </c>
      <c r="T778" t="s">
        <v>2290</v>
      </c>
      <c r="U778">
        <v>2</v>
      </c>
      <c r="V778">
        <v>251</v>
      </c>
      <c r="W778">
        <v>16</v>
      </c>
      <c r="X778">
        <v>63.54</v>
      </c>
      <c r="Y778">
        <v>161.91999999999999</v>
      </c>
      <c r="Z778" t="s">
        <v>2291</v>
      </c>
      <c r="AA778" t="s">
        <v>2298</v>
      </c>
      <c r="AB778">
        <v>340</v>
      </c>
      <c r="AC778">
        <v>51</v>
      </c>
      <c r="AD778">
        <v>289</v>
      </c>
      <c r="AE778">
        <v>127.08</v>
      </c>
      <c r="AF778">
        <v>161.91999999999999</v>
      </c>
      <c r="AG778">
        <v>2024</v>
      </c>
      <c r="AH778">
        <v>3</v>
      </c>
      <c r="AI778" t="s">
        <v>2305</v>
      </c>
      <c r="AJ778" t="s">
        <v>2317</v>
      </c>
    </row>
    <row r="779" spans="1:36" x14ac:dyDescent="0.3">
      <c r="A779" t="s">
        <v>813</v>
      </c>
      <c r="B779" s="2">
        <v>45529</v>
      </c>
      <c r="C779" t="s">
        <v>1660</v>
      </c>
      <c r="D779" t="s">
        <v>1842</v>
      </c>
      <c r="E779" t="s">
        <v>1761</v>
      </c>
      <c r="F779" t="s">
        <v>2239</v>
      </c>
      <c r="G779" t="s">
        <v>2252</v>
      </c>
      <c r="H779" t="s">
        <v>2257</v>
      </c>
      <c r="I779" t="s">
        <v>2262</v>
      </c>
      <c r="K779">
        <v>1</v>
      </c>
      <c r="L779">
        <v>95</v>
      </c>
      <c r="M779">
        <v>0.1</v>
      </c>
      <c r="N779">
        <v>95</v>
      </c>
      <c r="O779">
        <v>85.5</v>
      </c>
      <c r="P779" t="s">
        <v>2267</v>
      </c>
      <c r="Q779" t="s">
        <v>2271</v>
      </c>
      <c r="R779" t="s">
        <v>2277</v>
      </c>
      <c r="S779" t="s">
        <v>2285</v>
      </c>
      <c r="T779" t="s">
        <v>2290</v>
      </c>
      <c r="U779">
        <v>5</v>
      </c>
      <c r="V779">
        <v>121</v>
      </c>
      <c r="W779">
        <v>33</v>
      </c>
      <c r="X779">
        <v>40.18</v>
      </c>
      <c r="Y779">
        <v>45.32</v>
      </c>
      <c r="Z779" t="s">
        <v>2291</v>
      </c>
      <c r="AA779" t="s">
        <v>2296</v>
      </c>
      <c r="AB779">
        <v>95</v>
      </c>
      <c r="AC779">
        <v>9.5</v>
      </c>
      <c r="AD779">
        <v>85.5</v>
      </c>
      <c r="AE779">
        <v>40.18</v>
      </c>
      <c r="AF779">
        <v>45.32</v>
      </c>
      <c r="AG779">
        <v>2024</v>
      </c>
      <c r="AH779">
        <v>8</v>
      </c>
      <c r="AI779" t="s">
        <v>2301</v>
      </c>
      <c r="AJ779" t="s">
        <v>2318</v>
      </c>
    </row>
    <row r="780" spans="1:36" x14ac:dyDescent="0.3">
      <c r="A780" t="s">
        <v>814</v>
      </c>
      <c r="B780" s="2">
        <v>45363</v>
      </c>
      <c r="C780" t="s">
        <v>1723</v>
      </c>
      <c r="D780" t="s">
        <v>1832</v>
      </c>
      <c r="E780" t="s">
        <v>2001</v>
      </c>
      <c r="F780" t="s">
        <v>2238</v>
      </c>
      <c r="G780" t="s">
        <v>2247</v>
      </c>
      <c r="H780" t="s">
        <v>2257</v>
      </c>
      <c r="I780" t="s">
        <v>2262</v>
      </c>
      <c r="J780" t="s">
        <v>2264</v>
      </c>
      <c r="K780">
        <v>2</v>
      </c>
      <c r="L780">
        <v>105</v>
      </c>
      <c r="M780">
        <v>0.05</v>
      </c>
      <c r="N780">
        <v>210</v>
      </c>
      <c r="O780">
        <v>199.5</v>
      </c>
      <c r="P780" t="s">
        <v>2269</v>
      </c>
      <c r="Q780" t="s">
        <v>2272</v>
      </c>
      <c r="R780" t="s">
        <v>2275</v>
      </c>
      <c r="S780" t="s">
        <v>2285</v>
      </c>
      <c r="T780" t="s">
        <v>2288</v>
      </c>
      <c r="U780">
        <v>4</v>
      </c>
      <c r="V780">
        <v>498</v>
      </c>
      <c r="W780">
        <v>32</v>
      </c>
      <c r="X780">
        <v>40.94</v>
      </c>
      <c r="Y780">
        <v>117.62</v>
      </c>
      <c r="Z780" t="s">
        <v>1761</v>
      </c>
      <c r="AA780" t="s">
        <v>2296</v>
      </c>
      <c r="AB780">
        <v>210</v>
      </c>
      <c r="AC780">
        <v>10.5</v>
      </c>
      <c r="AD780">
        <v>199.5</v>
      </c>
      <c r="AE780">
        <v>81.88</v>
      </c>
      <c r="AF780">
        <v>117.62</v>
      </c>
      <c r="AG780">
        <v>2024</v>
      </c>
      <c r="AH780">
        <v>3</v>
      </c>
      <c r="AI780" t="s">
        <v>2305</v>
      </c>
      <c r="AJ780" t="s">
        <v>2313</v>
      </c>
    </row>
    <row r="781" spans="1:36" x14ac:dyDescent="0.3">
      <c r="A781" t="s">
        <v>815</v>
      </c>
      <c r="B781" s="2">
        <v>45555</v>
      </c>
      <c r="C781" t="s">
        <v>1696</v>
      </c>
      <c r="D781" t="s">
        <v>1761</v>
      </c>
      <c r="E781" t="s">
        <v>2115</v>
      </c>
      <c r="F781" t="s">
        <v>2238</v>
      </c>
      <c r="G781" t="s">
        <v>2243</v>
      </c>
      <c r="H781" t="s">
        <v>2258</v>
      </c>
      <c r="I781" t="s">
        <v>2260</v>
      </c>
      <c r="K781">
        <v>2</v>
      </c>
      <c r="L781">
        <v>70</v>
      </c>
      <c r="M781">
        <v>0.1</v>
      </c>
      <c r="N781">
        <v>140</v>
      </c>
      <c r="O781">
        <v>126</v>
      </c>
      <c r="P781" t="s">
        <v>2268</v>
      </c>
      <c r="Q781" t="s">
        <v>2270</v>
      </c>
      <c r="R781" t="s">
        <v>2277</v>
      </c>
      <c r="S781" t="s">
        <v>2280</v>
      </c>
      <c r="T781" t="s">
        <v>2288</v>
      </c>
      <c r="U781">
        <v>5</v>
      </c>
      <c r="V781">
        <v>188</v>
      </c>
      <c r="W781">
        <v>46</v>
      </c>
      <c r="X781">
        <v>32.39</v>
      </c>
      <c r="Y781">
        <v>61.22</v>
      </c>
      <c r="Z781" t="s">
        <v>2293</v>
      </c>
      <c r="AA781" t="s">
        <v>2296</v>
      </c>
      <c r="AB781">
        <v>140</v>
      </c>
      <c r="AC781">
        <v>14</v>
      </c>
      <c r="AD781">
        <v>126</v>
      </c>
      <c r="AE781">
        <v>64.78</v>
      </c>
      <c r="AF781">
        <v>61.22</v>
      </c>
      <c r="AG781">
        <v>2024</v>
      </c>
      <c r="AH781">
        <v>9</v>
      </c>
      <c r="AI781" t="s">
        <v>2300</v>
      </c>
      <c r="AJ781" t="s">
        <v>2315</v>
      </c>
    </row>
    <row r="782" spans="1:36" x14ac:dyDescent="0.3">
      <c r="A782" t="s">
        <v>816</v>
      </c>
      <c r="B782" s="2">
        <v>45331</v>
      </c>
      <c r="C782" t="s">
        <v>1708</v>
      </c>
      <c r="D782" t="s">
        <v>1877</v>
      </c>
      <c r="E782" t="s">
        <v>2189</v>
      </c>
      <c r="F782" t="s">
        <v>1761</v>
      </c>
      <c r="G782" t="s">
        <v>2250</v>
      </c>
      <c r="H782" t="s">
        <v>2259</v>
      </c>
      <c r="I782" t="s">
        <v>2262</v>
      </c>
      <c r="J782" t="s">
        <v>2266</v>
      </c>
      <c r="K782">
        <v>3</v>
      </c>
      <c r="L782">
        <v>80</v>
      </c>
      <c r="M782">
        <v>0.1</v>
      </c>
      <c r="N782">
        <v>240</v>
      </c>
      <c r="O782">
        <v>216</v>
      </c>
      <c r="P782" t="s">
        <v>2267</v>
      </c>
      <c r="Q782" t="s">
        <v>2270</v>
      </c>
      <c r="R782" t="s">
        <v>2274</v>
      </c>
      <c r="S782" t="s">
        <v>2287</v>
      </c>
      <c r="T782" t="s">
        <v>2288</v>
      </c>
      <c r="U782">
        <v>2</v>
      </c>
      <c r="V782">
        <v>37</v>
      </c>
      <c r="W782">
        <v>42</v>
      </c>
      <c r="X782">
        <v>28.62</v>
      </c>
      <c r="Y782">
        <v>130.13999999999999</v>
      </c>
      <c r="Z782" t="s">
        <v>2291</v>
      </c>
      <c r="AA782" t="s">
        <v>2299</v>
      </c>
      <c r="AB782">
        <v>240</v>
      </c>
      <c r="AC782">
        <v>24</v>
      </c>
      <c r="AD782">
        <v>216</v>
      </c>
      <c r="AE782">
        <v>85.86</v>
      </c>
      <c r="AF782">
        <v>130.13999999999999</v>
      </c>
      <c r="AG782">
        <v>2024</v>
      </c>
      <c r="AH782">
        <v>2</v>
      </c>
      <c r="AI782" t="s">
        <v>2303</v>
      </c>
      <c r="AJ782" t="s">
        <v>2315</v>
      </c>
    </row>
    <row r="783" spans="1:36" x14ac:dyDescent="0.3">
      <c r="A783" t="s">
        <v>817</v>
      </c>
      <c r="B783" s="2">
        <v>45588</v>
      </c>
      <c r="C783" t="s">
        <v>1645</v>
      </c>
      <c r="D783" t="s">
        <v>1805</v>
      </c>
      <c r="E783" t="s">
        <v>2142</v>
      </c>
      <c r="F783" t="s">
        <v>2240</v>
      </c>
      <c r="G783" t="s">
        <v>2241</v>
      </c>
      <c r="H783" t="s">
        <v>2257</v>
      </c>
      <c r="I783" t="s">
        <v>2262</v>
      </c>
      <c r="J783" t="s">
        <v>2266</v>
      </c>
      <c r="K783">
        <v>1</v>
      </c>
      <c r="L783">
        <v>125</v>
      </c>
      <c r="M783">
        <v>0.05</v>
      </c>
      <c r="N783">
        <v>125</v>
      </c>
      <c r="O783">
        <v>118.75</v>
      </c>
      <c r="P783" t="s">
        <v>2268</v>
      </c>
      <c r="Q783" t="s">
        <v>2271</v>
      </c>
      <c r="R783" t="s">
        <v>2273</v>
      </c>
      <c r="S783" t="s">
        <v>2286</v>
      </c>
      <c r="T783" t="s">
        <v>2290</v>
      </c>
      <c r="U783">
        <v>5</v>
      </c>
      <c r="W783">
        <v>47</v>
      </c>
      <c r="X783">
        <v>74.23</v>
      </c>
      <c r="Y783">
        <v>44.52</v>
      </c>
      <c r="Z783" t="s">
        <v>2293</v>
      </c>
      <c r="AA783" t="s">
        <v>1761</v>
      </c>
      <c r="AB783">
        <v>125</v>
      </c>
      <c r="AC783">
        <v>6.25</v>
      </c>
      <c r="AD783">
        <v>118.75</v>
      </c>
      <c r="AE783">
        <v>74.23</v>
      </c>
      <c r="AF783">
        <v>44.52</v>
      </c>
      <c r="AG783">
        <v>2024</v>
      </c>
      <c r="AH783">
        <v>10</v>
      </c>
      <c r="AI783" t="s">
        <v>2310</v>
      </c>
      <c r="AJ783" t="s">
        <v>2312</v>
      </c>
    </row>
    <row r="784" spans="1:36" x14ac:dyDescent="0.3">
      <c r="A784" t="s">
        <v>818</v>
      </c>
      <c r="B784" s="2">
        <v>45328</v>
      </c>
      <c r="C784" t="s">
        <v>1659</v>
      </c>
      <c r="D784" t="s">
        <v>1813</v>
      </c>
      <c r="E784" t="s">
        <v>2027</v>
      </c>
      <c r="F784" t="s">
        <v>1761</v>
      </c>
      <c r="G784" t="s">
        <v>2247</v>
      </c>
      <c r="H784" t="s">
        <v>2257</v>
      </c>
      <c r="I784" t="s">
        <v>2262</v>
      </c>
      <c r="J784" t="s">
        <v>2264</v>
      </c>
      <c r="K784">
        <v>1</v>
      </c>
      <c r="L784">
        <v>110</v>
      </c>
      <c r="M784">
        <v>0.05</v>
      </c>
      <c r="N784">
        <v>110</v>
      </c>
      <c r="O784">
        <v>104.5</v>
      </c>
      <c r="P784" t="s">
        <v>2267</v>
      </c>
      <c r="Q784" t="s">
        <v>2271</v>
      </c>
      <c r="R784" t="s">
        <v>2274</v>
      </c>
      <c r="S784" t="s">
        <v>2284</v>
      </c>
      <c r="T784" t="s">
        <v>2288</v>
      </c>
      <c r="V784">
        <v>456</v>
      </c>
      <c r="W784">
        <v>35</v>
      </c>
      <c r="X784">
        <v>57.02</v>
      </c>
      <c r="Y784">
        <v>47.48</v>
      </c>
      <c r="Z784" t="s">
        <v>2294</v>
      </c>
      <c r="AA784" t="s">
        <v>2296</v>
      </c>
      <c r="AB784">
        <v>110</v>
      </c>
      <c r="AC784">
        <v>5.5</v>
      </c>
      <c r="AD784">
        <v>104.5</v>
      </c>
      <c r="AE784">
        <v>57.02</v>
      </c>
      <c r="AF784">
        <v>47.48</v>
      </c>
      <c r="AG784">
        <v>2024</v>
      </c>
      <c r="AH784">
        <v>2</v>
      </c>
      <c r="AI784" t="s">
        <v>2303</v>
      </c>
      <c r="AJ784" t="s">
        <v>2313</v>
      </c>
    </row>
    <row r="785" spans="1:36" x14ac:dyDescent="0.3">
      <c r="A785" t="s">
        <v>819</v>
      </c>
      <c r="B785" s="2">
        <v>45372</v>
      </c>
      <c r="C785" t="s">
        <v>1729</v>
      </c>
      <c r="D785" t="s">
        <v>1902</v>
      </c>
      <c r="E785" t="s">
        <v>2036</v>
      </c>
      <c r="F785" t="s">
        <v>2239</v>
      </c>
      <c r="G785" t="s">
        <v>2249</v>
      </c>
      <c r="H785" t="s">
        <v>2257</v>
      </c>
      <c r="I785" t="s">
        <v>2263</v>
      </c>
      <c r="J785" t="s">
        <v>2266</v>
      </c>
      <c r="K785">
        <v>1</v>
      </c>
      <c r="L785">
        <v>165</v>
      </c>
      <c r="M785">
        <v>0.1</v>
      </c>
      <c r="N785">
        <v>165</v>
      </c>
      <c r="O785">
        <v>148.5</v>
      </c>
      <c r="P785" t="s">
        <v>2267</v>
      </c>
      <c r="Q785" t="s">
        <v>2272</v>
      </c>
      <c r="R785" t="s">
        <v>2279</v>
      </c>
      <c r="S785" t="s">
        <v>2285</v>
      </c>
      <c r="T785" t="s">
        <v>2288</v>
      </c>
      <c r="U785">
        <v>5</v>
      </c>
      <c r="V785">
        <v>380</v>
      </c>
      <c r="X785">
        <v>80.38</v>
      </c>
      <c r="Y785">
        <v>68.12</v>
      </c>
      <c r="Z785" t="s">
        <v>2293</v>
      </c>
      <c r="AA785" t="s">
        <v>1761</v>
      </c>
      <c r="AB785">
        <v>165</v>
      </c>
      <c r="AC785">
        <v>16.5</v>
      </c>
      <c r="AD785">
        <v>148.5</v>
      </c>
      <c r="AE785">
        <v>80.38</v>
      </c>
      <c r="AF785">
        <v>68.12</v>
      </c>
      <c r="AG785">
        <v>2024</v>
      </c>
      <c r="AH785">
        <v>3</v>
      </c>
      <c r="AI785" t="s">
        <v>2305</v>
      </c>
      <c r="AJ785" t="s">
        <v>2316</v>
      </c>
    </row>
    <row r="786" spans="1:36" x14ac:dyDescent="0.3">
      <c r="A786" t="s">
        <v>820</v>
      </c>
      <c r="B786" s="2">
        <v>45596</v>
      </c>
      <c r="C786" t="s">
        <v>1644</v>
      </c>
      <c r="D786" t="s">
        <v>1898</v>
      </c>
      <c r="E786" t="s">
        <v>2150</v>
      </c>
      <c r="F786" t="s">
        <v>1761</v>
      </c>
      <c r="G786" t="s">
        <v>2250</v>
      </c>
      <c r="H786" t="s">
        <v>2259</v>
      </c>
      <c r="I786" t="s">
        <v>2262</v>
      </c>
      <c r="J786" t="s">
        <v>2265</v>
      </c>
      <c r="K786">
        <v>1</v>
      </c>
      <c r="L786">
        <v>90</v>
      </c>
      <c r="M786">
        <v>0.1</v>
      </c>
      <c r="N786">
        <v>90</v>
      </c>
      <c r="O786">
        <v>81</v>
      </c>
      <c r="P786" t="s">
        <v>2268</v>
      </c>
      <c r="R786" t="s">
        <v>2277</v>
      </c>
      <c r="S786" t="s">
        <v>2283</v>
      </c>
      <c r="T786" t="s">
        <v>2290</v>
      </c>
      <c r="U786">
        <v>3</v>
      </c>
      <c r="V786">
        <v>254</v>
      </c>
      <c r="W786">
        <v>26</v>
      </c>
      <c r="X786">
        <v>36.53</v>
      </c>
      <c r="Y786">
        <v>44.47</v>
      </c>
      <c r="Z786" t="s">
        <v>1761</v>
      </c>
      <c r="AA786" t="s">
        <v>2297</v>
      </c>
      <c r="AB786">
        <v>90</v>
      </c>
      <c r="AC786">
        <v>9</v>
      </c>
      <c r="AD786">
        <v>81</v>
      </c>
      <c r="AE786">
        <v>36.53</v>
      </c>
      <c r="AF786">
        <v>44.47</v>
      </c>
      <c r="AG786">
        <v>2024</v>
      </c>
      <c r="AH786">
        <v>10</v>
      </c>
      <c r="AI786" t="s">
        <v>2310</v>
      </c>
      <c r="AJ786" t="s">
        <v>2316</v>
      </c>
    </row>
    <row r="787" spans="1:36" x14ac:dyDescent="0.3">
      <c r="A787" t="s">
        <v>821</v>
      </c>
      <c r="B787" s="2">
        <v>45447</v>
      </c>
      <c r="C787" t="s">
        <v>1684</v>
      </c>
      <c r="D787" t="s">
        <v>1835</v>
      </c>
      <c r="E787" t="s">
        <v>2152</v>
      </c>
      <c r="F787" t="s">
        <v>2238</v>
      </c>
      <c r="G787" t="s">
        <v>2256</v>
      </c>
      <c r="H787" t="s">
        <v>2261</v>
      </c>
      <c r="I787" t="s">
        <v>2260</v>
      </c>
      <c r="J787" t="s">
        <v>2265</v>
      </c>
      <c r="K787">
        <v>1</v>
      </c>
      <c r="L787">
        <v>190</v>
      </c>
      <c r="M787">
        <v>0</v>
      </c>
      <c r="O787">
        <v>190</v>
      </c>
      <c r="P787" t="s">
        <v>2267</v>
      </c>
      <c r="Q787" t="s">
        <v>2270</v>
      </c>
      <c r="R787" t="s">
        <v>2277</v>
      </c>
      <c r="S787" t="s">
        <v>2281</v>
      </c>
      <c r="T787" t="s">
        <v>2288</v>
      </c>
      <c r="U787">
        <v>2</v>
      </c>
      <c r="V787">
        <v>53</v>
      </c>
      <c r="W787">
        <v>40</v>
      </c>
      <c r="X787">
        <v>67.599999999999994</v>
      </c>
      <c r="Y787">
        <v>122.4</v>
      </c>
      <c r="Z787" t="s">
        <v>1761</v>
      </c>
      <c r="AA787" t="s">
        <v>2298</v>
      </c>
      <c r="AB787">
        <v>190</v>
      </c>
      <c r="AC787">
        <v>0</v>
      </c>
      <c r="AD787">
        <v>190</v>
      </c>
      <c r="AE787">
        <v>67.599999999999994</v>
      </c>
      <c r="AF787">
        <v>122.4</v>
      </c>
      <c r="AG787">
        <v>2024</v>
      </c>
      <c r="AH787">
        <v>6</v>
      </c>
      <c r="AI787" t="s">
        <v>2304</v>
      </c>
      <c r="AJ787" t="s">
        <v>2313</v>
      </c>
    </row>
    <row r="788" spans="1:36" x14ac:dyDescent="0.3">
      <c r="A788" t="s">
        <v>822</v>
      </c>
      <c r="B788" s="2">
        <v>45521</v>
      </c>
      <c r="C788" t="s">
        <v>1637</v>
      </c>
      <c r="D788" t="s">
        <v>1936</v>
      </c>
      <c r="E788" t="s">
        <v>2015</v>
      </c>
      <c r="F788" t="s">
        <v>2239</v>
      </c>
      <c r="G788" t="s">
        <v>2250</v>
      </c>
      <c r="H788" t="s">
        <v>2259</v>
      </c>
      <c r="I788" t="s">
        <v>2262</v>
      </c>
      <c r="J788" t="s">
        <v>2264</v>
      </c>
      <c r="K788">
        <v>2</v>
      </c>
      <c r="L788">
        <v>75</v>
      </c>
      <c r="M788">
        <v>0.1</v>
      </c>
      <c r="N788">
        <v>150</v>
      </c>
      <c r="O788">
        <v>135</v>
      </c>
      <c r="P788" t="s">
        <v>2269</v>
      </c>
      <c r="R788" t="s">
        <v>2278</v>
      </c>
      <c r="S788" t="s">
        <v>2285</v>
      </c>
      <c r="T788" t="s">
        <v>2288</v>
      </c>
      <c r="U788">
        <v>5</v>
      </c>
      <c r="V788">
        <v>54</v>
      </c>
      <c r="X788">
        <v>31.64</v>
      </c>
      <c r="Y788">
        <v>71.72</v>
      </c>
      <c r="Z788" t="s">
        <v>1761</v>
      </c>
      <c r="AA788" t="s">
        <v>2297</v>
      </c>
      <c r="AB788">
        <v>150</v>
      </c>
      <c r="AC788">
        <v>15</v>
      </c>
      <c r="AD788">
        <v>135</v>
      </c>
      <c r="AE788">
        <v>63.28</v>
      </c>
      <c r="AF788">
        <v>71.72</v>
      </c>
      <c r="AG788">
        <v>2024</v>
      </c>
      <c r="AH788">
        <v>8</v>
      </c>
      <c r="AI788" t="s">
        <v>2301</v>
      </c>
      <c r="AJ788" t="s">
        <v>2317</v>
      </c>
    </row>
    <row r="789" spans="1:36" x14ac:dyDescent="0.3">
      <c r="A789" t="s">
        <v>823</v>
      </c>
      <c r="B789" s="2">
        <v>45473</v>
      </c>
      <c r="C789" t="s">
        <v>1675</v>
      </c>
      <c r="D789" t="s">
        <v>1891</v>
      </c>
      <c r="E789" t="s">
        <v>2027</v>
      </c>
      <c r="F789" t="s">
        <v>2240</v>
      </c>
      <c r="G789" t="s">
        <v>2252</v>
      </c>
      <c r="H789" t="s">
        <v>2257</v>
      </c>
      <c r="I789" t="s">
        <v>2262</v>
      </c>
      <c r="J789" t="s">
        <v>2264</v>
      </c>
      <c r="K789">
        <v>1</v>
      </c>
      <c r="L789">
        <v>100</v>
      </c>
      <c r="M789">
        <v>0</v>
      </c>
      <c r="N789">
        <v>100</v>
      </c>
      <c r="O789">
        <v>100</v>
      </c>
      <c r="P789" t="s">
        <v>2269</v>
      </c>
      <c r="Q789" t="s">
        <v>2270</v>
      </c>
      <c r="R789" t="s">
        <v>2275</v>
      </c>
      <c r="S789" t="s">
        <v>2285</v>
      </c>
      <c r="T789" t="s">
        <v>2288</v>
      </c>
      <c r="U789">
        <v>4</v>
      </c>
      <c r="V789">
        <v>448</v>
      </c>
      <c r="X789">
        <v>44.61</v>
      </c>
      <c r="Y789">
        <v>55.39</v>
      </c>
      <c r="Z789" t="s">
        <v>2293</v>
      </c>
      <c r="AA789" t="s">
        <v>2299</v>
      </c>
      <c r="AB789">
        <v>100</v>
      </c>
      <c r="AC789">
        <v>0</v>
      </c>
      <c r="AD789">
        <v>100</v>
      </c>
      <c r="AE789">
        <v>44.61</v>
      </c>
      <c r="AF789">
        <v>55.39</v>
      </c>
      <c r="AG789">
        <v>2024</v>
      </c>
      <c r="AH789">
        <v>6</v>
      </c>
      <c r="AI789" t="s">
        <v>2304</v>
      </c>
      <c r="AJ789" t="s">
        <v>2318</v>
      </c>
    </row>
    <row r="790" spans="1:36" x14ac:dyDescent="0.3">
      <c r="A790" t="s">
        <v>824</v>
      </c>
      <c r="B790" s="2">
        <v>45377</v>
      </c>
      <c r="C790" t="s">
        <v>1681</v>
      </c>
      <c r="D790" t="s">
        <v>1908</v>
      </c>
      <c r="E790" t="s">
        <v>2216</v>
      </c>
      <c r="F790" t="s">
        <v>2239</v>
      </c>
      <c r="G790" t="s">
        <v>2242</v>
      </c>
      <c r="H790" t="s">
        <v>2258</v>
      </c>
      <c r="I790" t="s">
        <v>2260</v>
      </c>
      <c r="J790" t="s">
        <v>2265</v>
      </c>
      <c r="K790">
        <v>1</v>
      </c>
      <c r="L790">
        <v>125</v>
      </c>
      <c r="M790">
        <v>0.05</v>
      </c>
      <c r="N790">
        <v>125</v>
      </c>
      <c r="O790">
        <v>118.75</v>
      </c>
      <c r="P790" t="s">
        <v>2268</v>
      </c>
      <c r="Q790" t="s">
        <v>2272</v>
      </c>
      <c r="R790" t="s">
        <v>2279</v>
      </c>
      <c r="S790" t="s">
        <v>2280</v>
      </c>
      <c r="T790" t="s">
        <v>2288</v>
      </c>
      <c r="U790">
        <v>4</v>
      </c>
      <c r="V790">
        <v>407</v>
      </c>
      <c r="W790">
        <v>24</v>
      </c>
      <c r="X790">
        <v>71.8</v>
      </c>
      <c r="Y790">
        <v>46.95</v>
      </c>
      <c r="Z790" t="s">
        <v>2293</v>
      </c>
      <c r="AA790" t="s">
        <v>2299</v>
      </c>
      <c r="AB790">
        <v>125</v>
      </c>
      <c r="AC790">
        <v>6.25</v>
      </c>
      <c r="AD790">
        <v>118.75</v>
      </c>
      <c r="AE790">
        <v>71.8</v>
      </c>
      <c r="AF790">
        <v>46.95</v>
      </c>
      <c r="AG790">
        <v>2024</v>
      </c>
      <c r="AH790">
        <v>3</v>
      </c>
      <c r="AI790" t="s">
        <v>2305</v>
      </c>
      <c r="AJ790" t="s">
        <v>2313</v>
      </c>
    </row>
    <row r="791" spans="1:36" x14ac:dyDescent="0.3">
      <c r="A791" t="s">
        <v>825</v>
      </c>
      <c r="B791" s="2">
        <v>45466</v>
      </c>
      <c r="C791" t="s">
        <v>1735</v>
      </c>
      <c r="D791" t="s">
        <v>1781</v>
      </c>
      <c r="E791" t="s">
        <v>2130</v>
      </c>
      <c r="F791" t="s">
        <v>2239</v>
      </c>
      <c r="G791" t="s">
        <v>2241</v>
      </c>
      <c r="H791" t="s">
        <v>2257</v>
      </c>
      <c r="I791" t="s">
        <v>2262</v>
      </c>
      <c r="K791">
        <v>3</v>
      </c>
      <c r="L791">
        <v>135</v>
      </c>
      <c r="N791">
        <v>405</v>
      </c>
      <c r="P791" t="s">
        <v>2269</v>
      </c>
      <c r="Q791" t="s">
        <v>2271</v>
      </c>
      <c r="R791" t="s">
        <v>2278</v>
      </c>
      <c r="S791" t="s">
        <v>2285</v>
      </c>
      <c r="T791" t="s">
        <v>2288</v>
      </c>
      <c r="U791">
        <v>4</v>
      </c>
      <c r="X791">
        <v>46.34</v>
      </c>
      <c r="Z791" t="s">
        <v>1761</v>
      </c>
      <c r="AA791" t="s">
        <v>2298</v>
      </c>
      <c r="AB791">
        <v>405</v>
      </c>
      <c r="AC791">
        <v>0</v>
      </c>
      <c r="AD791">
        <v>405</v>
      </c>
      <c r="AE791">
        <v>139.02000000000001</v>
      </c>
      <c r="AF791">
        <v>265.98</v>
      </c>
      <c r="AG791">
        <v>2024</v>
      </c>
      <c r="AH791">
        <v>6</v>
      </c>
      <c r="AI791" t="s">
        <v>2304</v>
      </c>
      <c r="AJ791" t="s">
        <v>2318</v>
      </c>
    </row>
    <row r="792" spans="1:36" x14ac:dyDescent="0.3">
      <c r="A792" t="s">
        <v>826</v>
      </c>
      <c r="B792" s="2">
        <v>45609</v>
      </c>
      <c r="C792" t="s">
        <v>1714</v>
      </c>
      <c r="D792" t="s">
        <v>1829</v>
      </c>
      <c r="E792" t="s">
        <v>2145</v>
      </c>
      <c r="F792" t="s">
        <v>2239</v>
      </c>
      <c r="G792" t="s">
        <v>2246</v>
      </c>
      <c r="H792" t="s">
        <v>2259</v>
      </c>
      <c r="I792" t="s">
        <v>2262</v>
      </c>
      <c r="J792" t="s">
        <v>2265</v>
      </c>
      <c r="K792">
        <v>1</v>
      </c>
      <c r="L792">
        <v>90</v>
      </c>
      <c r="M792">
        <v>0.05</v>
      </c>
      <c r="N792">
        <v>90</v>
      </c>
      <c r="O792">
        <v>85.5</v>
      </c>
      <c r="Q792" t="s">
        <v>2272</v>
      </c>
      <c r="R792" t="s">
        <v>2278</v>
      </c>
      <c r="S792" t="s">
        <v>2284</v>
      </c>
      <c r="T792" t="s">
        <v>2288</v>
      </c>
      <c r="V792">
        <v>446</v>
      </c>
      <c r="W792">
        <v>52</v>
      </c>
      <c r="X792">
        <v>51.28</v>
      </c>
      <c r="Y792">
        <v>34.22</v>
      </c>
      <c r="Z792" t="s">
        <v>2293</v>
      </c>
      <c r="AA792" t="s">
        <v>1761</v>
      </c>
      <c r="AB792">
        <v>90</v>
      </c>
      <c r="AC792">
        <v>4.5</v>
      </c>
      <c r="AD792">
        <v>85.5</v>
      </c>
      <c r="AE792">
        <v>51.28</v>
      </c>
      <c r="AF792">
        <v>34.22</v>
      </c>
      <c r="AG792">
        <v>2024</v>
      </c>
      <c r="AH792">
        <v>11</v>
      </c>
      <c r="AI792" t="s">
        <v>2311</v>
      </c>
      <c r="AJ792" t="s">
        <v>2312</v>
      </c>
    </row>
    <row r="793" spans="1:36" x14ac:dyDescent="0.3">
      <c r="A793" t="s">
        <v>827</v>
      </c>
      <c r="B793" s="2">
        <v>45387</v>
      </c>
      <c r="C793" t="s">
        <v>1656</v>
      </c>
      <c r="D793" t="s">
        <v>1919</v>
      </c>
      <c r="E793" t="s">
        <v>2134</v>
      </c>
      <c r="F793" t="s">
        <v>2239</v>
      </c>
      <c r="G793" t="s">
        <v>2245</v>
      </c>
      <c r="H793" t="s">
        <v>2257</v>
      </c>
      <c r="I793" t="s">
        <v>2263</v>
      </c>
      <c r="J793" t="s">
        <v>2266</v>
      </c>
      <c r="K793">
        <v>1</v>
      </c>
      <c r="L793">
        <v>150</v>
      </c>
      <c r="M793">
        <v>0.1</v>
      </c>
      <c r="N793">
        <v>150</v>
      </c>
      <c r="O793">
        <v>135</v>
      </c>
      <c r="P793" t="s">
        <v>2268</v>
      </c>
      <c r="Q793" t="s">
        <v>2271</v>
      </c>
      <c r="R793" t="s">
        <v>2274</v>
      </c>
      <c r="S793" t="s">
        <v>2283</v>
      </c>
      <c r="T793" t="s">
        <v>2288</v>
      </c>
      <c r="U793">
        <v>1</v>
      </c>
      <c r="V793">
        <v>493</v>
      </c>
      <c r="W793">
        <v>39</v>
      </c>
      <c r="X793">
        <v>71.11</v>
      </c>
      <c r="Y793">
        <v>63.89</v>
      </c>
      <c r="Z793" t="s">
        <v>2293</v>
      </c>
      <c r="AA793" t="s">
        <v>2298</v>
      </c>
      <c r="AB793">
        <v>150</v>
      </c>
      <c r="AC793">
        <v>15</v>
      </c>
      <c r="AD793">
        <v>135</v>
      </c>
      <c r="AE793">
        <v>71.11</v>
      </c>
      <c r="AF793">
        <v>63.89</v>
      </c>
      <c r="AG793">
        <v>2024</v>
      </c>
      <c r="AH793">
        <v>4</v>
      </c>
      <c r="AI793" t="s">
        <v>2308</v>
      </c>
      <c r="AJ793" t="s">
        <v>2315</v>
      </c>
    </row>
    <row r="794" spans="1:36" x14ac:dyDescent="0.3">
      <c r="A794" t="s">
        <v>828</v>
      </c>
      <c r="B794" s="2">
        <v>45334</v>
      </c>
      <c r="C794" t="s">
        <v>1670</v>
      </c>
      <c r="D794" t="s">
        <v>1786</v>
      </c>
      <c r="E794" t="s">
        <v>2025</v>
      </c>
      <c r="F794" t="s">
        <v>2240</v>
      </c>
      <c r="G794" t="s">
        <v>2242</v>
      </c>
      <c r="H794" t="s">
        <v>2258</v>
      </c>
      <c r="I794" t="s">
        <v>2260</v>
      </c>
      <c r="J794" t="s">
        <v>2266</v>
      </c>
      <c r="K794">
        <v>1</v>
      </c>
      <c r="L794">
        <v>130</v>
      </c>
      <c r="M794">
        <v>0.15</v>
      </c>
      <c r="N794">
        <v>130</v>
      </c>
      <c r="O794">
        <v>110.5</v>
      </c>
      <c r="P794" t="s">
        <v>2267</v>
      </c>
      <c r="Q794" t="s">
        <v>2271</v>
      </c>
      <c r="R794" t="s">
        <v>2278</v>
      </c>
      <c r="S794" t="s">
        <v>2287</v>
      </c>
      <c r="T794" t="s">
        <v>2290</v>
      </c>
      <c r="U794">
        <v>5</v>
      </c>
      <c r="V794">
        <v>56</v>
      </c>
      <c r="W794">
        <v>36</v>
      </c>
      <c r="X794">
        <v>69.97</v>
      </c>
      <c r="Y794">
        <v>40.53</v>
      </c>
      <c r="Z794" t="s">
        <v>2293</v>
      </c>
      <c r="AA794" t="s">
        <v>2296</v>
      </c>
      <c r="AB794">
        <v>130</v>
      </c>
      <c r="AC794">
        <v>19.5</v>
      </c>
      <c r="AD794">
        <v>110.5</v>
      </c>
      <c r="AE794">
        <v>69.97</v>
      </c>
      <c r="AF794">
        <v>40.53</v>
      </c>
      <c r="AG794">
        <v>2024</v>
      </c>
      <c r="AH794">
        <v>2</v>
      </c>
      <c r="AI794" t="s">
        <v>2303</v>
      </c>
      <c r="AJ794" t="s">
        <v>2314</v>
      </c>
    </row>
    <row r="795" spans="1:36" x14ac:dyDescent="0.3">
      <c r="A795" t="s">
        <v>829</v>
      </c>
      <c r="B795" s="2">
        <v>45454</v>
      </c>
      <c r="C795" t="s">
        <v>1698</v>
      </c>
      <c r="D795" t="s">
        <v>1763</v>
      </c>
      <c r="E795" t="s">
        <v>1953</v>
      </c>
      <c r="F795" t="s">
        <v>2239</v>
      </c>
      <c r="G795" t="s">
        <v>2253</v>
      </c>
      <c r="H795" t="s">
        <v>2258</v>
      </c>
      <c r="I795" t="s">
        <v>2260</v>
      </c>
      <c r="J795" t="s">
        <v>2264</v>
      </c>
      <c r="K795">
        <v>2</v>
      </c>
      <c r="L795">
        <v>100</v>
      </c>
      <c r="M795">
        <v>0.15</v>
      </c>
      <c r="N795">
        <v>200</v>
      </c>
      <c r="O795">
        <v>170</v>
      </c>
      <c r="Q795" t="s">
        <v>2270</v>
      </c>
      <c r="R795" t="s">
        <v>2273</v>
      </c>
      <c r="S795" t="s">
        <v>2285</v>
      </c>
      <c r="T795" t="s">
        <v>2288</v>
      </c>
      <c r="U795">
        <v>1</v>
      </c>
      <c r="X795">
        <v>52.02</v>
      </c>
      <c r="Y795">
        <v>65.959999999999994</v>
      </c>
      <c r="Z795" t="s">
        <v>2291</v>
      </c>
      <c r="AA795" t="s">
        <v>2299</v>
      </c>
      <c r="AB795">
        <v>200</v>
      </c>
      <c r="AC795">
        <v>30</v>
      </c>
      <c r="AD795">
        <v>170</v>
      </c>
      <c r="AE795">
        <v>104.04</v>
      </c>
      <c r="AF795">
        <v>65.959999999999994</v>
      </c>
      <c r="AG795">
        <v>2024</v>
      </c>
      <c r="AH795">
        <v>6</v>
      </c>
      <c r="AI795" t="s">
        <v>2304</v>
      </c>
      <c r="AJ795" t="s">
        <v>2313</v>
      </c>
    </row>
    <row r="796" spans="1:36" x14ac:dyDescent="0.3">
      <c r="A796" t="s">
        <v>830</v>
      </c>
      <c r="B796" s="2">
        <v>45454</v>
      </c>
      <c r="C796" t="s">
        <v>1689</v>
      </c>
      <c r="D796" t="s">
        <v>1921</v>
      </c>
      <c r="E796" t="s">
        <v>2120</v>
      </c>
      <c r="F796" t="s">
        <v>2239</v>
      </c>
      <c r="G796" t="s">
        <v>2246</v>
      </c>
      <c r="H796" t="s">
        <v>2259</v>
      </c>
      <c r="I796" t="s">
        <v>2262</v>
      </c>
      <c r="J796" t="s">
        <v>2264</v>
      </c>
      <c r="L796">
        <v>100</v>
      </c>
      <c r="M796">
        <v>0</v>
      </c>
      <c r="N796">
        <v>100</v>
      </c>
      <c r="O796">
        <v>100</v>
      </c>
      <c r="P796" t="s">
        <v>2267</v>
      </c>
      <c r="Q796" t="s">
        <v>2272</v>
      </c>
      <c r="R796" t="s">
        <v>2275</v>
      </c>
      <c r="S796" t="s">
        <v>2284</v>
      </c>
      <c r="T796" t="s">
        <v>2290</v>
      </c>
      <c r="U796">
        <v>3</v>
      </c>
      <c r="V796">
        <v>99</v>
      </c>
      <c r="W796">
        <v>57</v>
      </c>
      <c r="X796">
        <v>43.4</v>
      </c>
      <c r="Y796">
        <v>56.6</v>
      </c>
      <c r="Z796" t="s">
        <v>2293</v>
      </c>
      <c r="AA796" t="s">
        <v>2296</v>
      </c>
      <c r="AG796">
        <v>2024</v>
      </c>
      <c r="AH796">
        <v>6</v>
      </c>
      <c r="AI796" t="s">
        <v>2304</v>
      </c>
      <c r="AJ796" t="s">
        <v>2313</v>
      </c>
    </row>
    <row r="797" spans="1:36" x14ac:dyDescent="0.3">
      <c r="A797" t="s">
        <v>831</v>
      </c>
      <c r="B797" s="2">
        <v>45526</v>
      </c>
      <c r="C797" t="s">
        <v>1667</v>
      </c>
      <c r="D797" t="s">
        <v>1795</v>
      </c>
      <c r="E797" t="s">
        <v>2164</v>
      </c>
      <c r="F797" t="s">
        <v>1761</v>
      </c>
      <c r="G797" t="s">
        <v>2248</v>
      </c>
      <c r="H797" t="s">
        <v>2257</v>
      </c>
      <c r="I797" t="s">
        <v>2262</v>
      </c>
      <c r="J797" t="s">
        <v>2266</v>
      </c>
      <c r="K797">
        <v>1</v>
      </c>
      <c r="L797">
        <v>145</v>
      </c>
      <c r="M797">
        <v>0.1</v>
      </c>
      <c r="N797">
        <v>145</v>
      </c>
      <c r="O797">
        <v>130.5</v>
      </c>
      <c r="P797" t="s">
        <v>2269</v>
      </c>
      <c r="Q797" t="s">
        <v>2271</v>
      </c>
      <c r="R797" t="s">
        <v>2276</v>
      </c>
      <c r="S797" t="s">
        <v>2287</v>
      </c>
      <c r="T797" t="s">
        <v>2288</v>
      </c>
      <c r="V797">
        <v>377</v>
      </c>
      <c r="X797">
        <v>81.17</v>
      </c>
      <c r="Y797">
        <v>49.33</v>
      </c>
      <c r="Z797" t="s">
        <v>1761</v>
      </c>
      <c r="AA797" t="s">
        <v>2297</v>
      </c>
      <c r="AB797">
        <v>145</v>
      </c>
      <c r="AC797">
        <v>14.5</v>
      </c>
      <c r="AD797">
        <v>130.5</v>
      </c>
      <c r="AE797">
        <v>81.17</v>
      </c>
      <c r="AF797">
        <v>49.33</v>
      </c>
      <c r="AG797">
        <v>2024</v>
      </c>
      <c r="AH797">
        <v>8</v>
      </c>
      <c r="AI797" t="s">
        <v>2301</v>
      </c>
      <c r="AJ797" t="s">
        <v>2316</v>
      </c>
    </row>
    <row r="798" spans="1:36" x14ac:dyDescent="0.3">
      <c r="A798" t="s">
        <v>832</v>
      </c>
      <c r="B798" s="2">
        <v>45473</v>
      </c>
      <c r="C798" t="s">
        <v>1680</v>
      </c>
      <c r="D798" t="s">
        <v>1823</v>
      </c>
      <c r="E798" t="s">
        <v>2024</v>
      </c>
      <c r="F798" t="s">
        <v>2239</v>
      </c>
      <c r="G798" t="s">
        <v>2244</v>
      </c>
      <c r="H798" t="s">
        <v>2257</v>
      </c>
      <c r="I798" t="s">
        <v>2262</v>
      </c>
      <c r="J798" t="s">
        <v>2266</v>
      </c>
      <c r="K798">
        <v>1</v>
      </c>
      <c r="L798">
        <v>125</v>
      </c>
      <c r="N798">
        <v>125</v>
      </c>
      <c r="P798" t="s">
        <v>2269</v>
      </c>
      <c r="R798" t="s">
        <v>2274</v>
      </c>
      <c r="S798" t="s">
        <v>2286</v>
      </c>
      <c r="T798" t="s">
        <v>2289</v>
      </c>
      <c r="U798">
        <v>3</v>
      </c>
      <c r="V798">
        <v>337</v>
      </c>
      <c r="W798">
        <v>52</v>
      </c>
      <c r="X798">
        <v>61.3</v>
      </c>
      <c r="Z798" t="s">
        <v>1761</v>
      </c>
      <c r="AA798" t="s">
        <v>1761</v>
      </c>
      <c r="AB798">
        <v>125</v>
      </c>
      <c r="AC798">
        <v>0</v>
      </c>
      <c r="AD798">
        <v>125</v>
      </c>
      <c r="AE798">
        <v>61.3</v>
      </c>
      <c r="AF798">
        <v>63.7</v>
      </c>
      <c r="AG798">
        <v>2024</v>
      </c>
      <c r="AH798">
        <v>6</v>
      </c>
      <c r="AI798" t="s">
        <v>2304</v>
      </c>
      <c r="AJ798" t="s">
        <v>2318</v>
      </c>
    </row>
    <row r="799" spans="1:36" x14ac:dyDescent="0.3">
      <c r="A799" t="s">
        <v>833</v>
      </c>
      <c r="B799" s="2">
        <v>45640</v>
      </c>
      <c r="C799" t="s">
        <v>1656</v>
      </c>
      <c r="D799" t="s">
        <v>1797</v>
      </c>
      <c r="E799" t="s">
        <v>2099</v>
      </c>
      <c r="F799" t="s">
        <v>2240</v>
      </c>
      <c r="G799" t="s">
        <v>2253</v>
      </c>
      <c r="H799" t="s">
        <v>2258</v>
      </c>
      <c r="I799" t="s">
        <v>2260</v>
      </c>
      <c r="J799" t="s">
        <v>2266</v>
      </c>
      <c r="K799">
        <v>2</v>
      </c>
      <c r="L799">
        <v>85</v>
      </c>
      <c r="M799">
        <v>0.15</v>
      </c>
      <c r="N799">
        <v>170</v>
      </c>
      <c r="O799">
        <v>144.5</v>
      </c>
      <c r="Q799" t="s">
        <v>2272</v>
      </c>
      <c r="R799" t="s">
        <v>2274</v>
      </c>
      <c r="S799" t="s">
        <v>2283</v>
      </c>
      <c r="T799" t="s">
        <v>2288</v>
      </c>
      <c r="V799">
        <v>9</v>
      </c>
      <c r="W799">
        <v>35</v>
      </c>
      <c r="X799">
        <v>51.86</v>
      </c>
      <c r="Y799">
        <v>40.78</v>
      </c>
      <c r="Z799" t="s">
        <v>2292</v>
      </c>
      <c r="AA799" t="s">
        <v>2296</v>
      </c>
      <c r="AB799">
        <v>170</v>
      </c>
      <c r="AC799">
        <v>25.5</v>
      </c>
      <c r="AD799">
        <v>144.5</v>
      </c>
      <c r="AE799">
        <v>103.72</v>
      </c>
      <c r="AF799">
        <v>40.78</v>
      </c>
      <c r="AG799">
        <v>2024</v>
      </c>
      <c r="AH799">
        <v>12</v>
      </c>
      <c r="AI799" t="s">
        <v>2309</v>
      </c>
      <c r="AJ799" t="s">
        <v>2317</v>
      </c>
    </row>
    <row r="800" spans="1:36" x14ac:dyDescent="0.3">
      <c r="A800" t="s">
        <v>834</v>
      </c>
      <c r="C800" t="s">
        <v>1663</v>
      </c>
      <c r="D800" t="s">
        <v>1822</v>
      </c>
      <c r="E800" t="s">
        <v>2057</v>
      </c>
      <c r="F800" t="s">
        <v>1761</v>
      </c>
      <c r="G800" t="s">
        <v>2256</v>
      </c>
      <c r="H800" t="s">
        <v>2261</v>
      </c>
      <c r="I800" t="s">
        <v>2260</v>
      </c>
      <c r="J800" t="s">
        <v>2264</v>
      </c>
      <c r="K800">
        <v>3</v>
      </c>
      <c r="L800">
        <v>185</v>
      </c>
      <c r="M800">
        <v>0</v>
      </c>
      <c r="N800">
        <v>555</v>
      </c>
      <c r="O800">
        <v>555</v>
      </c>
      <c r="P800" t="s">
        <v>2268</v>
      </c>
      <c r="R800" t="s">
        <v>2276</v>
      </c>
      <c r="S800" t="s">
        <v>2281</v>
      </c>
      <c r="T800" t="s">
        <v>2290</v>
      </c>
      <c r="U800">
        <v>2</v>
      </c>
      <c r="V800">
        <v>419</v>
      </c>
      <c r="W800">
        <v>17</v>
      </c>
      <c r="X800">
        <v>68.22</v>
      </c>
      <c r="Y800">
        <v>350.34</v>
      </c>
      <c r="Z800" t="s">
        <v>1761</v>
      </c>
      <c r="AA800" t="s">
        <v>2298</v>
      </c>
      <c r="AB800">
        <v>555</v>
      </c>
      <c r="AC800">
        <v>0</v>
      </c>
      <c r="AD800">
        <v>555</v>
      </c>
      <c r="AE800">
        <v>204.66</v>
      </c>
      <c r="AF800">
        <v>350.34</v>
      </c>
    </row>
    <row r="801" spans="1:36" x14ac:dyDescent="0.3">
      <c r="A801" t="s">
        <v>835</v>
      </c>
      <c r="B801" s="2">
        <v>45338</v>
      </c>
      <c r="C801" t="s">
        <v>1653</v>
      </c>
      <c r="D801" t="s">
        <v>1744</v>
      </c>
      <c r="E801" t="s">
        <v>2160</v>
      </c>
      <c r="F801" t="s">
        <v>2238</v>
      </c>
      <c r="G801" t="s">
        <v>2249</v>
      </c>
      <c r="H801" t="s">
        <v>2257</v>
      </c>
      <c r="I801" t="s">
        <v>2263</v>
      </c>
      <c r="J801" t="s">
        <v>2265</v>
      </c>
      <c r="K801">
        <v>1</v>
      </c>
      <c r="L801">
        <v>160</v>
      </c>
      <c r="M801">
        <v>0.15</v>
      </c>
      <c r="N801">
        <v>160</v>
      </c>
      <c r="O801">
        <v>136</v>
      </c>
      <c r="P801" t="s">
        <v>2267</v>
      </c>
      <c r="Q801" t="s">
        <v>2272</v>
      </c>
      <c r="R801" t="s">
        <v>2275</v>
      </c>
      <c r="S801" t="s">
        <v>2282</v>
      </c>
      <c r="T801" t="s">
        <v>2288</v>
      </c>
      <c r="U801">
        <v>2</v>
      </c>
      <c r="V801">
        <v>332</v>
      </c>
      <c r="X801">
        <v>73.42</v>
      </c>
      <c r="Y801">
        <v>62.58</v>
      </c>
      <c r="Z801" t="s">
        <v>2294</v>
      </c>
      <c r="AA801" t="s">
        <v>2299</v>
      </c>
      <c r="AB801">
        <v>160</v>
      </c>
      <c r="AC801">
        <v>24</v>
      </c>
      <c r="AD801">
        <v>136</v>
      </c>
      <c r="AE801">
        <v>73.42</v>
      </c>
      <c r="AF801">
        <v>62.58</v>
      </c>
      <c r="AG801">
        <v>2024</v>
      </c>
      <c r="AH801">
        <v>2</v>
      </c>
      <c r="AI801" t="s">
        <v>2303</v>
      </c>
      <c r="AJ801" t="s">
        <v>2315</v>
      </c>
    </row>
    <row r="802" spans="1:36" x14ac:dyDescent="0.3">
      <c r="A802" t="s">
        <v>836</v>
      </c>
      <c r="B802" s="2">
        <v>45636</v>
      </c>
      <c r="C802" t="s">
        <v>1735</v>
      </c>
      <c r="D802" t="s">
        <v>1828</v>
      </c>
      <c r="E802" t="s">
        <v>2217</v>
      </c>
      <c r="F802" t="s">
        <v>2239</v>
      </c>
      <c r="G802" t="s">
        <v>2251</v>
      </c>
      <c r="H802" t="s">
        <v>2258</v>
      </c>
      <c r="I802" t="s">
        <v>2260</v>
      </c>
      <c r="J802" t="s">
        <v>2264</v>
      </c>
      <c r="K802">
        <v>1</v>
      </c>
      <c r="L802">
        <v>95</v>
      </c>
      <c r="M802">
        <v>0.1</v>
      </c>
      <c r="N802">
        <v>95</v>
      </c>
      <c r="O802">
        <v>85.5</v>
      </c>
      <c r="P802" t="s">
        <v>2267</v>
      </c>
      <c r="R802" t="s">
        <v>2275</v>
      </c>
      <c r="S802" t="s">
        <v>2284</v>
      </c>
      <c r="T802" t="s">
        <v>2288</v>
      </c>
      <c r="U802">
        <v>5</v>
      </c>
      <c r="V802">
        <v>197</v>
      </c>
      <c r="X802">
        <v>46.3</v>
      </c>
      <c r="Y802">
        <v>39.200000000000003</v>
      </c>
      <c r="Z802" t="s">
        <v>2293</v>
      </c>
      <c r="AA802" t="s">
        <v>2297</v>
      </c>
      <c r="AB802">
        <v>95</v>
      </c>
      <c r="AC802">
        <v>9.5</v>
      </c>
      <c r="AD802">
        <v>85.5</v>
      </c>
      <c r="AE802">
        <v>46.3</v>
      </c>
      <c r="AF802">
        <v>39.200000000000003</v>
      </c>
      <c r="AG802">
        <v>2024</v>
      </c>
      <c r="AH802">
        <v>12</v>
      </c>
      <c r="AI802" t="s">
        <v>2309</v>
      </c>
      <c r="AJ802" t="s">
        <v>2313</v>
      </c>
    </row>
    <row r="803" spans="1:36" x14ac:dyDescent="0.3">
      <c r="A803" t="s">
        <v>837</v>
      </c>
      <c r="B803" s="2">
        <v>45581</v>
      </c>
      <c r="C803" t="s">
        <v>1661</v>
      </c>
      <c r="D803" t="s">
        <v>1937</v>
      </c>
      <c r="E803" t="s">
        <v>1761</v>
      </c>
      <c r="F803" t="s">
        <v>1761</v>
      </c>
      <c r="G803" t="s">
        <v>2241</v>
      </c>
      <c r="H803" t="s">
        <v>2257</v>
      </c>
      <c r="I803" t="s">
        <v>2262</v>
      </c>
      <c r="J803" t="s">
        <v>2265</v>
      </c>
      <c r="K803">
        <v>3</v>
      </c>
      <c r="L803">
        <v>130</v>
      </c>
      <c r="M803">
        <v>0</v>
      </c>
      <c r="N803">
        <v>390</v>
      </c>
      <c r="O803">
        <v>390</v>
      </c>
      <c r="P803" t="s">
        <v>2267</v>
      </c>
      <c r="Q803" t="s">
        <v>2272</v>
      </c>
      <c r="R803" t="s">
        <v>2275</v>
      </c>
      <c r="S803" t="s">
        <v>2286</v>
      </c>
      <c r="T803" t="s">
        <v>2288</v>
      </c>
      <c r="U803">
        <v>5</v>
      </c>
      <c r="V803">
        <v>322</v>
      </c>
      <c r="W803">
        <v>22</v>
      </c>
      <c r="X803">
        <v>77.09</v>
      </c>
      <c r="Y803">
        <v>158.72999999999999</v>
      </c>
      <c r="Z803" t="s">
        <v>2293</v>
      </c>
      <c r="AA803" t="s">
        <v>1761</v>
      </c>
      <c r="AB803">
        <v>390</v>
      </c>
      <c r="AC803">
        <v>0</v>
      </c>
      <c r="AD803">
        <v>390</v>
      </c>
      <c r="AE803">
        <v>231.27</v>
      </c>
      <c r="AF803">
        <v>158.72999999999999</v>
      </c>
      <c r="AG803">
        <v>2024</v>
      </c>
      <c r="AH803">
        <v>10</v>
      </c>
      <c r="AI803" t="s">
        <v>2310</v>
      </c>
      <c r="AJ803" t="s">
        <v>2312</v>
      </c>
    </row>
    <row r="804" spans="1:36" x14ac:dyDescent="0.3">
      <c r="A804" t="s">
        <v>838</v>
      </c>
      <c r="B804" s="2">
        <v>45293</v>
      </c>
      <c r="C804" t="s">
        <v>1696</v>
      </c>
      <c r="D804" t="s">
        <v>1864</v>
      </c>
      <c r="E804" t="s">
        <v>2162</v>
      </c>
      <c r="F804" t="s">
        <v>1761</v>
      </c>
      <c r="G804" t="s">
        <v>2242</v>
      </c>
      <c r="H804" t="s">
        <v>2258</v>
      </c>
      <c r="I804" t="s">
        <v>2260</v>
      </c>
      <c r="J804" t="s">
        <v>2266</v>
      </c>
      <c r="K804">
        <v>1</v>
      </c>
      <c r="L804">
        <v>130</v>
      </c>
      <c r="M804">
        <v>0</v>
      </c>
      <c r="N804">
        <v>130</v>
      </c>
      <c r="O804">
        <v>130</v>
      </c>
      <c r="P804" t="s">
        <v>2267</v>
      </c>
      <c r="Q804" t="s">
        <v>2270</v>
      </c>
      <c r="R804" t="s">
        <v>2276</v>
      </c>
      <c r="S804" t="s">
        <v>2280</v>
      </c>
      <c r="T804" t="s">
        <v>2288</v>
      </c>
      <c r="X804">
        <v>57.1</v>
      </c>
      <c r="Y804">
        <v>72.900000000000006</v>
      </c>
      <c r="Z804" t="s">
        <v>2293</v>
      </c>
      <c r="AA804" t="s">
        <v>2296</v>
      </c>
      <c r="AB804">
        <v>130</v>
      </c>
      <c r="AC804">
        <v>0</v>
      </c>
      <c r="AD804">
        <v>130</v>
      </c>
      <c r="AE804">
        <v>57.1</v>
      </c>
      <c r="AF804">
        <v>72.900000000000006</v>
      </c>
      <c r="AG804">
        <v>2024</v>
      </c>
      <c r="AH804">
        <v>1</v>
      </c>
      <c r="AI804" t="s">
        <v>2302</v>
      </c>
      <c r="AJ804" t="s">
        <v>2313</v>
      </c>
    </row>
    <row r="805" spans="1:36" x14ac:dyDescent="0.3">
      <c r="A805" t="s">
        <v>839</v>
      </c>
      <c r="B805" s="2">
        <v>45333</v>
      </c>
      <c r="C805" t="s">
        <v>1692</v>
      </c>
      <c r="D805" t="s">
        <v>1805</v>
      </c>
      <c r="E805" t="s">
        <v>2218</v>
      </c>
      <c r="F805" t="s">
        <v>2239</v>
      </c>
      <c r="G805" t="s">
        <v>2250</v>
      </c>
      <c r="H805" t="s">
        <v>2259</v>
      </c>
      <c r="I805" t="s">
        <v>2262</v>
      </c>
      <c r="J805" t="s">
        <v>2266</v>
      </c>
      <c r="K805">
        <v>1</v>
      </c>
      <c r="L805">
        <v>85</v>
      </c>
      <c r="M805">
        <v>0</v>
      </c>
      <c r="N805">
        <v>85</v>
      </c>
      <c r="O805">
        <v>85</v>
      </c>
      <c r="R805" t="s">
        <v>2273</v>
      </c>
      <c r="S805" t="s">
        <v>2284</v>
      </c>
      <c r="T805" t="s">
        <v>2288</v>
      </c>
      <c r="U805">
        <v>5</v>
      </c>
      <c r="V805">
        <v>471</v>
      </c>
      <c r="X805">
        <v>36.229999999999997</v>
      </c>
      <c r="Y805">
        <v>48.77</v>
      </c>
      <c r="Z805" t="s">
        <v>2294</v>
      </c>
      <c r="AA805" t="s">
        <v>2296</v>
      </c>
      <c r="AB805">
        <v>85</v>
      </c>
      <c r="AC805">
        <v>0</v>
      </c>
      <c r="AD805">
        <v>85</v>
      </c>
      <c r="AE805">
        <v>36.229999999999997</v>
      </c>
      <c r="AF805">
        <v>48.77</v>
      </c>
      <c r="AG805">
        <v>2024</v>
      </c>
      <c r="AH805">
        <v>2</v>
      </c>
      <c r="AI805" t="s">
        <v>2303</v>
      </c>
      <c r="AJ805" t="s">
        <v>2318</v>
      </c>
    </row>
    <row r="806" spans="1:36" x14ac:dyDescent="0.3">
      <c r="A806" t="s">
        <v>840</v>
      </c>
      <c r="B806" s="2">
        <v>45358</v>
      </c>
      <c r="C806" t="s">
        <v>1716</v>
      </c>
      <c r="D806" t="s">
        <v>1747</v>
      </c>
      <c r="E806" t="s">
        <v>2153</v>
      </c>
      <c r="F806" t="s">
        <v>2239</v>
      </c>
      <c r="G806" t="s">
        <v>2250</v>
      </c>
      <c r="H806" t="s">
        <v>2259</v>
      </c>
      <c r="I806" t="s">
        <v>2262</v>
      </c>
      <c r="J806" t="s">
        <v>2266</v>
      </c>
      <c r="K806">
        <v>4</v>
      </c>
      <c r="L806">
        <v>75</v>
      </c>
      <c r="M806">
        <v>0.05</v>
      </c>
      <c r="N806">
        <v>300</v>
      </c>
      <c r="O806">
        <v>285</v>
      </c>
      <c r="P806" t="s">
        <v>2268</v>
      </c>
      <c r="Q806" t="s">
        <v>2270</v>
      </c>
      <c r="R806" t="s">
        <v>2273</v>
      </c>
      <c r="S806" t="s">
        <v>2287</v>
      </c>
      <c r="T806" t="s">
        <v>2290</v>
      </c>
      <c r="U806">
        <v>5</v>
      </c>
      <c r="V806">
        <v>350</v>
      </c>
      <c r="X806">
        <v>43.82</v>
      </c>
      <c r="Y806">
        <v>109.72</v>
      </c>
      <c r="Z806" t="s">
        <v>1761</v>
      </c>
      <c r="AA806" t="s">
        <v>2296</v>
      </c>
      <c r="AB806">
        <v>300</v>
      </c>
      <c r="AC806">
        <v>15</v>
      </c>
      <c r="AD806">
        <v>285</v>
      </c>
      <c r="AE806">
        <v>175.28</v>
      </c>
      <c r="AF806">
        <v>109.72</v>
      </c>
      <c r="AG806">
        <v>2024</v>
      </c>
      <c r="AH806">
        <v>3</v>
      </c>
      <c r="AI806" t="s">
        <v>2305</v>
      </c>
      <c r="AJ806" t="s">
        <v>2316</v>
      </c>
    </row>
    <row r="807" spans="1:36" x14ac:dyDescent="0.3">
      <c r="A807" t="s">
        <v>841</v>
      </c>
      <c r="B807" s="2">
        <v>45473</v>
      </c>
      <c r="C807" t="s">
        <v>1692</v>
      </c>
      <c r="D807" t="s">
        <v>1773</v>
      </c>
      <c r="E807" t="s">
        <v>2211</v>
      </c>
      <c r="F807" t="s">
        <v>2238</v>
      </c>
      <c r="G807" t="s">
        <v>2244</v>
      </c>
      <c r="H807" t="s">
        <v>2257</v>
      </c>
      <c r="I807" t="s">
        <v>2262</v>
      </c>
      <c r="J807" t="s">
        <v>2265</v>
      </c>
      <c r="K807">
        <v>3</v>
      </c>
      <c r="L807">
        <v>120</v>
      </c>
      <c r="M807">
        <v>0.15</v>
      </c>
      <c r="N807">
        <v>360</v>
      </c>
      <c r="O807">
        <v>306</v>
      </c>
      <c r="P807" t="s">
        <v>2267</v>
      </c>
      <c r="Q807" t="s">
        <v>2270</v>
      </c>
      <c r="R807" t="s">
        <v>2276</v>
      </c>
      <c r="S807" t="s">
        <v>2280</v>
      </c>
      <c r="T807" t="s">
        <v>2288</v>
      </c>
      <c r="U807">
        <v>2</v>
      </c>
      <c r="V807">
        <v>454</v>
      </c>
      <c r="W807">
        <v>33</v>
      </c>
      <c r="X807">
        <v>53.73</v>
      </c>
      <c r="Y807">
        <v>144.81</v>
      </c>
      <c r="Z807" t="s">
        <v>2294</v>
      </c>
      <c r="AA807" t="s">
        <v>2296</v>
      </c>
      <c r="AB807">
        <v>360</v>
      </c>
      <c r="AC807">
        <v>54</v>
      </c>
      <c r="AD807">
        <v>306</v>
      </c>
      <c r="AE807">
        <v>161.19</v>
      </c>
      <c r="AF807">
        <v>144.81</v>
      </c>
      <c r="AG807">
        <v>2024</v>
      </c>
      <c r="AH807">
        <v>6</v>
      </c>
      <c r="AI807" t="s">
        <v>2304</v>
      </c>
      <c r="AJ807" t="s">
        <v>2318</v>
      </c>
    </row>
    <row r="808" spans="1:36" x14ac:dyDescent="0.3">
      <c r="A808" t="s">
        <v>842</v>
      </c>
      <c r="B808" s="2">
        <v>45401</v>
      </c>
      <c r="C808" t="s">
        <v>1665</v>
      </c>
      <c r="D808" t="s">
        <v>1936</v>
      </c>
      <c r="E808" t="s">
        <v>2156</v>
      </c>
      <c r="F808" t="s">
        <v>2239</v>
      </c>
      <c r="G808" t="s">
        <v>2242</v>
      </c>
      <c r="H808" t="s">
        <v>2258</v>
      </c>
      <c r="I808" t="s">
        <v>2260</v>
      </c>
      <c r="J808" t="s">
        <v>2266</v>
      </c>
      <c r="K808">
        <v>1</v>
      </c>
      <c r="L808">
        <v>120</v>
      </c>
      <c r="M808">
        <v>0</v>
      </c>
      <c r="N808">
        <v>120</v>
      </c>
      <c r="O808">
        <v>120</v>
      </c>
      <c r="P808" t="s">
        <v>2268</v>
      </c>
      <c r="Q808" t="s">
        <v>2272</v>
      </c>
      <c r="R808" t="s">
        <v>2273</v>
      </c>
      <c r="S808" t="s">
        <v>2281</v>
      </c>
      <c r="T808" t="s">
        <v>2289</v>
      </c>
      <c r="U808">
        <v>2</v>
      </c>
      <c r="V808">
        <v>476</v>
      </c>
      <c r="X808">
        <v>51.22</v>
      </c>
      <c r="Y808">
        <v>68.78</v>
      </c>
      <c r="Z808" t="s">
        <v>2292</v>
      </c>
      <c r="AA808" t="s">
        <v>2297</v>
      </c>
      <c r="AB808">
        <v>120</v>
      </c>
      <c r="AC808">
        <v>0</v>
      </c>
      <c r="AD808">
        <v>120</v>
      </c>
      <c r="AE808">
        <v>51.22</v>
      </c>
      <c r="AF808">
        <v>68.78</v>
      </c>
      <c r="AG808">
        <v>2024</v>
      </c>
      <c r="AH808">
        <v>4</v>
      </c>
      <c r="AI808" t="s">
        <v>2308</v>
      </c>
      <c r="AJ808" t="s">
        <v>2315</v>
      </c>
    </row>
    <row r="809" spans="1:36" x14ac:dyDescent="0.3">
      <c r="A809" t="s">
        <v>843</v>
      </c>
      <c r="B809" s="2">
        <v>45613</v>
      </c>
      <c r="C809" t="s">
        <v>1726</v>
      </c>
      <c r="D809" t="s">
        <v>1934</v>
      </c>
      <c r="E809" t="s">
        <v>2022</v>
      </c>
      <c r="F809" t="s">
        <v>2240</v>
      </c>
      <c r="G809" t="s">
        <v>2248</v>
      </c>
      <c r="H809" t="s">
        <v>2257</v>
      </c>
      <c r="I809" t="s">
        <v>2262</v>
      </c>
      <c r="J809" t="s">
        <v>2265</v>
      </c>
      <c r="K809">
        <v>2</v>
      </c>
      <c r="L809">
        <v>150</v>
      </c>
      <c r="M809">
        <v>0.1</v>
      </c>
      <c r="N809">
        <v>300</v>
      </c>
      <c r="O809">
        <v>270</v>
      </c>
      <c r="P809" t="s">
        <v>2269</v>
      </c>
      <c r="Q809" t="s">
        <v>2272</v>
      </c>
      <c r="R809" t="s">
        <v>2274</v>
      </c>
      <c r="S809" t="s">
        <v>2284</v>
      </c>
      <c r="T809" t="s">
        <v>2288</v>
      </c>
      <c r="U809">
        <v>3</v>
      </c>
      <c r="W809">
        <v>15</v>
      </c>
      <c r="X809">
        <v>52.6</v>
      </c>
      <c r="Y809">
        <v>164.8</v>
      </c>
      <c r="Z809" t="s">
        <v>2293</v>
      </c>
      <c r="AA809" t="s">
        <v>2299</v>
      </c>
      <c r="AB809">
        <v>300</v>
      </c>
      <c r="AC809">
        <v>30</v>
      </c>
      <c r="AD809">
        <v>270</v>
      </c>
      <c r="AE809">
        <v>105.2</v>
      </c>
      <c r="AF809">
        <v>164.8</v>
      </c>
      <c r="AG809">
        <v>2024</v>
      </c>
      <c r="AH809">
        <v>11</v>
      </c>
      <c r="AI809" t="s">
        <v>2311</v>
      </c>
      <c r="AJ809" t="s">
        <v>2318</v>
      </c>
    </row>
    <row r="810" spans="1:36" x14ac:dyDescent="0.3">
      <c r="A810" t="s">
        <v>844</v>
      </c>
      <c r="B810" s="2">
        <v>45304</v>
      </c>
      <c r="C810" t="s">
        <v>1685</v>
      </c>
      <c r="D810" t="s">
        <v>1799</v>
      </c>
      <c r="E810" t="s">
        <v>2177</v>
      </c>
      <c r="F810" t="s">
        <v>2240</v>
      </c>
      <c r="G810" t="s">
        <v>2251</v>
      </c>
      <c r="H810" t="s">
        <v>2258</v>
      </c>
      <c r="I810" t="s">
        <v>2260</v>
      </c>
      <c r="J810" t="s">
        <v>2266</v>
      </c>
      <c r="K810">
        <v>5</v>
      </c>
      <c r="L810">
        <v>105</v>
      </c>
      <c r="M810">
        <v>0</v>
      </c>
      <c r="N810">
        <v>525</v>
      </c>
      <c r="O810">
        <v>525</v>
      </c>
      <c r="P810" t="s">
        <v>2268</v>
      </c>
      <c r="R810" t="s">
        <v>2278</v>
      </c>
      <c r="S810" t="s">
        <v>2280</v>
      </c>
      <c r="T810" t="s">
        <v>2290</v>
      </c>
      <c r="U810">
        <v>5</v>
      </c>
      <c r="V810">
        <v>98</v>
      </c>
      <c r="W810">
        <v>18</v>
      </c>
      <c r="X810">
        <v>46.09</v>
      </c>
      <c r="Y810">
        <v>294.55</v>
      </c>
      <c r="Z810" t="s">
        <v>2292</v>
      </c>
      <c r="AA810" t="s">
        <v>2299</v>
      </c>
      <c r="AB810">
        <v>525</v>
      </c>
      <c r="AC810">
        <v>0</v>
      </c>
      <c r="AD810">
        <v>525</v>
      </c>
      <c r="AE810">
        <v>230.45</v>
      </c>
      <c r="AF810">
        <v>294.55</v>
      </c>
      <c r="AG810">
        <v>2024</v>
      </c>
      <c r="AH810">
        <v>1</v>
      </c>
      <c r="AI810" t="s">
        <v>2302</v>
      </c>
      <c r="AJ810" t="s">
        <v>2317</v>
      </c>
    </row>
    <row r="811" spans="1:36" x14ac:dyDescent="0.3">
      <c r="A811" t="s">
        <v>845</v>
      </c>
      <c r="B811" s="2">
        <v>45541</v>
      </c>
      <c r="C811" t="s">
        <v>1661</v>
      </c>
      <c r="D811" t="s">
        <v>1764</v>
      </c>
      <c r="E811" t="s">
        <v>1957</v>
      </c>
      <c r="F811" t="s">
        <v>2238</v>
      </c>
      <c r="G811" t="s">
        <v>2241</v>
      </c>
      <c r="H811" t="s">
        <v>2257</v>
      </c>
      <c r="I811" t="s">
        <v>2262</v>
      </c>
      <c r="J811" t="s">
        <v>2264</v>
      </c>
      <c r="K811">
        <v>2</v>
      </c>
      <c r="L811">
        <v>140</v>
      </c>
      <c r="M811">
        <v>0.1</v>
      </c>
      <c r="N811">
        <v>280</v>
      </c>
      <c r="O811">
        <v>252</v>
      </c>
      <c r="P811" t="s">
        <v>2268</v>
      </c>
      <c r="R811" t="s">
        <v>2279</v>
      </c>
      <c r="S811" t="s">
        <v>2282</v>
      </c>
      <c r="T811" t="s">
        <v>2288</v>
      </c>
      <c r="U811">
        <v>3</v>
      </c>
      <c r="V811">
        <v>471</v>
      </c>
      <c r="W811">
        <v>57</v>
      </c>
      <c r="X811">
        <v>65.349999999999994</v>
      </c>
      <c r="Y811">
        <v>121.3</v>
      </c>
      <c r="Z811" t="s">
        <v>2291</v>
      </c>
      <c r="AA811" t="s">
        <v>2296</v>
      </c>
      <c r="AB811">
        <v>280</v>
      </c>
      <c r="AC811">
        <v>28</v>
      </c>
      <c r="AD811">
        <v>252</v>
      </c>
      <c r="AE811">
        <v>130.69999999999999</v>
      </c>
      <c r="AF811">
        <v>121.3</v>
      </c>
      <c r="AG811">
        <v>2024</v>
      </c>
      <c r="AH811">
        <v>9</v>
      </c>
      <c r="AI811" t="s">
        <v>2300</v>
      </c>
      <c r="AJ811" t="s">
        <v>2315</v>
      </c>
    </row>
    <row r="812" spans="1:36" x14ac:dyDescent="0.3">
      <c r="A812" t="s">
        <v>846</v>
      </c>
      <c r="B812" s="2">
        <v>45568</v>
      </c>
      <c r="C812" t="s">
        <v>1728</v>
      </c>
      <c r="D812" t="s">
        <v>1868</v>
      </c>
      <c r="E812" t="s">
        <v>1977</v>
      </c>
      <c r="F812" t="s">
        <v>2239</v>
      </c>
      <c r="G812" t="s">
        <v>2242</v>
      </c>
      <c r="H812" t="s">
        <v>2258</v>
      </c>
      <c r="I812" t="s">
        <v>2260</v>
      </c>
      <c r="K812">
        <v>1</v>
      </c>
      <c r="L812">
        <v>115</v>
      </c>
      <c r="M812">
        <v>0.05</v>
      </c>
      <c r="N812">
        <v>115</v>
      </c>
      <c r="O812">
        <v>109.25</v>
      </c>
      <c r="P812" t="s">
        <v>2267</v>
      </c>
      <c r="Q812" t="s">
        <v>2270</v>
      </c>
      <c r="R812" t="s">
        <v>2273</v>
      </c>
      <c r="S812" t="s">
        <v>2285</v>
      </c>
      <c r="T812" t="s">
        <v>2288</v>
      </c>
      <c r="U812">
        <v>4</v>
      </c>
      <c r="V812">
        <v>125</v>
      </c>
      <c r="W812">
        <v>44</v>
      </c>
      <c r="X812">
        <v>61.24</v>
      </c>
      <c r="Y812">
        <v>48.01</v>
      </c>
      <c r="Z812" t="s">
        <v>2293</v>
      </c>
      <c r="AA812" t="s">
        <v>2296</v>
      </c>
      <c r="AB812">
        <v>115</v>
      </c>
      <c r="AC812">
        <v>5.75</v>
      </c>
      <c r="AD812">
        <v>109.25</v>
      </c>
      <c r="AE812">
        <v>61.24</v>
      </c>
      <c r="AF812">
        <v>48.01</v>
      </c>
      <c r="AG812">
        <v>2024</v>
      </c>
      <c r="AH812">
        <v>10</v>
      </c>
      <c r="AI812" t="s">
        <v>2310</v>
      </c>
      <c r="AJ812" t="s">
        <v>2316</v>
      </c>
    </row>
    <row r="813" spans="1:36" x14ac:dyDescent="0.3">
      <c r="A813" t="s">
        <v>847</v>
      </c>
      <c r="B813" s="2">
        <v>45550</v>
      </c>
      <c r="C813" t="s">
        <v>1662</v>
      </c>
      <c r="D813" t="s">
        <v>1932</v>
      </c>
      <c r="E813" t="s">
        <v>2063</v>
      </c>
      <c r="F813" t="s">
        <v>2238</v>
      </c>
      <c r="G813" t="s">
        <v>2249</v>
      </c>
      <c r="H813" t="s">
        <v>2257</v>
      </c>
      <c r="I813" t="s">
        <v>2263</v>
      </c>
      <c r="J813" t="s">
        <v>2264</v>
      </c>
      <c r="L813">
        <v>160</v>
      </c>
      <c r="M813">
        <v>0.15</v>
      </c>
      <c r="N813">
        <v>480</v>
      </c>
      <c r="O813">
        <v>408</v>
      </c>
      <c r="P813" t="s">
        <v>2267</v>
      </c>
      <c r="Q813" t="s">
        <v>2272</v>
      </c>
      <c r="R813" t="s">
        <v>2277</v>
      </c>
      <c r="S813" t="s">
        <v>2285</v>
      </c>
      <c r="T813" t="s">
        <v>2288</v>
      </c>
      <c r="V813">
        <v>339</v>
      </c>
      <c r="X813">
        <v>76.02</v>
      </c>
      <c r="Y813">
        <v>179.94</v>
      </c>
      <c r="Z813" t="s">
        <v>2293</v>
      </c>
      <c r="AA813" t="s">
        <v>2299</v>
      </c>
      <c r="AG813">
        <v>2024</v>
      </c>
      <c r="AH813">
        <v>9</v>
      </c>
      <c r="AI813" t="s">
        <v>2300</v>
      </c>
      <c r="AJ813" t="s">
        <v>2318</v>
      </c>
    </row>
    <row r="814" spans="1:36" x14ac:dyDescent="0.3">
      <c r="A814" t="s">
        <v>848</v>
      </c>
      <c r="B814" s="2">
        <v>45561</v>
      </c>
      <c r="C814" t="s">
        <v>1673</v>
      </c>
      <c r="D814" t="s">
        <v>1778</v>
      </c>
      <c r="E814" t="s">
        <v>1761</v>
      </c>
      <c r="F814" t="s">
        <v>2239</v>
      </c>
      <c r="G814" t="s">
        <v>2245</v>
      </c>
      <c r="H814" t="s">
        <v>2257</v>
      </c>
      <c r="I814" t="s">
        <v>2263</v>
      </c>
      <c r="J814" t="s">
        <v>2264</v>
      </c>
      <c r="K814">
        <v>1</v>
      </c>
      <c r="L814">
        <v>150</v>
      </c>
      <c r="M814">
        <v>0.1</v>
      </c>
      <c r="N814">
        <v>150</v>
      </c>
      <c r="O814">
        <v>135</v>
      </c>
      <c r="P814" t="s">
        <v>2267</v>
      </c>
      <c r="Q814" t="s">
        <v>2272</v>
      </c>
      <c r="R814" t="s">
        <v>2274</v>
      </c>
      <c r="S814" t="s">
        <v>2280</v>
      </c>
      <c r="T814" t="s">
        <v>2288</v>
      </c>
      <c r="U814">
        <v>5</v>
      </c>
      <c r="V814">
        <v>399</v>
      </c>
      <c r="X814">
        <v>53.19</v>
      </c>
      <c r="Y814">
        <v>81.81</v>
      </c>
      <c r="Z814" t="s">
        <v>1761</v>
      </c>
      <c r="AA814" t="s">
        <v>2299</v>
      </c>
      <c r="AB814">
        <v>150</v>
      </c>
      <c r="AC814">
        <v>15</v>
      </c>
      <c r="AD814">
        <v>135</v>
      </c>
      <c r="AE814">
        <v>53.19</v>
      </c>
      <c r="AF814">
        <v>81.81</v>
      </c>
      <c r="AG814">
        <v>2024</v>
      </c>
      <c r="AH814">
        <v>9</v>
      </c>
      <c r="AI814" t="s">
        <v>2300</v>
      </c>
      <c r="AJ814" t="s">
        <v>2316</v>
      </c>
    </row>
    <row r="815" spans="1:36" x14ac:dyDescent="0.3">
      <c r="A815" t="s">
        <v>849</v>
      </c>
      <c r="B815" s="2">
        <v>45472</v>
      </c>
      <c r="C815" t="s">
        <v>1699</v>
      </c>
      <c r="D815" t="s">
        <v>1881</v>
      </c>
      <c r="E815" t="s">
        <v>2081</v>
      </c>
      <c r="F815" t="s">
        <v>2238</v>
      </c>
      <c r="G815" t="s">
        <v>2253</v>
      </c>
      <c r="H815" t="s">
        <v>2258</v>
      </c>
      <c r="I815" t="s">
        <v>2260</v>
      </c>
      <c r="J815" t="s">
        <v>2266</v>
      </c>
      <c r="K815">
        <v>1</v>
      </c>
      <c r="L815">
        <v>90</v>
      </c>
      <c r="M815">
        <v>0.1</v>
      </c>
      <c r="N815">
        <v>90</v>
      </c>
      <c r="O815">
        <v>81</v>
      </c>
      <c r="P815" t="s">
        <v>2267</v>
      </c>
      <c r="Q815" t="s">
        <v>2270</v>
      </c>
      <c r="R815" t="s">
        <v>2276</v>
      </c>
      <c r="S815" t="s">
        <v>2283</v>
      </c>
      <c r="T815" t="s">
        <v>2288</v>
      </c>
      <c r="U815">
        <v>5</v>
      </c>
      <c r="V815">
        <v>322</v>
      </c>
      <c r="W815">
        <v>51</v>
      </c>
      <c r="X815">
        <v>42</v>
      </c>
      <c r="Y815">
        <v>39</v>
      </c>
      <c r="Z815" t="s">
        <v>2293</v>
      </c>
      <c r="AA815" t="s">
        <v>1761</v>
      </c>
      <c r="AB815">
        <v>90</v>
      </c>
      <c r="AC815">
        <v>9</v>
      </c>
      <c r="AD815">
        <v>81</v>
      </c>
      <c r="AE815">
        <v>42</v>
      </c>
      <c r="AF815">
        <v>39</v>
      </c>
      <c r="AG815">
        <v>2024</v>
      </c>
      <c r="AH815">
        <v>6</v>
      </c>
      <c r="AI815" t="s">
        <v>2304</v>
      </c>
      <c r="AJ815" t="s">
        <v>2317</v>
      </c>
    </row>
    <row r="816" spans="1:36" x14ac:dyDescent="0.3">
      <c r="A816" t="s">
        <v>850</v>
      </c>
      <c r="B816" s="2">
        <v>45647</v>
      </c>
      <c r="C816" t="s">
        <v>1669</v>
      </c>
      <c r="D816" t="s">
        <v>1938</v>
      </c>
      <c r="E816" t="s">
        <v>1994</v>
      </c>
      <c r="F816" t="s">
        <v>2239</v>
      </c>
      <c r="G816" t="s">
        <v>2248</v>
      </c>
      <c r="H816" t="s">
        <v>2257</v>
      </c>
      <c r="I816" t="s">
        <v>2262</v>
      </c>
      <c r="J816" t="s">
        <v>2266</v>
      </c>
      <c r="K816">
        <v>1</v>
      </c>
      <c r="L816">
        <v>155</v>
      </c>
      <c r="M816">
        <v>0.1</v>
      </c>
      <c r="N816">
        <v>155</v>
      </c>
      <c r="O816">
        <v>139.5</v>
      </c>
      <c r="P816" t="s">
        <v>2269</v>
      </c>
      <c r="Q816" t="s">
        <v>2270</v>
      </c>
      <c r="R816" t="s">
        <v>2279</v>
      </c>
      <c r="S816" t="s">
        <v>2282</v>
      </c>
      <c r="T816" t="s">
        <v>2288</v>
      </c>
      <c r="U816">
        <v>3</v>
      </c>
      <c r="V816">
        <v>35</v>
      </c>
      <c r="W816">
        <v>10</v>
      </c>
      <c r="X816">
        <v>51.1</v>
      </c>
      <c r="Y816">
        <v>88.4</v>
      </c>
      <c r="Z816" t="s">
        <v>1761</v>
      </c>
      <c r="AA816" t="s">
        <v>2298</v>
      </c>
      <c r="AB816">
        <v>155</v>
      </c>
      <c r="AC816">
        <v>15.5</v>
      </c>
      <c r="AD816">
        <v>139.5</v>
      </c>
      <c r="AE816">
        <v>51.1</v>
      </c>
      <c r="AF816">
        <v>88.4</v>
      </c>
      <c r="AG816">
        <v>2024</v>
      </c>
      <c r="AH816">
        <v>12</v>
      </c>
      <c r="AI816" t="s">
        <v>2309</v>
      </c>
      <c r="AJ816" t="s">
        <v>2317</v>
      </c>
    </row>
    <row r="817" spans="1:36" x14ac:dyDescent="0.3">
      <c r="A817" t="s">
        <v>851</v>
      </c>
      <c r="B817" s="2">
        <v>45643</v>
      </c>
      <c r="C817" t="s">
        <v>1739</v>
      </c>
      <c r="D817" t="s">
        <v>1836</v>
      </c>
      <c r="E817" t="s">
        <v>1958</v>
      </c>
      <c r="F817" t="s">
        <v>1761</v>
      </c>
      <c r="G817" t="s">
        <v>2254</v>
      </c>
      <c r="H817" t="s">
        <v>2259</v>
      </c>
      <c r="I817" t="s">
        <v>2263</v>
      </c>
      <c r="K817">
        <v>2</v>
      </c>
      <c r="L817">
        <v>120</v>
      </c>
      <c r="M817">
        <v>0</v>
      </c>
      <c r="N817">
        <v>240</v>
      </c>
      <c r="O817">
        <v>240</v>
      </c>
      <c r="P817" t="s">
        <v>2269</v>
      </c>
      <c r="Q817" t="s">
        <v>2272</v>
      </c>
      <c r="R817" t="s">
        <v>2274</v>
      </c>
      <c r="S817" t="s">
        <v>2286</v>
      </c>
      <c r="T817" t="s">
        <v>2288</v>
      </c>
      <c r="U817">
        <v>3</v>
      </c>
      <c r="V817">
        <v>197</v>
      </c>
      <c r="W817">
        <v>56</v>
      </c>
      <c r="X817">
        <v>53.06</v>
      </c>
      <c r="Y817">
        <v>133.88</v>
      </c>
      <c r="AA817" t="s">
        <v>2296</v>
      </c>
      <c r="AB817">
        <v>240</v>
      </c>
      <c r="AC817">
        <v>0</v>
      </c>
      <c r="AD817">
        <v>240</v>
      </c>
      <c r="AE817">
        <v>106.12</v>
      </c>
      <c r="AF817">
        <v>133.88</v>
      </c>
      <c r="AG817">
        <v>2024</v>
      </c>
      <c r="AH817">
        <v>12</v>
      </c>
      <c r="AI817" t="s">
        <v>2309</v>
      </c>
      <c r="AJ817" t="s">
        <v>2313</v>
      </c>
    </row>
    <row r="818" spans="1:36" x14ac:dyDescent="0.3">
      <c r="A818" t="s">
        <v>852</v>
      </c>
      <c r="B818" s="2">
        <v>45421</v>
      </c>
      <c r="C818" t="s">
        <v>1734</v>
      </c>
      <c r="D818" t="s">
        <v>1780</v>
      </c>
      <c r="E818" t="s">
        <v>1761</v>
      </c>
      <c r="F818" t="s">
        <v>2239</v>
      </c>
      <c r="G818" t="s">
        <v>2243</v>
      </c>
      <c r="H818" t="s">
        <v>2258</v>
      </c>
      <c r="I818" t="s">
        <v>2260</v>
      </c>
      <c r="J818" t="s">
        <v>2266</v>
      </c>
      <c r="K818">
        <v>3</v>
      </c>
      <c r="L818">
        <v>80</v>
      </c>
      <c r="N818">
        <v>240</v>
      </c>
      <c r="P818" t="s">
        <v>2268</v>
      </c>
      <c r="Q818" t="s">
        <v>2271</v>
      </c>
      <c r="R818" t="s">
        <v>2277</v>
      </c>
      <c r="S818" t="s">
        <v>2286</v>
      </c>
      <c r="T818" t="s">
        <v>2290</v>
      </c>
      <c r="U818">
        <v>2</v>
      </c>
      <c r="V818">
        <v>414</v>
      </c>
      <c r="W818">
        <v>33</v>
      </c>
      <c r="X818">
        <v>41.29</v>
      </c>
      <c r="Z818" t="s">
        <v>2294</v>
      </c>
      <c r="AA818" t="s">
        <v>2298</v>
      </c>
      <c r="AB818">
        <v>240</v>
      </c>
      <c r="AC818">
        <v>0</v>
      </c>
      <c r="AD818">
        <v>240</v>
      </c>
      <c r="AE818">
        <v>123.87</v>
      </c>
      <c r="AF818">
        <v>116.13</v>
      </c>
      <c r="AG818">
        <v>2024</v>
      </c>
      <c r="AH818">
        <v>5</v>
      </c>
      <c r="AI818" t="s">
        <v>2306</v>
      </c>
      <c r="AJ818" t="s">
        <v>2316</v>
      </c>
    </row>
    <row r="819" spans="1:36" x14ac:dyDescent="0.3">
      <c r="A819" t="s">
        <v>853</v>
      </c>
      <c r="B819" s="2">
        <v>45620</v>
      </c>
      <c r="C819" t="s">
        <v>1666</v>
      </c>
      <c r="D819" t="s">
        <v>1876</v>
      </c>
      <c r="E819" t="s">
        <v>2020</v>
      </c>
      <c r="F819" t="s">
        <v>2240</v>
      </c>
      <c r="G819" t="s">
        <v>2252</v>
      </c>
      <c r="H819" t="s">
        <v>2257</v>
      </c>
      <c r="I819" t="s">
        <v>2262</v>
      </c>
      <c r="K819">
        <v>1</v>
      </c>
      <c r="L819">
        <v>85</v>
      </c>
      <c r="M819">
        <v>0.1</v>
      </c>
      <c r="N819">
        <v>85</v>
      </c>
      <c r="O819">
        <v>76.5</v>
      </c>
      <c r="P819" t="s">
        <v>2268</v>
      </c>
      <c r="Q819" t="s">
        <v>2270</v>
      </c>
      <c r="R819" t="s">
        <v>2279</v>
      </c>
      <c r="S819" t="s">
        <v>2280</v>
      </c>
      <c r="T819" t="s">
        <v>2288</v>
      </c>
      <c r="V819">
        <v>292</v>
      </c>
      <c r="W819">
        <v>18</v>
      </c>
      <c r="X819">
        <v>37.67</v>
      </c>
      <c r="Y819">
        <v>38.83</v>
      </c>
      <c r="Z819" t="s">
        <v>1761</v>
      </c>
      <c r="AA819" t="s">
        <v>2298</v>
      </c>
      <c r="AB819">
        <v>85</v>
      </c>
      <c r="AC819">
        <v>8.5</v>
      </c>
      <c r="AD819">
        <v>76.5</v>
      </c>
      <c r="AE819">
        <v>37.67</v>
      </c>
      <c r="AF819">
        <v>38.83</v>
      </c>
      <c r="AG819">
        <v>2024</v>
      </c>
      <c r="AH819">
        <v>11</v>
      </c>
      <c r="AI819" t="s">
        <v>2311</v>
      </c>
      <c r="AJ819" t="s">
        <v>2318</v>
      </c>
    </row>
    <row r="820" spans="1:36" x14ac:dyDescent="0.3">
      <c r="A820" t="s">
        <v>854</v>
      </c>
      <c r="B820" s="2">
        <v>45625</v>
      </c>
      <c r="C820" t="s">
        <v>1735</v>
      </c>
      <c r="D820" t="s">
        <v>1838</v>
      </c>
      <c r="E820" t="s">
        <v>2055</v>
      </c>
      <c r="F820" t="s">
        <v>2238</v>
      </c>
      <c r="G820" t="s">
        <v>2253</v>
      </c>
      <c r="H820" t="s">
        <v>2258</v>
      </c>
      <c r="I820" t="s">
        <v>2260</v>
      </c>
      <c r="J820" t="s">
        <v>2264</v>
      </c>
      <c r="K820">
        <v>1</v>
      </c>
      <c r="L820">
        <v>95</v>
      </c>
      <c r="M820">
        <v>0.05</v>
      </c>
      <c r="N820">
        <v>95</v>
      </c>
      <c r="O820">
        <v>90.25</v>
      </c>
      <c r="P820" t="s">
        <v>2267</v>
      </c>
      <c r="Q820" t="s">
        <v>2270</v>
      </c>
      <c r="R820" t="s">
        <v>2274</v>
      </c>
      <c r="S820" t="s">
        <v>2285</v>
      </c>
      <c r="T820" t="s">
        <v>2288</v>
      </c>
      <c r="U820">
        <v>5</v>
      </c>
      <c r="X820">
        <v>39.22</v>
      </c>
      <c r="Y820">
        <v>51.03</v>
      </c>
      <c r="Z820" t="s">
        <v>2293</v>
      </c>
      <c r="AA820" t="s">
        <v>2297</v>
      </c>
      <c r="AB820">
        <v>95</v>
      </c>
      <c r="AC820">
        <v>4.75</v>
      </c>
      <c r="AD820">
        <v>90.25</v>
      </c>
      <c r="AE820">
        <v>39.22</v>
      </c>
      <c r="AF820">
        <v>51.03</v>
      </c>
      <c r="AG820">
        <v>2024</v>
      </c>
      <c r="AH820">
        <v>11</v>
      </c>
      <c r="AI820" t="s">
        <v>2311</v>
      </c>
      <c r="AJ820" t="s">
        <v>2315</v>
      </c>
    </row>
    <row r="821" spans="1:36" x14ac:dyDescent="0.3">
      <c r="A821" t="s">
        <v>855</v>
      </c>
      <c r="B821" s="2">
        <v>45318</v>
      </c>
      <c r="C821" t="s">
        <v>1736</v>
      </c>
      <c r="D821" t="s">
        <v>1917</v>
      </c>
      <c r="E821" t="s">
        <v>2188</v>
      </c>
      <c r="F821" t="s">
        <v>1761</v>
      </c>
      <c r="G821" t="s">
        <v>2256</v>
      </c>
      <c r="H821" t="s">
        <v>2261</v>
      </c>
      <c r="I821" t="s">
        <v>2260</v>
      </c>
      <c r="J821" t="s">
        <v>2265</v>
      </c>
      <c r="K821">
        <v>1</v>
      </c>
      <c r="L821">
        <v>185</v>
      </c>
      <c r="N821">
        <v>185</v>
      </c>
      <c r="P821" t="s">
        <v>2269</v>
      </c>
      <c r="Q821" t="s">
        <v>2270</v>
      </c>
      <c r="R821" t="s">
        <v>2276</v>
      </c>
      <c r="S821" t="s">
        <v>2287</v>
      </c>
      <c r="T821" t="s">
        <v>2289</v>
      </c>
      <c r="V821">
        <v>456</v>
      </c>
      <c r="W821">
        <v>26</v>
      </c>
      <c r="X821">
        <v>83.45</v>
      </c>
      <c r="Z821" t="s">
        <v>1761</v>
      </c>
      <c r="AA821" t="s">
        <v>2299</v>
      </c>
      <c r="AB821">
        <v>185</v>
      </c>
      <c r="AC821">
        <v>0</v>
      </c>
      <c r="AD821">
        <v>185</v>
      </c>
      <c r="AE821">
        <v>83.45</v>
      </c>
      <c r="AF821">
        <v>101.55</v>
      </c>
      <c r="AG821">
        <v>2024</v>
      </c>
      <c r="AH821">
        <v>1</v>
      </c>
      <c r="AI821" t="s">
        <v>2302</v>
      </c>
      <c r="AJ821" t="s">
        <v>2317</v>
      </c>
    </row>
    <row r="822" spans="1:36" x14ac:dyDescent="0.3">
      <c r="A822" t="s">
        <v>856</v>
      </c>
      <c r="B822" s="2">
        <v>45495</v>
      </c>
      <c r="C822" t="s">
        <v>1696</v>
      </c>
      <c r="D822" t="s">
        <v>1933</v>
      </c>
      <c r="E822" t="s">
        <v>2170</v>
      </c>
      <c r="F822" t="s">
        <v>2238</v>
      </c>
      <c r="G822" t="s">
        <v>2254</v>
      </c>
      <c r="H822" t="s">
        <v>2259</v>
      </c>
      <c r="I822" t="s">
        <v>2263</v>
      </c>
      <c r="J822" t="s">
        <v>2264</v>
      </c>
      <c r="K822">
        <v>1</v>
      </c>
      <c r="L822">
        <v>110</v>
      </c>
      <c r="M822">
        <v>0</v>
      </c>
      <c r="N822">
        <v>110</v>
      </c>
      <c r="O822">
        <v>110</v>
      </c>
      <c r="P822" t="s">
        <v>2268</v>
      </c>
      <c r="R822" t="s">
        <v>2279</v>
      </c>
      <c r="S822" t="s">
        <v>2284</v>
      </c>
      <c r="T822" t="s">
        <v>2290</v>
      </c>
      <c r="U822">
        <v>5</v>
      </c>
      <c r="V822">
        <v>494</v>
      </c>
      <c r="X822">
        <v>55.69</v>
      </c>
      <c r="Y822">
        <v>54.31</v>
      </c>
      <c r="Z822" t="s">
        <v>2293</v>
      </c>
      <c r="AA822" t="s">
        <v>2296</v>
      </c>
      <c r="AB822">
        <v>110</v>
      </c>
      <c r="AC822">
        <v>0</v>
      </c>
      <c r="AD822">
        <v>110</v>
      </c>
      <c r="AE822">
        <v>55.69</v>
      </c>
      <c r="AF822">
        <v>54.31</v>
      </c>
      <c r="AG822">
        <v>2024</v>
      </c>
      <c r="AH822">
        <v>7</v>
      </c>
      <c r="AI822" t="s">
        <v>2307</v>
      </c>
      <c r="AJ822" t="s">
        <v>2314</v>
      </c>
    </row>
    <row r="823" spans="1:36" x14ac:dyDescent="0.3">
      <c r="A823" t="s">
        <v>857</v>
      </c>
      <c r="C823" t="s">
        <v>1702</v>
      </c>
      <c r="D823" t="s">
        <v>1753</v>
      </c>
      <c r="E823" t="s">
        <v>2017</v>
      </c>
      <c r="F823" t="s">
        <v>2240</v>
      </c>
      <c r="G823" t="s">
        <v>2254</v>
      </c>
      <c r="H823" t="s">
        <v>2259</v>
      </c>
      <c r="I823" t="s">
        <v>2263</v>
      </c>
      <c r="J823" t="s">
        <v>2264</v>
      </c>
      <c r="K823">
        <v>1</v>
      </c>
      <c r="L823">
        <v>105</v>
      </c>
      <c r="M823">
        <v>0.05</v>
      </c>
      <c r="N823">
        <v>105</v>
      </c>
      <c r="O823">
        <v>99.75</v>
      </c>
      <c r="Q823" t="s">
        <v>2272</v>
      </c>
      <c r="R823" t="s">
        <v>2277</v>
      </c>
      <c r="S823" t="s">
        <v>2285</v>
      </c>
      <c r="T823" t="s">
        <v>2288</v>
      </c>
      <c r="U823">
        <v>4</v>
      </c>
      <c r="V823">
        <v>280</v>
      </c>
      <c r="X823">
        <v>47.88</v>
      </c>
      <c r="Y823">
        <v>51.87</v>
      </c>
      <c r="Z823" t="s">
        <v>1761</v>
      </c>
      <c r="AA823" t="s">
        <v>2296</v>
      </c>
      <c r="AB823">
        <v>105</v>
      </c>
      <c r="AC823">
        <v>5.25</v>
      </c>
      <c r="AD823">
        <v>99.75</v>
      </c>
      <c r="AE823">
        <v>47.88</v>
      </c>
      <c r="AF823">
        <v>51.87</v>
      </c>
    </row>
    <row r="824" spans="1:36" x14ac:dyDescent="0.3">
      <c r="A824" t="s">
        <v>858</v>
      </c>
      <c r="B824" s="2">
        <v>45381</v>
      </c>
      <c r="C824" t="s">
        <v>1668</v>
      </c>
      <c r="D824" t="s">
        <v>1788</v>
      </c>
      <c r="E824" t="s">
        <v>2219</v>
      </c>
      <c r="F824" t="s">
        <v>2238</v>
      </c>
      <c r="G824" t="s">
        <v>2245</v>
      </c>
      <c r="H824" t="s">
        <v>2257</v>
      </c>
      <c r="I824" t="s">
        <v>2263</v>
      </c>
      <c r="J824" t="s">
        <v>2265</v>
      </c>
      <c r="K824">
        <v>1</v>
      </c>
      <c r="L824">
        <v>160</v>
      </c>
      <c r="N824">
        <v>160</v>
      </c>
      <c r="P824" t="s">
        <v>2268</v>
      </c>
      <c r="Q824" t="s">
        <v>2272</v>
      </c>
      <c r="R824" t="s">
        <v>2277</v>
      </c>
      <c r="S824" t="s">
        <v>2282</v>
      </c>
      <c r="T824" t="s">
        <v>2288</v>
      </c>
      <c r="U824">
        <v>1</v>
      </c>
      <c r="V824">
        <v>237</v>
      </c>
      <c r="W824">
        <v>32</v>
      </c>
      <c r="X824">
        <v>69.680000000000007</v>
      </c>
      <c r="Z824" t="s">
        <v>2291</v>
      </c>
      <c r="AA824" t="s">
        <v>2296</v>
      </c>
      <c r="AB824">
        <v>160</v>
      </c>
      <c r="AC824">
        <v>0</v>
      </c>
      <c r="AD824">
        <v>160</v>
      </c>
      <c r="AE824">
        <v>69.680000000000007</v>
      </c>
      <c r="AF824">
        <v>90.32</v>
      </c>
      <c r="AG824">
        <v>2024</v>
      </c>
      <c r="AH824">
        <v>3</v>
      </c>
      <c r="AI824" t="s">
        <v>2305</v>
      </c>
      <c r="AJ824" t="s">
        <v>2317</v>
      </c>
    </row>
    <row r="825" spans="1:36" x14ac:dyDescent="0.3">
      <c r="A825" t="s">
        <v>859</v>
      </c>
      <c r="B825" s="2">
        <v>45320</v>
      </c>
      <c r="C825" t="s">
        <v>1701</v>
      </c>
      <c r="D825" t="s">
        <v>1939</v>
      </c>
      <c r="E825" t="s">
        <v>2219</v>
      </c>
      <c r="F825" t="s">
        <v>2238</v>
      </c>
      <c r="G825" t="s">
        <v>2248</v>
      </c>
      <c r="H825" t="s">
        <v>2257</v>
      </c>
      <c r="I825" t="s">
        <v>2262</v>
      </c>
      <c r="J825" t="s">
        <v>2266</v>
      </c>
      <c r="K825">
        <v>1</v>
      </c>
      <c r="L825">
        <v>155</v>
      </c>
      <c r="M825">
        <v>0.1</v>
      </c>
      <c r="N825">
        <v>155</v>
      </c>
      <c r="O825">
        <v>139.5</v>
      </c>
      <c r="P825" t="s">
        <v>2268</v>
      </c>
      <c r="Q825" t="s">
        <v>2272</v>
      </c>
      <c r="R825" t="s">
        <v>2275</v>
      </c>
      <c r="S825" t="s">
        <v>2284</v>
      </c>
      <c r="T825" t="s">
        <v>2288</v>
      </c>
      <c r="U825">
        <v>5</v>
      </c>
      <c r="V825">
        <v>333</v>
      </c>
      <c r="W825">
        <v>31</v>
      </c>
      <c r="X825">
        <v>76.42</v>
      </c>
      <c r="Y825">
        <v>63.08</v>
      </c>
      <c r="Z825" t="s">
        <v>2291</v>
      </c>
      <c r="AA825" t="s">
        <v>2296</v>
      </c>
      <c r="AB825">
        <v>155</v>
      </c>
      <c r="AC825">
        <v>15.5</v>
      </c>
      <c r="AD825">
        <v>139.5</v>
      </c>
      <c r="AE825">
        <v>76.42</v>
      </c>
      <c r="AF825">
        <v>63.08</v>
      </c>
      <c r="AG825">
        <v>2024</v>
      </c>
      <c r="AH825">
        <v>1</v>
      </c>
      <c r="AI825" t="s">
        <v>2302</v>
      </c>
      <c r="AJ825" t="s">
        <v>2314</v>
      </c>
    </row>
    <row r="826" spans="1:36" x14ac:dyDescent="0.3">
      <c r="A826" t="s">
        <v>860</v>
      </c>
      <c r="C826" t="s">
        <v>1641</v>
      </c>
      <c r="D826" t="s">
        <v>1873</v>
      </c>
      <c r="E826" t="s">
        <v>2096</v>
      </c>
      <c r="F826" t="s">
        <v>2239</v>
      </c>
      <c r="G826" t="s">
        <v>2253</v>
      </c>
      <c r="H826" t="s">
        <v>2258</v>
      </c>
      <c r="I826" t="s">
        <v>2260</v>
      </c>
      <c r="J826" t="s">
        <v>2266</v>
      </c>
      <c r="K826">
        <v>2</v>
      </c>
      <c r="L826">
        <v>90</v>
      </c>
      <c r="N826">
        <v>180</v>
      </c>
      <c r="P826" t="s">
        <v>2267</v>
      </c>
      <c r="Q826" t="s">
        <v>2272</v>
      </c>
      <c r="R826" t="s">
        <v>2279</v>
      </c>
      <c r="S826" t="s">
        <v>2280</v>
      </c>
      <c r="T826" t="s">
        <v>2289</v>
      </c>
      <c r="V826">
        <v>191</v>
      </c>
      <c r="W826">
        <v>59</v>
      </c>
      <c r="X826">
        <v>53.96</v>
      </c>
      <c r="Z826" t="s">
        <v>2294</v>
      </c>
      <c r="AA826" t="s">
        <v>2298</v>
      </c>
      <c r="AB826">
        <v>180</v>
      </c>
      <c r="AC826">
        <v>0</v>
      </c>
      <c r="AD826">
        <v>180</v>
      </c>
      <c r="AE826">
        <v>107.92</v>
      </c>
      <c r="AF826">
        <v>72.08</v>
      </c>
    </row>
    <row r="827" spans="1:36" x14ac:dyDescent="0.3">
      <c r="A827" t="s">
        <v>861</v>
      </c>
      <c r="B827" s="2">
        <v>45654</v>
      </c>
      <c r="C827" t="s">
        <v>1704</v>
      </c>
      <c r="D827" t="s">
        <v>1780</v>
      </c>
      <c r="E827" t="s">
        <v>2006</v>
      </c>
      <c r="F827" t="s">
        <v>2239</v>
      </c>
      <c r="G827" t="s">
        <v>2252</v>
      </c>
      <c r="H827" t="s">
        <v>2257</v>
      </c>
      <c r="I827" t="s">
        <v>2262</v>
      </c>
      <c r="J827" t="s">
        <v>2266</v>
      </c>
      <c r="K827">
        <v>1</v>
      </c>
      <c r="L827">
        <v>90</v>
      </c>
      <c r="M827">
        <v>0</v>
      </c>
      <c r="N827">
        <v>90</v>
      </c>
      <c r="O827">
        <v>90</v>
      </c>
      <c r="P827" t="s">
        <v>2268</v>
      </c>
      <c r="Q827" t="s">
        <v>2270</v>
      </c>
      <c r="R827" t="s">
        <v>2276</v>
      </c>
      <c r="S827" t="s">
        <v>2283</v>
      </c>
      <c r="T827" t="s">
        <v>2289</v>
      </c>
      <c r="U827">
        <v>5</v>
      </c>
      <c r="V827">
        <v>259</v>
      </c>
      <c r="W827">
        <v>25</v>
      </c>
      <c r="X827">
        <v>45.99</v>
      </c>
      <c r="Y827">
        <v>44.01</v>
      </c>
      <c r="Z827" t="s">
        <v>2293</v>
      </c>
      <c r="AA827" t="s">
        <v>2299</v>
      </c>
      <c r="AB827">
        <v>90</v>
      </c>
      <c r="AC827">
        <v>0</v>
      </c>
      <c r="AD827">
        <v>90</v>
      </c>
      <c r="AE827">
        <v>45.99</v>
      </c>
      <c r="AF827">
        <v>44.01</v>
      </c>
      <c r="AG827">
        <v>2024</v>
      </c>
      <c r="AH827">
        <v>12</v>
      </c>
      <c r="AI827" t="s">
        <v>2309</v>
      </c>
      <c r="AJ827" t="s">
        <v>2317</v>
      </c>
    </row>
    <row r="828" spans="1:36" x14ac:dyDescent="0.3">
      <c r="A828" t="s">
        <v>862</v>
      </c>
      <c r="B828" s="2">
        <v>45606</v>
      </c>
      <c r="C828" t="s">
        <v>1712</v>
      </c>
      <c r="D828" t="s">
        <v>1769</v>
      </c>
      <c r="E828" t="s">
        <v>1942</v>
      </c>
      <c r="F828" t="s">
        <v>2238</v>
      </c>
      <c r="G828" t="s">
        <v>2245</v>
      </c>
      <c r="H828" t="s">
        <v>2257</v>
      </c>
      <c r="I828" t="s">
        <v>2263</v>
      </c>
      <c r="K828">
        <v>1</v>
      </c>
      <c r="L828">
        <v>145</v>
      </c>
      <c r="M828">
        <v>0.1</v>
      </c>
      <c r="N828">
        <v>145</v>
      </c>
      <c r="O828">
        <v>130.5</v>
      </c>
      <c r="P828" t="s">
        <v>2267</v>
      </c>
      <c r="Q828" t="s">
        <v>2270</v>
      </c>
      <c r="R828" t="s">
        <v>2278</v>
      </c>
      <c r="S828" t="s">
        <v>2280</v>
      </c>
      <c r="T828" t="s">
        <v>2289</v>
      </c>
      <c r="U828">
        <v>5</v>
      </c>
      <c r="V828">
        <v>289</v>
      </c>
      <c r="W828">
        <v>41</v>
      </c>
      <c r="X828">
        <v>82.68</v>
      </c>
      <c r="Y828">
        <v>47.82</v>
      </c>
      <c r="Z828" t="s">
        <v>2292</v>
      </c>
      <c r="AA828" t="s">
        <v>2298</v>
      </c>
      <c r="AB828">
        <v>145</v>
      </c>
      <c r="AC828">
        <v>14.5</v>
      </c>
      <c r="AD828">
        <v>130.5</v>
      </c>
      <c r="AE828">
        <v>82.68</v>
      </c>
      <c r="AF828">
        <v>47.819999999999993</v>
      </c>
      <c r="AG828">
        <v>2024</v>
      </c>
      <c r="AH828">
        <v>11</v>
      </c>
      <c r="AI828" t="s">
        <v>2311</v>
      </c>
      <c r="AJ828" t="s">
        <v>2318</v>
      </c>
    </row>
    <row r="829" spans="1:36" x14ac:dyDescent="0.3">
      <c r="A829" t="s">
        <v>863</v>
      </c>
      <c r="B829" s="2">
        <v>45374</v>
      </c>
      <c r="C829" t="s">
        <v>1736</v>
      </c>
      <c r="D829" t="s">
        <v>1891</v>
      </c>
      <c r="E829" t="s">
        <v>2152</v>
      </c>
      <c r="F829" t="s">
        <v>2239</v>
      </c>
      <c r="G829" t="s">
        <v>2253</v>
      </c>
      <c r="H829" t="s">
        <v>2258</v>
      </c>
      <c r="I829" t="s">
        <v>2260</v>
      </c>
      <c r="J829" t="s">
        <v>2265</v>
      </c>
      <c r="K829">
        <v>4</v>
      </c>
      <c r="L829">
        <v>85</v>
      </c>
      <c r="M829">
        <v>0</v>
      </c>
      <c r="N829">
        <v>340</v>
      </c>
      <c r="O829">
        <v>340</v>
      </c>
      <c r="P829" t="s">
        <v>2269</v>
      </c>
      <c r="Q829" t="s">
        <v>2272</v>
      </c>
      <c r="R829" t="s">
        <v>2277</v>
      </c>
      <c r="S829" t="s">
        <v>2283</v>
      </c>
      <c r="T829" t="s">
        <v>2288</v>
      </c>
      <c r="U829">
        <v>2</v>
      </c>
      <c r="V829">
        <v>135</v>
      </c>
      <c r="W829">
        <v>14</v>
      </c>
      <c r="X829">
        <v>37.979999999999997</v>
      </c>
      <c r="Y829">
        <v>188.08</v>
      </c>
      <c r="Z829" t="s">
        <v>2291</v>
      </c>
      <c r="AA829" t="s">
        <v>2297</v>
      </c>
      <c r="AB829">
        <v>340</v>
      </c>
      <c r="AC829">
        <v>0</v>
      </c>
      <c r="AD829">
        <v>340</v>
      </c>
      <c r="AE829">
        <v>151.91999999999999</v>
      </c>
      <c r="AF829">
        <v>188.08</v>
      </c>
      <c r="AG829">
        <v>2024</v>
      </c>
      <c r="AH829">
        <v>3</v>
      </c>
      <c r="AI829" t="s">
        <v>2305</v>
      </c>
      <c r="AJ829" t="s">
        <v>2317</v>
      </c>
    </row>
    <row r="830" spans="1:36" x14ac:dyDescent="0.3">
      <c r="A830" t="s">
        <v>864</v>
      </c>
      <c r="B830" s="2">
        <v>45390</v>
      </c>
      <c r="C830" t="s">
        <v>1724</v>
      </c>
      <c r="D830" t="s">
        <v>1750</v>
      </c>
      <c r="E830" t="s">
        <v>2105</v>
      </c>
      <c r="F830" t="s">
        <v>2240</v>
      </c>
      <c r="G830" t="s">
        <v>2241</v>
      </c>
      <c r="H830" t="s">
        <v>2257</v>
      </c>
      <c r="I830" t="s">
        <v>2262</v>
      </c>
      <c r="J830" t="s">
        <v>2264</v>
      </c>
      <c r="L830">
        <v>130</v>
      </c>
      <c r="M830">
        <v>0.1</v>
      </c>
      <c r="O830">
        <v>234</v>
      </c>
      <c r="P830" t="s">
        <v>2267</v>
      </c>
      <c r="Q830" t="s">
        <v>2272</v>
      </c>
      <c r="R830" t="s">
        <v>2275</v>
      </c>
      <c r="S830" t="s">
        <v>2282</v>
      </c>
      <c r="T830" t="s">
        <v>2288</v>
      </c>
      <c r="U830">
        <v>4</v>
      </c>
      <c r="V830">
        <v>154</v>
      </c>
      <c r="W830">
        <v>11</v>
      </c>
      <c r="X830">
        <v>49.27</v>
      </c>
      <c r="Y830">
        <v>135.46</v>
      </c>
      <c r="Z830" t="s">
        <v>1761</v>
      </c>
      <c r="AA830" t="s">
        <v>2297</v>
      </c>
      <c r="AG830">
        <v>2024</v>
      </c>
      <c r="AH830">
        <v>4</v>
      </c>
      <c r="AI830" t="s">
        <v>2308</v>
      </c>
      <c r="AJ830" t="s">
        <v>2314</v>
      </c>
    </row>
    <row r="831" spans="1:36" x14ac:dyDescent="0.3">
      <c r="A831" t="s">
        <v>865</v>
      </c>
      <c r="B831" s="2">
        <v>45608</v>
      </c>
      <c r="C831" t="s">
        <v>1740</v>
      </c>
      <c r="D831" t="s">
        <v>1918</v>
      </c>
      <c r="E831" t="s">
        <v>2003</v>
      </c>
      <c r="F831" t="s">
        <v>2239</v>
      </c>
      <c r="G831" t="s">
        <v>2244</v>
      </c>
      <c r="H831" t="s">
        <v>2257</v>
      </c>
      <c r="I831" t="s">
        <v>2262</v>
      </c>
      <c r="J831" t="s">
        <v>2264</v>
      </c>
      <c r="K831">
        <v>1</v>
      </c>
      <c r="L831">
        <v>120</v>
      </c>
      <c r="M831">
        <v>0.15</v>
      </c>
      <c r="N831">
        <v>120</v>
      </c>
      <c r="O831">
        <v>102</v>
      </c>
      <c r="P831" t="s">
        <v>2267</v>
      </c>
      <c r="Q831" t="s">
        <v>2270</v>
      </c>
      <c r="R831" t="s">
        <v>2278</v>
      </c>
      <c r="S831" t="s">
        <v>2280</v>
      </c>
      <c r="T831" t="s">
        <v>2289</v>
      </c>
      <c r="U831">
        <v>2</v>
      </c>
      <c r="V831">
        <v>223</v>
      </c>
      <c r="W831">
        <v>42</v>
      </c>
      <c r="X831">
        <v>50.87</v>
      </c>
      <c r="Y831">
        <v>51.13</v>
      </c>
      <c r="Z831" t="s">
        <v>1761</v>
      </c>
      <c r="AA831" t="s">
        <v>2297</v>
      </c>
      <c r="AB831">
        <v>120</v>
      </c>
      <c r="AC831">
        <v>18</v>
      </c>
      <c r="AD831">
        <v>102</v>
      </c>
      <c r="AE831">
        <v>50.87</v>
      </c>
      <c r="AF831">
        <v>51.13</v>
      </c>
      <c r="AG831">
        <v>2024</v>
      </c>
      <c r="AH831">
        <v>11</v>
      </c>
      <c r="AI831" t="s">
        <v>2311</v>
      </c>
      <c r="AJ831" t="s">
        <v>2313</v>
      </c>
    </row>
    <row r="832" spans="1:36" x14ac:dyDescent="0.3">
      <c r="A832" t="s">
        <v>866</v>
      </c>
      <c r="B832" s="2">
        <v>45326</v>
      </c>
      <c r="C832" t="s">
        <v>1708</v>
      </c>
      <c r="D832" t="s">
        <v>1744</v>
      </c>
      <c r="E832" t="s">
        <v>1991</v>
      </c>
      <c r="F832" t="s">
        <v>2238</v>
      </c>
      <c r="G832" t="s">
        <v>2244</v>
      </c>
      <c r="H832" t="s">
        <v>2257</v>
      </c>
      <c r="I832" t="s">
        <v>2262</v>
      </c>
      <c r="J832" t="s">
        <v>2265</v>
      </c>
      <c r="K832">
        <v>1</v>
      </c>
      <c r="L832">
        <v>120</v>
      </c>
      <c r="M832">
        <v>0.05</v>
      </c>
      <c r="N832">
        <v>120</v>
      </c>
      <c r="O832">
        <v>114</v>
      </c>
      <c r="P832" t="s">
        <v>2269</v>
      </c>
      <c r="Q832" t="s">
        <v>2272</v>
      </c>
      <c r="R832" t="s">
        <v>2277</v>
      </c>
      <c r="S832" t="s">
        <v>2286</v>
      </c>
      <c r="T832" t="s">
        <v>2288</v>
      </c>
      <c r="U832">
        <v>2</v>
      </c>
      <c r="V832">
        <v>195</v>
      </c>
      <c r="W832">
        <v>39</v>
      </c>
      <c r="X832">
        <v>49.81</v>
      </c>
      <c r="Y832">
        <v>64.19</v>
      </c>
      <c r="Z832" t="s">
        <v>2293</v>
      </c>
      <c r="AA832" t="s">
        <v>2296</v>
      </c>
      <c r="AB832">
        <v>120</v>
      </c>
      <c r="AC832">
        <v>6</v>
      </c>
      <c r="AD832">
        <v>114</v>
      </c>
      <c r="AE832">
        <v>49.81</v>
      </c>
      <c r="AF832">
        <v>64.19</v>
      </c>
      <c r="AG832">
        <v>2024</v>
      </c>
      <c r="AH832">
        <v>2</v>
      </c>
      <c r="AI832" t="s">
        <v>2303</v>
      </c>
      <c r="AJ832" t="s">
        <v>2318</v>
      </c>
    </row>
    <row r="833" spans="1:36" x14ac:dyDescent="0.3">
      <c r="A833" t="s">
        <v>867</v>
      </c>
      <c r="B833" s="2">
        <v>45597</v>
      </c>
      <c r="C833" t="s">
        <v>1678</v>
      </c>
      <c r="D833" t="s">
        <v>1921</v>
      </c>
      <c r="E833" t="s">
        <v>2070</v>
      </c>
      <c r="F833" t="s">
        <v>2240</v>
      </c>
      <c r="G833" t="s">
        <v>2244</v>
      </c>
      <c r="H833" t="s">
        <v>2257</v>
      </c>
      <c r="I833" t="s">
        <v>2262</v>
      </c>
      <c r="J833" t="s">
        <v>2265</v>
      </c>
      <c r="K833">
        <v>2</v>
      </c>
      <c r="L833">
        <v>130</v>
      </c>
      <c r="M833">
        <v>0</v>
      </c>
      <c r="N833">
        <v>260</v>
      </c>
      <c r="O833">
        <v>260</v>
      </c>
      <c r="P833" t="s">
        <v>2267</v>
      </c>
      <c r="R833" t="s">
        <v>2279</v>
      </c>
      <c r="S833" t="s">
        <v>2284</v>
      </c>
      <c r="T833" t="s">
        <v>2288</v>
      </c>
      <c r="U833">
        <v>1</v>
      </c>
      <c r="V833">
        <v>333</v>
      </c>
      <c r="W833">
        <v>60</v>
      </c>
      <c r="X833">
        <v>62.33</v>
      </c>
      <c r="Y833">
        <v>135.34</v>
      </c>
      <c r="Z833" t="s">
        <v>2294</v>
      </c>
      <c r="AA833" t="s">
        <v>2299</v>
      </c>
      <c r="AB833">
        <v>260</v>
      </c>
      <c r="AC833">
        <v>0</v>
      </c>
      <c r="AD833">
        <v>260</v>
      </c>
      <c r="AE833">
        <v>124.66</v>
      </c>
      <c r="AF833">
        <v>135.34</v>
      </c>
      <c r="AG833">
        <v>2024</v>
      </c>
      <c r="AH833">
        <v>11</v>
      </c>
      <c r="AI833" t="s">
        <v>2311</v>
      </c>
      <c r="AJ833" t="s">
        <v>2315</v>
      </c>
    </row>
    <row r="834" spans="1:36" x14ac:dyDescent="0.3">
      <c r="A834" t="s">
        <v>868</v>
      </c>
      <c r="B834" s="2">
        <v>45402</v>
      </c>
      <c r="C834" t="s">
        <v>1740</v>
      </c>
      <c r="D834" t="s">
        <v>1831</v>
      </c>
      <c r="E834" t="s">
        <v>2192</v>
      </c>
      <c r="F834" t="s">
        <v>2239</v>
      </c>
      <c r="G834" t="s">
        <v>2248</v>
      </c>
      <c r="H834" t="s">
        <v>2257</v>
      </c>
      <c r="I834" t="s">
        <v>2262</v>
      </c>
      <c r="J834" t="s">
        <v>2264</v>
      </c>
      <c r="K834">
        <v>1</v>
      </c>
      <c r="L834">
        <v>145</v>
      </c>
      <c r="M834">
        <v>0</v>
      </c>
      <c r="N834">
        <v>145</v>
      </c>
      <c r="O834">
        <v>145</v>
      </c>
      <c r="P834" t="s">
        <v>2268</v>
      </c>
      <c r="Q834" t="s">
        <v>2271</v>
      </c>
      <c r="R834" t="s">
        <v>2276</v>
      </c>
      <c r="S834" t="s">
        <v>2284</v>
      </c>
      <c r="T834" t="s">
        <v>2288</v>
      </c>
      <c r="U834">
        <v>1</v>
      </c>
      <c r="V834">
        <v>158</v>
      </c>
      <c r="X834">
        <v>74.790000000000006</v>
      </c>
      <c r="Y834">
        <v>70.209999999999994</v>
      </c>
      <c r="Z834" t="s">
        <v>2293</v>
      </c>
      <c r="AA834" t="s">
        <v>2296</v>
      </c>
      <c r="AB834">
        <v>145</v>
      </c>
      <c r="AC834">
        <v>0</v>
      </c>
      <c r="AD834">
        <v>145</v>
      </c>
      <c r="AE834">
        <v>74.790000000000006</v>
      </c>
      <c r="AF834">
        <v>70.209999999999994</v>
      </c>
      <c r="AG834">
        <v>2024</v>
      </c>
      <c r="AH834">
        <v>4</v>
      </c>
      <c r="AI834" t="s">
        <v>2308</v>
      </c>
      <c r="AJ834" t="s">
        <v>2317</v>
      </c>
    </row>
    <row r="835" spans="1:36" x14ac:dyDescent="0.3">
      <c r="A835" t="s">
        <v>869</v>
      </c>
      <c r="B835" s="2">
        <v>45472</v>
      </c>
      <c r="C835" t="s">
        <v>1730</v>
      </c>
      <c r="D835" t="s">
        <v>1754</v>
      </c>
      <c r="E835" t="s">
        <v>2008</v>
      </c>
      <c r="F835" t="s">
        <v>2239</v>
      </c>
      <c r="G835" t="s">
        <v>2250</v>
      </c>
      <c r="H835" t="s">
        <v>2259</v>
      </c>
      <c r="I835" t="s">
        <v>2262</v>
      </c>
      <c r="J835" t="s">
        <v>2266</v>
      </c>
      <c r="K835">
        <v>1</v>
      </c>
      <c r="L835">
        <v>85</v>
      </c>
      <c r="M835">
        <v>0</v>
      </c>
      <c r="N835">
        <v>85</v>
      </c>
      <c r="O835">
        <v>85</v>
      </c>
      <c r="P835" t="s">
        <v>2269</v>
      </c>
      <c r="Q835" t="s">
        <v>2271</v>
      </c>
      <c r="R835" t="s">
        <v>2273</v>
      </c>
      <c r="S835" t="s">
        <v>2285</v>
      </c>
      <c r="T835" t="s">
        <v>2290</v>
      </c>
      <c r="V835">
        <v>231</v>
      </c>
      <c r="W835">
        <v>48</v>
      </c>
      <c r="X835">
        <v>37.049999999999997</v>
      </c>
      <c r="Y835">
        <v>47.95</v>
      </c>
      <c r="Z835" t="s">
        <v>2294</v>
      </c>
      <c r="AA835" t="s">
        <v>2296</v>
      </c>
      <c r="AB835">
        <v>85</v>
      </c>
      <c r="AC835">
        <v>0</v>
      </c>
      <c r="AD835">
        <v>85</v>
      </c>
      <c r="AE835">
        <v>37.049999999999997</v>
      </c>
      <c r="AF835">
        <v>47.95</v>
      </c>
      <c r="AG835">
        <v>2024</v>
      </c>
      <c r="AH835">
        <v>6</v>
      </c>
      <c r="AI835" t="s">
        <v>2304</v>
      </c>
      <c r="AJ835" t="s">
        <v>2317</v>
      </c>
    </row>
    <row r="836" spans="1:36" x14ac:dyDescent="0.3">
      <c r="A836" t="s">
        <v>870</v>
      </c>
      <c r="B836" s="2">
        <v>45393</v>
      </c>
      <c r="C836" t="s">
        <v>1692</v>
      </c>
      <c r="D836" t="s">
        <v>1828</v>
      </c>
      <c r="E836" t="s">
        <v>2120</v>
      </c>
      <c r="F836" t="s">
        <v>2238</v>
      </c>
      <c r="G836" t="s">
        <v>2256</v>
      </c>
      <c r="H836" t="s">
        <v>2261</v>
      </c>
      <c r="I836" t="s">
        <v>2260</v>
      </c>
      <c r="J836" t="s">
        <v>2266</v>
      </c>
      <c r="K836">
        <v>2</v>
      </c>
      <c r="L836">
        <v>190</v>
      </c>
      <c r="M836">
        <v>0.1</v>
      </c>
      <c r="N836">
        <v>380</v>
      </c>
      <c r="O836">
        <v>342</v>
      </c>
      <c r="P836" t="s">
        <v>2267</v>
      </c>
      <c r="Q836" t="s">
        <v>2270</v>
      </c>
      <c r="R836" t="s">
        <v>2279</v>
      </c>
      <c r="S836" t="s">
        <v>2285</v>
      </c>
      <c r="T836" t="s">
        <v>2288</v>
      </c>
      <c r="U836">
        <v>5</v>
      </c>
      <c r="V836">
        <v>395</v>
      </c>
      <c r="W836">
        <v>15</v>
      </c>
      <c r="X836">
        <v>110.19</v>
      </c>
      <c r="Y836">
        <v>121.62</v>
      </c>
      <c r="Z836" t="s">
        <v>2292</v>
      </c>
      <c r="AA836" t="s">
        <v>2299</v>
      </c>
      <c r="AB836">
        <v>380</v>
      </c>
      <c r="AC836">
        <v>38</v>
      </c>
      <c r="AD836">
        <v>342</v>
      </c>
      <c r="AE836">
        <v>220.38</v>
      </c>
      <c r="AF836">
        <v>121.62</v>
      </c>
      <c r="AG836">
        <v>2024</v>
      </c>
      <c r="AH836">
        <v>4</v>
      </c>
      <c r="AI836" t="s">
        <v>2308</v>
      </c>
      <c r="AJ836" t="s">
        <v>2316</v>
      </c>
    </row>
    <row r="837" spans="1:36" x14ac:dyDescent="0.3">
      <c r="A837" t="s">
        <v>871</v>
      </c>
      <c r="B837" s="2">
        <v>45543</v>
      </c>
      <c r="C837" t="s">
        <v>1666</v>
      </c>
      <c r="D837" t="s">
        <v>1800</v>
      </c>
      <c r="E837" t="s">
        <v>1960</v>
      </c>
      <c r="F837" t="s">
        <v>2239</v>
      </c>
      <c r="G837" t="s">
        <v>2242</v>
      </c>
      <c r="H837" t="s">
        <v>2258</v>
      </c>
      <c r="I837" t="s">
        <v>2260</v>
      </c>
      <c r="J837" t="s">
        <v>2265</v>
      </c>
      <c r="K837">
        <v>1</v>
      </c>
      <c r="L837">
        <v>115</v>
      </c>
      <c r="M837">
        <v>0.1</v>
      </c>
      <c r="N837">
        <v>115</v>
      </c>
      <c r="O837">
        <v>103.5</v>
      </c>
      <c r="P837" t="s">
        <v>2269</v>
      </c>
      <c r="Q837" t="s">
        <v>2270</v>
      </c>
      <c r="R837" t="s">
        <v>2274</v>
      </c>
      <c r="S837" t="s">
        <v>2286</v>
      </c>
      <c r="T837" t="s">
        <v>2288</v>
      </c>
      <c r="U837">
        <v>5</v>
      </c>
      <c r="V837">
        <v>209</v>
      </c>
      <c r="W837">
        <v>24</v>
      </c>
      <c r="X837">
        <v>43.37</v>
      </c>
      <c r="Y837">
        <v>60.13</v>
      </c>
      <c r="Z837" t="s">
        <v>1761</v>
      </c>
      <c r="AA837" t="s">
        <v>2299</v>
      </c>
      <c r="AB837">
        <v>115</v>
      </c>
      <c r="AC837">
        <v>11.5</v>
      </c>
      <c r="AD837">
        <v>103.5</v>
      </c>
      <c r="AE837">
        <v>43.37</v>
      </c>
      <c r="AF837">
        <v>60.13</v>
      </c>
      <c r="AG837">
        <v>2024</v>
      </c>
      <c r="AH837">
        <v>9</v>
      </c>
      <c r="AI837" t="s">
        <v>2300</v>
      </c>
      <c r="AJ837" t="s">
        <v>2318</v>
      </c>
    </row>
    <row r="838" spans="1:36" x14ac:dyDescent="0.3">
      <c r="A838" t="s">
        <v>872</v>
      </c>
      <c r="B838" s="2">
        <v>45631</v>
      </c>
      <c r="C838" t="s">
        <v>1683</v>
      </c>
      <c r="D838" t="s">
        <v>1854</v>
      </c>
      <c r="E838" t="s">
        <v>2220</v>
      </c>
      <c r="F838" t="s">
        <v>2240</v>
      </c>
      <c r="G838" t="s">
        <v>2244</v>
      </c>
      <c r="H838" t="s">
        <v>2257</v>
      </c>
      <c r="I838" t="s">
        <v>2262</v>
      </c>
      <c r="J838" t="s">
        <v>2264</v>
      </c>
      <c r="K838">
        <v>2</v>
      </c>
      <c r="L838">
        <v>120</v>
      </c>
      <c r="M838">
        <v>0.15</v>
      </c>
      <c r="N838">
        <v>240</v>
      </c>
      <c r="O838">
        <v>204</v>
      </c>
      <c r="P838" t="s">
        <v>2267</v>
      </c>
      <c r="Q838" t="s">
        <v>2271</v>
      </c>
      <c r="R838" t="s">
        <v>2275</v>
      </c>
      <c r="S838" t="s">
        <v>2282</v>
      </c>
      <c r="T838" t="s">
        <v>2290</v>
      </c>
      <c r="V838">
        <v>116</v>
      </c>
      <c r="W838">
        <v>14</v>
      </c>
      <c r="X838">
        <v>60.86</v>
      </c>
      <c r="Y838">
        <v>82.28</v>
      </c>
      <c r="Z838" t="s">
        <v>2293</v>
      </c>
      <c r="AA838" t="s">
        <v>2296</v>
      </c>
      <c r="AB838">
        <v>240</v>
      </c>
      <c r="AC838">
        <v>36</v>
      </c>
      <c r="AD838">
        <v>204</v>
      </c>
      <c r="AE838">
        <v>121.72</v>
      </c>
      <c r="AF838">
        <v>82.28</v>
      </c>
      <c r="AG838">
        <v>2024</v>
      </c>
      <c r="AH838">
        <v>12</v>
      </c>
      <c r="AI838" t="s">
        <v>2309</v>
      </c>
      <c r="AJ838" t="s">
        <v>2316</v>
      </c>
    </row>
    <row r="839" spans="1:36" x14ac:dyDescent="0.3">
      <c r="A839" t="s">
        <v>873</v>
      </c>
      <c r="B839" s="2">
        <v>45647</v>
      </c>
      <c r="C839" t="s">
        <v>1647</v>
      </c>
      <c r="D839" t="s">
        <v>1747</v>
      </c>
      <c r="E839" t="s">
        <v>2080</v>
      </c>
      <c r="F839" t="s">
        <v>2238</v>
      </c>
      <c r="G839" t="s">
        <v>2254</v>
      </c>
      <c r="H839" t="s">
        <v>2259</v>
      </c>
      <c r="I839" t="s">
        <v>2263</v>
      </c>
      <c r="J839" t="s">
        <v>2264</v>
      </c>
      <c r="K839">
        <v>1</v>
      </c>
      <c r="L839">
        <v>105</v>
      </c>
      <c r="M839">
        <v>0.15</v>
      </c>
      <c r="N839">
        <v>105</v>
      </c>
      <c r="O839">
        <v>89.25</v>
      </c>
      <c r="P839" t="s">
        <v>2269</v>
      </c>
      <c r="Q839" t="s">
        <v>2271</v>
      </c>
      <c r="R839" t="s">
        <v>2275</v>
      </c>
      <c r="S839" t="s">
        <v>2284</v>
      </c>
      <c r="T839" t="s">
        <v>2288</v>
      </c>
      <c r="U839">
        <v>4</v>
      </c>
      <c r="V839">
        <v>43</v>
      </c>
      <c r="W839">
        <v>39</v>
      </c>
      <c r="X839">
        <v>46.11</v>
      </c>
      <c r="Y839">
        <v>43.14</v>
      </c>
      <c r="Z839" t="s">
        <v>2294</v>
      </c>
      <c r="AA839" t="s">
        <v>1761</v>
      </c>
      <c r="AB839">
        <v>105</v>
      </c>
      <c r="AC839">
        <v>15.75</v>
      </c>
      <c r="AD839">
        <v>89.25</v>
      </c>
      <c r="AE839">
        <v>46.11</v>
      </c>
      <c r="AF839">
        <v>43.14</v>
      </c>
      <c r="AG839">
        <v>2024</v>
      </c>
      <c r="AH839">
        <v>12</v>
      </c>
      <c r="AI839" t="s">
        <v>2309</v>
      </c>
      <c r="AJ839" t="s">
        <v>2317</v>
      </c>
    </row>
    <row r="840" spans="1:36" x14ac:dyDescent="0.3">
      <c r="A840" t="s">
        <v>874</v>
      </c>
      <c r="B840" s="2">
        <v>45640</v>
      </c>
      <c r="C840" t="s">
        <v>1718</v>
      </c>
      <c r="D840" t="s">
        <v>1931</v>
      </c>
      <c r="E840" t="s">
        <v>2040</v>
      </c>
      <c r="F840" t="s">
        <v>2239</v>
      </c>
      <c r="G840" t="s">
        <v>2253</v>
      </c>
      <c r="H840" t="s">
        <v>2258</v>
      </c>
      <c r="I840" t="s">
        <v>2260</v>
      </c>
      <c r="J840" t="s">
        <v>2266</v>
      </c>
      <c r="K840">
        <v>2</v>
      </c>
      <c r="L840">
        <v>85</v>
      </c>
      <c r="M840">
        <v>0.15</v>
      </c>
      <c r="N840">
        <v>170</v>
      </c>
      <c r="O840">
        <v>144.5</v>
      </c>
      <c r="P840" t="s">
        <v>2269</v>
      </c>
      <c r="Q840" t="s">
        <v>2271</v>
      </c>
      <c r="R840" t="s">
        <v>2278</v>
      </c>
      <c r="S840" t="s">
        <v>2285</v>
      </c>
      <c r="T840" t="s">
        <v>2288</v>
      </c>
      <c r="U840">
        <v>2</v>
      </c>
      <c r="V840">
        <v>315</v>
      </c>
      <c r="W840">
        <v>12</v>
      </c>
      <c r="X840">
        <v>47.13</v>
      </c>
      <c r="Y840">
        <v>50.24</v>
      </c>
      <c r="Z840" t="s">
        <v>2292</v>
      </c>
      <c r="AA840" t="s">
        <v>1761</v>
      </c>
      <c r="AB840">
        <v>170</v>
      </c>
      <c r="AC840">
        <v>25.5</v>
      </c>
      <c r="AD840">
        <v>144.5</v>
      </c>
      <c r="AE840">
        <v>94.26</v>
      </c>
      <c r="AF840">
        <v>50.239999999999988</v>
      </c>
      <c r="AG840">
        <v>2024</v>
      </c>
      <c r="AH840">
        <v>12</v>
      </c>
      <c r="AI840" t="s">
        <v>2309</v>
      </c>
      <c r="AJ840" t="s">
        <v>2317</v>
      </c>
    </row>
    <row r="841" spans="1:36" x14ac:dyDescent="0.3">
      <c r="A841" t="s">
        <v>875</v>
      </c>
      <c r="B841" s="2">
        <v>45444</v>
      </c>
      <c r="C841" t="s">
        <v>1707</v>
      </c>
      <c r="D841" t="s">
        <v>1851</v>
      </c>
      <c r="E841" t="s">
        <v>2078</v>
      </c>
      <c r="F841" t="s">
        <v>2239</v>
      </c>
      <c r="G841" t="s">
        <v>2250</v>
      </c>
      <c r="H841" t="s">
        <v>2259</v>
      </c>
      <c r="I841" t="s">
        <v>2262</v>
      </c>
      <c r="J841" t="s">
        <v>2266</v>
      </c>
      <c r="K841">
        <v>3</v>
      </c>
      <c r="L841">
        <v>75</v>
      </c>
      <c r="N841">
        <v>225</v>
      </c>
      <c r="P841" t="s">
        <v>2269</v>
      </c>
      <c r="Q841" t="s">
        <v>2272</v>
      </c>
      <c r="R841" t="s">
        <v>2275</v>
      </c>
      <c r="S841" t="s">
        <v>2282</v>
      </c>
      <c r="T841" t="s">
        <v>2288</v>
      </c>
      <c r="U841">
        <v>1</v>
      </c>
      <c r="V841">
        <v>60</v>
      </c>
      <c r="W841">
        <v>55</v>
      </c>
      <c r="X841">
        <v>43.48</v>
      </c>
      <c r="Z841" t="s">
        <v>2294</v>
      </c>
      <c r="AA841" t="s">
        <v>2296</v>
      </c>
      <c r="AB841">
        <v>225</v>
      </c>
      <c r="AC841">
        <v>0</v>
      </c>
      <c r="AD841">
        <v>225</v>
      </c>
      <c r="AE841">
        <v>130.44</v>
      </c>
      <c r="AF841">
        <v>94.56</v>
      </c>
      <c r="AG841">
        <v>2024</v>
      </c>
      <c r="AH841">
        <v>6</v>
      </c>
      <c r="AI841" t="s">
        <v>2304</v>
      </c>
      <c r="AJ841" t="s">
        <v>2317</v>
      </c>
    </row>
    <row r="842" spans="1:36" x14ac:dyDescent="0.3">
      <c r="A842" t="s">
        <v>876</v>
      </c>
      <c r="C842" t="s">
        <v>1652</v>
      </c>
      <c r="D842" t="s">
        <v>1919</v>
      </c>
      <c r="E842" t="s">
        <v>2051</v>
      </c>
      <c r="F842" t="s">
        <v>2240</v>
      </c>
      <c r="G842" t="s">
        <v>2245</v>
      </c>
      <c r="H842" t="s">
        <v>2257</v>
      </c>
      <c r="I842" t="s">
        <v>2263</v>
      </c>
      <c r="J842" t="s">
        <v>2266</v>
      </c>
      <c r="K842">
        <v>1</v>
      </c>
      <c r="L842">
        <v>150</v>
      </c>
      <c r="N842">
        <v>150</v>
      </c>
      <c r="P842" t="s">
        <v>2269</v>
      </c>
      <c r="Q842" t="s">
        <v>2272</v>
      </c>
      <c r="R842" t="s">
        <v>2274</v>
      </c>
      <c r="S842" t="s">
        <v>2284</v>
      </c>
      <c r="T842" t="s">
        <v>2288</v>
      </c>
      <c r="U842">
        <v>5</v>
      </c>
      <c r="V842">
        <v>375</v>
      </c>
      <c r="X842">
        <v>70.55</v>
      </c>
      <c r="Z842" t="s">
        <v>1761</v>
      </c>
      <c r="AA842" t="s">
        <v>2296</v>
      </c>
      <c r="AB842">
        <v>150</v>
      </c>
      <c r="AC842">
        <v>0</v>
      </c>
      <c r="AD842">
        <v>150</v>
      </c>
      <c r="AE842">
        <v>70.55</v>
      </c>
      <c r="AF842">
        <v>79.45</v>
      </c>
    </row>
    <row r="843" spans="1:36" x14ac:dyDescent="0.3">
      <c r="A843" t="s">
        <v>877</v>
      </c>
      <c r="B843" s="2">
        <v>45494</v>
      </c>
      <c r="C843" t="s">
        <v>1677</v>
      </c>
      <c r="D843" t="s">
        <v>1800</v>
      </c>
      <c r="E843" t="s">
        <v>2020</v>
      </c>
      <c r="F843" t="s">
        <v>2239</v>
      </c>
      <c r="G843" t="s">
        <v>2242</v>
      </c>
      <c r="H843" t="s">
        <v>2258</v>
      </c>
      <c r="I843" t="s">
        <v>2260</v>
      </c>
      <c r="J843" t="s">
        <v>2264</v>
      </c>
      <c r="K843">
        <v>3</v>
      </c>
      <c r="L843">
        <v>120</v>
      </c>
      <c r="M843">
        <v>0.05</v>
      </c>
      <c r="N843">
        <v>360</v>
      </c>
      <c r="O843">
        <v>342</v>
      </c>
      <c r="P843" t="s">
        <v>2268</v>
      </c>
      <c r="R843" t="s">
        <v>2277</v>
      </c>
      <c r="S843" t="s">
        <v>2285</v>
      </c>
      <c r="T843" t="s">
        <v>2288</v>
      </c>
      <c r="U843">
        <v>2</v>
      </c>
      <c r="V843">
        <v>313</v>
      </c>
      <c r="W843">
        <v>14</v>
      </c>
      <c r="X843">
        <v>59.69</v>
      </c>
      <c r="Y843">
        <v>162.93</v>
      </c>
      <c r="Z843" t="s">
        <v>1761</v>
      </c>
      <c r="AA843" t="s">
        <v>2296</v>
      </c>
      <c r="AB843">
        <v>360</v>
      </c>
      <c r="AC843">
        <v>18</v>
      </c>
      <c r="AD843">
        <v>342</v>
      </c>
      <c r="AE843">
        <v>179.07</v>
      </c>
      <c r="AF843">
        <v>162.93</v>
      </c>
      <c r="AG843">
        <v>2024</v>
      </c>
      <c r="AH843">
        <v>7</v>
      </c>
      <c r="AI843" t="s">
        <v>2307</v>
      </c>
      <c r="AJ843" t="s">
        <v>2318</v>
      </c>
    </row>
    <row r="844" spans="1:36" x14ac:dyDescent="0.3">
      <c r="A844" t="s">
        <v>878</v>
      </c>
      <c r="B844" s="2">
        <v>45498</v>
      </c>
      <c r="C844" t="s">
        <v>1704</v>
      </c>
      <c r="D844" t="s">
        <v>1844</v>
      </c>
      <c r="E844" t="s">
        <v>2143</v>
      </c>
      <c r="F844" t="s">
        <v>2240</v>
      </c>
      <c r="G844" t="s">
        <v>2244</v>
      </c>
      <c r="H844" t="s">
        <v>2257</v>
      </c>
      <c r="I844" t="s">
        <v>2262</v>
      </c>
      <c r="J844" t="s">
        <v>2264</v>
      </c>
      <c r="K844">
        <v>1</v>
      </c>
      <c r="L844">
        <v>115</v>
      </c>
      <c r="M844">
        <v>0.05</v>
      </c>
      <c r="N844">
        <v>115</v>
      </c>
      <c r="O844">
        <v>109.25</v>
      </c>
      <c r="P844" t="s">
        <v>2267</v>
      </c>
      <c r="Q844" t="s">
        <v>2271</v>
      </c>
      <c r="R844" t="s">
        <v>2277</v>
      </c>
      <c r="S844" t="s">
        <v>2283</v>
      </c>
      <c r="T844" t="s">
        <v>2290</v>
      </c>
      <c r="U844">
        <v>4</v>
      </c>
      <c r="V844">
        <v>113</v>
      </c>
      <c r="W844">
        <v>11</v>
      </c>
      <c r="X844">
        <v>70</v>
      </c>
      <c r="Y844">
        <v>39.25</v>
      </c>
      <c r="Z844" t="s">
        <v>2291</v>
      </c>
      <c r="AA844" t="s">
        <v>2299</v>
      </c>
      <c r="AB844">
        <v>115</v>
      </c>
      <c r="AC844">
        <v>5.75</v>
      </c>
      <c r="AD844">
        <v>109.25</v>
      </c>
      <c r="AE844">
        <v>70</v>
      </c>
      <c r="AF844">
        <v>39.25</v>
      </c>
      <c r="AG844">
        <v>2024</v>
      </c>
      <c r="AH844">
        <v>7</v>
      </c>
      <c r="AI844" t="s">
        <v>2307</v>
      </c>
      <c r="AJ844" t="s">
        <v>2316</v>
      </c>
    </row>
    <row r="845" spans="1:36" x14ac:dyDescent="0.3">
      <c r="A845" t="s">
        <v>879</v>
      </c>
      <c r="B845" s="2">
        <v>45316</v>
      </c>
      <c r="C845" t="s">
        <v>1661</v>
      </c>
      <c r="D845" t="s">
        <v>1767</v>
      </c>
      <c r="E845" t="s">
        <v>2033</v>
      </c>
      <c r="F845" t="s">
        <v>1761</v>
      </c>
      <c r="G845" t="s">
        <v>2256</v>
      </c>
      <c r="H845" t="s">
        <v>2261</v>
      </c>
      <c r="I845" t="s">
        <v>2260</v>
      </c>
      <c r="J845" t="s">
        <v>2266</v>
      </c>
      <c r="K845">
        <v>2</v>
      </c>
      <c r="L845">
        <v>190</v>
      </c>
      <c r="M845">
        <v>0.15</v>
      </c>
      <c r="N845">
        <v>380</v>
      </c>
      <c r="O845">
        <v>323</v>
      </c>
      <c r="Q845" t="s">
        <v>2270</v>
      </c>
      <c r="R845" t="s">
        <v>2275</v>
      </c>
      <c r="S845" t="s">
        <v>2281</v>
      </c>
      <c r="T845" t="s">
        <v>2290</v>
      </c>
      <c r="U845">
        <v>3</v>
      </c>
      <c r="V845">
        <v>267</v>
      </c>
      <c r="W845">
        <v>46</v>
      </c>
      <c r="X845">
        <v>73.42</v>
      </c>
      <c r="Y845">
        <v>176.16</v>
      </c>
      <c r="Z845" t="s">
        <v>2293</v>
      </c>
      <c r="AA845" t="s">
        <v>1761</v>
      </c>
      <c r="AB845">
        <v>380</v>
      </c>
      <c r="AC845">
        <v>57</v>
      </c>
      <c r="AD845">
        <v>323</v>
      </c>
      <c r="AE845">
        <v>146.84</v>
      </c>
      <c r="AF845">
        <v>176.16</v>
      </c>
      <c r="AG845">
        <v>2024</v>
      </c>
      <c r="AH845">
        <v>1</v>
      </c>
      <c r="AI845" t="s">
        <v>2302</v>
      </c>
      <c r="AJ845" t="s">
        <v>2316</v>
      </c>
    </row>
    <row r="846" spans="1:36" x14ac:dyDescent="0.3">
      <c r="A846" t="s">
        <v>880</v>
      </c>
      <c r="B846" s="2">
        <v>45351</v>
      </c>
      <c r="C846" t="s">
        <v>1680</v>
      </c>
      <c r="D846" t="s">
        <v>1804</v>
      </c>
      <c r="E846" t="s">
        <v>2053</v>
      </c>
      <c r="F846" t="s">
        <v>1761</v>
      </c>
      <c r="G846" t="s">
        <v>2242</v>
      </c>
      <c r="H846" t="s">
        <v>2258</v>
      </c>
      <c r="I846" t="s">
        <v>2260</v>
      </c>
      <c r="J846" t="s">
        <v>2265</v>
      </c>
      <c r="K846">
        <v>1</v>
      </c>
      <c r="L846">
        <v>115</v>
      </c>
      <c r="M846">
        <v>0.05</v>
      </c>
      <c r="N846">
        <v>115</v>
      </c>
      <c r="O846">
        <v>109.25</v>
      </c>
      <c r="P846" t="s">
        <v>2269</v>
      </c>
      <c r="Q846" t="s">
        <v>2271</v>
      </c>
      <c r="R846" t="s">
        <v>2273</v>
      </c>
      <c r="S846" t="s">
        <v>2283</v>
      </c>
      <c r="T846" t="s">
        <v>2289</v>
      </c>
      <c r="U846">
        <v>5</v>
      </c>
      <c r="W846">
        <v>10</v>
      </c>
      <c r="X846">
        <v>49.35</v>
      </c>
      <c r="Y846">
        <v>59.9</v>
      </c>
      <c r="Z846" t="s">
        <v>2291</v>
      </c>
      <c r="AA846" t="s">
        <v>2296</v>
      </c>
      <c r="AB846">
        <v>115</v>
      </c>
      <c r="AC846">
        <v>5.75</v>
      </c>
      <c r="AD846">
        <v>109.25</v>
      </c>
      <c r="AE846">
        <v>49.35</v>
      </c>
      <c r="AF846">
        <v>59.9</v>
      </c>
      <c r="AG846">
        <v>2024</v>
      </c>
      <c r="AH846">
        <v>2</v>
      </c>
      <c r="AI846" t="s">
        <v>2303</v>
      </c>
      <c r="AJ846" t="s">
        <v>2316</v>
      </c>
    </row>
    <row r="847" spans="1:36" x14ac:dyDescent="0.3">
      <c r="A847" t="s">
        <v>881</v>
      </c>
      <c r="B847" s="2">
        <v>45635</v>
      </c>
      <c r="C847" t="s">
        <v>1720</v>
      </c>
      <c r="D847" t="s">
        <v>1753</v>
      </c>
      <c r="E847" t="s">
        <v>2186</v>
      </c>
      <c r="F847" t="s">
        <v>2238</v>
      </c>
      <c r="G847" t="s">
        <v>2246</v>
      </c>
      <c r="H847" t="s">
        <v>2259</v>
      </c>
      <c r="I847" t="s">
        <v>2262</v>
      </c>
      <c r="J847" t="s">
        <v>2264</v>
      </c>
      <c r="L847">
        <v>90</v>
      </c>
      <c r="M847">
        <v>0</v>
      </c>
      <c r="N847">
        <v>90</v>
      </c>
      <c r="O847">
        <v>90</v>
      </c>
      <c r="P847" t="s">
        <v>2269</v>
      </c>
      <c r="Q847" t="s">
        <v>2272</v>
      </c>
      <c r="R847" t="s">
        <v>2279</v>
      </c>
      <c r="S847" t="s">
        <v>2286</v>
      </c>
      <c r="T847" t="s">
        <v>2290</v>
      </c>
      <c r="U847">
        <v>3</v>
      </c>
      <c r="V847">
        <v>312</v>
      </c>
      <c r="W847">
        <v>54</v>
      </c>
      <c r="X847">
        <v>51.54</v>
      </c>
      <c r="Y847">
        <v>38.46</v>
      </c>
      <c r="Z847" t="s">
        <v>2293</v>
      </c>
      <c r="AA847" t="s">
        <v>1761</v>
      </c>
      <c r="AG847">
        <v>2024</v>
      </c>
      <c r="AH847">
        <v>12</v>
      </c>
      <c r="AI847" t="s">
        <v>2309</v>
      </c>
      <c r="AJ847" t="s">
        <v>2314</v>
      </c>
    </row>
    <row r="848" spans="1:36" x14ac:dyDescent="0.3">
      <c r="A848" t="s">
        <v>882</v>
      </c>
      <c r="B848" s="2">
        <v>45313</v>
      </c>
      <c r="C848" t="s">
        <v>1739</v>
      </c>
      <c r="D848" t="s">
        <v>1755</v>
      </c>
      <c r="E848" t="s">
        <v>2034</v>
      </c>
      <c r="F848" t="s">
        <v>2240</v>
      </c>
      <c r="G848" t="s">
        <v>2250</v>
      </c>
      <c r="H848" t="s">
        <v>2259</v>
      </c>
      <c r="I848" t="s">
        <v>2262</v>
      </c>
      <c r="J848" t="s">
        <v>2266</v>
      </c>
      <c r="K848">
        <v>4</v>
      </c>
      <c r="L848">
        <v>80</v>
      </c>
      <c r="M848">
        <v>0.05</v>
      </c>
      <c r="N848">
        <v>320</v>
      </c>
      <c r="O848">
        <v>304</v>
      </c>
      <c r="P848" t="s">
        <v>2267</v>
      </c>
      <c r="Q848" t="s">
        <v>2270</v>
      </c>
      <c r="R848" t="s">
        <v>2278</v>
      </c>
      <c r="S848" t="s">
        <v>2286</v>
      </c>
      <c r="T848" t="s">
        <v>2288</v>
      </c>
      <c r="U848">
        <v>1</v>
      </c>
      <c r="V848">
        <v>177</v>
      </c>
      <c r="W848">
        <v>36</v>
      </c>
      <c r="X848">
        <v>39.68</v>
      </c>
      <c r="Y848">
        <v>145.28</v>
      </c>
      <c r="Z848" t="s">
        <v>2294</v>
      </c>
      <c r="AA848" t="s">
        <v>2296</v>
      </c>
      <c r="AB848">
        <v>320</v>
      </c>
      <c r="AC848">
        <v>16</v>
      </c>
      <c r="AD848">
        <v>304</v>
      </c>
      <c r="AE848">
        <v>158.72</v>
      </c>
      <c r="AF848">
        <v>145.28</v>
      </c>
      <c r="AG848">
        <v>2024</v>
      </c>
      <c r="AH848">
        <v>1</v>
      </c>
      <c r="AI848" t="s">
        <v>2302</v>
      </c>
      <c r="AJ848" t="s">
        <v>2314</v>
      </c>
    </row>
    <row r="849" spans="1:36" x14ac:dyDescent="0.3">
      <c r="A849" t="s">
        <v>883</v>
      </c>
      <c r="B849" s="2">
        <v>45481</v>
      </c>
      <c r="C849" t="s">
        <v>1712</v>
      </c>
      <c r="D849" t="s">
        <v>1856</v>
      </c>
      <c r="E849" t="s">
        <v>2169</v>
      </c>
      <c r="F849" t="s">
        <v>1761</v>
      </c>
      <c r="G849" t="s">
        <v>2244</v>
      </c>
      <c r="H849" t="s">
        <v>2257</v>
      </c>
      <c r="I849" t="s">
        <v>2262</v>
      </c>
      <c r="J849" t="s">
        <v>2265</v>
      </c>
      <c r="K849">
        <v>1</v>
      </c>
      <c r="L849">
        <v>125</v>
      </c>
      <c r="M849">
        <v>0</v>
      </c>
      <c r="N849">
        <v>125</v>
      </c>
      <c r="O849">
        <v>125</v>
      </c>
      <c r="Q849" t="s">
        <v>2271</v>
      </c>
      <c r="R849" t="s">
        <v>2276</v>
      </c>
      <c r="S849" t="s">
        <v>2281</v>
      </c>
      <c r="T849" t="s">
        <v>2288</v>
      </c>
      <c r="U849">
        <v>2</v>
      </c>
      <c r="V849">
        <v>45</v>
      </c>
      <c r="W849">
        <v>54</v>
      </c>
      <c r="X849">
        <v>54.45</v>
      </c>
      <c r="Y849">
        <v>70.55</v>
      </c>
      <c r="Z849" t="s">
        <v>1761</v>
      </c>
      <c r="AA849" t="s">
        <v>2296</v>
      </c>
      <c r="AB849">
        <v>125</v>
      </c>
      <c r="AC849">
        <v>0</v>
      </c>
      <c r="AD849">
        <v>125</v>
      </c>
      <c r="AE849">
        <v>54.45</v>
      </c>
      <c r="AF849">
        <v>70.55</v>
      </c>
      <c r="AG849">
        <v>2024</v>
      </c>
      <c r="AH849">
        <v>7</v>
      </c>
      <c r="AI849" t="s">
        <v>2307</v>
      </c>
      <c r="AJ849" t="s">
        <v>2314</v>
      </c>
    </row>
    <row r="850" spans="1:36" x14ac:dyDescent="0.3">
      <c r="A850" t="s">
        <v>884</v>
      </c>
      <c r="B850" s="2">
        <v>45653</v>
      </c>
      <c r="C850" t="s">
        <v>1732</v>
      </c>
      <c r="D850" t="s">
        <v>1847</v>
      </c>
      <c r="E850" t="s">
        <v>1951</v>
      </c>
      <c r="F850" t="s">
        <v>2240</v>
      </c>
      <c r="G850" t="s">
        <v>2254</v>
      </c>
      <c r="H850" t="s">
        <v>2259</v>
      </c>
      <c r="I850" t="s">
        <v>2263</v>
      </c>
      <c r="J850" t="s">
        <v>2265</v>
      </c>
      <c r="K850">
        <v>1</v>
      </c>
      <c r="L850">
        <v>105</v>
      </c>
      <c r="M850">
        <v>0.1</v>
      </c>
      <c r="N850">
        <v>105</v>
      </c>
      <c r="O850">
        <v>94.5</v>
      </c>
      <c r="P850" t="s">
        <v>2269</v>
      </c>
      <c r="Q850" t="s">
        <v>2270</v>
      </c>
      <c r="R850" t="s">
        <v>2277</v>
      </c>
      <c r="S850" t="s">
        <v>2287</v>
      </c>
      <c r="T850" t="s">
        <v>2288</v>
      </c>
      <c r="U850">
        <v>5</v>
      </c>
      <c r="V850">
        <v>101</v>
      </c>
      <c r="W850">
        <v>43</v>
      </c>
      <c r="X850">
        <v>55.76</v>
      </c>
      <c r="Y850">
        <v>38.74</v>
      </c>
      <c r="Z850" t="s">
        <v>1761</v>
      </c>
      <c r="AA850" t="s">
        <v>2296</v>
      </c>
      <c r="AB850">
        <v>105</v>
      </c>
      <c r="AC850">
        <v>10.5</v>
      </c>
      <c r="AD850">
        <v>94.5</v>
      </c>
      <c r="AE850">
        <v>55.76</v>
      </c>
      <c r="AF850">
        <v>38.74</v>
      </c>
      <c r="AG850">
        <v>2024</v>
      </c>
      <c r="AH850">
        <v>12</v>
      </c>
      <c r="AI850" t="s">
        <v>2309</v>
      </c>
      <c r="AJ850" t="s">
        <v>2315</v>
      </c>
    </row>
    <row r="851" spans="1:36" x14ac:dyDescent="0.3">
      <c r="A851" t="s">
        <v>885</v>
      </c>
      <c r="B851" s="2">
        <v>45382</v>
      </c>
      <c r="C851" t="s">
        <v>1667</v>
      </c>
      <c r="D851" t="s">
        <v>1926</v>
      </c>
      <c r="E851" t="s">
        <v>2136</v>
      </c>
      <c r="F851" t="s">
        <v>2240</v>
      </c>
      <c r="G851" t="s">
        <v>2248</v>
      </c>
      <c r="H851" t="s">
        <v>2257</v>
      </c>
      <c r="I851" t="s">
        <v>2262</v>
      </c>
      <c r="K851">
        <v>1</v>
      </c>
      <c r="L851">
        <v>140</v>
      </c>
      <c r="M851">
        <v>0.15</v>
      </c>
      <c r="N851">
        <v>140</v>
      </c>
      <c r="O851">
        <v>119</v>
      </c>
      <c r="P851" t="s">
        <v>2268</v>
      </c>
      <c r="R851" t="s">
        <v>2277</v>
      </c>
      <c r="S851" t="s">
        <v>2284</v>
      </c>
      <c r="T851" t="s">
        <v>2288</v>
      </c>
      <c r="V851">
        <v>234</v>
      </c>
      <c r="W851">
        <v>46</v>
      </c>
      <c r="X851">
        <v>86.06</v>
      </c>
      <c r="Y851">
        <v>32.94</v>
      </c>
      <c r="Z851" t="s">
        <v>2291</v>
      </c>
      <c r="AA851" t="s">
        <v>1761</v>
      </c>
      <c r="AB851">
        <v>140</v>
      </c>
      <c r="AC851">
        <v>21</v>
      </c>
      <c r="AD851">
        <v>119</v>
      </c>
      <c r="AE851">
        <v>86.06</v>
      </c>
      <c r="AF851">
        <v>32.94</v>
      </c>
      <c r="AG851">
        <v>2024</v>
      </c>
      <c r="AH851">
        <v>3</v>
      </c>
      <c r="AI851" t="s">
        <v>2305</v>
      </c>
      <c r="AJ851" t="s">
        <v>2318</v>
      </c>
    </row>
    <row r="852" spans="1:36" x14ac:dyDescent="0.3">
      <c r="A852" t="s">
        <v>886</v>
      </c>
      <c r="B852" s="2">
        <v>45515</v>
      </c>
      <c r="C852" t="s">
        <v>1686</v>
      </c>
      <c r="D852" t="s">
        <v>1850</v>
      </c>
      <c r="E852" t="s">
        <v>2090</v>
      </c>
      <c r="F852" t="s">
        <v>2240</v>
      </c>
      <c r="G852" t="s">
        <v>2251</v>
      </c>
      <c r="H852" t="s">
        <v>2258</v>
      </c>
      <c r="I852" t="s">
        <v>2260</v>
      </c>
      <c r="J852" t="s">
        <v>2265</v>
      </c>
      <c r="K852">
        <v>1</v>
      </c>
      <c r="L852">
        <v>110</v>
      </c>
      <c r="M852">
        <v>0.1</v>
      </c>
      <c r="N852">
        <v>110</v>
      </c>
      <c r="O852">
        <v>99</v>
      </c>
      <c r="P852" t="s">
        <v>2269</v>
      </c>
      <c r="Q852" t="s">
        <v>2272</v>
      </c>
      <c r="R852" t="s">
        <v>2273</v>
      </c>
      <c r="S852" t="s">
        <v>2283</v>
      </c>
      <c r="T852" t="s">
        <v>2288</v>
      </c>
      <c r="U852">
        <v>5</v>
      </c>
      <c r="V852">
        <v>233</v>
      </c>
      <c r="W852">
        <v>10</v>
      </c>
      <c r="X852">
        <v>44.79</v>
      </c>
      <c r="Y852">
        <v>54.21</v>
      </c>
      <c r="Z852" t="s">
        <v>1761</v>
      </c>
      <c r="AA852" t="s">
        <v>2297</v>
      </c>
      <c r="AB852">
        <v>110</v>
      </c>
      <c r="AC852">
        <v>11</v>
      </c>
      <c r="AD852">
        <v>99</v>
      </c>
      <c r="AE852">
        <v>44.79</v>
      </c>
      <c r="AF852">
        <v>54.21</v>
      </c>
      <c r="AG852">
        <v>2024</v>
      </c>
      <c r="AH852">
        <v>8</v>
      </c>
      <c r="AI852" t="s">
        <v>2301</v>
      </c>
      <c r="AJ852" t="s">
        <v>2318</v>
      </c>
    </row>
    <row r="853" spans="1:36" x14ac:dyDescent="0.3">
      <c r="A853" t="s">
        <v>887</v>
      </c>
      <c r="B853" s="2">
        <v>45526</v>
      </c>
      <c r="C853" t="s">
        <v>1702</v>
      </c>
      <c r="D853" t="s">
        <v>1820</v>
      </c>
      <c r="E853" t="s">
        <v>2012</v>
      </c>
      <c r="F853" t="s">
        <v>2240</v>
      </c>
      <c r="G853" t="s">
        <v>2250</v>
      </c>
      <c r="H853" t="s">
        <v>2259</v>
      </c>
      <c r="I853" t="s">
        <v>2262</v>
      </c>
      <c r="K853">
        <v>2</v>
      </c>
      <c r="L853">
        <v>85</v>
      </c>
      <c r="M853">
        <v>0.15</v>
      </c>
      <c r="N853">
        <v>170</v>
      </c>
      <c r="O853">
        <v>144.5</v>
      </c>
      <c r="P853" t="s">
        <v>2267</v>
      </c>
      <c r="Q853" t="s">
        <v>2271</v>
      </c>
      <c r="R853" t="s">
        <v>2279</v>
      </c>
      <c r="S853" t="s">
        <v>2283</v>
      </c>
      <c r="T853" t="s">
        <v>2288</v>
      </c>
      <c r="U853">
        <v>5</v>
      </c>
      <c r="V853">
        <v>462</v>
      </c>
      <c r="X853">
        <v>45.25</v>
      </c>
      <c r="Y853">
        <v>54</v>
      </c>
      <c r="Z853" t="s">
        <v>2291</v>
      </c>
      <c r="AA853" t="s">
        <v>2296</v>
      </c>
      <c r="AB853">
        <v>170</v>
      </c>
      <c r="AC853">
        <v>25.5</v>
      </c>
      <c r="AD853">
        <v>144.5</v>
      </c>
      <c r="AE853">
        <v>90.5</v>
      </c>
      <c r="AF853">
        <v>54</v>
      </c>
      <c r="AG853">
        <v>2024</v>
      </c>
      <c r="AH853">
        <v>8</v>
      </c>
      <c r="AI853" t="s">
        <v>2301</v>
      </c>
      <c r="AJ853" t="s">
        <v>2316</v>
      </c>
    </row>
    <row r="854" spans="1:36" x14ac:dyDescent="0.3">
      <c r="A854" t="s">
        <v>888</v>
      </c>
      <c r="B854" s="2">
        <v>45633</v>
      </c>
      <c r="C854" t="s">
        <v>1694</v>
      </c>
      <c r="D854" t="s">
        <v>1784</v>
      </c>
      <c r="E854" t="s">
        <v>1961</v>
      </c>
      <c r="F854" t="s">
        <v>2239</v>
      </c>
      <c r="G854" t="s">
        <v>2247</v>
      </c>
      <c r="H854" t="s">
        <v>2257</v>
      </c>
      <c r="I854" t="s">
        <v>2262</v>
      </c>
      <c r="J854" t="s">
        <v>2264</v>
      </c>
      <c r="K854">
        <v>1</v>
      </c>
      <c r="L854">
        <v>100</v>
      </c>
      <c r="M854">
        <v>0.1</v>
      </c>
      <c r="N854">
        <v>100</v>
      </c>
      <c r="O854">
        <v>90</v>
      </c>
      <c r="P854" t="s">
        <v>2268</v>
      </c>
      <c r="Q854" t="s">
        <v>2272</v>
      </c>
      <c r="R854" t="s">
        <v>2274</v>
      </c>
      <c r="S854" t="s">
        <v>2287</v>
      </c>
      <c r="T854" t="s">
        <v>2288</v>
      </c>
      <c r="V854">
        <v>96</v>
      </c>
      <c r="W854">
        <v>37</v>
      </c>
      <c r="X854">
        <v>57.43</v>
      </c>
      <c r="Y854">
        <v>32.57</v>
      </c>
      <c r="Z854" t="s">
        <v>2293</v>
      </c>
      <c r="AA854" t="s">
        <v>2298</v>
      </c>
      <c r="AB854">
        <v>100</v>
      </c>
      <c r="AC854">
        <v>10</v>
      </c>
      <c r="AD854">
        <v>90</v>
      </c>
      <c r="AE854">
        <v>57.43</v>
      </c>
      <c r="AF854">
        <v>32.57</v>
      </c>
      <c r="AG854">
        <v>2024</v>
      </c>
      <c r="AH854">
        <v>12</v>
      </c>
      <c r="AI854" t="s">
        <v>2309</v>
      </c>
      <c r="AJ854" t="s">
        <v>2317</v>
      </c>
    </row>
    <row r="855" spans="1:36" x14ac:dyDescent="0.3">
      <c r="A855" t="s">
        <v>889</v>
      </c>
      <c r="B855" s="2">
        <v>45434</v>
      </c>
      <c r="C855" t="s">
        <v>1731</v>
      </c>
      <c r="D855" t="s">
        <v>1801</v>
      </c>
      <c r="E855" t="s">
        <v>1945</v>
      </c>
      <c r="F855" t="s">
        <v>2238</v>
      </c>
      <c r="G855" t="s">
        <v>2250</v>
      </c>
      <c r="H855" t="s">
        <v>2259</v>
      </c>
      <c r="I855" t="s">
        <v>2262</v>
      </c>
      <c r="J855" t="s">
        <v>2266</v>
      </c>
      <c r="K855">
        <v>2</v>
      </c>
      <c r="L855">
        <v>85</v>
      </c>
      <c r="M855">
        <v>0.1</v>
      </c>
      <c r="N855">
        <v>170</v>
      </c>
      <c r="O855">
        <v>153</v>
      </c>
      <c r="P855" t="s">
        <v>2268</v>
      </c>
      <c r="Q855" t="s">
        <v>2272</v>
      </c>
      <c r="R855" t="s">
        <v>2274</v>
      </c>
      <c r="S855" t="s">
        <v>2280</v>
      </c>
      <c r="T855" t="s">
        <v>2288</v>
      </c>
      <c r="U855">
        <v>2</v>
      </c>
      <c r="W855">
        <v>24</v>
      </c>
      <c r="X855">
        <v>40.159999999999997</v>
      </c>
      <c r="Y855">
        <v>72.680000000000007</v>
      </c>
      <c r="Z855" t="s">
        <v>1761</v>
      </c>
      <c r="AA855" t="s">
        <v>2296</v>
      </c>
      <c r="AB855">
        <v>170</v>
      </c>
      <c r="AC855">
        <v>17</v>
      </c>
      <c r="AD855">
        <v>153</v>
      </c>
      <c r="AE855">
        <v>80.319999999999993</v>
      </c>
      <c r="AF855">
        <v>72.680000000000007</v>
      </c>
      <c r="AG855">
        <v>2024</v>
      </c>
      <c r="AH855">
        <v>5</v>
      </c>
      <c r="AI855" t="s">
        <v>2306</v>
      </c>
      <c r="AJ855" t="s">
        <v>2312</v>
      </c>
    </row>
    <row r="856" spans="1:36" x14ac:dyDescent="0.3">
      <c r="A856" t="s">
        <v>890</v>
      </c>
      <c r="B856" s="2">
        <v>45501</v>
      </c>
      <c r="C856" t="s">
        <v>1694</v>
      </c>
      <c r="D856" t="s">
        <v>1836</v>
      </c>
      <c r="E856" t="s">
        <v>2043</v>
      </c>
      <c r="F856" t="s">
        <v>2239</v>
      </c>
      <c r="G856" t="s">
        <v>2248</v>
      </c>
      <c r="H856" t="s">
        <v>2257</v>
      </c>
      <c r="I856" t="s">
        <v>2262</v>
      </c>
      <c r="J856" t="s">
        <v>2264</v>
      </c>
      <c r="K856">
        <v>2</v>
      </c>
      <c r="L856">
        <v>145</v>
      </c>
      <c r="M856">
        <v>0</v>
      </c>
      <c r="N856">
        <v>290</v>
      </c>
      <c r="O856">
        <v>290</v>
      </c>
      <c r="P856" t="s">
        <v>2267</v>
      </c>
      <c r="Q856" t="s">
        <v>2272</v>
      </c>
      <c r="R856" t="s">
        <v>2273</v>
      </c>
      <c r="S856" t="s">
        <v>2287</v>
      </c>
      <c r="T856" t="s">
        <v>2288</v>
      </c>
      <c r="U856">
        <v>2</v>
      </c>
      <c r="V856">
        <v>283</v>
      </c>
      <c r="X856">
        <v>73.599999999999994</v>
      </c>
      <c r="Y856">
        <v>142.80000000000001</v>
      </c>
      <c r="Z856" t="s">
        <v>1761</v>
      </c>
      <c r="AA856" t="s">
        <v>2298</v>
      </c>
      <c r="AB856">
        <v>290</v>
      </c>
      <c r="AC856">
        <v>0</v>
      </c>
      <c r="AD856">
        <v>290</v>
      </c>
      <c r="AE856">
        <v>147.19999999999999</v>
      </c>
      <c r="AF856">
        <v>142.80000000000001</v>
      </c>
      <c r="AG856">
        <v>2024</v>
      </c>
      <c r="AH856">
        <v>7</v>
      </c>
      <c r="AI856" t="s">
        <v>2307</v>
      </c>
      <c r="AJ856" t="s">
        <v>2318</v>
      </c>
    </row>
    <row r="857" spans="1:36" x14ac:dyDescent="0.3">
      <c r="A857" t="s">
        <v>891</v>
      </c>
      <c r="B857" s="2">
        <v>45422</v>
      </c>
      <c r="C857" t="s">
        <v>1699</v>
      </c>
      <c r="D857" t="s">
        <v>1800</v>
      </c>
      <c r="E857" t="s">
        <v>2053</v>
      </c>
      <c r="F857" t="s">
        <v>2240</v>
      </c>
      <c r="G857" t="s">
        <v>2250</v>
      </c>
      <c r="H857" t="s">
        <v>2259</v>
      </c>
      <c r="I857" t="s">
        <v>2262</v>
      </c>
      <c r="J857" t="s">
        <v>2266</v>
      </c>
      <c r="K857">
        <v>1</v>
      </c>
      <c r="L857">
        <v>85</v>
      </c>
      <c r="M857">
        <v>0.05</v>
      </c>
      <c r="N857">
        <v>85</v>
      </c>
      <c r="O857">
        <v>80.75</v>
      </c>
      <c r="P857" t="s">
        <v>2268</v>
      </c>
      <c r="Q857" t="s">
        <v>2271</v>
      </c>
      <c r="R857" t="s">
        <v>2279</v>
      </c>
      <c r="S857" t="s">
        <v>2280</v>
      </c>
      <c r="T857" t="s">
        <v>2289</v>
      </c>
      <c r="U857">
        <v>5</v>
      </c>
      <c r="V857">
        <v>495</v>
      </c>
      <c r="W857">
        <v>51</v>
      </c>
      <c r="X857">
        <v>45.19</v>
      </c>
      <c r="Y857">
        <v>35.56</v>
      </c>
      <c r="Z857" t="s">
        <v>2291</v>
      </c>
      <c r="AA857" t="s">
        <v>2299</v>
      </c>
      <c r="AB857">
        <v>85</v>
      </c>
      <c r="AC857">
        <v>4.25</v>
      </c>
      <c r="AD857">
        <v>80.75</v>
      </c>
      <c r="AE857">
        <v>45.19</v>
      </c>
      <c r="AF857">
        <v>35.56</v>
      </c>
      <c r="AG857">
        <v>2024</v>
      </c>
      <c r="AH857">
        <v>5</v>
      </c>
      <c r="AI857" t="s">
        <v>2306</v>
      </c>
      <c r="AJ857" t="s">
        <v>2315</v>
      </c>
    </row>
    <row r="858" spans="1:36" x14ac:dyDescent="0.3">
      <c r="A858" t="s">
        <v>892</v>
      </c>
      <c r="B858" s="2">
        <v>45511</v>
      </c>
      <c r="C858" t="s">
        <v>1737</v>
      </c>
      <c r="D858" t="s">
        <v>1763</v>
      </c>
      <c r="E858" t="s">
        <v>1968</v>
      </c>
      <c r="F858" t="s">
        <v>2238</v>
      </c>
      <c r="G858" t="s">
        <v>2254</v>
      </c>
      <c r="H858" t="s">
        <v>2259</v>
      </c>
      <c r="I858" t="s">
        <v>2263</v>
      </c>
      <c r="J858" t="s">
        <v>2264</v>
      </c>
      <c r="K858">
        <v>1</v>
      </c>
      <c r="L858">
        <v>110</v>
      </c>
      <c r="M858">
        <v>0.05</v>
      </c>
      <c r="N858">
        <v>110</v>
      </c>
      <c r="O858">
        <v>104.5</v>
      </c>
      <c r="P858" t="s">
        <v>2269</v>
      </c>
      <c r="Q858" t="s">
        <v>2272</v>
      </c>
      <c r="R858" t="s">
        <v>2279</v>
      </c>
      <c r="S858" t="s">
        <v>2283</v>
      </c>
      <c r="T858" t="s">
        <v>2290</v>
      </c>
      <c r="U858">
        <v>2</v>
      </c>
      <c r="V858">
        <v>369</v>
      </c>
      <c r="W858">
        <v>22</v>
      </c>
      <c r="X858">
        <v>39.659999999999997</v>
      </c>
      <c r="Y858">
        <v>64.84</v>
      </c>
      <c r="Z858" t="s">
        <v>2294</v>
      </c>
      <c r="AA858" t="s">
        <v>2298</v>
      </c>
      <c r="AB858">
        <v>110</v>
      </c>
      <c r="AC858">
        <v>5.5</v>
      </c>
      <c r="AD858">
        <v>104.5</v>
      </c>
      <c r="AE858">
        <v>39.659999999999997</v>
      </c>
      <c r="AF858">
        <v>64.84</v>
      </c>
      <c r="AG858">
        <v>2024</v>
      </c>
      <c r="AH858">
        <v>8</v>
      </c>
      <c r="AI858" t="s">
        <v>2301</v>
      </c>
      <c r="AJ858" t="s">
        <v>2312</v>
      </c>
    </row>
    <row r="859" spans="1:36" x14ac:dyDescent="0.3">
      <c r="A859" t="s">
        <v>893</v>
      </c>
      <c r="B859" s="2">
        <v>45449</v>
      </c>
      <c r="C859" t="s">
        <v>1687</v>
      </c>
      <c r="D859" t="s">
        <v>1764</v>
      </c>
      <c r="E859" t="s">
        <v>2221</v>
      </c>
      <c r="F859" t="s">
        <v>2239</v>
      </c>
      <c r="G859" t="s">
        <v>2255</v>
      </c>
      <c r="H859" t="s">
        <v>2260</v>
      </c>
      <c r="I859" t="s">
        <v>2260</v>
      </c>
      <c r="J859" t="s">
        <v>2264</v>
      </c>
      <c r="K859">
        <v>2</v>
      </c>
      <c r="L859">
        <v>185</v>
      </c>
      <c r="M859">
        <v>0</v>
      </c>
      <c r="N859">
        <v>370</v>
      </c>
      <c r="O859">
        <v>370</v>
      </c>
      <c r="P859" t="s">
        <v>2267</v>
      </c>
      <c r="Q859" t="s">
        <v>2270</v>
      </c>
      <c r="R859" t="s">
        <v>2275</v>
      </c>
      <c r="S859" t="s">
        <v>2280</v>
      </c>
      <c r="T859" t="s">
        <v>2288</v>
      </c>
      <c r="U859">
        <v>4</v>
      </c>
      <c r="V859">
        <v>301</v>
      </c>
      <c r="W859">
        <v>45</v>
      </c>
      <c r="X859">
        <v>88.93</v>
      </c>
      <c r="Y859">
        <v>192.14</v>
      </c>
      <c r="Z859" t="s">
        <v>2291</v>
      </c>
      <c r="AA859" t="s">
        <v>2297</v>
      </c>
      <c r="AB859">
        <v>370</v>
      </c>
      <c r="AC859">
        <v>0</v>
      </c>
      <c r="AD859">
        <v>370</v>
      </c>
      <c r="AE859">
        <v>177.86</v>
      </c>
      <c r="AF859">
        <v>192.14</v>
      </c>
      <c r="AG859">
        <v>2024</v>
      </c>
      <c r="AH859">
        <v>6</v>
      </c>
      <c r="AI859" t="s">
        <v>2304</v>
      </c>
      <c r="AJ859" t="s">
        <v>2316</v>
      </c>
    </row>
    <row r="860" spans="1:36" x14ac:dyDescent="0.3">
      <c r="A860" t="s">
        <v>894</v>
      </c>
      <c r="B860" s="2">
        <v>45565</v>
      </c>
      <c r="C860" t="s">
        <v>1738</v>
      </c>
      <c r="D860" t="s">
        <v>1851</v>
      </c>
      <c r="E860" t="s">
        <v>2019</v>
      </c>
      <c r="F860" t="s">
        <v>2240</v>
      </c>
      <c r="G860" t="s">
        <v>2251</v>
      </c>
      <c r="H860" t="s">
        <v>2258</v>
      </c>
      <c r="I860" t="s">
        <v>2260</v>
      </c>
      <c r="J860" t="s">
        <v>2266</v>
      </c>
      <c r="K860">
        <v>2</v>
      </c>
      <c r="L860">
        <v>100</v>
      </c>
      <c r="M860">
        <v>0.15</v>
      </c>
      <c r="N860">
        <v>200</v>
      </c>
      <c r="O860">
        <v>170</v>
      </c>
      <c r="P860" t="s">
        <v>2268</v>
      </c>
      <c r="Q860" t="s">
        <v>2272</v>
      </c>
      <c r="R860" t="s">
        <v>2277</v>
      </c>
      <c r="S860" t="s">
        <v>2287</v>
      </c>
      <c r="T860" t="s">
        <v>2288</v>
      </c>
      <c r="U860">
        <v>3</v>
      </c>
      <c r="V860">
        <v>242</v>
      </c>
      <c r="W860">
        <v>36</v>
      </c>
      <c r="X860">
        <v>56.64</v>
      </c>
      <c r="Y860">
        <v>56.72</v>
      </c>
      <c r="Z860" t="s">
        <v>2293</v>
      </c>
      <c r="AA860" t="s">
        <v>2299</v>
      </c>
      <c r="AB860">
        <v>200</v>
      </c>
      <c r="AC860">
        <v>30</v>
      </c>
      <c r="AD860">
        <v>170</v>
      </c>
      <c r="AE860">
        <v>113.28</v>
      </c>
      <c r="AF860">
        <v>56.72</v>
      </c>
      <c r="AG860">
        <v>2024</v>
      </c>
      <c r="AH860">
        <v>9</v>
      </c>
      <c r="AI860" t="s">
        <v>2300</v>
      </c>
      <c r="AJ860" t="s">
        <v>2314</v>
      </c>
    </row>
    <row r="861" spans="1:36" x14ac:dyDescent="0.3">
      <c r="A861" t="s">
        <v>895</v>
      </c>
      <c r="B861" s="2">
        <v>45392</v>
      </c>
      <c r="C861" t="s">
        <v>1674</v>
      </c>
      <c r="D861" t="s">
        <v>1760</v>
      </c>
      <c r="E861" t="s">
        <v>2184</v>
      </c>
      <c r="F861" t="s">
        <v>2240</v>
      </c>
      <c r="G861" t="s">
        <v>2256</v>
      </c>
      <c r="H861" t="s">
        <v>2261</v>
      </c>
      <c r="I861" t="s">
        <v>2260</v>
      </c>
      <c r="J861" t="s">
        <v>2265</v>
      </c>
      <c r="K861">
        <v>1</v>
      </c>
      <c r="L861">
        <v>185</v>
      </c>
      <c r="M861">
        <v>0.05</v>
      </c>
      <c r="N861">
        <v>185</v>
      </c>
      <c r="O861">
        <v>175.75</v>
      </c>
      <c r="P861" t="s">
        <v>2269</v>
      </c>
      <c r="Q861" t="s">
        <v>2270</v>
      </c>
      <c r="R861" t="s">
        <v>2273</v>
      </c>
      <c r="S861" t="s">
        <v>2285</v>
      </c>
      <c r="T861" t="s">
        <v>2290</v>
      </c>
      <c r="V861">
        <v>461</v>
      </c>
      <c r="W861">
        <v>39</v>
      </c>
      <c r="X861">
        <v>66.62</v>
      </c>
      <c r="Y861">
        <v>109.13</v>
      </c>
      <c r="Z861" t="s">
        <v>2293</v>
      </c>
      <c r="AA861" t="s">
        <v>1761</v>
      </c>
      <c r="AB861">
        <v>185</v>
      </c>
      <c r="AC861">
        <v>9.25</v>
      </c>
      <c r="AD861">
        <v>175.75</v>
      </c>
      <c r="AE861">
        <v>66.62</v>
      </c>
      <c r="AF861">
        <v>109.13</v>
      </c>
      <c r="AG861">
        <v>2024</v>
      </c>
      <c r="AH861">
        <v>4</v>
      </c>
      <c r="AI861" t="s">
        <v>2308</v>
      </c>
      <c r="AJ861" t="s">
        <v>2312</v>
      </c>
    </row>
    <row r="862" spans="1:36" x14ac:dyDescent="0.3">
      <c r="A862" t="s">
        <v>896</v>
      </c>
      <c r="B862" s="2">
        <v>45471</v>
      </c>
      <c r="C862" t="s">
        <v>1671</v>
      </c>
      <c r="D862" t="s">
        <v>1909</v>
      </c>
      <c r="E862" t="s">
        <v>2061</v>
      </c>
      <c r="F862" t="s">
        <v>2240</v>
      </c>
      <c r="G862" t="s">
        <v>2250</v>
      </c>
      <c r="H862" t="s">
        <v>2259</v>
      </c>
      <c r="I862" t="s">
        <v>2262</v>
      </c>
      <c r="J862" t="s">
        <v>2266</v>
      </c>
      <c r="K862">
        <v>2</v>
      </c>
      <c r="L862">
        <v>75</v>
      </c>
      <c r="M862">
        <v>0.1</v>
      </c>
      <c r="N862">
        <v>150</v>
      </c>
      <c r="O862">
        <v>135</v>
      </c>
      <c r="P862" t="s">
        <v>2268</v>
      </c>
      <c r="Q862" t="s">
        <v>2271</v>
      </c>
      <c r="R862" t="s">
        <v>2273</v>
      </c>
      <c r="S862" t="s">
        <v>2286</v>
      </c>
      <c r="T862" t="s">
        <v>2288</v>
      </c>
      <c r="U862">
        <v>5</v>
      </c>
      <c r="V862">
        <v>113</v>
      </c>
      <c r="W862">
        <v>45</v>
      </c>
      <c r="X862">
        <v>35.75</v>
      </c>
      <c r="Y862">
        <v>63.5</v>
      </c>
      <c r="Z862" t="s">
        <v>2294</v>
      </c>
      <c r="AA862" t="s">
        <v>2296</v>
      </c>
      <c r="AB862">
        <v>150</v>
      </c>
      <c r="AC862">
        <v>15</v>
      </c>
      <c r="AD862">
        <v>135</v>
      </c>
      <c r="AE862">
        <v>71.5</v>
      </c>
      <c r="AF862">
        <v>63.5</v>
      </c>
      <c r="AG862">
        <v>2024</v>
      </c>
      <c r="AH862">
        <v>6</v>
      </c>
      <c r="AI862" t="s">
        <v>2304</v>
      </c>
      <c r="AJ862" t="s">
        <v>2315</v>
      </c>
    </row>
    <row r="863" spans="1:36" x14ac:dyDescent="0.3">
      <c r="A863" t="s">
        <v>897</v>
      </c>
      <c r="B863" s="2">
        <v>45438</v>
      </c>
      <c r="C863" t="s">
        <v>1649</v>
      </c>
      <c r="D863" t="s">
        <v>1761</v>
      </c>
      <c r="E863" t="s">
        <v>1976</v>
      </c>
      <c r="F863" t="s">
        <v>1761</v>
      </c>
      <c r="G863" t="s">
        <v>2242</v>
      </c>
      <c r="H863" t="s">
        <v>2258</v>
      </c>
      <c r="I863" t="s">
        <v>2260</v>
      </c>
      <c r="J863" t="s">
        <v>2265</v>
      </c>
      <c r="K863">
        <v>1</v>
      </c>
      <c r="L863">
        <v>130</v>
      </c>
      <c r="M863">
        <v>0.1</v>
      </c>
      <c r="O863">
        <v>117</v>
      </c>
      <c r="P863" t="s">
        <v>2267</v>
      </c>
      <c r="Q863" t="s">
        <v>2270</v>
      </c>
      <c r="R863" t="s">
        <v>2276</v>
      </c>
      <c r="S863" t="s">
        <v>2281</v>
      </c>
      <c r="T863" t="s">
        <v>2288</v>
      </c>
      <c r="U863">
        <v>4</v>
      </c>
      <c r="V863">
        <v>137</v>
      </c>
      <c r="W863">
        <v>17</v>
      </c>
      <c r="X863">
        <v>55.57</v>
      </c>
      <c r="Y863">
        <v>61.43</v>
      </c>
      <c r="Z863" t="s">
        <v>1761</v>
      </c>
      <c r="AA863" t="s">
        <v>2296</v>
      </c>
      <c r="AB863">
        <v>130</v>
      </c>
      <c r="AC863">
        <v>13</v>
      </c>
      <c r="AD863">
        <v>117</v>
      </c>
      <c r="AE863">
        <v>55.57</v>
      </c>
      <c r="AF863">
        <v>61.43</v>
      </c>
      <c r="AG863">
        <v>2024</v>
      </c>
      <c r="AH863">
        <v>5</v>
      </c>
      <c r="AI863" t="s">
        <v>2306</v>
      </c>
      <c r="AJ863" t="s">
        <v>2318</v>
      </c>
    </row>
    <row r="864" spans="1:36" x14ac:dyDescent="0.3">
      <c r="A864" t="s">
        <v>898</v>
      </c>
      <c r="B864" s="2">
        <v>45585</v>
      </c>
      <c r="C864" t="s">
        <v>1670</v>
      </c>
      <c r="D864" t="s">
        <v>1918</v>
      </c>
      <c r="E864" t="s">
        <v>1761</v>
      </c>
      <c r="F864" t="s">
        <v>2240</v>
      </c>
      <c r="G864" t="s">
        <v>2252</v>
      </c>
      <c r="H864" t="s">
        <v>2257</v>
      </c>
      <c r="I864" t="s">
        <v>2262</v>
      </c>
      <c r="J864" t="s">
        <v>2264</v>
      </c>
      <c r="K864">
        <v>1</v>
      </c>
      <c r="L864">
        <v>90</v>
      </c>
      <c r="M864">
        <v>0.05</v>
      </c>
      <c r="N864">
        <v>90</v>
      </c>
      <c r="O864">
        <v>85.5</v>
      </c>
      <c r="P864" t="s">
        <v>2269</v>
      </c>
      <c r="Q864" t="s">
        <v>2270</v>
      </c>
      <c r="R864" t="s">
        <v>2273</v>
      </c>
      <c r="S864" t="s">
        <v>2280</v>
      </c>
      <c r="T864" t="s">
        <v>2288</v>
      </c>
      <c r="U864">
        <v>5</v>
      </c>
      <c r="V864">
        <v>161</v>
      </c>
      <c r="W864">
        <v>51</v>
      </c>
      <c r="X864">
        <v>43.2</v>
      </c>
      <c r="Y864">
        <v>42.3</v>
      </c>
      <c r="Z864" t="s">
        <v>2293</v>
      </c>
      <c r="AA864" t="s">
        <v>2299</v>
      </c>
      <c r="AB864">
        <v>90</v>
      </c>
      <c r="AC864">
        <v>4.5</v>
      </c>
      <c r="AD864">
        <v>85.5</v>
      </c>
      <c r="AE864">
        <v>43.2</v>
      </c>
      <c r="AF864">
        <v>42.3</v>
      </c>
      <c r="AG864">
        <v>2024</v>
      </c>
      <c r="AH864">
        <v>10</v>
      </c>
      <c r="AI864" t="s">
        <v>2310</v>
      </c>
      <c r="AJ864" t="s">
        <v>2318</v>
      </c>
    </row>
    <row r="865" spans="1:36" x14ac:dyDescent="0.3">
      <c r="A865" t="s">
        <v>899</v>
      </c>
      <c r="B865" s="2">
        <v>45321</v>
      </c>
      <c r="C865" t="s">
        <v>1653</v>
      </c>
      <c r="D865" t="s">
        <v>1849</v>
      </c>
      <c r="E865" t="s">
        <v>2222</v>
      </c>
      <c r="F865" t="s">
        <v>2238</v>
      </c>
      <c r="G865" t="s">
        <v>2243</v>
      </c>
      <c r="H865" t="s">
        <v>2258</v>
      </c>
      <c r="I865" t="s">
        <v>2260</v>
      </c>
      <c r="J865" t="s">
        <v>2264</v>
      </c>
      <c r="K865">
        <v>2</v>
      </c>
      <c r="L865">
        <v>75</v>
      </c>
      <c r="M865">
        <v>0.15</v>
      </c>
      <c r="N865">
        <v>150</v>
      </c>
      <c r="O865">
        <v>127.5</v>
      </c>
      <c r="P865" t="s">
        <v>2267</v>
      </c>
      <c r="Q865" t="s">
        <v>2270</v>
      </c>
      <c r="R865" t="s">
        <v>2274</v>
      </c>
      <c r="S865" t="s">
        <v>2281</v>
      </c>
      <c r="T865" t="s">
        <v>2288</v>
      </c>
      <c r="U865">
        <v>2</v>
      </c>
      <c r="V865">
        <v>284</v>
      </c>
      <c r="W865">
        <v>57</v>
      </c>
      <c r="X865">
        <v>31.74</v>
      </c>
      <c r="Y865">
        <v>64.02</v>
      </c>
      <c r="Z865" t="s">
        <v>2294</v>
      </c>
      <c r="AA865" t="s">
        <v>2298</v>
      </c>
      <c r="AB865">
        <v>150</v>
      </c>
      <c r="AC865">
        <v>22.5</v>
      </c>
      <c r="AD865">
        <v>127.5</v>
      </c>
      <c r="AE865">
        <v>63.48</v>
      </c>
      <c r="AF865">
        <v>64.02000000000001</v>
      </c>
      <c r="AG865">
        <v>2024</v>
      </c>
      <c r="AH865">
        <v>1</v>
      </c>
      <c r="AI865" t="s">
        <v>2302</v>
      </c>
      <c r="AJ865" t="s">
        <v>2313</v>
      </c>
    </row>
    <row r="866" spans="1:36" x14ac:dyDescent="0.3">
      <c r="A866" t="s">
        <v>900</v>
      </c>
      <c r="B866" s="2">
        <v>45299</v>
      </c>
      <c r="C866" t="s">
        <v>1713</v>
      </c>
      <c r="D866" t="s">
        <v>1932</v>
      </c>
      <c r="E866" t="s">
        <v>2147</v>
      </c>
      <c r="F866" t="s">
        <v>2240</v>
      </c>
      <c r="G866" t="s">
        <v>2243</v>
      </c>
      <c r="H866" t="s">
        <v>2258</v>
      </c>
      <c r="I866" t="s">
        <v>2260</v>
      </c>
      <c r="J866" t="s">
        <v>2266</v>
      </c>
      <c r="K866">
        <v>2</v>
      </c>
      <c r="L866">
        <v>75</v>
      </c>
      <c r="N866">
        <v>150</v>
      </c>
      <c r="P866" t="s">
        <v>2268</v>
      </c>
      <c r="Q866" t="s">
        <v>2272</v>
      </c>
      <c r="R866" t="s">
        <v>2273</v>
      </c>
      <c r="S866" t="s">
        <v>2284</v>
      </c>
      <c r="T866" t="s">
        <v>2288</v>
      </c>
      <c r="U866">
        <v>3</v>
      </c>
      <c r="V866">
        <v>197</v>
      </c>
      <c r="W866">
        <v>55</v>
      </c>
      <c r="X866">
        <v>27.09</v>
      </c>
      <c r="Z866" t="s">
        <v>2291</v>
      </c>
      <c r="AA866" t="s">
        <v>2296</v>
      </c>
      <c r="AB866">
        <v>150</v>
      </c>
      <c r="AC866">
        <v>0</v>
      </c>
      <c r="AD866">
        <v>150</v>
      </c>
      <c r="AE866">
        <v>54.18</v>
      </c>
      <c r="AF866">
        <v>95.82</v>
      </c>
      <c r="AG866">
        <v>2024</v>
      </c>
      <c r="AH866">
        <v>1</v>
      </c>
      <c r="AI866" t="s">
        <v>2302</v>
      </c>
      <c r="AJ866" t="s">
        <v>2314</v>
      </c>
    </row>
    <row r="867" spans="1:36" x14ac:dyDescent="0.3">
      <c r="A867" t="s">
        <v>901</v>
      </c>
      <c r="C867" t="s">
        <v>1734</v>
      </c>
      <c r="D867" t="s">
        <v>1768</v>
      </c>
      <c r="E867" t="s">
        <v>2221</v>
      </c>
      <c r="F867" t="s">
        <v>2240</v>
      </c>
      <c r="G867" t="s">
        <v>2241</v>
      </c>
      <c r="H867" t="s">
        <v>2257</v>
      </c>
      <c r="I867" t="s">
        <v>2262</v>
      </c>
      <c r="J867" t="s">
        <v>2264</v>
      </c>
      <c r="K867">
        <v>2</v>
      </c>
      <c r="L867">
        <v>130</v>
      </c>
      <c r="M867">
        <v>0.15</v>
      </c>
      <c r="N867">
        <v>260</v>
      </c>
      <c r="O867">
        <v>221</v>
      </c>
      <c r="P867" t="s">
        <v>2267</v>
      </c>
      <c r="Q867" t="s">
        <v>2272</v>
      </c>
      <c r="R867" t="s">
        <v>2274</v>
      </c>
      <c r="S867" t="s">
        <v>2281</v>
      </c>
      <c r="T867" t="s">
        <v>2289</v>
      </c>
      <c r="U867">
        <v>2</v>
      </c>
      <c r="V867">
        <v>157</v>
      </c>
      <c r="W867">
        <v>59</v>
      </c>
      <c r="X867">
        <v>59.99</v>
      </c>
      <c r="Y867">
        <v>101.02</v>
      </c>
      <c r="Z867" t="s">
        <v>2294</v>
      </c>
      <c r="AA867" t="s">
        <v>2299</v>
      </c>
      <c r="AB867">
        <v>260</v>
      </c>
      <c r="AC867">
        <v>39</v>
      </c>
      <c r="AD867">
        <v>221</v>
      </c>
      <c r="AE867">
        <v>119.98</v>
      </c>
      <c r="AF867">
        <v>101.02</v>
      </c>
    </row>
    <row r="868" spans="1:36" x14ac:dyDescent="0.3">
      <c r="A868" t="s">
        <v>902</v>
      </c>
      <c r="B868" s="2">
        <v>45457</v>
      </c>
      <c r="C868" t="s">
        <v>1660</v>
      </c>
      <c r="D868" t="s">
        <v>1905</v>
      </c>
      <c r="E868" t="s">
        <v>1955</v>
      </c>
      <c r="F868" t="s">
        <v>2240</v>
      </c>
      <c r="G868" t="s">
        <v>2246</v>
      </c>
      <c r="H868" t="s">
        <v>2259</v>
      </c>
      <c r="I868" t="s">
        <v>2262</v>
      </c>
      <c r="J868" t="s">
        <v>2265</v>
      </c>
      <c r="K868">
        <v>1</v>
      </c>
      <c r="L868">
        <v>100</v>
      </c>
      <c r="N868">
        <v>100</v>
      </c>
      <c r="P868" t="s">
        <v>2269</v>
      </c>
      <c r="Q868" t="s">
        <v>2271</v>
      </c>
      <c r="R868" t="s">
        <v>2278</v>
      </c>
      <c r="S868" t="s">
        <v>2285</v>
      </c>
      <c r="T868" t="s">
        <v>2288</v>
      </c>
      <c r="U868">
        <v>5</v>
      </c>
      <c r="W868">
        <v>26</v>
      </c>
      <c r="X868">
        <v>52.17</v>
      </c>
      <c r="Z868" t="s">
        <v>1761</v>
      </c>
      <c r="AA868" t="s">
        <v>2296</v>
      </c>
      <c r="AB868">
        <v>100</v>
      </c>
      <c r="AC868">
        <v>0</v>
      </c>
      <c r="AD868">
        <v>100</v>
      </c>
      <c r="AE868">
        <v>52.17</v>
      </c>
      <c r="AF868">
        <v>47.83</v>
      </c>
      <c r="AG868">
        <v>2024</v>
      </c>
      <c r="AH868">
        <v>6</v>
      </c>
      <c r="AI868" t="s">
        <v>2304</v>
      </c>
      <c r="AJ868" t="s">
        <v>2315</v>
      </c>
    </row>
    <row r="869" spans="1:36" x14ac:dyDescent="0.3">
      <c r="A869" t="s">
        <v>903</v>
      </c>
      <c r="B869" s="2">
        <v>45608</v>
      </c>
      <c r="C869" t="s">
        <v>1717</v>
      </c>
      <c r="D869" t="s">
        <v>1896</v>
      </c>
      <c r="E869" t="s">
        <v>2190</v>
      </c>
      <c r="F869" t="s">
        <v>2239</v>
      </c>
      <c r="G869" t="s">
        <v>2242</v>
      </c>
      <c r="H869" t="s">
        <v>2258</v>
      </c>
      <c r="I869" t="s">
        <v>2260</v>
      </c>
      <c r="J869" t="s">
        <v>2265</v>
      </c>
      <c r="K869">
        <v>2</v>
      </c>
      <c r="L869">
        <v>130</v>
      </c>
      <c r="M869">
        <v>0.15</v>
      </c>
      <c r="N869">
        <v>260</v>
      </c>
      <c r="O869">
        <v>221</v>
      </c>
      <c r="P869" t="s">
        <v>2267</v>
      </c>
      <c r="Q869" t="s">
        <v>2270</v>
      </c>
      <c r="R869" t="s">
        <v>2277</v>
      </c>
      <c r="S869" t="s">
        <v>2287</v>
      </c>
      <c r="T869" t="s">
        <v>2289</v>
      </c>
      <c r="U869">
        <v>4</v>
      </c>
      <c r="V869">
        <v>15</v>
      </c>
      <c r="W869">
        <v>37</v>
      </c>
      <c r="X869">
        <v>54.01</v>
      </c>
      <c r="Y869">
        <v>112.98</v>
      </c>
      <c r="Z869" t="s">
        <v>2292</v>
      </c>
      <c r="AA869" t="s">
        <v>2296</v>
      </c>
      <c r="AB869">
        <v>260</v>
      </c>
      <c r="AC869">
        <v>39</v>
      </c>
      <c r="AD869">
        <v>221</v>
      </c>
      <c r="AE869">
        <v>108.02</v>
      </c>
      <c r="AF869">
        <v>112.98</v>
      </c>
      <c r="AG869">
        <v>2024</v>
      </c>
      <c r="AH869">
        <v>11</v>
      </c>
      <c r="AI869" t="s">
        <v>2311</v>
      </c>
      <c r="AJ869" t="s">
        <v>2313</v>
      </c>
    </row>
    <row r="870" spans="1:36" x14ac:dyDescent="0.3">
      <c r="A870" t="s">
        <v>904</v>
      </c>
      <c r="B870" s="2">
        <v>45403</v>
      </c>
      <c r="C870" t="s">
        <v>1689</v>
      </c>
      <c r="D870" t="s">
        <v>1924</v>
      </c>
      <c r="E870" t="s">
        <v>2173</v>
      </c>
      <c r="F870" t="s">
        <v>2239</v>
      </c>
      <c r="G870" t="s">
        <v>2250</v>
      </c>
      <c r="H870" t="s">
        <v>2259</v>
      </c>
      <c r="I870" t="s">
        <v>2262</v>
      </c>
      <c r="J870" t="s">
        <v>2264</v>
      </c>
      <c r="L870">
        <v>90</v>
      </c>
      <c r="M870">
        <v>0.05</v>
      </c>
      <c r="N870">
        <v>90</v>
      </c>
      <c r="O870">
        <v>85.5</v>
      </c>
      <c r="P870" t="s">
        <v>2268</v>
      </c>
      <c r="R870" t="s">
        <v>2279</v>
      </c>
      <c r="S870" t="s">
        <v>2285</v>
      </c>
      <c r="T870" t="s">
        <v>2288</v>
      </c>
      <c r="V870">
        <v>409</v>
      </c>
      <c r="W870">
        <v>58</v>
      </c>
      <c r="X870">
        <v>36.299999999999997</v>
      </c>
      <c r="Y870">
        <v>49.2</v>
      </c>
      <c r="Z870" t="s">
        <v>2293</v>
      </c>
      <c r="AA870" t="s">
        <v>2298</v>
      </c>
      <c r="AG870">
        <v>2024</v>
      </c>
      <c r="AH870">
        <v>4</v>
      </c>
      <c r="AI870" t="s">
        <v>2308</v>
      </c>
      <c r="AJ870" t="s">
        <v>2318</v>
      </c>
    </row>
    <row r="871" spans="1:36" x14ac:dyDescent="0.3">
      <c r="A871" t="s">
        <v>905</v>
      </c>
      <c r="B871" s="2">
        <v>45566</v>
      </c>
      <c r="C871" t="s">
        <v>1645</v>
      </c>
      <c r="D871" t="s">
        <v>1815</v>
      </c>
      <c r="E871" t="s">
        <v>2223</v>
      </c>
      <c r="F871" t="s">
        <v>2239</v>
      </c>
      <c r="G871" t="s">
        <v>2247</v>
      </c>
      <c r="H871" t="s">
        <v>2257</v>
      </c>
      <c r="I871" t="s">
        <v>2262</v>
      </c>
      <c r="J871" t="s">
        <v>2266</v>
      </c>
      <c r="K871">
        <v>2</v>
      </c>
      <c r="L871">
        <v>105</v>
      </c>
      <c r="M871">
        <v>0.1</v>
      </c>
      <c r="N871">
        <v>210</v>
      </c>
      <c r="O871">
        <v>189</v>
      </c>
      <c r="P871" t="s">
        <v>2268</v>
      </c>
      <c r="Q871" t="s">
        <v>2270</v>
      </c>
      <c r="R871" t="s">
        <v>2275</v>
      </c>
      <c r="S871" t="s">
        <v>2281</v>
      </c>
      <c r="T871" t="s">
        <v>2288</v>
      </c>
      <c r="V871">
        <v>317</v>
      </c>
      <c r="W871">
        <v>14</v>
      </c>
      <c r="X871">
        <v>37.24</v>
      </c>
      <c r="Y871">
        <v>114.52</v>
      </c>
      <c r="Z871" t="s">
        <v>2292</v>
      </c>
      <c r="AA871" t="s">
        <v>2296</v>
      </c>
      <c r="AB871">
        <v>210</v>
      </c>
      <c r="AC871">
        <v>21</v>
      </c>
      <c r="AD871">
        <v>189</v>
      </c>
      <c r="AE871">
        <v>74.48</v>
      </c>
      <c r="AF871">
        <v>114.52</v>
      </c>
      <c r="AG871">
        <v>2024</v>
      </c>
      <c r="AH871">
        <v>10</v>
      </c>
      <c r="AI871" t="s">
        <v>2310</v>
      </c>
      <c r="AJ871" t="s">
        <v>2313</v>
      </c>
    </row>
    <row r="872" spans="1:36" x14ac:dyDescent="0.3">
      <c r="A872" t="s">
        <v>906</v>
      </c>
      <c r="B872" s="2">
        <v>45366</v>
      </c>
      <c r="C872" t="s">
        <v>1702</v>
      </c>
      <c r="D872" t="s">
        <v>1842</v>
      </c>
      <c r="E872" t="s">
        <v>1761</v>
      </c>
      <c r="F872" t="s">
        <v>2239</v>
      </c>
      <c r="G872" t="s">
        <v>2241</v>
      </c>
      <c r="H872" t="s">
        <v>2257</v>
      </c>
      <c r="I872" t="s">
        <v>2262</v>
      </c>
      <c r="K872">
        <v>2</v>
      </c>
      <c r="L872">
        <v>130</v>
      </c>
      <c r="M872">
        <v>0</v>
      </c>
      <c r="N872">
        <v>260</v>
      </c>
      <c r="O872">
        <v>260</v>
      </c>
      <c r="P872" t="s">
        <v>2269</v>
      </c>
      <c r="Q872" t="s">
        <v>2271</v>
      </c>
      <c r="R872" t="s">
        <v>2277</v>
      </c>
      <c r="S872" t="s">
        <v>2282</v>
      </c>
      <c r="T872" t="s">
        <v>2288</v>
      </c>
      <c r="U872">
        <v>1</v>
      </c>
      <c r="V872">
        <v>164</v>
      </c>
      <c r="W872">
        <v>53</v>
      </c>
      <c r="X872">
        <v>68.33</v>
      </c>
      <c r="Y872">
        <v>123.34</v>
      </c>
      <c r="Z872" t="s">
        <v>2293</v>
      </c>
      <c r="AA872" t="s">
        <v>2299</v>
      </c>
      <c r="AB872">
        <v>260</v>
      </c>
      <c r="AC872">
        <v>0</v>
      </c>
      <c r="AD872">
        <v>260</v>
      </c>
      <c r="AE872">
        <v>136.66</v>
      </c>
      <c r="AF872">
        <v>123.34</v>
      </c>
      <c r="AG872">
        <v>2024</v>
      </c>
      <c r="AH872">
        <v>3</v>
      </c>
      <c r="AI872" t="s">
        <v>2305</v>
      </c>
      <c r="AJ872" t="s">
        <v>2315</v>
      </c>
    </row>
    <row r="873" spans="1:36" x14ac:dyDescent="0.3">
      <c r="A873" t="s">
        <v>907</v>
      </c>
      <c r="B873" s="2">
        <v>45325</v>
      </c>
      <c r="C873" t="s">
        <v>1706</v>
      </c>
      <c r="D873" t="s">
        <v>1791</v>
      </c>
      <c r="E873" t="s">
        <v>2102</v>
      </c>
      <c r="F873" t="s">
        <v>1761</v>
      </c>
      <c r="G873" t="s">
        <v>2243</v>
      </c>
      <c r="H873" t="s">
        <v>2258</v>
      </c>
      <c r="I873" t="s">
        <v>2260</v>
      </c>
      <c r="J873" t="s">
        <v>2266</v>
      </c>
      <c r="K873">
        <v>1</v>
      </c>
      <c r="L873">
        <v>70</v>
      </c>
      <c r="M873">
        <v>0</v>
      </c>
      <c r="N873">
        <v>70</v>
      </c>
      <c r="O873">
        <v>70</v>
      </c>
      <c r="P873" t="s">
        <v>2268</v>
      </c>
      <c r="Q873" t="s">
        <v>2270</v>
      </c>
      <c r="R873" t="s">
        <v>2276</v>
      </c>
      <c r="S873" t="s">
        <v>2287</v>
      </c>
      <c r="T873" t="s">
        <v>2290</v>
      </c>
      <c r="U873">
        <v>3</v>
      </c>
      <c r="W873">
        <v>36</v>
      </c>
      <c r="X873">
        <v>30.93</v>
      </c>
      <c r="Y873">
        <v>39.07</v>
      </c>
      <c r="Z873" t="s">
        <v>2292</v>
      </c>
      <c r="AA873" t="s">
        <v>2299</v>
      </c>
      <c r="AB873">
        <v>70</v>
      </c>
      <c r="AC873">
        <v>0</v>
      </c>
      <c r="AD873">
        <v>70</v>
      </c>
      <c r="AE873">
        <v>30.93</v>
      </c>
      <c r="AF873">
        <v>39.07</v>
      </c>
      <c r="AG873">
        <v>2024</v>
      </c>
      <c r="AH873">
        <v>2</v>
      </c>
      <c r="AI873" t="s">
        <v>2303</v>
      </c>
      <c r="AJ873" t="s">
        <v>2317</v>
      </c>
    </row>
    <row r="874" spans="1:36" x14ac:dyDescent="0.3">
      <c r="A874" t="s">
        <v>908</v>
      </c>
      <c r="B874" s="2">
        <v>45602</v>
      </c>
      <c r="C874" t="s">
        <v>1671</v>
      </c>
      <c r="D874" t="s">
        <v>1796</v>
      </c>
      <c r="E874" t="s">
        <v>2139</v>
      </c>
      <c r="F874" t="s">
        <v>2239</v>
      </c>
      <c r="G874" t="s">
        <v>2244</v>
      </c>
      <c r="H874" t="s">
        <v>2257</v>
      </c>
      <c r="I874" t="s">
        <v>2262</v>
      </c>
      <c r="K874">
        <v>5</v>
      </c>
      <c r="L874">
        <v>120</v>
      </c>
      <c r="M874">
        <v>0</v>
      </c>
      <c r="N874">
        <v>600</v>
      </c>
      <c r="O874">
        <v>600</v>
      </c>
      <c r="P874" t="s">
        <v>2267</v>
      </c>
      <c r="R874" t="s">
        <v>2276</v>
      </c>
      <c r="S874" t="s">
        <v>2284</v>
      </c>
      <c r="T874" t="s">
        <v>2290</v>
      </c>
      <c r="V874">
        <v>87</v>
      </c>
      <c r="X874">
        <v>47.89</v>
      </c>
      <c r="Y874">
        <v>360.55</v>
      </c>
      <c r="Z874" t="s">
        <v>2294</v>
      </c>
      <c r="AA874" t="s">
        <v>2296</v>
      </c>
      <c r="AB874">
        <v>600</v>
      </c>
      <c r="AC874">
        <v>0</v>
      </c>
      <c r="AD874">
        <v>600</v>
      </c>
      <c r="AE874">
        <v>239.45</v>
      </c>
      <c r="AF874">
        <v>360.55</v>
      </c>
      <c r="AG874">
        <v>2024</v>
      </c>
      <c r="AH874">
        <v>11</v>
      </c>
      <c r="AI874" t="s">
        <v>2311</v>
      </c>
      <c r="AJ874" t="s">
        <v>2312</v>
      </c>
    </row>
    <row r="875" spans="1:36" x14ac:dyDescent="0.3">
      <c r="A875" t="s">
        <v>909</v>
      </c>
      <c r="B875" s="2">
        <v>45394</v>
      </c>
      <c r="C875" t="s">
        <v>1654</v>
      </c>
      <c r="D875" t="s">
        <v>1827</v>
      </c>
      <c r="E875" t="s">
        <v>2125</v>
      </c>
      <c r="F875" t="s">
        <v>2239</v>
      </c>
      <c r="G875" t="s">
        <v>2251</v>
      </c>
      <c r="H875" t="s">
        <v>2258</v>
      </c>
      <c r="I875" t="s">
        <v>2260</v>
      </c>
      <c r="J875" t="s">
        <v>2264</v>
      </c>
      <c r="K875">
        <v>2</v>
      </c>
      <c r="L875">
        <v>100</v>
      </c>
      <c r="M875">
        <v>0.1</v>
      </c>
      <c r="N875">
        <v>200</v>
      </c>
      <c r="O875">
        <v>180</v>
      </c>
      <c r="P875" t="s">
        <v>2268</v>
      </c>
      <c r="Q875" t="s">
        <v>2272</v>
      </c>
      <c r="R875" t="s">
        <v>2275</v>
      </c>
      <c r="S875" t="s">
        <v>2282</v>
      </c>
      <c r="T875" t="s">
        <v>2288</v>
      </c>
      <c r="U875">
        <v>3</v>
      </c>
      <c r="V875">
        <v>315</v>
      </c>
      <c r="X875">
        <v>52.07</v>
      </c>
      <c r="Y875">
        <v>75.86</v>
      </c>
      <c r="Z875" t="s">
        <v>2292</v>
      </c>
      <c r="AA875" t="s">
        <v>2298</v>
      </c>
      <c r="AB875">
        <v>200</v>
      </c>
      <c r="AC875">
        <v>20</v>
      </c>
      <c r="AD875">
        <v>180</v>
      </c>
      <c r="AE875">
        <v>104.14</v>
      </c>
      <c r="AF875">
        <v>75.86</v>
      </c>
      <c r="AG875">
        <v>2024</v>
      </c>
      <c r="AH875">
        <v>4</v>
      </c>
      <c r="AI875" t="s">
        <v>2308</v>
      </c>
      <c r="AJ875" t="s">
        <v>2315</v>
      </c>
    </row>
    <row r="876" spans="1:36" x14ac:dyDescent="0.3">
      <c r="A876" t="s">
        <v>910</v>
      </c>
      <c r="B876" s="2">
        <v>45377</v>
      </c>
      <c r="C876" t="s">
        <v>1646</v>
      </c>
      <c r="D876" t="s">
        <v>1830</v>
      </c>
      <c r="E876" t="s">
        <v>2139</v>
      </c>
      <c r="F876" t="s">
        <v>2239</v>
      </c>
      <c r="G876" t="s">
        <v>2256</v>
      </c>
      <c r="H876" t="s">
        <v>2261</v>
      </c>
      <c r="I876" t="s">
        <v>2260</v>
      </c>
      <c r="K876">
        <v>3</v>
      </c>
      <c r="L876">
        <v>190</v>
      </c>
      <c r="M876">
        <v>0.1</v>
      </c>
      <c r="N876">
        <v>570</v>
      </c>
      <c r="O876">
        <v>513</v>
      </c>
      <c r="Q876" t="s">
        <v>2272</v>
      </c>
      <c r="R876" t="s">
        <v>2279</v>
      </c>
      <c r="S876" t="s">
        <v>2287</v>
      </c>
      <c r="T876" t="s">
        <v>2290</v>
      </c>
      <c r="U876">
        <v>2</v>
      </c>
      <c r="V876">
        <v>437</v>
      </c>
      <c r="W876">
        <v>53</v>
      </c>
      <c r="X876">
        <v>76.52</v>
      </c>
      <c r="Y876">
        <v>283.44</v>
      </c>
      <c r="Z876" t="s">
        <v>1761</v>
      </c>
      <c r="AA876" t="s">
        <v>1761</v>
      </c>
      <c r="AB876">
        <v>570</v>
      </c>
      <c r="AC876">
        <v>57</v>
      </c>
      <c r="AD876">
        <v>513</v>
      </c>
      <c r="AE876">
        <v>229.56</v>
      </c>
      <c r="AF876">
        <v>283.44</v>
      </c>
      <c r="AG876">
        <v>2024</v>
      </c>
      <c r="AH876">
        <v>3</v>
      </c>
      <c r="AI876" t="s">
        <v>2305</v>
      </c>
      <c r="AJ876" t="s">
        <v>2313</v>
      </c>
    </row>
    <row r="877" spans="1:36" x14ac:dyDescent="0.3">
      <c r="A877" t="s">
        <v>911</v>
      </c>
      <c r="B877" s="2">
        <v>45482</v>
      </c>
      <c r="C877" t="s">
        <v>1663</v>
      </c>
      <c r="D877" t="s">
        <v>1817</v>
      </c>
      <c r="E877" t="s">
        <v>2202</v>
      </c>
      <c r="F877" t="s">
        <v>2238</v>
      </c>
      <c r="G877" t="s">
        <v>2248</v>
      </c>
      <c r="H877" t="s">
        <v>2257</v>
      </c>
      <c r="I877" t="s">
        <v>2262</v>
      </c>
      <c r="J877" t="s">
        <v>2265</v>
      </c>
      <c r="K877">
        <v>2</v>
      </c>
      <c r="L877">
        <v>150</v>
      </c>
      <c r="M877">
        <v>0</v>
      </c>
      <c r="N877">
        <v>300</v>
      </c>
      <c r="O877">
        <v>300</v>
      </c>
      <c r="P877" t="s">
        <v>2267</v>
      </c>
      <c r="Q877" t="s">
        <v>2270</v>
      </c>
      <c r="R877" t="s">
        <v>2278</v>
      </c>
      <c r="S877" t="s">
        <v>2284</v>
      </c>
      <c r="T877" t="s">
        <v>2290</v>
      </c>
      <c r="U877">
        <v>1</v>
      </c>
      <c r="V877">
        <v>482</v>
      </c>
      <c r="W877">
        <v>11</v>
      </c>
      <c r="X877">
        <v>51.33</v>
      </c>
      <c r="Y877">
        <v>197.34</v>
      </c>
      <c r="Z877" t="s">
        <v>2294</v>
      </c>
      <c r="AA877" t="s">
        <v>1761</v>
      </c>
      <c r="AB877">
        <v>300</v>
      </c>
      <c r="AC877">
        <v>0</v>
      </c>
      <c r="AD877">
        <v>300</v>
      </c>
      <c r="AE877">
        <v>102.66</v>
      </c>
      <c r="AF877">
        <v>197.34</v>
      </c>
      <c r="AG877">
        <v>2024</v>
      </c>
      <c r="AH877">
        <v>7</v>
      </c>
      <c r="AI877" t="s">
        <v>2307</v>
      </c>
      <c r="AJ877" t="s">
        <v>2313</v>
      </c>
    </row>
    <row r="878" spans="1:36" x14ac:dyDescent="0.3">
      <c r="A878" t="s">
        <v>912</v>
      </c>
      <c r="B878" s="2">
        <v>45638</v>
      </c>
      <c r="C878" t="s">
        <v>1643</v>
      </c>
      <c r="D878" t="s">
        <v>1812</v>
      </c>
      <c r="E878" t="s">
        <v>2214</v>
      </c>
      <c r="F878" t="s">
        <v>2239</v>
      </c>
      <c r="G878" t="s">
        <v>2245</v>
      </c>
      <c r="H878" t="s">
        <v>2257</v>
      </c>
      <c r="I878" t="s">
        <v>2263</v>
      </c>
      <c r="J878" t="s">
        <v>2264</v>
      </c>
      <c r="K878">
        <v>3</v>
      </c>
      <c r="L878">
        <v>150</v>
      </c>
      <c r="M878">
        <v>0</v>
      </c>
      <c r="N878">
        <v>450</v>
      </c>
      <c r="O878">
        <v>450</v>
      </c>
      <c r="P878" t="s">
        <v>2268</v>
      </c>
      <c r="R878" t="s">
        <v>2277</v>
      </c>
      <c r="S878" t="s">
        <v>2280</v>
      </c>
      <c r="T878" t="s">
        <v>2290</v>
      </c>
      <c r="U878">
        <v>5</v>
      </c>
      <c r="V878">
        <v>263</v>
      </c>
      <c r="W878">
        <v>40</v>
      </c>
      <c r="X878">
        <v>65.489999999999995</v>
      </c>
      <c r="Y878">
        <v>253.53</v>
      </c>
      <c r="Z878" t="s">
        <v>1761</v>
      </c>
      <c r="AA878" t="s">
        <v>2298</v>
      </c>
      <c r="AB878">
        <v>450</v>
      </c>
      <c r="AC878">
        <v>0</v>
      </c>
      <c r="AD878">
        <v>450</v>
      </c>
      <c r="AE878">
        <v>196.47</v>
      </c>
      <c r="AF878">
        <v>253.53</v>
      </c>
      <c r="AG878">
        <v>2024</v>
      </c>
      <c r="AH878">
        <v>12</v>
      </c>
      <c r="AI878" t="s">
        <v>2309</v>
      </c>
      <c r="AJ878" t="s">
        <v>2316</v>
      </c>
    </row>
    <row r="879" spans="1:36" x14ac:dyDescent="0.3">
      <c r="A879" t="s">
        <v>913</v>
      </c>
      <c r="B879" s="2">
        <v>45526</v>
      </c>
      <c r="C879" t="s">
        <v>1712</v>
      </c>
      <c r="D879" t="s">
        <v>1780</v>
      </c>
      <c r="E879" t="s">
        <v>1761</v>
      </c>
      <c r="F879" t="s">
        <v>2240</v>
      </c>
      <c r="G879" t="s">
        <v>2247</v>
      </c>
      <c r="H879" t="s">
        <v>2257</v>
      </c>
      <c r="I879" t="s">
        <v>2262</v>
      </c>
      <c r="J879" t="s">
        <v>2265</v>
      </c>
      <c r="K879">
        <v>1</v>
      </c>
      <c r="L879">
        <v>95</v>
      </c>
      <c r="M879">
        <v>0.1</v>
      </c>
      <c r="N879">
        <v>95</v>
      </c>
      <c r="O879">
        <v>85.5</v>
      </c>
      <c r="P879" t="s">
        <v>2269</v>
      </c>
      <c r="Q879" t="s">
        <v>2271</v>
      </c>
      <c r="R879" t="s">
        <v>2279</v>
      </c>
      <c r="S879" t="s">
        <v>2284</v>
      </c>
      <c r="T879" t="s">
        <v>2290</v>
      </c>
      <c r="U879">
        <v>3</v>
      </c>
      <c r="V879">
        <v>407</v>
      </c>
      <c r="X879">
        <v>39.24</v>
      </c>
      <c r="Y879">
        <v>46.26</v>
      </c>
      <c r="Z879" t="s">
        <v>2294</v>
      </c>
      <c r="AA879" t="s">
        <v>2296</v>
      </c>
      <c r="AB879">
        <v>95</v>
      </c>
      <c r="AC879">
        <v>9.5</v>
      </c>
      <c r="AD879">
        <v>85.5</v>
      </c>
      <c r="AE879">
        <v>39.24</v>
      </c>
      <c r="AF879">
        <v>46.26</v>
      </c>
      <c r="AG879">
        <v>2024</v>
      </c>
      <c r="AH879">
        <v>8</v>
      </c>
      <c r="AI879" t="s">
        <v>2301</v>
      </c>
      <c r="AJ879" t="s">
        <v>2316</v>
      </c>
    </row>
    <row r="880" spans="1:36" x14ac:dyDescent="0.3">
      <c r="A880" t="s">
        <v>914</v>
      </c>
      <c r="B880" s="2">
        <v>45596</v>
      </c>
      <c r="C880" t="s">
        <v>1646</v>
      </c>
      <c r="D880" t="s">
        <v>1744</v>
      </c>
      <c r="E880" t="s">
        <v>2093</v>
      </c>
      <c r="F880" t="s">
        <v>2240</v>
      </c>
      <c r="G880" t="s">
        <v>2252</v>
      </c>
      <c r="H880" t="s">
        <v>2257</v>
      </c>
      <c r="I880" t="s">
        <v>2262</v>
      </c>
      <c r="J880" t="s">
        <v>2265</v>
      </c>
      <c r="K880">
        <v>1</v>
      </c>
      <c r="L880">
        <v>95</v>
      </c>
      <c r="M880">
        <v>0.05</v>
      </c>
      <c r="N880">
        <v>95</v>
      </c>
      <c r="O880">
        <v>90.25</v>
      </c>
      <c r="P880" t="s">
        <v>2268</v>
      </c>
      <c r="Q880" t="s">
        <v>2271</v>
      </c>
      <c r="R880" t="s">
        <v>2273</v>
      </c>
      <c r="S880" t="s">
        <v>2281</v>
      </c>
      <c r="T880" t="s">
        <v>2288</v>
      </c>
      <c r="U880">
        <v>5</v>
      </c>
      <c r="X880">
        <v>31.55</v>
      </c>
      <c r="Y880">
        <v>58.7</v>
      </c>
      <c r="Z880" t="s">
        <v>2294</v>
      </c>
      <c r="AA880" t="s">
        <v>2296</v>
      </c>
      <c r="AB880">
        <v>95</v>
      </c>
      <c r="AC880">
        <v>4.75</v>
      </c>
      <c r="AD880">
        <v>90.25</v>
      </c>
      <c r="AE880">
        <v>31.55</v>
      </c>
      <c r="AF880">
        <v>58.7</v>
      </c>
      <c r="AG880">
        <v>2024</v>
      </c>
      <c r="AH880">
        <v>10</v>
      </c>
      <c r="AI880" t="s">
        <v>2310</v>
      </c>
      <c r="AJ880" t="s">
        <v>2316</v>
      </c>
    </row>
    <row r="881" spans="1:36" x14ac:dyDescent="0.3">
      <c r="A881" t="s">
        <v>915</v>
      </c>
      <c r="B881" s="2">
        <v>45388</v>
      </c>
      <c r="C881" t="s">
        <v>1680</v>
      </c>
      <c r="D881" t="s">
        <v>1798</v>
      </c>
      <c r="E881" t="s">
        <v>2089</v>
      </c>
      <c r="F881" t="s">
        <v>2240</v>
      </c>
      <c r="G881" t="s">
        <v>2252</v>
      </c>
      <c r="H881" t="s">
        <v>2257</v>
      </c>
      <c r="I881" t="s">
        <v>2262</v>
      </c>
      <c r="K881">
        <v>2</v>
      </c>
      <c r="L881">
        <v>85</v>
      </c>
      <c r="M881">
        <v>0.05</v>
      </c>
      <c r="N881">
        <v>170</v>
      </c>
      <c r="O881">
        <v>161.5</v>
      </c>
      <c r="P881" t="s">
        <v>2267</v>
      </c>
      <c r="Q881" t="s">
        <v>2271</v>
      </c>
      <c r="R881" t="s">
        <v>2278</v>
      </c>
      <c r="S881" t="s">
        <v>2286</v>
      </c>
      <c r="T881" t="s">
        <v>2288</v>
      </c>
      <c r="U881">
        <v>5</v>
      </c>
      <c r="V881">
        <v>173</v>
      </c>
      <c r="W881">
        <v>35</v>
      </c>
      <c r="X881">
        <v>45.05</v>
      </c>
      <c r="Y881">
        <v>71.400000000000006</v>
      </c>
      <c r="Z881" t="s">
        <v>1761</v>
      </c>
      <c r="AA881" t="s">
        <v>1761</v>
      </c>
      <c r="AB881">
        <v>170</v>
      </c>
      <c r="AC881">
        <v>8.5</v>
      </c>
      <c r="AD881">
        <v>161.5</v>
      </c>
      <c r="AE881">
        <v>90.1</v>
      </c>
      <c r="AF881">
        <v>71.400000000000006</v>
      </c>
      <c r="AG881">
        <v>2024</v>
      </c>
      <c r="AH881">
        <v>4</v>
      </c>
      <c r="AI881" t="s">
        <v>2308</v>
      </c>
      <c r="AJ881" t="s">
        <v>2317</v>
      </c>
    </row>
    <row r="882" spans="1:36" x14ac:dyDescent="0.3">
      <c r="A882" t="s">
        <v>916</v>
      </c>
      <c r="B882" s="2">
        <v>45613</v>
      </c>
      <c r="C882" t="s">
        <v>1691</v>
      </c>
      <c r="D882" t="s">
        <v>1922</v>
      </c>
      <c r="E882" t="s">
        <v>2200</v>
      </c>
      <c r="F882" t="s">
        <v>2239</v>
      </c>
      <c r="G882" t="s">
        <v>2251</v>
      </c>
      <c r="H882" t="s">
        <v>2258</v>
      </c>
      <c r="I882" t="s">
        <v>2260</v>
      </c>
      <c r="J882" t="s">
        <v>2264</v>
      </c>
      <c r="K882">
        <v>1</v>
      </c>
      <c r="L882">
        <v>110</v>
      </c>
      <c r="M882">
        <v>0</v>
      </c>
      <c r="N882">
        <v>110</v>
      </c>
      <c r="O882">
        <v>110</v>
      </c>
      <c r="P882" t="s">
        <v>2267</v>
      </c>
      <c r="Q882" t="s">
        <v>2272</v>
      </c>
      <c r="R882" t="s">
        <v>2279</v>
      </c>
      <c r="S882" t="s">
        <v>2287</v>
      </c>
      <c r="T882" t="s">
        <v>2288</v>
      </c>
      <c r="U882">
        <v>5</v>
      </c>
      <c r="V882">
        <v>187</v>
      </c>
      <c r="W882">
        <v>27</v>
      </c>
      <c r="X882">
        <v>40.549999999999997</v>
      </c>
      <c r="Y882">
        <v>69.45</v>
      </c>
      <c r="Z882" t="s">
        <v>2291</v>
      </c>
      <c r="AA882" t="s">
        <v>2297</v>
      </c>
      <c r="AB882">
        <v>110</v>
      </c>
      <c r="AC882">
        <v>0</v>
      </c>
      <c r="AD882">
        <v>110</v>
      </c>
      <c r="AE882">
        <v>40.549999999999997</v>
      </c>
      <c r="AF882">
        <v>69.45</v>
      </c>
      <c r="AG882">
        <v>2024</v>
      </c>
      <c r="AH882">
        <v>11</v>
      </c>
      <c r="AI882" t="s">
        <v>2311</v>
      </c>
      <c r="AJ882" t="s">
        <v>2318</v>
      </c>
    </row>
    <row r="883" spans="1:36" x14ac:dyDescent="0.3">
      <c r="A883" t="s">
        <v>917</v>
      </c>
      <c r="B883" s="2">
        <v>45583</v>
      </c>
      <c r="C883" t="s">
        <v>1658</v>
      </c>
      <c r="D883" t="s">
        <v>1809</v>
      </c>
      <c r="E883" t="s">
        <v>2099</v>
      </c>
      <c r="F883" t="s">
        <v>2240</v>
      </c>
      <c r="G883" t="s">
        <v>2243</v>
      </c>
      <c r="H883" t="s">
        <v>2258</v>
      </c>
      <c r="I883" t="s">
        <v>2260</v>
      </c>
      <c r="J883" t="s">
        <v>2265</v>
      </c>
      <c r="K883">
        <v>4</v>
      </c>
      <c r="L883">
        <v>75</v>
      </c>
      <c r="M883">
        <v>0.1</v>
      </c>
      <c r="N883">
        <v>300</v>
      </c>
      <c r="O883">
        <v>270</v>
      </c>
      <c r="P883" t="s">
        <v>2267</v>
      </c>
      <c r="Q883" t="s">
        <v>2270</v>
      </c>
      <c r="R883" t="s">
        <v>2279</v>
      </c>
      <c r="S883" t="s">
        <v>2280</v>
      </c>
      <c r="T883" t="s">
        <v>2290</v>
      </c>
      <c r="U883">
        <v>2</v>
      </c>
      <c r="V883">
        <v>76</v>
      </c>
      <c r="X883">
        <v>26.75</v>
      </c>
      <c r="Y883">
        <v>163</v>
      </c>
      <c r="AA883" t="s">
        <v>2299</v>
      </c>
      <c r="AB883">
        <v>300</v>
      </c>
      <c r="AC883">
        <v>30</v>
      </c>
      <c r="AD883">
        <v>270</v>
      </c>
      <c r="AE883">
        <v>107</v>
      </c>
      <c r="AF883">
        <v>163</v>
      </c>
      <c r="AG883">
        <v>2024</v>
      </c>
      <c r="AH883">
        <v>10</v>
      </c>
      <c r="AI883" t="s">
        <v>2310</v>
      </c>
      <c r="AJ883" t="s">
        <v>2315</v>
      </c>
    </row>
    <row r="884" spans="1:36" x14ac:dyDescent="0.3">
      <c r="A884" t="s">
        <v>918</v>
      </c>
      <c r="B884" s="2">
        <v>45407</v>
      </c>
      <c r="C884" t="s">
        <v>1666</v>
      </c>
      <c r="D884" t="s">
        <v>1934</v>
      </c>
      <c r="E884" t="s">
        <v>2210</v>
      </c>
      <c r="F884" t="s">
        <v>2238</v>
      </c>
      <c r="G884" t="s">
        <v>2242</v>
      </c>
      <c r="H884" t="s">
        <v>2258</v>
      </c>
      <c r="I884" t="s">
        <v>2260</v>
      </c>
      <c r="J884" t="s">
        <v>2266</v>
      </c>
      <c r="K884">
        <v>1</v>
      </c>
      <c r="L884">
        <v>120</v>
      </c>
      <c r="N884">
        <v>120</v>
      </c>
      <c r="P884" t="s">
        <v>2268</v>
      </c>
      <c r="Q884" t="s">
        <v>2272</v>
      </c>
      <c r="R884" t="s">
        <v>2279</v>
      </c>
      <c r="S884" t="s">
        <v>2287</v>
      </c>
      <c r="T884" t="s">
        <v>2288</v>
      </c>
      <c r="U884">
        <v>5</v>
      </c>
      <c r="W884">
        <v>25</v>
      </c>
      <c r="X884">
        <v>68.849999999999994</v>
      </c>
      <c r="Z884" t="s">
        <v>2294</v>
      </c>
      <c r="AA884" t="s">
        <v>2298</v>
      </c>
      <c r="AB884">
        <v>120</v>
      </c>
      <c r="AC884">
        <v>0</v>
      </c>
      <c r="AD884">
        <v>120</v>
      </c>
      <c r="AE884">
        <v>68.849999999999994</v>
      </c>
      <c r="AF884">
        <v>51.150000000000013</v>
      </c>
      <c r="AG884">
        <v>2024</v>
      </c>
      <c r="AH884">
        <v>4</v>
      </c>
      <c r="AI884" t="s">
        <v>2308</v>
      </c>
      <c r="AJ884" t="s">
        <v>2316</v>
      </c>
    </row>
    <row r="885" spans="1:36" x14ac:dyDescent="0.3">
      <c r="A885" t="s">
        <v>919</v>
      </c>
      <c r="B885" s="2">
        <v>45302</v>
      </c>
      <c r="C885" t="s">
        <v>1710</v>
      </c>
      <c r="D885" t="s">
        <v>1851</v>
      </c>
      <c r="E885" t="s">
        <v>2216</v>
      </c>
      <c r="F885" t="s">
        <v>2239</v>
      </c>
      <c r="G885" t="s">
        <v>2245</v>
      </c>
      <c r="H885" t="s">
        <v>2257</v>
      </c>
      <c r="I885" t="s">
        <v>2263</v>
      </c>
      <c r="J885" t="s">
        <v>2264</v>
      </c>
      <c r="K885">
        <v>2</v>
      </c>
      <c r="L885">
        <v>150</v>
      </c>
      <c r="M885">
        <v>0</v>
      </c>
      <c r="N885">
        <v>300</v>
      </c>
      <c r="O885">
        <v>300</v>
      </c>
      <c r="P885" t="s">
        <v>2267</v>
      </c>
      <c r="R885" t="s">
        <v>2273</v>
      </c>
      <c r="S885" t="s">
        <v>2287</v>
      </c>
      <c r="T885" t="s">
        <v>2288</v>
      </c>
      <c r="U885">
        <v>2</v>
      </c>
      <c r="V885">
        <v>112</v>
      </c>
      <c r="X885">
        <v>78.31</v>
      </c>
      <c r="Y885">
        <v>143.38</v>
      </c>
      <c r="Z885" t="s">
        <v>2292</v>
      </c>
      <c r="AA885" t="s">
        <v>2298</v>
      </c>
      <c r="AB885">
        <v>300</v>
      </c>
      <c r="AC885">
        <v>0</v>
      </c>
      <c r="AD885">
        <v>300</v>
      </c>
      <c r="AE885">
        <v>156.62</v>
      </c>
      <c r="AF885">
        <v>143.38</v>
      </c>
      <c r="AG885">
        <v>2024</v>
      </c>
      <c r="AH885">
        <v>1</v>
      </c>
      <c r="AI885" t="s">
        <v>2302</v>
      </c>
      <c r="AJ885" t="s">
        <v>2316</v>
      </c>
    </row>
    <row r="886" spans="1:36" x14ac:dyDescent="0.3">
      <c r="A886" t="s">
        <v>920</v>
      </c>
      <c r="B886" s="2">
        <v>45488</v>
      </c>
      <c r="C886" t="s">
        <v>1656</v>
      </c>
      <c r="D886" t="s">
        <v>1817</v>
      </c>
      <c r="E886" t="s">
        <v>1982</v>
      </c>
      <c r="F886" t="s">
        <v>2240</v>
      </c>
      <c r="G886" t="s">
        <v>2255</v>
      </c>
      <c r="H886" t="s">
        <v>2260</v>
      </c>
      <c r="I886" t="s">
        <v>2260</v>
      </c>
      <c r="J886" t="s">
        <v>2266</v>
      </c>
      <c r="K886">
        <v>2</v>
      </c>
      <c r="L886">
        <v>185</v>
      </c>
      <c r="M886">
        <v>0.05</v>
      </c>
      <c r="N886">
        <v>370</v>
      </c>
      <c r="O886">
        <v>351.5</v>
      </c>
      <c r="P886" t="s">
        <v>2269</v>
      </c>
      <c r="Q886" t="s">
        <v>2272</v>
      </c>
      <c r="R886" t="s">
        <v>2275</v>
      </c>
      <c r="S886" t="s">
        <v>2282</v>
      </c>
      <c r="T886" t="s">
        <v>2288</v>
      </c>
      <c r="U886">
        <v>3</v>
      </c>
      <c r="W886">
        <v>53</v>
      </c>
      <c r="X886">
        <v>79.78</v>
      </c>
      <c r="Y886">
        <v>191.94</v>
      </c>
      <c r="Z886" t="s">
        <v>2293</v>
      </c>
      <c r="AA886" t="s">
        <v>2297</v>
      </c>
      <c r="AB886">
        <v>370</v>
      </c>
      <c r="AC886">
        <v>18.5</v>
      </c>
      <c r="AD886">
        <v>351.5</v>
      </c>
      <c r="AE886">
        <v>159.56</v>
      </c>
      <c r="AF886">
        <v>191.94</v>
      </c>
      <c r="AG886">
        <v>2024</v>
      </c>
      <c r="AH886">
        <v>7</v>
      </c>
      <c r="AI886" t="s">
        <v>2307</v>
      </c>
      <c r="AJ886" t="s">
        <v>2314</v>
      </c>
    </row>
    <row r="887" spans="1:36" x14ac:dyDescent="0.3">
      <c r="A887" t="s">
        <v>921</v>
      </c>
      <c r="B887" s="2">
        <v>45356</v>
      </c>
      <c r="C887" t="s">
        <v>1636</v>
      </c>
      <c r="D887" t="s">
        <v>1863</v>
      </c>
      <c r="E887" t="s">
        <v>1944</v>
      </c>
      <c r="F887" t="s">
        <v>2239</v>
      </c>
      <c r="G887" t="s">
        <v>2242</v>
      </c>
      <c r="H887" t="s">
        <v>2258</v>
      </c>
      <c r="I887" t="s">
        <v>2260</v>
      </c>
      <c r="J887" t="s">
        <v>2266</v>
      </c>
      <c r="K887">
        <v>1</v>
      </c>
      <c r="L887">
        <v>125</v>
      </c>
      <c r="M887">
        <v>0.05</v>
      </c>
      <c r="O887">
        <v>118.75</v>
      </c>
      <c r="P887" t="s">
        <v>2269</v>
      </c>
      <c r="Q887" t="s">
        <v>2272</v>
      </c>
      <c r="R887" t="s">
        <v>2276</v>
      </c>
      <c r="S887" t="s">
        <v>2287</v>
      </c>
      <c r="T887" t="s">
        <v>2289</v>
      </c>
      <c r="U887">
        <v>5</v>
      </c>
      <c r="V887">
        <v>176</v>
      </c>
      <c r="W887">
        <v>34</v>
      </c>
      <c r="X887">
        <v>67.83</v>
      </c>
      <c r="Y887">
        <v>50.92</v>
      </c>
      <c r="Z887" t="s">
        <v>2293</v>
      </c>
      <c r="AA887" t="s">
        <v>2297</v>
      </c>
      <c r="AB887">
        <v>125</v>
      </c>
      <c r="AC887">
        <v>6.25</v>
      </c>
      <c r="AD887">
        <v>118.75</v>
      </c>
      <c r="AE887">
        <v>67.83</v>
      </c>
      <c r="AF887">
        <v>50.92</v>
      </c>
      <c r="AG887">
        <v>2024</v>
      </c>
      <c r="AH887">
        <v>3</v>
      </c>
      <c r="AI887" t="s">
        <v>2305</v>
      </c>
      <c r="AJ887" t="s">
        <v>2313</v>
      </c>
    </row>
    <row r="888" spans="1:36" x14ac:dyDescent="0.3">
      <c r="A888" t="s">
        <v>922</v>
      </c>
      <c r="B888" s="2">
        <v>45535</v>
      </c>
      <c r="C888" t="s">
        <v>1654</v>
      </c>
      <c r="D888" t="s">
        <v>1800</v>
      </c>
      <c r="E888" t="s">
        <v>2156</v>
      </c>
      <c r="F888" t="s">
        <v>2238</v>
      </c>
      <c r="G888" t="s">
        <v>2251</v>
      </c>
      <c r="H888" t="s">
        <v>2258</v>
      </c>
      <c r="I888" t="s">
        <v>2260</v>
      </c>
      <c r="J888" t="s">
        <v>2266</v>
      </c>
      <c r="K888">
        <v>1</v>
      </c>
      <c r="L888">
        <v>105</v>
      </c>
      <c r="M888">
        <v>0.1</v>
      </c>
      <c r="N888">
        <v>105</v>
      </c>
      <c r="O888">
        <v>94.5</v>
      </c>
      <c r="P888" t="s">
        <v>2269</v>
      </c>
      <c r="Q888" t="s">
        <v>2271</v>
      </c>
      <c r="R888" t="s">
        <v>2273</v>
      </c>
      <c r="S888" t="s">
        <v>2281</v>
      </c>
      <c r="T888" t="s">
        <v>2290</v>
      </c>
      <c r="U888">
        <v>1</v>
      </c>
      <c r="V888">
        <v>319</v>
      </c>
      <c r="X888">
        <v>47.09</v>
      </c>
      <c r="Y888">
        <v>47.41</v>
      </c>
      <c r="Z888" t="s">
        <v>2294</v>
      </c>
      <c r="AA888" t="s">
        <v>2296</v>
      </c>
      <c r="AB888">
        <v>105</v>
      </c>
      <c r="AC888">
        <v>10.5</v>
      </c>
      <c r="AD888">
        <v>94.5</v>
      </c>
      <c r="AE888">
        <v>47.09</v>
      </c>
      <c r="AF888">
        <v>47.41</v>
      </c>
      <c r="AG888">
        <v>2024</v>
      </c>
      <c r="AH888">
        <v>8</v>
      </c>
      <c r="AI888" t="s">
        <v>2301</v>
      </c>
      <c r="AJ888" t="s">
        <v>2317</v>
      </c>
    </row>
    <row r="889" spans="1:36" x14ac:dyDescent="0.3">
      <c r="A889" t="s">
        <v>923</v>
      </c>
      <c r="B889" s="2">
        <v>45534</v>
      </c>
      <c r="C889" t="s">
        <v>1702</v>
      </c>
      <c r="D889" t="s">
        <v>1845</v>
      </c>
      <c r="E889" t="s">
        <v>2010</v>
      </c>
      <c r="F889" t="s">
        <v>2239</v>
      </c>
      <c r="G889" t="s">
        <v>2252</v>
      </c>
      <c r="H889" t="s">
        <v>2257</v>
      </c>
      <c r="I889" t="s">
        <v>2262</v>
      </c>
      <c r="J889" t="s">
        <v>2265</v>
      </c>
      <c r="K889">
        <v>4</v>
      </c>
      <c r="L889">
        <v>90</v>
      </c>
      <c r="M889">
        <v>0.1</v>
      </c>
      <c r="N889">
        <v>360</v>
      </c>
      <c r="O889">
        <v>324</v>
      </c>
      <c r="P889" t="s">
        <v>2269</v>
      </c>
      <c r="Q889" t="s">
        <v>2272</v>
      </c>
      <c r="R889" t="s">
        <v>2274</v>
      </c>
      <c r="S889" t="s">
        <v>2286</v>
      </c>
      <c r="T889" t="s">
        <v>2288</v>
      </c>
      <c r="U889">
        <v>5</v>
      </c>
      <c r="V889">
        <v>59</v>
      </c>
      <c r="W889">
        <v>38</v>
      </c>
      <c r="X889">
        <v>33.92</v>
      </c>
      <c r="Y889">
        <v>188.32</v>
      </c>
      <c r="Z889" t="s">
        <v>2291</v>
      </c>
      <c r="AA889" t="s">
        <v>2296</v>
      </c>
      <c r="AB889">
        <v>360</v>
      </c>
      <c r="AC889">
        <v>36</v>
      </c>
      <c r="AD889">
        <v>324</v>
      </c>
      <c r="AE889">
        <v>135.68</v>
      </c>
      <c r="AF889">
        <v>188.32</v>
      </c>
      <c r="AG889">
        <v>2024</v>
      </c>
      <c r="AH889">
        <v>8</v>
      </c>
      <c r="AI889" t="s">
        <v>2301</v>
      </c>
      <c r="AJ889" t="s">
        <v>2315</v>
      </c>
    </row>
    <row r="890" spans="1:36" x14ac:dyDescent="0.3">
      <c r="A890" t="s">
        <v>924</v>
      </c>
      <c r="B890" s="2">
        <v>45574</v>
      </c>
      <c r="C890" t="s">
        <v>1700</v>
      </c>
      <c r="D890" t="s">
        <v>1742</v>
      </c>
      <c r="E890" t="s">
        <v>2140</v>
      </c>
      <c r="F890" t="s">
        <v>2239</v>
      </c>
      <c r="G890" t="s">
        <v>2243</v>
      </c>
      <c r="H890" t="s">
        <v>2258</v>
      </c>
      <c r="I890" t="s">
        <v>2260</v>
      </c>
      <c r="J890" t="s">
        <v>2265</v>
      </c>
      <c r="K890">
        <v>2</v>
      </c>
      <c r="L890">
        <v>75</v>
      </c>
      <c r="M890">
        <v>0.1</v>
      </c>
      <c r="N890">
        <v>150</v>
      </c>
      <c r="O890">
        <v>135</v>
      </c>
      <c r="P890" t="s">
        <v>2267</v>
      </c>
      <c r="Q890" t="s">
        <v>2270</v>
      </c>
      <c r="R890" t="s">
        <v>2279</v>
      </c>
      <c r="S890" t="s">
        <v>2281</v>
      </c>
      <c r="T890" t="s">
        <v>2288</v>
      </c>
      <c r="U890">
        <v>5</v>
      </c>
      <c r="V890">
        <v>61</v>
      </c>
      <c r="W890">
        <v>42</v>
      </c>
      <c r="X890">
        <v>28.09</v>
      </c>
      <c r="Y890">
        <v>78.819999999999993</v>
      </c>
      <c r="Z890" t="s">
        <v>2294</v>
      </c>
      <c r="AA890" t="s">
        <v>2297</v>
      </c>
      <c r="AB890">
        <v>150</v>
      </c>
      <c r="AC890">
        <v>15</v>
      </c>
      <c r="AD890">
        <v>135</v>
      </c>
      <c r="AE890">
        <v>56.18</v>
      </c>
      <c r="AF890">
        <v>78.819999999999993</v>
      </c>
      <c r="AG890">
        <v>2024</v>
      </c>
      <c r="AH890">
        <v>10</v>
      </c>
      <c r="AI890" t="s">
        <v>2310</v>
      </c>
      <c r="AJ890" t="s">
        <v>2312</v>
      </c>
    </row>
    <row r="891" spans="1:36" x14ac:dyDescent="0.3">
      <c r="A891" t="s">
        <v>925</v>
      </c>
      <c r="B891" s="2">
        <v>45405</v>
      </c>
      <c r="C891" t="s">
        <v>1737</v>
      </c>
      <c r="D891" t="s">
        <v>1896</v>
      </c>
      <c r="E891" t="s">
        <v>1961</v>
      </c>
      <c r="F891" t="s">
        <v>2239</v>
      </c>
      <c r="G891" t="s">
        <v>2250</v>
      </c>
      <c r="H891" t="s">
        <v>2259</v>
      </c>
      <c r="I891" t="s">
        <v>2262</v>
      </c>
      <c r="J891" t="s">
        <v>2264</v>
      </c>
      <c r="K891">
        <v>3</v>
      </c>
      <c r="L891">
        <v>85</v>
      </c>
      <c r="M891">
        <v>0.1</v>
      </c>
      <c r="N891">
        <v>255</v>
      </c>
      <c r="O891">
        <v>229.5</v>
      </c>
      <c r="P891" t="s">
        <v>2267</v>
      </c>
      <c r="Q891" t="s">
        <v>2270</v>
      </c>
      <c r="R891" t="s">
        <v>2279</v>
      </c>
      <c r="S891" t="s">
        <v>2285</v>
      </c>
      <c r="T891" t="s">
        <v>2288</v>
      </c>
      <c r="U891">
        <v>2</v>
      </c>
      <c r="V891">
        <v>270</v>
      </c>
      <c r="W891">
        <v>18</v>
      </c>
      <c r="X891">
        <v>29.96</v>
      </c>
      <c r="Y891">
        <v>139.62</v>
      </c>
      <c r="Z891" t="s">
        <v>1761</v>
      </c>
      <c r="AA891" t="s">
        <v>2298</v>
      </c>
      <c r="AB891">
        <v>255</v>
      </c>
      <c r="AC891">
        <v>25.5</v>
      </c>
      <c r="AD891">
        <v>229.5</v>
      </c>
      <c r="AE891">
        <v>89.88</v>
      </c>
      <c r="AF891">
        <v>139.62</v>
      </c>
      <c r="AG891">
        <v>2024</v>
      </c>
      <c r="AH891">
        <v>4</v>
      </c>
      <c r="AI891" t="s">
        <v>2308</v>
      </c>
      <c r="AJ891" t="s">
        <v>2313</v>
      </c>
    </row>
    <row r="892" spans="1:36" x14ac:dyDescent="0.3">
      <c r="A892" t="s">
        <v>926</v>
      </c>
      <c r="B892" s="2">
        <v>45449</v>
      </c>
      <c r="C892" t="s">
        <v>1734</v>
      </c>
      <c r="D892" t="s">
        <v>1892</v>
      </c>
      <c r="E892" t="s">
        <v>2129</v>
      </c>
      <c r="F892" t="s">
        <v>2239</v>
      </c>
      <c r="G892" t="s">
        <v>2255</v>
      </c>
      <c r="H892" t="s">
        <v>2260</v>
      </c>
      <c r="I892" t="s">
        <v>2260</v>
      </c>
      <c r="J892" t="s">
        <v>2265</v>
      </c>
      <c r="K892">
        <v>5</v>
      </c>
      <c r="L892">
        <v>180</v>
      </c>
      <c r="M892">
        <v>0.05</v>
      </c>
      <c r="N892">
        <v>900</v>
      </c>
      <c r="O892">
        <v>855</v>
      </c>
      <c r="Q892" t="s">
        <v>2272</v>
      </c>
      <c r="R892" t="s">
        <v>2274</v>
      </c>
      <c r="S892" t="s">
        <v>2284</v>
      </c>
      <c r="T892" t="s">
        <v>2288</v>
      </c>
      <c r="U892">
        <v>4</v>
      </c>
      <c r="V892">
        <v>458</v>
      </c>
      <c r="W892">
        <v>15</v>
      </c>
      <c r="X892">
        <v>84.49</v>
      </c>
      <c r="Y892">
        <v>432.55</v>
      </c>
      <c r="Z892" t="s">
        <v>2293</v>
      </c>
      <c r="AA892" t="s">
        <v>2296</v>
      </c>
      <c r="AB892">
        <v>900</v>
      </c>
      <c r="AC892">
        <v>45</v>
      </c>
      <c r="AD892">
        <v>855</v>
      </c>
      <c r="AE892">
        <v>422.45</v>
      </c>
      <c r="AF892">
        <v>432.55</v>
      </c>
      <c r="AG892">
        <v>2024</v>
      </c>
      <c r="AH892">
        <v>6</v>
      </c>
      <c r="AI892" t="s">
        <v>2304</v>
      </c>
      <c r="AJ892" t="s">
        <v>2316</v>
      </c>
    </row>
    <row r="893" spans="1:36" x14ac:dyDescent="0.3">
      <c r="A893" t="s">
        <v>927</v>
      </c>
      <c r="B893" s="2">
        <v>45619</v>
      </c>
      <c r="C893" t="s">
        <v>1729</v>
      </c>
      <c r="D893" t="s">
        <v>1811</v>
      </c>
      <c r="E893" t="s">
        <v>1948</v>
      </c>
      <c r="F893" t="s">
        <v>2240</v>
      </c>
      <c r="G893" t="s">
        <v>2252</v>
      </c>
      <c r="H893" t="s">
        <v>2257</v>
      </c>
      <c r="I893" t="s">
        <v>2262</v>
      </c>
      <c r="J893" t="s">
        <v>2264</v>
      </c>
      <c r="K893">
        <v>1</v>
      </c>
      <c r="L893">
        <v>85</v>
      </c>
      <c r="M893">
        <v>0</v>
      </c>
      <c r="N893">
        <v>85</v>
      </c>
      <c r="O893">
        <v>85</v>
      </c>
      <c r="P893" t="s">
        <v>2269</v>
      </c>
      <c r="R893" t="s">
        <v>2276</v>
      </c>
      <c r="S893" t="s">
        <v>2281</v>
      </c>
      <c r="T893" t="s">
        <v>2290</v>
      </c>
      <c r="U893">
        <v>4</v>
      </c>
      <c r="V893">
        <v>166</v>
      </c>
      <c r="W893">
        <v>29</v>
      </c>
      <c r="X893">
        <v>52.37</v>
      </c>
      <c r="Y893">
        <v>32.630000000000003</v>
      </c>
      <c r="Z893" t="s">
        <v>2292</v>
      </c>
      <c r="AA893" t="s">
        <v>2299</v>
      </c>
      <c r="AB893">
        <v>85</v>
      </c>
      <c r="AC893">
        <v>0</v>
      </c>
      <c r="AD893">
        <v>85</v>
      </c>
      <c r="AE893">
        <v>52.37</v>
      </c>
      <c r="AF893">
        <v>32.630000000000003</v>
      </c>
      <c r="AG893">
        <v>2024</v>
      </c>
      <c r="AH893">
        <v>11</v>
      </c>
      <c r="AI893" t="s">
        <v>2311</v>
      </c>
      <c r="AJ893" t="s">
        <v>2317</v>
      </c>
    </row>
    <row r="894" spans="1:36" x14ac:dyDescent="0.3">
      <c r="A894" t="s">
        <v>928</v>
      </c>
      <c r="B894" s="2">
        <v>45332</v>
      </c>
      <c r="C894" t="s">
        <v>1662</v>
      </c>
      <c r="D894" t="s">
        <v>1745</v>
      </c>
      <c r="E894" t="s">
        <v>2163</v>
      </c>
      <c r="F894" t="s">
        <v>2239</v>
      </c>
      <c r="G894" t="s">
        <v>2256</v>
      </c>
      <c r="H894" t="s">
        <v>2261</v>
      </c>
      <c r="I894" t="s">
        <v>2260</v>
      </c>
      <c r="J894" t="s">
        <v>2266</v>
      </c>
      <c r="K894">
        <v>2</v>
      </c>
      <c r="L894">
        <v>190</v>
      </c>
      <c r="M894">
        <v>0.15</v>
      </c>
      <c r="N894">
        <v>380</v>
      </c>
      <c r="O894">
        <v>323</v>
      </c>
      <c r="P894" t="s">
        <v>2269</v>
      </c>
      <c r="Q894" t="s">
        <v>2270</v>
      </c>
      <c r="R894" t="s">
        <v>2275</v>
      </c>
      <c r="S894" t="s">
        <v>2287</v>
      </c>
      <c r="T894" t="s">
        <v>2290</v>
      </c>
      <c r="U894">
        <v>3</v>
      </c>
      <c r="V894">
        <v>379</v>
      </c>
      <c r="W894">
        <v>39</v>
      </c>
      <c r="X894">
        <v>67.25</v>
      </c>
      <c r="Y894">
        <v>188.5</v>
      </c>
      <c r="Z894" t="s">
        <v>2292</v>
      </c>
      <c r="AA894" t="s">
        <v>2298</v>
      </c>
      <c r="AB894">
        <v>380</v>
      </c>
      <c r="AC894">
        <v>57</v>
      </c>
      <c r="AD894">
        <v>323</v>
      </c>
      <c r="AE894">
        <v>134.5</v>
      </c>
      <c r="AF894">
        <v>188.5</v>
      </c>
      <c r="AG894">
        <v>2024</v>
      </c>
      <c r="AH894">
        <v>2</v>
      </c>
      <c r="AI894" t="s">
        <v>2303</v>
      </c>
      <c r="AJ894" t="s">
        <v>2317</v>
      </c>
    </row>
    <row r="895" spans="1:36" x14ac:dyDescent="0.3">
      <c r="A895" t="s">
        <v>929</v>
      </c>
      <c r="B895" s="2">
        <v>45361</v>
      </c>
      <c r="C895" t="s">
        <v>1676</v>
      </c>
      <c r="D895" t="s">
        <v>1907</v>
      </c>
      <c r="E895" t="s">
        <v>2215</v>
      </c>
      <c r="F895" t="s">
        <v>2239</v>
      </c>
      <c r="G895" t="s">
        <v>2248</v>
      </c>
      <c r="H895" t="s">
        <v>2257</v>
      </c>
      <c r="I895" t="s">
        <v>2262</v>
      </c>
      <c r="J895" t="s">
        <v>2264</v>
      </c>
      <c r="K895">
        <v>2</v>
      </c>
      <c r="L895">
        <v>150</v>
      </c>
      <c r="M895">
        <v>0.15</v>
      </c>
      <c r="N895">
        <v>300</v>
      </c>
      <c r="O895">
        <v>255</v>
      </c>
      <c r="P895" t="s">
        <v>2269</v>
      </c>
      <c r="Q895" t="s">
        <v>2271</v>
      </c>
      <c r="R895" t="s">
        <v>2279</v>
      </c>
      <c r="S895" t="s">
        <v>2284</v>
      </c>
      <c r="T895" t="s">
        <v>2289</v>
      </c>
      <c r="U895">
        <v>1</v>
      </c>
      <c r="V895">
        <v>10</v>
      </c>
      <c r="W895">
        <v>51</v>
      </c>
      <c r="X895">
        <v>86.7</v>
      </c>
      <c r="Y895">
        <v>81.599999999999994</v>
      </c>
      <c r="Z895" t="s">
        <v>2292</v>
      </c>
      <c r="AA895" t="s">
        <v>2296</v>
      </c>
      <c r="AB895">
        <v>300</v>
      </c>
      <c r="AC895">
        <v>45</v>
      </c>
      <c r="AD895">
        <v>255</v>
      </c>
      <c r="AE895">
        <v>173.4</v>
      </c>
      <c r="AF895">
        <v>81.599999999999994</v>
      </c>
      <c r="AG895">
        <v>2024</v>
      </c>
      <c r="AH895">
        <v>3</v>
      </c>
      <c r="AI895" t="s">
        <v>2305</v>
      </c>
      <c r="AJ895" t="s">
        <v>2318</v>
      </c>
    </row>
    <row r="896" spans="1:36" x14ac:dyDescent="0.3">
      <c r="A896" t="s">
        <v>930</v>
      </c>
      <c r="B896" s="2">
        <v>45322</v>
      </c>
      <c r="C896" t="s">
        <v>1637</v>
      </c>
      <c r="D896" t="s">
        <v>1747</v>
      </c>
      <c r="E896" t="s">
        <v>2063</v>
      </c>
      <c r="F896" t="s">
        <v>2240</v>
      </c>
      <c r="G896" t="s">
        <v>2250</v>
      </c>
      <c r="H896" t="s">
        <v>2259</v>
      </c>
      <c r="I896" t="s">
        <v>2262</v>
      </c>
      <c r="J896" t="s">
        <v>2264</v>
      </c>
      <c r="K896">
        <v>1</v>
      </c>
      <c r="L896">
        <v>80</v>
      </c>
      <c r="M896">
        <v>0</v>
      </c>
      <c r="N896">
        <v>80</v>
      </c>
      <c r="O896">
        <v>80</v>
      </c>
      <c r="P896" t="s">
        <v>2267</v>
      </c>
      <c r="R896" t="s">
        <v>2274</v>
      </c>
      <c r="S896" t="s">
        <v>2281</v>
      </c>
      <c r="T896" t="s">
        <v>2288</v>
      </c>
      <c r="U896">
        <v>2</v>
      </c>
      <c r="V896">
        <v>82</v>
      </c>
      <c r="W896">
        <v>16</v>
      </c>
      <c r="X896">
        <v>33.33</v>
      </c>
      <c r="Y896">
        <v>46.67</v>
      </c>
      <c r="Z896" t="s">
        <v>2294</v>
      </c>
      <c r="AA896" t="s">
        <v>2298</v>
      </c>
      <c r="AB896">
        <v>80</v>
      </c>
      <c r="AC896">
        <v>0</v>
      </c>
      <c r="AD896">
        <v>80</v>
      </c>
      <c r="AE896">
        <v>33.33</v>
      </c>
      <c r="AF896">
        <v>46.67</v>
      </c>
      <c r="AG896">
        <v>2024</v>
      </c>
      <c r="AH896">
        <v>1</v>
      </c>
      <c r="AI896" t="s">
        <v>2302</v>
      </c>
      <c r="AJ896" t="s">
        <v>2312</v>
      </c>
    </row>
    <row r="897" spans="1:36" x14ac:dyDescent="0.3">
      <c r="A897" t="s">
        <v>931</v>
      </c>
      <c r="B897" s="2">
        <v>45307</v>
      </c>
      <c r="C897" t="s">
        <v>1696</v>
      </c>
      <c r="D897" t="s">
        <v>1934</v>
      </c>
      <c r="E897" t="s">
        <v>2224</v>
      </c>
      <c r="F897" t="s">
        <v>2240</v>
      </c>
      <c r="G897" t="s">
        <v>2243</v>
      </c>
      <c r="H897" t="s">
        <v>2258</v>
      </c>
      <c r="I897" t="s">
        <v>2260</v>
      </c>
      <c r="J897" t="s">
        <v>2265</v>
      </c>
      <c r="K897">
        <v>1</v>
      </c>
      <c r="L897">
        <v>70</v>
      </c>
      <c r="N897">
        <v>70</v>
      </c>
      <c r="P897" t="s">
        <v>2269</v>
      </c>
      <c r="R897" t="s">
        <v>2279</v>
      </c>
      <c r="S897" t="s">
        <v>2280</v>
      </c>
      <c r="T897" t="s">
        <v>2288</v>
      </c>
      <c r="V897">
        <v>47</v>
      </c>
      <c r="W897">
        <v>11</v>
      </c>
      <c r="X897">
        <v>24.84</v>
      </c>
      <c r="Z897" t="s">
        <v>1761</v>
      </c>
      <c r="AA897" t="s">
        <v>1761</v>
      </c>
      <c r="AB897">
        <v>70</v>
      </c>
      <c r="AC897">
        <v>0</v>
      </c>
      <c r="AD897">
        <v>70</v>
      </c>
      <c r="AE897">
        <v>24.84</v>
      </c>
      <c r="AF897">
        <v>45.16</v>
      </c>
      <c r="AG897">
        <v>2024</v>
      </c>
      <c r="AH897">
        <v>1</v>
      </c>
      <c r="AI897" t="s">
        <v>2302</v>
      </c>
      <c r="AJ897" t="s">
        <v>2313</v>
      </c>
    </row>
    <row r="898" spans="1:36" x14ac:dyDescent="0.3">
      <c r="A898" t="s">
        <v>932</v>
      </c>
      <c r="B898" s="2">
        <v>45358</v>
      </c>
      <c r="C898" t="s">
        <v>1689</v>
      </c>
      <c r="D898" t="s">
        <v>1887</v>
      </c>
      <c r="E898" t="s">
        <v>2102</v>
      </c>
      <c r="F898" t="s">
        <v>2239</v>
      </c>
      <c r="G898" t="s">
        <v>2241</v>
      </c>
      <c r="H898" t="s">
        <v>2257</v>
      </c>
      <c r="I898" t="s">
        <v>2262</v>
      </c>
      <c r="K898">
        <v>1</v>
      </c>
      <c r="L898">
        <v>130</v>
      </c>
      <c r="M898">
        <v>0.05</v>
      </c>
      <c r="N898">
        <v>130</v>
      </c>
      <c r="O898">
        <v>123.5</v>
      </c>
      <c r="P898" t="s">
        <v>2269</v>
      </c>
      <c r="Q898" t="s">
        <v>2272</v>
      </c>
      <c r="R898" t="s">
        <v>2276</v>
      </c>
      <c r="S898" t="s">
        <v>2280</v>
      </c>
      <c r="T898" t="s">
        <v>2289</v>
      </c>
      <c r="U898">
        <v>4</v>
      </c>
      <c r="V898">
        <v>164</v>
      </c>
      <c r="W898">
        <v>38</v>
      </c>
      <c r="X898">
        <v>48.03</v>
      </c>
      <c r="Y898">
        <v>75.47</v>
      </c>
      <c r="Z898" t="s">
        <v>2293</v>
      </c>
      <c r="AA898" t="s">
        <v>2297</v>
      </c>
      <c r="AB898">
        <v>130</v>
      </c>
      <c r="AC898">
        <v>6.5</v>
      </c>
      <c r="AD898">
        <v>123.5</v>
      </c>
      <c r="AE898">
        <v>48.03</v>
      </c>
      <c r="AF898">
        <v>75.47</v>
      </c>
      <c r="AG898">
        <v>2024</v>
      </c>
      <c r="AH898">
        <v>3</v>
      </c>
      <c r="AI898" t="s">
        <v>2305</v>
      </c>
      <c r="AJ898" t="s">
        <v>2316</v>
      </c>
    </row>
    <row r="899" spans="1:36" x14ac:dyDescent="0.3">
      <c r="A899" t="s">
        <v>933</v>
      </c>
      <c r="B899" s="2">
        <v>45373</v>
      </c>
      <c r="C899" t="s">
        <v>1652</v>
      </c>
      <c r="D899" t="s">
        <v>1860</v>
      </c>
      <c r="E899" t="s">
        <v>2154</v>
      </c>
      <c r="F899" t="s">
        <v>2239</v>
      </c>
      <c r="G899" t="s">
        <v>2250</v>
      </c>
      <c r="H899" t="s">
        <v>2259</v>
      </c>
      <c r="I899" t="s">
        <v>2262</v>
      </c>
      <c r="J899" t="s">
        <v>2266</v>
      </c>
      <c r="K899">
        <v>2</v>
      </c>
      <c r="L899">
        <v>85</v>
      </c>
      <c r="M899">
        <v>0</v>
      </c>
      <c r="N899">
        <v>170</v>
      </c>
      <c r="O899">
        <v>170</v>
      </c>
      <c r="P899" t="s">
        <v>2269</v>
      </c>
      <c r="R899" t="s">
        <v>2274</v>
      </c>
      <c r="S899" t="s">
        <v>2285</v>
      </c>
      <c r="T899" t="s">
        <v>2288</v>
      </c>
      <c r="U899">
        <v>5</v>
      </c>
      <c r="V899">
        <v>179</v>
      </c>
      <c r="X899">
        <v>46.77</v>
      </c>
      <c r="Y899">
        <v>76.459999999999994</v>
      </c>
      <c r="Z899" t="s">
        <v>2293</v>
      </c>
      <c r="AA899" t="s">
        <v>2298</v>
      </c>
      <c r="AB899">
        <v>170</v>
      </c>
      <c r="AC899">
        <v>0</v>
      </c>
      <c r="AD899">
        <v>170</v>
      </c>
      <c r="AE899">
        <v>93.54</v>
      </c>
      <c r="AF899">
        <v>76.459999999999994</v>
      </c>
      <c r="AG899">
        <v>2024</v>
      </c>
      <c r="AH899">
        <v>3</v>
      </c>
      <c r="AI899" t="s">
        <v>2305</v>
      </c>
      <c r="AJ899" t="s">
        <v>2315</v>
      </c>
    </row>
    <row r="900" spans="1:36" x14ac:dyDescent="0.3">
      <c r="A900" t="s">
        <v>934</v>
      </c>
      <c r="B900" s="2">
        <v>45538</v>
      </c>
      <c r="C900" t="s">
        <v>1728</v>
      </c>
      <c r="D900" t="s">
        <v>1844</v>
      </c>
      <c r="E900" t="s">
        <v>1761</v>
      </c>
      <c r="F900" t="s">
        <v>2240</v>
      </c>
      <c r="G900" t="s">
        <v>2253</v>
      </c>
      <c r="H900" t="s">
        <v>2258</v>
      </c>
      <c r="I900" t="s">
        <v>2260</v>
      </c>
      <c r="J900" t="s">
        <v>2265</v>
      </c>
      <c r="K900">
        <v>1</v>
      </c>
      <c r="L900">
        <v>90</v>
      </c>
      <c r="M900">
        <v>0.15</v>
      </c>
      <c r="N900">
        <v>90</v>
      </c>
      <c r="O900">
        <v>76.5</v>
      </c>
      <c r="P900" t="s">
        <v>2268</v>
      </c>
      <c r="Q900" t="s">
        <v>2270</v>
      </c>
      <c r="R900" t="s">
        <v>2275</v>
      </c>
      <c r="S900" t="s">
        <v>2282</v>
      </c>
      <c r="T900" t="s">
        <v>2288</v>
      </c>
      <c r="U900">
        <v>5</v>
      </c>
      <c r="V900">
        <v>92</v>
      </c>
      <c r="W900">
        <v>18</v>
      </c>
      <c r="X900">
        <v>33.07</v>
      </c>
      <c r="Y900">
        <v>43.43</v>
      </c>
      <c r="Z900" t="s">
        <v>2294</v>
      </c>
      <c r="AA900" t="s">
        <v>2297</v>
      </c>
      <c r="AB900">
        <v>90</v>
      </c>
      <c r="AC900">
        <v>13.5</v>
      </c>
      <c r="AD900">
        <v>76.5</v>
      </c>
      <c r="AE900">
        <v>33.07</v>
      </c>
      <c r="AF900">
        <v>43.43</v>
      </c>
      <c r="AG900">
        <v>2024</v>
      </c>
      <c r="AH900">
        <v>9</v>
      </c>
      <c r="AI900" t="s">
        <v>2300</v>
      </c>
      <c r="AJ900" t="s">
        <v>2313</v>
      </c>
    </row>
    <row r="901" spans="1:36" x14ac:dyDescent="0.3">
      <c r="A901" t="s">
        <v>935</v>
      </c>
      <c r="B901" s="2">
        <v>45604</v>
      </c>
      <c r="C901" t="s">
        <v>1686</v>
      </c>
      <c r="D901" t="s">
        <v>1768</v>
      </c>
      <c r="E901" t="s">
        <v>2114</v>
      </c>
      <c r="F901" t="s">
        <v>1761</v>
      </c>
      <c r="G901" t="s">
        <v>2252</v>
      </c>
      <c r="H901" t="s">
        <v>2257</v>
      </c>
      <c r="I901" t="s">
        <v>2262</v>
      </c>
      <c r="K901">
        <v>2</v>
      </c>
      <c r="L901">
        <v>95</v>
      </c>
      <c r="M901">
        <v>0.1</v>
      </c>
      <c r="N901">
        <v>190</v>
      </c>
      <c r="O901">
        <v>171</v>
      </c>
      <c r="P901" t="s">
        <v>2269</v>
      </c>
      <c r="Q901" t="s">
        <v>2270</v>
      </c>
      <c r="R901" t="s">
        <v>2276</v>
      </c>
      <c r="S901" t="s">
        <v>2286</v>
      </c>
      <c r="T901" t="s">
        <v>2289</v>
      </c>
      <c r="V901">
        <v>404</v>
      </c>
      <c r="W901">
        <v>39</v>
      </c>
      <c r="X901">
        <v>42.03</v>
      </c>
      <c r="Y901">
        <v>86.94</v>
      </c>
      <c r="Z901" t="s">
        <v>2294</v>
      </c>
      <c r="AA901" t="s">
        <v>2298</v>
      </c>
      <c r="AB901">
        <v>190</v>
      </c>
      <c r="AC901">
        <v>19</v>
      </c>
      <c r="AD901">
        <v>171</v>
      </c>
      <c r="AE901">
        <v>84.06</v>
      </c>
      <c r="AF901">
        <v>86.94</v>
      </c>
      <c r="AG901">
        <v>2024</v>
      </c>
      <c r="AH901">
        <v>11</v>
      </c>
      <c r="AI901" t="s">
        <v>2311</v>
      </c>
      <c r="AJ901" t="s">
        <v>2315</v>
      </c>
    </row>
    <row r="902" spans="1:36" x14ac:dyDescent="0.3">
      <c r="A902" t="s">
        <v>936</v>
      </c>
      <c r="B902" s="2">
        <v>45521</v>
      </c>
      <c r="C902" t="s">
        <v>1736</v>
      </c>
      <c r="D902" t="s">
        <v>1904</v>
      </c>
      <c r="E902" t="s">
        <v>2136</v>
      </c>
      <c r="F902" t="s">
        <v>2240</v>
      </c>
      <c r="G902" t="s">
        <v>2247</v>
      </c>
      <c r="H902" t="s">
        <v>2257</v>
      </c>
      <c r="I902" t="s">
        <v>2262</v>
      </c>
      <c r="J902" t="s">
        <v>2264</v>
      </c>
      <c r="K902">
        <v>1</v>
      </c>
      <c r="L902">
        <v>95</v>
      </c>
      <c r="M902">
        <v>0.05</v>
      </c>
      <c r="N902">
        <v>95</v>
      </c>
      <c r="O902">
        <v>90.25</v>
      </c>
      <c r="P902" t="s">
        <v>2269</v>
      </c>
      <c r="Q902" t="s">
        <v>2270</v>
      </c>
      <c r="R902" t="s">
        <v>2274</v>
      </c>
      <c r="S902" t="s">
        <v>2283</v>
      </c>
      <c r="T902" t="s">
        <v>2290</v>
      </c>
      <c r="U902">
        <v>3</v>
      </c>
      <c r="V902">
        <v>72</v>
      </c>
      <c r="W902">
        <v>34</v>
      </c>
      <c r="X902">
        <v>38.840000000000003</v>
      </c>
      <c r="Y902">
        <v>51.41</v>
      </c>
      <c r="Z902" t="s">
        <v>2292</v>
      </c>
      <c r="AA902" t="s">
        <v>2297</v>
      </c>
      <c r="AB902">
        <v>95</v>
      </c>
      <c r="AC902">
        <v>4.75</v>
      </c>
      <c r="AD902">
        <v>90.25</v>
      </c>
      <c r="AE902">
        <v>38.840000000000003</v>
      </c>
      <c r="AF902">
        <v>51.41</v>
      </c>
      <c r="AG902">
        <v>2024</v>
      </c>
      <c r="AH902">
        <v>8</v>
      </c>
      <c r="AI902" t="s">
        <v>2301</v>
      </c>
      <c r="AJ902" t="s">
        <v>2317</v>
      </c>
    </row>
    <row r="903" spans="1:36" x14ac:dyDescent="0.3">
      <c r="A903" t="s">
        <v>937</v>
      </c>
      <c r="B903" s="2">
        <v>45549</v>
      </c>
      <c r="C903" t="s">
        <v>1638</v>
      </c>
      <c r="D903" t="s">
        <v>1772</v>
      </c>
      <c r="E903" t="s">
        <v>1968</v>
      </c>
      <c r="F903" t="s">
        <v>2238</v>
      </c>
      <c r="G903" t="s">
        <v>2241</v>
      </c>
      <c r="H903" t="s">
        <v>2257</v>
      </c>
      <c r="I903" t="s">
        <v>2262</v>
      </c>
      <c r="J903" t="s">
        <v>2265</v>
      </c>
      <c r="K903">
        <v>2</v>
      </c>
      <c r="L903">
        <v>140</v>
      </c>
      <c r="M903">
        <v>0</v>
      </c>
      <c r="N903">
        <v>280</v>
      </c>
      <c r="O903">
        <v>280</v>
      </c>
      <c r="P903" t="s">
        <v>2269</v>
      </c>
      <c r="Q903" t="s">
        <v>2270</v>
      </c>
      <c r="R903" t="s">
        <v>2279</v>
      </c>
      <c r="S903" t="s">
        <v>2286</v>
      </c>
      <c r="T903" t="s">
        <v>2289</v>
      </c>
      <c r="U903">
        <v>5</v>
      </c>
      <c r="V903">
        <v>474</v>
      </c>
      <c r="W903">
        <v>34</v>
      </c>
      <c r="X903">
        <v>73.39</v>
      </c>
      <c r="Y903">
        <v>133.22</v>
      </c>
      <c r="Z903" t="s">
        <v>1761</v>
      </c>
      <c r="AA903" t="s">
        <v>2298</v>
      </c>
      <c r="AB903">
        <v>280</v>
      </c>
      <c r="AC903">
        <v>0</v>
      </c>
      <c r="AD903">
        <v>280</v>
      </c>
      <c r="AE903">
        <v>146.78</v>
      </c>
      <c r="AF903">
        <v>133.22</v>
      </c>
      <c r="AG903">
        <v>2024</v>
      </c>
      <c r="AH903">
        <v>9</v>
      </c>
      <c r="AI903" t="s">
        <v>2300</v>
      </c>
      <c r="AJ903" t="s">
        <v>2317</v>
      </c>
    </row>
    <row r="904" spans="1:36" x14ac:dyDescent="0.3">
      <c r="A904" t="s">
        <v>938</v>
      </c>
      <c r="B904" s="2">
        <v>45455</v>
      </c>
      <c r="C904" t="s">
        <v>1695</v>
      </c>
      <c r="D904" t="s">
        <v>1758</v>
      </c>
      <c r="E904" t="s">
        <v>1959</v>
      </c>
      <c r="F904" t="s">
        <v>2240</v>
      </c>
      <c r="G904" t="s">
        <v>2256</v>
      </c>
      <c r="H904" t="s">
        <v>2261</v>
      </c>
      <c r="I904" t="s">
        <v>2260</v>
      </c>
      <c r="J904" t="s">
        <v>2264</v>
      </c>
      <c r="K904">
        <v>1</v>
      </c>
      <c r="L904">
        <v>200</v>
      </c>
      <c r="N904">
        <v>200</v>
      </c>
      <c r="P904" t="s">
        <v>2268</v>
      </c>
      <c r="R904" t="s">
        <v>2275</v>
      </c>
      <c r="S904" t="s">
        <v>2282</v>
      </c>
      <c r="T904" t="s">
        <v>2288</v>
      </c>
      <c r="U904">
        <v>4</v>
      </c>
      <c r="V904">
        <v>319</v>
      </c>
      <c r="X904">
        <v>83.58</v>
      </c>
      <c r="Z904" t="s">
        <v>2293</v>
      </c>
      <c r="AA904" t="s">
        <v>2297</v>
      </c>
      <c r="AB904">
        <v>200</v>
      </c>
      <c r="AC904">
        <v>0</v>
      </c>
      <c r="AD904">
        <v>200</v>
      </c>
      <c r="AE904">
        <v>83.58</v>
      </c>
      <c r="AF904">
        <v>116.42</v>
      </c>
      <c r="AG904">
        <v>2024</v>
      </c>
      <c r="AH904">
        <v>6</v>
      </c>
      <c r="AI904" t="s">
        <v>2304</v>
      </c>
      <c r="AJ904" t="s">
        <v>2312</v>
      </c>
    </row>
    <row r="905" spans="1:36" x14ac:dyDescent="0.3">
      <c r="A905" t="s">
        <v>939</v>
      </c>
      <c r="B905" s="2">
        <v>45492</v>
      </c>
      <c r="C905" t="s">
        <v>1685</v>
      </c>
      <c r="D905" t="s">
        <v>1844</v>
      </c>
      <c r="E905" t="s">
        <v>2129</v>
      </c>
      <c r="F905" t="s">
        <v>2238</v>
      </c>
      <c r="G905" t="s">
        <v>2255</v>
      </c>
      <c r="H905" t="s">
        <v>2260</v>
      </c>
      <c r="I905" t="s">
        <v>2260</v>
      </c>
      <c r="J905" t="s">
        <v>2265</v>
      </c>
      <c r="K905">
        <v>1</v>
      </c>
      <c r="L905">
        <v>175</v>
      </c>
      <c r="M905">
        <v>0</v>
      </c>
      <c r="N905">
        <v>175</v>
      </c>
      <c r="O905">
        <v>175</v>
      </c>
      <c r="P905" t="s">
        <v>2267</v>
      </c>
      <c r="Q905" t="s">
        <v>2270</v>
      </c>
      <c r="R905" t="s">
        <v>2275</v>
      </c>
      <c r="S905" t="s">
        <v>2282</v>
      </c>
      <c r="T905" t="s">
        <v>2290</v>
      </c>
      <c r="U905">
        <v>4</v>
      </c>
      <c r="V905">
        <v>142</v>
      </c>
      <c r="W905">
        <v>47</v>
      </c>
      <c r="X905">
        <v>107.08</v>
      </c>
      <c r="Y905">
        <v>67.92</v>
      </c>
      <c r="Z905" t="s">
        <v>1761</v>
      </c>
      <c r="AA905" t="s">
        <v>2299</v>
      </c>
      <c r="AB905">
        <v>175</v>
      </c>
      <c r="AC905">
        <v>0</v>
      </c>
      <c r="AD905">
        <v>175</v>
      </c>
      <c r="AE905">
        <v>107.08</v>
      </c>
      <c r="AF905">
        <v>67.92</v>
      </c>
      <c r="AG905">
        <v>2024</v>
      </c>
      <c r="AH905">
        <v>7</v>
      </c>
      <c r="AI905" t="s">
        <v>2307</v>
      </c>
      <c r="AJ905" t="s">
        <v>2315</v>
      </c>
    </row>
    <row r="906" spans="1:36" x14ac:dyDescent="0.3">
      <c r="A906" t="s">
        <v>940</v>
      </c>
      <c r="B906" s="2">
        <v>45336</v>
      </c>
      <c r="C906" t="s">
        <v>1688</v>
      </c>
      <c r="D906" t="s">
        <v>1855</v>
      </c>
      <c r="E906" t="s">
        <v>2064</v>
      </c>
      <c r="F906" t="s">
        <v>2240</v>
      </c>
      <c r="G906" t="s">
        <v>2244</v>
      </c>
      <c r="H906" t="s">
        <v>2257</v>
      </c>
      <c r="I906" t="s">
        <v>2262</v>
      </c>
      <c r="J906" t="s">
        <v>2265</v>
      </c>
      <c r="K906">
        <v>4</v>
      </c>
      <c r="L906">
        <v>125</v>
      </c>
      <c r="M906">
        <v>0</v>
      </c>
      <c r="N906">
        <v>500</v>
      </c>
      <c r="O906">
        <v>500</v>
      </c>
      <c r="P906" t="s">
        <v>2267</v>
      </c>
      <c r="Q906" t="s">
        <v>2270</v>
      </c>
      <c r="R906" t="s">
        <v>2279</v>
      </c>
      <c r="S906" t="s">
        <v>2285</v>
      </c>
      <c r="T906" t="s">
        <v>2288</v>
      </c>
      <c r="U906">
        <v>3</v>
      </c>
      <c r="V906">
        <v>405</v>
      </c>
      <c r="W906">
        <v>29</v>
      </c>
      <c r="X906">
        <v>69.92</v>
      </c>
      <c r="Y906">
        <v>220.32</v>
      </c>
      <c r="Z906" t="s">
        <v>2294</v>
      </c>
      <c r="AA906" t="s">
        <v>2298</v>
      </c>
      <c r="AB906">
        <v>500</v>
      </c>
      <c r="AC906">
        <v>0</v>
      </c>
      <c r="AD906">
        <v>500</v>
      </c>
      <c r="AE906">
        <v>279.68</v>
      </c>
      <c r="AF906">
        <v>220.32</v>
      </c>
      <c r="AG906">
        <v>2024</v>
      </c>
      <c r="AH906">
        <v>2</v>
      </c>
      <c r="AI906" t="s">
        <v>2303</v>
      </c>
      <c r="AJ906" t="s">
        <v>2312</v>
      </c>
    </row>
    <row r="907" spans="1:36" x14ac:dyDescent="0.3">
      <c r="A907" t="s">
        <v>941</v>
      </c>
      <c r="B907" s="2">
        <v>45568</v>
      </c>
      <c r="C907" t="s">
        <v>1639</v>
      </c>
      <c r="D907" t="s">
        <v>1805</v>
      </c>
      <c r="E907" t="s">
        <v>2114</v>
      </c>
      <c r="F907" t="s">
        <v>2240</v>
      </c>
      <c r="G907" t="s">
        <v>2250</v>
      </c>
      <c r="H907" t="s">
        <v>2259</v>
      </c>
      <c r="I907" t="s">
        <v>2262</v>
      </c>
      <c r="J907" t="s">
        <v>2264</v>
      </c>
      <c r="K907">
        <v>2</v>
      </c>
      <c r="L907">
        <v>90</v>
      </c>
      <c r="M907">
        <v>0</v>
      </c>
      <c r="N907">
        <v>180</v>
      </c>
      <c r="O907">
        <v>180</v>
      </c>
      <c r="P907" t="s">
        <v>2269</v>
      </c>
      <c r="Q907" t="s">
        <v>2272</v>
      </c>
      <c r="R907" t="s">
        <v>2275</v>
      </c>
      <c r="S907" t="s">
        <v>2280</v>
      </c>
      <c r="T907" t="s">
        <v>2290</v>
      </c>
      <c r="U907">
        <v>4</v>
      </c>
      <c r="V907">
        <v>292</v>
      </c>
      <c r="W907">
        <v>26</v>
      </c>
      <c r="X907">
        <v>29.39</v>
      </c>
      <c r="Y907">
        <v>121.22</v>
      </c>
      <c r="Z907" t="s">
        <v>2291</v>
      </c>
      <c r="AA907" t="s">
        <v>2299</v>
      </c>
      <c r="AB907">
        <v>180</v>
      </c>
      <c r="AC907">
        <v>0</v>
      </c>
      <c r="AD907">
        <v>180</v>
      </c>
      <c r="AE907">
        <v>58.78</v>
      </c>
      <c r="AF907">
        <v>121.22</v>
      </c>
      <c r="AG907">
        <v>2024</v>
      </c>
      <c r="AH907">
        <v>10</v>
      </c>
      <c r="AI907" t="s">
        <v>2310</v>
      </c>
      <c r="AJ907" t="s">
        <v>2316</v>
      </c>
    </row>
    <row r="908" spans="1:36" x14ac:dyDescent="0.3">
      <c r="A908" t="s">
        <v>942</v>
      </c>
      <c r="B908" s="2">
        <v>45614</v>
      </c>
      <c r="C908" t="s">
        <v>1649</v>
      </c>
      <c r="D908" t="s">
        <v>1866</v>
      </c>
      <c r="E908" t="s">
        <v>1953</v>
      </c>
      <c r="F908" t="s">
        <v>2238</v>
      </c>
      <c r="G908" t="s">
        <v>2254</v>
      </c>
      <c r="H908" t="s">
        <v>2259</v>
      </c>
      <c r="I908" t="s">
        <v>2263</v>
      </c>
      <c r="J908" t="s">
        <v>2265</v>
      </c>
      <c r="K908">
        <v>1</v>
      </c>
      <c r="L908">
        <v>120</v>
      </c>
      <c r="M908">
        <v>0.1</v>
      </c>
      <c r="N908">
        <v>120</v>
      </c>
      <c r="O908">
        <v>108</v>
      </c>
      <c r="P908" t="s">
        <v>2267</v>
      </c>
      <c r="Q908" t="s">
        <v>2272</v>
      </c>
      <c r="R908" t="s">
        <v>2274</v>
      </c>
      <c r="S908" t="s">
        <v>2286</v>
      </c>
      <c r="T908" t="s">
        <v>2288</v>
      </c>
      <c r="U908">
        <v>3</v>
      </c>
      <c r="V908">
        <v>180</v>
      </c>
      <c r="X908">
        <v>54.45</v>
      </c>
      <c r="Y908">
        <v>53.55</v>
      </c>
      <c r="Z908" t="s">
        <v>2294</v>
      </c>
      <c r="AA908" t="s">
        <v>2296</v>
      </c>
      <c r="AB908">
        <v>120</v>
      </c>
      <c r="AC908">
        <v>12</v>
      </c>
      <c r="AD908">
        <v>108</v>
      </c>
      <c r="AE908">
        <v>54.45</v>
      </c>
      <c r="AF908">
        <v>53.55</v>
      </c>
      <c r="AG908">
        <v>2024</v>
      </c>
      <c r="AH908">
        <v>11</v>
      </c>
      <c r="AI908" t="s">
        <v>2311</v>
      </c>
      <c r="AJ908" t="s">
        <v>2314</v>
      </c>
    </row>
    <row r="909" spans="1:36" x14ac:dyDescent="0.3">
      <c r="A909" t="s">
        <v>943</v>
      </c>
      <c r="B909" s="2">
        <v>45654</v>
      </c>
      <c r="C909" t="s">
        <v>1640</v>
      </c>
      <c r="D909" t="s">
        <v>1806</v>
      </c>
      <c r="E909" t="s">
        <v>2113</v>
      </c>
      <c r="F909" t="s">
        <v>2240</v>
      </c>
      <c r="G909" t="s">
        <v>2252</v>
      </c>
      <c r="H909" t="s">
        <v>2257</v>
      </c>
      <c r="I909" t="s">
        <v>2262</v>
      </c>
      <c r="J909" t="s">
        <v>2264</v>
      </c>
      <c r="K909">
        <v>1</v>
      </c>
      <c r="L909">
        <v>90</v>
      </c>
      <c r="M909">
        <v>0.1</v>
      </c>
      <c r="N909">
        <v>90</v>
      </c>
      <c r="O909">
        <v>81</v>
      </c>
      <c r="Q909" t="s">
        <v>2272</v>
      </c>
      <c r="R909" t="s">
        <v>2275</v>
      </c>
      <c r="S909" t="s">
        <v>2283</v>
      </c>
      <c r="T909" t="s">
        <v>2288</v>
      </c>
      <c r="U909">
        <v>1</v>
      </c>
      <c r="V909">
        <v>170</v>
      </c>
      <c r="W909">
        <v>50</v>
      </c>
      <c r="X909">
        <v>46.37</v>
      </c>
      <c r="Y909">
        <v>34.630000000000003</v>
      </c>
      <c r="Z909" t="s">
        <v>2294</v>
      </c>
      <c r="AA909" t="s">
        <v>1761</v>
      </c>
      <c r="AB909">
        <v>90</v>
      </c>
      <c r="AC909">
        <v>9</v>
      </c>
      <c r="AD909">
        <v>81</v>
      </c>
      <c r="AE909">
        <v>46.37</v>
      </c>
      <c r="AF909">
        <v>34.630000000000003</v>
      </c>
      <c r="AG909">
        <v>2024</v>
      </c>
      <c r="AH909">
        <v>12</v>
      </c>
      <c r="AI909" t="s">
        <v>2309</v>
      </c>
      <c r="AJ909" t="s">
        <v>2317</v>
      </c>
    </row>
    <row r="910" spans="1:36" x14ac:dyDescent="0.3">
      <c r="A910" t="s">
        <v>944</v>
      </c>
      <c r="B910" s="2">
        <v>45393</v>
      </c>
      <c r="C910" t="s">
        <v>1679</v>
      </c>
      <c r="D910" t="s">
        <v>1893</v>
      </c>
      <c r="E910" t="s">
        <v>2048</v>
      </c>
      <c r="F910" t="s">
        <v>2240</v>
      </c>
      <c r="G910" t="s">
        <v>2245</v>
      </c>
      <c r="H910" t="s">
        <v>2257</v>
      </c>
      <c r="I910" t="s">
        <v>2263</v>
      </c>
      <c r="J910" t="s">
        <v>2264</v>
      </c>
      <c r="K910">
        <v>2</v>
      </c>
      <c r="L910">
        <v>150</v>
      </c>
      <c r="M910">
        <v>0</v>
      </c>
      <c r="N910">
        <v>300</v>
      </c>
      <c r="O910">
        <v>300</v>
      </c>
      <c r="P910" t="s">
        <v>2268</v>
      </c>
      <c r="R910" t="s">
        <v>2276</v>
      </c>
      <c r="S910" t="s">
        <v>2287</v>
      </c>
      <c r="T910" t="s">
        <v>2288</v>
      </c>
      <c r="U910">
        <v>5</v>
      </c>
      <c r="V910">
        <v>442</v>
      </c>
      <c r="W910">
        <v>27</v>
      </c>
      <c r="X910">
        <v>53.66</v>
      </c>
      <c r="Y910">
        <v>192.68</v>
      </c>
      <c r="Z910" t="s">
        <v>2292</v>
      </c>
      <c r="AA910" t="s">
        <v>2299</v>
      </c>
      <c r="AB910">
        <v>300</v>
      </c>
      <c r="AC910">
        <v>0</v>
      </c>
      <c r="AD910">
        <v>300</v>
      </c>
      <c r="AE910">
        <v>107.32</v>
      </c>
      <c r="AF910">
        <v>192.68</v>
      </c>
      <c r="AG910">
        <v>2024</v>
      </c>
      <c r="AH910">
        <v>4</v>
      </c>
      <c r="AI910" t="s">
        <v>2308</v>
      </c>
      <c r="AJ910" t="s">
        <v>2316</v>
      </c>
    </row>
    <row r="911" spans="1:36" x14ac:dyDescent="0.3">
      <c r="A911" t="s">
        <v>945</v>
      </c>
      <c r="B911" s="2">
        <v>45354</v>
      </c>
      <c r="C911" t="s">
        <v>1670</v>
      </c>
      <c r="D911" t="s">
        <v>1910</v>
      </c>
      <c r="E911" t="s">
        <v>2175</v>
      </c>
      <c r="F911" t="s">
        <v>1761</v>
      </c>
      <c r="G911" t="s">
        <v>2242</v>
      </c>
      <c r="H911" t="s">
        <v>2258</v>
      </c>
      <c r="I911" t="s">
        <v>2260</v>
      </c>
      <c r="J911" t="s">
        <v>2266</v>
      </c>
      <c r="K911">
        <v>1</v>
      </c>
      <c r="L911">
        <v>115</v>
      </c>
      <c r="M911">
        <v>0</v>
      </c>
      <c r="N911">
        <v>115</v>
      </c>
      <c r="O911">
        <v>115</v>
      </c>
      <c r="P911" t="s">
        <v>2267</v>
      </c>
      <c r="Q911" t="s">
        <v>2271</v>
      </c>
      <c r="R911" t="s">
        <v>2278</v>
      </c>
      <c r="S911" t="s">
        <v>2287</v>
      </c>
      <c r="T911" t="s">
        <v>2288</v>
      </c>
      <c r="U911">
        <v>4</v>
      </c>
      <c r="V911">
        <v>111</v>
      </c>
      <c r="W911">
        <v>27</v>
      </c>
      <c r="X911">
        <v>65.84</v>
      </c>
      <c r="Y911">
        <v>49.16</v>
      </c>
      <c r="Z911" t="s">
        <v>2291</v>
      </c>
      <c r="AA911" t="s">
        <v>1761</v>
      </c>
      <c r="AB911">
        <v>115</v>
      </c>
      <c r="AC911">
        <v>0</v>
      </c>
      <c r="AD911">
        <v>115</v>
      </c>
      <c r="AE911">
        <v>65.84</v>
      </c>
      <c r="AF911">
        <v>49.16</v>
      </c>
      <c r="AG911">
        <v>2024</v>
      </c>
      <c r="AH911">
        <v>3</v>
      </c>
      <c r="AI911" t="s">
        <v>2305</v>
      </c>
      <c r="AJ911" t="s">
        <v>2318</v>
      </c>
    </row>
    <row r="912" spans="1:36" x14ac:dyDescent="0.3">
      <c r="A912" t="s">
        <v>946</v>
      </c>
      <c r="B912" s="2">
        <v>45476</v>
      </c>
      <c r="C912" t="s">
        <v>1736</v>
      </c>
      <c r="D912" t="s">
        <v>1931</v>
      </c>
      <c r="E912" t="s">
        <v>2202</v>
      </c>
      <c r="F912" t="s">
        <v>1761</v>
      </c>
      <c r="G912" t="s">
        <v>2248</v>
      </c>
      <c r="H912" t="s">
        <v>2257</v>
      </c>
      <c r="I912" t="s">
        <v>2262</v>
      </c>
      <c r="J912" t="s">
        <v>2264</v>
      </c>
      <c r="K912">
        <v>2</v>
      </c>
      <c r="L912">
        <v>145</v>
      </c>
      <c r="M912">
        <v>0.05</v>
      </c>
      <c r="N912">
        <v>290</v>
      </c>
      <c r="O912">
        <v>275.5</v>
      </c>
      <c r="P912" t="s">
        <v>2267</v>
      </c>
      <c r="Q912" t="s">
        <v>2272</v>
      </c>
      <c r="R912" t="s">
        <v>2275</v>
      </c>
      <c r="S912" t="s">
        <v>2281</v>
      </c>
      <c r="T912" t="s">
        <v>2290</v>
      </c>
      <c r="U912">
        <v>5</v>
      </c>
      <c r="V912">
        <v>126</v>
      </c>
      <c r="W912">
        <v>31</v>
      </c>
      <c r="X912">
        <v>59.02</v>
      </c>
      <c r="Y912">
        <v>157.46</v>
      </c>
      <c r="Z912" t="s">
        <v>2292</v>
      </c>
      <c r="AA912" t="s">
        <v>2299</v>
      </c>
      <c r="AB912">
        <v>290</v>
      </c>
      <c r="AC912">
        <v>14.5</v>
      </c>
      <c r="AD912">
        <v>275.5</v>
      </c>
      <c r="AE912">
        <v>118.04</v>
      </c>
      <c r="AF912">
        <v>157.46</v>
      </c>
      <c r="AG912">
        <v>2024</v>
      </c>
      <c r="AH912">
        <v>7</v>
      </c>
      <c r="AI912" t="s">
        <v>2307</v>
      </c>
      <c r="AJ912" t="s">
        <v>2312</v>
      </c>
    </row>
    <row r="913" spans="1:36" x14ac:dyDescent="0.3">
      <c r="A913" t="s">
        <v>947</v>
      </c>
      <c r="C913" t="s">
        <v>1719</v>
      </c>
      <c r="D913" t="s">
        <v>1744</v>
      </c>
      <c r="E913" t="s">
        <v>2037</v>
      </c>
      <c r="F913" t="s">
        <v>1761</v>
      </c>
      <c r="G913" t="s">
        <v>2248</v>
      </c>
      <c r="H913" t="s">
        <v>2257</v>
      </c>
      <c r="I913" t="s">
        <v>2262</v>
      </c>
      <c r="J913" t="s">
        <v>2266</v>
      </c>
      <c r="K913">
        <v>1</v>
      </c>
      <c r="L913">
        <v>150</v>
      </c>
      <c r="M913">
        <v>0</v>
      </c>
      <c r="N913">
        <v>150</v>
      </c>
      <c r="O913">
        <v>150</v>
      </c>
      <c r="P913" t="s">
        <v>2267</v>
      </c>
      <c r="Q913" t="s">
        <v>2272</v>
      </c>
      <c r="R913" t="s">
        <v>2277</v>
      </c>
      <c r="S913" t="s">
        <v>2285</v>
      </c>
      <c r="T913" t="s">
        <v>2288</v>
      </c>
      <c r="W913">
        <v>11</v>
      </c>
      <c r="X913">
        <v>79.55</v>
      </c>
      <c r="Y913">
        <v>70.45</v>
      </c>
      <c r="Z913" t="s">
        <v>2292</v>
      </c>
      <c r="AA913" t="s">
        <v>2296</v>
      </c>
      <c r="AB913">
        <v>150</v>
      </c>
      <c r="AC913">
        <v>0</v>
      </c>
      <c r="AD913">
        <v>150</v>
      </c>
      <c r="AE913">
        <v>79.55</v>
      </c>
      <c r="AF913">
        <v>70.45</v>
      </c>
    </row>
    <row r="914" spans="1:36" x14ac:dyDescent="0.3">
      <c r="A914" t="s">
        <v>948</v>
      </c>
      <c r="B914" s="2">
        <v>45327</v>
      </c>
      <c r="C914" t="s">
        <v>1738</v>
      </c>
      <c r="D914" t="s">
        <v>1790</v>
      </c>
      <c r="E914" t="s">
        <v>2225</v>
      </c>
      <c r="F914" t="s">
        <v>2239</v>
      </c>
      <c r="G914" t="s">
        <v>2250</v>
      </c>
      <c r="H914" t="s">
        <v>2259</v>
      </c>
      <c r="I914" t="s">
        <v>2262</v>
      </c>
      <c r="J914" t="s">
        <v>2265</v>
      </c>
      <c r="K914">
        <v>1</v>
      </c>
      <c r="L914">
        <v>90</v>
      </c>
      <c r="M914">
        <v>0.15</v>
      </c>
      <c r="N914">
        <v>90</v>
      </c>
      <c r="O914">
        <v>76.5</v>
      </c>
      <c r="P914" t="s">
        <v>2269</v>
      </c>
      <c r="Q914" t="s">
        <v>2270</v>
      </c>
      <c r="R914" t="s">
        <v>2274</v>
      </c>
      <c r="S914" t="s">
        <v>2280</v>
      </c>
      <c r="T914" t="s">
        <v>2288</v>
      </c>
      <c r="U914">
        <v>4</v>
      </c>
      <c r="V914">
        <v>37</v>
      </c>
      <c r="W914">
        <v>11</v>
      </c>
      <c r="X914">
        <v>42.79</v>
      </c>
      <c r="Y914">
        <v>33.71</v>
      </c>
      <c r="Z914" t="s">
        <v>2291</v>
      </c>
      <c r="AA914" t="s">
        <v>2298</v>
      </c>
      <c r="AB914">
        <v>90</v>
      </c>
      <c r="AC914">
        <v>13.5</v>
      </c>
      <c r="AD914">
        <v>76.5</v>
      </c>
      <c r="AE914">
        <v>42.79</v>
      </c>
      <c r="AF914">
        <v>33.71</v>
      </c>
      <c r="AG914">
        <v>2024</v>
      </c>
      <c r="AH914">
        <v>2</v>
      </c>
      <c r="AI914" t="s">
        <v>2303</v>
      </c>
      <c r="AJ914" t="s">
        <v>2314</v>
      </c>
    </row>
    <row r="915" spans="1:36" x14ac:dyDescent="0.3">
      <c r="A915" t="s">
        <v>949</v>
      </c>
      <c r="B915" s="2">
        <v>45624</v>
      </c>
      <c r="C915" t="s">
        <v>1668</v>
      </c>
      <c r="D915" t="s">
        <v>1934</v>
      </c>
      <c r="E915" t="s">
        <v>2102</v>
      </c>
      <c r="F915" t="s">
        <v>2240</v>
      </c>
      <c r="G915" t="s">
        <v>2255</v>
      </c>
      <c r="H915" t="s">
        <v>2260</v>
      </c>
      <c r="I915" t="s">
        <v>2260</v>
      </c>
      <c r="J915" t="s">
        <v>2264</v>
      </c>
      <c r="K915">
        <v>1</v>
      </c>
      <c r="L915">
        <v>180</v>
      </c>
      <c r="M915">
        <v>0.1</v>
      </c>
      <c r="N915">
        <v>180</v>
      </c>
      <c r="O915">
        <v>162</v>
      </c>
      <c r="Q915" t="s">
        <v>2270</v>
      </c>
      <c r="R915" t="s">
        <v>2275</v>
      </c>
      <c r="S915" t="s">
        <v>2284</v>
      </c>
      <c r="T915" t="s">
        <v>2290</v>
      </c>
      <c r="U915">
        <v>3</v>
      </c>
      <c r="V915">
        <v>31</v>
      </c>
      <c r="W915">
        <v>39</v>
      </c>
      <c r="X915">
        <v>71.7</v>
      </c>
      <c r="Y915">
        <v>90.3</v>
      </c>
      <c r="Z915" t="s">
        <v>1761</v>
      </c>
      <c r="AA915" t="s">
        <v>2296</v>
      </c>
      <c r="AB915">
        <v>180</v>
      </c>
      <c r="AC915">
        <v>18</v>
      </c>
      <c r="AD915">
        <v>162</v>
      </c>
      <c r="AE915">
        <v>71.7</v>
      </c>
      <c r="AF915">
        <v>90.3</v>
      </c>
      <c r="AG915">
        <v>2024</v>
      </c>
      <c r="AH915">
        <v>11</v>
      </c>
      <c r="AI915" t="s">
        <v>2311</v>
      </c>
      <c r="AJ915" t="s">
        <v>2316</v>
      </c>
    </row>
    <row r="916" spans="1:36" x14ac:dyDescent="0.3">
      <c r="A916" t="s">
        <v>950</v>
      </c>
      <c r="B916" s="2">
        <v>45612</v>
      </c>
      <c r="C916" t="s">
        <v>1731</v>
      </c>
      <c r="D916" t="s">
        <v>1859</v>
      </c>
      <c r="E916" t="s">
        <v>1991</v>
      </c>
      <c r="F916" t="s">
        <v>2240</v>
      </c>
      <c r="G916" t="s">
        <v>2248</v>
      </c>
      <c r="H916" t="s">
        <v>2257</v>
      </c>
      <c r="I916" t="s">
        <v>2262</v>
      </c>
      <c r="J916" t="s">
        <v>2265</v>
      </c>
      <c r="K916">
        <v>2</v>
      </c>
      <c r="L916">
        <v>145</v>
      </c>
      <c r="M916">
        <v>0.15</v>
      </c>
      <c r="N916">
        <v>290</v>
      </c>
      <c r="O916">
        <v>246.5</v>
      </c>
      <c r="P916" t="s">
        <v>2269</v>
      </c>
      <c r="Q916" t="s">
        <v>2272</v>
      </c>
      <c r="R916" t="s">
        <v>2274</v>
      </c>
      <c r="S916" t="s">
        <v>2284</v>
      </c>
      <c r="T916" t="s">
        <v>2290</v>
      </c>
      <c r="U916">
        <v>4</v>
      </c>
      <c r="V916">
        <v>342</v>
      </c>
      <c r="W916">
        <v>25</v>
      </c>
      <c r="X916">
        <v>79.8</v>
      </c>
      <c r="Y916">
        <v>86.9</v>
      </c>
      <c r="Z916" t="s">
        <v>2293</v>
      </c>
      <c r="AA916" t="s">
        <v>2296</v>
      </c>
      <c r="AB916">
        <v>290</v>
      </c>
      <c r="AC916">
        <v>43.5</v>
      </c>
      <c r="AD916">
        <v>246.5</v>
      </c>
      <c r="AE916">
        <v>159.6</v>
      </c>
      <c r="AF916">
        <v>86.9</v>
      </c>
      <c r="AG916">
        <v>2024</v>
      </c>
      <c r="AH916">
        <v>11</v>
      </c>
      <c r="AI916" t="s">
        <v>2311</v>
      </c>
      <c r="AJ916" t="s">
        <v>2317</v>
      </c>
    </row>
    <row r="917" spans="1:36" x14ac:dyDescent="0.3">
      <c r="A917" t="s">
        <v>951</v>
      </c>
      <c r="B917" s="2">
        <v>45493</v>
      </c>
      <c r="C917" t="s">
        <v>1664</v>
      </c>
      <c r="D917" t="s">
        <v>1798</v>
      </c>
      <c r="E917" t="s">
        <v>2125</v>
      </c>
      <c r="F917" t="s">
        <v>1761</v>
      </c>
      <c r="G917" t="s">
        <v>2248</v>
      </c>
      <c r="H917" t="s">
        <v>2257</v>
      </c>
      <c r="I917" t="s">
        <v>2262</v>
      </c>
      <c r="J917" t="s">
        <v>2266</v>
      </c>
      <c r="K917">
        <v>1</v>
      </c>
      <c r="L917">
        <v>140</v>
      </c>
      <c r="M917">
        <v>0.05</v>
      </c>
      <c r="N917">
        <v>140</v>
      </c>
      <c r="O917">
        <v>133</v>
      </c>
      <c r="P917" t="s">
        <v>2267</v>
      </c>
      <c r="Q917" t="s">
        <v>2272</v>
      </c>
      <c r="R917" t="s">
        <v>2273</v>
      </c>
      <c r="S917" t="s">
        <v>2287</v>
      </c>
      <c r="T917" t="s">
        <v>2288</v>
      </c>
      <c r="U917">
        <v>1</v>
      </c>
      <c r="V917">
        <v>364</v>
      </c>
      <c r="W917">
        <v>22</v>
      </c>
      <c r="X917">
        <v>74.12</v>
      </c>
      <c r="Y917">
        <v>58.88</v>
      </c>
      <c r="Z917" t="s">
        <v>2292</v>
      </c>
      <c r="AA917" t="s">
        <v>1761</v>
      </c>
      <c r="AB917">
        <v>140</v>
      </c>
      <c r="AC917">
        <v>7</v>
      </c>
      <c r="AD917">
        <v>133</v>
      </c>
      <c r="AE917">
        <v>74.12</v>
      </c>
      <c r="AF917">
        <v>58.88</v>
      </c>
      <c r="AG917">
        <v>2024</v>
      </c>
      <c r="AH917">
        <v>7</v>
      </c>
      <c r="AI917" t="s">
        <v>2307</v>
      </c>
      <c r="AJ917" t="s">
        <v>2317</v>
      </c>
    </row>
    <row r="918" spans="1:36" x14ac:dyDescent="0.3">
      <c r="A918" t="s">
        <v>952</v>
      </c>
      <c r="B918" s="2">
        <v>45646</v>
      </c>
      <c r="C918" t="s">
        <v>1647</v>
      </c>
      <c r="D918" t="s">
        <v>1772</v>
      </c>
      <c r="E918" t="s">
        <v>2220</v>
      </c>
      <c r="F918" t="s">
        <v>2239</v>
      </c>
      <c r="G918" t="s">
        <v>2255</v>
      </c>
      <c r="H918" t="s">
        <v>2260</v>
      </c>
      <c r="I918" t="s">
        <v>2260</v>
      </c>
      <c r="J918" t="s">
        <v>2266</v>
      </c>
      <c r="K918">
        <v>1</v>
      </c>
      <c r="L918">
        <v>190</v>
      </c>
      <c r="M918">
        <v>0</v>
      </c>
      <c r="N918">
        <v>190</v>
      </c>
      <c r="O918">
        <v>190</v>
      </c>
      <c r="P918" t="s">
        <v>2268</v>
      </c>
      <c r="Q918" t="s">
        <v>2271</v>
      </c>
      <c r="R918" t="s">
        <v>2276</v>
      </c>
      <c r="S918" t="s">
        <v>2285</v>
      </c>
      <c r="T918" t="s">
        <v>2288</v>
      </c>
      <c r="U918">
        <v>5</v>
      </c>
      <c r="V918">
        <v>377</v>
      </c>
      <c r="W918">
        <v>18</v>
      </c>
      <c r="X918">
        <v>87.78</v>
      </c>
      <c r="Y918">
        <v>102.22</v>
      </c>
      <c r="Z918" t="s">
        <v>1761</v>
      </c>
      <c r="AA918" t="s">
        <v>2297</v>
      </c>
      <c r="AB918">
        <v>190</v>
      </c>
      <c r="AC918">
        <v>0</v>
      </c>
      <c r="AD918">
        <v>190</v>
      </c>
      <c r="AE918">
        <v>87.78</v>
      </c>
      <c r="AF918">
        <v>102.22</v>
      </c>
      <c r="AG918">
        <v>2024</v>
      </c>
      <c r="AH918">
        <v>12</v>
      </c>
      <c r="AI918" t="s">
        <v>2309</v>
      </c>
      <c r="AJ918" t="s">
        <v>2315</v>
      </c>
    </row>
    <row r="919" spans="1:36" x14ac:dyDescent="0.3">
      <c r="A919" t="s">
        <v>953</v>
      </c>
      <c r="B919" s="2">
        <v>45599</v>
      </c>
      <c r="C919" t="s">
        <v>1735</v>
      </c>
      <c r="D919" t="s">
        <v>1818</v>
      </c>
      <c r="E919" t="s">
        <v>1998</v>
      </c>
      <c r="F919" t="s">
        <v>2239</v>
      </c>
      <c r="G919" t="s">
        <v>2249</v>
      </c>
      <c r="H919" t="s">
        <v>2257</v>
      </c>
      <c r="I919" t="s">
        <v>2263</v>
      </c>
      <c r="J919" t="s">
        <v>2265</v>
      </c>
      <c r="K919">
        <v>2</v>
      </c>
      <c r="L919">
        <v>160</v>
      </c>
      <c r="M919">
        <v>0</v>
      </c>
      <c r="N919">
        <v>320</v>
      </c>
      <c r="O919">
        <v>320</v>
      </c>
      <c r="P919" t="s">
        <v>2267</v>
      </c>
      <c r="Q919" t="s">
        <v>2271</v>
      </c>
      <c r="R919" t="s">
        <v>2275</v>
      </c>
      <c r="S919" t="s">
        <v>2281</v>
      </c>
      <c r="T919" t="s">
        <v>2288</v>
      </c>
      <c r="U919">
        <v>5</v>
      </c>
      <c r="V919">
        <v>102</v>
      </c>
      <c r="W919">
        <v>32</v>
      </c>
      <c r="X919">
        <v>60.6</v>
      </c>
      <c r="Y919">
        <v>198.8</v>
      </c>
      <c r="Z919" t="s">
        <v>2293</v>
      </c>
      <c r="AA919" t="s">
        <v>2299</v>
      </c>
      <c r="AB919">
        <v>320</v>
      </c>
      <c r="AC919">
        <v>0</v>
      </c>
      <c r="AD919">
        <v>320</v>
      </c>
      <c r="AE919">
        <v>121.2</v>
      </c>
      <c r="AF919">
        <v>198.8</v>
      </c>
      <c r="AG919">
        <v>2024</v>
      </c>
      <c r="AH919">
        <v>11</v>
      </c>
      <c r="AI919" t="s">
        <v>2311</v>
      </c>
      <c r="AJ919" t="s">
        <v>2318</v>
      </c>
    </row>
    <row r="920" spans="1:36" x14ac:dyDescent="0.3">
      <c r="A920" t="s">
        <v>954</v>
      </c>
      <c r="B920" s="2">
        <v>45444</v>
      </c>
      <c r="C920" t="s">
        <v>1636</v>
      </c>
      <c r="D920" t="s">
        <v>1905</v>
      </c>
      <c r="E920" t="s">
        <v>2029</v>
      </c>
      <c r="F920" t="s">
        <v>2238</v>
      </c>
      <c r="G920" t="s">
        <v>2248</v>
      </c>
      <c r="H920" t="s">
        <v>2257</v>
      </c>
      <c r="I920" t="s">
        <v>2262</v>
      </c>
      <c r="J920" t="s">
        <v>2265</v>
      </c>
      <c r="K920">
        <v>1</v>
      </c>
      <c r="L920">
        <v>140</v>
      </c>
      <c r="N920">
        <v>140</v>
      </c>
      <c r="P920" t="s">
        <v>2269</v>
      </c>
      <c r="Q920" t="s">
        <v>2270</v>
      </c>
      <c r="R920" t="s">
        <v>2279</v>
      </c>
      <c r="S920" t="s">
        <v>2283</v>
      </c>
      <c r="T920" t="s">
        <v>2288</v>
      </c>
      <c r="U920">
        <v>5</v>
      </c>
      <c r="W920">
        <v>10</v>
      </c>
      <c r="X920">
        <v>58.34</v>
      </c>
      <c r="Z920" t="s">
        <v>2293</v>
      </c>
      <c r="AA920" t="s">
        <v>2296</v>
      </c>
      <c r="AB920">
        <v>140</v>
      </c>
      <c r="AC920">
        <v>0</v>
      </c>
      <c r="AD920">
        <v>140</v>
      </c>
      <c r="AE920">
        <v>58.34</v>
      </c>
      <c r="AF920">
        <v>81.66</v>
      </c>
      <c r="AG920">
        <v>2024</v>
      </c>
      <c r="AH920">
        <v>6</v>
      </c>
      <c r="AI920" t="s">
        <v>2304</v>
      </c>
      <c r="AJ920" t="s">
        <v>2317</v>
      </c>
    </row>
    <row r="921" spans="1:36" x14ac:dyDescent="0.3">
      <c r="A921" t="s">
        <v>955</v>
      </c>
      <c r="B921" s="2">
        <v>45329</v>
      </c>
      <c r="C921" t="s">
        <v>1730</v>
      </c>
      <c r="D921" t="s">
        <v>1924</v>
      </c>
      <c r="E921" t="s">
        <v>2078</v>
      </c>
      <c r="F921" t="s">
        <v>2239</v>
      </c>
      <c r="G921" t="s">
        <v>2245</v>
      </c>
      <c r="H921" t="s">
        <v>2257</v>
      </c>
      <c r="I921" t="s">
        <v>2263</v>
      </c>
      <c r="J921" t="s">
        <v>2266</v>
      </c>
      <c r="L921">
        <v>155</v>
      </c>
      <c r="M921">
        <v>0.1</v>
      </c>
      <c r="N921">
        <v>155</v>
      </c>
      <c r="O921">
        <v>139.5</v>
      </c>
      <c r="P921" t="s">
        <v>2269</v>
      </c>
      <c r="R921" t="s">
        <v>2277</v>
      </c>
      <c r="S921" t="s">
        <v>2286</v>
      </c>
      <c r="T921" t="s">
        <v>2288</v>
      </c>
      <c r="U921">
        <v>3</v>
      </c>
      <c r="W921">
        <v>50</v>
      </c>
      <c r="X921">
        <v>53.29</v>
      </c>
      <c r="Y921">
        <v>86.21</v>
      </c>
      <c r="Z921" t="s">
        <v>2292</v>
      </c>
      <c r="AA921" t="s">
        <v>2298</v>
      </c>
      <c r="AG921">
        <v>2024</v>
      </c>
      <c r="AH921">
        <v>2</v>
      </c>
      <c r="AI921" t="s">
        <v>2303</v>
      </c>
      <c r="AJ921" t="s">
        <v>2312</v>
      </c>
    </row>
    <row r="922" spans="1:36" x14ac:dyDescent="0.3">
      <c r="A922" t="s">
        <v>956</v>
      </c>
      <c r="B922" s="2">
        <v>45422</v>
      </c>
      <c r="C922" t="s">
        <v>1662</v>
      </c>
      <c r="D922" t="s">
        <v>1919</v>
      </c>
      <c r="E922" t="s">
        <v>2214</v>
      </c>
      <c r="F922" t="s">
        <v>2239</v>
      </c>
      <c r="G922" t="s">
        <v>2256</v>
      </c>
      <c r="H922" t="s">
        <v>2261</v>
      </c>
      <c r="I922" t="s">
        <v>2260</v>
      </c>
      <c r="J922" t="s">
        <v>2264</v>
      </c>
      <c r="K922">
        <v>4</v>
      </c>
      <c r="L922">
        <v>185</v>
      </c>
      <c r="M922">
        <v>0.05</v>
      </c>
      <c r="N922">
        <v>740</v>
      </c>
      <c r="O922">
        <v>703</v>
      </c>
      <c r="P922" t="s">
        <v>2268</v>
      </c>
      <c r="R922" t="s">
        <v>2274</v>
      </c>
      <c r="S922" t="s">
        <v>2281</v>
      </c>
      <c r="T922" t="s">
        <v>2289</v>
      </c>
      <c r="U922">
        <v>3</v>
      </c>
      <c r="V922">
        <v>286</v>
      </c>
      <c r="X922">
        <v>101.47</v>
      </c>
      <c r="Y922">
        <v>297.12</v>
      </c>
      <c r="Z922" t="s">
        <v>2291</v>
      </c>
      <c r="AA922" t="s">
        <v>1761</v>
      </c>
      <c r="AB922">
        <v>740</v>
      </c>
      <c r="AC922">
        <v>37</v>
      </c>
      <c r="AD922">
        <v>703</v>
      </c>
      <c r="AE922">
        <v>405.88</v>
      </c>
      <c r="AF922">
        <v>297.12</v>
      </c>
      <c r="AG922">
        <v>2024</v>
      </c>
      <c r="AH922">
        <v>5</v>
      </c>
      <c r="AI922" t="s">
        <v>2306</v>
      </c>
      <c r="AJ922" t="s">
        <v>2315</v>
      </c>
    </row>
    <row r="923" spans="1:36" x14ac:dyDescent="0.3">
      <c r="A923" t="s">
        <v>957</v>
      </c>
      <c r="B923" s="2">
        <v>45657</v>
      </c>
      <c r="C923" t="s">
        <v>1647</v>
      </c>
      <c r="D923" t="s">
        <v>1802</v>
      </c>
      <c r="E923" t="s">
        <v>1971</v>
      </c>
      <c r="F923" t="s">
        <v>2240</v>
      </c>
      <c r="G923" t="s">
        <v>2246</v>
      </c>
      <c r="H923" t="s">
        <v>2259</v>
      </c>
      <c r="I923" t="s">
        <v>2262</v>
      </c>
      <c r="J923" t="s">
        <v>2264</v>
      </c>
      <c r="K923">
        <v>3</v>
      </c>
      <c r="L923">
        <v>105</v>
      </c>
      <c r="M923">
        <v>0.05</v>
      </c>
      <c r="N923">
        <v>315</v>
      </c>
      <c r="O923">
        <v>299.25</v>
      </c>
      <c r="P923" t="s">
        <v>2267</v>
      </c>
      <c r="Q923" t="s">
        <v>2271</v>
      </c>
      <c r="R923" t="s">
        <v>2277</v>
      </c>
      <c r="S923" t="s">
        <v>2285</v>
      </c>
      <c r="T923" t="s">
        <v>2289</v>
      </c>
      <c r="U923">
        <v>5</v>
      </c>
      <c r="V923">
        <v>385</v>
      </c>
      <c r="W923">
        <v>26</v>
      </c>
      <c r="X923">
        <v>44.49</v>
      </c>
      <c r="Y923">
        <v>165.78</v>
      </c>
      <c r="Z923" t="s">
        <v>2294</v>
      </c>
      <c r="AA923" t="s">
        <v>2296</v>
      </c>
      <c r="AB923">
        <v>315</v>
      </c>
      <c r="AC923">
        <v>15.75</v>
      </c>
      <c r="AD923">
        <v>299.25</v>
      </c>
      <c r="AE923">
        <v>133.47</v>
      </c>
      <c r="AF923">
        <v>165.78</v>
      </c>
      <c r="AG923">
        <v>2024</v>
      </c>
      <c r="AH923">
        <v>12</v>
      </c>
      <c r="AI923" t="s">
        <v>2309</v>
      </c>
      <c r="AJ923" t="s">
        <v>2313</v>
      </c>
    </row>
    <row r="924" spans="1:36" x14ac:dyDescent="0.3">
      <c r="A924" t="s">
        <v>958</v>
      </c>
      <c r="B924" s="2">
        <v>45613</v>
      </c>
      <c r="C924" t="s">
        <v>1702</v>
      </c>
      <c r="D924" t="s">
        <v>1917</v>
      </c>
      <c r="E924" t="s">
        <v>1761</v>
      </c>
      <c r="F924" t="s">
        <v>2239</v>
      </c>
      <c r="G924" t="s">
        <v>2256</v>
      </c>
      <c r="H924" t="s">
        <v>2261</v>
      </c>
      <c r="I924" t="s">
        <v>2260</v>
      </c>
      <c r="J924" t="s">
        <v>2266</v>
      </c>
      <c r="K924">
        <v>1</v>
      </c>
      <c r="L924">
        <v>190</v>
      </c>
      <c r="M924">
        <v>0</v>
      </c>
      <c r="N924">
        <v>190</v>
      </c>
      <c r="O924">
        <v>190</v>
      </c>
      <c r="P924" t="s">
        <v>2267</v>
      </c>
      <c r="Q924" t="s">
        <v>2270</v>
      </c>
      <c r="R924" t="s">
        <v>2278</v>
      </c>
      <c r="S924" t="s">
        <v>2280</v>
      </c>
      <c r="T924" t="s">
        <v>2288</v>
      </c>
      <c r="U924">
        <v>1</v>
      </c>
      <c r="V924">
        <v>479</v>
      </c>
      <c r="W924">
        <v>18</v>
      </c>
      <c r="X924">
        <v>96.62</v>
      </c>
      <c r="Y924">
        <v>93.38</v>
      </c>
      <c r="Z924" t="s">
        <v>1761</v>
      </c>
      <c r="AA924" t="s">
        <v>2298</v>
      </c>
      <c r="AB924">
        <v>190</v>
      </c>
      <c r="AC924">
        <v>0</v>
      </c>
      <c r="AD924">
        <v>190</v>
      </c>
      <c r="AE924">
        <v>96.62</v>
      </c>
      <c r="AF924">
        <v>93.38</v>
      </c>
      <c r="AG924">
        <v>2024</v>
      </c>
      <c r="AH924">
        <v>11</v>
      </c>
      <c r="AI924" t="s">
        <v>2311</v>
      </c>
      <c r="AJ924" t="s">
        <v>2318</v>
      </c>
    </row>
    <row r="925" spans="1:36" x14ac:dyDescent="0.3">
      <c r="A925" t="s">
        <v>959</v>
      </c>
      <c r="B925" s="2">
        <v>45345</v>
      </c>
      <c r="C925" t="s">
        <v>1655</v>
      </c>
      <c r="D925" t="s">
        <v>1903</v>
      </c>
      <c r="E925" t="s">
        <v>2226</v>
      </c>
      <c r="F925" t="s">
        <v>2239</v>
      </c>
      <c r="G925" t="s">
        <v>2249</v>
      </c>
      <c r="H925" t="s">
        <v>2257</v>
      </c>
      <c r="I925" t="s">
        <v>2263</v>
      </c>
      <c r="J925" t="s">
        <v>2265</v>
      </c>
      <c r="K925">
        <v>3</v>
      </c>
      <c r="L925">
        <v>160</v>
      </c>
      <c r="M925">
        <v>0.1</v>
      </c>
      <c r="O925">
        <v>432</v>
      </c>
      <c r="P925" t="s">
        <v>2269</v>
      </c>
      <c r="Q925" t="s">
        <v>2272</v>
      </c>
      <c r="R925" t="s">
        <v>2276</v>
      </c>
      <c r="S925" t="s">
        <v>2287</v>
      </c>
      <c r="T925" t="s">
        <v>2290</v>
      </c>
      <c r="W925">
        <v>36</v>
      </c>
      <c r="X925">
        <v>63.97</v>
      </c>
      <c r="Y925">
        <v>240.09</v>
      </c>
      <c r="Z925" t="s">
        <v>2294</v>
      </c>
      <c r="AA925" t="s">
        <v>2297</v>
      </c>
      <c r="AB925">
        <v>480</v>
      </c>
      <c r="AC925">
        <v>48</v>
      </c>
      <c r="AD925">
        <v>432</v>
      </c>
      <c r="AE925">
        <v>191.91</v>
      </c>
      <c r="AF925">
        <v>240.09</v>
      </c>
      <c r="AG925">
        <v>2024</v>
      </c>
      <c r="AH925">
        <v>2</v>
      </c>
      <c r="AI925" t="s">
        <v>2303</v>
      </c>
      <c r="AJ925" t="s">
        <v>2315</v>
      </c>
    </row>
    <row r="926" spans="1:36" x14ac:dyDescent="0.3">
      <c r="A926" t="s">
        <v>960</v>
      </c>
      <c r="B926" s="2">
        <v>45648</v>
      </c>
      <c r="C926" t="s">
        <v>1685</v>
      </c>
      <c r="D926" t="s">
        <v>1923</v>
      </c>
      <c r="E926" t="s">
        <v>1973</v>
      </c>
      <c r="F926" t="s">
        <v>2239</v>
      </c>
      <c r="G926" t="s">
        <v>2253</v>
      </c>
      <c r="H926" t="s">
        <v>2258</v>
      </c>
      <c r="I926" t="s">
        <v>2260</v>
      </c>
      <c r="J926" t="s">
        <v>2266</v>
      </c>
      <c r="K926">
        <v>1</v>
      </c>
      <c r="L926">
        <v>95</v>
      </c>
      <c r="M926">
        <v>0.15</v>
      </c>
      <c r="N926">
        <v>95</v>
      </c>
      <c r="O926">
        <v>80.75</v>
      </c>
      <c r="P926" t="s">
        <v>2269</v>
      </c>
      <c r="Q926" t="s">
        <v>2270</v>
      </c>
      <c r="R926" t="s">
        <v>2275</v>
      </c>
      <c r="S926" t="s">
        <v>2287</v>
      </c>
      <c r="T926" t="s">
        <v>2288</v>
      </c>
      <c r="U926">
        <v>5</v>
      </c>
      <c r="V926">
        <v>251</v>
      </c>
      <c r="W926">
        <v>50</v>
      </c>
      <c r="X926">
        <v>34.53</v>
      </c>
      <c r="Y926">
        <v>46.22</v>
      </c>
      <c r="Z926" t="s">
        <v>2294</v>
      </c>
      <c r="AA926" t="s">
        <v>2296</v>
      </c>
      <c r="AB926">
        <v>95</v>
      </c>
      <c r="AC926">
        <v>14.25</v>
      </c>
      <c r="AD926">
        <v>80.75</v>
      </c>
      <c r="AE926">
        <v>34.53</v>
      </c>
      <c r="AF926">
        <v>46.22</v>
      </c>
      <c r="AG926">
        <v>2024</v>
      </c>
      <c r="AH926">
        <v>12</v>
      </c>
      <c r="AI926" t="s">
        <v>2309</v>
      </c>
      <c r="AJ926" t="s">
        <v>2318</v>
      </c>
    </row>
    <row r="927" spans="1:36" x14ac:dyDescent="0.3">
      <c r="A927" t="s">
        <v>961</v>
      </c>
      <c r="B927" s="2">
        <v>45431</v>
      </c>
      <c r="C927" t="s">
        <v>1718</v>
      </c>
      <c r="D927" t="s">
        <v>1874</v>
      </c>
      <c r="E927" t="s">
        <v>1761</v>
      </c>
      <c r="F927" t="s">
        <v>2240</v>
      </c>
      <c r="G927" t="s">
        <v>2250</v>
      </c>
      <c r="H927" t="s">
        <v>2259</v>
      </c>
      <c r="I927" t="s">
        <v>2262</v>
      </c>
      <c r="J927" t="s">
        <v>2264</v>
      </c>
      <c r="K927">
        <v>1</v>
      </c>
      <c r="L927">
        <v>85</v>
      </c>
      <c r="M927">
        <v>0.05</v>
      </c>
      <c r="N927">
        <v>85</v>
      </c>
      <c r="O927">
        <v>80.75</v>
      </c>
      <c r="P927" t="s">
        <v>2268</v>
      </c>
      <c r="R927" t="s">
        <v>2275</v>
      </c>
      <c r="S927" t="s">
        <v>2285</v>
      </c>
      <c r="T927" t="s">
        <v>2288</v>
      </c>
      <c r="V927">
        <v>471</v>
      </c>
      <c r="W927">
        <v>24</v>
      </c>
      <c r="X927">
        <v>46.7</v>
      </c>
      <c r="Y927">
        <v>34.049999999999997</v>
      </c>
      <c r="Z927" t="s">
        <v>1761</v>
      </c>
      <c r="AA927" t="s">
        <v>2298</v>
      </c>
      <c r="AB927">
        <v>85</v>
      </c>
      <c r="AC927">
        <v>4.25</v>
      </c>
      <c r="AD927">
        <v>80.75</v>
      </c>
      <c r="AE927">
        <v>46.7</v>
      </c>
      <c r="AF927">
        <v>34.049999999999997</v>
      </c>
      <c r="AG927">
        <v>2024</v>
      </c>
      <c r="AH927">
        <v>5</v>
      </c>
      <c r="AI927" t="s">
        <v>2306</v>
      </c>
      <c r="AJ927" t="s">
        <v>2318</v>
      </c>
    </row>
    <row r="928" spans="1:36" x14ac:dyDescent="0.3">
      <c r="A928" t="s">
        <v>962</v>
      </c>
      <c r="B928" s="2">
        <v>45533</v>
      </c>
      <c r="C928" t="s">
        <v>1686</v>
      </c>
      <c r="D928" t="s">
        <v>1779</v>
      </c>
      <c r="E928" t="s">
        <v>2192</v>
      </c>
      <c r="F928" t="s">
        <v>1761</v>
      </c>
      <c r="G928" t="s">
        <v>2250</v>
      </c>
      <c r="H928" t="s">
        <v>2259</v>
      </c>
      <c r="I928" t="s">
        <v>2262</v>
      </c>
      <c r="J928" t="s">
        <v>2266</v>
      </c>
      <c r="K928">
        <v>1</v>
      </c>
      <c r="L928">
        <v>90</v>
      </c>
      <c r="M928">
        <v>0</v>
      </c>
      <c r="N928">
        <v>90</v>
      </c>
      <c r="O928">
        <v>90</v>
      </c>
      <c r="P928" t="s">
        <v>2267</v>
      </c>
      <c r="Q928" t="s">
        <v>2272</v>
      </c>
      <c r="R928" t="s">
        <v>2277</v>
      </c>
      <c r="S928" t="s">
        <v>2287</v>
      </c>
      <c r="T928" t="s">
        <v>2288</v>
      </c>
      <c r="U928">
        <v>2</v>
      </c>
      <c r="V928">
        <v>471</v>
      </c>
      <c r="W928">
        <v>13</v>
      </c>
      <c r="X928">
        <v>37.03</v>
      </c>
      <c r="Y928">
        <v>52.97</v>
      </c>
      <c r="Z928" t="s">
        <v>1761</v>
      </c>
      <c r="AA928" t="s">
        <v>2299</v>
      </c>
      <c r="AB928">
        <v>90</v>
      </c>
      <c r="AC928">
        <v>0</v>
      </c>
      <c r="AD928">
        <v>90</v>
      </c>
      <c r="AE928">
        <v>37.03</v>
      </c>
      <c r="AF928">
        <v>52.97</v>
      </c>
      <c r="AG928">
        <v>2024</v>
      </c>
      <c r="AH928">
        <v>8</v>
      </c>
      <c r="AI928" t="s">
        <v>2301</v>
      </c>
      <c r="AJ928" t="s">
        <v>2316</v>
      </c>
    </row>
    <row r="929" spans="1:36" x14ac:dyDescent="0.3">
      <c r="A929" t="s">
        <v>963</v>
      </c>
      <c r="B929" s="2">
        <v>45298</v>
      </c>
      <c r="C929" t="s">
        <v>1726</v>
      </c>
      <c r="D929" t="s">
        <v>1923</v>
      </c>
      <c r="E929" t="s">
        <v>1761</v>
      </c>
      <c r="F929" t="s">
        <v>2239</v>
      </c>
      <c r="G929" t="s">
        <v>2248</v>
      </c>
      <c r="H929" t="s">
        <v>2257</v>
      </c>
      <c r="I929" t="s">
        <v>2262</v>
      </c>
      <c r="J929" t="s">
        <v>2265</v>
      </c>
      <c r="K929">
        <v>1</v>
      </c>
      <c r="L929">
        <v>140</v>
      </c>
      <c r="M929">
        <v>0.15</v>
      </c>
      <c r="N929">
        <v>140</v>
      </c>
      <c r="O929">
        <v>119</v>
      </c>
      <c r="P929" t="s">
        <v>2269</v>
      </c>
      <c r="Q929" t="s">
        <v>2270</v>
      </c>
      <c r="R929" t="s">
        <v>2276</v>
      </c>
      <c r="S929" t="s">
        <v>2284</v>
      </c>
      <c r="T929" t="s">
        <v>2288</v>
      </c>
      <c r="U929">
        <v>2</v>
      </c>
      <c r="V929">
        <v>87</v>
      </c>
      <c r="W929">
        <v>40</v>
      </c>
      <c r="X929">
        <v>62.48</v>
      </c>
      <c r="Y929">
        <v>56.52</v>
      </c>
      <c r="Z929" t="s">
        <v>2292</v>
      </c>
      <c r="AA929" t="s">
        <v>2296</v>
      </c>
      <c r="AB929">
        <v>140</v>
      </c>
      <c r="AC929">
        <v>21</v>
      </c>
      <c r="AD929">
        <v>119</v>
      </c>
      <c r="AE929">
        <v>62.48</v>
      </c>
      <c r="AF929">
        <v>56.52</v>
      </c>
      <c r="AG929">
        <v>2024</v>
      </c>
      <c r="AH929">
        <v>1</v>
      </c>
      <c r="AI929" t="s">
        <v>2302</v>
      </c>
      <c r="AJ929" t="s">
        <v>2318</v>
      </c>
    </row>
    <row r="930" spans="1:36" x14ac:dyDescent="0.3">
      <c r="A930" t="s">
        <v>964</v>
      </c>
      <c r="B930" s="2">
        <v>45468</v>
      </c>
      <c r="C930" t="s">
        <v>1713</v>
      </c>
      <c r="D930" t="s">
        <v>1937</v>
      </c>
      <c r="E930" t="s">
        <v>2126</v>
      </c>
      <c r="F930" t="s">
        <v>2238</v>
      </c>
      <c r="G930" t="s">
        <v>2244</v>
      </c>
      <c r="H930" t="s">
        <v>2257</v>
      </c>
      <c r="I930" t="s">
        <v>2262</v>
      </c>
      <c r="J930" t="s">
        <v>2265</v>
      </c>
      <c r="K930">
        <v>3</v>
      </c>
      <c r="L930">
        <v>115</v>
      </c>
      <c r="M930">
        <v>0</v>
      </c>
      <c r="N930">
        <v>345</v>
      </c>
      <c r="O930">
        <v>345</v>
      </c>
      <c r="P930" t="s">
        <v>2267</v>
      </c>
      <c r="Q930" t="s">
        <v>2270</v>
      </c>
      <c r="R930" t="s">
        <v>2274</v>
      </c>
      <c r="S930" t="s">
        <v>2281</v>
      </c>
      <c r="T930" t="s">
        <v>2288</v>
      </c>
      <c r="U930">
        <v>5</v>
      </c>
      <c r="V930">
        <v>316</v>
      </c>
      <c r="X930">
        <v>53.18</v>
      </c>
      <c r="Y930">
        <v>185.46</v>
      </c>
      <c r="Z930" t="s">
        <v>2294</v>
      </c>
      <c r="AA930" t="s">
        <v>2298</v>
      </c>
      <c r="AB930">
        <v>345</v>
      </c>
      <c r="AC930">
        <v>0</v>
      </c>
      <c r="AD930">
        <v>345</v>
      </c>
      <c r="AE930">
        <v>159.54</v>
      </c>
      <c r="AF930">
        <v>185.46</v>
      </c>
      <c r="AG930">
        <v>2024</v>
      </c>
      <c r="AH930">
        <v>6</v>
      </c>
      <c r="AI930" t="s">
        <v>2304</v>
      </c>
      <c r="AJ930" t="s">
        <v>2313</v>
      </c>
    </row>
    <row r="931" spans="1:36" x14ac:dyDescent="0.3">
      <c r="A931" t="s">
        <v>965</v>
      </c>
      <c r="B931" s="2">
        <v>45385</v>
      </c>
      <c r="C931" t="s">
        <v>1699</v>
      </c>
      <c r="D931" t="s">
        <v>1893</v>
      </c>
      <c r="E931" t="s">
        <v>2136</v>
      </c>
      <c r="F931" t="s">
        <v>2239</v>
      </c>
      <c r="G931" t="s">
        <v>2249</v>
      </c>
      <c r="H931" t="s">
        <v>2257</v>
      </c>
      <c r="I931" t="s">
        <v>2263</v>
      </c>
      <c r="J931" t="s">
        <v>2264</v>
      </c>
      <c r="K931">
        <v>1</v>
      </c>
      <c r="L931">
        <v>160</v>
      </c>
      <c r="M931">
        <v>0</v>
      </c>
      <c r="N931">
        <v>160</v>
      </c>
      <c r="O931">
        <v>160</v>
      </c>
      <c r="P931" t="s">
        <v>2269</v>
      </c>
      <c r="Q931" t="s">
        <v>2270</v>
      </c>
      <c r="R931" t="s">
        <v>2277</v>
      </c>
      <c r="S931" t="s">
        <v>2283</v>
      </c>
      <c r="T931" t="s">
        <v>2288</v>
      </c>
      <c r="U931">
        <v>1</v>
      </c>
      <c r="V931">
        <v>194</v>
      </c>
      <c r="X931">
        <v>81.569999999999993</v>
      </c>
      <c r="Y931">
        <v>78.430000000000007</v>
      </c>
      <c r="Z931" t="s">
        <v>2292</v>
      </c>
      <c r="AA931" t="s">
        <v>2297</v>
      </c>
      <c r="AB931">
        <v>160</v>
      </c>
      <c r="AC931">
        <v>0</v>
      </c>
      <c r="AD931">
        <v>160</v>
      </c>
      <c r="AE931">
        <v>81.569999999999993</v>
      </c>
      <c r="AF931">
        <v>78.430000000000007</v>
      </c>
      <c r="AG931">
        <v>2024</v>
      </c>
      <c r="AH931">
        <v>4</v>
      </c>
      <c r="AI931" t="s">
        <v>2308</v>
      </c>
      <c r="AJ931" t="s">
        <v>2312</v>
      </c>
    </row>
    <row r="932" spans="1:36" x14ac:dyDescent="0.3">
      <c r="A932" t="s">
        <v>966</v>
      </c>
      <c r="B932" s="2">
        <v>45567</v>
      </c>
      <c r="C932" t="s">
        <v>1665</v>
      </c>
      <c r="D932" t="s">
        <v>1762</v>
      </c>
      <c r="E932" t="s">
        <v>2002</v>
      </c>
      <c r="F932" t="s">
        <v>2239</v>
      </c>
      <c r="G932" t="s">
        <v>2245</v>
      </c>
      <c r="H932" t="s">
        <v>2257</v>
      </c>
      <c r="I932" t="s">
        <v>2263</v>
      </c>
      <c r="J932" t="s">
        <v>2265</v>
      </c>
      <c r="K932">
        <v>2</v>
      </c>
      <c r="L932">
        <v>155</v>
      </c>
      <c r="M932">
        <v>0</v>
      </c>
      <c r="N932">
        <v>310</v>
      </c>
      <c r="O932">
        <v>310</v>
      </c>
      <c r="P932" t="s">
        <v>2269</v>
      </c>
      <c r="Q932" t="s">
        <v>2270</v>
      </c>
      <c r="R932" t="s">
        <v>2278</v>
      </c>
      <c r="S932" t="s">
        <v>2282</v>
      </c>
      <c r="T932" t="s">
        <v>2290</v>
      </c>
      <c r="U932">
        <v>5</v>
      </c>
      <c r="V932">
        <v>407</v>
      </c>
      <c r="W932">
        <v>21</v>
      </c>
      <c r="X932">
        <v>82.34</v>
      </c>
      <c r="Y932">
        <v>145.32</v>
      </c>
      <c r="Z932" t="s">
        <v>1761</v>
      </c>
      <c r="AA932" t="s">
        <v>1761</v>
      </c>
      <c r="AB932">
        <v>310</v>
      </c>
      <c r="AC932">
        <v>0</v>
      </c>
      <c r="AD932">
        <v>310</v>
      </c>
      <c r="AE932">
        <v>164.68</v>
      </c>
      <c r="AF932">
        <v>145.32</v>
      </c>
      <c r="AG932">
        <v>2024</v>
      </c>
      <c r="AH932">
        <v>10</v>
      </c>
      <c r="AI932" t="s">
        <v>2310</v>
      </c>
      <c r="AJ932" t="s">
        <v>2312</v>
      </c>
    </row>
    <row r="933" spans="1:36" x14ac:dyDescent="0.3">
      <c r="A933" t="s">
        <v>967</v>
      </c>
      <c r="B933" s="2">
        <v>45443</v>
      </c>
      <c r="C933" t="s">
        <v>1685</v>
      </c>
      <c r="D933" t="s">
        <v>1867</v>
      </c>
      <c r="E933" t="s">
        <v>2049</v>
      </c>
      <c r="F933" t="s">
        <v>1761</v>
      </c>
      <c r="G933" t="s">
        <v>2251</v>
      </c>
      <c r="H933" t="s">
        <v>2258</v>
      </c>
      <c r="I933" t="s">
        <v>2260</v>
      </c>
      <c r="J933" t="s">
        <v>2264</v>
      </c>
      <c r="K933">
        <v>3</v>
      </c>
      <c r="L933">
        <v>95</v>
      </c>
      <c r="M933">
        <v>0</v>
      </c>
      <c r="N933">
        <v>285</v>
      </c>
      <c r="O933">
        <v>285</v>
      </c>
      <c r="P933" t="s">
        <v>2267</v>
      </c>
      <c r="Q933" t="s">
        <v>2270</v>
      </c>
      <c r="R933" t="s">
        <v>2279</v>
      </c>
      <c r="S933" t="s">
        <v>2283</v>
      </c>
      <c r="T933" t="s">
        <v>2290</v>
      </c>
      <c r="U933">
        <v>4</v>
      </c>
      <c r="V933">
        <v>161</v>
      </c>
      <c r="W933">
        <v>18</v>
      </c>
      <c r="X933">
        <v>41.86</v>
      </c>
      <c r="Y933">
        <v>159.41999999999999</v>
      </c>
      <c r="Z933" t="s">
        <v>2292</v>
      </c>
      <c r="AA933" t="s">
        <v>2296</v>
      </c>
      <c r="AB933">
        <v>285</v>
      </c>
      <c r="AC933">
        <v>0</v>
      </c>
      <c r="AD933">
        <v>285</v>
      </c>
      <c r="AE933">
        <v>125.58</v>
      </c>
      <c r="AF933">
        <v>159.41999999999999</v>
      </c>
      <c r="AG933">
        <v>2024</v>
      </c>
      <c r="AH933">
        <v>5</v>
      </c>
      <c r="AI933" t="s">
        <v>2306</v>
      </c>
      <c r="AJ933" t="s">
        <v>2315</v>
      </c>
    </row>
    <row r="934" spans="1:36" x14ac:dyDescent="0.3">
      <c r="A934" t="s">
        <v>968</v>
      </c>
      <c r="B934" s="2">
        <v>45305</v>
      </c>
      <c r="C934" t="s">
        <v>1662</v>
      </c>
      <c r="D934" t="s">
        <v>1791</v>
      </c>
      <c r="E934" t="s">
        <v>2122</v>
      </c>
      <c r="F934" t="s">
        <v>2239</v>
      </c>
      <c r="G934" t="s">
        <v>2248</v>
      </c>
      <c r="H934" t="s">
        <v>2257</v>
      </c>
      <c r="I934" t="s">
        <v>2262</v>
      </c>
      <c r="J934" t="s">
        <v>2264</v>
      </c>
      <c r="K934">
        <v>1</v>
      </c>
      <c r="L934">
        <v>145</v>
      </c>
      <c r="M934">
        <v>0</v>
      </c>
      <c r="N934">
        <v>145</v>
      </c>
      <c r="O934">
        <v>145</v>
      </c>
      <c r="P934" t="s">
        <v>2267</v>
      </c>
      <c r="Q934" t="s">
        <v>2272</v>
      </c>
      <c r="R934" t="s">
        <v>2279</v>
      </c>
      <c r="S934" t="s">
        <v>2284</v>
      </c>
      <c r="T934" t="s">
        <v>2288</v>
      </c>
      <c r="X934">
        <v>58.03</v>
      </c>
      <c r="Y934">
        <v>86.97</v>
      </c>
      <c r="Z934" t="s">
        <v>2294</v>
      </c>
      <c r="AA934" t="s">
        <v>2297</v>
      </c>
      <c r="AB934">
        <v>145</v>
      </c>
      <c r="AC934">
        <v>0</v>
      </c>
      <c r="AD934">
        <v>145</v>
      </c>
      <c r="AE934">
        <v>58.03</v>
      </c>
      <c r="AF934">
        <v>86.97</v>
      </c>
      <c r="AG934">
        <v>2024</v>
      </c>
      <c r="AH934">
        <v>1</v>
      </c>
      <c r="AI934" t="s">
        <v>2302</v>
      </c>
      <c r="AJ934" t="s">
        <v>2318</v>
      </c>
    </row>
    <row r="935" spans="1:36" x14ac:dyDescent="0.3">
      <c r="A935" t="s">
        <v>969</v>
      </c>
      <c r="B935" s="2">
        <v>45460</v>
      </c>
      <c r="C935" t="s">
        <v>1661</v>
      </c>
      <c r="D935" t="s">
        <v>1903</v>
      </c>
      <c r="E935" t="s">
        <v>2042</v>
      </c>
      <c r="F935" t="s">
        <v>2240</v>
      </c>
      <c r="G935" t="s">
        <v>2254</v>
      </c>
      <c r="H935" t="s">
        <v>2259</v>
      </c>
      <c r="I935" t="s">
        <v>2263</v>
      </c>
      <c r="J935" t="s">
        <v>2265</v>
      </c>
      <c r="L935">
        <v>110</v>
      </c>
      <c r="M935">
        <v>0</v>
      </c>
      <c r="N935">
        <v>550</v>
      </c>
      <c r="O935">
        <v>550</v>
      </c>
      <c r="P935" t="s">
        <v>2267</v>
      </c>
      <c r="Q935" t="s">
        <v>2270</v>
      </c>
      <c r="R935" t="s">
        <v>2279</v>
      </c>
      <c r="S935" t="s">
        <v>2286</v>
      </c>
      <c r="T935" t="s">
        <v>2288</v>
      </c>
      <c r="U935">
        <v>4</v>
      </c>
      <c r="V935">
        <v>24</v>
      </c>
      <c r="W935">
        <v>52</v>
      </c>
      <c r="X935">
        <v>42.62</v>
      </c>
      <c r="Y935">
        <v>336.9</v>
      </c>
      <c r="Z935" t="s">
        <v>2293</v>
      </c>
      <c r="AA935" t="s">
        <v>2297</v>
      </c>
      <c r="AG935">
        <v>2024</v>
      </c>
      <c r="AH935">
        <v>6</v>
      </c>
      <c r="AI935" t="s">
        <v>2304</v>
      </c>
      <c r="AJ935" t="s">
        <v>2314</v>
      </c>
    </row>
    <row r="936" spans="1:36" x14ac:dyDescent="0.3">
      <c r="A936" t="s">
        <v>970</v>
      </c>
      <c r="B936" s="2">
        <v>45610</v>
      </c>
      <c r="C936" t="s">
        <v>1699</v>
      </c>
      <c r="D936" t="s">
        <v>1771</v>
      </c>
      <c r="E936" t="s">
        <v>1761</v>
      </c>
      <c r="F936" t="s">
        <v>2239</v>
      </c>
      <c r="G936" t="s">
        <v>2245</v>
      </c>
      <c r="H936" t="s">
        <v>2257</v>
      </c>
      <c r="I936" t="s">
        <v>2263</v>
      </c>
      <c r="J936" t="s">
        <v>2266</v>
      </c>
      <c r="K936">
        <v>1</v>
      </c>
      <c r="L936">
        <v>150</v>
      </c>
      <c r="M936">
        <v>0.1</v>
      </c>
      <c r="N936">
        <v>150</v>
      </c>
      <c r="O936">
        <v>135</v>
      </c>
      <c r="P936" t="s">
        <v>2268</v>
      </c>
      <c r="Q936" t="s">
        <v>2272</v>
      </c>
      <c r="R936" t="s">
        <v>2275</v>
      </c>
      <c r="S936" t="s">
        <v>2287</v>
      </c>
      <c r="T936" t="s">
        <v>2288</v>
      </c>
      <c r="U936">
        <v>1</v>
      </c>
      <c r="V936">
        <v>316</v>
      </c>
      <c r="X936">
        <v>53.2</v>
      </c>
      <c r="Y936">
        <v>81.8</v>
      </c>
      <c r="Z936" t="s">
        <v>2293</v>
      </c>
      <c r="AA936" t="s">
        <v>2299</v>
      </c>
      <c r="AB936">
        <v>150</v>
      </c>
      <c r="AC936">
        <v>15</v>
      </c>
      <c r="AD936">
        <v>135</v>
      </c>
      <c r="AE936">
        <v>53.2</v>
      </c>
      <c r="AF936">
        <v>81.8</v>
      </c>
      <c r="AG936">
        <v>2024</v>
      </c>
      <c r="AH936">
        <v>11</v>
      </c>
      <c r="AI936" t="s">
        <v>2311</v>
      </c>
      <c r="AJ936" t="s">
        <v>2316</v>
      </c>
    </row>
    <row r="937" spans="1:36" x14ac:dyDescent="0.3">
      <c r="A937" t="s">
        <v>971</v>
      </c>
      <c r="B937" s="2">
        <v>45486</v>
      </c>
      <c r="C937" t="s">
        <v>1703</v>
      </c>
      <c r="D937" t="s">
        <v>1937</v>
      </c>
      <c r="E937" t="s">
        <v>1761</v>
      </c>
      <c r="F937" t="s">
        <v>1761</v>
      </c>
      <c r="G937" t="s">
        <v>2256</v>
      </c>
      <c r="H937" t="s">
        <v>2261</v>
      </c>
      <c r="I937" t="s">
        <v>2260</v>
      </c>
      <c r="J937" t="s">
        <v>2264</v>
      </c>
      <c r="K937">
        <v>2</v>
      </c>
      <c r="L937">
        <v>190</v>
      </c>
      <c r="M937">
        <v>0</v>
      </c>
      <c r="N937">
        <v>380</v>
      </c>
      <c r="O937">
        <v>380</v>
      </c>
      <c r="P937" t="s">
        <v>2267</v>
      </c>
      <c r="Q937" t="s">
        <v>2271</v>
      </c>
      <c r="R937" t="s">
        <v>2273</v>
      </c>
      <c r="S937" t="s">
        <v>2285</v>
      </c>
      <c r="T937" t="s">
        <v>2289</v>
      </c>
      <c r="U937">
        <v>2</v>
      </c>
      <c r="V937">
        <v>285</v>
      </c>
      <c r="W937">
        <v>52</v>
      </c>
      <c r="X937">
        <v>93.08</v>
      </c>
      <c r="Y937">
        <v>193.84</v>
      </c>
      <c r="Z937" t="s">
        <v>1761</v>
      </c>
      <c r="AA937" t="s">
        <v>1761</v>
      </c>
      <c r="AB937">
        <v>380</v>
      </c>
      <c r="AC937">
        <v>0</v>
      </c>
      <c r="AD937">
        <v>380</v>
      </c>
      <c r="AE937">
        <v>186.16</v>
      </c>
      <c r="AF937">
        <v>193.84</v>
      </c>
      <c r="AG937">
        <v>2024</v>
      </c>
      <c r="AH937">
        <v>7</v>
      </c>
      <c r="AI937" t="s">
        <v>2307</v>
      </c>
      <c r="AJ937" t="s">
        <v>2317</v>
      </c>
    </row>
    <row r="938" spans="1:36" x14ac:dyDescent="0.3">
      <c r="A938" t="s">
        <v>972</v>
      </c>
      <c r="B938" s="2">
        <v>45634</v>
      </c>
      <c r="C938" t="s">
        <v>1695</v>
      </c>
      <c r="D938" t="s">
        <v>1872</v>
      </c>
      <c r="E938" t="s">
        <v>2218</v>
      </c>
      <c r="F938" t="s">
        <v>2239</v>
      </c>
      <c r="G938" t="s">
        <v>2254</v>
      </c>
      <c r="H938" t="s">
        <v>2259</v>
      </c>
      <c r="I938" t="s">
        <v>2263</v>
      </c>
      <c r="J938" t="s">
        <v>2266</v>
      </c>
      <c r="K938">
        <v>3</v>
      </c>
      <c r="L938">
        <v>115</v>
      </c>
      <c r="M938">
        <v>0.1</v>
      </c>
      <c r="N938">
        <v>345</v>
      </c>
      <c r="O938">
        <v>310.5</v>
      </c>
      <c r="P938" t="s">
        <v>2268</v>
      </c>
      <c r="Q938" t="s">
        <v>2270</v>
      </c>
      <c r="R938" t="s">
        <v>2276</v>
      </c>
      <c r="S938" t="s">
        <v>2283</v>
      </c>
      <c r="T938" t="s">
        <v>2288</v>
      </c>
      <c r="U938">
        <v>5</v>
      </c>
      <c r="V938">
        <v>90</v>
      </c>
      <c r="W938">
        <v>19</v>
      </c>
      <c r="X938">
        <v>59.02</v>
      </c>
      <c r="Y938">
        <v>133.44</v>
      </c>
      <c r="Z938" t="s">
        <v>2293</v>
      </c>
      <c r="AA938" t="s">
        <v>2297</v>
      </c>
      <c r="AB938">
        <v>345</v>
      </c>
      <c r="AC938">
        <v>34.5</v>
      </c>
      <c r="AD938">
        <v>310.5</v>
      </c>
      <c r="AE938">
        <v>177.06</v>
      </c>
      <c r="AF938">
        <v>133.44</v>
      </c>
      <c r="AG938">
        <v>2024</v>
      </c>
      <c r="AH938">
        <v>12</v>
      </c>
      <c r="AI938" t="s">
        <v>2309</v>
      </c>
      <c r="AJ938" t="s">
        <v>2318</v>
      </c>
    </row>
    <row r="939" spans="1:36" x14ac:dyDescent="0.3">
      <c r="A939" t="s">
        <v>973</v>
      </c>
      <c r="B939" s="2">
        <v>45365</v>
      </c>
      <c r="C939" t="s">
        <v>1652</v>
      </c>
      <c r="D939" t="s">
        <v>1780</v>
      </c>
      <c r="E939" t="s">
        <v>2137</v>
      </c>
      <c r="F939" t="s">
        <v>2239</v>
      </c>
      <c r="G939" t="s">
        <v>2255</v>
      </c>
      <c r="H939" t="s">
        <v>2260</v>
      </c>
      <c r="I939" t="s">
        <v>2260</v>
      </c>
      <c r="J939" t="s">
        <v>2264</v>
      </c>
      <c r="K939">
        <v>1</v>
      </c>
      <c r="L939">
        <v>180</v>
      </c>
      <c r="M939">
        <v>0</v>
      </c>
      <c r="N939">
        <v>180</v>
      </c>
      <c r="O939">
        <v>180</v>
      </c>
      <c r="P939" t="s">
        <v>2268</v>
      </c>
      <c r="Q939" t="s">
        <v>2272</v>
      </c>
      <c r="R939" t="s">
        <v>2277</v>
      </c>
      <c r="S939" t="s">
        <v>2285</v>
      </c>
      <c r="T939" t="s">
        <v>2288</v>
      </c>
      <c r="U939">
        <v>1</v>
      </c>
      <c r="V939">
        <v>293</v>
      </c>
      <c r="W939">
        <v>53</v>
      </c>
      <c r="X939">
        <v>63.2</v>
      </c>
      <c r="Y939">
        <v>116.8</v>
      </c>
      <c r="Z939" t="s">
        <v>1761</v>
      </c>
      <c r="AA939" t="s">
        <v>2297</v>
      </c>
      <c r="AB939">
        <v>180</v>
      </c>
      <c r="AC939">
        <v>0</v>
      </c>
      <c r="AD939">
        <v>180</v>
      </c>
      <c r="AE939">
        <v>63.2</v>
      </c>
      <c r="AF939">
        <v>116.8</v>
      </c>
      <c r="AG939">
        <v>2024</v>
      </c>
      <c r="AH939">
        <v>3</v>
      </c>
      <c r="AI939" t="s">
        <v>2305</v>
      </c>
      <c r="AJ939" t="s">
        <v>2316</v>
      </c>
    </row>
    <row r="940" spans="1:36" x14ac:dyDescent="0.3">
      <c r="A940" t="s">
        <v>974</v>
      </c>
      <c r="B940" s="2">
        <v>45462</v>
      </c>
      <c r="C940" t="s">
        <v>1708</v>
      </c>
      <c r="D940" t="s">
        <v>1762</v>
      </c>
      <c r="E940" t="s">
        <v>2125</v>
      </c>
      <c r="F940" t="s">
        <v>2238</v>
      </c>
      <c r="G940" t="s">
        <v>2250</v>
      </c>
      <c r="H940" t="s">
        <v>2259</v>
      </c>
      <c r="I940" t="s">
        <v>2262</v>
      </c>
      <c r="J940" t="s">
        <v>2264</v>
      </c>
      <c r="K940">
        <v>2</v>
      </c>
      <c r="L940">
        <v>85</v>
      </c>
      <c r="M940">
        <v>0.1</v>
      </c>
      <c r="N940">
        <v>170</v>
      </c>
      <c r="O940">
        <v>153</v>
      </c>
      <c r="P940" t="s">
        <v>2267</v>
      </c>
      <c r="Q940" t="s">
        <v>2272</v>
      </c>
      <c r="R940" t="s">
        <v>2276</v>
      </c>
      <c r="S940" t="s">
        <v>2287</v>
      </c>
      <c r="T940" t="s">
        <v>2288</v>
      </c>
      <c r="U940">
        <v>1</v>
      </c>
      <c r="V940">
        <v>294</v>
      </c>
      <c r="W940">
        <v>19</v>
      </c>
      <c r="X940">
        <v>35.549999999999997</v>
      </c>
      <c r="Y940">
        <v>81.900000000000006</v>
      </c>
      <c r="Z940" t="s">
        <v>2293</v>
      </c>
      <c r="AA940" t="s">
        <v>2298</v>
      </c>
      <c r="AB940">
        <v>170</v>
      </c>
      <c r="AC940">
        <v>17</v>
      </c>
      <c r="AD940">
        <v>153</v>
      </c>
      <c r="AE940">
        <v>71.099999999999994</v>
      </c>
      <c r="AF940">
        <v>81.900000000000006</v>
      </c>
      <c r="AG940">
        <v>2024</v>
      </c>
      <c r="AH940">
        <v>6</v>
      </c>
      <c r="AI940" t="s">
        <v>2304</v>
      </c>
      <c r="AJ940" t="s">
        <v>2312</v>
      </c>
    </row>
    <row r="941" spans="1:36" x14ac:dyDescent="0.3">
      <c r="A941" t="s">
        <v>975</v>
      </c>
      <c r="B941" s="2">
        <v>45400</v>
      </c>
      <c r="C941" t="s">
        <v>1692</v>
      </c>
      <c r="D941" t="s">
        <v>1773</v>
      </c>
      <c r="E941" t="s">
        <v>2149</v>
      </c>
      <c r="F941" t="s">
        <v>2240</v>
      </c>
      <c r="G941" t="s">
        <v>2248</v>
      </c>
      <c r="H941" t="s">
        <v>2257</v>
      </c>
      <c r="I941" t="s">
        <v>2262</v>
      </c>
      <c r="J941" t="s">
        <v>2264</v>
      </c>
      <c r="K941">
        <v>2</v>
      </c>
      <c r="L941">
        <v>140</v>
      </c>
      <c r="M941">
        <v>0.1</v>
      </c>
      <c r="N941">
        <v>280</v>
      </c>
      <c r="O941">
        <v>252</v>
      </c>
      <c r="P941" t="s">
        <v>2267</v>
      </c>
      <c r="Q941" t="s">
        <v>2271</v>
      </c>
      <c r="R941" t="s">
        <v>2276</v>
      </c>
      <c r="S941" t="s">
        <v>2284</v>
      </c>
      <c r="T941" t="s">
        <v>2288</v>
      </c>
      <c r="U941">
        <v>1</v>
      </c>
      <c r="V941">
        <v>458</v>
      </c>
      <c r="W941">
        <v>20</v>
      </c>
      <c r="X941">
        <v>56.83</v>
      </c>
      <c r="Y941">
        <v>138.34</v>
      </c>
      <c r="Z941" t="s">
        <v>2292</v>
      </c>
      <c r="AA941" t="s">
        <v>2299</v>
      </c>
      <c r="AB941">
        <v>280</v>
      </c>
      <c r="AC941">
        <v>28</v>
      </c>
      <c r="AD941">
        <v>252</v>
      </c>
      <c r="AE941">
        <v>113.66</v>
      </c>
      <c r="AF941">
        <v>138.34</v>
      </c>
      <c r="AG941">
        <v>2024</v>
      </c>
      <c r="AH941">
        <v>4</v>
      </c>
      <c r="AI941" t="s">
        <v>2308</v>
      </c>
      <c r="AJ941" t="s">
        <v>2316</v>
      </c>
    </row>
    <row r="942" spans="1:36" x14ac:dyDescent="0.3">
      <c r="A942" t="s">
        <v>976</v>
      </c>
      <c r="B942" s="2">
        <v>45588</v>
      </c>
      <c r="C942" t="s">
        <v>1708</v>
      </c>
      <c r="D942" t="s">
        <v>1864</v>
      </c>
      <c r="E942" t="s">
        <v>2017</v>
      </c>
      <c r="F942" t="s">
        <v>2240</v>
      </c>
      <c r="G942" t="s">
        <v>2252</v>
      </c>
      <c r="H942" t="s">
        <v>2257</v>
      </c>
      <c r="I942" t="s">
        <v>2262</v>
      </c>
      <c r="J942" t="s">
        <v>2264</v>
      </c>
      <c r="K942">
        <v>1</v>
      </c>
      <c r="L942">
        <v>95</v>
      </c>
      <c r="M942">
        <v>0.15</v>
      </c>
      <c r="N942">
        <v>95</v>
      </c>
      <c r="O942">
        <v>80.75</v>
      </c>
      <c r="P942" t="s">
        <v>2267</v>
      </c>
      <c r="Q942" t="s">
        <v>2272</v>
      </c>
      <c r="R942" t="s">
        <v>2279</v>
      </c>
      <c r="S942" t="s">
        <v>2287</v>
      </c>
      <c r="T942" t="s">
        <v>2288</v>
      </c>
      <c r="U942">
        <v>5</v>
      </c>
      <c r="V942">
        <v>453</v>
      </c>
      <c r="W942">
        <v>29</v>
      </c>
      <c r="X942">
        <v>33.39</v>
      </c>
      <c r="Y942">
        <v>47.36</v>
      </c>
      <c r="Z942" t="s">
        <v>2291</v>
      </c>
      <c r="AA942" t="s">
        <v>2296</v>
      </c>
      <c r="AB942">
        <v>95</v>
      </c>
      <c r="AC942">
        <v>14.25</v>
      </c>
      <c r="AD942">
        <v>80.75</v>
      </c>
      <c r="AE942">
        <v>33.39</v>
      </c>
      <c r="AF942">
        <v>47.36</v>
      </c>
      <c r="AG942">
        <v>2024</v>
      </c>
      <c r="AH942">
        <v>10</v>
      </c>
      <c r="AI942" t="s">
        <v>2310</v>
      </c>
      <c r="AJ942" t="s">
        <v>2312</v>
      </c>
    </row>
    <row r="943" spans="1:36" x14ac:dyDescent="0.3">
      <c r="A943" t="s">
        <v>977</v>
      </c>
      <c r="B943" s="2">
        <v>45615</v>
      </c>
      <c r="C943" t="s">
        <v>1714</v>
      </c>
      <c r="D943" t="s">
        <v>1894</v>
      </c>
      <c r="E943" t="s">
        <v>2086</v>
      </c>
      <c r="F943" t="s">
        <v>2239</v>
      </c>
      <c r="G943" t="s">
        <v>2249</v>
      </c>
      <c r="H943" t="s">
        <v>2257</v>
      </c>
      <c r="I943" t="s">
        <v>2263</v>
      </c>
      <c r="J943" t="s">
        <v>2265</v>
      </c>
      <c r="K943">
        <v>1</v>
      </c>
      <c r="L943">
        <v>165</v>
      </c>
      <c r="M943">
        <v>0.15</v>
      </c>
      <c r="N943">
        <v>165</v>
      </c>
      <c r="O943">
        <v>140.25</v>
      </c>
      <c r="P943" t="s">
        <v>2267</v>
      </c>
      <c r="Q943" t="s">
        <v>2270</v>
      </c>
      <c r="R943" t="s">
        <v>2276</v>
      </c>
      <c r="S943" t="s">
        <v>2280</v>
      </c>
      <c r="T943" t="s">
        <v>2290</v>
      </c>
      <c r="U943">
        <v>2</v>
      </c>
      <c r="V943">
        <v>368</v>
      </c>
      <c r="W943">
        <v>46</v>
      </c>
      <c r="X943">
        <v>71.819999999999993</v>
      </c>
      <c r="Y943">
        <v>68.430000000000007</v>
      </c>
      <c r="Z943" t="s">
        <v>2292</v>
      </c>
      <c r="AA943" t="s">
        <v>1761</v>
      </c>
      <c r="AB943">
        <v>165</v>
      </c>
      <c r="AC943">
        <v>24.75</v>
      </c>
      <c r="AD943">
        <v>140.25</v>
      </c>
      <c r="AE943">
        <v>71.819999999999993</v>
      </c>
      <c r="AF943">
        <v>68.430000000000007</v>
      </c>
      <c r="AG943">
        <v>2024</v>
      </c>
      <c r="AH943">
        <v>11</v>
      </c>
      <c r="AI943" t="s">
        <v>2311</v>
      </c>
      <c r="AJ943" t="s">
        <v>2313</v>
      </c>
    </row>
    <row r="944" spans="1:36" x14ac:dyDescent="0.3">
      <c r="A944" t="s">
        <v>978</v>
      </c>
      <c r="B944" s="2">
        <v>45369</v>
      </c>
      <c r="C944" t="s">
        <v>1739</v>
      </c>
      <c r="D944" t="s">
        <v>1840</v>
      </c>
      <c r="E944" t="s">
        <v>2016</v>
      </c>
      <c r="F944" t="s">
        <v>2239</v>
      </c>
      <c r="G944" t="s">
        <v>2242</v>
      </c>
      <c r="H944" t="s">
        <v>2258</v>
      </c>
      <c r="I944" t="s">
        <v>2260</v>
      </c>
      <c r="J944" t="s">
        <v>2265</v>
      </c>
      <c r="K944">
        <v>2</v>
      </c>
      <c r="L944">
        <v>120</v>
      </c>
      <c r="M944">
        <v>0.1</v>
      </c>
      <c r="N944">
        <v>240</v>
      </c>
      <c r="O944">
        <v>216</v>
      </c>
      <c r="P944" t="s">
        <v>2267</v>
      </c>
      <c r="R944" t="s">
        <v>2278</v>
      </c>
      <c r="S944" t="s">
        <v>2280</v>
      </c>
      <c r="T944" t="s">
        <v>2288</v>
      </c>
      <c r="V944">
        <v>292</v>
      </c>
      <c r="W944">
        <v>17</v>
      </c>
      <c r="X944">
        <v>68.14</v>
      </c>
      <c r="Y944">
        <v>79.72</v>
      </c>
      <c r="Z944" t="s">
        <v>2293</v>
      </c>
      <c r="AA944" t="s">
        <v>2296</v>
      </c>
      <c r="AB944">
        <v>240</v>
      </c>
      <c r="AC944">
        <v>24</v>
      </c>
      <c r="AD944">
        <v>216</v>
      </c>
      <c r="AE944">
        <v>136.28</v>
      </c>
      <c r="AF944">
        <v>79.72</v>
      </c>
      <c r="AG944">
        <v>2024</v>
      </c>
      <c r="AH944">
        <v>3</v>
      </c>
      <c r="AI944" t="s">
        <v>2305</v>
      </c>
      <c r="AJ944" t="s">
        <v>2314</v>
      </c>
    </row>
    <row r="945" spans="1:36" x14ac:dyDescent="0.3">
      <c r="A945" t="s">
        <v>979</v>
      </c>
      <c r="B945" s="2">
        <v>45650</v>
      </c>
      <c r="C945" t="s">
        <v>1712</v>
      </c>
      <c r="D945" t="s">
        <v>1796</v>
      </c>
      <c r="E945" t="s">
        <v>1957</v>
      </c>
      <c r="F945" t="s">
        <v>1761</v>
      </c>
      <c r="G945" t="s">
        <v>2245</v>
      </c>
      <c r="H945" t="s">
        <v>2257</v>
      </c>
      <c r="I945" t="s">
        <v>2263</v>
      </c>
      <c r="J945" t="s">
        <v>2264</v>
      </c>
      <c r="K945">
        <v>2</v>
      </c>
      <c r="L945">
        <v>150</v>
      </c>
      <c r="M945">
        <v>0.05</v>
      </c>
      <c r="N945">
        <v>300</v>
      </c>
      <c r="O945">
        <v>285</v>
      </c>
      <c r="P945" t="s">
        <v>2268</v>
      </c>
      <c r="Q945" t="s">
        <v>2270</v>
      </c>
      <c r="R945" t="s">
        <v>2273</v>
      </c>
      <c r="S945" t="s">
        <v>2280</v>
      </c>
      <c r="T945" t="s">
        <v>2288</v>
      </c>
      <c r="U945">
        <v>5</v>
      </c>
      <c r="V945">
        <v>437</v>
      </c>
      <c r="X945">
        <v>65.7</v>
      </c>
      <c r="Y945">
        <v>153.6</v>
      </c>
      <c r="Z945" t="s">
        <v>1761</v>
      </c>
      <c r="AA945" t="s">
        <v>2298</v>
      </c>
      <c r="AB945">
        <v>300</v>
      </c>
      <c r="AC945">
        <v>15</v>
      </c>
      <c r="AD945">
        <v>285</v>
      </c>
      <c r="AE945">
        <v>131.4</v>
      </c>
      <c r="AF945">
        <v>153.6</v>
      </c>
      <c r="AG945">
        <v>2024</v>
      </c>
      <c r="AH945">
        <v>12</v>
      </c>
      <c r="AI945" t="s">
        <v>2309</v>
      </c>
      <c r="AJ945" t="s">
        <v>2313</v>
      </c>
    </row>
    <row r="946" spans="1:36" x14ac:dyDescent="0.3">
      <c r="A946" t="s">
        <v>980</v>
      </c>
      <c r="B946" s="2">
        <v>45430</v>
      </c>
      <c r="C946" t="s">
        <v>1637</v>
      </c>
      <c r="D946" t="s">
        <v>1939</v>
      </c>
      <c r="E946" t="s">
        <v>2227</v>
      </c>
      <c r="F946" t="s">
        <v>2240</v>
      </c>
      <c r="G946" t="s">
        <v>2252</v>
      </c>
      <c r="H946" t="s">
        <v>2257</v>
      </c>
      <c r="I946" t="s">
        <v>2262</v>
      </c>
      <c r="J946" t="s">
        <v>2264</v>
      </c>
      <c r="K946">
        <v>2</v>
      </c>
      <c r="L946">
        <v>95</v>
      </c>
      <c r="M946">
        <v>0</v>
      </c>
      <c r="N946">
        <v>190</v>
      </c>
      <c r="O946">
        <v>190</v>
      </c>
      <c r="P946" t="s">
        <v>2267</v>
      </c>
      <c r="Q946" t="s">
        <v>2272</v>
      </c>
      <c r="R946" t="s">
        <v>2278</v>
      </c>
      <c r="S946" t="s">
        <v>2284</v>
      </c>
      <c r="T946" t="s">
        <v>2289</v>
      </c>
      <c r="U946">
        <v>5</v>
      </c>
      <c r="V946">
        <v>287</v>
      </c>
      <c r="W946">
        <v>26</v>
      </c>
      <c r="X946">
        <v>35.619999999999997</v>
      </c>
      <c r="Y946">
        <v>118.76</v>
      </c>
      <c r="Z946" t="s">
        <v>2294</v>
      </c>
      <c r="AA946" t="s">
        <v>2298</v>
      </c>
      <c r="AB946">
        <v>190</v>
      </c>
      <c r="AC946">
        <v>0</v>
      </c>
      <c r="AD946">
        <v>190</v>
      </c>
      <c r="AE946">
        <v>71.239999999999995</v>
      </c>
      <c r="AF946">
        <v>118.76</v>
      </c>
      <c r="AG946">
        <v>2024</v>
      </c>
      <c r="AH946">
        <v>5</v>
      </c>
      <c r="AI946" t="s">
        <v>2306</v>
      </c>
      <c r="AJ946" t="s">
        <v>2317</v>
      </c>
    </row>
    <row r="947" spans="1:36" x14ac:dyDescent="0.3">
      <c r="A947" t="s">
        <v>981</v>
      </c>
      <c r="B947" s="2">
        <v>45527</v>
      </c>
      <c r="C947" t="s">
        <v>1707</v>
      </c>
      <c r="D947" t="s">
        <v>1864</v>
      </c>
      <c r="E947" t="s">
        <v>2147</v>
      </c>
      <c r="F947" t="s">
        <v>2239</v>
      </c>
      <c r="G947" t="s">
        <v>2251</v>
      </c>
      <c r="H947" t="s">
        <v>2258</v>
      </c>
      <c r="I947" t="s">
        <v>2260</v>
      </c>
      <c r="J947" t="s">
        <v>2264</v>
      </c>
      <c r="K947">
        <v>1</v>
      </c>
      <c r="L947">
        <v>95</v>
      </c>
      <c r="M947">
        <v>0.1</v>
      </c>
      <c r="N947">
        <v>95</v>
      </c>
      <c r="O947">
        <v>85.5</v>
      </c>
      <c r="P947" t="s">
        <v>2267</v>
      </c>
      <c r="Q947" t="s">
        <v>2272</v>
      </c>
      <c r="R947" t="s">
        <v>2275</v>
      </c>
      <c r="S947" t="s">
        <v>2284</v>
      </c>
      <c r="T947" t="s">
        <v>2289</v>
      </c>
      <c r="U947">
        <v>5</v>
      </c>
      <c r="V947">
        <v>392</v>
      </c>
      <c r="W947">
        <v>21</v>
      </c>
      <c r="X947">
        <v>46.68</v>
      </c>
      <c r="Y947">
        <v>38.82</v>
      </c>
      <c r="Z947" t="s">
        <v>2292</v>
      </c>
      <c r="AA947" t="s">
        <v>1761</v>
      </c>
      <c r="AB947">
        <v>95</v>
      </c>
      <c r="AC947">
        <v>9.5</v>
      </c>
      <c r="AD947">
        <v>85.5</v>
      </c>
      <c r="AE947">
        <v>46.68</v>
      </c>
      <c r="AF947">
        <v>38.82</v>
      </c>
      <c r="AG947">
        <v>2024</v>
      </c>
      <c r="AH947">
        <v>8</v>
      </c>
      <c r="AI947" t="s">
        <v>2301</v>
      </c>
      <c r="AJ947" t="s">
        <v>2315</v>
      </c>
    </row>
    <row r="948" spans="1:36" x14ac:dyDescent="0.3">
      <c r="A948" t="s">
        <v>982</v>
      </c>
      <c r="B948" s="2">
        <v>45345</v>
      </c>
      <c r="C948" t="s">
        <v>1641</v>
      </c>
      <c r="D948" t="s">
        <v>1898</v>
      </c>
      <c r="E948" t="s">
        <v>2083</v>
      </c>
      <c r="F948" t="s">
        <v>2240</v>
      </c>
      <c r="G948" t="s">
        <v>2254</v>
      </c>
      <c r="H948" t="s">
        <v>2259</v>
      </c>
      <c r="I948" t="s">
        <v>2263</v>
      </c>
      <c r="J948" t="s">
        <v>2266</v>
      </c>
      <c r="K948">
        <v>1</v>
      </c>
      <c r="L948">
        <v>115</v>
      </c>
      <c r="M948">
        <v>0</v>
      </c>
      <c r="N948">
        <v>115</v>
      </c>
      <c r="O948">
        <v>115</v>
      </c>
      <c r="P948" t="s">
        <v>2267</v>
      </c>
      <c r="R948" t="s">
        <v>2278</v>
      </c>
      <c r="S948" t="s">
        <v>2283</v>
      </c>
      <c r="T948" t="s">
        <v>2288</v>
      </c>
      <c r="U948">
        <v>5</v>
      </c>
      <c r="V948">
        <v>102</v>
      </c>
      <c r="W948">
        <v>59</v>
      </c>
      <c r="X948">
        <v>40.1</v>
      </c>
      <c r="Y948">
        <v>74.900000000000006</v>
      </c>
      <c r="Z948" t="s">
        <v>2291</v>
      </c>
      <c r="AA948" t="s">
        <v>2296</v>
      </c>
      <c r="AB948">
        <v>115</v>
      </c>
      <c r="AC948">
        <v>0</v>
      </c>
      <c r="AD948">
        <v>115</v>
      </c>
      <c r="AE948">
        <v>40.1</v>
      </c>
      <c r="AF948">
        <v>74.900000000000006</v>
      </c>
      <c r="AG948">
        <v>2024</v>
      </c>
      <c r="AH948">
        <v>2</v>
      </c>
      <c r="AI948" t="s">
        <v>2303</v>
      </c>
      <c r="AJ948" t="s">
        <v>2315</v>
      </c>
    </row>
    <row r="949" spans="1:36" x14ac:dyDescent="0.3">
      <c r="A949" t="s">
        <v>983</v>
      </c>
      <c r="B949" s="2">
        <v>45569</v>
      </c>
      <c r="C949" t="s">
        <v>1672</v>
      </c>
      <c r="D949" t="s">
        <v>1780</v>
      </c>
      <c r="E949" t="s">
        <v>2120</v>
      </c>
      <c r="F949" t="s">
        <v>2238</v>
      </c>
      <c r="G949" t="s">
        <v>2249</v>
      </c>
      <c r="H949" t="s">
        <v>2257</v>
      </c>
      <c r="I949" t="s">
        <v>2263</v>
      </c>
      <c r="J949" t="s">
        <v>2265</v>
      </c>
      <c r="K949">
        <v>1</v>
      </c>
      <c r="L949">
        <v>160</v>
      </c>
      <c r="N949">
        <v>160</v>
      </c>
      <c r="P949" t="s">
        <v>2269</v>
      </c>
      <c r="Q949" t="s">
        <v>2272</v>
      </c>
      <c r="R949" t="s">
        <v>2277</v>
      </c>
      <c r="S949" t="s">
        <v>2284</v>
      </c>
      <c r="T949" t="s">
        <v>2288</v>
      </c>
      <c r="U949">
        <v>5</v>
      </c>
      <c r="V949">
        <v>27</v>
      </c>
      <c r="W949">
        <v>60</v>
      </c>
      <c r="X949">
        <v>57.07</v>
      </c>
      <c r="Z949" t="s">
        <v>2294</v>
      </c>
      <c r="AA949" t="s">
        <v>2299</v>
      </c>
      <c r="AB949">
        <v>160</v>
      </c>
      <c r="AC949">
        <v>0</v>
      </c>
      <c r="AD949">
        <v>160</v>
      </c>
      <c r="AE949">
        <v>57.07</v>
      </c>
      <c r="AF949">
        <v>102.93</v>
      </c>
      <c r="AG949">
        <v>2024</v>
      </c>
      <c r="AH949">
        <v>10</v>
      </c>
      <c r="AI949" t="s">
        <v>2310</v>
      </c>
      <c r="AJ949" t="s">
        <v>2315</v>
      </c>
    </row>
    <row r="950" spans="1:36" x14ac:dyDescent="0.3">
      <c r="A950" t="s">
        <v>984</v>
      </c>
      <c r="B950" s="2">
        <v>45399</v>
      </c>
      <c r="C950" t="s">
        <v>1675</v>
      </c>
      <c r="D950" t="s">
        <v>1922</v>
      </c>
      <c r="E950" t="s">
        <v>2120</v>
      </c>
      <c r="F950" t="s">
        <v>1761</v>
      </c>
      <c r="G950" t="s">
        <v>2244</v>
      </c>
      <c r="H950" t="s">
        <v>2257</v>
      </c>
      <c r="I950" t="s">
        <v>2262</v>
      </c>
      <c r="J950" t="s">
        <v>2265</v>
      </c>
      <c r="K950">
        <v>1</v>
      </c>
      <c r="L950">
        <v>120</v>
      </c>
      <c r="M950">
        <v>0</v>
      </c>
      <c r="N950">
        <v>120</v>
      </c>
      <c r="O950">
        <v>120</v>
      </c>
      <c r="P950" t="s">
        <v>2268</v>
      </c>
      <c r="Q950" t="s">
        <v>2272</v>
      </c>
      <c r="R950" t="s">
        <v>2275</v>
      </c>
      <c r="S950" t="s">
        <v>2280</v>
      </c>
      <c r="T950" t="s">
        <v>2290</v>
      </c>
      <c r="U950">
        <v>2</v>
      </c>
      <c r="V950">
        <v>12</v>
      </c>
      <c r="X950">
        <v>65.66</v>
      </c>
      <c r="Y950">
        <v>54.34</v>
      </c>
      <c r="Z950" t="s">
        <v>2293</v>
      </c>
      <c r="AA950" t="s">
        <v>2298</v>
      </c>
      <c r="AB950">
        <v>120</v>
      </c>
      <c r="AC950">
        <v>0</v>
      </c>
      <c r="AD950">
        <v>120</v>
      </c>
      <c r="AE950">
        <v>65.66</v>
      </c>
      <c r="AF950">
        <v>54.34</v>
      </c>
      <c r="AG950">
        <v>2024</v>
      </c>
      <c r="AH950">
        <v>4</v>
      </c>
      <c r="AI950" t="s">
        <v>2308</v>
      </c>
      <c r="AJ950" t="s">
        <v>2312</v>
      </c>
    </row>
    <row r="951" spans="1:36" x14ac:dyDescent="0.3">
      <c r="A951" t="s">
        <v>985</v>
      </c>
      <c r="B951" s="2">
        <v>45314</v>
      </c>
      <c r="C951" t="s">
        <v>1641</v>
      </c>
      <c r="D951" t="s">
        <v>1821</v>
      </c>
      <c r="E951" t="s">
        <v>2076</v>
      </c>
      <c r="F951" t="s">
        <v>2239</v>
      </c>
      <c r="G951" t="s">
        <v>2251</v>
      </c>
      <c r="H951" t="s">
        <v>2258</v>
      </c>
      <c r="I951" t="s">
        <v>2260</v>
      </c>
      <c r="J951" t="s">
        <v>2264</v>
      </c>
      <c r="K951">
        <v>3</v>
      </c>
      <c r="L951">
        <v>100</v>
      </c>
      <c r="M951">
        <v>0.1</v>
      </c>
      <c r="N951">
        <v>300</v>
      </c>
      <c r="O951">
        <v>270</v>
      </c>
      <c r="P951" t="s">
        <v>2269</v>
      </c>
      <c r="R951" t="s">
        <v>2278</v>
      </c>
      <c r="S951" t="s">
        <v>2281</v>
      </c>
      <c r="T951" t="s">
        <v>2288</v>
      </c>
      <c r="U951">
        <v>2</v>
      </c>
      <c r="V951">
        <v>325</v>
      </c>
      <c r="W951">
        <v>57</v>
      </c>
      <c r="X951">
        <v>44.58</v>
      </c>
      <c r="Y951">
        <v>136.26</v>
      </c>
      <c r="Z951" t="s">
        <v>2291</v>
      </c>
      <c r="AA951" t="s">
        <v>2298</v>
      </c>
      <c r="AB951">
        <v>300</v>
      </c>
      <c r="AC951">
        <v>30</v>
      </c>
      <c r="AD951">
        <v>270</v>
      </c>
      <c r="AE951">
        <v>133.74</v>
      </c>
      <c r="AF951">
        <v>136.26</v>
      </c>
      <c r="AG951">
        <v>2024</v>
      </c>
      <c r="AH951">
        <v>1</v>
      </c>
      <c r="AI951" t="s">
        <v>2302</v>
      </c>
      <c r="AJ951" t="s">
        <v>2313</v>
      </c>
    </row>
    <row r="952" spans="1:36" x14ac:dyDescent="0.3">
      <c r="A952" t="s">
        <v>986</v>
      </c>
      <c r="B952" s="2">
        <v>45545</v>
      </c>
      <c r="C952" t="s">
        <v>1705</v>
      </c>
      <c r="D952" t="s">
        <v>1843</v>
      </c>
      <c r="E952" t="s">
        <v>2216</v>
      </c>
      <c r="F952" t="s">
        <v>2239</v>
      </c>
      <c r="G952" t="s">
        <v>2243</v>
      </c>
      <c r="H952" t="s">
        <v>2258</v>
      </c>
      <c r="I952" t="s">
        <v>2260</v>
      </c>
      <c r="J952" t="s">
        <v>2264</v>
      </c>
      <c r="K952">
        <v>2</v>
      </c>
      <c r="L952">
        <v>70</v>
      </c>
      <c r="M952">
        <v>0.05</v>
      </c>
      <c r="N952">
        <v>140</v>
      </c>
      <c r="O952">
        <v>133</v>
      </c>
      <c r="P952" t="s">
        <v>2268</v>
      </c>
      <c r="Q952" t="s">
        <v>2270</v>
      </c>
      <c r="R952" t="s">
        <v>2274</v>
      </c>
      <c r="S952" t="s">
        <v>2286</v>
      </c>
      <c r="T952" t="s">
        <v>2288</v>
      </c>
      <c r="U952">
        <v>1</v>
      </c>
      <c r="V952">
        <v>125</v>
      </c>
      <c r="W952">
        <v>31</v>
      </c>
      <c r="X952">
        <v>29.44</v>
      </c>
      <c r="Y952">
        <v>74.12</v>
      </c>
      <c r="Z952" t="s">
        <v>2294</v>
      </c>
      <c r="AA952" t="s">
        <v>1761</v>
      </c>
      <c r="AB952">
        <v>140</v>
      </c>
      <c r="AC952">
        <v>7</v>
      </c>
      <c r="AD952">
        <v>133</v>
      </c>
      <c r="AE952">
        <v>58.88</v>
      </c>
      <c r="AF952">
        <v>74.12</v>
      </c>
      <c r="AG952">
        <v>2024</v>
      </c>
      <c r="AH952">
        <v>9</v>
      </c>
      <c r="AI952" t="s">
        <v>2300</v>
      </c>
      <c r="AJ952" t="s">
        <v>2313</v>
      </c>
    </row>
    <row r="953" spans="1:36" x14ac:dyDescent="0.3">
      <c r="A953" t="s">
        <v>987</v>
      </c>
      <c r="B953" s="2">
        <v>45371</v>
      </c>
      <c r="C953" t="s">
        <v>1638</v>
      </c>
      <c r="D953" t="s">
        <v>1761</v>
      </c>
      <c r="E953" t="s">
        <v>2098</v>
      </c>
      <c r="F953" t="s">
        <v>2238</v>
      </c>
      <c r="G953" t="s">
        <v>2244</v>
      </c>
      <c r="H953" t="s">
        <v>2257</v>
      </c>
      <c r="I953" t="s">
        <v>2262</v>
      </c>
      <c r="J953" t="s">
        <v>2265</v>
      </c>
      <c r="K953">
        <v>3</v>
      </c>
      <c r="L953">
        <v>130</v>
      </c>
      <c r="M953">
        <v>0.1</v>
      </c>
      <c r="N953">
        <v>390</v>
      </c>
      <c r="O953">
        <v>351</v>
      </c>
      <c r="P953" t="s">
        <v>2267</v>
      </c>
      <c r="Q953" t="s">
        <v>2271</v>
      </c>
      <c r="R953" t="s">
        <v>2275</v>
      </c>
      <c r="S953" t="s">
        <v>2280</v>
      </c>
      <c r="T953" t="s">
        <v>2290</v>
      </c>
      <c r="U953">
        <v>5</v>
      </c>
      <c r="V953">
        <v>409</v>
      </c>
      <c r="W953">
        <v>58</v>
      </c>
      <c r="X953">
        <v>65.760000000000005</v>
      </c>
      <c r="Y953">
        <v>153.72</v>
      </c>
      <c r="Z953" t="s">
        <v>2291</v>
      </c>
      <c r="AA953" t="s">
        <v>2296</v>
      </c>
      <c r="AB953">
        <v>390</v>
      </c>
      <c r="AC953">
        <v>39</v>
      </c>
      <c r="AD953">
        <v>351</v>
      </c>
      <c r="AE953">
        <v>197.28</v>
      </c>
      <c r="AF953">
        <v>153.72</v>
      </c>
      <c r="AG953">
        <v>2024</v>
      </c>
      <c r="AH953">
        <v>3</v>
      </c>
      <c r="AI953" t="s">
        <v>2305</v>
      </c>
      <c r="AJ953" t="s">
        <v>2312</v>
      </c>
    </row>
    <row r="954" spans="1:36" x14ac:dyDescent="0.3">
      <c r="A954" t="s">
        <v>988</v>
      </c>
      <c r="B954" s="2">
        <v>45537</v>
      </c>
      <c r="C954" t="s">
        <v>1688</v>
      </c>
      <c r="D954" t="s">
        <v>1762</v>
      </c>
      <c r="E954" t="s">
        <v>1949</v>
      </c>
      <c r="F954" t="s">
        <v>1761</v>
      </c>
      <c r="G954" t="s">
        <v>2242</v>
      </c>
      <c r="H954" t="s">
        <v>2258</v>
      </c>
      <c r="I954" t="s">
        <v>2260</v>
      </c>
      <c r="J954" t="s">
        <v>2264</v>
      </c>
      <c r="K954">
        <v>1</v>
      </c>
      <c r="L954">
        <v>115</v>
      </c>
      <c r="M954">
        <v>0.05</v>
      </c>
      <c r="N954">
        <v>115</v>
      </c>
      <c r="O954">
        <v>109.25</v>
      </c>
      <c r="P954" t="s">
        <v>2268</v>
      </c>
      <c r="Q954" t="s">
        <v>2271</v>
      </c>
      <c r="R954" t="s">
        <v>2275</v>
      </c>
      <c r="S954" t="s">
        <v>2281</v>
      </c>
      <c r="T954" t="s">
        <v>2288</v>
      </c>
      <c r="V954">
        <v>169</v>
      </c>
      <c r="W954">
        <v>10</v>
      </c>
      <c r="X954">
        <v>56.45</v>
      </c>
      <c r="Y954">
        <v>52.8</v>
      </c>
      <c r="Z954" t="s">
        <v>2292</v>
      </c>
      <c r="AA954" t="s">
        <v>2298</v>
      </c>
      <c r="AB954">
        <v>115</v>
      </c>
      <c r="AC954">
        <v>5.75</v>
      </c>
      <c r="AD954">
        <v>109.25</v>
      </c>
      <c r="AE954">
        <v>56.45</v>
      </c>
      <c r="AF954">
        <v>52.8</v>
      </c>
      <c r="AG954">
        <v>2024</v>
      </c>
      <c r="AH954">
        <v>9</v>
      </c>
      <c r="AI954" t="s">
        <v>2300</v>
      </c>
      <c r="AJ954" t="s">
        <v>2314</v>
      </c>
    </row>
    <row r="955" spans="1:36" x14ac:dyDescent="0.3">
      <c r="A955" t="s">
        <v>989</v>
      </c>
      <c r="B955" s="2">
        <v>45605</v>
      </c>
      <c r="C955" t="s">
        <v>1662</v>
      </c>
      <c r="D955" t="s">
        <v>1830</v>
      </c>
      <c r="E955" t="s">
        <v>2047</v>
      </c>
      <c r="F955" t="s">
        <v>2239</v>
      </c>
      <c r="G955" t="s">
        <v>2246</v>
      </c>
      <c r="H955" t="s">
        <v>2259</v>
      </c>
      <c r="I955" t="s">
        <v>2262</v>
      </c>
      <c r="J955" t="s">
        <v>2265</v>
      </c>
      <c r="K955">
        <v>1</v>
      </c>
      <c r="L955">
        <v>90</v>
      </c>
      <c r="N955">
        <v>90</v>
      </c>
      <c r="P955" t="s">
        <v>2269</v>
      </c>
      <c r="Q955" t="s">
        <v>2272</v>
      </c>
      <c r="R955" t="s">
        <v>2273</v>
      </c>
      <c r="S955" t="s">
        <v>2280</v>
      </c>
      <c r="T955" t="s">
        <v>2289</v>
      </c>
      <c r="U955">
        <v>5</v>
      </c>
      <c r="V955">
        <v>218</v>
      </c>
      <c r="X955">
        <v>46.12</v>
      </c>
      <c r="Z955" t="s">
        <v>2292</v>
      </c>
      <c r="AA955" t="s">
        <v>1761</v>
      </c>
      <c r="AB955">
        <v>90</v>
      </c>
      <c r="AC955">
        <v>0</v>
      </c>
      <c r="AD955">
        <v>90</v>
      </c>
      <c r="AE955">
        <v>46.12</v>
      </c>
      <c r="AF955">
        <v>43.88</v>
      </c>
      <c r="AG955">
        <v>2024</v>
      </c>
      <c r="AH955">
        <v>11</v>
      </c>
      <c r="AI955" t="s">
        <v>2311</v>
      </c>
      <c r="AJ955" t="s">
        <v>2317</v>
      </c>
    </row>
    <row r="956" spans="1:36" x14ac:dyDescent="0.3">
      <c r="A956" t="s">
        <v>990</v>
      </c>
      <c r="B956" s="2">
        <v>45598</v>
      </c>
      <c r="C956" t="s">
        <v>1736</v>
      </c>
      <c r="D956" t="s">
        <v>1817</v>
      </c>
      <c r="E956" t="s">
        <v>2222</v>
      </c>
      <c r="F956" t="s">
        <v>2240</v>
      </c>
      <c r="G956" t="s">
        <v>2241</v>
      </c>
      <c r="H956" t="s">
        <v>2257</v>
      </c>
      <c r="I956" t="s">
        <v>2262</v>
      </c>
      <c r="J956" t="s">
        <v>2265</v>
      </c>
      <c r="K956">
        <v>1</v>
      </c>
      <c r="L956">
        <v>130</v>
      </c>
      <c r="N956">
        <v>130</v>
      </c>
      <c r="P956" t="s">
        <v>2268</v>
      </c>
      <c r="Q956" t="s">
        <v>2270</v>
      </c>
      <c r="R956" t="s">
        <v>2273</v>
      </c>
      <c r="S956" t="s">
        <v>2280</v>
      </c>
      <c r="T956" t="s">
        <v>2289</v>
      </c>
      <c r="U956">
        <v>4</v>
      </c>
      <c r="V956">
        <v>6</v>
      </c>
      <c r="W956">
        <v>44</v>
      </c>
      <c r="X956">
        <v>74.510000000000005</v>
      </c>
      <c r="Z956" t="s">
        <v>2293</v>
      </c>
      <c r="AA956" t="s">
        <v>2297</v>
      </c>
      <c r="AB956">
        <v>130</v>
      </c>
      <c r="AC956">
        <v>0</v>
      </c>
      <c r="AD956">
        <v>130</v>
      </c>
      <c r="AE956">
        <v>74.510000000000005</v>
      </c>
      <c r="AF956">
        <v>55.489999999999988</v>
      </c>
      <c r="AG956">
        <v>2024</v>
      </c>
      <c r="AH956">
        <v>11</v>
      </c>
      <c r="AI956" t="s">
        <v>2311</v>
      </c>
      <c r="AJ956" t="s">
        <v>2317</v>
      </c>
    </row>
    <row r="957" spans="1:36" x14ac:dyDescent="0.3">
      <c r="A957" t="s">
        <v>991</v>
      </c>
      <c r="B957" s="2">
        <v>45637</v>
      </c>
      <c r="C957" t="s">
        <v>1647</v>
      </c>
      <c r="D957" t="s">
        <v>1847</v>
      </c>
      <c r="E957" t="s">
        <v>1966</v>
      </c>
      <c r="F957" t="s">
        <v>2239</v>
      </c>
      <c r="G957" t="s">
        <v>2241</v>
      </c>
      <c r="H957" t="s">
        <v>2257</v>
      </c>
      <c r="I957" t="s">
        <v>2262</v>
      </c>
      <c r="J957" t="s">
        <v>2266</v>
      </c>
      <c r="K957">
        <v>3</v>
      </c>
      <c r="L957">
        <v>140</v>
      </c>
      <c r="M957">
        <v>0</v>
      </c>
      <c r="N957">
        <v>420</v>
      </c>
      <c r="O957">
        <v>420</v>
      </c>
      <c r="P957" t="s">
        <v>2267</v>
      </c>
      <c r="R957" t="s">
        <v>2276</v>
      </c>
      <c r="S957" t="s">
        <v>2286</v>
      </c>
      <c r="T957" t="s">
        <v>2290</v>
      </c>
      <c r="U957">
        <v>5</v>
      </c>
      <c r="V957">
        <v>464</v>
      </c>
      <c r="X957">
        <v>72.599999999999994</v>
      </c>
      <c r="Y957">
        <v>202.2</v>
      </c>
      <c r="Z957" t="s">
        <v>2293</v>
      </c>
      <c r="AA957" t="s">
        <v>2299</v>
      </c>
      <c r="AB957">
        <v>420</v>
      </c>
      <c r="AC957">
        <v>0</v>
      </c>
      <c r="AD957">
        <v>420</v>
      </c>
      <c r="AE957">
        <v>217.8</v>
      </c>
      <c r="AF957">
        <v>202.2</v>
      </c>
      <c r="AG957">
        <v>2024</v>
      </c>
      <c r="AH957">
        <v>12</v>
      </c>
      <c r="AI957" t="s">
        <v>2309</v>
      </c>
      <c r="AJ957" t="s">
        <v>2312</v>
      </c>
    </row>
    <row r="958" spans="1:36" x14ac:dyDescent="0.3">
      <c r="A958" t="s">
        <v>992</v>
      </c>
      <c r="B958" s="2">
        <v>45337</v>
      </c>
      <c r="C958" t="s">
        <v>1728</v>
      </c>
      <c r="D958" t="s">
        <v>1780</v>
      </c>
      <c r="E958" t="s">
        <v>2035</v>
      </c>
      <c r="F958" t="s">
        <v>2240</v>
      </c>
      <c r="G958" t="s">
        <v>2254</v>
      </c>
      <c r="H958" t="s">
        <v>2259</v>
      </c>
      <c r="I958" t="s">
        <v>2263</v>
      </c>
      <c r="J958" t="s">
        <v>2266</v>
      </c>
      <c r="K958">
        <v>2</v>
      </c>
      <c r="L958">
        <v>120</v>
      </c>
      <c r="N958">
        <v>240</v>
      </c>
      <c r="P958" t="s">
        <v>2268</v>
      </c>
      <c r="Q958" t="s">
        <v>2270</v>
      </c>
      <c r="R958" t="s">
        <v>2275</v>
      </c>
      <c r="S958" t="s">
        <v>2283</v>
      </c>
      <c r="T958" t="s">
        <v>2290</v>
      </c>
      <c r="U958">
        <v>2</v>
      </c>
      <c r="V958">
        <v>361</v>
      </c>
      <c r="W958">
        <v>27</v>
      </c>
      <c r="X958">
        <v>65.38</v>
      </c>
      <c r="Z958" t="s">
        <v>2293</v>
      </c>
      <c r="AA958" t="s">
        <v>2297</v>
      </c>
      <c r="AB958">
        <v>240</v>
      </c>
      <c r="AC958">
        <v>0</v>
      </c>
      <c r="AD958">
        <v>240</v>
      </c>
      <c r="AE958">
        <v>130.76</v>
      </c>
      <c r="AF958">
        <v>109.24</v>
      </c>
      <c r="AG958">
        <v>2024</v>
      </c>
      <c r="AH958">
        <v>2</v>
      </c>
      <c r="AI958" t="s">
        <v>2303</v>
      </c>
      <c r="AJ958" t="s">
        <v>2316</v>
      </c>
    </row>
    <row r="959" spans="1:36" x14ac:dyDescent="0.3">
      <c r="A959" t="s">
        <v>993</v>
      </c>
      <c r="B959" s="2">
        <v>45656</v>
      </c>
      <c r="C959" t="s">
        <v>1726</v>
      </c>
      <c r="D959" t="s">
        <v>1827</v>
      </c>
      <c r="E959" t="s">
        <v>2023</v>
      </c>
      <c r="F959" t="s">
        <v>2239</v>
      </c>
      <c r="G959" t="s">
        <v>2256</v>
      </c>
      <c r="H959" t="s">
        <v>2261</v>
      </c>
      <c r="I959" t="s">
        <v>2260</v>
      </c>
      <c r="K959">
        <v>2</v>
      </c>
      <c r="L959">
        <v>190</v>
      </c>
      <c r="M959">
        <v>0.1</v>
      </c>
      <c r="N959">
        <v>380</v>
      </c>
      <c r="O959">
        <v>342</v>
      </c>
      <c r="P959" t="s">
        <v>2268</v>
      </c>
      <c r="Q959" t="s">
        <v>2270</v>
      </c>
      <c r="R959" t="s">
        <v>2273</v>
      </c>
      <c r="S959" t="s">
        <v>2285</v>
      </c>
      <c r="T959" t="s">
        <v>2288</v>
      </c>
      <c r="U959">
        <v>1</v>
      </c>
      <c r="V959">
        <v>191</v>
      </c>
      <c r="W959">
        <v>36</v>
      </c>
      <c r="X959">
        <v>105.78</v>
      </c>
      <c r="Y959">
        <v>130.44</v>
      </c>
      <c r="Z959" t="s">
        <v>2291</v>
      </c>
      <c r="AA959" t="s">
        <v>2296</v>
      </c>
      <c r="AB959">
        <v>380</v>
      </c>
      <c r="AC959">
        <v>38</v>
      </c>
      <c r="AD959">
        <v>342</v>
      </c>
      <c r="AE959">
        <v>211.56</v>
      </c>
      <c r="AF959">
        <v>130.44</v>
      </c>
      <c r="AG959">
        <v>2024</v>
      </c>
      <c r="AH959">
        <v>12</v>
      </c>
      <c r="AI959" t="s">
        <v>2309</v>
      </c>
      <c r="AJ959" t="s">
        <v>2314</v>
      </c>
    </row>
    <row r="960" spans="1:36" x14ac:dyDescent="0.3">
      <c r="A960" t="s">
        <v>994</v>
      </c>
      <c r="B960" s="2">
        <v>45647</v>
      </c>
      <c r="C960" t="s">
        <v>1716</v>
      </c>
      <c r="D960" t="s">
        <v>1886</v>
      </c>
      <c r="E960" t="s">
        <v>2213</v>
      </c>
      <c r="F960" t="s">
        <v>2240</v>
      </c>
      <c r="G960" t="s">
        <v>2241</v>
      </c>
      <c r="H960" t="s">
        <v>2257</v>
      </c>
      <c r="I960" t="s">
        <v>2262</v>
      </c>
      <c r="K960">
        <v>1</v>
      </c>
      <c r="L960">
        <v>130</v>
      </c>
      <c r="M960">
        <v>0.1</v>
      </c>
      <c r="N960">
        <v>130</v>
      </c>
      <c r="O960">
        <v>117</v>
      </c>
      <c r="P960" t="s">
        <v>2267</v>
      </c>
      <c r="Q960" t="s">
        <v>2272</v>
      </c>
      <c r="R960" t="s">
        <v>2273</v>
      </c>
      <c r="S960" t="s">
        <v>2283</v>
      </c>
      <c r="T960" t="s">
        <v>2289</v>
      </c>
      <c r="U960">
        <v>2</v>
      </c>
      <c r="V960">
        <v>443</v>
      </c>
      <c r="W960">
        <v>16</v>
      </c>
      <c r="X960">
        <v>67.31</v>
      </c>
      <c r="Y960">
        <v>49.69</v>
      </c>
      <c r="Z960" t="s">
        <v>1761</v>
      </c>
      <c r="AA960" t="s">
        <v>2297</v>
      </c>
      <c r="AB960">
        <v>130</v>
      </c>
      <c r="AC960">
        <v>13</v>
      </c>
      <c r="AD960">
        <v>117</v>
      </c>
      <c r="AE960">
        <v>67.31</v>
      </c>
      <c r="AF960">
        <v>49.69</v>
      </c>
      <c r="AG960">
        <v>2024</v>
      </c>
      <c r="AH960">
        <v>12</v>
      </c>
      <c r="AI960" t="s">
        <v>2309</v>
      </c>
      <c r="AJ960" t="s">
        <v>2317</v>
      </c>
    </row>
    <row r="961" spans="1:36" x14ac:dyDescent="0.3">
      <c r="A961" t="s">
        <v>995</v>
      </c>
      <c r="B961" s="2">
        <v>45564</v>
      </c>
      <c r="C961" t="s">
        <v>1710</v>
      </c>
      <c r="D961" t="s">
        <v>1770</v>
      </c>
      <c r="E961" t="s">
        <v>2061</v>
      </c>
      <c r="F961" t="s">
        <v>2240</v>
      </c>
      <c r="G961" t="s">
        <v>2252</v>
      </c>
      <c r="H961" t="s">
        <v>2257</v>
      </c>
      <c r="I961" t="s">
        <v>2262</v>
      </c>
      <c r="J961" t="s">
        <v>2265</v>
      </c>
      <c r="K961">
        <v>1</v>
      </c>
      <c r="L961">
        <v>100</v>
      </c>
      <c r="N961">
        <v>100</v>
      </c>
      <c r="P961" t="s">
        <v>2268</v>
      </c>
      <c r="Q961" t="s">
        <v>2272</v>
      </c>
      <c r="R961" t="s">
        <v>2273</v>
      </c>
      <c r="S961" t="s">
        <v>2287</v>
      </c>
      <c r="T961" t="s">
        <v>2288</v>
      </c>
      <c r="U961">
        <v>4</v>
      </c>
      <c r="V961">
        <v>106</v>
      </c>
      <c r="X961">
        <v>36.090000000000003</v>
      </c>
      <c r="Z961" t="s">
        <v>2293</v>
      </c>
      <c r="AA961" t="s">
        <v>2296</v>
      </c>
      <c r="AB961">
        <v>100</v>
      </c>
      <c r="AC961">
        <v>0</v>
      </c>
      <c r="AD961">
        <v>100</v>
      </c>
      <c r="AE961">
        <v>36.090000000000003</v>
      </c>
      <c r="AF961">
        <v>63.91</v>
      </c>
      <c r="AG961">
        <v>2024</v>
      </c>
      <c r="AH961">
        <v>9</v>
      </c>
      <c r="AI961" t="s">
        <v>2300</v>
      </c>
      <c r="AJ961" t="s">
        <v>2318</v>
      </c>
    </row>
    <row r="962" spans="1:36" x14ac:dyDescent="0.3">
      <c r="A962" t="s">
        <v>996</v>
      </c>
      <c r="B962" s="2">
        <v>45575</v>
      </c>
      <c r="C962" t="s">
        <v>1638</v>
      </c>
      <c r="D962" t="s">
        <v>1925</v>
      </c>
      <c r="E962" t="s">
        <v>2109</v>
      </c>
      <c r="F962" t="s">
        <v>2238</v>
      </c>
      <c r="G962" t="s">
        <v>2249</v>
      </c>
      <c r="H962" t="s">
        <v>2257</v>
      </c>
      <c r="I962" t="s">
        <v>2263</v>
      </c>
      <c r="J962" t="s">
        <v>2266</v>
      </c>
      <c r="K962">
        <v>4</v>
      </c>
      <c r="L962">
        <v>170</v>
      </c>
      <c r="M962">
        <v>0.1</v>
      </c>
      <c r="N962">
        <v>680</v>
      </c>
      <c r="O962">
        <v>612</v>
      </c>
      <c r="P962" t="s">
        <v>2267</v>
      </c>
      <c r="R962" t="s">
        <v>2279</v>
      </c>
      <c r="S962" t="s">
        <v>2283</v>
      </c>
      <c r="T962" t="s">
        <v>2288</v>
      </c>
      <c r="U962">
        <v>5</v>
      </c>
      <c r="V962">
        <v>368</v>
      </c>
      <c r="X962">
        <v>89</v>
      </c>
      <c r="Y962">
        <v>256</v>
      </c>
      <c r="Z962" t="s">
        <v>2291</v>
      </c>
      <c r="AA962" t="s">
        <v>2296</v>
      </c>
      <c r="AB962">
        <v>680</v>
      </c>
      <c r="AC962">
        <v>68</v>
      </c>
      <c r="AD962">
        <v>612</v>
      </c>
      <c r="AE962">
        <v>356</v>
      </c>
      <c r="AF962">
        <v>256</v>
      </c>
      <c r="AG962">
        <v>2024</v>
      </c>
      <c r="AH962">
        <v>10</v>
      </c>
      <c r="AI962" t="s">
        <v>2310</v>
      </c>
      <c r="AJ962" t="s">
        <v>2316</v>
      </c>
    </row>
    <row r="963" spans="1:36" x14ac:dyDescent="0.3">
      <c r="A963" t="s">
        <v>997</v>
      </c>
      <c r="B963" s="2">
        <v>45486</v>
      </c>
      <c r="C963" t="s">
        <v>1732</v>
      </c>
      <c r="D963" t="s">
        <v>1932</v>
      </c>
      <c r="E963" t="s">
        <v>2166</v>
      </c>
      <c r="F963" t="s">
        <v>2238</v>
      </c>
      <c r="G963" t="s">
        <v>2251</v>
      </c>
      <c r="H963" t="s">
        <v>2258</v>
      </c>
      <c r="I963" t="s">
        <v>2260</v>
      </c>
      <c r="J963" t="s">
        <v>2266</v>
      </c>
      <c r="K963">
        <v>1</v>
      </c>
      <c r="L963">
        <v>95</v>
      </c>
      <c r="M963">
        <v>0</v>
      </c>
      <c r="N963">
        <v>95</v>
      </c>
      <c r="O963">
        <v>95</v>
      </c>
      <c r="P963" t="s">
        <v>2267</v>
      </c>
      <c r="Q963" t="s">
        <v>2272</v>
      </c>
      <c r="R963" t="s">
        <v>2278</v>
      </c>
      <c r="S963" t="s">
        <v>2282</v>
      </c>
      <c r="T963" t="s">
        <v>2288</v>
      </c>
      <c r="U963">
        <v>4</v>
      </c>
      <c r="V963">
        <v>372</v>
      </c>
      <c r="X963">
        <v>38.72</v>
      </c>
      <c r="Y963">
        <v>56.28</v>
      </c>
      <c r="Z963" t="s">
        <v>2293</v>
      </c>
      <c r="AA963" t="s">
        <v>2296</v>
      </c>
      <c r="AB963">
        <v>95</v>
      </c>
      <c r="AC963">
        <v>0</v>
      </c>
      <c r="AD963">
        <v>95</v>
      </c>
      <c r="AE963">
        <v>38.72</v>
      </c>
      <c r="AF963">
        <v>56.28</v>
      </c>
      <c r="AG963">
        <v>2024</v>
      </c>
      <c r="AH963">
        <v>7</v>
      </c>
      <c r="AI963" t="s">
        <v>2307</v>
      </c>
      <c r="AJ963" t="s">
        <v>2317</v>
      </c>
    </row>
    <row r="964" spans="1:36" x14ac:dyDescent="0.3">
      <c r="A964" t="s">
        <v>998</v>
      </c>
      <c r="B964" s="2">
        <v>45636</v>
      </c>
      <c r="C964" t="s">
        <v>1676</v>
      </c>
      <c r="D964" t="s">
        <v>1911</v>
      </c>
      <c r="E964" t="s">
        <v>1968</v>
      </c>
      <c r="F964" t="s">
        <v>2240</v>
      </c>
      <c r="G964" t="s">
        <v>2252</v>
      </c>
      <c r="H964" t="s">
        <v>2257</v>
      </c>
      <c r="I964" t="s">
        <v>2262</v>
      </c>
      <c r="J964" t="s">
        <v>2265</v>
      </c>
      <c r="K964">
        <v>1</v>
      </c>
      <c r="L964">
        <v>90</v>
      </c>
      <c r="N964">
        <v>90</v>
      </c>
      <c r="P964" t="s">
        <v>2269</v>
      </c>
      <c r="Q964" t="s">
        <v>2270</v>
      </c>
      <c r="R964" t="s">
        <v>2275</v>
      </c>
      <c r="S964" t="s">
        <v>2287</v>
      </c>
      <c r="T964" t="s">
        <v>2289</v>
      </c>
      <c r="U964">
        <v>5</v>
      </c>
      <c r="V964">
        <v>86</v>
      </c>
      <c r="W964">
        <v>32</v>
      </c>
      <c r="X964">
        <v>53.27</v>
      </c>
      <c r="Z964" t="s">
        <v>2293</v>
      </c>
      <c r="AA964" t="s">
        <v>2298</v>
      </c>
      <c r="AB964">
        <v>90</v>
      </c>
      <c r="AC964">
        <v>0</v>
      </c>
      <c r="AD964">
        <v>90</v>
      </c>
      <c r="AE964">
        <v>53.27</v>
      </c>
      <c r="AF964">
        <v>36.729999999999997</v>
      </c>
      <c r="AG964">
        <v>2024</v>
      </c>
      <c r="AH964">
        <v>12</v>
      </c>
      <c r="AI964" t="s">
        <v>2309</v>
      </c>
      <c r="AJ964" t="s">
        <v>2313</v>
      </c>
    </row>
    <row r="965" spans="1:36" x14ac:dyDescent="0.3">
      <c r="A965" t="s">
        <v>999</v>
      </c>
      <c r="B965" s="2">
        <v>45425</v>
      </c>
      <c r="C965" t="s">
        <v>1645</v>
      </c>
      <c r="D965" t="s">
        <v>1919</v>
      </c>
      <c r="E965" t="s">
        <v>2001</v>
      </c>
      <c r="F965" t="s">
        <v>2240</v>
      </c>
      <c r="G965" t="s">
        <v>2255</v>
      </c>
      <c r="H965" t="s">
        <v>2260</v>
      </c>
      <c r="I965" t="s">
        <v>2260</v>
      </c>
      <c r="K965">
        <v>1</v>
      </c>
      <c r="L965">
        <v>190</v>
      </c>
      <c r="M965">
        <v>0</v>
      </c>
      <c r="N965">
        <v>190</v>
      </c>
      <c r="O965">
        <v>190</v>
      </c>
      <c r="P965" t="s">
        <v>2268</v>
      </c>
      <c r="Q965" t="s">
        <v>2270</v>
      </c>
      <c r="R965" t="s">
        <v>2278</v>
      </c>
      <c r="S965" t="s">
        <v>2287</v>
      </c>
      <c r="T965" t="s">
        <v>2288</v>
      </c>
      <c r="U965">
        <v>1</v>
      </c>
      <c r="V965">
        <v>392</v>
      </c>
      <c r="X965">
        <v>71.400000000000006</v>
      </c>
      <c r="Y965">
        <v>118.6</v>
      </c>
      <c r="Z965" t="s">
        <v>2293</v>
      </c>
      <c r="AA965" t="s">
        <v>2296</v>
      </c>
      <c r="AB965">
        <v>190</v>
      </c>
      <c r="AC965">
        <v>0</v>
      </c>
      <c r="AD965">
        <v>190</v>
      </c>
      <c r="AE965">
        <v>71.400000000000006</v>
      </c>
      <c r="AF965">
        <v>118.6</v>
      </c>
      <c r="AG965">
        <v>2024</v>
      </c>
      <c r="AH965">
        <v>5</v>
      </c>
      <c r="AI965" t="s">
        <v>2306</v>
      </c>
      <c r="AJ965" t="s">
        <v>2314</v>
      </c>
    </row>
    <row r="966" spans="1:36" x14ac:dyDescent="0.3">
      <c r="A966" t="s">
        <v>1000</v>
      </c>
      <c r="B966" s="2">
        <v>45509</v>
      </c>
      <c r="C966" t="s">
        <v>1707</v>
      </c>
      <c r="D966" t="s">
        <v>1821</v>
      </c>
      <c r="E966" t="s">
        <v>2018</v>
      </c>
      <c r="F966" t="s">
        <v>2240</v>
      </c>
      <c r="G966" t="s">
        <v>2255</v>
      </c>
      <c r="H966" t="s">
        <v>2260</v>
      </c>
      <c r="I966" t="s">
        <v>2260</v>
      </c>
      <c r="K966">
        <v>1</v>
      </c>
      <c r="L966">
        <v>175</v>
      </c>
      <c r="M966">
        <v>0.05</v>
      </c>
      <c r="N966">
        <v>175</v>
      </c>
      <c r="O966">
        <v>166.25</v>
      </c>
      <c r="R966" t="s">
        <v>2278</v>
      </c>
      <c r="S966" t="s">
        <v>2285</v>
      </c>
      <c r="T966" t="s">
        <v>2288</v>
      </c>
      <c r="U966">
        <v>1</v>
      </c>
      <c r="V966">
        <v>90</v>
      </c>
      <c r="W966">
        <v>42</v>
      </c>
      <c r="X966">
        <v>75.55</v>
      </c>
      <c r="Y966">
        <v>90.7</v>
      </c>
      <c r="Z966" t="s">
        <v>1761</v>
      </c>
      <c r="AA966" t="s">
        <v>2297</v>
      </c>
      <c r="AB966">
        <v>175</v>
      </c>
      <c r="AC966">
        <v>8.75</v>
      </c>
      <c r="AD966">
        <v>166.25</v>
      </c>
      <c r="AE966">
        <v>75.55</v>
      </c>
      <c r="AF966">
        <v>90.7</v>
      </c>
      <c r="AG966">
        <v>2024</v>
      </c>
      <c r="AH966">
        <v>8</v>
      </c>
      <c r="AI966" t="s">
        <v>2301</v>
      </c>
      <c r="AJ966" t="s">
        <v>2314</v>
      </c>
    </row>
    <row r="967" spans="1:36" x14ac:dyDescent="0.3">
      <c r="A967" t="s">
        <v>1001</v>
      </c>
      <c r="B967" s="2">
        <v>45537</v>
      </c>
      <c r="C967" t="s">
        <v>1712</v>
      </c>
      <c r="D967" t="s">
        <v>1779</v>
      </c>
      <c r="E967" t="s">
        <v>2228</v>
      </c>
      <c r="F967" t="s">
        <v>2239</v>
      </c>
      <c r="G967" t="s">
        <v>2251</v>
      </c>
      <c r="H967" t="s">
        <v>2258</v>
      </c>
      <c r="I967" t="s">
        <v>2260</v>
      </c>
      <c r="J967" t="s">
        <v>2266</v>
      </c>
      <c r="K967">
        <v>5</v>
      </c>
      <c r="L967">
        <v>95</v>
      </c>
      <c r="M967">
        <v>0.1</v>
      </c>
      <c r="N967">
        <v>475</v>
      </c>
      <c r="O967">
        <v>427.5</v>
      </c>
      <c r="Q967" t="s">
        <v>2272</v>
      </c>
      <c r="R967" t="s">
        <v>2274</v>
      </c>
      <c r="S967" t="s">
        <v>2287</v>
      </c>
      <c r="T967" t="s">
        <v>2288</v>
      </c>
      <c r="W967">
        <v>57</v>
      </c>
      <c r="X967">
        <v>57.06</v>
      </c>
      <c r="Y967">
        <v>142.19999999999999</v>
      </c>
      <c r="Z967" t="s">
        <v>2293</v>
      </c>
      <c r="AA967" t="s">
        <v>2298</v>
      </c>
      <c r="AB967">
        <v>475</v>
      </c>
      <c r="AC967">
        <v>47.5</v>
      </c>
      <c r="AD967">
        <v>427.5</v>
      </c>
      <c r="AE967">
        <v>285.3</v>
      </c>
      <c r="AF967">
        <v>142.19999999999999</v>
      </c>
      <c r="AG967">
        <v>2024</v>
      </c>
      <c r="AH967">
        <v>9</v>
      </c>
      <c r="AI967" t="s">
        <v>2300</v>
      </c>
      <c r="AJ967" t="s">
        <v>2314</v>
      </c>
    </row>
    <row r="968" spans="1:36" x14ac:dyDescent="0.3">
      <c r="A968" t="s">
        <v>1002</v>
      </c>
      <c r="B968" s="2">
        <v>45598</v>
      </c>
      <c r="C968" t="s">
        <v>1734</v>
      </c>
      <c r="D968" t="s">
        <v>1865</v>
      </c>
      <c r="E968" t="s">
        <v>1761</v>
      </c>
      <c r="F968" t="s">
        <v>1761</v>
      </c>
      <c r="G968" t="s">
        <v>2252</v>
      </c>
      <c r="H968" t="s">
        <v>2257</v>
      </c>
      <c r="I968" t="s">
        <v>2262</v>
      </c>
      <c r="J968" t="s">
        <v>2264</v>
      </c>
      <c r="K968">
        <v>3</v>
      </c>
      <c r="L968">
        <v>90</v>
      </c>
      <c r="M968">
        <v>0.15</v>
      </c>
      <c r="N968">
        <v>270</v>
      </c>
      <c r="O968">
        <v>229.5</v>
      </c>
      <c r="P968" t="s">
        <v>2267</v>
      </c>
      <c r="Q968" t="s">
        <v>2272</v>
      </c>
      <c r="R968" t="s">
        <v>2274</v>
      </c>
      <c r="S968" t="s">
        <v>2286</v>
      </c>
      <c r="T968" t="s">
        <v>2288</v>
      </c>
      <c r="U968">
        <v>5</v>
      </c>
      <c r="V968">
        <v>264</v>
      </c>
      <c r="W968">
        <v>44</v>
      </c>
      <c r="X968">
        <v>32.96</v>
      </c>
      <c r="Y968">
        <v>130.62</v>
      </c>
      <c r="Z968" t="s">
        <v>2292</v>
      </c>
      <c r="AA968" t="s">
        <v>2296</v>
      </c>
      <c r="AB968">
        <v>270</v>
      </c>
      <c r="AC968">
        <v>40.5</v>
      </c>
      <c r="AD968">
        <v>229.5</v>
      </c>
      <c r="AE968">
        <v>98.88</v>
      </c>
      <c r="AF968">
        <v>130.62</v>
      </c>
      <c r="AG968">
        <v>2024</v>
      </c>
      <c r="AH968">
        <v>11</v>
      </c>
      <c r="AI968" t="s">
        <v>2311</v>
      </c>
      <c r="AJ968" t="s">
        <v>2317</v>
      </c>
    </row>
    <row r="969" spans="1:36" x14ac:dyDescent="0.3">
      <c r="A969" t="s">
        <v>1003</v>
      </c>
      <c r="B969" s="2">
        <v>45620</v>
      </c>
      <c r="C969" t="s">
        <v>1693</v>
      </c>
      <c r="D969" t="s">
        <v>1831</v>
      </c>
      <c r="E969" t="s">
        <v>1993</v>
      </c>
      <c r="F969" t="s">
        <v>2238</v>
      </c>
      <c r="G969" t="s">
        <v>2245</v>
      </c>
      <c r="H969" t="s">
        <v>2257</v>
      </c>
      <c r="I969" t="s">
        <v>2263</v>
      </c>
      <c r="J969" t="s">
        <v>2266</v>
      </c>
      <c r="K969">
        <v>3</v>
      </c>
      <c r="L969">
        <v>150</v>
      </c>
      <c r="M969">
        <v>0.05</v>
      </c>
      <c r="N969">
        <v>450</v>
      </c>
      <c r="O969">
        <v>427.5</v>
      </c>
      <c r="P969" t="s">
        <v>2267</v>
      </c>
      <c r="R969" t="s">
        <v>2277</v>
      </c>
      <c r="S969" t="s">
        <v>2283</v>
      </c>
      <c r="T969" t="s">
        <v>2288</v>
      </c>
      <c r="U969">
        <v>4</v>
      </c>
      <c r="V969">
        <v>47</v>
      </c>
      <c r="W969">
        <v>19</v>
      </c>
      <c r="X969">
        <v>54.49</v>
      </c>
      <c r="Y969">
        <v>264.02999999999997</v>
      </c>
      <c r="Z969" t="s">
        <v>2293</v>
      </c>
      <c r="AA969" t="s">
        <v>2297</v>
      </c>
      <c r="AB969">
        <v>450</v>
      </c>
      <c r="AC969">
        <v>22.5</v>
      </c>
      <c r="AD969">
        <v>427.5</v>
      </c>
      <c r="AE969">
        <v>163.47</v>
      </c>
      <c r="AF969">
        <v>264.02999999999997</v>
      </c>
      <c r="AG969">
        <v>2024</v>
      </c>
      <c r="AH969">
        <v>11</v>
      </c>
      <c r="AI969" t="s">
        <v>2311</v>
      </c>
      <c r="AJ969" t="s">
        <v>2318</v>
      </c>
    </row>
    <row r="970" spans="1:36" x14ac:dyDescent="0.3">
      <c r="A970" t="s">
        <v>1004</v>
      </c>
      <c r="B970" s="2">
        <v>45457</v>
      </c>
      <c r="C970" t="s">
        <v>1662</v>
      </c>
      <c r="D970" t="s">
        <v>1929</v>
      </c>
      <c r="E970" t="s">
        <v>2004</v>
      </c>
      <c r="F970" t="s">
        <v>2240</v>
      </c>
      <c r="G970" t="s">
        <v>2249</v>
      </c>
      <c r="H970" t="s">
        <v>2257</v>
      </c>
      <c r="I970" t="s">
        <v>2263</v>
      </c>
      <c r="J970" t="s">
        <v>2266</v>
      </c>
      <c r="K970">
        <v>1</v>
      </c>
      <c r="L970">
        <v>160</v>
      </c>
      <c r="M970">
        <v>0.05</v>
      </c>
      <c r="N970">
        <v>160</v>
      </c>
      <c r="O970">
        <v>152</v>
      </c>
      <c r="P970" t="s">
        <v>2267</v>
      </c>
      <c r="Q970" t="s">
        <v>2272</v>
      </c>
      <c r="R970" t="s">
        <v>2273</v>
      </c>
      <c r="S970" t="s">
        <v>2280</v>
      </c>
      <c r="T970" t="s">
        <v>2288</v>
      </c>
      <c r="U970">
        <v>1</v>
      </c>
      <c r="V970">
        <v>396</v>
      </c>
      <c r="X970">
        <v>71.849999999999994</v>
      </c>
      <c r="Y970">
        <v>80.150000000000006</v>
      </c>
      <c r="Z970" t="s">
        <v>2293</v>
      </c>
      <c r="AA970" t="s">
        <v>2296</v>
      </c>
      <c r="AB970">
        <v>160</v>
      </c>
      <c r="AC970">
        <v>8</v>
      </c>
      <c r="AD970">
        <v>152</v>
      </c>
      <c r="AE970">
        <v>71.849999999999994</v>
      </c>
      <c r="AF970">
        <v>80.150000000000006</v>
      </c>
      <c r="AG970">
        <v>2024</v>
      </c>
      <c r="AH970">
        <v>6</v>
      </c>
      <c r="AI970" t="s">
        <v>2304</v>
      </c>
      <c r="AJ970" t="s">
        <v>2315</v>
      </c>
    </row>
    <row r="971" spans="1:36" x14ac:dyDescent="0.3">
      <c r="A971" t="s">
        <v>1005</v>
      </c>
      <c r="B971" s="2">
        <v>45543</v>
      </c>
      <c r="C971" t="s">
        <v>1703</v>
      </c>
      <c r="D971" t="s">
        <v>1832</v>
      </c>
      <c r="E971" t="s">
        <v>2084</v>
      </c>
      <c r="F971" t="s">
        <v>2239</v>
      </c>
      <c r="G971" t="s">
        <v>2251</v>
      </c>
      <c r="H971" t="s">
        <v>2258</v>
      </c>
      <c r="I971" t="s">
        <v>2260</v>
      </c>
      <c r="J971" t="s">
        <v>2265</v>
      </c>
      <c r="K971">
        <v>1</v>
      </c>
      <c r="L971">
        <v>95</v>
      </c>
      <c r="N971">
        <v>95</v>
      </c>
      <c r="P971" t="s">
        <v>2267</v>
      </c>
      <c r="Q971" t="s">
        <v>2271</v>
      </c>
      <c r="R971" t="s">
        <v>2274</v>
      </c>
      <c r="S971" t="s">
        <v>2281</v>
      </c>
      <c r="T971" t="s">
        <v>2290</v>
      </c>
      <c r="U971">
        <v>1</v>
      </c>
      <c r="V971">
        <v>303</v>
      </c>
      <c r="W971">
        <v>45</v>
      </c>
      <c r="X971">
        <v>44.08</v>
      </c>
      <c r="Z971" t="s">
        <v>2291</v>
      </c>
      <c r="AA971" t="s">
        <v>2296</v>
      </c>
      <c r="AB971">
        <v>95</v>
      </c>
      <c r="AC971">
        <v>0</v>
      </c>
      <c r="AD971">
        <v>95</v>
      </c>
      <c r="AE971">
        <v>44.08</v>
      </c>
      <c r="AF971">
        <v>50.92</v>
      </c>
      <c r="AG971">
        <v>2024</v>
      </c>
      <c r="AH971">
        <v>9</v>
      </c>
      <c r="AI971" t="s">
        <v>2300</v>
      </c>
      <c r="AJ971" t="s">
        <v>2318</v>
      </c>
    </row>
    <row r="972" spans="1:36" x14ac:dyDescent="0.3">
      <c r="A972" t="s">
        <v>1006</v>
      </c>
      <c r="B972" s="2">
        <v>45520</v>
      </c>
      <c r="C972" t="s">
        <v>1705</v>
      </c>
      <c r="D972" t="s">
        <v>1911</v>
      </c>
      <c r="E972" t="s">
        <v>2080</v>
      </c>
      <c r="F972" t="s">
        <v>2240</v>
      </c>
      <c r="G972" t="s">
        <v>2253</v>
      </c>
      <c r="H972" t="s">
        <v>2258</v>
      </c>
      <c r="I972" t="s">
        <v>2260</v>
      </c>
      <c r="K972">
        <v>1</v>
      </c>
      <c r="L972">
        <v>95</v>
      </c>
      <c r="N972">
        <v>95</v>
      </c>
      <c r="P972" t="s">
        <v>2268</v>
      </c>
      <c r="R972" t="s">
        <v>2278</v>
      </c>
      <c r="S972" t="s">
        <v>2284</v>
      </c>
      <c r="T972" t="s">
        <v>2289</v>
      </c>
      <c r="U972">
        <v>5</v>
      </c>
      <c r="V972">
        <v>109</v>
      </c>
      <c r="W972">
        <v>43</v>
      </c>
      <c r="X972">
        <v>42.76</v>
      </c>
      <c r="Z972" t="s">
        <v>2293</v>
      </c>
      <c r="AA972" t="s">
        <v>2299</v>
      </c>
      <c r="AB972">
        <v>95</v>
      </c>
      <c r="AC972">
        <v>0</v>
      </c>
      <c r="AD972">
        <v>95</v>
      </c>
      <c r="AE972">
        <v>42.76</v>
      </c>
      <c r="AF972">
        <v>52.24</v>
      </c>
      <c r="AG972">
        <v>2024</v>
      </c>
      <c r="AH972">
        <v>8</v>
      </c>
      <c r="AI972" t="s">
        <v>2301</v>
      </c>
      <c r="AJ972" t="s">
        <v>2315</v>
      </c>
    </row>
    <row r="973" spans="1:36" x14ac:dyDescent="0.3">
      <c r="A973" t="s">
        <v>1007</v>
      </c>
      <c r="B973" s="2">
        <v>45462</v>
      </c>
      <c r="C973" t="s">
        <v>1688</v>
      </c>
      <c r="D973" t="s">
        <v>1873</v>
      </c>
      <c r="E973" t="s">
        <v>2029</v>
      </c>
      <c r="F973" t="s">
        <v>2238</v>
      </c>
      <c r="G973" t="s">
        <v>2247</v>
      </c>
      <c r="H973" t="s">
        <v>2257</v>
      </c>
      <c r="I973" t="s">
        <v>2262</v>
      </c>
      <c r="J973" t="s">
        <v>2265</v>
      </c>
      <c r="K973">
        <v>2</v>
      </c>
      <c r="L973">
        <v>100</v>
      </c>
      <c r="M973">
        <v>0.15</v>
      </c>
      <c r="N973">
        <v>200</v>
      </c>
      <c r="O973">
        <v>170</v>
      </c>
      <c r="Q973" t="s">
        <v>2272</v>
      </c>
      <c r="R973" t="s">
        <v>2273</v>
      </c>
      <c r="S973" t="s">
        <v>2282</v>
      </c>
      <c r="T973" t="s">
        <v>2288</v>
      </c>
      <c r="U973">
        <v>5</v>
      </c>
      <c r="V973">
        <v>278</v>
      </c>
      <c r="X973">
        <v>35.380000000000003</v>
      </c>
      <c r="Y973">
        <v>99.24</v>
      </c>
      <c r="Z973" t="s">
        <v>1761</v>
      </c>
      <c r="AA973" t="s">
        <v>2298</v>
      </c>
      <c r="AB973">
        <v>200</v>
      </c>
      <c r="AC973">
        <v>30</v>
      </c>
      <c r="AD973">
        <v>170</v>
      </c>
      <c r="AE973">
        <v>70.760000000000005</v>
      </c>
      <c r="AF973">
        <v>99.24</v>
      </c>
      <c r="AG973">
        <v>2024</v>
      </c>
      <c r="AH973">
        <v>6</v>
      </c>
      <c r="AI973" t="s">
        <v>2304</v>
      </c>
      <c r="AJ973" t="s">
        <v>2312</v>
      </c>
    </row>
    <row r="974" spans="1:36" x14ac:dyDescent="0.3">
      <c r="A974" t="s">
        <v>1008</v>
      </c>
      <c r="B974" s="2">
        <v>45389</v>
      </c>
      <c r="C974" t="s">
        <v>1681</v>
      </c>
      <c r="D974" t="s">
        <v>1824</v>
      </c>
      <c r="E974" t="s">
        <v>2149</v>
      </c>
      <c r="F974" t="s">
        <v>2240</v>
      </c>
      <c r="G974" t="s">
        <v>2252</v>
      </c>
      <c r="H974" t="s">
        <v>2257</v>
      </c>
      <c r="I974" t="s">
        <v>2262</v>
      </c>
      <c r="J974" t="s">
        <v>2266</v>
      </c>
      <c r="K974">
        <v>1</v>
      </c>
      <c r="L974">
        <v>100</v>
      </c>
      <c r="M974">
        <v>0</v>
      </c>
      <c r="N974">
        <v>100</v>
      </c>
      <c r="O974">
        <v>100</v>
      </c>
      <c r="P974" t="s">
        <v>2269</v>
      </c>
      <c r="R974" t="s">
        <v>2274</v>
      </c>
      <c r="S974" t="s">
        <v>2284</v>
      </c>
      <c r="T974" t="s">
        <v>2288</v>
      </c>
      <c r="U974">
        <v>2</v>
      </c>
      <c r="V974">
        <v>120</v>
      </c>
      <c r="W974">
        <v>13</v>
      </c>
      <c r="X974">
        <v>33.5</v>
      </c>
      <c r="Y974">
        <v>66.5</v>
      </c>
      <c r="Z974" t="s">
        <v>2294</v>
      </c>
      <c r="AA974" t="s">
        <v>2296</v>
      </c>
      <c r="AB974">
        <v>100</v>
      </c>
      <c r="AC974">
        <v>0</v>
      </c>
      <c r="AD974">
        <v>100</v>
      </c>
      <c r="AE974">
        <v>33.5</v>
      </c>
      <c r="AF974">
        <v>66.5</v>
      </c>
      <c r="AG974">
        <v>2024</v>
      </c>
      <c r="AH974">
        <v>4</v>
      </c>
      <c r="AI974" t="s">
        <v>2308</v>
      </c>
      <c r="AJ974" t="s">
        <v>2318</v>
      </c>
    </row>
    <row r="975" spans="1:36" x14ac:dyDescent="0.3">
      <c r="A975" t="s">
        <v>1009</v>
      </c>
      <c r="B975" s="2">
        <v>45376</v>
      </c>
      <c r="C975" t="s">
        <v>1652</v>
      </c>
      <c r="D975" t="s">
        <v>1864</v>
      </c>
      <c r="E975" t="s">
        <v>2199</v>
      </c>
      <c r="F975" t="s">
        <v>2239</v>
      </c>
      <c r="G975" t="s">
        <v>2244</v>
      </c>
      <c r="H975" t="s">
        <v>2257</v>
      </c>
      <c r="I975" t="s">
        <v>2262</v>
      </c>
      <c r="J975" t="s">
        <v>2266</v>
      </c>
      <c r="K975">
        <v>1</v>
      </c>
      <c r="L975">
        <v>130</v>
      </c>
      <c r="M975">
        <v>0</v>
      </c>
      <c r="N975">
        <v>130</v>
      </c>
      <c r="O975">
        <v>130</v>
      </c>
      <c r="P975" t="s">
        <v>2269</v>
      </c>
      <c r="Q975" t="s">
        <v>2272</v>
      </c>
      <c r="R975" t="s">
        <v>2274</v>
      </c>
      <c r="S975" t="s">
        <v>2285</v>
      </c>
      <c r="T975" t="s">
        <v>2288</v>
      </c>
      <c r="U975">
        <v>4</v>
      </c>
      <c r="V975">
        <v>498</v>
      </c>
      <c r="W975">
        <v>39</v>
      </c>
      <c r="X975">
        <v>68.44</v>
      </c>
      <c r="Y975">
        <v>61.56</v>
      </c>
      <c r="Z975" t="s">
        <v>2294</v>
      </c>
      <c r="AA975" t="s">
        <v>1761</v>
      </c>
      <c r="AB975">
        <v>130</v>
      </c>
      <c r="AC975">
        <v>0</v>
      </c>
      <c r="AD975">
        <v>130</v>
      </c>
      <c r="AE975">
        <v>68.44</v>
      </c>
      <c r="AF975">
        <v>61.56</v>
      </c>
      <c r="AG975">
        <v>2024</v>
      </c>
      <c r="AH975">
        <v>3</v>
      </c>
      <c r="AI975" t="s">
        <v>2305</v>
      </c>
      <c r="AJ975" t="s">
        <v>2314</v>
      </c>
    </row>
    <row r="976" spans="1:36" x14ac:dyDescent="0.3">
      <c r="A976" t="s">
        <v>1010</v>
      </c>
      <c r="B976" s="2">
        <v>45340</v>
      </c>
      <c r="C976" t="s">
        <v>1671</v>
      </c>
      <c r="D976" t="s">
        <v>1927</v>
      </c>
      <c r="E976" t="s">
        <v>2079</v>
      </c>
      <c r="F976" t="s">
        <v>2239</v>
      </c>
      <c r="G976" t="s">
        <v>2254</v>
      </c>
      <c r="H976" t="s">
        <v>2259</v>
      </c>
      <c r="I976" t="s">
        <v>2263</v>
      </c>
      <c r="K976">
        <v>3</v>
      </c>
      <c r="L976">
        <v>110</v>
      </c>
      <c r="M976">
        <v>0.15</v>
      </c>
      <c r="N976">
        <v>330</v>
      </c>
      <c r="O976">
        <v>280.5</v>
      </c>
      <c r="P976" t="s">
        <v>2268</v>
      </c>
      <c r="Q976" t="s">
        <v>2271</v>
      </c>
      <c r="R976" t="s">
        <v>2273</v>
      </c>
      <c r="S976" t="s">
        <v>2285</v>
      </c>
      <c r="T976" t="s">
        <v>2288</v>
      </c>
      <c r="U976">
        <v>4</v>
      </c>
      <c r="V976">
        <v>416</v>
      </c>
      <c r="X976">
        <v>42.16</v>
      </c>
      <c r="Y976">
        <v>154.02000000000001</v>
      </c>
      <c r="Z976" t="s">
        <v>2292</v>
      </c>
      <c r="AA976" t="s">
        <v>2296</v>
      </c>
      <c r="AB976">
        <v>330</v>
      </c>
      <c r="AC976">
        <v>49.5</v>
      </c>
      <c r="AD976">
        <v>280.5</v>
      </c>
      <c r="AE976">
        <v>126.48</v>
      </c>
      <c r="AF976">
        <v>154.02000000000001</v>
      </c>
      <c r="AG976">
        <v>2024</v>
      </c>
      <c r="AH976">
        <v>2</v>
      </c>
      <c r="AI976" t="s">
        <v>2303</v>
      </c>
      <c r="AJ976" t="s">
        <v>2318</v>
      </c>
    </row>
    <row r="977" spans="1:36" x14ac:dyDescent="0.3">
      <c r="A977" t="s">
        <v>1011</v>
      </c>
      <c r="B977" s="2">
        <v>45612</v>
      </c>
      <c r="C977" t="s">
        <v>1740</v>
      </c>
      <c r="D977" t="s">
        <v>1917</v>
      </c>
      <c r="E977" t="s">
        <v>2066</v>
      </c>
      <c r="F977" t="s">
        <v>1761</v>
      </c>
      <c r="G977" t="s">
        <v>2247</v>
      </c>
      <c r="H977" t="s">
        <v>2257</v>
      </c>
      <c r="I977" t="s">
        <v>2262</v>
      </c>
      <c r="K977">
        <v>4</v>
      </c>
      <c r="L977">
        <v>110</v>
      </c>
      <c r="M977">
        <v>0.05</v>
      </c>
      <c r="N977">
        <v>440</v>
      </c>
      <c r="O977">
        <v>418</v>
      </c>
      <c r="P977" t="s">
        <v>2268</v>
      </c>
      <c r="Q977" t="s">
        <v>2270</v>
      </c>
      <c r="R977" t="s">
        <v>2278</v>
      </c>
      <c r="S977" t="s">
        <v>2287</v>
      </c>
      <c r="T977" t="s">
        <v>2289</v>
      </c>
      <c r="U977">
        <v>2</v>
      </c>
      <c r="V977">
        <v>236</v>
      </c>
      <c r="W977">
        <v>39</v>
      </c>
      <c r="X977">
        <v>51.62</v>
      </c>
      <c r="Y977">
        <v>211.52</v>
      </c>
      <c r="Z977" t="s">
        <v>1761</v>
      </c>
      <c r="AA977" t="s">
        <v>1761</v>
      </c>
      <c r="AB977">
        <v>440</v>
      </c>
      <c r="AC977">
        <v>22</v>
      </c>
      <c r="AD977">
        <v>418</v>
      </c>
      <c r="AE977">
        <v>206.48</v>
      </c>
      <c r="AF977">
        <v>211.52</v>
      </c>
      <c r="AG977">
        <v>2024</v>
      </c>
      <c r="AH977">
        <v>11</v>
      </c>
      <c r="AI977" t="s">
        <v>2311</v>
      </c>
      <c r="AJ977" t="s">
        <v>2317</v>
      </c>
    </row>
    <row r="978" spans="1:36" x14ac:dyDescent="0.3">
      <c r="A978" t="s">
        <v>1012</v>
      </c>
      <c r="B978" s="2">
        <v>45510</v>
      </c>
      <c r="C978" t="s">
        <v>1639</v>
      </c>
      <c r="D978" t="s">
        <v>1927</v>
      </c>
      <c r="E978" t="s">
        <v>2163</v>
      </c>
      <c r="F978" t="s">
        <v>2240</v>
      </c>
      <c r="G978" t="s">
        <v>2243</v>
      </c>
      <c r="H978" t="s">
        <v>2258</v>
      </c>
      <c r="I978" t="s">
        <v>2260</v>
      </c>
      <c r="J978" t="s">
        <v>2264</v>
      </c>
      <c r="K978">
        <v>1</v>
      </c>
      <c r="L978">
        <v>70</v>
      </c>
      <c r="N978">
        <v>70</v>
      </c>
      <c r="P978" t="s">
        <v>2268</v>
      </c>
      <c r="R978" t="s">
        <v>2273</v>
      </c>
      <c r="S978" t="s">
        <v>2286</v>
      </c>
      <c r="T978" t="s">
        <v>2288</v>
      </c>
      <c r="V978">
        <v>419</v>
      </c>
      <c r="W978">
        <v>30</v>
      </c>
      <c r="X978">
        <v>27.15</v>
      </c>
      <c r="Z978" t="s">
        <v>1761</v>
      </c>
      <c r="AA978" t="s">
        <v>2299</v>
      </c>
      <c r="AB978">
        <v>70</v>
      </c>
      <c r="AC978">
        <v>0</v>
      </c>
      <c r="AD978">
        <v>70</v>
      </c>
      <c r="AE978">
        <v>27.15</v>
      </c>
      <c r="AF978">
        <v>42.85</v>
      </c>
      <c r="AG978">
        <v>2024</v>
      </c>
      <c r="AH978">
        <v>8</v>
      </c>
      <c r="AI978" t="s">
        <v>2301</v>
      </c>
      <c r="AJ978" t="s">
        <v>2313</v>
      </c>
    </row>
    <row r="979" spans="1:36" x14ac:dyDescent="0.3">
      <c r="A979" t="s">
        <v>1013</v>
      </c>
      <c r="B979" s="2">
        <v>45326</v>
      </c>
      <c r="C979" t="s">
        <v>1729</v>
      </c>
      <c r="D979" t="s">
        <v>1751</v>
      </c>
      <c r="E979" t="s">
        <v>2114</v>
      </c>
      <c r="F979" t="s">
        <v>2239</v>
      </c>
      <c r="G979" t="s">
        <v>2244</v>
      </c>
      <c r="H979" t="s">
        <v>2257</v>
      </c>
      <c r="I979" t="s">
        <v>2262</v>
      </c>
      <c r="J979" t="s">
        <v>2266</v>
      </c>
      <c r="K979">
        <v>1</v>
      </c>
      <c r="L979">
        <v>115</v>
      </c>
      <c r="N979">
        <v>115</v>
      </c>
      <c r="P979" t="s">
        <v>2267</v>
      </c>
      <c r="R979" t="s">
        <v>2275</v>
      </c>
      <c r="S979" t="s">
        <v>2285</v>
      </c>
      <c r="T979" t="s">
        <v>2288</v>
      </c>
      <c r="U979">
        <v>3</v>
      </c>
      <c r="V979">
        <v>2</v>
      </c>
      <c r="W979">
        <v>57</v>
      </c>
      <c r="X979">
        <v>58.81</v>
      </c>
      <c r="Z979" t="s">
        <v>2293</v>
      </c>
      <c r="AA979" t="s">
        <v>2296</v>
      </c>
      <c r="AB979">
        <v>115</v>
      </c>
      <c r="AC979">
        <v>0</v>
      </c>
      <c r="AD979">
        <v>115</v>
      </c>
      <c r="AE979">
        <v>58.81</v>
      </c>
      <c r="AF979">
        <v>56.19</v>
      </c>
      <c r="AG979">
        <v>2024</v>
      </c>
      <c r="AH979">
        <v>2</v>
      </c>
      <c r="AI979" t="s">
        <v>2303</v>
      </c>
      <c r="AJ979" t="s">
        <v>2318</v>
      </c>
    </row>
    <row r="980" spans="1:36" x14ac:dyDescent="0.3">
      <c r="A980" t="s">
        <v>1014</v>
      </c>
      <c r="B980" s="2">
        <v>45351</v>
      </c>
      <c r="C980" t="s">
        <v>1728</v>
      </c>
      <c r="D980" t="s">
        <v>1860</v>
      </c>
      <c r="E980" t="s">
        <v>2118</v>
      </c>
      <c r="F980" t="s">
        <v>2240</v>
      </c>
      <c r="G980" t="s">
        <v>2251</v>
      </c>
      <c r="H980" t="s">
        <v>2258</v>
      </c>
      <c r="I980" t="s">
        <v>2260</v>
      </c>
      <c r="J980" t="s">
        <v>2266</v>
      </c>
      <c r="K980">
        <v>1</v>
      </c>
      <c r="L980">
        <v>95</v>
      </c>
      <c r="M980">
        <v>0.05</v>
      </c>
      <c r="N980">
        <v>95</v>
      </c>
      <c r="O980">
        <v>90.25</v>
      </c>
      <c r="P980" t="s">
        <v>2267</v>
      </c>
      <c r="R980" t="s">
        <v>2279</v>
      </c>
      <c r="S980" t="s">
        <v>2287</v>
      </c>
      <c r="T980" t="s">
        <v>2288</v>
      </c>
      <c r="U980">
        <v>3</v>
      </c>
      <c r="V980">
        <v>317</v>
      </c>
      <c r="W980">
        <v>45</v>
      </c>
      <c r="X980">
        <v>46.89</v>
      </c>
      <c r="Y980">
        <v>43.36</v>
      </c>
      <c r="Z980" t="s">
        <v>1761</v>
      </c>
      <c r="AA980" t="s">
        <v>1761</v>
      </c>
      <c r="AB980">
        <v>95</v>
      </c>
      <c r="AC980">
        <v>4.75</v>
      </c>
      <c r="AD980">
        <v>90.25</v>
      </c>
      <c r="AE980">
        <v>46.89</v>
      </c>
      <c r="AF980">
        <v>43.36</v>
      </c>
      <c r="AG980">
        <v>2024</v>
      </c>
      <c r="AH980">
        <v>2</v>
      </c>
      <c r="AI980" t="s">
        <v>2303</v>
      </c>
      <c r="AJ980" t="s">
        <v>2316</v>
      </c>
    </row>
    <row r="981" spans="1:36" x14ac:dyDescent="0.3">
      <c r="A981" t="s">
        <v>1015</v>
      </c>
      <c r="B981" s="2">
        <v>45402</v>
      </c>
      <c r="C981" t="s">
        <v>1733</v>
      </c>
      <c r="D981" t="s">
        <v>1936</v>
      </c>
      <c r="E981" t="s">
        <v>2034</v>
      </c>
      <c r="F981" t="s">
        <v>1761</v>
      </c>
      <c r="G981" t="s">
        <v>2246</v>
      </c>
      <c r="H981" t="s">
        <v>2259</v>
      </c>
      <c r="I981" t="s">
        <v>2262</v>
      </c>
      <c r="J981" t="s">
        <v>2265</v>
      </c>
      <c r="K981">
        <v>2</v>
      </c>
      <c r="L981">
        <v>105</v>
      </c>
      <c r="M981">
        <v>0.1</v>
      </c>
      <c r="N981">
        <v>210</v>
      </c>
      <c r="O981">
        <v>189</v>
      </c>
      <c r="P981" t="s">
        <v>2269</v>
      </c>
      <c r="Q981" t="s">
        <v>2270</v>
      </c>
      <c r="R981" t="s">
        <v>2275</v>
      </c>
      <c r="S981" t="s">
        <v>2281</v>
      </c>
      <c r="T981" t="s">
        <v>2288</v>
      </c>
      <c r="U981">
        <v>4</v>
      </c>
      <c r="V981">
        <v>23</v>
      </c>
      <c r="W981">
        <v>38</v>
      </c>
      <c r="X981">
        <v>40.6</v>
      </c>
      <c r="Y981">
        <v>107.8</v>
      </c>
      <c r="Z981" t="s">
        <v>1761</v>
      </c>
      <c r="AA981" t="s">
        <v>2296</v>
      </c>
      <c r="AB981">
        <v>210</v>
      </c>
      <c r="AC981">
        <v>21</v>
      </c>
      <c r="AD981">
        <v>189</v>
      </c>
      <c r="AE981">
        <v>81.2</v>
      </c>
      <c r="AF981">
        <v>107.8</v>
      </c>
      <c r="AG981">
        <v>2024</v>
      </c>
      <c r="AH981">
        <v>4</v>
      </c>
      <c r="AI981" t="s">
        <v>2308</v>
      </c>
      <c r="AJ981" t="s">
        <v>2317</v>
      </c>
    </row>
    <row r="982" spans="1:36" x14ac:dyDescent="0.3">
      <c r="A982" t="s">
        <v>1016</v>
      </c>
      <c r="B982" s="2">
        <v>45519</v>
      </c>
      <c r="C982" t="s">
        <v>1727</v>
      </c>
      <c r="D982" t="s">
        <v>1838</v>
      </c>
      <c r="E982" t="s">
        <v>2074</v>
      </c>
      <c r="F982" t="s">
        <v>2240</v>
      </c>
      <c r="G982" t="s">
        <v>2251</v>
      </c>
      <c r="H982" t="s">
        <v>2258</v>
      </c>
      <c r="I982" t="s">
        <v>2260</v>
      </c>
      <c r="J982" t="s">
        <v>2266</v>
      </c>
      <c r="K982">
        <v>1</v>
      </c>
      <c r="L982">
        <v>100</v>
      </c>
      <c r="N982">
        <v>100</v>
      </c>
      <c r="R982" t="s">
        <v>2278</v>
      </c>
      <c r="S982" t="s">
        <v>2280</v>
      </c>
      <c r="T982" t="s">
        <v>2289</v>
      </c>
      <c r="U982">
        <v>1</v>
      </c>
      <c r="V982">
        <v>293</v>
      </c>
      <c r="W982">
        <v>46</v>
      </c>
      <c r="X982">
        <v>36.380000000000003</v>
      </c>
      <c r="Z982" t="s">
        <v>2291</v>
      </c>
      <c r="AA982" t="s">
        <v>2297</v>
      </c>
      <c r="AB982">
        <v>100</v>
      </c>
      <c r="AC982">
        <v>0</v>
      </c>
      <c r="AD982">
        <v>100</v>
      </c>
      <c r="AE982">
        <v>36.380000000000003</v>
      </c>
      <c r="AF982">
        <v>63.62</v>
      </c>
      <c r="AG982">
        <v>2024</v>
      </c>
      <c r="AH982">
        <v>8</v>
      </c>
      <c r="AI982" t="s">
        <v>2301</v>
      </c>
      <c r="AJ982" t="s">
        <v>2316</v>
      </c>
    </row>
    <row r="983" spans="1:36" x14ac:dyDescent="0.3">
      <c r="A983" t="s">
        <v>1017</v>
      </c>
      <c r="B983" s="2">
        <v>45316</v>
      </c>
      <c r="C983" t="s">
        <v>1655</v>
      </c>
      <c r="D983" t="s">
        <v>1915</v>
      </c>
      <c r="E983" t="s">
        <v>1761</v>
      </c>
      <c r="F983" t="s">
        <v>2239</v>
      </c>
      <c r="G983" t="s">
        <v>2252</v>
      </c>
      <c r="H983" t="s">
        <v>2257</v>
      </c>
      <c r="I983" t="s">
        <v>2262</v>
      </c>
      <c r="J983" t="s">
        <v>2264</v>
      </c>
      <c r="K983">
        <v>1</v>
      </c>
      <c r="L983">
        <v>90</v>
      </c>
      <c r="M983">
        <v>0.1</v>
      </c>
      <c r="N983">
        <v>90</v>
      </c>
      <c r="O983">
        <v>81</v>
      </c>
      <c r="P983" t="s">
        <v>2267</v>
      </c>
      <c r="Q983" t="s">
        <v>2271</v>
      </c>
      <c r="R983" t="s">
        <v>2276</v>
      </c>
      <c r="S983" t="s">
        <v>2287</v>
      </c>
      <c r="T983" t="s">
        <v>2288</v>
      </c>
      <c r="U983">
        <v>3</v>
      </c>
      <c r="W983">
        <v>24</v>
      </c>
      <c r="X983">
        <v>36.67</v>
      </c>
      <c r="Y983">
        <v>44.33</v>
      </c>
      <c r="Z983" t="s">
        <v>1761</v>
      </c>
      <c r="AA983" t="s">
        <v>2296</v>
      </c>
      <c r="AB983">
        <v>90</v>
      </c>
      <c r="AC983">
        <v>9</v>
      </c>
      <c r="AD983">
        <v>81</v>
      </c>
      <c r="AE983">
        <v>36.67</v>
      </c>
      <c r="AF983">
        <v>44.33</v>
      </c>
      <c r="AG983">
        <v>2024</v>
      </c>
      <c r="AH983">
        <v>1</v>
      </c>
      <c r="AI983" t="s">
        <v>2302</v>
      </c>
      <c r="AJ983" t="s">
        <v>2316</v>
      </c>
    </row>
    <row r="984" spans="1:36" x14ac:dyDescent="0.3">
      <c r="A984" t="s">
        <v>1018</v>
      </c>
      <c r="B984" s="2">
        <v>45643</v>
      </c>
      <c r="C984" t="s">
        <v>1713</v>
      </c>
      <c r="D984" t="s">
        <v>1750</v>
      </c>
      <c r="E984" t="s">
        <v>1944</v>
      </c>
      <c r="F984" t="s">
        <v>2240</v>
      </c>
      <c r="G984" t="s">
        <v>2241</v>
      </c>
      <c r="H984" t="s">
        <v>2257</v>
      </c>
      <c r="I984" t="s">
        <v>2262</v>
      </c>
      <c r="J984" t="s">
        <v>2265</v>
      </c>
      <c r="K984">
        <v>2</v>
      </c>
      <c r="L984">
        <v>130</v>
      </c>
      <c r="M984">
        <v>0</v>
      </c>
      <c r="N984">
        <v>260</v>
      </c>
      <c r="O984">
        <v>260</v>
      </c>
      <c r="P984" t="s">
        <v>2269</v>
      </c>
      <c r="R984" t="s">
        <v>2278</v>
      </c>
      <c r="S984" t="s">
        <v>2287</v>
      </c>
      <c r="T984" t="s">
        <v>2289</v>
      </c>
      <c r="U984">
        <v>1</v>
      </c>
      <c r="V984">
        <v>436</v>
      </c>
      <c r="W984">
        <v>38</v>
      </c>
      <c r="X984">
        <v>59.65</v>
      </c>
      <c r="Y984">
        <v>140.69999999999999</v>
      </c>
      <c r="Z984" t="s">
        <v>2294</v>
      </c>
      <c r="AA984" t="s">
        <v>2297</v>
      </c>
      <c r="AB984">
        <v>260</v>
      </c>
      <c r="AC984">
        <v>0</v>
      </c>
      <c r="AD984">
        <v>260</v>
      </c>
      <c r="AE984">
        <v>119.3</v>
      </c>
      <c r="AF984">
        <v>140.69999999999999</v>
      </c>
      <c r="AG984">
        <v>2024</v>
      </c>
      <c r="AH984">
        <v>12</v>
      </c>
      <c r="AI984" t="s">
        <v>2309</v>
      </c>
      <c r="AJ984" t="s">
        <v>2313</v>
      </c>
    </row>
    <row r="985" spans="1:36" x14ac:dyDescent="0.3">
      <c r="A985" t="s">
        <v>1019</v>
      </c>
      <c r="B985" s="2">
        <v>45469</v>
      </c>
      <c r="C985" t="s">
        <v>1738</v>
      </c>
      <c r="D985" t="s">
        <v>1761</v>
      </c>
      <c r="E985" t="s">
        <v>2229</v>
      </c>
      <c r="F985" t="s">
        <v>2240</v>
      </c>
      <c r="G985" t="s">
        <v>2250</v>
      </c>
      <c r="H985" t="s">
        <v>2259</v>
      </c>
      <c r="I985" t="s">
        <v>2262</v>
      </c>
      <c r="J985" t="s">
        <v>2266</v>
      </c>
      <c r="K985">
        <v>1</v>
      </c>
      <c r="L985">
        <v>90</v>
      </c>
      <c r="M985">
        <v>0.05</v>
      </c>
      <c r="N985">
        <v>90</v>
      </c>
      <c r="O985">
        <v>85.5</v>
      </c>
      <c r="P985" t="s">
        <v>2269</v>
      </c>
      <c r="Q985" t="s">
        <v>2271</v>
      </c>
      <c r="R985" t="s">
        <v>2276</v>
      </c>
      <c r="S985" t="s">
        <v>2281</v>
      </c>
      <c r="T985" t="s">
        <v>2290</v>
      </c>
      <c r="V985">
        <v>290</v>
      </c>
      <c r="W985">
        <v>37</v>
      </c>
      <c r="X985">
        <v>42.92</v>
      </c>
      <c r="Y985">
        <v>42.58</v>
      </c>
      <c r="Z985" t="s">
        <v>2294</v>
      </c>
      <c r="AA985" t="s">
        <v>2297</v>
      </c>
      <c r="AB985">
        <v>90</v>
      </c>
      <c r="AC985">
        <v>4.5</v>
      </c>
      <c r="AD985">
        <v>85.5</v>
      </c>
      <c r="AE985">
        <v>42.92</v>
      </c>
      <c r="AF985">
        <v>42.58</v>
      </c>
      <c r="AG985">
        <v>2024</v>
      </c>
      <c r="AH985">
        <v>6</v>
      </c>
      <c r="AI985" t="s">
        <v>2304</v>
      </c>
      <c r="AJ985" t="s">
        <v>2312</v>
      </c>
    </row>
    <row r="986" spans="1:36" x14ac:dyDescent="0.3">
      <c r="A986" t="s">
        <v>1020</v>
      </c>
      <c r="B986" s="2">
        <v>45407</v>
      </c>
      <c r="C986" t="s">
        <v>1696</v>
      </c>
      <c r="D986" t="s">
        <v>1935</v>
      </c>
      <c r="E986" t="s">
        <v>1971</v>
      </c>
      <c r="F986" t="s">
        <v>2240</v>
      </c>
      <c r="G986" t="s">
        <v>2256</v>
      </c>
      <c r="H986" t="s">
        <v>2261</v>
      </c>
      <c r="I986" t="s">
        <v>2260</v>
      </c>
      <c r="J986" t="s">
        <v>2264</v>
      </c>
      <c r="K986">
        <v>1</v>
      </c>
      <c r="L986">
        <v>190</v>
      </c>
      <c r="N986">
        <v>190</v>
      </c>
      <c r="P986" t="s">
        <v>2267</v>
      </c>
      <c r="Q986" t="s">
        <v>2272</v>
      </c>
      <c r="R986" t="s">
        <v>2274</v>
      </c>
      <c r="S986" t="s">
        <v>2283</v>
      </c>
      <c r="T986" t="s">
        <v>2290</v>
      </c>
      <c r="U986">
        <v>5</v>
      </c>
      <c r="V986">
        <v>240</v>
      </c>
      <c r="W986">
        <v>52</v>
      </c>
      <c r="X986">
        <v>107.05</v>
      </c>
      <c r="Z986" t="s">
        <v>2292</v>
      </c>
      <c r="AA986" t="s">
        <v>2296</v>
      </c>
      <c r="AB986">
        <v>190</v>
      </c>
      <c r="AC986">
        <v>0</v>
      </c>
      <c r="AD986">
        <v>190</v>
      </c>
      <c r="AE986">
        <v>107.05</v>
      </c>
      <c r="AF986">
        <v>82.95</v>
      </c>
      <c r="AG986">
        <v>2024</v>
      </c>
      <c r="AH986">
        <v>4</v>
      </c>
      <c r="AI986" t="s">
        <v>2308</v>
      </c>
      <c r="AJ986" t="s">
        <v>2316</v>
      </c>
    </row>
    <row r="987" spans="1:36" x14ac:dyDescent="0.3">
      <c r="A987" t="s">
        <v>1021</v>
      </c>
      <c r="B987" s="2">
        <v>45405</v>
      </c>
      <c r="C987" t="s">
        <v>1717</v>
      </c>
      <c r="D987" t="s">
        <v>1876</v>
      </c>
      <c r="E987" t="s">
        <v>2159</v>
      </c>
      <c r="F987" t="s">
        <v>2239</v>
      </c>
      <c r="G987" t="s">
        <v>2250</v>
      </c>
      <c r="H987" t="s">
        <v>2259</v>
      </c>
      <c r="I987" t="s">
        <v>2262</v>
      </c>
      <c r="J987" t="s">
        <v>2265</v>
      </c>
      <c r="K987">
        <v>1</v>
      </c>
      <c r="L987">
        <v>90</v>
      </c>
      <c r="M987">
        <v>0</v>
      </c>
      <c r="N987">
        <v>90</v>
      </c>
      <c r="O987">
        <v>90</v>
      </c>
      <c r="P987" t="s">
        <v>2269</v>
      </c>
      <c r="Q987" t="s">
        <v>2272</v>
      </c>
      <c r="R987" t="s">
        <v>2277</v>
      </c>
      <c r="S987" t="s">
        <v>2281</v>
      </c>
      <c r="T987" t="s">
        <v>2290</v>
      </c>
      <c r="U987">
        <v>5</v>
      </c>
      <c r="V987">
        <v>103</v>
      </c>
      <c r="W987">
        <v>42</v>
      </c>
      <c r="X987">
        <v>28.18</v>
      </c>
      <c r="Y987">
        <v>61.82</v>
      </c>
      <c r="Z987" t="s">
        <v>2295</v>
      </c>
      <c r="AA987" t="s">
        <v>2299</v>
      </c>
      <c r="AB987">
        <v>90</v>
      </c>
      <c r="AC987">
        <v>0</v>
      </c>
      <c r="AD987">
        <v>90</v>
      </c>
      <c r="AE987">
        <v>28.18</v>
      </c>
      <c r="AF987">
        <v>61.82</v>
      </c>
      <c r="AG987">
        <v>2024</v>
      </c>
      <c r="AH987">
        <v>4</v>
      </c>
      <c r="AI987" t="s">
        <v>2308</v>
      </c>
      <c r="AJ987" t="s">
        <v>2313</v>
      </c>
    </row>
    <row r="988" spans="1:36" x14ac:dyDescent="0.3">
      <c r="A988" t="s">
        <v>1022</v>
      </c>
      <c r="B988" s="2">
        <v>45486</v>
      </c>
      <c r="C988" t="s">
        <v>1717</v>
      </c>
      <c r="D988" t="s">
        <v>1824</v>
      </c>
      <c r="E988" t="s">
        <v>2050</v>
      </c>
      <c r="F988" t="s">
        <v>1761</v>
      </c>
      <c r="G988" t="s">
        <v>2247</v>
      </c>
      <c r="H988" t="s">
        <v>2257</v>
      </c>
      <c r="I988" t="s">
        <v>2262</v>
      </c>
      <c r="K988">
        <v>5</v>
      </c>
      <c r="L988">
        <v>110</v>
      </c>
      <c r="M988">
        <v>0.05</v>
      </c>
      <c r="N988">
        <v>550</v>
      </c>
      <c r="O988">
        <v>522.5</v>
      </c>
      <c r="P988" t="s">
        <v>2268</v>
      </c>
      <c r="Q988" t="s">
        <v>2271</v>
      </c>
      <c r="R988" t="s">
        <v>2279</v>
      </c>
      <c r="S988" t="s">
        <v>2285</v>
      </c>
      <c r="T988" t="s">
        <v>2288</v>
      </c>
      <c r="U988">
        <v>2</v>
      </c>
      <c r="V988">
        <v>204</v>
      </c>
      <c r="X988">
        <v>49.26</v>
      </c>
      <c r="Y988">
        <v>276.2</v>
      </c>
      <c r="Z988" t="s">
        <v>2294</v>
      </c>
      <c r="AA988" t="s">
        <v>2298</v>
      </c>
      <c r="AB988">
        <v>550</v>
      </c>
      <c r="AC988">
        <v>27.5</v>
      </c>
      <c r="AD988">
        <v>522.5</v>
      </c>
      <c r="AE988">
        <v>246.3</v>
      </c>
      <c r="AF988">
        <v>276.2</v>
      </c>
      <c r="AG988">
        <v>2024</v>
      </c>
      <c r="AH988">
        <v>7</v>
      </c>
      <c r="AI988" t="s">
        <v>2307</v>
      </c>
      <c r="AJ988" t="s">
        <v>2317</v>
      </c>
    </row>
    <row r="989" spans="1:36" x14ac:dyDescent="0.3">
      <c r="A989" t="s">
        <v>1023</v>
      </c>
      <c r="B989" s="2">
        <v>45566</v>
      </c>
      <c r="C989" t="s">
        <v>1737</v>
      </c>
      <c r="D989" t="s">
        <v>1843</v>
      </c>
      <c r="E989" t="s">
        <v>2123</v>
      </c>
      <c r="F989" t="s">
        <v>2238</v>
      </c>
      <c r="G989" t="s">
        <v>2256</v>
      </c>
      <c r="H989" t="s">
        <v>2261</v>
      </c>
      <c r="I989" t="s">
        <v>2260</v>
      </c>
      <c r="J989" t="s">
        <v>2264</v>
      </c>
      <c r="K989">
        <v>2</v>
      </c>
      <c r="L989">
        <v>190</v>
      </c>
      <c r="M989">
        <v>0.05</v>
      </c>
      <c r="N989">
        <v>380</v>
      </c>
      <c r="O989">
        <v>361</v>
      </c>
      <c r="P989" t="s">
        <v>2267</v>
      </c>
      <c r="Q989" t="s">
        <v>2270</v>
      </c>
      <c r="R989" t="s">
        <v>2276</v>
      </c>
      <c r="S989" t="s">
        <v>2285</v>
      </c>
      <c r="T989" t="s">
        <v>2288</v>
      </c>
      <c r="U989">
        <v>2</v>
      </c>
      <c r="V989">
        <v>110</v>
      </c>
      <c r="W989">
        <v>17</v>
      </c>
      <c r="X989">
        <v>74.09</v>
      </c>
      <c r="Y989">
        <v>212.82</v>
      </c>
      <c r="Z989" t="s">
        <v>2293</v>
      </c>
      <c r="AA989" t="s">
        <v>2296</v>
      </c>
      <c r="AB989">
        <v>380</v>
      </c>
      <c r="AC989">
        <v>19</v>
      </c>
      <c r="AD989">
        <v>361</v>
      </c>
      <c r="AE989">
        <v>148.18</v>
      </c>
      <c r="AF989">
        <v>212.82</v>
      </c>
      <c r="AG989">
        <v>2024</v>
      </c>
      <c r="AH989">
        <v>10</v>
      </c>
      <c r="AI989" t="s">
        <v>2310</v>
      </c>
      <c r="AJ989" t="s">
        <v>2313</v>
      </c>
    </row>
    <row r="990" spans="1:36" x14ac:dyDescent="0.3">
      <c r="A990" t="s">
        <v>1024</v>
      </c>
      <c r="B990" s="2">
        <v>45476</v>
      </c>
      <c r="C990" t="s">
        <v>1685</v>
      </c>
      <c r="D990" t="s">
        <v>1833</v>
      </c>
      <c r="E990" t="s">
        <v>1761</v>
      </c>
      <c r="F990" t="s">
        <v>2240</v>
      </c>
      <c r="G990" t="s">
        <v>2250</v>
      </c>
      <c r="H990" t="s">
        <v>2259</v>
      </c>
      <c r="I990" t="s">
        <v>2262</v>
      </c>
      <c r="J990" t="s">
        <v>2264</v>
      </c>
      <c r="K990">
        <v>1</v>
      </c>
      <c r="L990">
        <v>80</v>
      </c>
      <c r="M990">
        <v>0.05</v>
      </c>
      <c r="N990">
        <v>80</v>
      </c>
      <c r="O990">
        <v>76</v>
      </c>
      <c r="R990" t="s">
        <v>2275</v>
      </c>
      <c r="S990" t="s">
        <v>2284</v>
      </c>
      <c r="T990" t="s">
        <v>2288</v>
      </c>
      <c r="U990">
        <v>5</v>
      </c>
      <c r="V990">
        <v>338</v>
      </c>
      <c r="W990">
        <v>50</v>
      </c>
      <c r="X990">
        <v>37.479999999999997</v>
      </c>
      <c r="Y990">
        <v>38.520000000000003</v>
      </c>
      <c r="Z990" t="s">
        <v>2293</v>
      </c>
      <c r="AA990" t="s">
        <v>2298</v>
      </c>
      <c r="AB990">
        <v>80</v>
      </c>
      <c r="AC990">
        <v>4</v>
      </c>
      <c r="AD990">
        <v>76</v>
      </c>
      <c r="AE990">
        <v>37.479999999999997</v>
      </c>
      <c r="AF990">
        <v>38.520000000000003</v>
      </c>
      <c r="AG990">
        <v>2024</v>
      </c>
      <c r="AH990">
        <v>7</v>
      </c>
      <c r="AI990" t="s">
        <v>2307</v>
      </c>
      <c r="AJ990" t="s">
        <v>2312</v>
      </c>
    </row>
    <row r="991" spans="1:36" x14ac:dyDescent="0.3">
      <c r="A991" t="s">
        <v>1025</v>
      </c>
      <c r="B991" s="2">
        <v>45439</v>
      </c>
      <c r="C991" t="s">
        <v>1660</v>
      </c>
      <c r="D991" t="s">
        <v>1862</v>
      </c>
      <c r="E991" t="s">
        <v>2175</v>
      </c>
      <c r="F991" t="s">
        <v>2240</v>
      </c>
      <c r="G991" t="s">
        <v>2250</v>
      </c>
      <c r="H991" t="s">
        <v>2259</v>
      </c>
      <c r="I991" t="s">
        <v>2262</v>
      </c>
      <c r="J991" t="s">
        <v>2266</v>
      </c>
      <c r="K991">
        <v>1</v>
      </c>
      <c r="L991">
        <v>90</v>
      </c>
      <c r="M991">
        <v>0</v>
      </c>
      <c r="N991">
        <v>90</v>
      </c>
      <c r="O991">
        <v>90</v>
      </c>
      <c r="P991" t="s">
        <v>2267</v>
      </c>
      <c r="Q991" t="s">
        <v>2270</v>
      </c>
      <c r="R991" t="s">
        <v>2277</v>
      </c>
      <c r="S991" t="s">
        <v>2281</v>
      </c>
      <c r="T991" t="s">
        <v>2289</v>
      </c>
      <c r="U991">
        <v>4</v>
      </c>
      <c r="V991">
        <v>68</v>
      </c>
      <c r="X991">
        <v>36.15</v>
      </c>
      <c r="Y991">
        <v>53.85</v>
      </c>
      <c r="Z991" t="s">
        <v>2292</v>
      </c>
      <c r="AA991" t="s">
        <v>2296</v>
      </c>
      <c r="AB991">
        <v>90</v>
      </c>
      <c r="AC991">
        <v>0</v>
      </c>
      <c r="AD991">
        <v>90</v>
      </c>
      <c r="AE991">
        <v>36.15</v>
      </c>
      <c r="AF991">
        <v>53.85</v>
      </c>
      <c r="AG991">
        <v>2024</v>
      </c>
      <c r="AH991">
        <v>5</v>
      </c>
      <c r="AI991" t="s">
        <v>2306</v>
      </c>
      <c r="AJ991" t="s">
        <v>2314</v>
      </c>
    </row>
    <row r="992" spans="1:36" x14ac:dyDescent="0.3">
      <c r="A992" t="s">
        <v>1026</v>
      </c>
      <c r="C992" t="s">
        <v>1649</v>
      </c>
      <c r="D992" t="s">
        <v>1861</v>
      </c>
      <c r="E992" t="s">
        <v>2223</v>
      </c>
      <c r="F992" t="s">
        <v>2239</v>
      </c>
      <c r="G992" t="s">
        <v>2253</v>
      </c>
      <c r="H992" t="s">
        <v>2258</v>
      </c>
      <c r="I992" t="s">
        <v>2260</v>
      </c>
      <c r="J992" t="s">
        <v>2264</v>
      </c>
      <c r="K992">
        <v>4</v>
      </c>
      <c r="L992">
        <v>90</v>
      </c>
      <c r="M992">
        <v>0.05</v>
      </c>
      <c r="N992">
        <v>360</v>
      </c>
      <c r="O992">
        <v>342</v>
      </c>
      <c r="P992" t="s">
        <v>2268</v>
      </c>
      <c r="R992" t="s">
        <v>2273</v>
      </c>
      <c r="S992" t="s">
        <v>2285</v>
      </c>
      <c r="T992" t="s">
        <v>2288</v>
      </c>
      <c r="U992">
        <v>1</v>
      </c>
      <c r="V992">
        <v>156</v>
      </c>
      <c r="W992">
        <v>43</v>
      </c>
      <c r="X992">
        <v>40.72</v>
      </c>
      <c r="Y992">
        <v>179.12</v>
      </c>
      <c r="Z992" t="s">
        <v>1761</v>
      </c>
      <c r="AA992" t="s">
        <v>2297</v>
      </c>
      <c r="AB992">
        <v>360</v>
      </c>
      <c r="AC992">
        <v>18</v>
      </c>
      <c r="AD992">
        <v>342</v>
      </c>
      <c r="AE992">
        <v>162.88</v>
      </c>
      <c r="AF992">
        <v>179.12</v>
      </c>
    </row>
    <row r="993" spans="1:36" x14ac:dyDescent="0.3">
      <c r="A993" t="s">
        <v>1027</v>
      </c>
      <c r="B993" s="2">
        <v>45528</v>
      </c>
      <c r="C993" t="s">
        <v>1729</v>
      </c>
      <c r="D993" t="s">
        <v>1938</v>
      </c>
      <c r="E993" t="s">
        <v>2095</v>
      </c>
      <c r="F993" t="s">
        <v>1761</v>
      </c>
      <c r="G993" t="s">
        <v>2255</v>
      </c>
      <c r="H993" t="s">
        <v>2260</v>
      </c>
      <c r="I993" t="s">
        <v>2260</v>
      </c>
      <c r="J993" t="s">
        <v>2266</v>
      </c>
      <c r="K993">
        <v>3</v>
      </c>
      <c r="L993">
        <v>185</v>
      </c>
      <c r="M993">
        <v>0.05</v>
      </c>
      <c r="N993">
        <v>555</v>
      </c>
      <c r="O993">
        <v>527.25</v>
      </c>
      <c r="P993" t="s">
        <v>2267</v>
      </c>
      <c r="R993" t="s">
        <v>2277</v>
      </c>
      <c r="S993" t="s">
        <v>2282</v>
      </c>
      <c r="T993" t="s">
        <v>2290</v>
      </c>
      <c r="U993">
        <v>1</v>
      </c>
      <c r="V993">
        <v>433</v>
      </c>
      <c r="X993">
        <v>80.97</v>
      </c>
      <c r="Y993">
        <v>284.33999999999997</v>
      </c>
      <c r="Z993" t="s">
        <v>1761</v>
      </c>
      <c r="AA993" t="s">
        <v>1761</v>
      </c>
      <c r="AB993">
        <v>555</v>
      </c>
      <c r="AC993">
        <v>27.75</v>
      </c>
      <c r="AD993">
        <v>527.25</v>
      </c>
      <c r="AE993">
        <v>242.91</v>
      </c>
      <c r="AF993">
        <v>284.33999999999997</v>
      </c>
      <c r="AG993">
        <v>2024</v>
      </c>
      <c r="AH993">
        <v>8</v>
      </c>
      <c r="AI993" t="s">
        <v>2301</v>
      </c>
      <c r="AJ993" t="s">
        <v>2317</v>
      </c>
    </row>
    <row r="994" spans="1:36" x14ac:dyDescent="0.3">
      <c r="A994" t="s">
        <v>1028</v>
      </c>
      <c r="B994" s="2">
        <v>45361</v>
      </c>
      <c r="C994" t="s">
        <v>1738</v>
      </c>
      <c r="D994" t="s">
        <v>1916</v>
      </c>
      <c r="E994" t="s">
        <v>1969</v>
      </c>
      <c r="F994" t="s">
        <v>1761</v>
      </c>
      <c r="G994" t="s">
        <v>2241</v>
      </c>
      <c r="H994" t="s">
        <v>2257</v>
      </c>
      <c r="I994" t="s">
        <v>2262</v>
      </c>
      <c r="J994" t="s">
        <v>2264</v>
      </c>
      <c r="K994">
        <v>2</v>
      </c>
      <c r="L994">
        <v>125</v>
      </c>
      <c r="Q994" t="s">
        <v>2272</v>
      </c>
      <c r="R994" t="s">
        <v>2277</v>
      </c>
      <c r="S994" t="s">
        <v>2282</v>
      </c>
      <c r="T994" t="s">
        <v>2288</v>
      </c>
      <c r="V994">
        <v>365</v>
      </c>
      <c r="W994">
        <v>15</v>
      </c>
      <c r="X994">
        <v>62.45</v>
      </c>
      <c r="Z994" t="s">
        <v>2292</v>
      </c>
      <c r="AA994" t="s">
        <v>2296</v>
      </c>
      <c r="AB994">
        <v>250</v>
      </c>
      <c r="AC994">
        <v>0</v>
      </c>
      <c r="AD994">
        <v>250</v>
      </c>
      <c r="AE994">
        <v>124.9</v>
      </c>
      <c r="AF994">
        <v>125.1</v>
      </c>
      <c r="AG994">
        <v>2024</v>
      </c>
      <c r="AH994">
        <v>3</v>
      </c>
      <c r="AI994" t="s">
        <v>2305</v>
      </c>
      <c r="AJ994" t="s">
        <v>2318</v>
      </c>
    </row>
    <row r="995" spans="1:36" x14ac:dyDescent="0.3">
      <c r="A995" t="s">
        <v>1029</v>
      </c>
      <c r="B995" s="2">
        <v>45412</v>
      </c>
      <c r="C995" t="s">
        <v>1681</v>
      </c>
      <c r="D995" t="s">
        <v>1812</v>
      </c>
      <c r="E995" t="s">
        <v>2204</v>
      </c>
      <c r="F995" t="s">
        <v>2239</v>
      </c>
      <c r="G995" t="s">
        <v>2253</v>
      </c>
      <c r="H995" t="s">
        <v>2258</v>
      </c>
      <c r="I995" t="s">
        <v>2260</v>
      </c>
      <c r="K995">
        <v>1</v>
      </c>
      <c r="L995">
        <v>90</v>
      </c>
      <c r="M995">
        <v>0.1</v>
      </c>
      <c r="N995">
        <v>90</v>
      </c>
      <c r="O995">
        <v>81</v>
      </c>
      <c r="P995" t="s">
        <v>2267</v>
      </c>
      <c r="Q995" t="s">
        <v>2270</v>
      </c>
      <c r="R995" t="s">
        <v>2273</v>
      </c>
      <c r="S995" t="s">
        <v>2284</v>
      </c>
      <c r="T995" t="s">
        <v>2288</v>
      </c>
      <c r="U995">
        <v>5</v>
      </c>
      <c r="V995">
        <v>5</v>
      </c>
      <c r="X995">
        <v>32.590000000000003</v>
      </c>
      <c r="Y995">
        <v>48.41</v>
      </c>
      <c r="Z995" t="s">
        <v>1761</v>
      </c>
      <c r="AA995" t="s">
        <v>1761</v>
      </c>
      <c r="AB995">
        <v>90</v>
      </c>
      <c r="AC995">
        <v>9</v>
      </c>
      <c r="AD995">
        <v>81</v>
      </c>
      <c r="AE995">
        <v>32.590000000000003</v>
      </c>
      <c r="AF995">
        <v>48.41</v>
      </c>
      <c r="AG995">
        <v>2024</v>
      </c>
      <c r="AH995">
        <v>4</v>
      </c>
      <c r="AI995" t="s">
        <v>2308</v>
      </c>
      <c r="AJ995" t="s">
        <v>2313</v>
      </c>
    </row>
    <row r="996" spans="1:36" x14ac:dyDescent="0.3">
      <c r="A996" t="s">
        <v>1030</v>
      </c>
      <c r="B996" s="2">
        <v>45326</v>
      </c>
      <c r="C996" t="s">
        <v>1676</v>
      </c>
      <c r="D996" t="s">
        <v>1829</v>
      </c>
      <c r="E996" t="s">
        <v>2031</v>
      </c>
      <c r="F996" t="s">
        <v>1761</v>
      </c>
      <c r="G996" t="s">
        <v>2253</v>
      </c>
      <c r="H996" t="s">
        <v>2258</v>
      </c>
      <c r="I996" t="s">
        <v>2260</v>
      </c>
      <c r="J996" t="s">
        <v>2265</v>
      </c>
      <c r="K996">
        <v>1</v>
      </c>
      <c r="L996">
        <v>95</v>
      </c>
      <c r="M996">
        <v>0.1</v>
      </c>
      <c r="N996">
        <v>95</v>
      </c>
      <c r="O996">
        <v>85.5</v>
      </c>
      <c r="P996" t="s">
        <v>2268</v>
      </c>
      <c r="Q996" t="s">
        <v>2272</v>
      </c>
      <c r="R996" t="s">
        <v>2277</v>
      </c>
      <c r="S996" t="s">
        <v>2285</v>
      </c>
      <c r="T996" t="s">
        <v>2290</v>
      </c>
      <c r="U996">
        <v>3</v>
      </c>
      <c r="V996">
        <v>77</v>
      </c>
      <c r="X996">
        <v>43.19</v>
      </c>
      <c r="Y996">
        <v>42.31</v>
      </c>
      <c r="Z996" t="s">
        <v>2291</v>
      </c>
      <c r="AA996" t="s">
        <v>2298</v>
      </c>
      <c r="AB996">
        <v>95</v>
      </c>
      <c r="AC996">
        <v>9.5</v>
      </c>
      <c r="AD996">
        <v>85.5</v>
      </c>
      <c r="AE996">
        <v>43.19</v>
      </c>
      <c r="AF996">
        <v>42.31</v>
      </c>
      <c r="AG996">
        <v>2024</v>
      </c>
      <c r="AH996">
        <v>2</v>
      </c>
      <c r="AI996" t="s">
        <v>2303</v>
      </c>
      <c r="AJ996" t="s">
        <v>2318</v>
      </c>
    </row>
    <row r="997" spans="1:36" x14ac:dyDescent="0.3">
      <c r="A997" t="s">
        <v>1031</v>
      </c>
      <c r="B997" s="2">
        <v>45549</v>
      </c>
      <c r="C997" t="s">
        <v>1735</v>
      </c>
      <c r="D997" t="s">
        <v>1766</v>
      </c>
      <c r="E997" t="s">
        <v>2083</v>
      </c>
      <c r="F997" t="s">
        <v>1761</v>
      </c>
      <c r="G997" t="s">
        <v>2245</v>
      </c>
      <c r="H997" t="s">
        <v>2257</v>
      </c>
      <c r="I997" t="s">
        <v>2263</v>
      </c>
      <c r="J997" t="s">
        <v>2266</v>
      </c>
      <c r="K997">
        <v>1</v>
      </c>
      <c r="L997">
        <v>145</v>
      </c>
      <c r="M997">
        <v>0</v>
      </c>
      <c r="N997">
        <v>145</v>
      </c>
      <c r="O997">
        <v>145</v>
      </c>
      <c r="P997" t="s">
        <v>2267</v>
      </c>
      <c r="R997" t="s">
        <v>2278</v>
      </c>
      <c r="S997" t="s">
        <v>2287</v>
      </c>
      <c r="T997" t="s">
        <v>2290</v>
      </c>
      <c r="U997">
        <v>5</v>
      </c>
      <c r="V997">
        <v>106</v>
      </c>
      <c r="W997">
        <v>42</v>
      </c>
      <c r="X997">
        <v>70.989999999999995</v>
      </c>
      <c r="Y997">
        <v>74.010000000000005</v>
      </c>
      <c r="Z997" t="s">
        <v>2293</v>
      </c>
      <c r="AA997" t="s">
        <v>1761</v>
      </c>
      <c r="AB997">
        <v>145</v>
      </c>
      <c r="AC997">
        <v>0</v>
      </c>
      <c r="AD997">
        <v>145</v>
      </c>
      <c r="AE997">
        <v>70.989999999999995</v>
      </c>
      <c r="AF997">
        <v>74.010000000000005</v>
      </c>
      <c r="AG997">
        <v>2024</v>
      </c>
      <c r="AH997">
        <v>9</v>
      </c>
      <c r="AI997" t="s">
        <v>2300</v>
      </c>
      <c r="AJ997" t="s">
        <v>2317</v>
      </c>
    </row>
    <row r="998" spans="1:36" x14ac:dyDescent="0.3">
      <c r="A998" t="s">
        <v>1032</v>
      </c>
      <c r="B998" s="2">
        <v>45537</v>
      </c>
      <c r="C998" t="s">
        <v>1638</v>
      </c>
      <c r="D998" t="s">
        <v>1768</v>
      </c>
      <c r="E998" t="s">
        <v>2042</v>
      </c>
      <c r="F998" t="s">
        <v>2239</v>
      </c>
      <c r="G998" t="s">
        <v>2252</v>
      </c>
      <c r="H998" t="s">
        <v>2257</v>
      </c>
      <c r="I998" t="s">
        <v>2262</v>
      </c>
      <c r="L998">
        <v>100</v>
      </c>
      <c r="M998">
        <v>0.15</v>
      </c>
      <c r="N998">
        <v>100</v>
      </c>
      <c r="O998">
        <v>85</v>
      </c>
      <c r="P998" t="s">
        <v>2269</v>
      </c>
      <c r="Q998" t="s">
        <v>2272</v>
      </c>
      <c r="R998" t="s">
        <v>2277</v>
      </c>
      <c r="S998" t="s">
        <v>2284</v>
      </c>
      <c r="T998" t="s">
        <v>2289</v>
      </c>
      <c r="U998">
        <v>2</v>
      </c>
      <c r="V998">
        <v>131</v>
      </c>
      <c r="X998">
        <v>39.03</v>
      </c>
      <c r="Y998">
        <v>45.97</v>
      </c>
      <c r="Z998" t="s">
        <v>2293</v>
      </c>
      <c r="AA998" t="s">
        <v>2296</v>
      </c>
      <c r="AG998">
        <v>2024</v>
      </c>
      <c r="AH998">
        <v>9</v>
      </c>
      <c r="AI998" t="s">
        <v>2300</v>
      </c>
      <c r="AJ998" t="s">
        <v>2314</v>
      </c>
    </row>
    <row r="999" spans="1:36" x14ac:dyDescent="0.3">
      <c r="A999" t="s">
        <v>1033</v>
      </c>
      <c r="B999" s="2">
        <v>45413</v>
      </c>
      <c r="C999" t="s">
        <v>1664</v>
      </c>
      <c r="D999" t="s">
        <v>1873</v>
      </c>
      <c r="E999" t="s">
        <v>2131</v>
      </c>
      <c r="F999" t="s">
        <v>1761</v>
      </c>
      <c r="G999" t="s">
        <v>2242</v>
      </c>
      <c r="H999" t="s">
        <v>2258</v>
      </c>
      <c r="I999" t="s">
        <v>2260</v>
      </c>
      <c r="J999" t="s">
        <v>2264</v>
      </c>
      <c r="K999">
        <v>1</v>
      </c>
      <c r="L999">
        <v>120</v>
      </c>
      <c r="M999">
        <v>0.1</v>
      </c>
      <c r="N999">
        <v>120</v>
      </c>
      <c r="O999">
        <v>108</v>
      </c>
      <c r="P999" t="s">
        <v>2268</v>
      </c>
      <c r="Q999" t="s">
        <v>2270</v>
      </c>
      <c r="R999" t="s">
        <v>2275</v>
      </c>
      <c r="S999" t="s">
        <v>2282</v>
      </c>
      <c r="T999" t="s">
        <v>2288</v>
      </c>
      <c r="U999">
        <v>5</v>
      </c>
      <c r="V999">
        <v>465</v>
      </c>
      <c r="W999">
        <v>60</v>
      </c>
      <c r="X999">
        <v>42.82</v>
      </c>
      <c r="Y999">
        <v>65.180000000000007</v>
      </c>
      <c r="Z999" t="s">
        <v>2292</v>
      </c>
      <c r="AA999" t="s">
        <v>2297</v>
      </c>
      <c r="AB999">
        <v>120</v>
      </c>
      <c r="AC999">
        <v>12</v>
      </c>
      <c r="AD999">
        <v>108</v>
      </c>
      <c r="AE999">
        <v>42.82</v>
      </c>
      <c r="AF999">
        <v>65.180000000000007</v>
      </c>
      <c r="AG999">
        <v>2024</v>
      </c>
      <c r="AH999">
        <v>5</v>
      </c>
      <c r="AI999" t="s">
        <v>2306</v>
      </c>
      <c r="AJ999" t="s">
        <v>2312</v>
      </c>
    </row>
    <row r="1000" spans="1:36" x14ac:dyDescent="0.3">
      <c r="A1000" t="s">
        <v>1034</v>
      </c>
      <c r="B1000" s="2">
        <v>45307</v>
      </c>
      <c r="C1000" t="s">
        <v>1654</v>
      </c>
      <c r="D1000" t="s">
        <v>1790</v>
      </c>
      <c r="E1000" t="s">
        <v>2230</v>
      </c>
      <c r="F1000" t="s">
        <v>2239</v>
      </c>
      <c r="G1000" t="s">
        <v>2251</v>
      </c>
      <c r="H1000" t="s">
        <v>2258</v>
      </c>
      <c r="I1000" t="s">
        <v>2260</v>
      </c>
      <c r="J1000" t="s">
        <v>2265</v>
      </c>
      <c r="K1000">
        <v>1</v>
      </c>
      <c r="L1000">
        <v>95</v>
      </c>
      <c r="M1000">
        <v>0.1</v>
      </c>
      <c r="N1000">
        <v>95</v>
      </c>
      <c r="O1000">
        <v>85.5</v>
      </c>
      <c r="P1000" t="s">
        <v>2267</v>
      </c>
      <c r="Q1000" t="s">
        <v>2270</v>
      </c>
      <c r="R1000" t="s">
        <v>2277</v>
      </c>
      <c r="S1000" t="s">
        <v>2285</v>
      </c>
      <c r="T1000" t="s">
        <v>2288</v>
      </c>
      <c r="U1000">
        <v>5</v>
      </c>
      <c r="V1000">
        <v>58</v>
      </c>
      <c r="W1000">
        <v>15</v>
      </c>
      <c r="X1000">
        <v>39.68</v>
      </c>
      <c r="Y1000">
        <v>45.82</v>
      </c>
      <c r="Z1000" t="s">
        <v>1761</v>
      </c>
      <c r="AA1000" t="s">
        <v>2299</v>
      </c>
      <c r="AB1000">
        <v>95</v>
      </c>
      <c r="AC1000">
        <v>9.5</v>
      </c>
      <c r="AD1000">
        <v>85.5</v>
      </c>
      <c r="AE1000">
        <v>39.68</v>
      </c>
      <c r="AF1000">
        <v>45.82</v>
      </c>
      <c r="AG1000">
        <v>2024</v>
      </c>
      <c r="AH1000">
        <v>1</v>
      </c>
      <c r="AI1000" t="s">
        <v>2302</v>
      </c>
      <c r="AJ1000" t="s">
        <v>2313</v>
      </c>
    </row>
    <row r="1001" spans="1:36" x14ac:dyDescent="0.3">
      <c r="A1001" t="s">
        <v>1035</v>
      </c>
      <c r="B1001" s="2">
        <v>45426</v>
      </c>
      <c r="C1001" t="s">
        <v>1663</v>
      </c>
      <c r="D1001" t="s">
        <v>1895</v>
      </c>
      <c r="E1001" t="s">
        <v>1989</v>
      </c>
      <c r="F1001" t="s">
        <v>2239</v>
      </c>
      <c r="G1001" t="s">
        <v>2253</v>
      </c>
      <c r="H1001" t="s">
        <v>2258</v>
      </c>
      <c r="I1001" t="s">
        <v>2260</v>
      </c>
      <c r="J1001" t="s">
        <v>2264</v>
      </c>
      <c r="K1001">
        <v>1</v>
      </c>
      <c r="L1001">
        <v>90</v>
      </c>
      <c r="M1001">
        <v>0.1</v>
      </c>
      <c r="N1001">
        <v>90</v>
      </c>
      <c r="O1001">
        <v>81</v>
      </c>
      <c r="P1001" t="s">
        <v>2268</v>
      </c>
      <c r="Q1001" t="s">
        <v>2270</v>
      </c>
      <c r="R1001" t="s">
        <v>2275</v>
      </c>
      <c r="S1001" t="s">
        <v>2280</v>
      </c>
      <c r="T1001" t="s">
        <v>2289</v>
      </c>
      <c r="U1001">
        <v>3</v>
      </c>
      <c r="W1001">
        <v>11</v>
      </c>
      <c r="X1001">
        <v>40.78</v>
      </c>
      <c r="Y1001">
        <v>40.22</v>
      </c>
      <c r="Z1001" t="s">
        <v>2293</v>
      </c>
      <c r="AA1001" t="s">
        <v>2296</v>
      </c>
      <c r="AB1001">
        <v>90</v>
      </c>
      <c r="AC1001">
        <v>9</v>
      </c>
      <c r="AD1001">
        <v>81</v>
      </c>
      <c r="AE1001">
        <v>40.78</v>
      </c>
      <c r="AF1001">
        <v>40.22</v>
      </c>
      <c r="AG1001">
        <v>2024</v>
      </c>
      <c r="AH1001">
        <v>5</v>
      </c>
      <c r="AI1001" t="s">
        <v>2306</v>
      </c>
      <c r="AJ1001" t="s">
        <v>2313</v>
      </c>
    </row>
    <row r="1002" spans="1:36" x14ac:dyDescent="0.3">
      <c r="A1002" t="s">
        <v>1036</v>
      </c>
      <c r="B1002" s="2">
        <v>45367</v>
      </c>
      <c r="C1002" t="s">
        <v>1719</v>
      </c>
      <c r="D1002" t="s">
        <v>1840</v>
      </c>
      <c r="E1002" t="s">
        <v>1990</v>
      </c>
      <c r="F1002" t="s">
        <v>2239</v>
      </c>
      <c r="G1002" t="s">
        <v>2250</v>
      </c>
      <c r="H1002" t="s">
        <v>2259</v>
      </c>
      <c r="I1002" t="s">
        <v>2262</v>
      </c>
      <c r="J1002" t="s">
        <v>2266</v>
      </c>
      <c r="K1002">
        <v>2</v>
      </c>
      <c r="L1002">
        <v>80</v>
      </c>
      <c r="M1002">
        <v>0</v>
      </c>
      <c r="N1002">
        <v>160</v>
      </c>
      <c r="O1002">
        <v>160</v>
      </c>
      <c r="P1002" t="s">
        <v>2267</v>
      </c>
      <c r="Q1002" t="s">
        <v>2271</v>
      </c>
      <c r="R1002" t="s">
        <v>2279</v>
      </c>
      <c r="S1002" t="s">
        <v>2283</v>
      </c>
      <c r="T1002" t="s">
        <v>2288</v>
      </c>
      <c r="U1002">
        <v>1</v>
      </c>
      <c r="V1002">
        <v>492</v>
      </c>
      <c r="W1002">
        <v>25</v>
      </c>
      <c r="X1002">
        <v>41.85</v>
      </c>
      <c r="Y1002">
        <v>76.3</v>
      </c>
      <c r="Z1002" t="s">
        <v>2294</v>
      </c>
      <c r="AA1002" t="s">
        <v>2298</v>
      </c>
      <c r="AB1002">
        <v>160</v>
      </c>
      <c r="AC1002">
        <v>0</v>
      </c>
      <c r="AD1002">
        <v>160</v>
      </c>
      <c r="AE1002">
        <v>83.7</v>
      </c>
      <c r="AF1002">
        <v>76.3</v>
      </c>
      <c r="AG1002">
        <v>2024</v>
      </c>
      <c r="AH1002">
        <v>3</v>
      </c>
      <c r="AI1002" t="s">
        <v>2305</v>
      </c>
      <c r="AJ1002" t="s">
        <v>2317</v>
      </c>
    </row>
    <row r="1003" spans="1:36" x14ac:dyDescent="0.3">
      <c r="A1003" t="s">
        <v>1037</v>
      </c>
      <c r="B1003" s="2">
        <v>45528</v>
      </c>
      <c r="C1003" t="s">
        <v>1719</v>
      </c>
      <c r="D1003" t="s">
        <v>1786</v>
      </c>
      <c r="E1003" t="s">
        <v>2163</v>
      </c>
      <c r="F1003" t="s">
        <v>2240</v>
      </c>
      <c r="G1003" t="s">
        <v>2248</v>
      </c>
      <c r="H1003" t="s">
        <v>2257</v>
      </c>
      <c r="I1003" t="s">
        <v>2262</v>
      </c>
      <c r="J1003" t="s">
        <v>2266</v>
      </c>
      <c r="K1003">
        <v>3</v>
      </c>
      <c r="L1003">
        <v>140</v>
      </c>
      <c r="N1003">
        <v>420</v>
      </c>
      <c r="P1003" t="s">
        <v>2269</v>
      </c>
      <c r="Q1003" t="s">
        <v>2270</v>
      </c>
      <c r="R1003" t="s">
        <v>2278</v>
      </c>
      <c r="S1003" t="s">
        <v>2284</v>
      </c>
      <c r="T1003" t="s">
        <v>2290</v>
      </c>
      <c r="V1003">
        <v>438</v>
      </c>
      <c r="W1003">
        <v>22</v>
      </c>
      <c r="X1003">
        <v>74.88</v>
      </c>
      <c r="Z1003" t="s">
        <v>2294</v>
      </c>
      <c r="AA1003" t="s">
        <v>2299</v>
      </c>
      <c r="AB1003">
        <v>420</v>
      </c>
      <c r="AC1003">
        <v>0</v>
      </c>
      <c r="AD1003">
        <v>420</v>
      </c>
      <c r="AE1003">
        <v>224.64</v>
      </c>
      <c r="AF1003">
        <v>195.36</v>
      </c>
      <c r="AG1003">
        <v>2024</v>
      </c>
      <c r="AH1003">
        <v>8</v>
      </c>
      <c r="AI1003" t="s">
        <v>2301</v>
      </c>
      <c r="AJ1003" t="s">
        <v>2317</v>
      </c>
    </row>
    <row r="1004" spans="1:36" x14ac:dyDescent="0.3">
      <c r="A1004" t="s">
        <v>1038</v>
      </c>
      <c r="B1004" s="2">
        <v>45640</v>
      </c>
      <c r="C1004" t="s">
        <v>1639</v>
      </c>
      <c r="D1004" t="s">
        <v>1744</v>
      </c>
      <c r="E1004" t="s">
        <v>2212</v>
      </c>
      <c r="F1004" t="s">
        <v>1761</v>
      </c>
      <c r="G1004" t="s">
        <v>2254</v>
      </c>
      <c r="H1004" t="s">
        <v>2259</v>
      </c>
      <c r="I1004" t="s">
        <v>2263</v>
      </c>
      <c r="J1004" t="s">
        <v>2264</v>
      </c>
      <c r="K1004">
        <v>1</v>
      </c>
      <c r="L1004">
        <v>105</v>
      </c>
      <c r="M1004">
        <v>0.1</v>
      </c>
      <c r="N1004">
        <v>105</v>
      </c>
      <c r="O1004">
        <v>94.5</v>
      </c>
      <c r="P1004" t="s">
        <v>2269</v>
      </c>
      <c r="Q1004" t="s">
        <v>2272</v>
      </c>
      <c r="R1004" t="s">
        <v>2274</v>
      </c>
      <c r="S1004" t="s">
        <v>2285</v>
      </c>
      <c r="T1004" t="s">
        <v>2288</v>
      </c>
      <c r="U1004">
        <v>3</v>
      </c>
      <c r="V1004">
        <v>341</v>
      </c>
      <c r="W1004">
        <v>30</v>
      </c>
      <c r="X1004">
        <v>48.32</v>
      </c>
      <c r="Y1004">
        <v>46.18</v>
      </c>
      <c r="Z1004" t="s">
        <v>2292</v>
      </c>
      <c r="AA1004" t="s">
        <v>2298</v>
      </c>
      <c r="AB1004">
        <v>105</v>
      </c>
      <c r="AC1004">
        <v>10.5</v>
      </c>
      <c r="AD1004">
        <v>94.5</v>
      </c>
      <c r="AE1004">
        <v>48.32</v>
      </c>
      <c r="AF1004">
        <v>46.18</v>
      </c>
      <c r="AG1004">
        <v>2024</v>
      </c>
      <c r="AH1004">
        <v>12</v>
      </c>
      <c r="AI1004" t="s">
        <v>2309</v>
      </c>
      <c r="AJ1004" t="s">
        <v>2317</v>
      </c>
    </row>
    <row r="1005" spans="1:36" x14ac:dyDescent="0.3">
      <c r="A1005" t="s">
        <v>1039</v>
      </c>
      <c r="B1005" s="2">
        <v>45409</v>
      </c>
      <c r="C1005" t="s">
        <v>1660</v>
      </c>
      <c r="D1005" t="s">
        <v>1934</v>
      </c>
      <c r="E1005" t="s">
        <v>2083</v>
      </c>
      <c r="F1005" t="s">
        <v>2240</v>
      </c>
      <c r="G1005" t="s">
        <v>2242</v>
      </c>
      <c r="H1005" t="s">
        <v>2258</v>
      </c>
      <c r="I1005" t="s">
        <v>2260</v>
      </c>
      <c r="J1005" t="s">
        <v>2265</v>
      </c>
      <c r="K1005">
        <v>2</v>
      </c>
      <c r="L1005">
        <v>120</v>
      </c>
      <c r="M1005">
        <v>0.05</v>
      </c>
      <c r="N1005">
        <v>240</v>
      </c>
      <c r="O1005">
        <v>228</v>
      </c>
      <c r="P1005" t="s">
        <v>2269</v>
      </c>
      <c r="Q1005" t="s">
        <v>2271</v>
      </c>
      <c r="R1005" t="s">
        <v>2279</v>
      </c>
      <c r="S1005" t="s">
        <v>2281</v>
      </c>
      <c r="T1005" t="s">
        <v>2288</v>
      </c>
      <c r="U1005">
        <v>1</v>
      </c>
      <c r="V1005">
        <v>193</v>
      </c>
      <c r="W1005">
        <v>11</v>
      </c>
      <c r="X1005">
        <v>60.57</v>
      </c>
      <c r="Y1005">
        <v>106.86</v>
      </c>
      <c r="Z1005" t="s">
        <v>2293</v>
      </c>
      <c r="AA1005" t="s">
        <v>1761</v>
      </c>
      <c r="AB1005">
        <v>240</v>
      </c>
      <c r="AC1005">
        <v>12</v>
      </c>
      <c r="AD1005">
        <v>228</v>
      </c>
      <c r="AE1005">
        <v>121.14</v>
      </c>
      <c r="AF1005">
        <v>106.86</v>
      </c>
      <c r="AG1005">
        <v>2024</v>
      </c>
      <c r="AH1005">
        <v>4</v>
      </c>
      <c r="AI1005" t="s">
        <v>2308</v>
      </c>
      <c r="AJ1005" t="s">
        <v>2317</v>
      </c>
    </row>
    <row r="1006" spans="1:36" x14ac:dyDescent="0.3">
      <c r="A1006" t="s">
        <v>1040</v>
      </c>
      <c r="B1006" s="2">
        <v>45468</v>
      </c>
      <c r="C1006" t="s">
        <v>1702</v>
      </c>
      <c r="D1006" t="s">
        <v>1915</v>
      </c>
      <c r="E1006" t="s">
        <v>2049</v>
      </c>
      <c r="F1006" t="s">
        <v>2239</v>
      </c>
      <c r="G1006" t="s">
        <v>2242</v>
      </c>
      <c r="H1006" t="s">
        <v>2258</v>
      </c>
      <c r="I1006" t="s">
        <v>2260</v>
      </c>
      <c r="J1006" t="s">
        <v>2266</v>
      </c>
      <c r="K1006">
        <v>3</v>
      </c>
      <c r="L1006">
        <v>130</v>
      </c>
      <c r="M1006">
        <v>0</v>
      </c>
      <c r="N1006">
        <v>390</v>
      </c>
      <c r="O1006">
        <v>390</v>
      </c>
      <c r="P1006" t="s">
        <v>2268</v>
      </c>
      <c r="Q1006" t="s">
        <v>2270</v>
      </c>
      <c r="R1006" t="s">
        <v>2273</v>
      </c>
      <c r="S1006" t="s">
        <v>2281</v>
      </c>
      <c r="T1006" t="s">
        <v>2290</v>
      </c>
      <c r="U1006">
        <v>4</v>
      </c>
      <c r="V1006">
        <v>488</v>
      </c>
      <c r="X1006">
        <v>52.34</v>
      </c>
      <c r="Y1006">
        <v>232.98</v>
      </c>
      <c r="Z1006" t="s">
        <v>2293</v>
      </c>
      <c r="AA1006" t="s">
        <v>2296</v>
      </c>
      <c r="AB1006">
        <v>390</v>
      </c>
      <c r="AC1006">
        <v>0</v>
      </c>
      <c r="AD1006">
        <v>390</v>
      </c>
      <c r="AE1006">
        <v>157.02000000000001</v>
      </c>
      <c r="AF1006">
        <v>232.98</v>
      </c>
      <c r="AG1006">
        <v>2024</v>
      </c>
      <c r="AH1006">
        <v>6</v>
      </c>
      <c r="AI1006" t="s">
        <v>2304</v>
      </c>
      <c r="AJ1006" t="s">
        <v>2313</v>
      </c>
    </row>
    <row r="1007" spans="1:36" x14ac:dyDescent="0.3">
      <c r="A1007" t="s">
        <v>1041</v>
      </c>
      <c r="B1007" s="2">
        <v>45465</v>
      </c>
      <c r="C1007" t="s">
        <v>1723</v>
      </c>
      <c r="D1007" t="s">
        <v>1837</v>
      </c>
      <c r="E1007" t="s">
        <v>2106</v>
      </c>
      <c r="F1007" t="s">
        <v>2239</v>
      </c>
      <c r="G1007" t="s">
        <v>2245</v>
      </c>
      <c r="H1007" t="s">
        <v>2257</v>
      </c>
      <c r="I1007" t="s">
        <v>2263</v>
      </c>
      <c r="J1007" t="s">
        <v>2265</v>
      </c>
      <c r="K1007">
        <v>2</v>
      </c>
      <c r="L1007">
        <v>160</v>
      </c>
      <c r="M1007">
        <v>0.05</v>
      </c>
      <c r="N1007">
        <v>320</v>
      </c>
      <c r="O1007">
        <v>304</v>
      </c>
      <c r="P1007" t="s">
        <v>2268</v>
      </c>
      <c r="Q1007" t="s">
        <v>2272</v>
      </c>
      <c r="R1007" t="s">
        <v>2279</v>
      </c>
      <c r="S1007" t="s">
        <v>2280</v>
      </c>
      <c r="T1007" t="s">
        <v>2288</v>
      </c>
      <c r="U1007">
        <v>2</v>
      </c>
      <c r="V1007">
        <v>274</v>
      </c>
      <c r="X1007">
        <v>77.89</v>
      </c>
      <c r="Y1007">
        <v>148.22</v>
      </c>
      <c r="Z1007" t="s">
        <v>2291</v>
      </c>
      <c r="AA1007" t="s">
        <v>2299</v>
      </c>
      <c r="AB1007">
        <v>320</v>
      </c>
      <c r="AC1007">
        <v>16</v>
      </c>
      <c r="AD1007">
        <v>304</v>
      </c>
      <c r="AE1007">
        <v>155.78</v>
      </c>
      <c r="AF1007">
        <v>148.22</v>
      </c>
      <c r="AG1007">
        <v>2024</v>
      </c>
      <c r="AH1007">
        <v>6</v>
      </c>
      <c r="AI1007" t="s">
        <v>2304</v>
      </c>
      <c r="AJ1007" t="s">
        <v>2317</v>
      </c>
    </row>
    <row r="1008" spans="1:36" x14ac:dyDescent="0.3">
      <c r="A1008" t="s">
        <v>1042</v>
      </c>
      <c r="B1008" s="2">
        <v>45571</v>
      </c>
      <c r="C1008" t="s">
        <v>1670</v>
      </c>
      <c r="D1008" t="s">
        <v>1933</v>
      </c>
      <c r="E1008" t="s">
        <v>2225</v>
      </c>
      <c r="F1008" t="s">
        <v>2240</v>
      </c>
      <c r="G1008" t="s">
        <v>2246</v>
      </c>
      <c r="H1008" t="s">
        <v>2259</v>
      </c>
      <c r="I1008" t="s">
        <v>2262</v>
      </c>
      <c r="K1008">
        <v>1</v>
      </c>
      <c r="L1008">
        <v>95</v>
      </c>
      <c r="M1008">
        <v>0.05</v>
      </c>
      <c r="N1008">
        <v>95</v>
      </c>
      <c r="O1008">
        <v>90.25</v>
      </c>
      <c r="P1008" t="s">
        <v>2269</v>
      </c>
      <c r="Q1008" t="s">
        <v>2271</v>
      </c>
      <c r="R1008" t="s">
        <v>2275</v>
      </c>
      <c r="S1008" t="s">
        <v>2283</v>
      </c>
      <c r="T1008" t="s">
        <v>2289</v>
      </c>
      <c r="V1008">
        <v>64</v>
      </c>
      <c r="W1008">
        <v>25</v>
      </c>
      <c r="X1008">
        <v>44.59</v>
      </c>
      <c r="Y1008">
        <v>45.66</v>
      </c>
      <c r="Z1008" t="s">
        <v>2293</v>
      </c>
      <c r="AA1008" t="s">
        <v>1761</v>
      </c>
      <c r="AB1008">
        <v>95</v>
      </c>
      <c r="AC1008">
        <v>4.75</v>
      </c>
      <c r="AD1008">
        <v>90.25</v>
      </c>
      <c r="AE1008">
        <v>44.59</v>
      </c>
      <c r="AF1008">
        <v>45.66</v>
      </c>
      <c r="AG1008">
        <v>2024</v>
      </c>
      <c r="AH1008">
        <v>10</v>
      </c>
      <c r="AI1008" t="s">
        <v>2310</v>
      </c>
      <c r="AJ1008" t="s">
        <v>2318</v>
      </c>
    </row>
    <row r="1009" spans="1:36" x14ac:dyDescent="0.3">
      <c r="A1009" t="s">
        <v>1043</v>
      </c>
      <c r="B1009" s="2">
        <v>45628</v>
      </c>
      <c r="C1009" t="s">
        <v>1636</v>
      </c>
      <c r="D1009" t="s">
        <v>1915</v>
      </c>
      <c r="E1009" t="s">
        <v>1947</v>
      </c>
      <c r="F1009" t="s">
        <v>2240</v>
      </c>
      <c r="G1009" t="s">
        <v>2241</v>
      </c>
      <c r="H1009" t="s">
        <v>2257</v>
      </c>
      <c r="I1009" t="s">
        <v>2262</v>
      </c>
      <c r="J1009" t="s">
        <v>2266</v>
      </c>
      <c r="K1009">
        <v>1</v>
      </c>
      <c r="L1009">
        <v>125</v>
      </c>
      <c r="M1009">
        <v>0.05</v>
      </c>
      <c r="N1009">
        <v>125</v>
      </c>
      <c r="O1009">
        <v>118.75</v>
      </c>
      <c r="P1009" t="s">
        <v>2267</v>
      </c>
      <c r="Q1009" t="s">
        <v>2272</v>
      </c>
      <c r="R1009" t="s">
        <v>2277</v>
      </c>
      <c r="S1009" t="s">
        <v>2285</v>
      </c>
      <c r="T1009" t="s">
        <v>2288</v>
      </c>
      <c r="V1009">
        <v>413</v>
      </c>
      <c r="W1009">
        <v>22</v>
      </c>
      <c r="X1009">
        <v>47.29</v>
      </c>
      <c r="Y1009">
        <v>71.459999999999994</v>
      </c>
      <c r="Z1009" t="s">
        <v>2291</v>
      </c>
      <c r="AA1009" t="s">
        <v>2299</v>
      </c>
      <c r="AB1009">
        <v>125</v>
      </c>
      <c r="AC1009">
        <v>6.25</v>
      </c>
      <c r="AD1009">
        <v>118.75</v>
      </c>
      <c r="AE1009">
        <v>47.29</v>
      </c>
      <c r="AF1009">
        <v>71.460000000000008</v>
      </c>
      <c r="AG1009">
        <v>2024</v>
      </c>
      <c r="AH1009">
        <v>12</v>
      </c>
      <c r="AI1009" t="s">
        <v>2309</v>
      </c>
      <c r="AJ1009" t="s">
        <v>2314</v>
      </c>
    </row>
    <row r="1010" spans="1:36" x14ac:dyDescent="0.3">
      <c r="A1010" t="s">
        <v>1044</v>
      </c>
      <c r="C1010" t="s">
        <v>1718</v>
      </c>
      <c r="D1010" t="s">
        <v>1795</v>
      </c>
      <c r="E1010" t="s">
        <v>2140</v>
      </c>
      <c r="F1010" t="s">
        <v>2239</v>
      </c>
      <c r="G1010" t="s">
        <v>2250</v>
      </c>
      <c r="H1010" t="s">
        <v>2259</v>
      </c>
      <c r="I1010" t="s">
        <v>2262</v>
      </c>
      <c r="J1010" t="s">
        <v>2266</v>
      </c>
      <c r="K1010">
        <v>1</v>
      </c>
      <c r="L1010">
        <v>75</v>
      </c>
      <c r="M1010">
        <v>0</v>
      </c>
      <c r="N1010">
        <v>75</v>
      </c>
      <c r="O1010">
        <v>75</v>
      </c>
      <c r="Q1010" t="s">
        <v>2272</v>
      </c>
      <c r="R1010" t="s">
        <v>2274</v>
      </c>
      <c r="S1010" t="s">
        <v>2282</v>
      </c>
      <c r="T1010" t="s">
        <v>2290</v>
      </c>
      <c r="U1010">
        <v>3</v>
      </c>
      <c r="V1010">
        <v>2</v>
      </c>
      <c r="W1010">
        <v>19</v>
      </c>
      <c r="X1010">
        <v>32.74</v>
      </c>
      <c r="Y1010">
        <v>42.26</v>
      </c>
      <c r="Z1010" t="s">
        <v>2293</v>
      </c>
      <c r="AA1010" t="s">
        <v>2299</v>
      </c>
      <c r="AB1010">
        <v>75</v>
      </c>
      <c r="AC1010">
        <v>0</v>
      </c>
      <c r="AD1010">
        <v>75</v>
      </c>
      <c r="AE1010">
        <v>32.74</v>
      </c>
      <c r="AF1010">
        <v>42.26</v>
      </c>
    </row>
    <row r="1011" spans="1:36" x14ac:dyDescent="0.3">
      <c r="A1011" t="s">
        <v>1045</v>
      </c>
      <c r="B1011" s="2">
        <v>45574</v>
      </c>
      <c r="C1011" t="s">
        <v>1711</v>
      </c>
      <c r="D1011" t="s">
        <v>1798</v>
      </c>
      <c r="E1011" t="s">
        <v>2197</v>
      </c>
      <c r="F1011" t="s">
        <v>2240</v>
      </c>
      <c r="G1011" t="s">
        <v>2248</v>
      </c>
      <c r="H1011" t="s">
        <v>2257</v>
      </c>
      <c r="I1011" t="s">
        <v>2262</v>
      </c>
      <c r="K1011">
        <v>2</v>
      </c>
      <c r="L1011">
        <v>145</v>
      </c>
      <c r="M1011">
        <v>0</v>
      </c>
      <c r="N1011">
        <v>290</v>
      </c>
      <c r="O1011">
        <v>290</v>
      </c>
      <c r="P1011" t="s">
        <v>2269</v>
      </c>
      <c r="R1011" t="s">
        <v>2277</v>
      </c>
      <c r="S1011" t="s">
        <v>2280</v>
      </c>
      <c r="T1011" t="s">
        <v>2289</v>
      </c>
      <c r="U1011">
        <v>5</v>
      </c>
      <c r="V1011">
        <v>291</v>
      </c>
      <c r="W1011">
        <v>38</v>
      </c>
      <c r="X1011">
        <v>61.78</v>
      </c>
      <c r="Y1011">
        <v>166.44</v>
      </c>
      <c r="Z1011" t="s">
        <v>2293</v>
      </c>
      <c r="AA1011" t="s">
        <v>1761</v>
      </c>
      <c r="AB1011">
        <v>290</v>
      </c>
      <c r="AC1011">
        <v>0</v>
      </c>
      <c r="AD1011">
        <v>290</v>
      </c>
      <c r="AE1011">
        <v>123.56</v>
      </c>
      <c r="AF1011">
        <v>166.44</v>
      </c>
      <c r="AG1011">
        <v>2024</v>
      </c>
      <c r="AH1011">
        <v>10</v>
      </c>
      <c r="AI1011" t="s">
        <v>2310</v>
      </c>
      <c r="AJ1011" t="s">
        <v>2312</v>
      </c>
    </row>
    <row r="1012" spans="1:36" x14ac:dyDescent="0.3">
      <c r="A1012" t="s">
        <v>1046</v>
      </c>
      <c r="B1012" s="2">
        <v>45323</v>
      </c>
      <c r="C1012" t="s">
        <v>1637</v>
      </c>
      <c r="D1012" t="s">
        <v>1861</v>
      </c>
      <c r="E1012" t="s">
        <v>1988</v>
      </c>
      <c r="F1012" t="s">
        <v>2240</v>
      </c>
      <c r="G1012" t="s">
        <v>2250</v>
      </c>
      <c r="H1012" t="s">
        <v>2259</v>
      </c>
      <c r="I1012" t="s">
        <v>2262</v>
      </c>
      <c r="J1012" t="s">
        <v>2265</v>
      </c>
      <c r="K1012">
        <v>1</v>
      </c>
      <c r="L1012">
        <v>75</v>
      </c>
      <c r="M1012">
        <v>0.05</v>
      </c>
      <c r="N1012">
        <v>75</v>
      </c>
      <c r="O1012">
        <v>71.25</v>
      </c>
      <c r="Q1012" t="s">
        <v>2272</v>
      </c>
      <c r="R1012" t="s">
        <v>2273</v>
      </c>
      <c r="S1012" t="s">
        <v>2284</v>
      </c>
      <c r="T1012" t="s">
        <v>2288</v>
      </c>
      <c r="U1012">
        <v>3</v>
      </c>
      <c r="V1012">
        <v>297</v>
      </c>
      <c r="W1012">
        <v>36</v>
      </c>
      <c r="X1012">
        <v>37.15</v>
      </c>
      <c r="Y1012">
        <v>34.1</v>
      </c>
      <c r="Z1012" t="s">
        <v>2293</v>
      </c>
      <c r="AA1012" t="s">
        <v>2299</v>
      </c>
      <c r="AB1012">
        <v>75</v>
      </c>
      <c r="AC1012">
        <v>3.75</v>
      </c>
      <c r="AD1012">
        <v>71.25</v>
      </c>
      <c r="AE1012">
        <v>37.15</v>
      </c>
      <c r="AF1012">
        <v>34.1</v>
      </c>
      <c r="AG1012">
        <v>2024</v>
      </c>
      <c r="AH1012">
        <v>2</v>
      </c>
      <c r="AI1012" t="s">
        <v>2303</v>
      </c>
      <c r="AJ1012" t="s">
        <v>2316</v>
      </c>
    </row>
    <row r="1013" spans="1:36" x14ac:dyDescent="0.3">
      <c r="A1013" t="s">
        <v>1047</v>
      </c>
      <c r="B1013" s="2">
        <v>45346</v>
      </c>
      <c r="C1013" t="s">
        <v>1673</v>
      </c>
      <c r="D1013" t="s">
        <v>1861</v>
      </c>
      <c r="E1013" t="s">
        <v>1761</v>
      </c>
      <c r="F1013" t="s">
        <v>2240</v>
      </c>
      <c r="G1013" t="s">
        <v>2241</v>
      </c>
      <c r="H1013" t="s">
        <v>2257</v>
      </c>
      <c r="I1013" t="s">
        <v>2262</v>
      </c>
      <c r="J1013" t="s">
        <v>2264</v>
      </c>
      <c r="L1013">
        <v>135</v>
      </c>
      <c r="N1013">
        <v>270</v>
      </c>
      <c r="P1013" t="s">
        <v>2269</v>
      </c>
      <c r="Q1013" t="s">
        <v>2272</v>
      </c>
      <c r="R1013" t="s">
        <v>2278</v>
      </c>
      <c r="S1013" t="s">
        <v>2287</v>
      </c>
      <c r="T1013" t="s">
        <v>2288</v>
      </c>
      <c r="U1013">
        <v>5</v>
      </c>
      <c r="V1013">
        <v>103</v>
      </c>
      <c r="W1013">
        <v>12</v>
      </c>
      <c r="X1013">
        <v>64.290000000000006</v>
      </c>
      <c r="Z1013" t="s">
        <v>2293</v>
      </c>
      <c r="AA1013" t="s">
        <v>2297</v>
      </c>
      <c r="AG1013">
        <v>2024</v>
      </c>
      <c r="AH1013">
        <v>2</v>
      </c>
      <c r="AI1013" t="s">
        <v>2303</v>
      </c>
      <c r="AJ1013" t="s">
        <v>2317</v>
      </c>
    </row>
    <row r="1014" spans="1:36" x14ac:dyDescent="0.3">
      <c r="A1014" t="s">
        <v>1048</v>
      </c>
      <c r="B1014" s="2">
        <v>45646</v>
      </c>
      <c r="C1014" t="s">
        <v>1643</v>
      </c>
      <c r="D1014" t="s">
        <v>1742</v>
      </c>
      <c r="E1014" t="s">
        <v>2136</v>
      </c>
      <c r="F1014" t="s">
        <v>2238</v>
      </c>
      <c r="G1014" t="s">
        <v>2248</v>
      </c>
      <c r="H1014" t="s">
        <v>2257</v>
      </c>
      <c r="I1014" t="s">
        <v>2262</v>
      </c>
      <c r="J1014" t="s">
        <v>2264</v>
      </c>
      <c r="K1014">
        <v>3</v>
      </c>
      <c r="L1014">
        <v>145</v>
      </c>
      <c r="M1014">
        <v>0.15</v>
      </c>
      <c r="N1014">
        <v>435</v>
      </c>
      <c r="O1014">
        <v>369.75</v>
      </c>
      <c r="P1014" t="s">
        <v>2267</v>
      </c>
      <c r="R1014" t="s">
        <v>2279</v>
      </c>
      <c r="S1014" t="s">
        <v>2281</v>
      </c>
      <c r="T1014" t="s">
        <v>2288</v>
      </c>
      <c r="U1014">
        <v>1</v>
      </c>
      <c r="W1014">
        <v>27</v>
      </c>
      <c r="X1014">
        <v>51.61</v>
      </c>
      <c r="Y1014">
        <v>214.92</v>
      </c>
      <c r="Z1014" t="s">
        <v>2292</v>
      </c>
      <c r="AA1014" t="s">
        <v>2296</v>
      </c>
      <c r="AB1014">
        <v>435</v>
      </c>
      <c r="AC1014">
        <v>65.25</v>
      </c>
      <c r="AD1014">
        <v>369.75</v>
      </c>
      <c r="AE1014">
        <v>154.83000000000001</v>
      </c>
      <c r="AF1014">
        <v>214.92</v>
      </c>
      <c r="AG1014">
        <v>2024</v>
      </c>
      <c r="AH1014">
        <v>12</v>
      </c>
      <c r="AI1014" t="s">
        <v>2309</v>
      </c>
      <c r="AJ1014" t="s">
        <v>2315</v>
      </c>
    </row>
    <row r="1015" spans="1:36" x14ac:dyDescent="0.3">
      <c r="A1015" t="s">
        <v>1049</v>
      </c>
      <c r="B1015" s="2">
        <v>45650</v>
      </c>
      <c r="C1015" t="s">
        <v>1697</v>
      </c>
      <c r="D1015" t="s">
        <v>1916</v>
      </c>
      <c r="E1015" t="s">
        <v>2160</v>
      </c>
      <c r="F1015" t="s">
        <v>2239</v>
      </c>
      <c r="G1015" t="s">
        <v>2253</v>
      </c>
      <c r="H1015" t="s">
        <v>2258</v>
      </c>
      <c r="I1015" t="s">
        <v>2260</v>
      </c>
      <c r="J1015" t="s">
        <v>2265</v>
      </c>
      <c r="K1015">
        <v>2</v>
      </c>
      <c r="L1015">
        <v>90</v>
      </c>
      <c r="M1015">
        <v>0.05</v>
      </c>
      <c r="N1015">
        <v>180</v>
      </c>
      <c r="O1015">
        <v>171</v>
      </c>
      <c r="P1015" t="s">
        <v>2269</v>
      </c>
      <c r="Q1015" t="s">
        <v>2271</v>
      </c>
      <c r="R1015" t="s">
        <v>2276</v>
      </c>
      <c r="S1015" t="s">
        <v>2284</v>
      </c>
      <c r="T1015" t="s">
        <v>2288</v>
      </c>
      <c r="U1015">
        <v>2</v>
      </c>
      <c r="V1015">
        <v>98</v>
      </c>
      <c r="W1015">
        <v>39</v>
      </c>
      <c r="X1015">
        <v>50.91</v>
      </c>
      <c r="Y1015">
        <v>69.180000000000007</v>
      </c>
      <c r="Z1015" t="s">
        <v>1761</v>
      </c>
      <c r="AA1015" t="s">
        <v>2297</v>
      </c>
      <c r="AB1015">
        <v>180</v>
      </c>
      <c r="AC1015">
        <v>9</v>
      </c>
      <c r="AD1015">
        <v>171</v>
      </c>
      <c r="AE1015">
        <v>101.82</v>
      </c>
      <c r="AF1015">
        <v>69.180000000000007</v>
      </c>
      <c r="AG1015">
        <v>2024</v>
      </c>
      <c r="AH1015">
        <v>12</v>
      </c>
      <c r="AI1015" t="s">
        <v>2309</v>
      </c>
      <c r="AJ1015" t="s">
        <v>2313</v>
      </c>
    </row>
    <row r="1016" spans="1:36" x14ac:dyDescent="0.3">
      <c r="A1016" t="s">
        <v>1050</v>
      </c>
      <c r="B1016" s="2">
        <v>45377</v>
      </c>
      <c r="C1016" t="s">
        <v>1683</v>
      </c>
      <c r="D1016" t="s">
        <v>1777</v>
      </c>
      <c r="E1016" t="s">
        <v>2042</v>
      </c>
      <c r="F1016" t="s">
        <v>2240</v>
      </c>
      <c r="G1016" t="s">
        <v>2245</v>
      </c>
      <c r="H1016" t="s">
        <v>2257</v>
      </c>
      <c r="I1016" t="s">
        <v>2263</v>
      </c>
      <c r="J1016" t="s">
        <v>2265</v>
      </c>
      <c r="K1016">
        <v>5</v>
      </c>
      <c r="L1016">
        <v>145</v>
      </c>
      <c r="M1016">
        <v>0.15</v>
      </c>
      <c r="N1016">
        <v>725</v>
      </c>
      <c r="O1016">
        <v>616.25</v>
      </c>
      <c r="Q1016" t="s">
        <v>2270</v>
      </c>
      <c r="R1016" t="s">
        <v>2275</v>
      </c>
      <c r="S1016" t="s">
        <v>2286</v>
      </c>
      <c r="T1016" t="s">
        <v>2288</v>
      </c>
      <c r="U1016">
        <v>3</v>
      </c>
      <c r="V1016">
        <v>123</v>
      </c>
      <c r="W1016">
        <v>26</v>
      </c>
      <c r="X1016">
        <v>71.459999999999994</v>
      </c>
      <c r="Y1016">
        <v>258.95</v>
      </c>
      <c r="Z1016" t="s">
        <v>2292</v>
      </c>
      <c r="AA1016" t="s">
        <v>2299</v>
      </c>
      <c r="AB1016">
        <v>725</v>
      </c>
      <c r="AC1016">
        <v>108.75</v>
      </c>
      <c r="AD1016">
        <v>616.25</v>
      </c>
      <c r="AE1016">
        <v>357.3</v>
      </c>
      <c r="AF1016">
        <v>258.95</v>
      </c>
      <c r="AG1016">
        <v>2024</v>
      </c>
      <c r="AH1016">
        <v>3</v>
      </c>
      <c r="AI1016" t="s">
        <v>2305</v>
      </c>
      <c r="AJ1016" t="s">
        <v>2313</v>
      </c>
    </row>
    <row r="1017" spans="1:36" x14ac:dyDescent="0.3">
      <c r="A1017" t="s">
        <v>1051</v>
      </c>
      <c r="C1017" t="s">
        <v>1720</v>
      </c>
      <c r="D1017" t="s">
        <v>1828</v>
      </c>
      <c r="E1017" t="s">
        <v>1761</v>
      </c>
      <c r="F1017" t="s">
        <v>2240</v>
      </c>
      <c r="G1017" t="s">
        <v>2255</v>
      </c>
      <c r="H1017" t="s">
        <v>2260</v>
      </c>
      <c r="I1017" t="s">
        <v>2260</v>
      </c>
      <c r="J1017" t="s">
        <v>2264</v>
      </c>
      <c r="K1017">
        <v>1</v>
      </c>
      <c r="L1017">
        <v>175</v>
      </c>
      <c r="M1017">
        <v>0</v>
      </c>
      <c r="N1017">
        <v>175</v>
      </c>
      <c r="O1017">
        <v>175</v>
      </c>
      <c r="P1017" t="s">
        <v>2268</v>
      </c>
      <c r="Q1017" t="s">
        <v>2272</v>
      </c>
      <c r="R1017" t="s">
        <v>2277</v>
      </c>
      <c r="S1017" t="s">
        <v>2282</v>
      </c>
      <c r="T1017" t="s">
        <v>2288</v>
      </c>
      <c r="U1017">
        <v>4</v>
      </c>
      <c r="V1017">
        <v>280</v>
      </c>
      <c r="X1017">
        <v>78.66</v>
      </c>
      <c r="Y1017">
        <v>96.34</v>
      </c>
      <c r="Z1017" t="s">
        <v>2293</v>
      </c>
      <c r="AA1017" t="s">
        <v>2296</v>
      </c>
      <c r="AB1017">
        <v>175</v>
      </c>
      <c r="AC1017">
        <v>0</v>
      </c>
      <c r="AD1017">
        <v>175</v>
      </c>
      <c r="AE1017">
        <v>78.66</v>
      </c>
      <c r="AF1017">
        <v>96.34</v>
      </c>
    </row>
    <row r="1018" spans="1:36" x14ac:dyDescent="0.3">
      <c r="A1018" t="s">
        <v>1052</v>
      </c>
      <c r="B1018" s="2">
        <v>45411</v>
      </c>
      <c r="C1018" t="s">
        <v>1711</v>
      </c>
      <c r="D1018" t="s">
        <v>1875</v>
      </c>
      <c r="E1018" t="s">
        <v>1954</v>
      </c>
      <c r="F1018" t="s">
        <v>2240</v>
      </c>
      <c r="G1018" t="s">
        <v>2247</v>
      </c>
      <c r="H1018" t="s">
        <v>2257</v>
      </c>
      <c r="I1018" t="s">
        <v>2262</v>
      </c>
      <c r="J1018" t="s">
        <v>2264</v>
      </c>
      <c r="K1018">
        <v>1</v>
      </c>
      <c r="L1018">
        <v>105</v>
      </c>
      <c r="M1018">
        <v>0.15</v>
      </c>
      <c r="O1018">
        <v>89.25</v>
      </c>
      <c r="P1018" t="s">
        <v>2267</v>
      </c>
      <c r="Q1018" t="s">
        <v>2272</v>
      </c>
      <c r="R1018" t="s">
        <v>2275</v>
      </c>
      <c r="S1018" t="s">
        <v>2287</v>
      </c>
      <c r="T1018" t="s">
        <v>2288</v>
      </c>
      <c r="U1018">
        <v>3</v>
      </c>
      <c r="V1018">
        <v>224</v>
      </c>
      <c r="W1018">
        <v>43</v>
      </c>
      <c r="X1018">
        <v>48.11</v>
      </c>
      <c r="Y1018">
        <v>41.14</v>
      </c>
      <c r="Z1018" t="s">
        <v>2293</v>
      </c>
      <c r="AA1018" t="s">
        <v>2297</v>
      </c>
      <c r="AB1018">
        <v>105</v>
      </c>
      <c r="AC1018">
        <v>15.75</v>
      </c>
      <c r="AD1018">
        <v>89.25</v>
      </c>
      <c r="AE1018">
        <v>48.11</v>
      </c>
      <c r="AF1018">
        <v>41.14</v>
      </c>
      <c r="AG1018">
        <v>2024</v>
      </c>
      <c r="AH1018">
        <v>4</v>
      </c>
      <c r="AI1018" t="s">
        <v>2308</v>
      </c>
      <c r="AJ1018" t="s">
        <v>2314</v>
      </c>
    </row>
    <row r="1019" spans="1:36" x14ac:dyDescent="0.3">
      <c r="A1019" t="s">
        <v>1053</v>
      </c>
      <c r="C1019" t="s">
        <v>1707</v>
      </c>
      <c r="D1019" t="s">
        <v>1912</v>
      </c>
      <c r="E1019" t="s">
        <v>2093</v>
      </c>
      <c r="F1019" t="s">
        <v>2238</v>
      </c>
      <c r="G1019" t="s">
        <v>2251</v>
      </c>
      <c r="H1019" t="s">
        <v>2258</v>
      </c>
      <c r="I1019" t="s">
        <v>2260</v>
      </c>
      <c r="J1019" t="s">
        <v>2265</v>
      </c>
      <c r="K1019">
        <v>2</v>
      </c>
      <c r="L1019">
        <v>110</v>
      </c>
      <c r="N1019">
        <v>220</v>
      </c>
      <c r="P1019" t="s">
        <v>2267</v>
      </c>
      <c r="Q1019" t="s">
        <v>2272</v>
      </c>
      <c r="R1019" t="s">
        <v>2279</v>
      </c>
      <c r="S1019" t="s">
        <v>2282</v>
      </c>
      <c r="T1019" t="s">
        <v>2288</v>
      </c>
      <c r="U1019">
        <v>5</v>
      </c>
      <c r="V1019">
        <v>449</v>
      </c>
      <c r="W1019">
        <v>53</v>
      </c>
      <c r="X1019">
        <v>45.17</v>
      </c>
      <c r="Z1019" t="s">
        <v>2291</v>
      </c>
      <c r="AA1019" t="s">
        <v>2298</v>
      </c>
      <c r="AB1019">
        <v>220</v>
      </c>
      <c r="AC1019">
        <v>0</v>
      </c>
      <c r="AD1019">
        <v>220</v>
      </c>
      <c r="AE1019">
        <v>90.34</v>
      </c>
      <c r="AF1019">
        <v>129.66</v>
      </c>
    </row>
    <row r="1020" spans="1:36" x14ac:dyDescent="0.3">
      <c r="A1020" t="s">
        <v>1054</v>
      </c>
      <c r="B1020" s="2">
        <v>45517</v>
      </c>
      <c r="C1020" t="s">
        <v>1665</v>
      </c>
      <c r="D1020" t="s">
        <v>1828</v>
      </c>
      <c r="E1020" t="s">
        <v>2036</v>
      </c>
      <c r="F1020" t="s">
        <v>1761</v>
      </c>
      <c r="G1020" t="s">
        <v>2256</v>
      </c>
      <c r="H1020" t="s">
        <v>2261</v>
      </c>
      <c r="I1020" t="s">
        <v>2260</v>
      </c>
      <c r="K1020">
        <v>1</v>
      </c>
      <c r="L1020">
        <v>195</v>
      </c>
      <c r="N1020">
        <v>195</v>
      </c>
      <c r="P1020" t="s">
        <v>2267</v>
      </c>
      <c r="Q1020" t="s">
        <v>2272</v>
      </c>
      <c r="R1020" t="s">
        <v>2273</v>
      </c>
      <c r="S1020" t="s">
        <v>2287</v>
      </c>
      <c r="T1020" t="s">
        <v>2288</v>
      </c>
      <c r="U1020">
        <v>2</v>
      </c>
      <c r="V1020">
        <v>250</v>
      </c>
      <c r="W1020">
        <v>53</v>
      </c>
      <c r="X1020">
        <v>97.23</v>
      </c>
      <c r="Z1020" t="s">
        <v>2293</v>
      </c>
      <c r="AA1020" t="s">
        <v>2298</v>
      </c>
      <c r="AB1020">
        <v>195</v>
      </c>
      <c r="AC1020">
        <v>0</v>
      </c>
      <c r="AD1020">
        <v>195</v>
      </c>
      <c r="AE1020">
        <v>97.23</v>
      </c>
      <c r="AF1020">
        <v>97.77</v>
      </c>
      <c r="AG1020">
        <v>2024</v>
      </c>
      <c r="AH1020">
        <v>8</v>
      </c>
      <c r="AI1020" t="s">
        <v>2301</v>
      </c>
      <c r="AJ1020" t="s">
        <v>2313</v>
      </c>
    </row>
    <row r="1021" spans="1:36" x14ac:dyDescent="0.3">
      <c r="A1021" t="s">
        <v>1055</v>
      </c>
      <c r="B1021" s="2">
        <v>45615</v>
      </c>
      <c r="C1021" t="s">
        <v>1668</v>
      </c>
      <c r="D1021" t="s">
        <v>1856</v>
      </c>
      <c r="E1021" t="s">
        <v>1985</v>
      </c>
      <c r="F1021" t="s">
        <v>2239</v>
      </c>
      <c r="G1021" t="s">
        <v>2253</v>
      </c>
      <c r="H1021" t="s">
        <v>2258</v>
      </c>
      <c r="I1021" t="s">
        <v>2260</v>
      </c>
      <c r="J1021" t="s">
        <v>2266</v>
      </c>
      <c r="K1021">
        <v>1</v>
      </c>
      <c r="L1021">
        <v>85</v>
      </c>
      <c r="N1021">
        <v>85</v>
      </c>
      <c r="P1021" t="s">
        <v>2268</v>
      </c>
      <c r="Q1021" t="s">
        <v>2270</v>
      </c>
      <c r="R1021" t="s">
        <v>2276</v>
      </c>
      <c r="S1021" t="s">
        <v>2280</v>
      </c>
      <c r="T1021" t="s">
        <v>2288</v>
      </c>
      <c r="V1021">
        <v>287</v>
      </c>
      <c r="W1021">
        <v>39</v>
      </c>
      <c r="X1021">
        <v>46.09</v>
      </c>
      <c r="Z1021" t="s">
        <v>2293</v>
      </c>
      <c r="AA1021" t="s">
        <v>2298</v>
      </c>
      <c r="AB1021">
        <v>85</v>
      </c>
      <c r="AC1021">
        <v>0</v>
      </c>
      <c r="AD1021">
        <v>85</v>
      </c>
      <c r="AE1021">
        <v>46.09</v>
      </c>
      <c r="AF1021">
        <v>38.909999999999997</v>
      </c>
      <c r="AG1021">
        <v>2024</v>
      </c>
      <c r="AH1021">
        <v>11</v>
      </c>
      <c r="AI1021" t="s">
        <v>2311</v>
      </c>
      <c r="AJ1021" t="s">
        <v>2313</v>
      </c>
    </row>
    <row r="1022" spans="1:36" x14ac:dyDescent="0.3">
      <c r="A1022" t="s">
        <v>1056</v>
      </c>
      <c r="C1022" t="s">
        <v>1699</v>
      </c>
      <c r="D1022" t="s">
        <v>1820</v>
      </c>
      <c r="E1022" t="s">
        <v>1761</v>
      </c>
      <c r="F1022" t="s">
        <v>2238</v>
      </c>
      <c r="G1022" t="s">
        <v>2244</v>
      </c>
      <c r="H1022" t="s">
        <v>2257</v>
      </c>
      <c r="I1022" t="s">
        <v>2262</v>
      </c>
      <c r="J1022" t="s">
        <v>2264</v>
      </c>
      <c r="K1022">
        <v>2</v>
      </c>
      <c r="L1022">
        <v>125</v>
      </c>
      <c r="P1022" t="s">
        <v>2267</v>
      </c>
      <c r="Q1022" t="s">
        <v>2270</v>
      </c>
      <c r="R1022" t="s">
        <v>2278</v>
      </c>
      <c r="S1022" t="s">
        <v>2281</v>
      </c>
      <c r="T1022" t="s">
        <v>2288</v>
      </c>
      <c r="U1022">
        <v>2</v>
      </c>
      <c r="V1022">
        <v>399</v>
      </c>
      <c r="W1022">
        <v>44</v>
      </c>
      <c r="X1022">
        <v>66.459999999999994</v>
      </c>
      <c r="Z1022" t="s">
        <v>2294</v>
      </c>
      <c r="AA1022" t="s">
        <v>2296</v>
      </c>
      <c r="AB1022">
        <v>250</v>
      </c>
      <c r="AC1022">
        <v>0</v>
      </c>
      <c r="AD1022">
        <v>250</v>
      </c>
      <c r="AE1022">
        <v>132.91999999999999</v>
      </c>
      <c r="AF1022">
        <v>117.08</v>
      </c>
    </row>
    <row r="1023" spans="1:36" x14ac:dyDescent="0.3">
      <c r="A1023" t="s">
        <v>1057</v>
      </c>
      <c r="B1023" s="2">
        <v>45403</v>
      </c>
      <c r="C1023" t="s">
        <v>1649</v>
      </c>
      <c r="D1023" t="s">
        <v>1816</v>
      </c>
      <c r="E1023" t="s">
        <v>2096</v>
      </c>
      <c r="F1023" t="s">
        <v>2240</v>
      </c>
      <c r="G1023" t="s">
        <v>2256</v>
      </c>
      <c r="H1023" t="s">
        <v>2261</v>
      </c>
      <c r="I1023" t="s">
        <v>2260</v>
      </c>
      <c r="J1023" t="s">
        <v>2265</v>
      </c>
      <c r="K1023">
        <v>2</v>
      </c>
      <c r="L1023">
        <v>190</v>
      </c>
      <c r="M1023">
        <v>0.05</v>
      </c>
      <c r="N1023">
        <v>380</v>
      </c>
      <c r="O1023">
        <v>361</v>
      </c>
      <c r="P1023" t="s">
        <v>2269</v>
      </c>
      <c r="R1023" t="s">
        <v>2273</v>
      </c>
      <c r="S1023" t="s">
        <v>2287</v>
      </c>
      <c r="T1023" t="s">
        <v>2290</v>
      </c>
      <c r="V1023">
        <v>464</v>
      </c>
      <c r="W1023">
        <v>13</v>
      </c>
      <c r="X1023">
        <v>67.77</v>
      </c>
      <c r="Y1023">
        <v>225.46</v>
      </c>
      <c r="Z1023" t="s">
        <v>1761</v>
      </c>
      <c r="AA1023" t="s">
        <v>2297</v>
      </c>
      <c r="AB1023">
        <v>380</v>
      </c>
      <c r="AC1023">
        <v>19</v>
      </c>
      <c r="AD1023">
        <v>361</v>
      </c>
      <c r="AE1023">
        <v>135.54</v>
      </c>
      <c r="AF1023">
        <v>225.46</v>
      </c>
      <c r="AG1023">
        <v>2024</v>
      </c>
      <c r="AH1023">
        <v>4</v>
      </c>
      <c r="AI1023" t="s">
        <v>2308</v>
      </c>
      <c r="AJ1023" t="s">
        <v>2318</v>
      </c>
    </row>
    <row r="1024" spans="1:36" x14ac:dyDescent="0.3">
      <c r="A1024" t="s">
        <v>1058</v>
      </c>
      <c r="C1024" t="s">
        <v>1654</v>
      </c>
      <c r="D1024" t="s">
        <v>1839</v>
      </c>
      <c r="E1024" t="s">
        <v>2176</v>
      </c>
      <c r="F1024" t="s">
        <v>2239</v>
      </c>
      <c r="G1024" t="s">
        <v>2256</v>
      </c>
      <c r="H1024" t="s">
        <v>2261</v>
      </c>
      <c r="I1024" t="s">
        <v>2260</v>
      </c>
      <c r="J1024" t="s">
        <v>2266</v>
      </c>
      <c r="K1024">
        <v>2</v>
      </c>
      <c r="L1024">
        <v>190</v>
      </c>
      <c r="M1024">
        <v>0.1</v>
      </c>
      <c r="N1024">
        <v>380</v>
      </c>
      <c r="O1024">
        <v>342</v>
      </c>
      <c r="P1024" t="s">
        <v>2269</v>
      </c>
      <c r="Q1024" t="s">
        <v>2272</v>
      </c>
      <c r="R1024" t="s">
        <v>2273</v>
      </c>
      <c r="S1024" t="s">
        <v>2284</v>
      </c>
      <c r="T1024" t="s">
        <v>2288</v>
      </c>
      <c r="U1024">
        <v>3</v>
      </c>
      <c r="V1024">
        <v>40</v>
      </c>
      <c r="W1024">
        <v>28</v>
      </c>
      <c r="X1024">
        <v>70</v>
      </c>
      <c r="Y1024">
        <v>202</v>
      </c>
      <c r="Z1024" t="s">
        <v>2292</v>
      </c>
      <c r="AA1024" t="s">
        <v>2296</v>
      </c>
      <c r="AB1024">
        <v>380</v>
      </c>
      <c r="AC1024">
        <v>38</v>
      </c>
      <c r="AD1024">
        <v>342</v>
      </c>
      <c r="AE1024">
        <v>140</v>
      </c>
      <c r="AF1024">
        <v>202</v>
      </c>
    </row>
    <row r="1025" spans="1:36" x14ac:dyDescent="0.3">
      <c r="A1025" t="s">
        <v>1059</v>
      </c>
      <c r="B1025" s="2">
        <v>45589</v>
      </c>
      <c r="C1025" t="s">
        <v>1648</v>
      </c>
      <c r="D1025" t="s">
        <v>1828</v>
      </c>
      <c r="E1025" t="s">
        <v>2048</v>
      </c>
      <c r="F1025" t="s">
        <v>2238</v>
      </c>
      <c r="G1025" t="s">
        <v>2254</v>
      </c>
      <c r="H1025" t="s">
        <v>2259</v>
      </c>
      <c r="I1025" t="s">
        <v>2263</v>
      </c>
      <c r="J1025" t="s">
        <v>2264</v>
      </c>
      <c r="K1025">
        <v>1</v>
      </c>
      <c r="L1025">
        <v>120</v>
      </c>
      <c r="M1025">
        <v>0.15</v>
      </c>
      <c r="N1025">
        <v>120</v>
      </c>
      <c r="O1025">
        <v>102</v>
      </c>
      <c r="P1025" t="s">
        <v>2267</v>
      </c>
      <c r="Q1025" t="s">
        <v>2271</v>
      </c>
      <c r="R1025" t="s">
        <v>2277</v>
      </c>
      <c r="S1025" t="s">
        <v>2281</v>
      </c>
      <c r="T1025" t="s">
        <v>2288</v>
      </c>
      <c r="U1025">
        <v>2</v>
      </c>
      <c r="W1025">
        <v>40</v>
      </c>
      <c r="X1025">
        <v>45.63</v>
      </c>
      <c r="Y1025">
        <v>56.37</v>
      </c>
      <c r="Z1025" t="s">
        <v>2293</v>
      </c>
      <c r="AA1025" t="s">
        <v>1761</v>
      </c>
      <c r="AB1025">
        <v>120</v>
      </c>
      <c r="AC1025">
        <v>18</v>
      </c>
      <c r="AD1025">
        <v>102</v>
      </c>
      <c r="AE1025">
        <v>45.63</v>
      </c>
      <c r="AF1025">
        <v>56.37</v>
      </c>
      <c r="AG1025">
        <v>2024</v>
      </c>
      <c r="AH1025">
        <v>10</v>
      </c>
      <c r="AI1025" t="s">
        <v>2310</v>
      </c>
      <c r="AJ1025" t="s">
        <v>2316</v>
      </c>
    </row>
    <row r="1026" spans="1:36" x14ac:dyDescent="0.3">
      <c r="A1026" t="s">
        <v>1060</v>
      </c>
      <c r="B1026" s="2">
        <v>45524</v>
      </c>
      <c r="C1026" t="s">
        <v>1705</v>
      </c>
      <c r="D1026" t="s">
        <v>1834</v>
      </c>
      <c r="E1026" t="s">
        <v>1980</v>
      </c>
      <c r="F1026" t="s">
        <v>2239</v>
      </c>
      <c r="G1026" t="s">
        <v>2251</v>
      </c>
      <c r="H1026" t="s">
        <v>2258</v>
      </c>
      <c r="I1026" t="s">
        <v>2260</v>
      </c>
      <c r="J1026" t="s">
        <v>2264</v>
      </c>
      <c r="K1026">
        <v>1</v>
      </c>
      <c r="L1026">
        <v>95</v>
      </c>
      <c r="M1026">
        <v>0</v>
      </c>
      <c r="N1026">
        <v>95</v>
      </c>
      <c r="O1026">
        <v>95</v>
      </c>
      <c r="P1026" t="s">
        <v>2267</v>
      </c>
      <c r="Q1026" t="s">
        <v>2271</v>
      </c>
      <c r="R1026" t="s">
        <v>2275</v>
      </c>
      <c r="S1026" t="s">
        <v>2285</v>
      </c>
      <c r="T1026" t="s">
        <v>2289</v>
      </c>
      <c r="U1026">
        <v>3</v>
      </c>
      <c r="V1026">
        <v>191</v>
      </c>
      <c r="W1026">
        <v>43</v>
      </c>
      <c r="X1026">
        <v>41.58</v>
      </c>
      <c r="Y1026">
        <v>53.42</v>
      </c>
      <c r="Z1026" t="s">
        <v>1761</v>
      </c>
      <c r="AA1026" t="s">
        <v>1761</v>
      </c>
      <c r="AB1026">
        <v>95</v>
      </c>
      <c r="AC1026">
        <v>0</v>
      </c>
      <c r="AD1026">
        <v>95</v>
      </c>
      <c r="AE1026">
        <v>41.58</v>
      </c>
      <c r="AF1026">
        <v>53.42</v>
      </c>
      <c r="AG1026">
        <v>2024</v>
      </c>
      <c r="AH1026">
        <v>8</v>
      </c>
      <c r="AI1026" t="s">
        <v>2301</v>
      </c>
      <c r="AJ1026" t="s">
        <v>2313</v>
      </c>
    </row>
    <row r="1027" spans="1:36" x14ac:dyDescent="0.3">
      <c r="A1027" t="s">
        <v>1061</v>
      </c>
      <c r="B1027" s="2">
        <v>45365</v>
      </c>
      <c r="C1027" t="s">
        <v>1661</v>
      </c>
      <c r="D1027" t="s">
        <v>1812</v>
      </c>
      <c r="E1027" t="s">
        <v>1997</v>
      </c>
      <c r="F1027" t="s">
        <v>1761</v>
      </c>
      <c r="G1027" t="s">
        <v>2243</v>
      </c>
      <c r="H1027" t="s">
        <v>2258</v>
      </c>
      <c r="I1027" t="s">
        <v>2260</v>
      </c>
      <c r="J1027" t="s">
        <v>2264</v>
      </c>
      <c r="K1027">
        <v>5</v>
      </c>
      <c r="L1027">
        <v>80</v>
      </c>
      <c r="M1027">
        <v>0.15</v>
      </c>
      <c r="N1027">
        <v>400</v>
      </c>
      <c r="O1027">
        <v>340</v>
      </c>
      <c r="P1027" t="s">
        <v>2268</v>
      </c>
      <c r="R1027" t="s">
        <v>2275</v>
      </c>
      <c r="S1027" t="s">
        <v>2280</v>
      </c>
      <c r="T1027" t="s">
        <v>2288</v>
      </c>
      <c r="U1027">
        <v>1</v>
      </c>
      <c r="W1027">
        <v>13</v>
      </c>
      <c r="X1027">
        <v>31.85</v>
      </c>
      <c r="Y1027">
        <v>180.75</v>
      </c>
      <c r="Z1027" t="s">
        <v>1761</v>
      </c>
      <c r="AA1027" t="s">
        <v>2296</v>
      </c>
      <c r="AB1027">
        <v>400</v>
      </c>
      <c r="AC1027">
        <v>60</v>
      </c>
      <c r="AD1027">
        <v>340</v>
      </c>
      <c r="AE1027">
        <v>159.25</v>
      </c>
      <c r="AF1027">
        <v>180.75</v>
      </c>
      <c r="AG1027">
        <v>2024</v>
      </c>
      <c r="AH1027">
        <v>3</v>
      </c>
      <c r="AI1027" t="s">
        <v>2305</v>
      </c>
      <c r="AJ1027" t="s">
        <v>2316</v>
      </c>
    </row>
    <row r="1028" spans="1:36" x14ac:dyDescent="0.3">
      <c r="A1028" t="s">
        <v>1062</v>
      </c>
      <c r="B1028" s="2">
        <v>45403</v>
      </c>
      <c r="C1028" t="s">
        <v>1696</v>
      </c>
      <c r="D1028" t="s">
        <v>1837</v>
      </c>
      <c r="E1028" t="s">
        <v>2045</v>
      </c>
      <c r="F1028" t="s">
        <v>2238</v>
      </c>
      <c r="G1028" t="s">
        <v>2252</v>
      </c>
      <c r="H1028" t="s">
        <v>2257</v>
      </c>
      <c r="I1028" t="s">
        <v>2262</v>
      </c>
      <c r="J1028" t="s">
        <v>2264</v>
      </c>
      <c r="K1028">
        <v>1</v>
      </c>
      <c r="L1028">
        <v>85</v>
      </c>
      <c r="M1028">
        <v>0</v>
      </c>
      <c r="N1028">
        <v>85</v>
      </c>
      <c r="O1028">
        <v>85</v>
      </c>
      <c r="P1028" t="s">
        <v>2269</v>
      </c>
      <c r="Q1028" t="s">
        <v>2270</v>
      </c>
      <c r="R1028" t="s">
        <v>2279</v>
      </c>
      <c r="S1028" t="s">
        <v>2285</v>
      </c>
      <c r="T1028" t="s">
        <v>2288</v>
      </c>
      <c r="U1028">
        <v>5</v>
      </c>
      <c r="V1028">
        <v>278</v>
      </c>
      <c r="W1028">
        <v>35</v>
      </c>
      <c r="X1028">
        <v>33.82</v>
      </c>
      <c r="Y1028">
        <v>51.18</v>
      </c>
      <c r="Z1028" t="s">
        <v>2294</v>
      </c>
      <c r="AA1028" t="s">
        <v>2296</v>
      </c>
      <c r="AB1028">
        <v>85</v>
      </c>
      <c r="AC1028">
        <v>0</v>
      </c>
      <c r="AD1028">
        <v>85</v>
      </c>
      <c r="AE1028">
        <v>33.82</v>
      </c>
      <c r="AF1028">
        <v>51.18</v>
      </c>
      <c r="AG1028">
        <v>2024</v>
      </c>
      <c r="AH1028">
        <v>4</v>
      </c>
      <c r="AI1028" t="s">
        <v>2308</v>
      </c>
      <c r="AJ1028" t="s">
        <v>2318</v>
      </c>
    </row>
    <row r="1029" spans="1:36" x14ac:dyDescent="0.3">
      <c r="A1029" t="s">
        <v>1063</v>
      </c>
      <c r="B1029" s="2">
        <v>45330</v>
      </c>
      <c r="C1029" t="s">
        <v>1651</v>
      </c>
      <c r="D1029" t="s">
        <v>1745</v>
      </c>
      <c r="E1029" t="s">
        <v>1761</v>
      </c>
      <c r="F1029" t="s">
        <v>2240</v>
      </c>
      <c r="G1029" t="s">
        <v>2246</v>
      </c>
      <c r="H1029" t="s">
        <v>2259</v>
      </c>
      <c r="I1029" t="s">
        <v>2262</v>
      </c>
      <c r="J1029" t="s">
        <v>2265</v>
      </c>
      <c r="K1029">
        <v>1</v>
      </c>
      <c r="L1029">
        <v>95</v>
      </c>
      <c r="M1029">
        <v>0</v>
      </c>
      <c r="N1029">
        <v>95</v>
      </c>
      <c r="O1029">
        <v>95</v>
      </c>
      <c r="P1029" t="s">
        <v>2267</v>
      </c>
      <c r="Q1029" t="s">
        <v>2270</v>
      </c>
      <c r="R1029" t="s">
        <v>2276</v>
      </c>
      <c r="S1029" t="s">
        <v>2286</v>
      </c>
      <c r="T1029" t="s">
        <v>2290</v>
      </c>
      <c r="U1029">
        <v>5</v>
      </c>
      <c r="V1029">
        <v>442</v>
      </c>
      <c r="W1029">
        <v>16</v>
      </c>
      <c r="X1029">
        <v>46</v>
      </c>
      <c r="Y1029">
        <v>49</v>
      </c>
      <c r="Z1029" t="s">
        <v>1761</v>
      </c>
      <c r="AA1029" t="s">
        <v>2297</v>
      </c>
      <c r="AB1029">
        <v>95</v>
      </c>
      <c r="AC1029">
        <v>0</v>
      </c>
      <c r="AD1029">
        <v>95</v>
      </c>
      <c r="AE1029">
        <v>46</v>
      </c>
      <c r="AF1029">
        <v>49</v>
      </c>
      <c r="AG1029">
        <v>2024</v>
      </c>
      <c r="AH1029">
        <v>2</v>
      </c>
      <c r="AI1029" t="s">
        <v>2303</v>
      </c>
      <c r="AJ1029" t="s">
        <v>2316</v>
      </c>
    </row>
    <row r="1030" spans="1:36" x14ac:dyDescent="0.3">
      <c r="A1030" t="s">
        <v>1064</v>
      </c>
      <c r="B1030" s="2">
        <v>45376</v>
      </c>
      <c r="C1030" t="s">
        <v>1646</v>
      </c>
      <c r="D1030" t="s">
        <v>1805</v>
      </c>
      <c r="E1030" t="s">
        <v>1761</v>
      </c>
      <c r="F1030" t="s">
        <v>2239</v>
      </c>
      <c r="G1030" t="s">
        <v>2255</v>
      </c>
      <c r="H1030" t="s">
        <v>2260</v>
      </c>
      <c r="I1030" t="s">
        <v>2260</v>
      </c>
      <c r="J1030" t="s">
        <v>2264</v>
      </c>
      <c r="K1030">
        <v>2</v>
      </c>
      <c r="L1030">
        <v>180</v>
      </c>
      <c r="M1030">
        <v>0.1</v>
      </c>
      <c r="N1030">
        <v>360</v>
      </c>
      <c r="O1030">
        <v>324</v>
      </c>
      <c r="P1030" t="s">
        <v>2267</v>
      </c>
      <c r="Q1030" t="s">
        <v>2272</v>
      </c>
      <c r="R1030" t="s">
        <v>2274</v>
      </c>
      <c r="S1030" t="s">
        <v>2280</v>
      </c>
      <c r="T1030" t="s">
        <v>2288</v>
      </c>
      <c r="U1030">
        <v>5</v>
      </c>
      <c r="V1030">
        <v>386</v>
      </c>
      <c r="W1030">
        <v>31</v>
      </c>
      <c r="X1030">
        <v>89.46</v>
      </c>
      <c r="Y1030">
        <v>145.08000000000001</v>
      </c>
      <c r="Z1030" t="s">
        <v>2293</v>
      </c>
      <c r="AA1030" t="s">
        <v>2296</v>
      </c>
      <c r="AB1030">
        <v>360</v>
      </c>
      <c r="AC1030">
        <v>36</v>
      </c>
      <c r="AD1030">
        <v>324</v>
      </c>
      <c r="AE1030">
        <v>178.92</v>
      </c>
      <c r="AF1030">
        <v>145.08000000000001</v>
      </c>
      <c r="AG1030">
        <v>2024</v>
      </c>
      <c r="AH1030">
        <v>3</v>
      </c>
      <c r="AI1030" t="s">
        <v>2305</v>
      </c>
      <c r="AJ1030" t="s">
        <v>2314</v>
      </c>
    </row>
    <row r="1031" spans="1:36" x14ac:dyDescent="0.3">
      <c r="A1031" t="s">
        <v>1065</v>
      </c>
      <c r="B1031" s="2">
        <v>45542</v>
      </c>
      <c r="C1031" t="s">
        <v>1726</v>
      </c>
      <c r="D1031" t="s">
        <v>1931</v>
      </c>
      <c r="E1031" t="s">
        <v>2127</v>
      </c>
      <c r="F1031" t="s">
        <v>2240</v>
      </c>
      <c r="G1031" t="s">
        <v>2252</v>
      </c>
      <c r="H1031" t="s">
        <v>2257</v>
      </c>
      <c r="I1031" t="s">
        <v>2262</v>
      </c>
      <c r="J1031" t="s">
        <v>2264</v>
      </c>
      <c r="K1031">
        <v>2</v>
      </c>
      <c r="L1031">
        <v>85</v>
      </c>
      <c r="M1031">
        <v>0</v>
      </c>
      <c r="N1031">
        <v>170</v>
      </c>
      <c r="O1031">
        <v>170</v>
      </c>
      <c r="P1031" t="s">
        <v>2269</v>
      </c>
      <c r="Q1031" t="s">
        <v>2272</v>
      </c>
      <c r="R1031" t="s">
        <v>2277</v>
      </c>
      <c r="S1031" t="s">
        <v>2284</v>
      </c>
      <c r="T1031" t="s">
        <v>2290</v>
      </c>
      <c r="U1031">
        <v>5</v>
      </c>
      <c r="V1031">
        <v>398</v>
      </c>
      <c r="W1031">
        <v>35</v>
      </c>
      <c r="X1031">
        <v>43.18</v>
      </c>
      <c r="Y1031">
        <v>83.64</v>
      </c>
      <c r="Z1031" t="s">
        <v>2294</v>
      </c>
      <c r="AA1031" t="s">
        <v>2297</v>
      </c>
      <c r="AB1031">
        <v>170</v>
      </c>
      <c r="AC1031">
        <v>0</v>
      </c>
      <c r="AD1031">
        <v>170</v>
      </c>
      <c r="AE1031">
        <v>86.36</v>
      </c>
      <c r="AF1031">
        <v>83.64</v>
      </c>
      <c r="AG1031">
        <v>2024</v>
      </c>
      <c r="AH1031">
        <v>9</v>
      </c>
      <c r="AI1031" t="s">
        <v>2300</v>
      </c>
      <c r="AJ1031" t="s">
        <v>2317</v>
      </c>
    </row>
    <row r="1032" spans="1:36" x14ac:dyDescent="0.3">
      <c r="A1032" t="s">
        <v>1066</v>
      </c>
      <c r="B1032" s="2">
        <v>45626</v>
      </c>
      <c r="C1032" t="s">
        <v>1638</v>
      </c>
      <c r="D1032" t="s">
        <v>1769</v>
      </c>
      <c r="E1032" t="s">
        <v>2138</v>
      </c>
      <c r="F1032" t="s">
        <v>1761</v>
      </c>
      <c r="G1032" t="s">
        <v>2252</v>
      </c>
      <c r="H1032" t="s">
        <v>2257</v>
      </c>
      <c r="I1032" t="s">
        <v>2262</v>
      </c>
      <c r="J1032" t="s">
        <v>2264</v>
      </c>
      <c r="K1032">
        <v>3</v>
      </c>
      <c r="L1032">
        <v>90</v>
      </c>
      <c r="M1032">
        <v>0</v>
      </c>
      <c r="N1032">
        <v>270</v>
      </c>
      <c r="O1032">
        <v>270</v>
      </c>
      <c r="P1032" t="s">
        <v>2267</v>
      </c>
      <c r="R1032" t="s">
        <v>2279</v>
      </c>
      <c r="S1032" t="s">
        <v>2281</v>
      </c>
      <c r="T1032" t="s">
        <v>2288</v>
      </c>
      <c r="U1032">
        <v>3</v>
      </c>
      <c r="V1032">
        <v>486</v>
      </c>
      <c r="X1032">
        <v>50.09</v>
      </c>
      <c r="Y1032">
        <v>119.73</v>
      </c>
      <c r="Z1032" t="s">
        <v>2293</v>
      </c>
      <c r="AA1032" t="s">
        <v>2299</v>
      </c>
      <c r="AB1032">
        <v>270</v>
      </c>
      <c r="AC1032">
        <v>0</v>
      </c>
      <c r="AD1032">
        <v>270</v>
      </c>
      <c r="AE1032">
        <v>150.27000000000001</v>
      </c>
      <c r="AF1032">
        <v>119.73</v>
      </c>
      <c r="AG1032">
        <v>2024</v>
      </c>
      <c r="AH1032">
        <v>11</v>
      </c>
      <c r="AI1032" t="s">
        <v>2311</v>
      </c>
      <c r="AJ1032" t="s">
        <v>2317</v>
      </c>
    </row>
    <row r="1033" spans="1:36" x14ac:dyDescent="0.3">
      <c r="A1033" t="s">
        <v>1067</v>
      </c>
      <c r="B1033" s="2">
        <v>45656</v>
      </c>
      <c r="C1033" t="s">
        <v>1736</v>
      </c>
      <c r="D1033" t="s">
        <v>1791</v>
      </c>
      <c r="E1033" t="s">
        <v>1980</v>
      </c>
      <c r="F1033" t="s">
        <v>1761</v>
      </c>
      <c r="G1033" t="s">
        <v>2251</v>
      </c>
      <c r="H1033" t="s">
        <v>2258</v>
      </c>
      <c r="I1033" t="s">
        <v>2260</v>
      </c>
      <c r="J1033" t="s">
        <v>2265</v>
      </c>
      <c r="K1033">
        <v>1</v>
      </c>
      <c r="L1033">
        <v>100</v>
      </c>
      <c r="N1033">
        <v>100</v>
      </c>
      <c r="P1033" t="s">
        <v>2267</v>
      </c>
      <c r="Q1033" t="s">
        <v>2272</v>
      </c>
      <c r="R1033" t="s">
        <v>2277</v>
      </c>
      <c r="S1033" t="s">
        <v>2280</v>
      </c>
      <c r="T1033" t="s">
        <v>2288</v>
      </c>
      <c r="V1033">
        <v>442</v>
      </c>
      <c r="W1033">
        <v>51</v>
      </c>
      <c r="X1033">
        <v>57.5</v>
      </c>
      <c r="Z1033" t="s">
        <v>2293</v>
      </c>
      <c r="AA1033" t="s">
        <v>2299</v>
      </c>
      <c r="AB1033">
        <v>100</v>
      </c>
      <c r="AC1033">
        <v>0</v>
      </c>
      <c r="AD1033">
        <v>100</v>
      </c>
      <c r="AE1033">
        <v>57.5</v>
      </c>
      <c r="AF1033">
        <v>42.5</v>
      </c>
      <c r="AG1033">
        <v>2024</v>
      </c>
      <c r="AH1033">
        <v>12</v>
      </c>
      <c r="AI1033" t="s">
        <v>2309</v>
      </c>
      <c r="AJ1033" t="s">
        <v>2314</v>
      </c>
    </row>
    <row r="1034" spans="1:36" x14ac:dyDescent="0.3">
      <c r="A1034" t="s">
        <v>1068</v>
      </c>
      <c r="B1034" s="2">
        <v>45477</v>
      </c>
      <c r="C1034" t="s">
        <v>1699</v>
      </c>
      <c r="D1034" t="s">
        <v>1750</v>
      </c>
      <c r="E1034" t="s">
        <v>2136</v>
      </c>
      <c r="F1034" t="s">
        <v>2239</v>
      </c>
      <c r="G1034" t="s">
        <v>2247</v>
      </c>
      <c r="H1034" t="s">
        <v>2257</v>
      </c>
      <c r="I1034" t="s">
        <v>2262</v>
      </c>
      <c r="J1034" t="s">
        <v>2266</v>
      </c>
      <c r="K1034">
        <v>4</v>
      </c>
      <c r="L1034">
        <v>100</v>
      </c>
      <c r="M1034">
        <v>0.1</v>
      </c>
      <c r="N1034">
        <v>400</v>
      </c>
      <c r="O1034">
        <v>360</v>
      </c>
      <c r="P1034" t="s">
        <v>2268</v>
      </c>
      <c r="R1034" t="s">
        <v>2273</v>
      </c>
      <c r="S1034" t="s">
        <v>2283</v>
      </c>
      <c r="T1034" t="s">
        <v>2288</v>
      </c>
      <c r="U1034">
        <v>5</v>
      </c>
      <c r="X1034">
        <v>57.76</v>
      </c>
      <c r="Y1034">
        <v>128.96</v>
      </c>
      <c r="Z1034" t="s">
        <v>2292</v>
      </c>
      <c r="AA1034" t="s">
        <v>2296</v>
      </c>
      <c r="AB1034">
        <v>400</v>
      </c>
      <c r="AC1034">
        <v>40</v>
      </c>
      <c r="AD1034">
        <v>360</v>
      </c>
      <c r="AE1034">
        <v>231.04</v>
      </c>
      <c r="AF1034">
        <v>128.96</v>
      </c>
      <c r="AG1034">
        <v>2024</v>
      </c>
      <c r="AH1034">
        <v>7</v>
      </c>
      <c r="AI1034" t="s">
        <v>2307</v>
      </c>
      <c r="AJ1034" t="s">
        <v>2316</v>
      </c>
    </row>
    <row r="1035" spans="1:36" x14ac:dyDescent="0.3">
      <c r="A1035" t="s">
        <v>1069</v>
      </c>
      <c r="B1035" s="2">
        <v>45325</v>
      </c>
      <c r="C1035" t="s">
        <v>1710</v>
      </c>
      <c r="D1035" t="s">
        <v>1856</v>
      </c>
      <c r="E1035" t="s">
        <v>2140</v>
      </c>
      <c r="F1035" t="s">
        <v>2239</v>
      </c>
      <c r="G1035" t="s">
        <v>2249</v>
      </c>
      <c r="H1035" t="s">
        <v>2257</v>
      </c>
      <c r="I1035" t="s">
        <v>2263</v>
      </c>
      <c r="J1035" t="s">
        <v>2266</v>
      </c>
      <c r="K1035">
        <v>2</v>
      </c>
      <c r="L1035">
        <v>170</v>
      </c>
      <c r="M1035">
        <v>0</v>
      </c>
      <c r="N1035">
        <v>340</v>
      </c>
      <c r="O1035">
        <v>340</v>
      </c>
      <c r="P1035" t="s">
        <v>2267</v>
      </c>
      <c r="Q1035" t="s">
        <v>2270</v>
      </c>
      <c r="R1035" t="s">
        <v>2276</v>
      </c>
      <c r="S1035" t="s">
        <v>2286</v>
      </c>
      <c r="T1035" t="s">
        <v>2288</v>
      </c>
      <c r="U1035">
        <v>1</v>
      </c>
      <c r="V1035">
        <v>320</v>
      </c>
      <c r="W1035">
        <v>23</v>
      </c>
      <c r="X1035">
        <v>89.49</v>
      </c>
      <c r="Y1035">
        <v>161.02000000000001</v>
      </c>
      <c r="Z1035" t="s">
        <v>1761</v>
      </c>
      <c r="AA1035" t="s">
        <v>1761</v>
      </c>
      <c r="AB1035">
        <v>340</v>
      </c>
      <c r="AC1035">
        <v>0</v>
      </c>
      <c r="AD1035">
        <v>340</v>
      </c>
      <c r="AE1035">
        <v>178.98</v>
      </c>
      <c r="AF1035">
        <v>161.02000000000001</v>
      </c>
      <c r="AG1035">
        <v>2024</v>
      </c>
      <c r="AH1035">
        <v>2</v>
      </c>
      <c r="AI1035" t="s">
        <v>2303</v>
      </c>
      <c r="AJ1035" t="s">
        <v>2317</v>
      </c>
    </row>
    <row r="1036" spans="1:36" x14ac:dyDescent="0.3">
      <c r="A1036" t="s">
        <v>1070</v>
      </c>
      <c r="B1036" s="2">
        <v>45428</v>
      </c>
      <c r="C1036" t="s">
        <v>1696</v>
      </c>
      <c r="D1036" t="s">
        <v>1761</v>
      </c>
      <c r="E1036" t="s">
        <v>2138</v>
      </c>
      <c r="F1036" t="s">
        <v>2240</v>
      </c>
      <c r="G1036" t="s">
        <v>2247</v>
      </c>
      <c r="H1036" t="s">
        <v>2257</v>
      </c>
      <c r="I1036" t="s">
        <v>2262</v>
      </c>
      <c r="J1036" t="s">
        <v>2265</v>
      </c>
      <c r="K1036">
        <v>2</v>
      </c>
      <c r="L1036">
        <v>100</v>
      </c>
      <c r="N1036">
        <v>200</v>
      </c>
      <c r="P1036" t="s">
        <v>2267</v>
      </c>
      <c r="Q1036" t="s">
        <v>2272</v>
      </c>
      <c r="R1036" t="s">
        <v>2276</v>
      </c>
      <c r="S1036" t="s">
        <v>2282</v>
      </c>
      <c r="T1036" t="s">
        <v>2290</v>
      </c>
      <c r="U1036">
        <v>2</v>
      </c>
      <c r="V1036">
        <v>321</v>
      </c>
      <c r="X1036">
        <v>59.82</v>
      </c>
      <c r="Z1036" t="s">
        <v>2295</v>
      </c>
      <c r="AA1036" t="s">
        <v>1761</v>
      </c>
      <c r="AB1036">
        <v>200</v>
      </c>
      <c r="AC1036">
        <v>0</v>
      </c>
      <c r="AD1036">
        <v>200</v>
      </c>
      <c r="AE1036">
        <v>119.64</v>
      </c>
      <c r="AF1036">
        <v>80.36</v>
      </c>
      <c r="AG1036">
        <v>2024</v>
      </c>
      <c r="AH1036">
        <v>5</v>
      </c>
      <c r="AI1036" t="s">
        <v>2306</v>
      </c>
      <c r="AJ1036" t="s">
        <v>2316</v>
      </c>
    </row>
    <row r="1037" spans="1:36" x14ac:dyDescent="0.3">
      <c r="A1037" t="s">
        <v>1071</v>
      </c>
      <c r="B1037" s="2">
        <v>45654</v>
      </c>
      <c r="C1037" t="s">
        <v>1663</v>
      </c>
      <c r="D1037" t="s">
        <v>1742</v>
      </c>
      <c r="E1037" t="s">
        <v>2015</v>
      </c>
      <c r="F1037" t="s">
        <v>2239</v>
      </c>
      <c r="G1037" t="s">
        <v>2243</v>
      </c>
      <c r="H1037" t="s">
        <v>2258</v>
      </c>
      <c r="I1037" t="s">
        <v>2260</v>
      </c>
      <c r="J1037" t="s">
        <v>2264</v>
      </c>
      <c r="K1037">
        <v>2</v>
      </c>
      <c r="L1037">
        <v>70</v>
      </c>
      <c r="M1037">
        <v>0.05</v>
      </c>
      <c r="N1037">
        <v>140</v>
      </c>
      <c r="O1037">
        <v>133</v>
      </c>
      <c r="P1037" t="s">
        <v>2267</v>
      </c>
      <c r="Q1037" t="s">
        <v>2272</v>
      </c>
      <c r="R1037" t="s">
        <v>2276</v>
      </c>
      <c r="S1037" t="s">
        <v>2287</v>
      </c>
      <c r="T1037" t="s">
        <v>2288</v>
      </c>
      <c r="U1037">
        <v>5</v>
      </c>
      <c r="V1037">
        <v>22</v>
      </c>
      <c r="W1037">
        <v>47</v>
      </c>
      <c r="X1037">
        <v>40.68</v>
      </c>
      <c r="Y1037">
        <v>51.64</v>
      </c>
      <c r="Z1037" t="s">
        <v>1761</v>
      </c>
      <c r="AA1037" t="s">
        <v>2297</v>
      </c>
      <c r="AB1037">
        <v>140</v>
      </c>
      <c r="AC1037">
        <v>7</v>
      </c>
      <c r="AD1037">
        <v>133</v>
      </c>
      <c r="AE1037">
        <v>81.36</v>
      </c>
      <c r="AF1037">
        <v>51.64</v>
      </c>
      <c r="AG1037">
        <v>2024</v>
      </c>
      <c r="AH1037">
        <v>12</v>
      </c>
      <c r="AI1037" t="s">
        <v>2309</v>
      </c>
      <c r="AJ1037" t="s">
        <v>2317</v>
      </c>
    </row>
    <row r="1038" spans="1:36" x14ac:dyDescent="0.3">
      <c r="A1038" t="s">
        <v>1072</v>
      </c>
      <c r="B1038" s="2">
        <v>45325</v>
      </c>
      <c r="C1038" t="s">
        <v>1731</v>
      </c>
      <c r="D1038" t="s">
        <v>1866</v>
      </c>
      <c r="E1038" t="s">
        <v>2111</v>
      </c>
      <c r="F1038" t="s">
        <v>2239</v>
      </c>
      <c r="G1038" t="s">
        <v>2245</v>
      </c>
      <c r="H1038" t="s">
        <v>2257</v>
      </c>
      <c r="I1038" t="s">
        <v>2263</v>
      </c>
      <c r="J1038" t="s">
        <v>2264</v>
      </c>
      <c r="K1038">
        <v>1</v>
      </c>
      <c r="L1038">
        <v>150</v>
      </c>
      <c r="M1038">
        <v>0.1</v>
      </c>
      <c r="N1038">
        <v>150</v>
      </c>
      <c r="O1038">
        <v>135</v>
      </c>
      <c r="Q1038" t="s">
        <v>2270</v>
      </c>
      <c r="R1038" t="s">
        <v>2277</v>
      </c>
      <c r="S1038" t="s">
        <v>2286</v>
      </c>
      <c r="T1038" t="s">
        <v>2288</v>
      </c>
      <c r="U1038">
        <v>1</v>
      </c>
      <c r="V1038">
        <v>157</v>
      </c>
      <c r="W1038">
        <v>40</v>
      </c>
      <c r="X1038">
        <v>67.95</v>
      </c>
      <c r="Y1038">
        <v>67.05</v>
      </c>
      <c r="Z1038" t="s">
        <v>2293</v>
      </c>
      <c r="AA1038" t="s">
        <v>2296</v>
      </c>
      <c r="AB1038">
        <v>150</v>
      </c>
      <c r="AC1038">
        <v>15</v>
      </c>
      <c r="AD1038">
        <v>135</v>
      </c>
      <c r="AE1038">
        <v>67.95</v>
      </c>
      <c r="AF1038">
        <v>67.05</v>
      </c>
      <c r="AG1038">
        <v>2024</v>
      </c>
      <c r="AH1038">
        <v>2</v>
      </c>
      <c r="AI1038" t="s">
        <v>2303</v>
      </c>
      <c r="AJ1038" t="s">
        <v>2317</v>
      </c>
    </row>
    <row r="1039" spans="1:36" x14ac:dyDescent="0.3">
      <c r="A1039" t="s">
        <v>1073</v>
      </c>
      <c r="B1039" s="2">
        <v>45367</v>
      </c>
      <c r="C1039" t="s">
        <v>1651</v>
      </c>
      <c r="D1039" t="s">
        <v>1752</v>
      </c>
      <c r="E1039" t="s">
        <v>2093</v>
      </c>
      <c r="F1039" t="s">
        <v>2239</v>
      </c>
      <c r="G1039" t="s">
        <v>2247</v>
      </c>
      <c r="H1039" t="s">
        <v>2257</v>
      </c>
      <c r="I1039" t="s">
        <v>2262</v>
      </c>
      <c r="J1039" t="s">
        <v>2265</v>
      </c>
      <c r="K1039">
        <v>2</v>
      </c>
      <c r="L1039">
        <v>100</v>
      </c>
      <c r="M1039">
        <v>0.15</v>
      </c>
      <c r="N1039">
        <v>200</v>
      </c>
      <c r="O1039">
        <v>170</v>
      </c>
      <c r="Q1039" t="s">
        <v>2271</v>
      </c>
      <c r="R1039" t="s">
        <v>2279</v>
      </c>
      <c r="S1039" t="s">
        <v>2283</v>
      </c>
      <c r="T1039" t="s">
        <v>2288</v>
      </c>
      <c r="X1039">
        <v>52.05</v>
      </c>
      <c r="Y1039">
        <v>65.900000000000006</v>
      </c>
      <c r="Z1039" t="s">
        <v>1761</v>
      </c>
      <c r="AA1039" t="s">
        <v>1761</v>
      </c>
      <c r="AB1039">
        <v>200</v>
      </c>
      <c r="AC1039">
        <v>30</v>
      </c>
      <c r="AD1039">
        <v>170</v>
      </c>
      <c r="AE1039">
        <v>104.1</v>
      </c>
      <c r="AF1039">
        <v>65.900000000000006</v>
      </c>
      <c r="AG1039">
        <v>2024</v>
      </c>
      <c r="AH1039">
        <v>3</v>
      </c>
      <c r="AI1039" t="s">
        <v>2305</v>
      </c>
      <c r="AJ1039" t="s">
        <v>2317</v>
      </c>
    </row>
    <row r="1040" spans="1:36" x14ac:dyDescent="0.3">
      <c r="A1040" t="s">
        <v>1074</v>
      </c>
      <c r="B1040" s="2">
        <v>45629</v>
      </c>
      <c r="C1040" t="s">
        <v>1696</v>
      </c>
      <c r="D1040" t="s">
        <v>1864</v>
      </c>
      <c r="E1040" t="s">
        <v>2017</v>
      </c>
      <c r="F1040" t="s">
        <v>2239</v>
      </c>
      <c r="G1040" t="s">
        <v>2252</v>
      </c>
      <c r="H1040" t="s">
        <v>2257</v>
      </c>
      <c r="I1040" t="s">
        <v>2262</v>
      </c>
      <c r="K1040">
        <v>5</v>
      </c>
      <c r="L1040">
        <v>90</v>
      </c>
      <c r="M1040">
        <v>0</v>
      </c>
      <c r="N1040">
        <v>450</v>
      </c>
      <c r="O1040">
        <v>450</v>
      </c>
      <c r="R1040" t="s">
        <v>2276</v>
      </c>
      <c r="S1040" t="s">
        <v>2286</v>
      </c>
      <c r="T1040" t="s">
        <v>2288</v>
      </c>
      <c r="U1040">
        <v>5</v>
      </c>
      <c r="V1040">
        <v>134</v>
      </c>
      <c r="W1040">
        <v>59</v>
      </c>
      <c r="X1040">
        <v>34.56</v>
      </c>
      <c r="Y1040">
        <v>277.2</v>
      </c>
      <c r="Z1040" t="s">
        <v>2291</v>
      </c>
      <c r="AA1040" t="s">
        <v>2296</v>
      </c>
      <c r="AB1040">
        <v>450</v>
      </c>
      <c r="AC1040">
        <v>0</v>
      </c>
      <c r="AD1040">
        <v>450</v>
      </c>
      <c r="AE1040">
        <v>172.8</v>
      </c>
      <c r="AF1040">
        <v>277.2</v>
      </c>
      <c r="AG1040">
        <v>2024</v>
      </c>
      <c r="AH1040">
        <v>12</v>
      </c>
      <c r="AI1040" t="s">
        <v>2309</v>
      </c>
      <c r="AJ1040" t="s">
        <v>2313</v>
      </c>
    </row>
    <row r="1041" spans="1:36" x14ac:dyDescent="0.3">
      <c r="A1041" t="s">
        <v>1075</v>
      </c>
      <c r="C1041" t="s">
        <v>1665</v>
      </c>
      <c r="D1041" t="s">
        <v>1902</v>
      </c>
      <c r="E1041" t="s">
        <v>2102</v>
      </c>
      <c r="F1041" t="s">
        <v>2238</v>
      </c>
      <c r="G1041" t="s">
        <v>2254</v>
      </c>
      <c r="H1041" t="s">
        <v>2259</v>
      </c>
      <c r="I1041" t="s">
        <v>2263</v>
      </c>
      <c r="J1041" t="s">
        <v>2265</v>
      </c>
      <c r="K1041">
        <v>3</v>
      </c>
      <c r="L1041">
        <v>120</v>
      </c>
      <c r="M1041">
        <v>0.05</v>
      </c>
      <c r="N1041">
        <v>360</v>
      </c>
      <c r="O1041">
        <v>342</v>
      </c>
      <c r="Q1041" t="s">
        <v>2270</v>
      </c>
      <c r="R1041" t="s">
        <v>2278</v>
      </c>
      <c r="S1041" t="s">
        <v>2284</v>
      </c>
      <c r="T1041" t="s">
        <v>2288</v>
      </c>
      <c r="U1041">
        <v>5</v>
      </c>
      <c r="V1041">
        <v>296</v>
      </c>
      <c r="W1041">
        <v>25</v>
      </c>
      <c r="X1041">
        <v>48.09</v>
      </c>
      <c r="Y1041">
        <v>197.73</v>
      </c>
      <c r="Z1041" t="s">
        <v>2293</v>
      </c>
      <c r="AA1041" t="s">
        <v>2296</v>
      </c>
      <c r="AB1041">
        <v>360</v>
      </c>
      <c r="AC1041">
        <v>18</v>
      </c>
      <c r="AD1041">
        <v>342</v>
      </c>
      <c r="AE1041">
        <v>144.27000000000001</v>
      </c>
      <c r="AF1041">
        <v>197.73</v>
      </c>
    </row>
    <row r="1042" spans="1:36" x14ac:dyDescent="0.3">
      <c r="A1042" t="s">
        <v>1076</v>
      </c>
      <c r="B1042" s="2">
        <v>45424</v>
      </c>
      <c r="C1042" t="s">
        <v>1657</v>
      </c>
      <c r="D1042" t="s">
        <v>1910</v>
      </c>
      <c r="E1042" t="s">
        <v>2059</v>
      </c>
      <c r="F1042" t="s">
        <v>1761</v>
      </c>
      <c r="G1042" t="s">
        <v>2241</v>
      </c>
      <c r="H1042" t="s">
        <v>2257</v>
      </c>
      <c r="I1042" t="s">
        <v>2262</v>
      </c>
      <c r="J1042" t="s">
        <v>2264</v>
      </c>
      <c r="K1042">
        <v>2</v>
      </c>
      <c r="L1042">
        <v>135</v>
      </c>
      <c r="M1042">
        <v>0.1</v>
      </c>
      <c r="N1042">
        <v>270</v>
      </c>
      <c r="O1042">
        <v>243</v>
      </c>
      <c r="P1042" t="s">
        <v>2269</v>
      </c>
      <c r="R1042" t="s">
        <v>2273</v>
      </c>
      <c r="S1042" t="s">
        <v>2281</v>
      </c>
      <c r="T1042" t="s">
        <v>2288</v>
      </c>
      <c r="U1042">
        <v>5</v>
      </c>
      <c r="V1042">
        <v>344</v>
      </c>
      <c r="X1042">
        <v>55.46</v>
      </c>
      <c r="Y1042">
        <v>132.08000000000001</v>
      </c>
      <c r="Z1042" t="s">
        <v>2293</v>
      </c>
      <c r="AA1042" t="s">
        <v>2296</v>
      </c>
      <c r="AB1042">
        <v>270</v>
      </c>
      <c r="AC1042">
        <v>27</v>
      </c>
      <c r="AD1042">
        <v>243</v>
      </c>
      <c r="AE1042">
        <v>110.92</v>
      </c>
      <c r="AF1042">
        <v>132.08000000000001</v>
      </c>
      <c r="AG1042">
        <v>2024</v>
      </c>
      <c r="AH1042">
        <v>5</v>
      </c>
      <c r="AI1042" t="s">
        <v>2306</v>
      </c>
      <c r="AJ1042" t="s">
        <v>2318</v>
      </c>
    </row>
    <row r="1043" spans="1:36" x14ac:dyDescent="0.3">
      <c r="A1043" t="s">
        <v>1077</v>
      </c>
      <c r="B1043" s="2">
        <v>45645</v>
      </c>
      <c r="C1043" t="s">
        <v>1740</v>
      </c>
      <c r="D1043" t="s">
        <v>1848</v>
      </c>
      <c r="E1043" t="s">
        <v>2103</v>
      </c>
      <c r="F1043" t="s">
        <v>2240</v>
      </c>
      <c r="G1043" t="s">
        <v>2256</v>
      </c>
      <c r="H1043" t="s">
        <v>2261</v>
      </c>
      <c r="I1043" t="s">
        <v>2260</v>
      </c>
      <c r="J1043" t="s">
        <v>2265</v>
      </c>
      <c r="K1043">
        <v>2</v>
      </c>
      <c r="L1043">
        <v>190</v>
      </c>
      <c r="M1043">
        <v>0</v>
      </c>
      <c r="N1043">
        <v>380</v>
      </c>
      <c r="O1043">
        <v>380</v>
      </c>
      <c r="P1043" t="s">
        <v>2267</v>
      </c>
      <c r="Q1043" t="s">
        <v>2272</v>
      </c>
      <c r="R1043" t="s">
        <v>2276</v>
      </c>
      <c r="S1043" t="s">
        <v>2284</v>
      </c>
      <c r="T1043" t="s">
        <v>2288</v>
      </c>
      <c r="V1043">
        <v>335</v>
      </c>
      <c r="W1043">
        <v>25</v>
      </c>
      <c r="X1043">
        <v>78.83</v>
      </c>
      <c r="Y1043">
        <v>222.34</v>
      </c>
      <c r="Z1043" t="s">
        <v>1761</v>
      </c>
      <c r="AA1043" t="s">
        <v>2297</v>
      </c>
      <c r="AB1043">
        <v>380</v>
      </c>
      <c r="AC1043">
        <v>0</v>
      </c>
      <c r="AD1043">
        <v>380</v>
      </c>
      <c r="AE1043">
        <v>157.66</v>
      </c>
      <c r="AF1043">
        <v>222.34</v>
      </c>
      <c r="AG1043">
        <v>2024</v>
      </c>
      <c r="AH1043">
        <v>12</v>
      </c>
      <c r="AI1043" t="s">
        <v>2309</v>
      </c>
      <c r="AJ1043" t="s">
        <v>2316</v>
      </c>
    </row>
    <row r="1044" spans="1:36" x14ac:dyDescent="0.3">
      <c r="A1044" t="s">
        <v>1078</v>
      </c>
      <c r="B1044" s="2">
        <v>45588</v>
      </c>
      <c r="C1044" t="s">
        <v>1696</v>
      </c>
      <c r="D1044" t="s">
        <v>1846</v>
      </c>
      <c r="E1044" t="s">
        <v>2032</v>
      </c>
      <c r="F1044" t="s">
        <v>2239</v>
      </c>
      <c r="G1044" t="s">
        <v>2256</v>
      </c>
      <c r="H1044" t="s">
        <v>2261</v>
      </c>
      <c r="I1044" t="s">
        <v>2260</v>
      </c>
      <c r="K1044">
        <v>1</v>
      </c>
      <c r="L1044">
        <v>195</v>
      </c>
      <c r="M1044">
        <v>0.15</v>
      </c>
      <c r="N1044">
        <v>195</v>
      </c>
      <c r="O1044">
        <v>165.75</v>
      </c>
      <c r="P1044" t="s">
        <v>2267</v>
      </c>
      <c r="Q1044" t="s">
        <v>2272</v>
      </c>
      <c r="R1044" t="s">
        <v>2278</v>
      </c>
      <c r="S1044" t="s">
        <v>2285</v>
      </c>
      <c r="T1044" t="s">
        <v>2288</v>
      </c>
      <c r="U1044">
        <v>3</v>
      </c>
      <c r="V1044">
        <v>81</v>
      </c>
      <c r="W1044">
        <v>20</v>
      </c>
      <c r="X1044">
        <v>106.81</v>
      </c>
      <c r="Y1044">
        <v>58.94</v>
      </c>
      <c r="Z1044" t="s">
        <v>2292</v>
      </c>
      <c r="AA1044" t="s">
        <v>2297</v>
      </c>
      <c r="AB1044">
        <v>195</v>
      </c>
      <c r="AC1044">
        <v>29.25</v>
      </c>
      <c r="AD1044">
        <v>165.75</v>
      </c>
      <c r="AE1044">
        <v>106.81</v>
      </c>
      <c r="AF1044">
        <v>58.94</v>
      </c>
      <c r="AG1044">
        <v>2024</v>
      </c>
      <c r="AH1044">
        <v>10</v>
      </c>
      <c r="AI1044" t="s">
        <v>2310</v>
      </c>
      <c r="AJ1044" t="s">
        <v>2312</v>
      </c>
    </row>
    <row r="1045" spans="1:36" x14ac:dyDescent="0.3">
      <c r="A1045" t="s">
        <v>1079</v>
      </c>
      <c r="B1045" s="2">
        <v>45441</v>
      </c>
      <c r="C1045" t="s">
        <v>1644</v>
      </c>
      <c r="D1045" t="s">
        <v>1785</v>
      </c>
      <c r="E1045" t="s">
        <v>2091</v>
      </c>
      <c r="F1045" t="s">
        <v>1761</v>
      </c>
      <c r="G1045" t="s">
        <v>2254</v>
      </c>
      <c r="H1045" t="s">
        <v>2259</v>
      </c>
      <c r="I1045" t="s">
        <v>2263</v>
      </c>
      <c r="J1045" t="s">
        <v>2264</v>
      </c>
      <c r="K1045">
        <v>1</v>
      </c>
      <c r="L1045">
        <v>110</v>
      </c>
      <c r="M1045">
        <v>0.15</v>
      </c>
      <c r="N1045">
        <v>110</v>
      </c>
      <c r="O1045">
        <v>93.5</v>
      </c>
      <c r="P1045" t="s">
        <v>2269</v>
      </c>
      <c r="Q1045" t="s">
        <v>2272</v>
      </c>
      <c r="R1045" t="s">
        <v>2279</v>
      </c>
      <c r="S1045" t="s">
        <v>2282</v>
      </c>
      <c r="T1045" t="s">
        <v>2288</v>
      </c>
      <c r="U1045">
        <v>2</v>
      </c>
      <c r="V1045">
        <v>463</v>
      </c>
      <c r="W1045">
        <v>37</v>
      </c>
      <c r="X1045">
        <v>55.48</v>
      </c>
      <c r="Y1045">
        <v>38.020000000000003</v>
      </c>
      <c r="Z1045" t="s">
        <v>2291</v>
      </c>
      <c r="AA1045" t="s">
        <v>2296</v>
      </c>
      <c r="AB1045">
        <v>110</v>
      </c>
      <c r="AC1045">
        <v>16.5</v>
      </c>
      <c r="AD1045">
        <v>93.5</v>
      </c>
      <c r="AE1045">
        <v>55.48</v>
      </c>
      <c r="AF1045">
        <v>38.020000000000003</v>
      </c>
      <c r="AG1045">
        <v>2024</v>
      </c>
      <c r="AH1045">
        <v>5</v>
      </c>
      <c r="AI1045" t="s">
        <v>2306</v>
      </c>
      <c r="AJ1045" t="s">
        <v>2312</v>
      </c>
    </row>
    <row r="1046" spans="1:36" x14ac:dyDescent="0.3">
      <c r="A1046" t="s">
        <v>1080</v>
      </c>
      <c r="B1046" s="2">
        <v>45320</v>
      </c>
      <c r="C1046" t="s">
        <v>1719</v>
      </c>
      <c r="D1046" t="s">
        <v>1791</v>
      </c>
      <c r="E1046" t="s">
        <v>1985</v>
      </c>
      <c r="F1046" t="s">
        <v>1761</v>
      </c>
      <c r="G1046" t="s">
        <v>2244</v>
      </c>
      <c r="H1046" t="s">
        <v>2257</v>
      </c>
      <c r="I1046" t="s">
        <v>2262</v>
      </c>
      <c r="J1046" t="s">
        <v>2264</v>
      </c>
      <c r="L1046">
        <v>125</v>
      </c>
      <c r="N1046">
        <v>125</v>
      </c>
      <c r="P1046" t="s">
        <v>2269</v>
      </c>
      <c r="Q1046" t="s">
        <v>2272</v>
      </c>
      <c r="R1046" t="s">
        <v>2277</v>
      </c>
      <c r="S1046" t="s">
        <v>2283</v>
      </c>
      <c r="T1046" t="s">
        <v>2288</v>
      </c>
      <c r="U1046">
        <v>1</v>
      </c>
      <c r="V1046">
        <v>457</v>
      </c>
      <c r="W1046">
        <v>57</v>
      </c>
      <c r="X1046">
        <v>64.13</v>
      </c>
      <c r="Z1046" t="s">
        <v>1761</v>
      </c>
      <c r="AA1046" t="s">
        <v>2298</v>
      </c>
      <c r="AG1046">
        <v>2024</v>
      </c>
      <c r="AH1046">
        <v>1</v>
      </c>
      <c r="AI1046" t="s">
        <v>2302</v>
      </c>
      <c r="AJ1046" t="s">
        <v>2314</v>
      </c>
    </row>
    <row r="1047" spans="1:36" x14ac:dyDescent="0.3">
      <c r="A1047" t="s">
        <v>1081</v>
      </c>
      <c r="B1047" s="2">
        <v>45437</v>
      </c>
      <c r="C1047" t="s">
        <v>1647</v>
      </c>
      <c r="D1047" t="s">
        <v>1872</v>
      </c>
      <c r="E1047" t="s">
        <v>2203</v>
      </c>
      <c r="F1047" t="s">
        <v>1761</v>
      </c>
      <c r="G1047" t="s">
        <v>2245</v>
      </c>
      <c r="H1047" t="s">
        <v>2257</v>
      </c>
      <c r="I1047" t="s">
        <v>2263</v>
      </c>
      <c r="J1047" t="s">
        <v>2265</v>
      </c>
      <c r="K1047">
        <v>1</v>
      </c>
      <c r="L1047">
        <v>160</v>
      </c>
      <c r="M1047">
        <v>0.15</v>
      </c>
      <c r="N1047">
        <v>160</v>
      </c>
      <c r="O1047">
        <v>136</v>
      </c>
      <c r="P1047" t="s">
        <v>2267</v>
      </c>
      <c r="Q1047" t="s">
        <v>2271</v>
      </c>
      <c r="R1047" t="s">
        <v>2275</v>
      </c>
      <c r="S1047" t="s">
        <v>2287</v>
      </c>
      <c r="T1047" t="s">
        <v>2290</v>
      </c>
      <c r="U1047">
        <v>1</v>
      </c>
      <c r="V1047">
        <v>61</v>
      </c>
      <c r="X1047">
        <v>86.74</v>
      </c>
      <c r="Y1047">
        <v>49.26</v>
      </c>
      <c r="Z1047" t="s">
        <v>2293</v>
      </c>
      <c r="AA1047" t="s">
        <v>2299</v>
      </c>
      <c r="AB1047">
        <v>160</v>
      </c>
      <c r="AC1047">
        <v>24</v>
      </c>
      <c r="AD1047">
        <v>136</v>
      </c>
      <c r="AE1047">
        <v>86.74</v>
      </c>
      <c r="AF1047">
        <v>49.260000000000012</v>
      </c>
      <c r="AG1047">
        <v>2024</v>
      </c>
      <c r="AH1047">
        <v>5</v>
      </c>
      <c r="AI1047" t="s">
        <v>2306</v>
      </c>
      <c r="AJ1047" t="s">
        <v>2317</v>
      </c>
    </row>
    <row r="1048" spans="1:36" x14ac:dyDescent="0.3">
      <c r="A1048" t="s">
        <v>1082</v>
      </c>
      <c r="B1048" s="2">
        <v>45563</v>
      </c>
      <c r="C1048" t="s">
        <v>1717</v>
      </c>
      <c r="D1048" t="s">
        <v>1832</v>
      </c>
      <c r="E1048" t="s">
        <v>2165</v>
      </c>
      <c r="F1048" t="s">
        <v>2238</v>
      </c>
      <c r="G1048" t="s">
        <v>2245</v>
      </c>
      <c r="H1048" t="s">
        <v>2257</v>
      </c>
      <c r="I1048" t="s">
        <v>2263</v>
      </c>
      <c r="J1048" t="s">
        <v>2264</v>
      </c>
      <c r="K1048">
        <v>2</v>
      </c>
      <c r="L1048">
        <v>150</v>
      </c>
      <c r="M1048">
        <v>0</v>
      </c>
      <c r="N1048">
        <v>300</v>
      </c>
      <c r="O1048">
        <v>300</v>
      </c>
      <c r="P1048" t="s">
        <v>2268</v>
      </c>
      <c r="R1048" t="s">
        <v>2279</v>
      </c>
      <c r="S1048" t="s">
        <v>2280</v>
      </c>
      <c r="T1048" t="s">
        <v>2288</v>
      </c>
      <c r="U1048">
        <v>4</v>
      </c>
      <c r="V1048">
        <v>250</v>
      </c>
      <c r="W1048">
        <v>35</v>
      </c>
      <c r="X1048">
        <v>64.36</v>
      </c>
      <c r="Y1048">
        <v>171.28</v>
      </c>
      <c r="Z1048" t="s">
        <v>2292</v>
      </c>
      <c r="AA1048" t="s">
        <v>2299</v>
      </c>
      <c r="AB1048">
        <v>300</v>
      </c>
      <c r="AC1048">
        <v>0</v>
      </c>
      <c r="AD1048">
        <v>300</v>
      </c>
      <c r="AE1048">
        <v>128.72</v>
      </c>
      <c r="AF1048">
        <v>171.28</v>
      </c>
      <c r="AG1048">
        <v>2024</v>
      </c>
      <c r="AH1048">
        <v>9</v>
      </c>
      <c r="AI1048" t="s">
        <v>2300</v>
      </c>
      <c r="AJ1048" t="s">
        <v>2317</v>
      </c>
    </row>
    <row r="1049" spans="1:36" x14ac:dyDescent="0.3">
      <c r="A1049" t="s">
        <v>1083</v>
      </c>
      <c r="B1049" s="2">
        <v>45437</v>
      </c>
      <c r="C1049" t="s">
        <v>1691</v>
      </c>
      <c r="D1049" t="s">
        <v>1865</v>
      </c>
      <c r="E1049" t="s">
        <v>1968</v>
      </c>
      <c r="F1049" t="s">
        <v>1761</v>
      </c>
      <c r="G1049" t="s">
        <v>2250</v>
      </c>
      <c r="H1049" t="s">
        <v>2259</v>
      </c>
      <c r="I1049" t="s">
        <v>2262</v>
      </c>
      <c r="J1049" t="s">
        <v>2264</v>
      </c>
      <c r="K1049">
        <v>1</v>
      </c>
      <c r="L1049">
        <v>90</v>
      </c>
      <c r="M1049">
        <v>0</v>
      </c>
      <c r="N1049">
        <v>90</v>
      </c>
      <c r="O1049">
        <v>90</v>
      </c>
      <c r="Q1049" t="s">
        <v>2272</v>
      </c>
      <c r="R1049" t="s">
        <v>2279</v>
      </c>
      <c r="S1049" t="s">
        <v>2287</v>
      </c>
      <c r="T1049" t="s">
        <v>2288</v>
      </c>
      <c r="U1049">
        <v>1</v>
      </c>
      <c r="V1049">
        <v>251</v>
      </c>
      <c r="W1049">
        <v>21</v>
      </c>
      <c r="X1049">
        <v>31.37</v>
      </c>
      <c r="Y1049">
        <v>58.63</v>
      </c>
      <c r="Z1049" t="s">
        <v>2293</v>
      </c>
      <c r="AA1049" t="s">
        <v>2298</v>
      </c>
      <c r="AB1049">
        <v>90</v>
      </c>
      <c r="AC1049">
        <v>0</v>
      </c>
      <c r="AD1049">
        <v>90</v>
      </c>
      <c r="AE1049">
        <v>31.37</v>
      </c>
      <c r="AF1049">
        <v>58.63</v>
      </c>
      <c r="AG1049">
        <v>2024</v>
      </c>
      <c r="AH1049">
        <v>5</v>
      </c>
      <c r="AI1049" t="s">
        <v>2306</v>
      </c>
      <c r="AJ1049" t="s">
        <v>2317</v>
      </c>
    </row>
    <row r="1050" spans="1:36" x14ac:dyDescent="0.3">
      <c r="A1050" t="s">
        <v>1084</v>
      </c>
      <c r="B1050" s="2">
        <v>45530</v>
      </c>
      <c r="C1050" t="s">
        <v>1643</v>
      </c>
      <c r="D1050" t="s">
        <v>1854</v>
      </c>
      <c r="E1050" t="s">
        <v>2220</v>
      </c>
      <c r="F1050" t="s">
        <v>2239</v>
      </c>
      <c r="G1050" t="s">
        <v>2242</v>
      </c>
      <c r="H1050" t="s">
        <v>2258</v>
      </c>
      <c r="I1050" t="s">
        <v>2260</v>
      </c>
      <c r="J1050" t="s">
        <v>2266</v>
      </c>
      <c r="K1050">
        <v>3</v>
      </c>
      <c r="L1050">
        <v>120</v>
      </c>
      <c r="M1050">
        <v>0</v>
      </c>
      <c r="N1050">
        <v>360</v>
      </c>
      <c r="O1050">
        <v>360</v>
      </c>
      <c r="P1050" t="s">
        <v>2267</v>
      </c>
      <c r="R1050" t="s">
        <v>2279</v>
      </c>
      <c r="S1050" t="s">
        <v>2280</v>
      </c>
      <c r="T1050" t="s">
        <v>2289</v>
      </c>
      <c r="U1050">
        <v>4</v>
      </c>
      <c r="V1050">
        <v>458</v>
      </c>
      <c r="W1050">
        <v>35</v>
      </c>
      <c r="X1050">
        <v>59.88</v>
      </c>
      <c r="Y1050">
        <v>180.36</v>
      </c>
      <c r="Z1050" t="s">
        <v>2293</v>
      </c>
      <c r="AA1050" t="s">
        <v>2298</v>
      </c>
      <c r="AB1050">
        <v>360</v>
      </c>
      <c r="AC1050">
        <v>0</v>
      </c>
      <c r="AD1050">
        <v>360</v>
      </c>
      <c r="AE1050">
        <v>179.64</v>
      </c>
      <c r="AF1050">
        <v>180.36</v>
      </c>
      <c r="AG1050">
        <v>2024</v>
      </c>
      <c r="AH1050">
        <v>8</v>
      </c>
      <c r="AI1050" t="s">
        <v>2301</v>
      </c>
      <c r="AJ1050" t="s">
        <v>2314</v>
      </c>
    </row>
    <row r="1051" spans="1:36" x14ac:dyDescent="0.3">
      <c r="A1051" t="s">
        <v>1085</v>
      </c>
      <c r="B1051" s="2">
        <v>45386</v>
      </c>
      <c r="C1051" t="s">
        <v>1691</v>
      </c>
      <c r="D1051" t="s">
        <v>1914</v>
      </c>
      <c r="E1051" t="s">
        <v>2072</v>
      </c>
      <c r="F1051" t="s">
        <v>2240</v>
      </c>
      <c r="G1051" t="s">
        <v>2249</v>
      </c>
      <c r="H1051" t="s">
        <v>2257</v>
      </c>
      <c r="I1051" t="s">
        <v>2263</v>
      </c>
      <c r="J1051" t="s">
        <v>2264</v>
      </c>
      <c r="K1051">
        <v>4</v>
      </c>
      <c r="L1051">
        <v>155</v>
      </c>
      <c r="M1051">
        <v>0.05</v>
      </c>
      <c r="N1051">
        <v>620</v>
      </c>
      <c r="O1051">
        <v>589</v>
      </c>
      <c r="P1051" t="s">
        <v>2267</v>
      </c>
      <c r="Q1051" t="s">
        <v>2271</v>
      </c>
      <c r="R1051" t="s">
        <v>2275</v>
      </c>
      <c r="S1051" t="s">
        <v>2286</v>
      </c>
      <c r="T1051" t="s">
        <v>2288</v>
      </c>
      <c r="U1051">
        <v>5</v>
      </c>
      <c r="V1051">
        <v>260</v>
      </c>
      <c r="X1051">
        <v>66.55</v>
      </c>
      <c r="Y1051">
        <v>322.8</v>
      </c>
      <c r="Z1051" t="s">
        <v>2291</v>
      </c>
      <c r="AA1051" t="s">
        <v>2299</v>
      </c>
      <c r="AB1051">
        <v>620</v>
      </c>
      <c r="AC1051">
        <v>31</v>
      </c>
      <c r="AD1051">
        <v>589</v>
      </c>
      <c r="AE1051">
        <v>266.2</v>
      </c>
      <c r="AF1051">
        <v>322.8</v>
      </c>
      <c r="AG1051">
        <v>2024</v>
      </c>
      <c r="AH1051">
        <v>4</v>
      </c>
      <c r="AI1051" t="s">
        <v>2308</v>
      </c>
      <c r="AJ1051" t="s">
        <v>2316</v>
      </c>
    </row>
    <row r="1052" spans="1:36" x14ac:dyDescent="0.3">
      <c r="A1052" t="s">
        <v>1086</v>
      </c>
      <c r="B1052" s="2">
        <v>45551</v>
      </c>
      <c r="C1052" t="s">
        <v>1673</v>
      </c>
      <c r="D1052" t="s">
        <v>1743</v>
      </c>
      <c r="E1052" t="s">
        <v>2070</v>
      </c>
      <c r="F1052" t="s">
        <v>2239</v>
      </c>
      <c r="G1052" t="s">
        <v>2246</v>
      </c>
      <c r="H1052" t="s">
        <v>2259</v>
      </c>
      <c r="I1052" t="s">
        <v>2262</v>
      </c>
      <c r="J1052" t="s">
        <v>2266</v>
      </c>
      <c r="K1052">
        <v>1</v>
      </c>
      <c r="L1052">
        <v>90</v>
      </c>
      <c r="M1052">
        <v>0.15</v>
      </c>
      <c r="N1052">
        <v>90</v>
      </c>
      <c r="O1052">
        <v>76.5</v>
      </c>
      <c r="P1052" t="s">
        <v>2268</v>
      </c>
      <c r="Q1052" t="s">
        <v>2271</v>
      </c>
      <c r="R1052" t="s">
        <v>2277</v>
      </c>
      <c r="S1052" t="s">
        <v>2284</v>
      </c>
      <c r="T1052" t="s">
        <v>2288</v>
      </c>
      <c r="U1052">
        <v>1</v>
      </c>
      <c r="V1052">
        <v>152</v>
      </c>
      <c r="W1052">
        <v>60</v>
      </c>
      <c r="X1052">
        <v>47.69</v>
      </c>
      <c r="Y1052">
        <v>28.81</v>
      </c>
      <c r="Z1052" t="s">
        <v>2293</v>
      </c>
      <c r="AA1052" t="s">
        <v>2296</v>
      </c>
      <c r="AB1052">
        <v>90</v>
      </c>
      <c r="AC1052">
        <v>13.5</v>
      </c>
      <c r="AD1052">
        <v>76.5</v>
      </c>
      <c r="AE1052">
        <v>47.69</v>
      </c>
      <c r="AF1052">
        <v>28.81</v>
      </c>
      <c r="AG1052">
        <v>2024</v>
      </c>
      <c r="AH1052">
        <v>9</v>
      </c>
      <c r="AI1052" t="s">
        <v>2300</v>
      </c>
      <c r="AJ1052" t="s">
        <v>2314</v>
      </c>
    </row>
    <row r="1053" spans="1:36" x14ac:dyDescent="0.3">
      <c r="A1053" t="s">
        <v>1087</v>
      </c>
      <c r="B1053" s="2">
        <v>45313</v>
      </c>
      <c r="C1053" t="s">
        <v>1642</v>
      </c>
      <c r="D1053" t="s">
        <v>1867</v>
      </c>
      <c r="E1053" t="s">
        <v>2022</v>
      </c>
      <c r="F1053" t="s">
        <v>2240</v>
      </c>
      <c r="G1053" t="s">
        <v>2249</v>
      </c>
      <c r="H1053" t="s">
        <v>2257</v>
      </c>
      <c r="I1053" t="s">
        <v>2263</v>
      </c>
      <c r="J1053" t="s">
        <v>2264</v>
      </c>
      <c r="K1053">
        <v>1</v>
      </c>
      <c r="L1053">
        <v>170</v>
      </c>
      <c r="M1053">
        <v>0</v>
      </c>
      <c r="N1053">
        <v>170</v>
      </c>
      <c r="O1053">
        <v>170</v>
      </c>
      <c r="P1053" t="s">
        <v>2269</v>
      </c>
      <c r="Q1053" t="s">
        <v>2271</v>
      </c>
      <c r="R1053" t="s">
        <v>2277</v>
      </c>
      <c r="S1053" t="s">
        <v>2285</v>
      </c>
      <c r="T1053" t="s">
        <v>2288</v>
      </c>
      <c r="U1053">
        <v>4</v>
      </c>
      <c r="V1053">
        <v>109</v>
      </c>
      <c r="W1053">
        <v>18</v>
      </c>
      <c r="X1053">
        <v>64.510000000000005</v>
      </c>
      <c r="Y1053">
        <v>105.49</v>
      </c>
      <c r="Z1053" t="s">
        <v>1761</v>
      </c>
      <c r="AA1053" t="s">
        <v>2296</v>
      </c>
      <c r="AB1053">
        <v>170</v>
      </c>
      <c r="AC1053">
        <v>0</v>
      </c>
      <c r="AD1053">
        <v>170</v>
      </c>
      <c r="AE1053">
        <v>64.510000000000005</v>
      </c>
      <c r="AF1053">
        <v>105.49</v>
      </c>
      <c r="AG1053">
        <v>2024</v>
      </c>
      <c r="AH1053">
        <v>1</v>
      </c>
      <c r="AI1053" t="s">
        <v>2302</v>
      </c>
      <c r="AJ1053" t="s">
        <v>2314</v>
      </c>
    </row>
    <row r="1054" spans="1:36" x14ac:dyDescent="0.3">
      <c r="A1054" t="s">
        <v>1088</v>
      </c>
      <c r="B1054" s="2">
        <v>45387</v>
      </c>
      <c r="C1054" t="s">
        <v>1722</v>
      </c>
      <c r="D1054" t="s">
        <v>1847</v>
      </c>
      <c r="E1054" t="s">
        <v>2210</v>
      </c>
      <c r="F1054" t="s">
        <v>1761</v>
      </c>
      <c r="G1054" t="s">
        <v>2244</v>
      </c>
      <c r="H1054" t="s">
        <v>2257</v>
      </c>
      <c r="I1054" t="s">
        <v>2262</v>
      </c>
      <c r="J1054" t="s">
        <v>2266</v>
      </c>
      <c r="K1054">
        <v>1</v>
      </c>
      <c r="L1054">
        <v>120</v>
      </c>
      <c r="M1054">
        <v>0</v>
      </c>
      <c r="N1054">
        <v>120</v>
      </c>
      <c r="O1054">
        <v>120</v>
      </c>
      <c r="P1054" t="s">
        <v>2267</v>
      </c>
      <c r="R1054" t="s">
        <v>2276</v>
      </c>
      <c r="S1054" t="s">
        <v>2280</v>
      </c>
      <c r="T1054" t="s">
        <v>2288</v>
      </c>
      <c r="V1054">
        <v>150</v>
      </c>
      <c r="W1054">
        <v>45</v>
      </c>
      <c r="X1054">
        <v>53.52</v>
      </c>
      <c r="Y1054">
        <v>66.48</v>
      </c>
      <c r="Z1054" t="s">
        <v>2291</v>
      </c>
      <c r="AA1054" t="s">
        <v>2296</v>
      </c>
      <c r="AB1054">
        <v>120</v>
      </c>
      <c r="AC1054">
        <v>0</v>
      </c>
      <c r="AD1054">
        <v>120</v>
      </c>
      <c r="AE1054">
        <v>53.52</v>
      </c>
      <c r="AF1054">
        <v>66.47999999999999</v>
      </c>
      <c r="AG1054">
        <v>2024</v>
      </c>
      <c r="AH1054">
        <v>4</v>
      </c>
      <c r="AI1054" t="s">
        <v>2308</v>
      </c>
      <c r="AJ1054" t="s">
        <v>2315</v>
      </c>
    </row>
    <row r="1055" spans="1:36" x14ac:dyDescent="0.3">
      <c r="A1055" t="s">
        <v>1089</v>
      </c>
      <c r="B1055" s="2">
        <v>45480</v>
      </c>
      <c r="C1055" t="s">
        <v>1715</v>
      </c>
      <c r="D1055" t="s">
        <v>1872</v>
      </c>
      <c r="E1055" t="s">
        <v>2076</v>
      </c>
      <c r="F1055" t="s">
        <v>2239</v>
      </c>
      <c r="G1055" t="s">
        <v>2253</v>
      </c>
      <c r="H1055" t="s">
        <v>2258</v>
      </c>
      <c r="I1055" t="s">
        <v>2260</v>
      </c>
      <c r="J1055" t="s">
        <v>2264</v>
      </c>
      <c r="K1055">
        <v>1</v>
      </c>
      <c r="L1055">
        <v>90</v>
      </c>
      <c r="M1055">
        <v>0.05</v>
      </c>
      <c r="N1055">
        <v>90</v>
      </c>
      <c r="O1055">
        <v>85.5</v>
      </c>
      <c r="P1055" t="s">
        <v>2269</v>
      </c>
      <c r="Q1055" t="s">
        <v>2272</v>
      </c>
      <c r="R1055" t="s">
        <v>2273</v>
      </c>
      <c r="S1055" t="s">
        <v>2286</v>
      </c>
      <c r="T1055" t="s">
        <v>2288</v>
      </c>
      <c r="U1055">
        <v>4</v>
      </c>
      <c r="V1055">
        <v>325</v>
      </c>
      <c r="W1055">
        <v>30</v>
      </c>
      <c r="X1055">
        <v>50.84</v>
      </c>
      <c r="Y1055">
        <v>34.659999999999997</v>
      </c>
      <c r="Z1055" t="s">
        <v>2293</v>
      </c>
      <c r="AA1055" t="s">
        <v>2297</v>
      </c>
      <c r="AB1055">
        <v>90</v>
      </c>
      <c r="AC1055">
        <v>4.5</v>
      </c>
      <c r="AD1055">
        <v>85.5</v>
      </c>
      <c r="AE1055">
        <v>50.84</v>
      </c>
      <c r="AF1055">
        <v>34.659999999999997</v>
      </c>
      <c r="AG1055">
        <v>2024</v>
      </c>
      <c r="AH1055">
        <v>7</v>
      </c>
      <c r="AI1055" t="s">
        <v>2307</v>
      </c>
      <c r="AJ1055" t="s">
        <v>2318</v>
      </c>
    </row>
    <row r="1056" spans="1:36" x14ac:dyDescent="0.3">
      <c r="A1056" t="s">
        <v>1090</v>
      </c>
      <c r="B1056" s="2">
        <v>45436</v>
      </c>
      <c r="C1056" t="s">
        <v>1639</v>
      </c>
      <c r="D1056" t="s">
        <v>1795</v>
      </c>
      <c r="E1056" t="s">
        <v>2188</v>
      </c>
      <c r="F1056" t="s">
        <v>2240</v>
      </c>
      <c r="G1056" t="s">
        <v>2254</v>
      </c>
      <c r="H1056" t="s">
        <v>2259</v>
      </c>
      <c r="I1056" t="s">
        <v>2263</v>
      </c>
      <c r="J1056" t="s">
        <v>2265</v>
      </c>
      <c r="K1056">
        <v>2</v>
      </c>
      <c r="L1056">
        <v>110</v>
      </c>
      <c r="N1056">
        <v>220</v>
      </c>
      <c r="P1056" t="s">
        <v>2269</v>
      </c>
      <c r="Q1056" t="s">
        <v>2272</v>
      </c>
      <c r="R1056" t="s">
        <v>2276</v>
      </c>
      <c r="S1056" t="s">
        <v>2280</v>
      </c>
      <c r="T1056" t="s">
        <v>2288</v>
      </c>
      <c r="U1056">
        <v>5</v>
      </c>
      <c r="V1056">
        <v>259</v>
      </c>
      <c r="W1056">
        <v>25</v>
      </c>
      <c r="X1056">
        <v>45.62</v>
      </c>
      <c r="Z1056" t="s">
        <v>2293</v>
      </c>
      <c r="AA1056" t="s">
        <v>2296</v>
      </c>
      <c r="AB1056">
        <v>220</v>
      </c>
      <c r="AC1056">
        <v>0</v>
      </c>
      <c r="AD1056">
        <v>220</v>
      </c>
      <c r="AE1056">
        <v>91.24</v>
      </c>
      <c r="AF1056">
        <v>128.76</v>
      </c>
      <c r="AG1056">
        <v>2024</v>
      </c>
      <c r="AH1056">
        <v>5</v>
      </c>
      <c r="AI1056" t="s">
        <v>2306</v>
      </c>
      <c r="AJ1056" t="s">
        <v>2315</v>
      </c>
    </row>
    <row r="1057" spans="1:36" x14ac:dyDescent="0.3">
      <c r="A1057" t="s">
        <v>1091</v>
      </c>
      <c r="B1057" s="2">
        <v>45615</v>
      </c>
      <c r="C1057" t="s">
        <v>1669</v>
      </c>
      <c r="D1057" t="s">
        <v>1742</v>
      </c>
      <c r="E1057" t="s">
        <v>1984</v>
      </c>
      <c r="F1057" t="s">
        <v>2239</v>
      </c>
      <c r="G1057" t="s">
        <v>2251</v>
      </c>
      <c r="H1057" t="s">
        <v>2258</v>
      </c>
      <c r="I1057" t="s">
        <v>2260</v>
      </c>
      <c r="J1057" t="s">
        <v>2264</v>
      </c>
      <c r="K1057">
        <v>4</v>
      </c>
      <c r="L1057">
        <v>100</v>
      </c>
      <c r="M1057">
        <v>0</v>
      </c>
      <c r="N1057">
        <v>400</v>
      </c>
      <c r="O1057">
        <v>400</v>
      </c>
      <c r="P1057" t="s">
        <v>2267</v>
      </c>
      <c r="R1057" t="s">
        <v>2276</v>
      </c>
      <c r="S1057" t="s">
        <v>2283</v>
      </c>
      <c r="T1057" t="s">
        <v>2290</v>
      </c>
      <c r="V1057">
        <v>467</v>
      </c>
      <c r="X1057">
        <v>49.16</v>
      </c>
      <c r="Y1057">
        <v>203.36</v>
      </c>
      <c r="Z1057" t="s">
        <v>2291</v>
      </c>
      <c r="AA1057" t="s">
        <v>2297</v>
      </c>
      <c r="AB1057">
        <v>400</v>
      </c>
      <c r="AC1057">
        <v>0</v>
      </c>
      <c r="AD1057">
        <v>400</v>
      </c>
      <c r="AE1057">
        <v>196.64</v>
      </c>
      <c r="AF1057">
        <v>203.36</v>
      </c>
      <c r="AG1057">
        <v>2024</v>
      </c>
      <c r="AH1057">
        <v>11</v>
      </c>
      <c r="AI1057" t="s">
        <v>2311</v>
      </c>
      <c r="AJ1057" t="s">
        <v>2313</v>
      </c>
    </row>
    <row r="1058" spans="1:36" x14ac:dyDescent="0.3">
      <c r="A1058" t="s">
        <v>1092</v>
      </c>
      <c r="B1058" s="2">
        <v>45580</v>
      </c>
      <c r="C1058" t="s">
        <v>1706</v>
      </c>
      <c r="D1058" t="s">
        <v>1930</v>
      </c>
      <c r="E1058" t="s">
        <v>2156</v>
      </c>
      <c r="F1058" t="s">
        <v>2239</v>
      </c>
      <c r="G1058" t="s">
        <v>2255</v>
      </c>
      <c r="H1058" t="s">
        <v>2260</v>
      </c>
      <c r="I1058" t="s">
        <v>2260</v>
      </c>
      <c r="J1058" t="s">
        <v>2265</v>
      </c>
      <c r="K1058">
        <v>1</v>
      </c>
      <c r="L1058">
        <v>180</v>
      </c>
      <c r="M1058">
        <v>0.1</v>
      </c>
      <c r="N1058">
        <v>180</v>
      </c>
      <c r="O1058">
        <v>162</v>
      </c>
      <c r="P1058" t="s">
        <v>2268</v>
      </c>
      <c r="R1058" t="s">
        <v>2276</v>
      </c>
      <c r="S1058" t="s">
        <v>2285</v>
      </c>
      <c r="T1058" t="s">
        <v>2288</v>
      </c>
      <c r="U1058">
        <v>1</v>
      </c>
      <c r="V1058">
        <v>217</v>
      </c>
      <c r="W1058">
        <v>57</v>
      </c>
      <c r="X1058">
        <v>91.48</v>
      </c>
      <c r="Y1058">
        <v>70.52</v>
      </c>
      <c r="Z1058" t="s">
        <v>1761</v>
      </c>
      <c r="AA1058" t="s">
        <v>2298</v>
      </c>
      <c r="AB1058">
        <v>180</v>
      </c>
      <c r="AC1058">
        <v>18</v>
      </c>
      <c r="AD1058">
        <v>162</v>
      </c>
      <c r="AE1058">
        <v>91.48</v>
      </c>
      <c r="AF1058">
        <v>70.52</v>
      </c>
      <c r="AG1058">
        <v>2024</v>
      </c>
      <c r="AH1058">
        <v>10</v>
      </c>
      <c r="AI1058" t="s">
        <v>2310</v>
      </c>
      <c r="AJ1058" t="s">
        <v>2313</v>
      </c>
    </row>
    <row r="1059" spans="1:36" x14ac:dyDescent="0.3">
      <c r="A1059" t="s">
        <v>1093</v>
      </c>
      <c r="B1059" s="2">
        <v>45562</v>
      </c>
      <c r="C1059" t="s">
        <v>1708</v>
      </c>
      <c r="D1059" t="s">
        <v>1896</v>
      </c>
      <c r="E1059" t="s">
        <v>2228</v>
      </c>
      <c r="F1059" t="s">
        <v>2239</v>
      </c>
      <c r="G1059" t="s">
        <v>2256</v>
      </c>
      <c r="H1059" t="s">
        <v>2261</v>
      </c>
      <c r="I1059" t="s">
        <v>2260</v>
      </c>
      <c r="J1059" t="s">
        <v>2265</v>
      </c>
      <c r="K1059">
        <v>2</v>
      </c>
      <c r="L1059">
        <v>190</v>
      </c>
      <c r="N1059">
        <v>380</v>
      </c>
      <c r="P1059" t="s">
        <v>2269</v>
      </c>
      <c r="Q1059" t="s">
        <v>2271</v>
      </c>
      <c r="R1059" t="s">
        <v>2278</v>
      </c>
      <c r="S1059" t="s">
        <v>2280</v>
      </c>
      <c r="T1059" t="s">
        <v>2290</v>
      </c>
      <c r="U1059">
        <v>5</v>
      </c>
      <c r="V1059">
        <v>171</v>
      </c>
      <c r="X1059">
        <v>105</v>
      </c>
      <c r="Z1059" t="s">
        <v>1761</v>
      </c>
      <c r="AA1059" t="s">
        <v>2296</v>
      </c>
      <c r="AB1059">
        <v>380</v>
      </c>
      <c r="AC1059">
        <v>0</v>
      </c>
      <c r="AD1059">
        <v>380</v>
      </c>
      <c r="AE1059">
        <v>210</v>
      </c>
      <c r="AF1059">
        <v>170</v>
      </c>
      <c r="AG1059">
        <v>2024</v>
      </c>
      <c r="AH1059">
        <v>9</v>
      </c>
      <c r="AI1059" t="s">
        <v>2300</v>
      </c>
      <c r="AJ1059" t="s">
        <v>2315</v>
      </c>
    </row>
    <row r="1060" spans="1:36" x14ac:dyDescent="0.3">
      <c r="A1060" t="s">
        <v>1094</v>
      </c>
      <c r="B1060" s="2">
        <v>45437</v>
      </c>
      <c r="C1060" t="s">
        <v>1677</v>
      </c>
      <c r="D1060" t="s">
        <v>1783</v>
      </c>
      <c r="E1060" t="s">
        <v>2136</v>
      </c>
      <c r="F1060" t="s">
        <v>1761</v>
      </c>
      <c r="G1060" t="s">
        <v>2250</v>
      </c>
      <c r="H1060" t="s">
        <v>2259</v>
      </c>
      <c r="I1060" t="s">
        <v>2262</v>
      </c>
      <c r="J1060" t="s">
        <v>2264</v>
      </c>
      <c r="K1060">
        <v>1</v>
      </c>
      <c r="L1060">
        <v>80</v>
      </c>
      <c r="M1060">
        <v>0</v>
      </c>
      <c r="N1060">
        <v>80</v>
      </c>
      <c r="O1060">
        <v>80</v>
      </c>
      <c r="P1060" t="s">
        <v>2269</v>
      </c>
      <c r="Q1060" t="s">
        <v>2272</v>
      </c>
      <c r="R1060" t="s">
        <v>2273</v>
      </c>
      <c r="S1060" t="s">
        <v>2281</v>
      </c>
      <c r="T1060" t="s">
        <v>2290</v>
      </c>
      <c r="U1060">
        <v>5</v>
      </c>
      <c r="V1060">
        <v>437</v>
      </c>
      <c r="W1060">
        <v>51</v>
      </c>
      <c r="X1060">
        <v>44.82</v>
      </c>
      <c r="Y1060">
        <v>35.18</v>
      </c>
      <c r="Z1060" t="s">
        <v>2291</v>
      </c>
      <c r="AA1060" t="s">
        <v>2299</v>
      </c>
      <c r="AB1060">
        <v>80</v>
      </c>
      <c r="AC1060">
        <v>0</v>
      </c>
      <c r="AD1060">
        <v>80</v>
      </c>
      <c r="AE1060">
        <v>44.82</v>
      </c>
      <c r="AF1060">
        <v>35.18</v>
      </c>
      <c r="AG1060">
        <v>2024</v>
      </c>
      <c r="AH1060">
        <v>5</v>
      </c>
      <c r="AI1060" t="s">
        <v>2306</v>
      </c>
      <c r="AJ1060" t="s">
        <v>2317</v>
      </c>
    </row>
    <row r="1061" spans="1:36" x14ac:dyDescent="0.3">
      <c r="A1061" t="s">
        <v>1095</v>
      </c>
      <c r="B1061" s="2">
        <v>45505</v>
      </c>
      <c r="C1061" t="s">
        <v>1673</v>
      </c>
      <c r="D1061" t="s">
        <v>1859</v>
      </c>
      <c r="E1061" t="s">
        <v>2128</v>
      </c>
      <c r="F1061" t="s">
        <v>1761</v>
      </c>
      <c r="G1061" t="s">
        <v>2254</v>
      </c>
      <c r="H1061" t="s">
        <v>2259</v>
      </c>
      <c r="I1061" t="s">
        <v>2263</v>
      </c>
      <c r="J1061" t="s">
        <v>2265</v>
      </c>
      <c r="K1061">
        <v>1</v>
      </c>
      <c r="L1061">
        <v>110</v>
      </c>
      <c r="M1061">
        <v>0</v>
      </c>
      <c r="N1061">
        <v>110</v>
      </c>
      <c r="O1061">
        <v>110</v>
      </c>
      <c r="P1061" t="s">
        <v>2269</v>
      </c>
      <c r="Q1061" t="s">
        <v>2272</v>
      </c>
      <c r="R1061" t="s">
        <v>2274</v>
      </c>
      <c r="S1061" t="s">
        <v>2286</v>
      </c>
      <c r="T1061" t="s">
        <v>2288</v>
      </c>
      <c r="U1061">
        <v>1</v>
      </c>
      <c r="W1061">
        <v>59</v>
      </c>
      <c r="X1061">
        <v>62.49</v>
      </c>
      <c r="Y1061">
        <v>47.51</v>
      </c>
      <c r="Z1061" t="s">
        <v>2292</v>
      </c>
      <c r="AA1061" t="s">
        <v>2296</v>
      </c>
      <c r="AB1061">
        <v>110</v>
      </c>
      <c r="AC1061">
        <v>0</v>
      </c>
      <c r="AD1061">
        <v>110</v>
      </c>
      <c r="AE1061">
        <v>62.49</v>
      </c>
      <c r="AF1061">
        <v>47.51</v>
      </c>
      <c r="AG1061">
        <v>2024</v>
      </c>
      <c r="AH1061">
        <v>8</v>
      </c>
      <c r="AI1061" t="s">
        <v>2301</v>
      </c>
      <c r="AJ1061" t="s">
        <v>2316</v>
      </c>
    </row>
    <row r="1062" spans="1:36" x14ac:dyDescent="0.3">
      <c r="A1062" t="s">
        <v>1096</v>
      </c>
      <c r="B1062" s="2">
        <v>45536</v>
      </c>
      <c r="C1062" t="s">
        <v>1648</v>
      </c>
      <c r="D1062" t="s">
        <v>1783</v>
      </c>
      <c r="E1062" t="s">
        <v>2121</v>
      </c>
      <c r="F1062" t="s">
        <v>2240</v>
      </c>
      <c r="G1062" t="s">
        <v>2253</v>
      </c>
      <c r="H1062" t="s">
        <v>2258</v>
      </c>
      <c r="I1062" t="s">
        <v>2260</v>
      </c>
      <c r="K1062">
        <v>1</v>
      </c>
      <c r="L1062">
        <v>90</v>
      </c>
      <c r="M1062">
        <v>0.05</v>
      </c>
      <c r="N1062">
        <v>90</v>
      </c>
      <c r="O1062">
        <v>85.5</v>
      </c>
      <c r="P1062" t="s">
        <v>2267</v>
      </c>
      <c r="R1062" t="s">
        <v>2279</v>
      </c>
      <c r="S1062" t="s">
        <v>2283</v>
      </c>
      <c r="T1062" t="s">
        <v>2288</v>
      </c>
      <c r="U1062">
        <v>5</v>
      </c>
      <c r="V1062">
        <v>450</v>
      </c>
      <c r="W1062">
        <v>36</v>
      </c>
      <c r="X1062">
        <v>37.19</v>
      </c>
      <c r="Y1062">
        <v>48.31</v>
      </c>
      <c r="Z1062" t="s">
        <v>2291</v>
      </c>
      <c r="AA1062" t="s">
        <v>2296</v>
      </c>
      <c r="AB1062">
        <v>90</v>
      </c>
      <c r="AC1062">
        <v>4.5</v>
      </c>
      <c r="AD1062">
        <v>85.5</v>
      </c>
      <c r="AE1062">
        <v>37.19</v>
      </c>
      <c r="AF1062">
        <v>48.31</v>
      </c>
      <c r="AG1062">
        <v>2024</v>
      </c>
      <c r="AH1062">
        <v>9</v>
      </c>
      <c r="AI1062" t="s">
        <v>2300</v>
      </c>
      <c r="AJ1062" t="s">
        <v>2318</v>
      </c>
    </row>
    <row r="1063" spans="1:36" x14ac:dyDescent="0.3">
      <c r="A1063" t="s">
        <v>1097</v>
      </c>
      <c r="B1063" s="2">
        <v>45458</v>
      </c>
      <c r="C1063" t="s">
        <v>1663</v>
      </c>
      <c r="D1063" t="s">
        <v>1764</v>
      </c>
      <c r="E1063" t="s">
        <v>2009</v>
      </c>
      <c r="F1063" t="s">
        <v>2238</v>
      </c>
      <c r="G1063" t="s">
        <v>2242</v>
      </c>
      <c r="H1063" t="s">
        <v>2258</v>
      </c>
      <c r="I1063" t="s">
        <v>2260</v>
      </c>
      <c r="J1063" t="s">
        <v>2265</v>
      </c>
      <c r="K1063">
        <v>1</v>
      </c>
      <c r="L1063">
        <v>130</v>
      </c>
      <c r="M1063">
        <v>0</v>
      </c>
      <c r="N1063">
        <v>130</v>
      </c>
      <c r="O1063">
        <v>130</v>
      </c>
      <c r="P1063" t="s">
        <v>2268</v>
      </c>
      <c r="Q1063" t="s">
        <v>2272</v>
      </c>
      <c r="R1063" t="s">
        <v>2279</v>
      </c>
      <c r="S1063" t="s">
        <v>2284</v>
      </c>
      <c r="T1063" t="s">
        <v>2288</v>
      </c>
      <c r="U1063">
        <v>3</v>
      </c>
      <c r="V1063">
        <v>400</v>
      </c>
      <c r="X1063">
        <v>64.88</v>
      </c>
      <c r="Y1063">
        <v>65.12</v>
      </c>
      <c r="Z1063" t="s">
        <v>2293</v>
      </c>
      <c r="AA1063" t="s">
        <v>1761</v>
      </c>
      <c r="AB1063">
        <v>130</v>
      </c>
      <c r="AC1063">
        <v>0</v>
      </c>
      <c r="AD1063">
        <v>130</v>
      </c>
      <c r="AE1063">
        <v>64.88</v>
      </c>
      <c r="AF1063">
        <v>65.12</v>
      </c>
      <c r="AG1063">
        <v>2024</v>
      </c>
      <c r="AH1063">
        <v>6</v>
      </c>
      <c r="AI1063" t="s">
        <v>2304</v>
      </c>
      <c r="AJ1063" t="s">
        <v>2317</v>
      </c>
    </row>
    <row r="1064" spans="1:36" x14ac:dyDescent="0.3">
      <c r="A1064" t="s">
        <v>1098</v>
      </c>
      <c r="B1064" s="2">
        <v>45551</v>
      </c>
      <c r="C1064" t="s">
        <v>1671</v>
      </c>
      <c r="D1064" t="s">
        <v>1818</v>
      </c>
      <c r="E1064" t="s">
        <v>2070</v>
      </c>
      <c r="F1064" t="s">
        <v>2238</v>
      </c>
      <c r="G1064" t="s">
        <v>2248</v>
      </c>
      <c r="H1064" t="s">
        <v>2257</v>
      </c>
      <c r="I1064" t="s">
        <v>2262</v>
      </c>
      <c r="J1064" t="s">
        <v>2265</v>
      </c>
      <c r="K1064">
        <v>1</v>
      </c>
      <c r="L1064">
        <v>145</v>
      </c>
      <c r="P1064" t="s">
        <v>2268</v>
      </c>
      <c r="Q1064" t="s">
        <v>2272</v>
      </c>
      <c r="R1064" t="s">
        <v>2277</v>
      </c>
      <c r="S1064" t="s">
        <v>2282</v>
      </c>
      <c r="T1064" t="s">
        <v>2289</v>
      </c>
      <c r="U1064">
        <v>3</v>
      </c>
      <c r="V1064">
        <v>276</v>
      </c>
      <c r="X1064">
        <v>58.92</v>
      </c>
      <c r="Z1064" t="s">
        <v>1761</v>
      </c>
      <c r="AA1064" t="s">
        <v>1761</v>
      </c>
      <c r="AB1064">
        <v>145</v>
      </c>
      <c r="AC1064">
        <v>0</v>
      </c>
      <c r="AD1064">
        <v>145</v>
      </c>
      <c r="AE1064">
        <v>58.92</v>
      </c>
      <c r="AF1064">
        <v>86.08</v>
      </c>
      <c r="AG1064">
        <v>2024</v>
      </c>
      <c r="AH1064">
        <v>9</v>
      </c>
      <c r="AI1064" t="s">
        <v>2300</v>
      </c>
      <c r="AJ1064" t="s">
        <v>2314</v>
      </c>
    </row>
    <row r="1065" spans="1:36" x14ac:dyDescent="0.3">
      <c r="A1065" t="s">
        <v>1099</v>
      </c>
      <c r="B1065" s="2">
        <v>45467</v>
      </c>
      <c r="C1065" t="s">
        <v>1723</v>
      </c>
      <c r="D1065" t="s">
        <v>1839</v>
      </c>
      <c r="E1065" t="s">
        <v>1948</v>
      </c>
      <c r="F1065" t="s">
        <v>2239</v>
      </c>
      <c r="G1065" t="s">
        <v>2256</v>
      </c>
      <c r="H1065" t="s">
        <v>2261</v>
      </c>
      <c r="I1065" t="s">
        <v>2260</v>
      </c>
      <c r="J1065" t="s">
        <v>2266</v>
      </c>
      <c r="K1065">
        <v>1</v>
      </c>
      <c r="L1065">
        <v>190</v>
      </c>
      <c r="M1065">
        <v>0.05</v>
      </c>
      <c r="N1065">
        <v>190</v>
      </c>
      <c r="O1065">
        <v>180.5</v>
      </c>
      <c r="P1065" t="s">
        <v>2269</v>
      </c>
      <c r="Q1065" t="s">
        <v>2272</v>
      </c>
      <c r="R1065" t="s">
        <v>2273</v>
      </c>
      <c r="S1065" t="s">
        <v>2286</v>
      </c>
      <c r="T1065" t="s">
        <v>2288</v>
      </c>
      <c r="U1065">
        <v>1</v>
      </c>
      <c r="V1065">
        <v>53</v>
      </c>
      <c r="X1065">
        <v>104.58</v>
      </c>
      <c r="Y1065">
        <v>75.92</v>
      </c>
      <c r="Z1065" t="s">
        <v>2291</v>
      </c>
      <c r="AA1065" t="s">
        <v>2299</v>
      </c>
      <c r="AB1065">
        <v>190</v>
      </c>
      <c r="AC1065">
        <v>9.5</v>
      </c>
      <c r="AD1065">
        <v>180.5</v>
      </c>
      <c r="AE1065">
        <v>104.58</v>
      </c>
      <c r="AF1065">
        <v>75.92</v>
      </c>
      <c r="AG1065">
        <v>2024</v>
      </c>
      <c r="AH1065">
        <v>6</v>
      </c>
      <c r="AI1065" t="s">
        <v>2304</v>
      </c>
      <c r="AJ1065" t="s">
        <v>2314</v>
      </c>
    </row>
    <row r="1066" spans="1:36" x14ac:dyDescent="0.3">
      <c r="A1066" t="s">
        <v>1100</v>
      </c>
      <c r="B1066" s="2">
        <v>45657</v>
      </c>
      <c r="C1066" t="s">
        <v>1684</v>
      </c>
      <c r="D1066" t="s">
        <v>1935</v>
      </c>
      <c r="E1066" t="s">
        <v>1987</v>
      </c>
      <c r="F1066" t="s">
        <v>2238</v>
      </c>
      <c r="G1066" t="s">
        <v>2247</v>
      </c>
      <c r="H1066" t="s">
        <v>2257</v>
      </c>
      <c r="I1066" t="s">
        <v>2262</v>
      </c>
      <c r="J1066" t="s">
        <v>2264</v>
      </c>
      <c r="K1066">
        <v>1</v>
      </c>
      <c r="L1066">
        <v>110</v>
      </c>
      <c r="M1066">
        <v>0</v>
      </c>
      <c r="N1066">
        <v>110</v>
      </c>
      <c r="O1066">
        <v>110</v>
      </c>
      <c r="P1066" t="s">
        <v>2267</v>
      </c>
      <c r="Q1066" t="s">
        <v>2272</v>
      </c>
      <c r="R1066" t="s">
        <v>2278</v>
      </c>
      <c r="S1066" t="s">
        <v>2284</v>
      </c>
      <c r="T1066" t="s">
        <v>2288</v>
      </c>
      <c r="U1066">
        <v>4</v>
      </c>
      <c r="V1066">
        <v>1</v>
      </c>
      <c r="W1066">
        <v>48</v>
      </c>
      <c r="X1066">
        <v>58.6</v>
      </c>
      <c r="Y1066">
        <v>51.4</v>
      </c>
      <c r="Z1066" t="s">
        <v>2293</v>
      </c>
      <c r="AA1066" t="s">
        <v>2296</v>
      </c>
      <c r="AB1066">
        <v>110</v>
      </c>
      <c r="AC1066">
        <v>0</v>
      </c>
      <c r="AD1066">
        <v>110</v>
      </c>
      <c r="AE1066">
        <v>58.6</v>
      </c>
      <c r="AF1066">
        <v>51.4</v>
      </c>
      <c r="AG1066">
        <v>2024</v>
      </c>
      <c r="AH1066">
        <v>12</v>
      </c>
      <c r="AI1066" t="s">
        <v>2309</v>
      </c>
      <c r="AJ1066" t="s">
        <v>2313</v>
      </c>
    </row>
    <row r="1067" spans="1:36" x14ac:dyDescent="0.3">
      <c r="A1067" t="s">
        <v>1101</v>
      </c>
      <c r="B1067" s="2">
        <v>45292</v>
      </c>
      <c r="C1067" t="s">
        <v>1731</v>
      </c>
      <c r="D1067" t="s">
        <v>1830</v>
      </c>
      <c r="E1067" t="s">
        <v>2138</v>
      </c>
      <c r="F1067" t="s">
        <v>2240</v>
      </c>
      <c r="G1067" t="s">
        <v>2247</v>
      </c>
      <c r="H1067" t="s">
        <v>2257</v>
      </c>
      <c r="I1067" t="s">
        <v>2262</v>
      </c>
      <c r="J1067" t="s">
        <v>2266</v>
      </c>
      <c r="K1067">
        <v>1</v>
      </c>
      <c r="L1067">
        <v>100</v>
      </c>
      <c r="M1067">
        <v>0.05</v>
      </c>
      <c r="N1067">
        <v>100</v>
      </c>
      <c r="O1067">
        <v>95</v>
      </c>
      <c r="P1067" t="s">
        <v>2267</v>
      </c>
      <c r="Q1067" t="s">
        <v>2270</v>
      </c>
      <c r="R1067" t="s">
        <v>2273</v>
      </c>
      <c r="S1067" t="s">
        <v>2284</v>
      </c>
      <c r="T1067" t="s">
        <v>2290</v>
      </c>
      <c r="W1067">
        <v>25</v>
      </c>
      <c r="X1067">
        <v>38.04</v>
      </c>
      <c r="Y1067">
        <v>56.96</v>
      </c>
      <c r="Z1067" t="s">
        <v>2292</v>
      </c>
      <c r="AA1067" t="s">
        <v>2299</v>
      </c>
      <c r="AB1067">
        <v>100</v>
      </c>
      <c r="AC1067">
        <v>5</v>
      </c>
      <c r="AD1067">
        <v>95</v>
      </c>
      <c r="AE1067">
        <v>38.04</v>
      </c>
      <c r="AF1067">
        <v>56.96</v>
      </c>
      <c r="AG1067">
        <v>2024</v>
      </c>
      <c r="AH1067">
        <v>1</v>
      </c>
      <c r="AI1067" t="s">
        <v>2302</v>
      </c>
      <c r="AJ1067" t="s">
        <v>2314</v>
      </c>
    </row>
    <row r="1068" spans="1:36" x14ac:dyDescent="0.3">
      <c r="A1068" t="s">
        <v>1102</v>
      </c>
      <c r="B1068" s="2">
        <v>45617</v>
      </c>
      <c r="C1068" t="s">
        <v>1666</v>
      </c>
      <c r="D1068" t="s">
        <v>1814</v>
      </c>
      <c r="E1068" t="s">
        <v>2215</v>
      </c>
      <c r="F1068" t="s">
        <v>2238</v>
      </c>
      <c r="G1068" t="s">
        <v>2248</v>
      </c>
      <c r="H1068" t="s">
        <v>2257</v>
      </c>
      <c r="I1068" t="s">
        <v>2262</v>
      </c>
      <c r="J1068" t="s">
        <v>2266</v>
      </c>
      <c r="K1068">
        <v>2</v>
      </c>
      <c r="L1068">
        <v>145</v>
      </c>
      <c r="M1068">
        <v>0</v>
      </c>
      <c r="N1068">
        <v>290</v>
      </c>
      <c r="O1068">
        <v>290</v>
      </c>
      <c r="Q1068" t="s">
        <v>2272</v>
      </c>
      <c r="R1068" t="s">
        <v>2276</v>
      </c>
      <c r="S1068" t="s">
        <v>2283</v>
      </c>
      <c r="T1068" t="s">
        <v>2289</v>
      </c>
      <c r="U1068">
        <v>1</v>
      </c>
      <c r="V1068">
        <v>38</v>
      </c>
      <c r="X1068">
        <v>57.34</v>
      </c>
      <c r="Y1068">
        <v>175.32</v>
      </c>
      <c r="Z1068" t="s">
        <v>1761</v>
      </c>
      <c r="AA1068" t="s">
        <v>2296</v>
      </c>
      <c r="AB1068">
        <v>290</v>
      </c>
      <c r="AC1068">
        <v>0</v>
      </c>
      <c r="AD1068">
        <v>290</v>
      </c>
      <c r="AE1068">
        <v>114.68</v>
      </c>
      <c r="AF1068">
        <v>175.32</v>
      </c>
      <c r="AG1068">
        <v>2024</v>
      </c>
      <c r="AH1068">
        <v>11</v>
      </c>
      <c r="AI1068" t="s">
        <v>2311</v>
      </c>
      <c r="AJ1068" t="s">
        <v>2316</v>
      </c>
    </row>
    <row r="1069" spans="1:36" x14ac:dyDescent="0.3">
      <c r="A1069" t="s">
        <v>1103</v>
      </c>
      <c r="B1069" s="2">
        <v>45548</v>
      </c>
      <c r="C1069" t="s">
        <v>1680</v>
      </c>
      <c r="D1069" t="s">
        <v>1879</v>
      </c>
      <c r="E1069" t="s">
        <v>2031</v>
      </c>
      <c r="F1069" t="s">
        <v>2240</v>
      </c>
      <c r="G1069" t="s">
        <v>2243</v>
      </c>
      <c r="H1069" t="s">
        <v>2258</v>
      </c>
      <c r="I1069" t="s">
        <v>2260</v>
      </c>
      <c r="J1069" t="s">
        <v>2264</v>
      </c>
      <c r="K1069">
        <v>2</v>
      </c>
      <c r="L1069">
        <v>65</v>
      </c>
      <c r="M1069">
        <v>0</v>
      </c>
      <c r="N1069">
        <v>130</v>
      </c>
      <c r="O1069">
        <v>130</v>
      </c>
      <c r="P1069" t="s">
        <v>2269</v>
      </c>
      <c r="Q1069" t="s">
        <v>2272</v>
      </c>
      <c r="R1069" t="s">
        <v>2274</v>
      </c>
      <c r="S1069" t="s">
        <v>2282</v>
      </c>
      <c r="T1069" t="s">
        <v>2288</v>
      </c>
      <c r="X1069">
        <v>31.13</v>
      </c>
      <c r="Y1069">
        <v>67.739999999999995</v>
      </c>
      <c r="Z1069" t="s">
        <v>2292</v>
      </c>
      <c r="AA1069" t="s">
        <v>2297</v>
      </c>
      <c r="AB1069">
        <v>130</v>
      </c>
      <c r="AC1069">
        <v>0</v>
      </c>
      <c r="AD1069">
        <v>130</v>
      </c>
      <c r="AE1069">
        <v>62.26</v>
      </c>
      <c r="AF1069">
        <v>67.740000000000009</v>
      </c>
      <c r="AG1069">
        <v>2024</v>
      </c>
      <c r="AH1069">
        <v>9</v>
      </c>
      <c r="AI1069" t="s">
        <v>2300</v>
      </c>
      <c r="AJ1069" t="s">
        <v>2315</v>
      </c>
    </row>
    <row r="1070" spans="1:36" x14ac:dyDescent="0.3">
      <c r="A1070" t="s">
        <v>1104</v>
      </c>
      <c r="B1070" s="2">
        <v>45551</v>
      </c>
      <c r="C1070" t="s">
        <v>1733</v>
      </c>
      <c r="D1070" t="s">
        <v>1820</v>
      </c>
      <c r="E1070" t="s">
        <v>1980</v>
      </c>
      <c r="F1070" t="s">
        <v>2240</v>
      </c>
      <c r="G1070" t="s">
        <v>2248</v>
      </c>
      <c r="H1070" t="s">
        <v>2257</v>
      </c>
      <c r="I1070" t="s">
        <v>2262</v>
      </c>
      <c r="K1070">
        <v>4</v>
      </c>
      <c r="L1070">
        <v>145</v>
      </c>
      <c r="M1070">
        <v>0</v>
      </c>
      <c r="N1070">
        <v>580</v>
      </c>
      <c r="O1070">
        <v>580</v>
      </c>
      <c r="P1070" t="s">
        <v>2269</v>
      </c>
      <c r="Q1070" t="s">
        <v>2270</v>
      </c>
      <c r="R1070" t="s">
        <v>2274</v>
      </c>
      <c r="S1070" t="s">
        <v>2283</v>
      </c>
      <c r="T1070" t="s">
        <v>2289</v>
      </c>
      <c r="U1070">
        <v>2</v>
      </c>
      <c r="V1070">
        <v>364</v>
      </c>
      <c r="W1070">
        <v>58</v>
      </c>
      <c r="X1070">
        <v>68.05</v>
      </c>
      <c r="Y1070">
        <v>307.8</v>
      </c>
      <c r="Z1070" t="s">
        <v>2292</v>
      </c>
      <c r="AA1070" t="s">
        <v>2296</v>
      </c>
      <c r="AB1070">
        <v>580</v>
      </c>
      <c r="AC1070">
        <v>0</v>
      </c>
      <c r="AD1070">
        <v>580</v>
      </c>
      <c r="AE1070">
        <v>272.2</v>
      </c>
      <c r="AF1070">
        <v>307.8</v>
      </c>
      <c r="AG1070">
        <v>2024</v>
      </c>
      <c r="AH1070">
        <v>9</v>
      </c>
      <c r="AI1070" t="s">
        <v>2300</v>
      </c>
      <c r="AJ1070" t="s">
        <v>2314</v>
      </c>
    </row>
    <row r="1071" spans="1:36" x14ac:dyDescent="0.3">
      <c r="A1071" t="s">
        <v>1105</v>
      </c>
      <c r="B1071" s="2">
        <v>45589</v>
      </c>
      <c r="C1071" t="s">
        <v>1710</v>
      </c>
      <c r="D1071" t="s">
        <v>1792</v>
      </c>
      <c r="E1071" t="s">
        <v>2027</v>
      </c>
      <c r="F1071" t="s">
        <v>2240</v>
      </c>
      <c r="G1071" t="s">
        <v>2253</v>
      </c>
      <c r="H1071" t="s">
        <v>2258</v>
      </c>
      <c r="I1071" t="s">
        <v>2260</v>
      </c>
      <c r="J1071" t="s">
        <v>2266</v>
      </c>
      <c r="L1071">
        <v>100</v>
      </c>
      <c r="M1071">
        <v>0</v>
      </c>
      <c r="N1071">
        <v>100</v>
      </c>
      <c r="O1071">
        <v>100</v>
      </c>
      <c r="P1071" t="s">
        <v>2267</v>
      </c>
      <c r="R1071" t="s">
        <v>2277</v>
      </c>
      <c r="S1071" t="s">
        <v>2281</v>
      </c>
      <c r="T1071" t="s">
        <v>2288</v>
      </c>
      <c r="U1071">
        <v>5</v>
      </c>
      <c r="V1071">
        <v>8</v>
      </c>
      <c r="X1071">
        <v>32.14</v>
      </c>
      <c r="Y1071">
        <v>67.86</v>
      </c>
      <c r="Z1071" t="s">
        <v>1761</v>
      </c>
      <c r="AA1071" t="s">
        <v>2299</v>
      </c>
      <c r="AG1071">
        <v>2024</v>
      </c>
      <c r="AH1071">
        <v>10</v>
      </c>
      <c r="AI1071" t="s">
        <v>2310</v>
      </c>
      <c r="AJ1071" t="s">
        <v>2316</v>
      </c>
    </row>
    <row r="1072" spans="1:36" x14ac:dyDescent="0.3">
      <c r="A1072" t="s">
        <v>1106</v>
      </c>
      <c r="B1072" s="2">
        <v>45404</v>
      </c>
      <c r="C1072" t="s">
        <v>1701</v>
      </c>
      <c r="D1072" t="s">
        <v>1742</v>
      </c>
      <c r="E1072" t="s">
        <v>2192</v>
      </c>
      <c r="F1072" t="s">
        <v>2239</v>
      </c>
      <c r="G1072" t="s">
        <v>2251</v>
      </c>
      <c r="H1072" t="s">
        <v>2258</v>
      </c>
      <c r="I1072" t="s">
        <v>2260</v>
      </c>
      <c r="J1072" t="s">
        <v>2264</v>
      </c>
      <c r="K1072">
        <v>2</v>
      </c>
      <c r="L1072">
        <v>105</v>
      </c>
      <c r="M1072">
        <v>0.1</v>
      </c>
      <c r="N1072">
        <v>210</v>
      </c>
      <c r="O1072">
        <v>189</v>
      </c>
      <c r="P1072" t="s">
        <v>2267</v>
      </c>
      <c r="R1072" t="s">
        <v>2275</v>
      </c>
      <c r="S1072" t="s">
        <v>2284</v>
      </c>
      <c r="T1072" t="s">
        <v>2288</v>
      </c>
      <c r="V1072">
        <v>366</v>
      </c>
      <c r="W1072">
        <v>45</v>
      </c>
      <c r="X1072">
        <v>39.770000000000003</v>
      </c>
      <c r="Y1072">
        <v>109.46</v>
      </c>
      <c r="Z1072" t="s">
        <v>2294</v>
      </c>
      <c r="AA1072" t="s">
        <v>2296</v>
      </c>
      <c r="AB1072">
        <v>210</v>
      </c>
      <c r="AC1072">
        <v>21</v>
      </c>
      <c r="AD1072">
        <v>189</v>
      </c>
      <c r="AE1072">
        <v>79.540000000000006</v>
      </c>
      <c r="AF1072">
        <v>109.46</v>
      </c>
      <c r="AG1072">
        <v>2024</v>
      </c>
      <c r="AH1072">
        <v>4</v>
      </c>
      <c r="AI1072" t="s">
        <v>2308</v>
      </c>
      <c r="AJ1072" t="s">
        <v>2314</v>
      </c>
    </row>
    <row r="1073" spans="1:36" x14ac:dyDescent="0.3">
      <c r="A1073" t="s">
        <v>1107</v>
      </c>
      <c r="B1073" s="2">
        <v>45316</v>
      </c>
      <c r="C1073" t="s">
        <v>1672</v>
      </c>
      <c r="D1073" t="s">
        <v>1820</v>
      </c>
      <c r="E1073" t="s">
        <v>2147</v>
      </c>
      <c r="F1073" t="s">
        <v>1761</v>
      </c>
      <c r="G1073" t="s">
        <v>2242</v>
      </c>
      <c r="H1073" t="s">
        <v>2258</v>
      </c>
      <c r="I1073" t="s">
        <v>2260</v>
      </c>
      <c r="J1073" t="s">
        <v>2265</v>
      </c>
      <c r="K1073">
        <v>1</v>
      </c>
      <c r="L1073">
        <v>120</v>
      </c>
      <c r="M1073">
        <v>0</v>
      </c>
      <c r="N1073">
        <v>120</v>
      </c>
      <c r="O1073">
        <v>120</v>
      </c>
      <c r="P1073" t="s">
        <v>2268</v>
      </c>
      <c r="Q1073" t="s">
        <v>2270</v>
      </c>
      <c r="R1073" t="s">
        <v>2278</v>
      </c>
      <c r="S1073" t="s">
        <v>2280</v>
      </c>
      <c r="T1073" t="s">
        <v>2288</v>
      </c>
      <c r="V1073">
        <v>7</v>
      </c>
      <c r="W1073">
        <v>15</v>
      </c>
      <c r="X1073">
        <v>52.29</v>
      </c>
      <c r="Y1073">
        <v>67.709999999999994</v>
      </c>
      <c r="Z1073" t="s">
        <v>2293</v>
      </c>
      <c r="AA1073" t="s">
        <v>2296</v>
      </c>
      <c r="AB1073">
        <v>120</v>
      </c>
      <c r="AC1073">
        <v>0</v>
      </c>
      <c r="AD1073">
        <v>120</v>
      </c>
      <c r="AE1073">
        <v>52.29</v>
      </c>
      <c r="AF1073">
        <v>67.710000000000008</v>
      </c>
      <c r="AG1073">
        <v>2024</v>
      </c>
      <c r="AH1073">
        <v>1</v>
      </c>
      <c r="AI1073" t="s">
        <v>2302</v>
      </c>
      <c r="AJ1073" t="s">
        <v>2316</v>
      </c>
    </row>
    <row r="1074" spans="1:36" x14ac:dyDescent="0.3">
      <c r="A1074" t="s">
        <v>1108</v>
      </c>
      <c r="B1074" s="2">
        <v>45594</v>
      </c>
      <c r="C1074" t="s">
        <v>1727</v>
      </c>
      <c r="D1074" t="s">
        <v>1815</v>
      </c>
      <c r="E1074" t="s">
        <v>1761</v>
      </c>
      <c r="F1074" t="s">
        <v>1761</v>
      </c>
      <c r="G1074" t="s">
        <v>2242</v>
      </c>
      <c r="H1074" t="s">
        <v>2258</v>
      </c>
      <c r="I1074" t="s">
        <v>2260</v>
      </c>
      <c r="J1074" t="s">
        <v>2265</v>
      </c>
      <c r="K1074">
        <v>2</v>
      </c>
      <c r="L1074">
        <v>120</v>
      </c>
      <c r="M1074">
        <v>0.05</v>
      </c>
      <c r="N1074">
        <v>240</v>
      </c>
      <c r="O1074">
        <v>228</v>
      </c>
      <c r="P1074" t="s">
        <v>2268</v>
      </c>
      <c r="R1074" t="s">
        <v>2278</v>
      </c>
      <c r="S1074" t="s">
        <v>2281</v>
      </c>
      <c r="T1074" t="s">
        <v>2289</v>
      </c>
      <c r="U1074">
        <v>5</v>
      </c>
      <c r="V1074">
        <v>258</v>
      </c>
      <c r="W1074">
        <v>43</v>
      </c>
      <c r="X1074">
        <v>52.92</v>
      </c>
      <c r="Y1074">
        <v>122.16</v>
      </c>
      <c r="Z1074" t="s">
        <v>2291</v>
      </c>
      <c r="AA1074" t="s">
        <v>2296</v>
      </c>
      <c r="AB1074">
        <v>240</v>
      </c>
      <c r="AC1074">
        <v>12</v>
      </c>
      <c r="AD1074">
        <v>228</v>
      </c>
      <c r="AE1074">
        <v>105.84</v>
      </c>
      <c r="AF1074">
        <v>122.16</v>
      </c>
      <c r="AG1074">
        <v>2024</v>
      </c>
      <c r="AH1074">
        <v>10</v>
      </c>
      <c r="AI1074" t="s">
        <v>2310</v>
      </c>
      <c r="AJ1074" t="s">
        <v>2313</v>
      </c>
    </row>
    <row r="1075" spans="1:36" x14ac:dyDescent="0.3">
      <c r="A1075" t="s">
        <v>1109</v>
      </c>
      <c r="B1075" s="2">
        <v>45547</v>
      </c>
      <c r="C1075" t="s">
        <v>1735</v>
      </c>
      <c r="D1075" t="s">
        <v>1761</v>
      </c>
      <c r="E1075" t="s">
        <v>2231</v>
      </c>
      <c r="F1075" t="s">
        <v>1761</v>
      </c>
      <c r="G1075" t="s">
        <v>2252</v>
      </c>
      <c r="H1075" t="s">
        <v>2257</v>
      </c>
      <c r="I1075" t="s">
        <v>2262</v>
      </c>
      <c r="J1075" t="s">
        <v>2264</v>
      </c>
      <c r="K1075">
        <v>1</v>
      </c>
      <c r="L1075">
        <v>90</v>
      </c>
      <c r="M1075">
        <v>0</v>
      </c>
      <c r="N1075">
        <v>90</v>
      </c>
      <c r="O1075">
        <v>90</v>
      </c>
      <c r="P1075" t="s">
        <v>2267</v>
      </c>
      <c r="Q1075" t="s">
        <v>2272</v>
      </c>
      <c r="R1075" t="s">
        <v>2277</v>
      </c>
      <c r="S1075" t="s">
        <v>2286</v>
      </c>
      <c r="T1075" t="s">
        <v>2288</v>
      </c>
      <c r="U1075">
        <v>2</v>
      </c>
      <c r="V1075">
        <v>394</v>
      </c>
      <c r="W1075">
        <v>55</v>
      </c>
      <c r="X1075">
        <v>31.54</v>
      </c>
      <c r="Y1075">
        <v>58.46</v>
      </c>
      <c r="Z1075" t="s">
        <v>2293</v>
      </c>
      <c r="AA1075" t="s">
        <v>2296</v>
      </c>
      <c r="AB1075">
        <v>90</v>
      </c>
      <c r="AC1075">
        <v>0</v>
      </c>
      <c r="AD1075">
        <v>90</v>
      </c>
      <c r="AE1075">
        <v>31.54</v>
      </c>
      <c r="AF1075">
        <v>58.46</v>
      </c>
      <c r="AG1075">
        <v>2024</v>
      </c>
      <c r="AH1075">
        <v>9</v>
      </c>
      <c r="AI1075" t="s">
        <v>2300</v>
      </c>
      <c r="AJ1075" t="s">
        <v>2316</v>
      </c>
    </row>
    <row r="1076" spans="1:36" x14ac:dyDescent="0.3">
      <c r="A1076" t="s">
        <v>1110</v>
      </c>
      <c r="B1076" s="2">
        <v>45530</v>
      </c>
      <c r="C1076" t="s">
        <v>1705</v>
      </c>
      <c r="D1076" t="s">
        <v>1894</v>
      </c>
      <c r="E1076" t="s">
        <v>1946</v>
      </c>
      <c r="F1076" t="s">
        <v>2239</v>
      </c>
      <c r="G1076" t="s">
        <v>2251</v>
      </c>
      <c r="H1076" t="s">
        <v>2258</v>
      </c>
      <c r="I1076" t="s">
        <v>2260</v>
      </c>
      <c r="J1076" t="s">
        <v>2265</v>
      </c>
      <c r="K1076">
        <v>1</v>
      </c>
      <c r="L1076">
        <v>110</v>
      </c>
      <c r="M1076">
        <v>0.05</v>
      </c>
      <c r="N1076">
        <v>110</v>
      </c>
      <c r="O1076">
        <v>104.5</v>
      </c>
      <c r="P1076" t="s">
        <v>2267</v>
      </c>
      <c r="Q1076" t="s">
        <v>2270</v>
      </c>
      <c r="R1076" t="s">
        <v>2278</v>
      </c>
      <c r="S1076" t="s">
        <v>2286</v>
      </c>
      <c r="T1076" t="s">
        <v>2288</v>
      </c>
      <c r="U1076">
        <v>4</v>
      </c>
      <c r="V1076">
        <v>240</v>
      </c>
      <c r="W1076">
        <v>20</v>
      </c>
      <c r="X1076">
        <v>45.01</v>
      </c>
      <c r="Y1076">
        <v>59.49</v>
      </c>
      <c r="Z1076" t="s">
        <v>2293</v>
      </c>
      <c r="AA1076" t="s">
        <v>2299</v>
      </c>
      <c r="AB1076">
        <v>110</v>
      </c>
      <c r="AC1076">
        <v>5.5</v>
      </c>
      <c r="AD1076">
        <v>104.5</v>
      </c>
      <c r="AE1076">
        <v>45.01</v>
      </c>
      <c r="AF1076">
        <v>59.49</v>
      </c>
      <c r="AG1076">
        <v>2024</v>
      </c>
      <c r="AH1076">
        <v>8</v>
      </c>
      <c r="AI1076" t="s">
        <v>2301</v>
      </c>
      <c r="AJ1076" t="s">
        <v>2314</v>
      </c>
    </row>
    <row r="1077" spans="1:36" x14ac:dyDescent="0.3">
      <c r="A1077" t="s">
        <v>1111</v>
      </c>
      <c r="B1077" s="2">
        <v>45617</v>
      </c>
      <c r="C1077" t="s">
        <v>1700</v>
      </c>
      <c r="D1077" t="s">
        <v>1899</v>
      </c>
      <c r="E1077" t="s">
        <v>2181</v>
      </c>
      <c r="F1077" t="s">
        <v>2240</v>
      </c>
      <c r="G1077" t="s">
        <v>2247</v>
      </c>
      <c r="H1077" t="s">
        <v>2257</v>
      </c>
      <c r="I1077" t="s">
        <v>2262</v>
      </c>
      <c r="J1077" t="s">
        <v>2265</v>
      </c>
      <c r="K1077">
        <v>2</v>
      </c>
      <c r="L1077">
        <v>105</v>
      </c>
      <c r="M1077">
        <v>0.1</v>
      </c>
      <c r="N1077">
        <v>210</v>
      </c>
      <c r="O1077">
        <v>189</v>
      </c>
      <c r="P1077" t="s">
        <v>2269</v>
      </c>
      <c r="Q1077" t="s">
        <v>2271</v>
      </c>
      <c r="R1077" t="s">
        <v>2276</v>
      </c>
      <c r="S1077" t="s">
        <v>2287</v>
      </c>
      <c r="T1077" t="s">
        <v>2289</v>
      </c>
      <c r="U1077">
        <v>5</v>
      </c>
      <c r="V1077">
        <v>414</v>
      </c>
      <c r="W1077">
        <v>13</v>
      </c>
      <c r="X1077">
        <v>40.03</v>
      </c>
      <c r="Y1077">
        <v>108.94</v>
      </c>
      <c r="Z1077" t="s">
        <v>2293</v>
      </c>
      <c r="AA1077" t="s">
        <v>2296</v>
      </c>
      <c r="AB1077">
        <v>210</v>
      </c>
      <c r="AC1077">
        <v>21</v>
      </c>
      <c r="AD1077">
        <v>189</v>
      </c>
      <c r="AE1077">
        <v>80.06</v>
      </c>
      <c r="AF1077">
        <v>108.94</v>
      </c>
      <c r="AG1077">
        <v>2024</v>
      </c>
      <c r="AH1077">
        <v>11</v>
      </c>
      <c r="AI1077" t="s">
        <v>2311</v>
      </c>
      <c r="AJ1077" t="s">
        <v>2316</v>
      </c>
    </row>
    <row r="1078" spans="1:36" x14ac:dyDescent="0.3">
      <c r="A1078" t="s">
        <v>1112</v>
      </c>
      <c r="B1078" s="2">
        <v>45391</v>
      </c>
      <c r="C1078" t="s">
        <v>1709</v>
      </c>
      <c r="D1078" t="s">
        <v>1928</v>
      </c>
      <c r="E1078" t="s">
        <v>2138</v>
      </c>
      <c r="F1078" t="s">
        <v>2240</v>
      </c>
      <c r="G1078" t="s">
        <v>2252</v>
      </c>
      <c r="H1078" t="s">
        <v>2257</v>
      </c>
      <c r="I1078" t="s">
        <v>2262</v>
      </c>
      <c r="J1078" t="s">
        <v>2265</v>
      </c>
      <c r="K1078">
        <v>3</v>
      </c>
      <c r="L1078">
        <v>90</v>
      </c>
      <c r="M1078">
        <v>0.1</v>
      </c>
      <c r="O1078">
        <v>243</v>
      </c>
      <c r="P1078" t="s">
        <v>2267</v>
      </c>
      <c r="Q1078" t="s">
        <v>2272</v>
      </c>
      <c r="R1078" t="s">
        <v>2274</v>
      </c>
      <c r="S1078" t="s">
        <v>2283</v>
      </c>
      <c r="T1078" t="s">
        <v>2288</v>
      </c>
      <c r="U1078">
        <v>4</v>
      </c>
      <c r="V1078">
        <v>265</v>
      </c>
      <c r="X1078">
        <v>39.65</v>
      </c>
      <c r="Y1078">
        <v>124.05</v>
      </c>
      <c r="Z1078" t="s">
        <v>1761</v>
      </c>
      <c r="AA1078" t="s">
        <v>2297</v>
      </c>
      <c r="AB1078">
        <v>270</v>
      </c>
      <c r="AC1078">
        <v>27</v>
      </c>
      <c r="AD1078">
        <v>243</v>
      </c>
      <c r="AE1078">
        <v>118.95</v>
      </c>
      <c r="AF1078">
        <v>124.05</v>
      </c>
      <c r="AG1078">
        <v>2024</v>
      </c>
      <c r="AH1078">
        <v>4</v>
      </c>
      <c r="AI1078" t="s">
        <v>2308</v>
      </c>
      <c r="AJ1078" t="s">
        <v>2313</v>
      </c>
    </row>
    <row r="1079" spans="1:36" x14ac:dyDescent="0.3">
      <c r="A1079" t="s">
        <v>1113</v>
      </c>
      <c r="B1079" s="2">
        <v>45414</v>
      </c>
      <c r="C1079" t="s">
        <v>1712</v>
      </c>
      <c r="D1079" t="s">
        <v>1863</v>
      </c>
      <c r="E1079" t="s">
        <v>1961</v>
      </c>
      <c r="F1079" t="s">
        <v>2239</v>
      </c>
      <c r="G1079" t="s">
        <v>2243</v>
      </c>
      <c r="H1079" t="s">
        <v>2258</v>
      </c>
      <c r="I1079" t="s">
        <v>2260</v>
      </c>
      <c r="J1079" t="s">
        <v>2265</v>
      </c>
      <c r="K1079">
        <v>2</v>
      </c>
      <c r="L1079">
        <v>65</v>
      </c>
      <c r="M1079">
        <v>0.05</v>
      </c>
      <c r="N1079">
        <v>130</v>
      </c>
      <c r="O1079">
        <v>123.5</v>
      </c>
      <c r="P1079" t="s">
        <v>2267</v>
      </c>
      <c r="R1079" t="s">
        <v>2273</v>
      </c>
      <c r="S1079" t="s">
        <v>2287</v>
      </c>
      <c r="T1079" t="s">
        <v>2288</v>
      </c>
      <c r="U1079">
        <v>5</v>
      </c>
      <c r="W1079">
        <v>19</v>
      </c>
      <c r="X1079">
        <v>25.1</v>
      </c>
      <c r="Y1079">
        <v>73.3</v>
      </c>
      <c r="Z1079" t="s">
        <v>2291</v>
      </c>
      <c r="AA1079" t="s">
        <v>2298</v>
      </c>
      <c r="AB1079">
        <v>130</v>
      </c>
      <c r="AC1079">
        <v>6.5</v>
      </c>
      <c r="AD1079">
        <v>123.5</v>
      </c>
      <c r="AE1079">
        <v>50.2</v>
      </c>
      <c r="AF1079">
        <v>73.3</v>
      </c>
      <c r="AG1079">
        <v>2024</v>
      </c>
      <c r="AH1079">
        <v>5</v>
      </c>
      <c r="AI1079" t="s">
        <v>2306</v>
      </c>
      <c r="AJ1079" t="s">
        <v>2316</v>
      </c>
    </row>
    <row r="1080" spans="1:36" x14ac:dyDescent="0.3">
      <c r="A1080" t="s">
        <v>1114</v>
      </c>
      <c r="B1080" s="2">
        <v>45535</v>
      </c>
      <c r="C1080" t="s">
        <v>1658</v>
      </c>
      <c r="D1080" t="s">
        <v>1903</v>
      </c>
      <c r="E1080" t="s">
        <v>2185</v>
      </c>
      <c r="F1080" t="s">
        <v>2239</v>
      </c>
      <c r="G1080" t="s">
        <v>2253</v>
      </c>
      <c r="H1080" t="s">
        <v>2258</v>
      </c>
      <c r="I1080" t="s">
        <v>2260</v>
      </c>
      <c r="J1080" t="s">
        <v>2265</v>
      </c>
      <c r="K1080">
        <v>2</v>
      </c>
      <c r="L1080">
        <v>100</v>
      </c>
      <c r="N1080">
        <v>200</v>
      </c>
      <c r="P1080" t="s">
        <v>2267</v>
      </c>
      <c r="Q1080" t="s">
        <v>2271</v>
      </c>
      <c r="R1080" t="s">
        <v>2274</v>
      </c>
      <c r="S1080" t="s">
        <v>2283</v>
      </c>
      <c r="T1080" t="s">
        <v>2288</v>
      </c>
      <c r="U1080">
        <v>4</v>
      </c>
      <c r="V1080">
        <v>176</v>
      </c>
      <c r="X1080">
        <v>39.99</v>
      </c>
      <c r="Z1080" t="s">
        <v>2293</v>
      </c>
      <c r="AA1080" t="s">
        <v>2297</v>
      </c>
      <c r="AB1080">
        <v>200</v>
      </c>
      <c r="AC1080">
        <v>0</v>
      </c>
      <c r="AD1080">
        <v>200</v>
      </c>
      <c r="AE1080">
        <v>79.98</v>
      </c>
      <c r="AF1080">
        <v>120.02</v>
      </c>
      <c r="AG1080">
        <v>2024</v>
      </c>
      <c r="AH1080">
        <v>8</v>
      </c>
      <c r="AI1080" t="s">
        <v>2301</v>
      </c>
      <c r="AJ1080" t="s">
        <v>2317</v>
      </c>
    </row>
    <row r="1081" spans="1:36" x14ac:dyDescent="0.3">
      <c r="A1081" t="s">
        <v>1115</v>
      </c>
      <c r="B1081" s="2">
        <v>45463</v>
      </c>
      <c r="C1081" t="s">
        <v>1695</v>
      </c>
      <c r="D1081" t="s">
        <v>1879</v>
      </c>
      <c r="E1081" t="s">
        <v>1989</v>
      </c>
      <c r="F1081" t="s">
        <v>2239</v>
      </c>
      <c r="G1081" t="s">
        <v>2252</v>
      </c>
      <c r="H1081" t="s">
        <v>2257</v>
      </c>
      <c r="I1081" t="s">
        <v>2262</v>
      </c>
      <c r="J1081" t="s">
        <v>2265</v>
      </c>
      <c r="K1081">
        <v>1</v>
      </c>
      <c r="L1081">
        <v>85</v>
      </c>
      <c r="M1081">
        <v>0.1</v>
      </c>
      <c r="N1081">
        <v>85</v>
      </c>
      <c r="O1081">
        <v>76.5</v>
      </c>
      <c r="P1081" t="s">
        <v>2269</v>
      </c>
      <c r="R1081" t="s">
        <v>2274</v>
      </c>
      <c r="S1081" t="s">
        <v>2285</v>
      </c>
      <c r="T1081" t="s">
        <v>2288</v>
      </c>
      <c r="V1081">
        <v>338</v>
      </c>
      <c r="X1081">
        <v>42.92</v>
      </c>
      <c r="Y1081">
        <v>33.58</v>
      </c>
      <c r="Z1081" t="s">
        <v>1761</v>
      </c>
      <c r="AA1081" t="s">
        <v>1761</v>
      </c>
      <c r="AB1081">
        <v>85</v>
      </c>
      <c r="AC1081">
        <v>8.5</v>
      </c>
      <c r="AD1081">
        <v>76.5</v>
      </c>
      <c r="AE1081">
        <v>42.92</v>
      </c>
      <c r="AF1081">
        <v>33.58</v>
      </c>
      <c r="AG1081">
        <v>2024</v>
      </c>
      <c r="AH1081">
        <v>6</v>
      </c>
      <c r="AI1081" t="s">
        <v>2304</v>
      </c>
      <c r="AJ1081" t="s">
        <v>2316</v>
      </c>
    </row>
    <row r="1082" spans="1:36" x14ac:dyDescent="0.3">
      <c r="A1082" t="s">
        <v>1116</v>
      </c>
      <c r="B1082" s="2">
        <v>45462</v>
      </c>
      <c r="C1082" t="s">
        <v>1735</v>
      </c>
      <c r="D1082" t="s">
        <v>1851</v>
      </c>
      <c r="E1082" t="s">
        <v>1951</v>
      </c>
      <c r="F1082" t="s">
        <v>1761</v>
      </c>
      <c r="G1082" t="s">
        <v>2252</v>
      </c>
      <c r="H1082" t="s">
        <v>2257</v>
      </c>
      <c r="I1082" t="s">
        <v>2262</v>
      </c>
      <c r="J1082" t="s">
        <v>2264</v>
      </c>
      <c r="K1082">
        <v>1</v>
      </c>
      <c r="L1082">
        <v>100</v>
      </c>
      <c r="M1082">
        <v>0.15</v>
      </c>
      <c r="N1082">
        <v>100</v>
      </c>
      <c r="O1082">
        <v>85</v>
      </c>
      <c r="P1082" t="s">
        <v>2268</v>
      </c>
      <c r="Q1082" t="s">
        <v>2270</v>
      </c>
      <c r="R1082" t="s">
        <v>2276</v>
      </c>
      <c r="S1082" t="s">
        <v>2285</v>
      </c>
      <c r="T1082" t="s">
        <v>2288</v>
      </c>
      <c r="U1082">
        <v>3</v>
      </c>
      <c r="V1082">
        <v>262</v>
      </c>
      <c r="W1082">
        <v>40</v>
      </c>
      <c r="X1082">
        <v>33.86</v>
      </c>
      <c r="Y1082">
        <v>51.14</v>
      </c>
      <c r="Z1082" t="s">
        <v>2294</v>
      </c>
      <c r="AA1082" t="s">
        <v>2297</v>
      </c>
      <c r="AB1082">
        <v>100</v>
      </c>
      <c r="AC1082">
        <v>15</v>
      </c>
      <c r="AD1082">
        <v>85</v>
      </c>
      <c r="AE1082">
        <v>33.86</v>
      </c>
      <c r="AF1082">
        <v>51.14</v>
      </c>
      <c r="AG1082">
        <v>2024</v>
      </c>
      <c r="AH1082">
        <v>6</v>
      </c>
      <c r="AI1082" t="s">
        <v>2304</v>
      </c>
      <c r="AJ1082" t="s">
        <v>2312</v>
      </c>
    </row>
    <row r="1083" spans="1:36" x14ac:dyDescent="0.3">
      <c r="A1083" t="s">
        <v>1117</v>
      </c>
      <c r="B1083" s="2">
        <v>45472</v>
      </c>
      <c r="C1083" t="s">
        <v>1704</v>
      </c>
      <c r="D1083" t="s">
        <v>1859</v>
      </c>
      <c r="E1083" t="s">
        <v>1952</v>
      </c>
      <c r="F1083" t="s">
        <v>2239</v>
      </c>
      <c r="G1083" t="s">
        <v>2241</v>
      </c>
      <c r="H1083" t="s">
        <v>2257</v>
      </c>
      <c r="I1083" t="s">
        <v>2262</v>
      </c>
      <c r="J1083" t="s">
        <v>2266</v>
      </c>
      <c r="K1083">
        <v>1</v>
      </c>
      <c r="L1083">
        <v>130</v>
      </c>
      <c r="M1083">
        <v>0</v>
      </c>
      <c r="N1083">
        <v>130</v>
      </c>
      <c r="O1083">
        <v>130</v>
      </c>
      <c r="Q1083" t="s">
        <v>2272</v>
      </c>
      <c r="R1083" t="s">
        <v>2279</v>
      </c>
      <c r="S1083" t="s">
        <v>2281</v>
      </c>
      <c r="T1083" t="s">
        <v>2288</v>
      </c>
      <c r="V1083">
        <v>481</v>
      </c>
      <c r="W1083">
        <v>46</v>
      </c>
      <c r="X1083">
        <v>55.19</v>
      </c>
      <c r="Y1083">
        <v>74.81</v>
      </c>
      <c r="Z1083" t="s">
        <v>2292</v>
      </c>
      <c r="AA1083" t="s">
        <v>2298</v>
      </c>
      <c r="AB1083">
        <v>130</v>
      </c>
      <c r="AC1083">
        <v>0</v>
      </c>
      <c r="AD1083">
        <v>130</v>
      </c>
      <c r="AE1083">
        <v>55.19</v>
      </c>
      <c r="AF1083">
        <v>74.81</v>
      </c>
      <c r="AG1083">
        <v>2024</v>
      </c>
      <c r="AH1083">
        <v>6</v>
      </c>
      <c r="AI1083" t="s">
        <v>2304</v>
      </c>
      <c r="AJ1083" t="s">
        <v>2317</v>
      </c>
    </row>
    <row r="1084" spans="1:36" x14ac:dyDescent="0.3">
      <c r="A1084" t="s">
        <v>1118</v>
      </c>
      <c r="B1084" s="2">
        <v>45325</v>
      </c>
      <c r="C1084" t="s">
        <v>1692</v>
      </c>
      <c r="D1084" t="s">
        <v>1874</v>
      </c>
      <c r="E1084" t="s">
        <v>2163</v>
      </c>
      <c r="F1084" t="s">
        <v>2240</v>
      </c>
      <c r="G1084" t="s">
        <v>2241</v>
      </c>
      <c r="H1084" t="s">
        <v>2257</v>
      </c>
      <c r="I1084" t="s">
        <v>2262</v>
      </c>
      <c r="J1084" t="s">
        <v>2264</v>
      </c>
      <c r="K1084">
        <v>2</v>
      </c>
      <c r="L1084">
        <v>135</v>
      </c>
      <c r="M1084">
        <v>0.1</v>
      </c>
      <c r="N1084">
        <v>270</v>
      </c>
      <c r="O1084">
        <v>243</v>
      </c>
      <c r="P1084" t="s">
        <v>2269</v>
      </c>
      <c r="Q1084" t="s">
        <v>2270</v>
      </c>
      <c r="R1084" t="s">
        <v>2279</v>
      </c>
      <c r="S1084" t="s">
        <v>2281</v>
      </c>
      <c r="T1084" t="s">
        <v>2288</v>
      </c>
      <c r="U1084">
        <v>5</v>
      </c>
      <c r="V1084">
        <v>98</v>
      </c>
      <c r="W1084">
        <v>50</v>
      </c>
      <c r="X1084">
        <v>63.19</v>
      </c>
      <c r="Y1084">
        <v>116.62</v>
      </c>
      <c r="Z1084" t="s">
        <v>2293</v>
      </c>
      <c r="AA1084" t="s">
        <v>1761</v>
      </c>
      <c r="AB1084">
        <v>270</v>
      </c>
      <c r="AC1084">
        <v>27</v>
      </c>
      <c r="AD1084">
        <v>243</v>
      </c>
      <c r="AE1084">
        <v>126.38</v>
      </c>
      <c r="AF1084">
        <v>116.62</v>
      </c>
      <c r="AG1084">
        <v>2024</v>
      </c>
      <c r="AH1084">
        <v>2</v>
      </c>
      <c r="AI1084" t="s">
        <v>2303</v>
      </c>
      <c r="AJ1084" t="s">
        <v>2317</v>
      </c>
    </row>
    <row r="1085" spans="1:36" x14ac:dyDescent="0.3">
      <c r="A1085" t="s">
        <v>1119</v>
      </c>
      <c r="B1085" s="2">
        <v>45417</v>
      </c>
      <c r="C1085" t="s">
        <v>1702</v>
      </c>
      <c r="D1085" t="s">
        <v>1755</v>
      </c>
      <c r="E1085" t="s">
        <v>1955</v>
      </c>
      <c r="F1085" t="s">
        <v>2240</v>
      </c>
      <c r="G1085" t="s">
        <v>2254</v>
      </c>
      <c r="H1085" t="s">
        <v>2259</v>
      </c>
      <c r="I1085" t="s">
        <v>2263</v>
      </c>
      <c r="J1085" t="s">
        <v>2266</v>
      </c>
      <c r="K1085">
        <v>1</v>
      </c>
      <c r="L1085">
        <v>120</v>
      </c>
      <c r="M1085">
        <v>0.1</v>
      </c>
      <c r="N1085">
        <v>120</v>
      </c>
      <c r="O1085">
        <v>108</v>
      </c>
      <c r="P1085" t="s">
        <v>2267</v>
      </c>
      <c r="R1085" t="s">
        <v>2275</v>
      </c>
      <c r="S1085" t="s">
        <v>2286</v>
      </c>
      <c r="T1085" t="s">
        <v>2288</v>
      </c>
      <c r="U1085">
        <v>3</v>
      </c>
      <c r="V1085">
        <v>447</v>
      </c>
      <c r="W1085">
        <v>52</v>
      </c>
      <c r="X1085">
        <v>60.57</v>
      </c>
      <c r="Y1085">
        <v>47.43</v>
      </c>
      <c r="Z1085" t="s">
        <v>1761</v>
      </c>
      <c r="AA1085" t="s">
        <v>1761</v>
      </c>
      <c r="AB1085">
        <v>120</v>
      </c>
      <c r="AC1085">
        <v>12</v>
      </c>
      <c r="AD1085">
        <v>108</v>
      </c>
      <c r="AE1085">
        <v>60.57</v>
      </c>
      <c r="AF1085">
        <v>47.43</v>
      </c>
      <c r="AG1085">
        <v>2024</v>
      </c>
      <c r="AH1085">
        <v>5</v>
      </c>
      <c r="AI1085" t="s">
        <v>2306</v>
      </c>
      <c r="AJ1085" t="s">
        <v>2318</v>
      </c>
    </row>
    <row r="1086" spans="1:36" x14ac:dyDescent="0.3">
      <c r="A1086" t="s">
        <v>1120</v>
      </c>
      <c r="B1086" s="2">
        <v>45431</v>
      </c>
      <c r="C1086" t="s">
        <v>1703</v>
      </c>
      <c r="D1086" t="s">
        <v>1888</v>
      </c>
      <c r="E1086" t="s">
        <v>2021</v>
      </c>
      <c r="F1086" t="s">
        <v>2240</v>
      </c>
      <c r="G1086" t="s">
        <v>2253</v>
      </c>
      <c r="H1086" t="s">
        <v>2258</v>
      </c>
      <c r="I1086" t="s">
        <v>2260</v>
      </c>
      <c r="J1086" t="s">
        <v>2264</v>
      </c>
      <c r="K1086">
        <v>4</v>
      </c>
      <c r="L1086">
        <v>90</v>
      </c>
      <c r="M1086">
        <v>0.1</v>
      </c>
      <c r="N1086">
        <v>360</v>
      </c>
      <c r="O1086">
        <v>324</v>
      </c>
      <c r="P1086" t="s">
        <v>2269</v>
      </c>
      <c r="Q1086" t="s">
        <v>2272</v>
      </c>
      <c r="R1086" t="s">
        <v>2278</v>
      </c>
      <c r="S1086" t="s">
        <v>2283</v>
      </c>
      <c r="T1086" t="s">
        <v>2289</v>
      </c>
      <c r="U1086">
        <v>5</v>
      </c>
      <c r="V1086">
        <v>49</v>
      </c>
      <c r="W1086">
        <v>34</v>
      </c>
      <c r="X1086">
        <v>48.37</v>
      </c>
      <c r="Y1086">
        <v>130.52000000000001</v>
      </c>
      <c r="Z1086" t="s">
        <v>1761</v>
      </c>
      <c r="AA1086" t="s">
        <v>2299</v>
      </c>
      <c r="AB1086">
        <v>360</v>
      </c>
      <c r="AC1086">
        <v>36</v>
      </c>
      <c r="AD1086">
        <v>324</v>
      </c>
      <c r="AE1086">
        <v>193.48</v>
      </c>
      <c r="AF1086">
        <v>130.52000000000001</v>
      </c>
      <c r="AG1086">
        <v>2024</v>
      </c>
      <c r="AH1086">
        <v>5</v>
      </c>
      <c r="AI1086" t="s">
        <v>2306</v>
      </c>
      <c r="AJ1086" t="s">
        <v>2318</v>
      </c>
    </row>
    <row r="1087" spans="1:36" x14ac:dyDescent="0.3">
      <c r="A1087" t="s">
        <v>1121</v>
      </c>
      <c r="B1087" s="2">
        <v>45453</v>
      </c>
      <c r="C1087" t="s">
        <v>1705</v>
      </c>
      <c r="D1087" t="s">
        <v>1926</v>
      </c>
      <c r="E1087" t="s">
        <v>2146</v>
      </c>
      <c r="F1087" t="s">
        <v>2240</v>
      </c>
      <c r="G1087" t="s">
        <v>2253</v>
      </c>
      <c r="H1087" t="s">
        <v>2258</v>
      </c>
      <c r="I1087" t="s">
        <v>2260</v>
      </c>
      <c r="J1087" t="s">
        <v>2264</v>
      </c>
      <c r="K1087">
        <v>2</v>
      </c>
      <c r="L1087">
        <v>100</v>
      </c>
      <c r="M1087">
        <v>0.05</v>
      </c>
      <c r="N1087">
        <v>200</v>
      </c>
      <c r="O1087">
        <v>190</v>
      </c>
      <c r="P1087" t="s">
        <v>2267</v>
      </c>
      <c r="Q1087" t="s">
        <v>2271</v>
      </c>
      <c r="R1087" t="s">
        <v>2279</v>
      </c>
      <c r="S1087" t="s">
        <v>2283</v>
      </c>
      <c r="T1087" t="s">
        <v>2288</v>
      </c>
      <c r="U1087">
        <v>5</v>
      </c>
      <c r="V1087">
        <v>335</v>
      </c>
      <c r="W1087">
        <v>26</v>
      </c>
      <c r="X1087">
        <v>42.23</v>
      </c>
      <c r="Y1087">
        <v>105.54</v>
      </c>
      <c r="Z1087" t="s">
        <v>1761</v>
      </c>
      <c r="AA1087" t="s">
        <v>2296</v>
      </c>
      <c r="AB1087">
        <v>200</v>
      </c>
      <c r="AC1087">
        <v>10</v>
      </c>
      <c r="AD1087">
        <v>190</v>
      </c>
      <c r="AE1087">
        <v>84.46</v>
      </c>
      <c r="AF1087">
        <v>105.54</v>
      </c>
      <c r="AG1087">
        <v>2024</v>
      </c>
      <c r="AH1087">
        <v>6</v>
      </c>
      <c r="AI1087" t="s">
        <v>2304</v>
      </c>
      <c r="AJ1087" t="s">
        <v>2314</v>
      </c>
    </row>
    <row r="1088" spans="1:36" x14ac:dyDescent="0.3">
      <c r="A1088" t="s">
        <v>1122</v>
      </c>
      <c r="B1088" s="2">
        <v>45545</v>
      </c>
      <c r="C1088" t="s">
        <v>1651</v>
      </c>
      <c r="D1088" t="s">
        <v>1771</v>
      </c>
      <c r="E1088" t="s">
        <v>2204</v>
      </c>
      <c r="F1088" t="s">
        <v>2239</v>
      </c>
      <c r="G1088" t="s">
        <v>2249</v>
      </c>
      <c r="H1088" t="s">
        <v>2257</v>
      </c>
      <c r="I1088" t="s">
        <v>2263</v>
      </c>
      <c r="J1088" t="s">
        <v>2264</v>
      </c>
      <c r="K1088">
        <v>1</v>
      </c>
      <c r="L1088">
        <v>165</v>
      </c>
      <c r="M1088">
        <v>0.05</v>
      </c>
      <c r="N1088">
        <v>165</v>
      </c>
      <c r="O1088">
        <v>156.75</v>
      </c>
      <c r="P1088" t="s">
        <v>2268</v>
      </c>
      <c r="R1088" t="s">
        <v>2278</v>
      </c>
      <c r="S1088" t="s">
        <v>2284</v>
      </c>
      <c r="T1088" t="s">
        <v>2288</v>
      </c>
      <c r="U1088">
        <v>2</v>
      </c>
      <c r="V1088">
        <v>211</v>
      </c>
      <c r="X1088">
        <v>84.52</v>
      </c>
      <c r="Y1088">
        <v>72.23</v>
      </c>
      <c r="Z1088" t="s">
        <v>1761</v>
      </c>
      <c r="AA1088" t="s">
        <v>2298</v>
      </c>
      <c r="AB1088">
        <v>165</v>
      </c>
      <c r="AC1088">
        <v>8.25</v>
      </c>
      <c r="AD1088">
        <v>156.75</v>
      </c>
      <c r="AE1088">
        <v>84.52</v>
      </c>
      <c r="AF1088">
        <v>72.23</v>
      </c>
      <c r="AG1088">
        <v>2024</v>
      </c>
      <c r="AH1088">
        <v>9</v>
      </c>
      <c r="AI1088" t="s">
        <v>2300</v>
      </c>
      <c r="AJ1088" t="s">
        <v>2313</v>
      </c>
    </row>
    <row r="1089" spans="1:36" x14ac:dyDescent="0.3">
      <c r="A1089" t="s">
        <v>1123</v>
      </c>
      <c r="B1089" s="2">
        <v>45507</v>
      </c>
      <c r="C1089" t="s">
        <v>1657</v>
      </c>
      <c r="D1089" t="s">
        <v>1838</v>
      </c>
      <c r="E1089" t="s">
        <v>2091</v>
      </c>
      <c r="F1089" t="s">
        <v>2239</v>
      </c>
      <c r="G1089" t="s">
        <v>2245</v>
      </c>
      <c r="H1089" t="s">
        <v>2257</v>
      </c>
      <c r="I1089" t="s">
        <v>2263</v>
      </c>
      <c r="J1089" t="s">
        <v>2266</v>
      </c>
      <c r="K1089">
        <v>1</v>
      </c>
      <c r="L1089">
        <v>150</v>
      </c>
      <c r="M1089">
        <v>0.1</v>
      </c>
      <c r="N1089">
        <v>150</v>
      </c>
      <c r="O1089">
        <v>135</v>
      </c>
      <c r="P1089" t="s">
        <v>2269</v>
      </c>
      <c r="Q1089" t="s">
        <v>2270</v>
      </c>
      <c r="R1089" t="s">
        <v>2279</v>
      </c>
      <c r="S1089" t="s">
        <v>2281</v>
      </c>
      <c r="T1089" t="s">
        <v>2288</v>
      </c>
      <c r="U1089">
        <v>4</v>
      </c>
      <c r="W1089">
        <v>19</v>
      </c>
      <c r="X1089">
        <v>78.75</v>
      </c>
      <c r="Y1089">
        <v>56.25</v>
      </c>
      <c r="Z1089" t="s">
        <v>1761</v>
      </c>
      <c r="AA1089" t="s">
        <v>2297</v>
      </c>
      <c r="AB1089">
        <v>150</v>
      </c>
      <c r="AC1089">
        <v>15</v>
      </c>
      <c r="AD1089">
        <v>135</v>
      </c>
      <c r="AE1089">
        <v>78.75</v>
      </c>
      <c r="AF1089">
        <v>56.25</v>
      </c>
      <c r="AG1089">
        <v>2024</v>
      </c>
      <c r="AH1089">
        <v>8</v>
      </c>
      <c r="AI1089" t="s">
        <v>2301</v>
      </c>
      <c r="AJ1089" t="s">
        <v>2317</v>
      </c>
    </row>
    <row r="1090" spans="1:36" x14ac:dyDescent="0.3">
      <c r="A1090" t="s">
        <v>1124</v>
      </c>
      <c r="B1090" s="2">
        <v>45442</v>
      </c>
      <c r="C1090" t="s">
        <v>1649</v>
      </c>
      <c r="D1090" t="s">
        <v>1863</v>
      </c>
      <c r="E1090" t="s">
        <v>2125</v>
      </c>
      <c r="F1090" t="s">
        <v>2240</v>
      </c>
      <c r="G1090" t="s">
        <v>2243</v>
      </c>
      <c r="H1090" t="s">
        <v>2258</v>
      </c>
      <c r="I1090" t="s">
        <v>2260</v>
      </c>
      <c r="J1090" t="s">
        <v>2265</v>
      </c>
      <c r="K1090">
        <v>1</v>
      </c>
      <c r="L1090">
        <v>75</v>
      </c>
      <c r="N1090">
        <v>75</v>
      </c>
      <c r="P1090" t="s">
        <v>2268</v>
      </c>
      <c r="Q1090" t="s">
        <v>2272</v>
      </c>
      <c r="R1090" t="s">
        <v>2273</v>
      </c>
      <c r="S1090" t="s">
        <v>2282</v>
      </c>
      <c r="T1090" t="s">
        <v>2289</v>
      </c>
      <c r="U1090">
        <v>2</v>
      </c>
      <c r="W1090">
        <v>21</v>
      </c>
      <c r="X1090">
        <v>33.799999999999997</v>
      </c>
      <c r="Z1090" t="s">
        <v>2294</v>
      </c>
      <c r="AA1090" t="s">
        <v>2297</v>
      </c>
      <c r="AB1090">
        <v>75</v>
      </c>
      <c r="AC1090">
        <v>0</v>
      </c>
      <c r="AD1090">
        <v>75</v>
      </c>
      <c r="AE1090">
        <v>33.799999999999997</v>
      </c>
      <c r="AF1090">
        <v>41.2</v>
      </c>
      <c r="AG1090">
        <v>2024</v>
      </c>
      <c r="AH1090">
        <v>5</v>
      </c>
      <c r="AI1090" t="s">
        <v>2306</v>
      </c>
      <c r="AJ1090" t="s">
        <v>2316</v>
      </c>
    </row>
    <row r="1091" spans="1:36" x14ac:dyDescent="0.3">
      <c r="A1091" t="s">
        <v>1125</v>
      </c>
      <c r="B1091" s="2">
        <v>45596</v>
      </c>
      <c r="C1091" t="s">
        <v>1684</v>
      </c>
      <c r="D1091" t="s">
        <v>1864</v>
      </c>
      <c r="E1091" t="s">
        <v>2014</v>
      </c>
      <c r="F1091" t="s">
        <v>1761</v>
      </c>
      <c r="G1091" t="s">
        <v>2242</v>
      </c>
      <c r="H1091" t="s">
        <v>2258</v>
      </c>
      <c r="I1091" t="s">
        <v>2260</v>
      </c>
      <c r="J1091" t="s">
        <v>2265</v>
      </c>
      <c r="K1091">
        <v>3</v>
      </c>
      <c r="L1091">
        <v>120</v>
      </c>
      <c r="M1091">
        <v>0.1</v>
      </c>
      <c r="N1091">
        <v>360</v>
      </c>
      <c r="O1091">
        <v>324</v>
      </c>
      <c r="P1091" t="s">
        <v>2268</v>
      </c>
      <c r="Q1091" t="s">
        <v>2271</v>
      </c>
      <c r="R1091" t="s">
        <v>2279</v>
      </c>
      <c r="S1091" t="s">
        <v>2282</v>
      </c>
      <c r="T1091" t="s">
        <v>2288</v>
      </c>
      <c r="U1091">
        <v>1</v>
      </c>
      <c r="V1091">
        <v>202</v>
      </c>
      <c r="W1091">
        <v>48</v>
      </c>
      <c r="X1091">
        <v>52.32</v>
      </c>
      <c r="Y1091">
        <v>167.04</v>
      </c>
      <c r="Z1091" t="s">
        <v>2293</v>
      </c>
      <c r="AA1091" t="s">
        <v>1761</v>
      </c>
      <c r="AB1091">
        <v>360</v>
      </c>
      <c r="AC1091">
        <v>36</v>
      </c>
      <c r="AD1091">
        <v>324</v>
      </c>
      <c r="AE1091">
        <v>156.96</v>
      </c>
      <c r="AF1091">
        <v>167.04</v>
      </c>
      <c r="AG1091">
        <v>2024</v>
      </c>
      <c r="AH1091">
        <v>10</v>
      </c>
      <c r="AI1091" t="s">
        <v>2310</v>
      </c>
      <c r="AJ1091" t="s">
        <v>2316</v>
      </c>
    </row>
    <row r="1092" spans="1:36" x14ac:dyDescent="0.3">
      <c r="A1092" t="s">
        <v>1126</v>
      </c>
      <c r="B1092" s="2">
        <v>45530</v>
      </c>
      <c r="C1092" t="s">
        <v>1695</v>
      </c>
      <c r="D1092" t="s">
        <v>1773</v>
      </c>
      <c r="E1092" t="s">
        <v>2159</v>
      </c>
      <c r="F1092" t="s">
        <v>2240</v>
      </c>
      <c r="G1092" t="s">
        <v>2243</v>
      </c>
      <c r="H1092" t="s">
        <v>2258</v>
      </c>
      <c r="I1092" t="s">
        <v>2260</v>
      </c>
      <c r="K1092">
        <v>2</v>
      </c>
      <c r="L1092">
        <v>70</v>
      </c>
      <c r="M1092">
        <v>0.05</v>
      </c>
      <c r="N1092">
        <v>140</v>
      </c>
      <c r="O1092">
        <v>133</v>
      </c>
      <c r="Q1092" t="s">
        <v>2270</v>
      </c>
      <c r="R1092" t="s">
        <v>2279</v>
      </c>
      <c r="S1092" t="s">
        <v>2283</v>
      </c>
      <c r="T1092" t="s">
        <v>2288</v>
      </c>
      <c r="U1092">
        <v>2</v>
      </c>
      <c r="V1092">
        <v>122</v>
      </c>
      <c r="W1092">
        <v>27</v>
      </c>
      <c r="X1092">
        <v>36.29</v>
      </c>
      <c r="Y1092">
        <v>60.42</v>
      </c>
      <c r="Z1092" t="s">
        <v>2292</v>
      </c>
      <c r="AA1092" t="s">
        <v>2296</v>
      </c>
      <c r="AB1092">
        <v>140</v>
      </c>
      <c r="AC1092">
        <v>7</v>
      </c>
      <c r="AD1092">
        <v>133</v>
      </c>
      <c r="AE1092">
        <v>72.58</v>
      </c>
      <c r="AF1092">
        <v>60.42</v>
      </c>
      <c r="AG1092">
        <v>2024</v>
      </c>
      <c r="AH1092">
        <v>8</v>
      </c>
      <c r="AI1092" t="s">
        <v>2301</v>
      </c>
      <c r="AJ1092" t="s">
        <v>2314</v>
      </c>
    </row>
    <row r="1093" spans="1:36" x14ac:dyDescent="0.3">
      <c r="A1093" t="s">
        <v>1127</v>
      </c>
      <c r="B1093" s="2">
        <v>45437</v>
      </c>
      <c r="C1093" t="s">
        <v>1660</v>
      </c>
      <c r="D1093" t="s">
        <v>1864</v>
      </c>
      <c r="E1093" t="s">
        <v>2206</v>
      </c>
      <c r="F1093" t="s">
        <v>2240</v>
      </c>
      <c r="G1093" t="s">
        <v>2246</v>
      </c>
      <c r="H1093" t="s">
        <v>2259</v>
      </c>
      <c r="I1093" t="s">
        <v>2262</v>
      </c>
      <c r="K1093">
        <v>1</v>
      </c>
      <c r="L1093">
        <v>95</v>
      </c>
      <c r="M1093">
        <v>0</v>
      </c>
      <c r="N1093">
        <v>95</v>
      </c>
      <c r="O1093">
        <v>95</v>
      </c>
      <c r="P1093" t="s">
        <v>2269</v>
      </c>
      <c r="Q1093" t="s">
        <v>2270</v>
      </c>
      <c r="R1093" t="s">
        <v>2279</v>
      </c>
      <c r="S1093" t="s">
        <v>2286</v>
      </c>
      <c r="T1093" t="s">
        <v>2288</v>
      </c>
      <c r="V1093">
        <v>453</v>
      </c>
      <c r="X1093">
        <v>51.94</v>
      </c>
      <c r="Y1093">
        <v>43.06</v>
      </c>
      <c r="Z1093" t="s">
        <v>2293</v>
      </c>
      <c r="AA1093" t="s">
        <v>2296</v>
      </c>
      <c r="AB1093">
        <v>95</v>
      </c>
      <c r="AC1093">
        <v>0</v>
      </c>
      <c r="AD1093">
        <v>95</v>
      </c>
      <c r="AE1093">
        <v>51.94</v>
      </c>
      <c r="AF1093">
        <v>43.06</v>
      </c>
      <c r="AG1093">
        <v>2024</v>
      </c>
      <c r="AH1093">
        <v>5</v>
      </c>
      <c r="AI1093" t="s">
        <v>2306</v>
      </c>
      <c r="AJ1093" t="s">
        <v>2317</v>
      </c>
    </row>
    <row r="1094" spans="1:36" x14ac:dyDescent="0.3">
      <c r="A1094" t="s">
        <v>1128</v>
      </c>
      <c r="B1094" s="2">
        <v>45642</v>
      </c>
      <c r="C1094" t="s">
        <v>1656</v>
      </c>
      <c r="D1094" t="s">
        <v>1901</v>
      </c>
      <c r="E1094" t="s">
        <v>1959</v>
      </c>
      <c r="F1094" t="s">
        <v>2239</v>
      </c>
      <c r="G1094" t="s">
        <v>2254</v>
      </c>
      <c r="H1094" t="s">
        <v>2259</v>
      </c>
      <c r="I1094" t="s">
        <v>2263</v>
      </c>
      <c r="J1094" t="s">
        <v>2265</v>
      </c>
      <c r="K1094">
        <v>3</v>
      </c>
      <c r="L1094">
        <v>110</v>
      </c>
      <c r="M1094">
        <v>0.05</v>
      </c>
      <c r="N1094">
        <v>330</v>
      </c>
      <c r="O1094">
        <v>313.5</v>
      </c>
      <c r="P1094" t="s">
        <v>2267</v>
      </c>
      <c r="Q1094" t="s">
        <v>2270</v>
      </c>
      <c r="R1094" t="s">
        <v>2279</v>
      </c>
      <c r="S1094" t="s">
        <v>2281</v>
      </c>
      <c r="T1094" t="s">
        <v>2288</v>
      </c>
      <c r="U1094">
        <v>3</v>
      </c>
      <c r="V1094">
        <v>375</v>
      </c>
      <c r="W1094">
        <v>23</v>
      </c>
      <c r="X1094">
        <v>43.55</v>
      </c>
      <c r="Y1094">
        <v>182.85</v>
      </c>
      <c r="Z1094" t="s">
        <v>2294</v>
      </c>
      <c r="AA1094" t="s">
        <v>2296</v>
      </c>
      <c r="AB1094">
        <v>330</v>
      </c>
      <c r="AC1094">
        <v>16.5</v>
      </c>
      <c r="AD1094">
        <v>313.5</v>
      </c>
      <c r="AE1094">
        <v>130.65</v>
      </c>
      <c r="AF1094">
        <v>182.85</v>
      </c>
      <c r="AG1094">
        <v>2024</v>
      </c>
      <c r="AH1094">
        <v>12</v>
      </c>
      <c r="AI1094" t="s">
        <v>2309</v>
      </c>
      <c r="AJ1094" t="s">
        <v>2314</v>
      </c>
    </row>
    <row r="1095" spans="1:36" x14ac:dyDescent="0.3">
      <c r="A1095" t="s">
        <v>1129</v>
      </c>
      <c r="B1095" s="2">
        <v>45368</v>
      </c>
      <c r="C1095" t="s">
        <v>1729</v>
      </c>
      <c r="D1095" t="s">
        <v>1793</v>
      </c>
      <c r="E1095" t="s">
        <v>2193</v>
      </c>
      <c r="F1095" t="s">
        <v>2240</v>
      </c>
      <c r="G1095" t="s">
        <v>2250</v>
      </c>
      <c r="H1095" t="s">
        <v>2259</v>
      </c>
      <c r="I1095" t="s">
        <v>2262</v>
      </c>
      <c r="J1095" t="s">
        <v>2265</v>
      </c>
      <c r="K1095">
        <v>2</v>
      </c>
      <c r="L1095">
        <v>80</v>
      </c>
      <c r="M1095">
        <v>0.15</v>
      </c>
      <c r="N1095">
        <v>160</v>
      </c>
      <c r="O1095">
        <v>136</v>
      </c>
      <c r="P1095" t="s">
        <v>2267</v>
      </c>
      <c r="R1095" t="s">
        <v>2279</v>
      </c>
      <c r="S1095" t="s">
        <v>2285</v>
      </c>
      <c r="T1095" t="s">
        <v>2290</v>
      </c>
      <c r="U1095">
        <v>5</v>
      </c>
      <c r="V1095">
        <v>125</v>
      </c>
      <c r="X1095">
        <v>30.83</v>
      </c>
      <c r="Y1095">
        <v>74.34</v>
      </c>
      <c r="Z1095" t="s">
        <v>2291</v>
      </c>
      <c r="AA1095" t="s">
        <v>2296</v>
      </c>
      <c r="AB1095">
        <v>160</v>
      </c>
      <c r="AC1095">
        <v>24</v>
      </c>
      <c r="AD1095">
        <v>136</v>
      </c>
      <c r="AE1095">
        <v>61.66</v>
      </c>
      <c r="AF1095">
        <v>74.34</v>
      </c>
      <c r="AG1095">
        <v>2024</v>
      </c>
      <c r="AH1095">
        <v>3</v>
      </c>
      <c r="AI1095" t="s">
        <v>2305</v>
      </c>
      <c r="AJ1095" t="s">
        <v>2318</v>
      </c>
    </row>
    <row r="1096" spans="1:36" x14ac:dyDescent="0.3">
      <c r="A1096" t="s">
        <v>1130</v>
      </c>
      <c r="B1096" s="2">
        <v>45472</v>
      </c>
      <c r="C1096" t="s">
        <v>1651</v>
      </c>
      <c r="D1096" t="s">
        <v>1811</v>
      </c>
      <c r="E1096" t="s">
        <v>1761</v>
      </c>
      <c r="F1096" t="s">
        <v>2239</v>
      </c>
      <c r="G1096" t="s">
        <v>2250</v>
      </c>
      <c r="H1096" t="s">
        <v>2259</v>
      </c>
      <c r="I1096" t="s">
        <v>2262</v>
      </c>
      <c r="J1096" t="s">
        <v>2264</v>
      </c>
      <c r="K1096">
        <v>2</v>
      </c>
      <c r="L1096">
        <v>90</v>
      </c>
      <c r="M1096">
        <v>0</v>
      </c>
      <c r="N1096">
        <v>180</v>
      </c>
      <c r="O1096">
        <v>180</v>
      </c>
      <c r="P1096" t="s">
        <v>2268</v>
      </c>
      <c r="Q1096" t="s">
        <v>2272</v>
      </c>
      <c r="R1096" t="s">
        <v>2279</v>
      </c>
      <c r="S1096" t="s">
        <v>2282</v>
      </c>
      <c r="T1096" t="s">
        <v>2288</v>
      </c>
      <c r="U1096">
        <v>5</v>
      </c>
      <c r="V1096">
        <v>77</v>
      </c>
      <c r="W1096">
        <v>32</v>
      </c>
      <c r="X1096">
        <v>28.49</v>
      </c>
      <c r="Y1096">
        <v>123.02</v>
      </c>
      <c r="Z1096" t="s">
        <v>2293</v>
      </c>
      <c r="AA1096" t="s">
        <v>2299</v>
      </c>
      <c r="AB1096">
        <v>180</v>
      </c>
      <c r="AC1096">
        <v>0</v>
      </c>
      <c r="AD1096">
        <v>180</v>
      </c>
      <c r="AE1096">
        <v>56.98</v>
      </c>
      <c r="AF1096">
        <v>123.02</v>
      </c>
      <c r="AG1096">
        <v>2024</v>
      </c>
      <c r="AH1096">
        <v>6</v>
      </c>
      <c r="AI1096" t="s">
        <v>2304</v>
      </c>
      <c r="AJ1096" t="s">
        <v>2317</v>
      </c>
    </row>
    <row r="1097" spans="1:36" x14ac:dyDescent="0.3">
      <c r="A1097" t="s">
        <v>1131</v>
      </c>
      <c r="B1097" s="2">
        <v>45365</v>
      </c>
      <c r="C1097" t="s">
        <v>1654</v>
      </c>
      <c r="D1097" t="s">
        <v>1832</v>
      </c>
      <c r="E1097" t="s">
        <v>1995</v>
      </c>
      <c r="F1097" t="s">
        <v>2239</v>
      </c>
      <c r="G1097" t="s">
        <v>2256</v>
      </c>
      <c r="H1097" t="s">
        <v>2261</v>
      </c>
      <c r="I1097" t="s">
        <v>2260</v>
      </c>
      <c r="K1097">
        <v>1</v>
      </c>
      <c r="L1097">
        <v>190</v>
      </c>
      <c r="N1097">
        <v>190</v>
      </c>
      <c r="P1097" t="s">
        <v>2269</v>
      </c>
      <c r="Q1097" t="s">
        <v>2270</v>
      </c>
      <c r="R1097" t="s">
        <v>2276</v>
      </c>
      <c r="S1097" t="s">
        <v>2282</v>
      </c>
      <c r="T1097" t="s">
        <v>2288</v>
      </c>
      <c r="U1097">
        <v>5</v>
      </c>
      <c r="V1097">
        <v>177</v>
      </c>
      <c r="W1097">
        <v>37</v>
      </c>
      <c r="X1097">
        <v>97.09</v>
      </c>
      <c r="Z1097" t="s">
        <v>2293</v>
      </c>
      <c r="AA1097" t="s">
        <v>2297</v>
      </c>
      <c r="AB1097">
        <v>190</v>
      </c>
      <c r="AC1097">
        <v>0</v>
      </c>
      <c r="AD1097">
        <v>190</v>
      </c>
      <c r="AE1097">
        <v>97.09</v>
      </c>
      <c r="AF1097">
        <v>92.91</v>
      </c>
      <c r="AG1097">
        <v>2024</v>
      </c>
      <c r="AH1097">
        <v>3</v>
      </c>
      <c r="AI1097" t="s">
        <v>2305</v>
      </c>
      <c r="AJ1097" t="s">
        <v>2316</v>
      </c>
    </row>
    <row r="1098" spans="1:36" x14ac:dyDescent="0.3">
      <c r="A1098" t="s">
        <v>1132</v>
      </c>
      <c r="B1098" s="2">
        <v>45433</v>
      </c>
      <c r="C1098" t="s">
        <v>1703</v>
      </c>
      <c r="D1098" t="s">
        <v>1850</v>
      </c>
      <c r="E1098" t="s">
        <v>2123</v>
      </c>
      <c r="F1098" t="s">
        <v>1761</v>
      </c>
      <c r="G1098" t="s">
        <v>2254</v>
      </c>
      <c r="H1098" t="s">
        <v>2259</v>
      </c>
      <c r="I1098" t="s">
        <v>2263</v>
      </c>
      <c r="J1098" t="s">
        <v>2265</v>
      </c>
      <c r="K1098">
        <v>1</v>
      </c>
      <c r="L1098">
        <v>110</v>
      </c>
      <c r="N1098">
        <v>110</v>
      </c>
      <c r="P1098" t="s">
        <v>2269</v>
      </c>
      <c r="Q1098" t="s">
        <v>2272</v>
      </c>
      <c r="R1098" t="s">
        <v>2279</v>
      </c>
      <c r="S1098" t="s">
        <v>2286</v>
      </c>
      <c r="T1098" t="s">
        <v>2288</v>
      </c>
      <c r="U1098">
        <v>4</v>
      </c>
      <c r="V1098">
        <v>375</v>
      </c>
      <c r="X1098">
        <v>63.86</v>
      </c>
      <c r="Z1098" t="s">
        <v>2293</v>
      </c>
      <c r="AA1098" t="s">
        <v>2296</v>
      </c>
      <c r="AB1098">
        <v>110</v>
      </c>
      <c r="AC1098">
        <v>0</v>
      </c>
      <c r="AD1098">
        <v>110</v>
      </c>
      <c r="AE1098">
        <v>63.86</v>
      </c>
      <c r="AF1098">
        <v>46.14</v>
      </c>
      <c r="AG1098">
        <v>2024</v>
      </c>
      <c r="AH1098">
        <v>5</v>
      </c>
      <c r="AI1098" t="s">
        <v>2306</v>
      </c>
      <c r="AJ1098" t="s">
        <v>2313</v>
      </c>
    </row>
    <row r="1099" spans="1:36" x14ac:dyDescent="0.3">
      <c r="A1099" t="s">
        <v>1133</v>
      </c>
      <c r="B1099" s="2">
        <v>45475</v>
      </c>
      <c r="C1099" t="s">
        <v>1690</v>
      </c>
      <c r="D1099" t="s">
        <v>1811</v>
      </c>
      <c r="E1099" t="s">
        <v>2047</v>
      </c>
      <c r="F1099" t="s">
        <v>1761</v>
      </c>
      <c r="G1099" t="s">
        <v>2246</v>
      </c>
      <c r="H1099" t="s">
        <v>2259</v>
      </c>
      <c r="I1099" t="s">
        <v>2262</v>
      </c>
      <c r="J1099" t="s">
        <v>2266</v>
      </c>
      <c r="K1099">
        <v>1</v>
      </c>
      <c r="L1099">
        <v>100</v>
      </c>
      <c r="M1099">
        <v>0</v>
      </c>
      <c r="N1099">
        <v>100</v>
      </c>
      <c r="O1099">
        <v>100</v>
      </c>
      <c r="P1099" t="s">
        <v>2267</v>
      </c>
      <c r="Q1099" t="s">
        <v>2272</v>
      </c>
      <c r="R1099" t="s">
        <v>2278</v>
      </c>
      <c r="S1099" t="s">
        <v>2280</v>
      </c>
      <c r="T1099" t="s">
        <v>2288</v>
      </c>
      <c r="U1099">
        <v>2</v>
      </c>
      <c r="V1099">
        <v>389</v>
      </c>
      <c r="W1099">
        <v>13</v>
      </c>
      <c r="X1099">
        <v>40.71</v>
      </c>
      <c r="Y1099">
        <v>59.29</v>
      </c>
      <c r="Z1099" t="s">
        <v>2291</v>
      </c>
      <c r="AA1099" t="s">
        <v>2296</v>
      </c>
      <c r="AB1099">
        <v>100</v>
      </c>
      <c r="AC1099">
        <v>0</v>
      </c>
      <c r="AD1099">
        <v>100</v>
      </c>
      <c r="AE1099">
        <v>40.71</v>
      </c>
      <c r="AF1099">
        <v>59.29</v>
      </c>
      <c r="AG1099">
        <v>2024</v>
      </c>
      <c r="AH1099">
        <v>7</v>
      </c>
      <c r="AI1099" t="s">
        <v>2307</v>
      </c>
      <c r="AJ1099" t="s">
        <v>2313</v>
      </c>
    </row>
    <row r="1100" spans="1:36" x14ac:dyDescent="0.3">
      <c r="A1100" t="s">
        <v>1134</v>
      </c>
      <c r="B1100" s="2">
        <v>45648</v>
      </c>
      <c r="C1100" t="s">
        <v>1698</v>
      </c>
      <c r="D1100" t="s">
        <v>1791</v>
      </c>
      <c r="E1100" t="s">
        <v>1970</v>
      </c>
      <c r="F1100" t="s">
        <v>2239</v>
      </c>
      <c r="G1100" t="s">
        <v>2253</v>
      </c>
      <c r="H1100" t="s">
        <v>2258</v>
      </c>
      <c r="I1100" t="s">
        <v>2260</v>
      </c>
      <c r="J1100" t="s">
        <v>2265</v>
      </c>
      <c r="K1100">
        <v>1</v>
      </c>
      <c r="L1100">
        <v>90</v>
      </c>
      <c r="M1100">
        <v>0.05</v>
      </c>
      <c r="N1100">
        <v>90</v>
      </c>
      <c r="O1100">
        <v>85.5</v>
      </c>
      <c r="P1100" t="s">
        <v>2268</v>
      </c>
      <c r="Q1100" t="s">
        <v>2272</v>
      </c>
      <c r="R1100" t="s">
        <v>2273</v>
      </c>
      <c r="S1100" t="s">
        <v>2285</v>
      </c>
      <c r="T1100" t="s">
        <v>2289</v>
      </c>
      <c r="U1100">
        <v>2</v>
      </c>
      <c r="V1100">
        <v>272</v>
      </c>
      <c r="X1100">
        <v>46.97</v>
      </c>
      <c r="Y1100">
        <v>38.53</v>
      </c>
      <c r="Z1100" t="s">
        <v>2291</v>
      </c>
      <c r="AA1100" t="s">
        <v>2296</v>
      </c>
      <c r="AB1100">
        <v>90</v>
      </c>
      <c r="AC1100">
        <v>4.5</v>
      </c>
      <c r="AD1100">
        <v>85.5</v>
      </c>
      <c r="AE1100">
        <v>46.97</v>
      </c>
      <c r="AF1100">
        <v>38.53</v>
      </c>
      <c r="AG1100">
        <v>2024</v>
      </c>
      <c r="AH1100">
        <v>12</v>
      </c>
      <c r="AI1100" t="s">
        <v>2309</v>
      </c>
      <c r="AJ1100" t="s">
        <v>2318</v>
      </c>
    </row>
    <row r="1101" spans="1:36" x14ac:dyDescent="0.3">
      <c r="A1101" t="s">
        <v>1135</v>
      </c>
      <c r="B1101" s="2">
        <v>45579</v>
      </c>
      <c r="C1101" t="s">
        <v>1703</v>
      </c>
      <c r="D1101" t="s">
        <v>1858</v>
      </c>
      <c r="E1101" t="s">
        <v>2096</v>
      </c>
      <c r="F1101" t="s">
        <v>2239</v>
      </c>
      <c r="G1101" t="s">
        <v>2241</v>
      </c>
      <c r="H1101" t="s">
        <v>2257</v>
      </c>
      <c r="I1101" t="s">
        <v>2262</v>
      </c>
      <c r="J1101" t="s">
        <v>2266</v>
      </c>
      <c r="K1101">
        <v>1</v>
      </c>
      <c r="L1101">
        <v>135</v>
      </c>
      <c r="M1101">
        <v>0</v>
      </c>
      <c r="N1101">
        <v>135</v>
      </c>
      <c r="O1101">
        <v>135</v>
      </c>
      <c r="P1101" t="s">
        <v>2269</v>
      </c>
      <c r="Q1101" t="s">
        <v>2271</v>
      </c>
      <c r="R1101" t="s">
        <v>2275</v>
      </c>
      <c r="S1101" t="s">
        <v>2287</v>
      </c>
      <c r="T1101" t="s">
        <v>2288</v>
      </c>
      <c r="U1101">
        <v>3</v>
      </c>
      <c r="V1101">
        <v>410</v>
      </c>
      <c r="W1101">
        <v>43</v>
      </c>
      <c r="X1101">
        <v>66.2</v>
      </c>
      <c r="Y1101">
        <v>68.8</v>
      </c>
      <c r="Z1101" t="s">
        <v>2294</v>
      </c>
      <c r="AA1101" t="s">
        <v>2298</v>
      </c>
      <c r="AB1101">
        <v>135</v>
      </c>
      <c r="AC1101">
        <v>0</v>
      </c>
      <c r="AD1101">
        <v>135</v>
      </c>
      <c r="AE1101">
        <v>66.2</v>
      </c>
      <c r="AF1101">
        <v>68.8</v>
      </c>
      <c r="AG1101">
        <v>2024</v>
      </c>
      <c r="AH1101">
        <v>10</v>
      </c>
      <c r="AI1101" t="s">
        <v>2310</v>
      </c>
      <c r="AJ1101" t="s">
        <v>2314</v>
      </c>
    </row>
    <row r="1102" spans="1:36" x14ac:dyDescent="0.3">
      <c r="A1102" t="s">
        <v>1136</v>
      </c>
      <c r="B1102" s="2">
        <v>45361</v>
      </c>
      <c r="C1102" t="s">
        <v>1710</v>
      </c>
      <c r="D1102" t="s">
        <v>1811</v>
      </c>
      <c r="E1102" t="s">
        <v>2055</v>
      </c>
      <c r="F1102" t="s">
        <v>2238</v>
      </c>
      <c r="G1102" t="s">
        <v>2256</v>
      </c>
      <c r="H1102" t="s">
        <v>2261</v>
      </c>
      <c r="I1102" t="s">
        <v>2260</v>
      </c>
      <c r="J1102" t="s">
        <v>2266</v>
      </c>
      <c r="K1102">
        <v>1</v>
      </c>
      <c r="L1102">
        <v>190</v>
      </c>
      <c r="M1102">
        <v>0.05</v>
      </c>
      <c r="N1102">
        <v>190</v>
      </c>
      <c r="O1102">
        <v>180.5</v>
      </c>
      <c r="Q1102" t="s">
        <v>2272</v>
      </c>
      <c r="R1102" t="s">
        <v>2273</v>
      </c>
      <c r="S1102" t="s">
        <v>2280</v>
      </c>
      <c r="T1102" t="s">
        <v>2289</v>
      </c>
      <c r="U1102">
        <v>5</v>
      </c>
      <c r="V1102">
        <v>162</v>
      </c>
      <c r="W1102">
        <v>50</v>
      </c>
      <c r="X1102">
        <v>70.3</v>
      </c>
      <c r="Y1102">
        <v>110.2</v>
      </c>
      <c r="Z1102" t="s">
        <v>2293</v>
      </c>
      <c r="AA1102" t="s">
        <v>1761</v>
      </c>
      <c r="AB1102">
        <v>190</v>
      </c>
      <c r="AC1102">
        <v>9.5</v>
      </c>
      <c r="AD1102">
        <v>180.5</v>
      </c>
      <c r="AE1102">
        <v>70.3</v>
      </c>
      <c r="AF1102">
        <v>110.2</v>
      </c>
      <c r="AG1102">
        <v>2024</v>
      </c>
      <c r="AH1102">
        <v>3</v>
      </c>
      <c r="AI1102" t="s">
        <v>2305</v>
      </c>
      <c r="AJ1102" t="s">
        <v>2318</v>
      </c>
    </row>
    <row r="1103" spans="1:36" x14ac:dyDescent="0.3">
      <c r="A1103" t="s">
        <v>1137</v>
      </c>
      <c r="B1103" s="2">
        <v>45377</v>
      </c>
      <c r="C1103" t="s">
        <v>1673</v>
      </c>
      <c r="D1103" t="s">
        <v>1840</v>
      </c>
      <c r="E1103" t="s">
        <v>1957</v>
      </c>
      <c r="F1103" t="s">
        <v>2239</v>
      </c>
      <c r="G1103" t="s">
        <v>2246</v>
      </c>
      <c r="H1103" t="s">
        <v>2259</v>
      </c>
      <c r="I1103" t="s">
        <v>2262</v>
      </c>
      <c r="J1103" t="s">
        <v>2264</v>
      </c>
      <c r="K1103">
        <v>1</v>
      </c>
      <c r="L1103">
        <v>90</v>
      </c>
      <c r="M1103">
        <v>0.15</v>
      </c>
      <c r="N1103">
        <v>90</v>
      </c>
      <c r="O1103">
        <v>76.5</v>
      </c>
      <c r="R1103" t="s">
        <v>2276</v>
      </c>
      <c r="S1103" t="s">
        <v>2287</v>
      </c>
      <c r="T1103" t="s">
        <v>2288</v>
      </c>
      <c r="U1103">
        <v>3</v>
      </c>
      <c r="V1103">
        <v>0</v>
      </c>
      <c r="W1103">
        <v>32</v>
      </c>
      <c r="X1103">
        <v>46.34</v>
      </c>
      <c r="Y1103">
        <v>30.16</v>
      </c>
      <c r="Z1103" t="s">
        <v>2293</v>
      </c>
      <c r="AA1103" t="s">
        <v>2297</v>
      </c>
      <c r="AB1103">
        <v>90</v>
      </c>
      <c r="AC1103">
        <v>13.5</v>
      </c>
      <c r="AD1103">
        <v>76.5</v>
      </c>
      <c r="AE1103">
        <v>46.34</v>
      </c>
      <c r="AF1103">
        <v>30.16</v>
      </c>
      <c r="AG1103">
        <v>2024</v>
      </c>
      <c r="AH1103">
        <v>3</v>
      </c>
      <c r="AI1103" t="s">
        <v>2305</v>
      </c>
      <c r="AJ1103" t="s">
        <v>2313</v>
      </c>
    </row>
    <row r="1104" spans="1:36" x14ac:dyDescent="0.3">
      <c r="A1104" t="s">
        <v>1138</v>
      </c>
      <c r="B1104" s="2">
        <v>45344</v>
      </c>
      <c r="C1104" t="s">
        <v>1713</v>
      </c>
      <c r="D1104" t="s">
        <v>1786</v>
      </c>
      <c r="E1104" t="s">
        <v>1976</v>
      </c>
      <c r="F1104" t="s">
        <v>1761</v>
      </c>
      <c r="G1104" t="s">
        <v>2249</v>
      </c>
      <c r="H1104" t="s">
        <v>2257</v>
      </c>
      <c r="I1104" t="s">
        <v>2263</v>
      </c>
      <c r="J1104" t="s">
        <v>2266</v>
      </c>
      <c r="K1104">
        <v>1</v>
      </c>
      <c r="L1104">
        <v>155</v>
      </c>
      <c r="M1104">
        <v>0</v>
      </c>
      <c r="N1104">
        <v>155</v>
      </c>
      <c r="O1104">
        <v>155</v>
      </c>
      <c r="P1104" t="s">
        <v>2267</v>
      </c>
      <c r="Q1104" t="s">
        <v>2272</v>
      </c>
      <c r="R1104" t="s">
        <v>2279</v>
      </c>
      <c r="S1104" t="s">
        <v>2284</v>
      </c>
      <c r="T1104" t="s">
        <v>2288</v>
      </c>
      <c r="U1104">
        <v>5</v>
      </c>
      <c r="X1104">
        <v>85.38</v>
      </c>
      <c r="Y1104">
        <v>69.62</v>
      </c>
      <c r="Z1104" t="s">
        <v>1761</v>
      </c>
      <c r="AA1104" t="s">
        <v>2298</v>
      </c>
      <c r="AB1104">
        <v>155</v>
      </c>
      <c r="AC1104">
        <v>0</v>
      </c>
      <c r="AD1104">
        <v>155</v>
      </c>
      <c r="AE1104">
        <v>85.38</v>
      </c>
      <c r="AF1104">
        <v>69.62</v>
      </c>
      <c r="AG1104">
        <v>2024</v>
      </c>
      <c r="AH1104">
        <v>2</v>
      </c>
      <c r="AI1104" t="s">
        <v>2303</v>
      </c>
      <c r="AJ1104" t="s">
        <v>2316</v>
      </c>
    </row>
    <row r="1105" spans="1:36" x14ac:dyDescent="0.3">
      <c r="A1105" t="s">
        <v>1139</v>
      </c>
      <c r="B1105" s="2">
        <v>45368</v>
      </c>
      <c r="C1105" t="s">
        <v>1739</v>
      </c>
      <c r="D1105" t="s">
        <v>1809</v>
      </c>
      <c r="E1105" t="s">
        <v>1761</v>
      </c>
      <c r="F1105" t="s">
        <v>2238</v>
      </c>
      <c r="G1105" t="s">
        <v>2241</v>
      </c>
      <c r="H1105" t="s">
        <v>2257</v>
      </c>
      <c r="I1105" t="s">
        <v>2262</v>
      </c>
      <c r="J1105" t="s">
        <v>2264</v>
      </c>
      <c r="K1105">
        <v>1</v>
      </c>
      <c r="L1105">
        <v>135</v>
      </c>
      <c r="M1105">
        <v>0.15</v>
      </c>
      <c r="N1105">
        <v>135</v>
      </c>
      <c r="O1105">
        <v>114.75</v>
      </c>
      <c r="P1105" t="s">
        <v>2267</v>
      </c>
      <c r="R1105" t="s">
        <v>2278</v>
      </c>
      <c r="S1105" t="s">
        <v>2285</v>
      </c>
      <c r="T1105" t="s">
        <v>2288</v>
      </c>
      <c r="U1105">
        <v>4</v>
      </c>
      <c r="V1105">
        <v>423</v>
      </c>
      <c r="W1105">
        <v>22</v>
      </c>
      <c r="X1105">
        <v>46.79</v>
      </c>
      <c r="Y1105">
        <v>67.959999999999994</v>
      </c>
      <c r="Z1105" t="s">
        <v>2293</v>
      </c>
      <c r="AA1105" t="s">
        <v>2299</v>
      </c>
      <c r="AB1105">
        <v>135</v>
      </c>
      <c r="AC1105">
        <v>20.25</v>
      </c>
      <c r="AD1105">
        <v>114.75</v>
      </c>
      <c r="AE1105">
        <v>46.79</v>
      </c>
      <c r="AF1105">
        <v>67.960000000000008</v>
      </c>
      <c r="AG1105">
        <v>2024</v>
      </c>
      <c r="AH1105">
        <v>3</v>
      </c>
      <c r="AI1105" t="s">
        <v>2305</v>
      </c>
      <c r="AJ1105" t="s">
        <v>2318</v>
      </c>
    </row>
    <row r="1106" spans="1:36" x14ac:dyDescent="0.3">
      <c r="A1106" t="s">
        <v>1140</v>
      </c>
      <c r="B1106" s="2">
        <v>45415</v>
      </c>
      <c r="C1106" t="s">
        <v>1738</v>
      </c>
      <c r="D1106" t="s">
        <v>1793</v>
      </c>
      <c r="E1106" t="s">
        <v>2037</v>
      </c>
      <c r="F1106" t="s">
        <v>2240</v>
      </c>
      <c r="G1106" t="s">
        <v>2249</v>
      </c>
      <c r="H1106" t="s">
        <v>2257</v>
      </c>
      <c r="I1106" t="s">
        <v>2263</v>
      </c>
      <c r="J1106" t="s">
        <v>2266</v>
      </c>
      <c r="K1106">
        <v>1</v>
      </c>
      <c r="L1106">
        <v>165</v>
      </c>
      <c r="M1106">
        <v>0</v>
      </c>
      <c r="N1106">
        <v>165</v>
      </c>
      <c r="O1106">
        <v>165</v>
      </c>
      <c r="P1106" t="s">
        <v>2267</v>
      </c>
      <c r="R1106" t="s">
        <v>2275</v>
      </c>
      <c r="S1106" t="s">
        <v>2281</v>
      </c>
      <c r="T1106" t="s">
        <v>2290</v>
      </c>
      <c r="U1106">
        <v>5</v>
      </c>
      <c r="V1106">
        <v>420</v>
      </c>
      <c r="W1106">
        <v>53</v>
      </c>
      <c r="X1106">
        <v>95.99</v>
      </c>
      <c r="Y1106">
        <v>69.010000000000005</v>
      </c>
      <c r="Z1106" t="s">
        <v>1761</v>
      </c>
      <c r="AA1106" t="s">
        <v>1761</v>
      </c>
      <c r="AB1106">
        <v>165</v>
      </c>
      <c r="AC1106">
        <v>0</v>
      </c>
      <c r="AD1106">
        <v>165</v>
      </c>
      <c r="AE1106">
        <v>95.99</v>
      </c>
      <c r="AF1106">
        <v>69.010000000000005</v>
      </c>
      <c r="AG1106">
        <v>2024</v>
      </c>
      <c r="AH1106">
        <v>5</v>
      </c>
      <c r="AI1106" t="s">
        <v>2306</v>
      </c>
      <c r="AJ1106" t="s">
        <v>2315</v>
      </c>
    </row>
    <row r="1107" spans="1:36" x14ac:dyDescent="0.3">
      <c r="A1107" t="s">
        <v>1141</v>
      </c>
      <c r="B1107" s="2">
        <v>45339</v>
      </c>
      <c r="C1107" t="s">
        <v>1703</v>
      </c>
      <c r="D1107" t="s">
        <v>1753</v>
      </c>
      <c r="E1107" t="s">
        <v>2038</v>
      </c>
      <c r="F1107" t="s">
        <v>2240</v>
      </c>
      <c r="G1107" t="s">
        <v>2253</v>
      </c>
      <c r="H1107" t="s">
        <v>2258</v>
      </c>
      <c r="I1107" t="s">
        <v>2260</v>
      </c>
      <c r="J1107" t="s">
        <v>2265</v>
      </c>
      <c r="K1107">
        <v>1</v>
      </c>
      <c r="L1107">
        <v>90</v>
      </c>
      <c r="M1107">
        <v>0.15</v>
      </c>
      <c r="N1107">
        <v>90</v>
      </c>
      <c r="O1107">
        <v>76.5</v>
      </c>
      <c r="P1107" t="s">
        <v>2269</v>
      </c>
      <c r="Q1107" t="s">
        <v>2271</v>
      </c>
      <c r="R1107" t="s">
        <v>2273</v>
      </c>
      <c r="S1107" t="s">
        <v>2280</v>
      </c>
      <c r="T1107" t="s">
        <v>2288</v>
      </c>
      <c r="U1107">
        <v>5</v>
      </c>
      <c r="V1107">
        <v>184</v>
      </c>
      <c r="X1107">
        <v>32.299999999999997</v>
      </c>
      <c r="Y1107">
        <v>44.2</v>
      </c>
      <c r="Z1107" t="s">
        <v>1761</v>
      </c>
      <c r="AA1107" t="s">
        <v>2298</v>
      </c>
      <c r="AB1107">
        <v>90</v>
      </c>
      <c r="AC1107">
        <v>13.5</v>
      </c>
      <c r="AD1107">
        <v>76.5</v>
      </c>
      <c r="AE1107">
        <v>32.299999999999997</v>
      </c>
      <c r="AF1107">
        <v>44.2</v>
      </c>
      <c r="AG1107">
        <v>2024</v>
      </c>
      <c r="AH1107">
        <v>2</v>
      </c>
      <c r="AI1107" t="s">
        <v>2303</v>
      </c>
      <c r="AJ1107" t="s">
        <v>2317</v>
      </c>
    </row>
    <row r="1108" spans="1:36" x14ac:dyDescent="0.3">
      <c r="A1108" t="s">
        <v>1142</v>
      </c>
      <c r="B1108" s="2">
        <v>45385</v>
      </c>
      <c r="C1108" t="s">
        <v>1687</v>
      </c>
      <c r="D1108" t="s">
        <v>1919</v>
      </c>
      <c r="E1108" t="s">
        <v>2207</v>
      </c>
      <c r="F1108" t="s">
        <v>2240</v>
      </c>
      <c r="G1108" t="s">
        <v>2246</v>
      </c>
      <c r="H1108" t="s">
        <v>2259</v>
      </c>
      <c r="I1108" t="s">
        <v>2262</v>
      </c>
      <c r="J1108" t="s">
        <v>2265</v>
      </c>
      <c r="K1108">
        <v>1</v>
      </c>
      <c r="L1108">
        <v>90</v>
      </c>
      <c r="M1108">
        <v>0.1</v>
      </c>
      <c r="N1108">
        <v>90</v>
      </c>
      <c r="O1108">
        <v>81</v>
      </c>
      <c r="P1108" t="s">
        <v>2267</v>
      </c>
      <c r="Q1108" t="s">
        <v>2271</v>
      </c>
      <c r="R1108" t="s">
        <v>2275</v>
      </c>
      <c r="S1108" t="s">
        <v>2280</v>
      </c>
      <c r="T1108" t="s">
        <v>2289</v>
      </c>
      <c r="V1108">
        <v>220</v>
      </c>
      <c r="W1108">
        <v>46</v>
      </c>
      <c r="X1108">
        <v>54.16</v>
      </c>
      <c r="Y1108">
        <v>26.84</v>
      </c>
      <c r="Z1108" t="s">
        <v>2293</v>
      </c>
      <c r="AA1108" t="s">
        <v>1761</v>
      </c>
      <c r="AB1108">
        <v>90</v>
      </c>
      <c r="AC1108">
        <v>9</v>
      </c>
      <c r="AD1108">
        <v>81</v>
      </c>
      <c r="AE1108">
        <v>54.16</v>
      </c>
      <c r="AF1108">
        <v>26.84</v>
      </c>
      <c r="AG1108">
        <v>2024</v>
      </c>
      <c r="AH1108">
        <v>4</v>
      </c>
      <c r="AI1108" t="s">
        <v>2308</v>
      </c>
      <c r="AJ1108" t="s">
        <v>2312</v>
      </c>
    </row>
    <row r="1109" spans="1:36" x14ac:dyDescent="0.3">
      <c r="A1109" t="s">
        <v>1143</v>
      </c>
      <c r="B1109" s="2">
        <v>45599</v>
      </c>
      <c r="C1109" t="s">
        <v>1685</v>
      </c>
      <c r="D1109" t="s">
        <v>1746</v>
      </c>
      <c r="E1109" t="s">
        <v>2212</v>
      </c>
      <c r="F1109" t="s">
        <v>2239</v>
      </c>
      <c r="G1109" t="s">
        <v>2250</v>
      </c>
      <c r="H1109" t="s">
        <v>2259</v>
      </c>
      <c r="I1109" t="s">
        <v>2262</v>
      </c>
      <c r="J1109" t="s">
        <v>2266</v>
      </c>
      <c r="K1109">
        <v>2</v>
      </c>
      <c r="L1109">
        <v>80</v>
      </c>
      <c r="M1109">
        <v>0.1</v>
      </c>
      <c r="N1109">
        <v>160</v>
      </c>
      <c r="O1109">
        <v>144</v>
      </c>
      <c r="P1109" t="s">
        <v>2269</v>
      </c>
      <c r="Q1109" t="s">
        <v>2270</v>
      </c>
      <c r="R1109" t="s">
        <v>2274</v>
      </c>
      <c r="S1109" t="s">
        <v>2283</v>
      </c>
      <c r="T1109" t="s">
        <v>2288</v>
      </c>
      <c r="U1109">
        <v>2</v>
      </c>
      <c r="V1109">
        <v>42</v>
      </c>
      <c r="W1109">
        <v>26</v>
      </c>
      <c r="X1109">
        <v>41.96</v>
      </c>
      <c r="Y1109">
        <v>60.08</v>
      </c>
      <c r="Z1109" t="s">
        <v>1761</v>
      </c>
      <c r="AA1109" t="s">
        <v>2297</v>
      </c>
      <c r="AB1109">
        <v>160</v>
      </c>
      <c r="AC1109">
        <v>16</v>
      </c>
      <c r="AD1109">
        <v>144</v>
      </c>
      <c r="AE1109">
        <v>83.92</v>
      </c>
      <c r="AF1109">
        <v>60.08</v>
      </c>
      <c r="AG1109">
        <v>2024</v>
      </c>
      <c r="AH1109">
        <v>11</v>
      </c>
      <c r="AI1109" t="s">
        <v>2311</v>
      </c>
      <c r="AJ1109" t="s">
        <v>2318</v>
      </c>
    </row>
    <row r="1110" spans="1:36" x14ac:dyDescent="0.3">
      <c r="A1110" t="s">
        <v>1144</v>
      </c>
      <c r="C1110" t="s">
        <v>1721</v>
      </c>
      <c r="D1110" t="s">
        <v>1761</v>
      </c>
      <c r="E1110" t="s">
        <v>2104</v>
      </c>
      <c r="F1110" t="s">
        <v>2239</v>
      </c>
      <c r="G1110" t="s">
        <v>2251</v>
      </c>
      <c r="H1110" t="s">
        <v>2258</v>
      </c>
      <c r="I1110" t="s">
        <v>2260</v>
      </c>
      <c r="J1110" t="s">
        <v>2264</v>
      </c>
      <c r="K1110">
        <v>1</v>
      </c>
      <c r="L1110">
        <v>100</v>
      </c>
      <c r="M1110">
        <v>0</v>
      </c>
      <c r="N1110">
        <v>100</v>
      </c>
      <c r="O1110">
        <v>100</v>
      </c>
      <c r="P1110" t="s">
        <v>2269</v>
      </c>
      <c r="Q1110" t="s">
        <v>2272</v>
      </c>
      <c r="R1110" t="s">
        <v>2277</v>
      </c>
      <c r="S1110" t="s">
        <v>2285</v>
      </c>
      <c r="T1110" t="s">
        <v>2288</v>
      </c>
      <c r="U1110">
        <v>1</v>
      </c>
      <c r="W1110">
        <v>30</v>
      </c>
      <c r="X1110">
        <v>44.24</v>
      </c>
      <c r="Y1110">
        <v>55.76</v>
      </c>
      <c r="Z1110" t="s">
        <v>2293</v>
      </c>
      <c r="AA1110" t="s">
        <v>2298</v>
      </c>
      <c r="AB1110">
        <v>100</v>
      </c>
      <c r="AC1110">
        <v>0</v>
      </c>
      <c r="AD1110">
        <v>100</v>
      </c>
      <c r="AE1110">
        <v>44.24</v>
      </c>
      <c r="AF1110">
        <v>55.76</v>
      </c>
    </row>
    <row r="1111" spans="1:36" x14ac:dyDescent="0.3">
      <c r="A1111" t="s">
        <v>1145</v>
      </c>
      <c r="B1111" s="2">
        <v>45414</v>
      </c>
      <c r="C1111" t="s">
        <v>1706</v>
      </c>
      <c r="D1111" t="s">
        <v>1928</v>
      </c>
      <c r="E1111" t="s">
        <v>2045</v>
      </c>
      <c r="F1111" t="s">
        <v>2240</v>
      </c>
      <c r="G1111" t="s">
        <v>2241</v>
      </c>
      <c r="H1111" t="s">
        <v>2257</v>
      </c>
      <c r="I1111" t="s">
        <v>2262</v>
      </c>
      <c r="J1111" t="s">
        <v>2266</v>
      </c>
      <c r="K1111">
        <v>3</v>
      </c>
      <c r="L1111">
        <v>130</v>
      </c>
      <c r="M1111">
        <v>0.05</v>
      </c>
      <c r="N1111">
        <v>390</v>
      </c>
      <c r="O1111">
        <v>370.5</v>
      </c>
      <c r="Q1111" t="s">
        <v>2272</v>
      </c>
      <c r="R1111" t="s">
        <v>2275</v>
      </c>
      <c r="S1111" t="s">
        <v>2282</v>
      </c>
      <c r="T1111" t="s">
        <v>2290</v>
      </c>
      <c r="U1111">
        <v>2</v>
      </c>
      <c r="V1111">
        <v>80</v>
      </c>
      <c r="W1111">
        <v>21</v>
      </c>
      <c r="X1111">
        <v>57.47</v>
      </c>
      <c r="Y1111">
        <v>198.09</v>
      </c>
      <c r="Z1111" t="s">
        <v>2292</v>
      </c>
      <c r="AA1111" t="s">
        <v>2298</v>
      </c>
      <c r="AB1111">
        <v>390</v>
      </c>
      <c r="AC1111">
        <v>19.5</v>
      </c>
      <c r="AD1111">
        <v>370.5</v>
      </c>
      <c r="AE1111">
        <v>172.41</v>
      </c>
      <c r="AF1111">
        <v>198.09</v>
      </c>
      <c r="AG1111">
        <v>2024</v>
      </c>
      <c r="AH1111">
        <v>5</v>
      </c>
      <c r="AI1111" t="s">
        <v>2306</v>
      </c>
      <c r="AJ1111" t="s">
        <v>2316</v>
      </c>
    </row>
    <row r="1112" spans="1:36" x14ac:dyDescent="0.3">
      <c r="A1112" t="s">
        <v>1146</v>
      </c>
      <c r="B1112" s="2">
        <v>45615</v>
      </c>
      <c r="C1112" t="s">
        <v>1657</v>
      </c>
      <c r="D1112" t="s">
        <v>1741</v>
      </c>
      <c r="E1112" t="s">
        <v>1979</v>
      </c>
      <c r="F1112" t="s">
        <v>1761</v>
      </c>
      <c r="G1112" t="s">
        <v>2246</v>
      </c>
      <c r="H1112" t="s">
        <v>2259</v>
      </c>
      <c r="I1112" t="s">
        <v>2262</v>
      </c>
      <c r="K1112">
        <v>2</v>
      </c>
      <c r="L1112">
        <v>95</v>
      </c>
      <c r="M1112">
        <v>0.05</v>
      </c>
      <c r="N1112">
        <v>190</v>
      </c>
      <c r="O1112">
        <v>180.5</v>
      </c>
      <c r="Q1112" t="s">
        <v>2270</v>
      </c>
      <c r="R1112" t="s">
        <v>2276</v>
      </c>
      <c r="S1112" t="s">
        <v>2280</v>
      </c>
      <c r="T1112" t="s">
        <v>2288</v>
      </c>
      <c r="U1112">
        <v>2</v>
      </c>
      <c r="V1112">
        <v>260</v>
      </c>
      <c r="W1112">
        <v>13</v>
      </c>
      <c r="X1112">
        <v>50.39</v>
      </c>
      <c r="Y1112">
        <v>79.72</v>
      </c>
      <c r="Z1112" t="s">
        <v>2293</v>
      </c>
      <c r="AA1112" t="s">
        <v>2299</v>
      </c>
      <c r="AB1112">
        <v>190</v>
      </c>
      <c r="AC1112">
        <v>9.5</v>
      </c>
      <c r="AD1112">
        <v>180.5</v>
      </c>
      <c r="AE1112">
        <v>100.78</v>
      </c>
      <c r="AF1112">
        <v>79.72</v>
      </c>
      <c r="AG1112">
        <v>2024</v>
      </c>
      <c r="AH1112">
        <v>11</v>
      </c>
      <c r="AI1112" t="s">
        <v>2311</v>
      </c>
      <c r="AJ1112" t="s">
        <v>2313</v>
      </c>
    </row>
    <row r="1113" spans="1:36" x14ac:dyDescent="0.3">
      <c r="A1113" t="s">
        <v>1147</v>
      </c>
      <c r="B1113" s="2">
        <v>45602</v>
      </c>
      <c r="C1113" t="s">
        <v>1699</v>
      </c>
      <c r="D1113" t="s">
        <v>1910</v>
      </c>
      <c r="E1113" t="s">
        <v>2196</v>
      </c>
      <c r="F1113" t="s">
        <v>2239</v>
      </c>
      <c r="G1113" t="s">
        <v>2249</v>
      </c>
      <c r="H1113" t="s">
        <v>2257</v>
      </c>
      <c r="I1113" t="s">
        <v>2263</v>
      </c>
      <c r="J1113" t="s">
        <v>2264</v>
      </c>
      <c r="K1113">
        <v>1</v>
      </c>
      <c r="L1113">
        <v>160</v>
      </c>
      <c r="M1113">
        <v>0.1</v>
      </c>
      <c r="O1113">
        <v>144</v>
      </c>
      <c r="Q1113" t="s">
        <v>2271</v>
      </c>
      <c r="R1113" t="s">
        <v>2275</v>
      </c>
      <c r="S1113" t="s">
        <v>2286</v>
      </c>
      <c r="T1113" t="s">
        <v>2288</v>
      </c>
      <c r="U1113">
        <v>3</v>
      </c>
      <c r="V1113">
        <v>457</v>
      </c>
      <c r="X1113">
        <v>93.19</v>
      </c>
      <c r="Y1113">
        <v>50.81</v>
      </c>
      <c r="Z1113" t="s">
        <v>2294</v>
      </c>
      <c r="AA1113" t="s">
        <v>2296</v>
      </c>
      <c r="AB1113">
        <v>160</v>
      </c>
      <c r="AC1113">
        <v>16</v>
      </c>
      <c r="AD1113">
        <v>144</v>
      </c>
      <c r="AE1113">
        <v>93.19</v>
      </c>
      <c r="AF1113">
        <v>50.81</v>
      </c>
      <c r="AG1113">
        <v>2024</v>
      </c>
      <c r="AH1113">
        <v>11</v>
      </c>
      <c r="AI1113" t="s">
        <v>2311</v>
      </c>
      <c r="AJ1113" t="s">
        <v>2312</v>
      </c>
    </row>
    <row r="1114" spans="1:36" x14ac:dyDescent="0.3">
      <c r="A1114" t="s">
        <v>1148</v>
      </c>
      <c r="B1114" s="2">
        <v>45513</v>
      </c>
      <c r="C1114" t="s">
        <v>1666</v>
      </c>
      <c r="D1114" t="s">
        <v>1845</v>
      </c>
      <c r="E1114" t="s">
        <v>2149</v>
      </c>
      <c r="F1114" t="s">
        <v>2238</v>
      </c>
      <c r="G1114" t="s">
        <v>2250</v>
      </c>
      <c r="H1114" t="s">
        <v>2259</v>
      </c>
      <c r="I1114" t="s">
        <v>2262</v>
      </c>
      <c r="J1114" t="s">
        <v>2264</v>
      </c>
      <c r="K1114">
        <v>2</v>
      </c>
      <c r="L1114">
        <v>90</v>
      </c>
      <c r="M1114">
        <v>0</v>
      </c>
      <c r="N1114">
        <v>180</v>
      </c>
      <c r="O1114">
        <v>180</v>
      </c>
      <c r="P1114" t="s">
        <v>2267</v>
      </c>
      <c r="Q1114" t="s">
        <v>2270</v>
      </c>
      <c r="R1114" t="s">
        <v>2276</v>
      </c>
      <c r="S1114" t="s">
        <v>2286</v>
      </c>
      <c r="T1114" t="s">
        <v>2290</v>
      </c>
      <c r="U1114">
        <v>5</v>
      </c>
      <c r="V1114">
        <v>144</v>
      </c>
      <c r="X1114">
        <v>47.44</v>
      </c>
      <c r="Y1114">
        <v>85.12</v>
      </c>
      <c r="Z1114" t="s">
        <v>2292</v>
      </c>
      <c r="AA1114" t="s">
        <v>2296</v>
      </c>
      <c r="AB1114">
        <v>180</v>
      </c>
      <c r="AC1114">
        <v>0</v>
      </c>
      <c r="AD1114">
        <v>180</v>
      </c>
      <c r="AE1114">
        <v>94.88</v>
      </c>
      <c r="AF1114">
        <v>85.12</v>
      </c>
      <c r="AG1114">
        <v>2024</v>
      </c>
      <c r="AH1114">
        <v>8</v>
      </c>
      <c r="AI1114" t="s">
        <v>2301</v>
      </c>
      <c r="AJ1114" t="s">
        <v>2315</v>
      </c>
    </row>
    <row r="1115" spans="1:36" x14ac:dyDescent="0.3">
      <c r="A1115" t="s">
        <v>1149</v>
      </c>
      <c r="B1115" s="2">
        <v>45608</v>
      </c>
      <c r="C1115" t="s">
        <v>1725</v>
      </c>
      <c r="D1115" t="s">
        <v>1760</v>
      </c>
      <c r="E1115" t="s">
        <v>2080</v>
      </c>
      <c r="F1115" t="s">
        <v>2240</v>
      </c>
      <c r="G1115" t="s">
        <v>2249</v>
      </c>
      <c r="H1115" t="s">
        <v>2257</v>
      </c>
      <c r="I1115" t="s">
        <v>2263</v>
      </c>
      <c r="J1115" t="s">
        <v>2264</v>
      </c>
      <c r="K1115">
        <v>1</v>
      </c>
      <c r="L1115">
        <v>160</v>
      </c>
      <c r="M1115">
        <v>0.1</v>
      </c>
      <c r="N1115">
        <v>160</v>
      </c>
      <c r="O1115">
        <v>144</v>
      </c>
      <c r="P1115" t="s">
        <v>2267</v>
      </c>
      <c r="Q1115" t="s">
        <v>2272</v>
      </c>
      <c r="R1115" t="s">
        <v>2279</v>
      </c>
      <c r="S1115" t="s">
        <v>2285</v>
      </c>
      <c r="T1115" t="s">
        <v>2288</v>
      </c>
      <c r="U1115">
        <v>2</v>
      </c>
      <c r="V1115">
        <v>25</v>
      </c>
      <c r="W1115">
        <v>32</v>
      </c>
      <c r="X1115">
        <v>73.069999999999993</v>
      </c>
      <c r="Y1115">
        <v>70.930000000000007</v>
      </c>
      <c r="Z1115" t="s">
        <v>2291</v>
      </c>
      <c r="AA1115" t="s">
        <v>2297</v>
      </c>
      <c r="AB1115">
        <v>160</v>
      </c>
      <c r="AC1115">
        <v>16</v>
      </c>
      <c r="AD1115">
        <v>144</v>
      </c>
      <c r="AE1115">
        <v>73.069999999999993</v>
      </c>
      <c r="AF1115">
        <v>70.930000000000007</v>
      </c>
      <c r="AG1115">
        <v>2024</v>
      </c>
      <c r="AH1115">
        <v>11</v>
      </c>
      <c r="AI1115" t="s">
        <v>2311</v>
      </c>
      <c r="AJ1115" t="s">
        <v>2313</v>
      </c>
    </row>
    <row r="1116" spans="1:36" x14ac:dyDescent="0.3">
      <c r="A1116" t="s">
        <v>1150</v>
      </c>
      <c r="B1116" s="2">
        <v>45467</v>
      </c>
      <c r="C1116" t="s">
        <v>1680</v>
      </c>
      <c r="D1116" t="s">
        <v>1925</v>
      </c>
      <c r="E1116" t="s">
        <v>1994</v>
      </c>
      <c r="F1116" t="s">
        <v>2239</v>
      </c>
      <c r="G1116" t="s">
        <v>2250</v>
      </c>
      <c r="H1116" t="s">
        <v>2259</v>
      </c>
      <c r="I1116" t="s">
        <v>2262</v>
      </c>
      <c r="J1116" t="s">
        <v>2266</v>
      </c>
      <c r="K1116">
        <v>1</v>
      </c>
      <c r="L1116">
        <v>75</v>
      </c>
      <c r="M1116">
        <v>0</v>
      </c>
      <c r="N1116">
        <v>75</v>
      </c>
      <c r="O1116">
        <v>75</v>
      </c>
      <c r="P1116" t="s">
        <v>2269</v>
      </c>
      <c r="Q1116" t="s">
        <v>2270</v>
      </c>
      <c r="R1116" t="s">
        <v>2274</v>
      </c>
      <c r="S1116" t="s">
        <v>2287</v>
      </c>
      <c r="T1116" t="s">
        <v>2289</v>
      </c>
      <c r="V1116">
        <v>461</v>
      </c>
      <c r="W1116">
        <v>25</v>
      </c>
      <c r="X1116">
        <v>35.380000000000003</v>
      </c>
      <c r="Y1116">
        <v>39.619999999999997</v>
      </c>
      <c r="Z1116" t="s">
        <v>1761</v>
      </c>
      <c r="AA1116" t="s">
        <v>2296</v>
      </c>
      <c r="AB1116">
        <v>75</v>
      </c>
      <c r="AC1116">
        <v>0</v>
      </c>
      <c r="AD1116">
        <v>75</v>
      </c>
      <c r="AE1116">
        <v>35.380000000000003</v>
      </c>
      <c r="AF1116">
        <v>39.619999999999997</v>
      </c>
      <c r="AG1116">
        <v>2024</v>
      </c>
      <c r="AH1116">
        <v>6</v>
      </c>
      <c r="AI1116" t="s">
        <v>2304</v>
      </c>
      <c r="AJ1116" t="s">
        <v>2314</v>
      </c>
    </row>
    <row r="1117" spans="1:36" x14ac:dyDescent="0.3">
      <c r="A1117" t="s">
        <v>1151</v>
      </c>
      <c r="B1117" s="2">
        <v>45628</v>
      </c>
      <c r="C1117" t="s">
        <v>1731</v>
      </c>
      <c r="D1117" t="s">
        <v>1863</v>
      </c>
      <c r="E1117" t="s">
        <v>2039</v>
      </c>
      <c r="F1117" t="s">
        <v>1761</v>
      </c>
      <c r="G1117" t="s">
        <v>2247</v>
      </c>
      <c r="H1117" t="s">
        <v>2257</v>
      </c>
      <c r="I1117" t="s">
        <v>2262</v>
      </c>
      <c r="J1117" t="s">
        <v>2266</v>
      </c>
      <c r="K1117">
        <v>4</v>
      </c>
      <c r="L1117">
        <v>105</v>
      </c>
      <c r="M1117">
        <v>0.1</v>
      </c>
      <c r="N1117">
        <v>420</v>
      </c>
      <c r="O1117">
        <v>378</v>
      </c>
      <c r="P1117" t="s">
        <v>2267</v>
      </c>
      <c r="R1117" t="s">
        <v>2279</v>
      </c>
      <c r="S1117" t="s">
        <v>2283</v>
      </c>
      <c r="T1117" t="s">
        <v>2288</v>
      </c>
      <c r="U1117">
        <v>3</v>
      </c>
      <c r="V1117">
        <v>465</v>
      </c>
      <c r="W1117">
        <v>33</v>
      </c>
      <c r="X1117">
        <v>39.49</v>
      </c>
      <c r="Y1117">
        <v>220.04</v>
      </c>
      <c r="Z1117" t="s">
        <v>1761</v>
      </c>
      <c r="AA1117" t="s">
        <v>2296</v>
      </c>
      <c r="AB1117">
        <v>420</v>
      </c>
      <c r="AC1117">
        <v>42</v>
      </c>
      <c r="AD1117">
        <v>378</v>
      </c>
      <c r="AE1117">
        <v>157.96</v>
      </c>
      <c r="AF1117">
        <v>220.04</v>
      </c>
      <c r="AG1117">
        <v>2024</v>
      </c>
      <c r="AH1117">
        <v>12</v>
      </c>
      <c r="AI1117" t="s">
        <v>2309</v>
      </c>
      <c r="AJ1117" t="s">
        <v>2314</v>
      </c>
    </row>
    <row r="1118" spans="1:36" x14ac:dyDescent="0.3">
      <c r="A1118" t="s">
        <v>1152</v>
      </c>
      <c r="B1118" s="2">
        <v>45335</v>
      </c>
      <c r="C1118" t="s">
        <v>1700</v>
      </c>
      <c r="D1118" t="s">
        <v>1921</v>
      </c>
      <c r="E1118" t="s">
        <v>2080</v>
      </c>
      <c r="F1118" t="s">
        <v>2239</v>
      </c>
      <c r="G1118" t="s">
        <v>2249</v>
      </c>
      <c r="H1118" t="s">
        <v>2257</v>
      </c>
      <c r="I1118" t="s">
        <v>2263</v>
      </c>
      <c r="J1118" t="s">
        <v>2266</v>
      </c>
      <c r="K1118">
        <v>2</v>
      </c>
      <c r="L1118">
        <v>160</v>
      </c>
      <c r="M1118">
        <v>0.05</v>
      </c>
      <c r="N1118">
        <v>320</v>
      </c>
      <c r="O1118">
        <v>304</v>
      </c>
      <c r="P1118" t="s">
        <v>2268</v>
      </c>
      <c r="Q1118" t="s">
        <v>2272</v>
      </c>
      <c r="R1118" t="s">
        <v>2277</v>
      </c>
      <c r="S1118" t="s">
        <v>2281</v>
      </c>
      <c r="T1118" t="s">
        <v>2288</v>
      </c>
      <c r="V1118">
        <v>282</v>
      </c>
      <c r="W1118">
        <v>53</v>
      </c>
      <c r="X1118">
        <v>61</v>
      </c>
      <c r="Y1118">
        <v>182</v>
      </c>
      <c r="Z1118" t="s">
        <v>2292</v>
      </c>
      <c r="AA1118" t="s">
        <v>2297</v>
      </c>
      <c r="AB1118">
        <v>320</v>
      </c>
      <c r="AC1118">
        <v>16</v>
      </c>
      <c r="AD1118">
        <v>304</v>
      </c>
      <c r="AE1118">
        <v>122</v>
      </c>
      <c r="AF1118">
        <v>182</v>
      </c>
      <c r="AG1118">
        <v>2024</v>
      </c>
      <c r="AH1118">
        <v>2</v>
      </c>
      <c r="AI1118" t="s">
        <v>2303</v>
      </c>
      <c r="AJ1118" t="s">
        <v>2313</v>
      </c>
    </row>
    <row r="1119" spans="1:36" x14ac:dyDescent="0.3">
      <c r="A1119" t="s">
        <v>1153</v>
      </c>
      <c r="B1119" s="2">
        <v>45478</v>
      </c>
      <c r="C1119" t="s">
        <v>1638</v>
      </c>
      <c r="D1119" t="s">
        <v>1894</v>
      </c>
      <c r="E1119" t="s">
        <v>2103</v>
      </c>
      <c r="F1119" t="s">
        <v>2240</v>
      </c>
      <c r="G1119" t="s">
        <v>2246</v>
      </c>
      <c r="H1119" t="s">
        <v>2259</v>
      </c>
      <c r="I1119" t="s">
        <v>2262</v>
      </c>
      <c r="J1119" t="s">
        <v>2265</v>
      </c>
      <c r="L1119">
        <v>90</v>
      </c>
      <c r="M1119">
        <v>0</v>
      </c>
      <c r="O1119">
        <v>90</v>
      </c>
      <c r="P1119" t="s">
        <v>2268</v>
      </c>
      <c r="Q1119" t="s">
        <v>2270</v>
      </c>
      <c r="R1119" t="s">
        <v>2279</v>
      </c>
      <c r="S1119" t="s">
        <v>2287</v>
      </c>
      <c r="T1119" t="s">
        <v>2288</v>
      </c>
      <c r="U1119">
        <v>1</v>
      </c>
      <c r="V1119">
        <v>96</v>
      </c>
      <c r="X1119">
        <v>48.51</v>
      </c>
      <c r="Y1119">
        <v>41.49</v>
      </c>
      <c r="Z1119" t="s">
        <v>1761</v>
      </c>
      <c r="AA1119" t="s">
        <v>2296</v>
      </c>
      <c r="AG1119">
        <v>2024</v>
      </c>
      <c r="AH1119">
        <v>7</v>
      </c>
      <c r="AI1119" t="s">
        <v>2307</v>
      </c>
      <c r="AJ1119" t="s">
        <v>2315</v>
      </c>
    </row>
    <row r="1120" spans="1:36" x14ac:dyDescent="0.3">
      <c r="A1120" t="s">
        <v>1154</v>
      </c>
      <c r="B1120" s="2">
        <v>45549</v>
      </c>
      <c r="C1120" t="s">
        <v>1661</v>
      </c>
      <c r="D1120" t="s">
        <v>1917</v>
      </c>
      <c r="E1120" t="s">
        <v>2122</v>
      </c>
      <c r="F1120" t="s">
        <v>2240</v>
      </c>
      <c r="G1120" t="s">
        <v>2245</v>
      </c>
      <c r="H1120" t="s">
        <v>2257</v>
      </c>
      <c r="I1120" t="s">
        <v>2263</v>
      </c>
      <c r="J1120" t="s">
        <v>2266</v>
      </c>
      <c r="K1120">
        <v>1</v>
      </c>
      <c r="L1120">
        <v>155</v>
      </c>
      <c r="M1120">
        <v>0.1</v>
      </c>
      <c r="N1120">
        <v>155</v>
      </c>
      <c r="O1120">
        <v>139.5</v>
      </c>
      <c r="P1120" t="s">
        <v>2269</v>
      </c>
      <c r="Q1120" t="s">
        <v>2270</v>
      </c>
      <c r="R1120" t="s">
        <v>2278</v>
      </c>
      <c r="S1120" t="s">
        <v>2286</v>
      </c>
      <c r="T1120" t="s">
        <v>2288</v>
      </c>
      <c r="U1120">
        <v>1</v>
      </c>
      <c r="V1120">
        <v>290</v>
      </c>
      <c r="W1120">
        <v>16</v>
      </c>
      <c r="X1120">
        <v>63.43</v>
      </c>
      <c r="Y1120">
        <v>76.069999999999993</v>
      </c>
      <c r="Z1120" t="s">
        <v>2293</v>
      </c>
      <c r="AA1120" t="s">
        <v>2296</v>
      </c>
      <c r="AB1120">
        <v>155</v>
      </c>
      <c r="AC1120">
        <v>15.5</v>
      </c>
      <c r="AD1120">
        <v>139.5</v>
      </c>
      <c r="AE1120">
        <v>63.43</v>
      </c>
      <c r="AF1120">
        <v>76.069999999999993</v>
      </c>
      <c r="AG1120">
        <v>2024</v>
      </c>
      <c r="AH1120">
        <v>9</v>
      </c>
      <c r="AI1120" t="s">
        <v>2300</v>
      </c>
      <c r="AJ1120" t="s">
        <v>2317</v>
      </c>
    </row>
    <row r="1121" spans="1:36" x14ac:dyDescent="0.3">
      <c r="A1121" t="s">
        <v>1155</v>
      </c>
      <c r="B1121" s="2">
        <v>45470</v>
      </c>
      <c r="C1121" t="s">
        <v>1701</v>
      </c>
      <c r="D1121" t="s">
        <v>1786</v>
      </c>
      <c r="E1121" t="s">
        <v>1973</v>
      </c>
      <c r="F1121" t="s">
        <v>2239</v>
      </c>
      <c r="G1121" t="s">
        <v>2255</v>
      </c>
      <c r="H1121" t="s">
        <v>2260</v>
      </c>
      <c r="I1121" t="s">
        <v>2260</v>
      </c>
      <c r="J1121" t="s">
        <v>2265</v>
      </c>
      <c r="K1121">
        <v>4</v>
      </c>
      <c r="L1121">
        <v>175</v>
      </c>
      <c r="M1121">
        <v>0</v>
      </c>
      <c r="N1121">
        <v>700</v>
      </c>
      <c r="O1121">
        <v>700</v>
      </c>
      <c r="P1121" t="s">
        <v>2267</v>
      </c>
      <c r="Q1121" t="s">
        <v>2272</v>
      </c>
      <c r="R1121" t="s">
        <v>2276</v>
      </c>
      <c r="S1121" t="s">
        <v>2286</v>
      </c>
      <c r="T1121" t="s">
        <v>2288</v>
      </c>
      <c r="U1121">
        <v>5</v>
      </c>
      <c r="W1121">
        <v>56</v>
      </c>
      <c r="X1121">
        <v>76.23</v>
      </c>
      <c r="Y1121">
        <v>395.08</v>
      </c>
      <c r="Z1121" t="s">
        <v>2291</v>
      </c>
      <c r="AA1121" t="s">
        <v>2298</v>
      </c>
      <c r="AB1121">
        <v>700</v>
      </c>
      <c r="AC1121">
        <v>0</v>
      </c>
      <c r="AD1121">
        <v>700</v>
      </c>
      <c r="AE1121">
        <v>304.92</v>
      </c>
      <c r="AF1121">
        <v>395.08</v>
      </c>
      <c r="AG1121">
        <v>2024</v>
      </c>
      <c r="AH1121">
        <v>6</v>
      </c>
      <c r="AI1121" t="s">
        <v>2304</v>
      </c>
      <c r="AJ1121" t="s">
        <v>2316</v>
      </c>
    </row>
    <row r="1122" spans="1:36" x14ac:dyDescent="0.3">
      <c r="A1122" t="s">
        <v>1156</v>
      </c>
      <c r="B1122" s="2">
        <v>45611</v>
      </c>
      <c r="C1122" t="s">
        <v>1731</v>
      </c>
      <c r="D1122" t="s">
        <v>1793</v>
      </c>
      <c r="E1122" t="s">
        <v>1942</v>
      </c>
      <c r="F1122" t="s">
        <v>2238</v>
      </c>
      <c r="G1122" t="s">
        <v>2254</v>
      </c>
      <c r="H1122" t="s">
        <v>2259</v>
      </c>
      <c r="I1122" t="s">
        <v>2263</v>
      </c>
      <c r="J1122" t="s">
        <v>2264</v>
      </c>
      <c r="K1122">
        <v>1</v>
      </c>
      <c r="L1122">
        <v>110</v>
      </c>
      <c r="N1122">
        <v>110</v>
      </c>
      <c r="P1122" t="s">
        <v>2269</v>
      </c>
      <c r="Q1122" t="s">
        <v>2272</v>
      </c>
      <c r="R1122" t="s">
        <v>2273</v>
      </c>
      <c r="S1122" t="s">
        <v>2284</v>
      </c>
      <c r="T1122" t="s">
        <v>2288</v>
      </c>
      <c r="W1122">
        <v>34</v>
      </c>
      <c r="X1122">
        <v>47.04</v>
      </c>
      <c r="Z1122" t="s">
        <v>2294</v>
      </c>
      <c r="AA1122" t="s">
        <v>2298</v>
      </c>
      <c r="AB1122">
        <v>110</v>
      </c>
      <c r="AC1122">
        <v>0</v>
      </c>
      <c r="AD1122">
        <v>110</v>
      </c>
      <c r="AE1122">
        <v>47.04</v>
      </c>
      <c r="AF1122">
        <v>62.96</v>
      </c>
      <c r="AG1122">
        <v>2024</v>
      </c>
      <c r="AH1122">
        <v>11</v>
      </c>
      <c r="AI1122" t="s">
        <v>2311</v>
      </c>
      <c r="AJ1122" t="s">
        <v>2315</v>
      </c>
    </row>
    <row r="1123" spans="1:36" x14ac:dyDescent="0.3">
      <c r="A1123" t="s">
        <v>1157</v>
      </c>
      <c r="B1123" s="2">
        <v>45470</v>
      </c>
      <c r="C1123" t="s">
        <v>1714</v>
      </c>
      <c r="D1123" t="s">
        <v>1804</v>
      </c>
      <c r="E1123" t="s">
        <v>2232</v>
      </c>
      <c r="F1123" t="s">
        <v>2240</v>
      </c>
      <c r="G1123" t="s">
        <v>2243</v>
      </c>
      <c r="H1123" t="s">
        <v>2258</v>
      </c>
      <c r="I1123" t="s">
        <v>2260</v>
      </c>
      <c r="J1123" t="s">
        <v>2265</v>
      </c>
      <c r="K1123">
        <v>3</v>
      </c>
      <c r="L1123">
        <v>70</v>
      </c>
      <c r="M1123">
        <v>0.1</v>
      </c>
      <c r="N1123">
        <v>210</v>
      </c>
      <c r="O1123">
        <v>189</v>
      </c>
      <c r="P1123" t="s">
        <v>2269</v>
      </c>
      <c r="R1123" t="s">
        <v>2279</v>
      </c>
      <c r="S1123" t="s">
        <v>2283</v>
      </c>
      <c r="T1123" t="s">
        <v>2289</v>
      </c>
      <c r="U1123">
        <v>1</v>
      </c>
      <c r="V1123">
        <v>484</v>
      </c>
      <c r="W1123">
        <v>28</v>
      </c>
      <c r="X1123">
        <v>32.619999999999997</v>
      </c>
      <c r="Y1123">
        <v>91.14</v>
      </c>
      <c r="Z1123" t="s">
        <v>2292</v>
      </c>
      <c r="AA1123" t="s">
        <v>2299</v>
      </c>
      <c r="AB1123">
        <v>210</v>
      </c>
      <c r="AC1123">
        <v>21</v>
      </c>
      <c r="AD1123">
        <v>189</v>
      </c>
      <c r="AE1123">
        <v>97.859999999999985</v>
      </c>
      <c r="AF1123">
        <v>91.140000000000015</v>
      </c>
      <c r="AG1123">
        <v>2024</v>
      </c>
      <c r="AH1123">
        <v>6</v>
      </c>
      <c r="AI1123" t="s">
        <v>2304</v>
      </c>
      <c r="AJ1123" t="s">
        <v>2316</v>
      </c>
    </row>
    <row r="1124" spans="1:36" x14ac:dyDescent="0.3">
      <c r="A1124" t="s">
        <v>1158</v>
      </c>
      <c r="B1124" s="2">
        <v>45385</v>
      </c>
      <c r="C1124" t="s">
        <v>1662</v>
      </c>
      <c r="D1124" t="s">
        <v>1761</v>
      </c>
      <c r="E1124" t="s">
        <v>2070</v>
      </c>
      <c r="F1124" t="s">
        <v>2239</v>
      </c>
      <c r="G1124" t="s">
        <v>2244</v>
      </c>
      <c r="H1124" t="s">
        <v>2257</v>
      </c>
      <c r="I1124" t="s">
        <v>2262</v>
      </c>
      <c r="J1124" t="s">
        <v>2266</v>
      </c>
      <c r="K1124">
        <v>1</v>
      </c>
      <c r="L1124">
        <v>120</v>
      </c>
      <c r="M1124">
        <v>0</v>
      </c>
      <c r="O1124">
        <v>120</v>
      </c>
      <c r="P1124" t="s">
        <v>2267</v>
      </c>
      <c r="Q1124" t="s">
        <v>2271</v>
      </c>
      <c r="R1124" t="s">
        <v>2274</v>
      </c>
      <c r="S1124" t="s">
        <v>2287</v>
      </c>
      <c r="T1124" t="s">
        <v>2288</v>
      </c>
      <c r="U1124">
        <v>2</v>
      </c>
      <c r="V1124">
        <v>398</v>
      </c>
      <c r="X1124">
        <v>53.34</v>
      </c>
      <c r="Y1124">
        <v>66.66</v>
      </c>
      <c r="Z1124" t="s">
        <v>2291</v>
      </c>
      <c r="AA1124" t="s">
        <v>2297</v>
      </c>
      <c r="AB1124">
        <v>120</v>
      </c>
      <c r="AC1124">
        <v>0</v>
      </c>
      <c r="AD1124">
        <v>120</v>
      </c>
      <c r="AE1124">
        <v>53.34</v>
      </c>
      <c r="AF1124">
        <v>66.66</v>
      </c>
      <c r="AG1124">
        <v>2024</v>
      </c>
      <c r="AH1124">
        <v>4</v>
      </c>
      <c r="AI1124" t="s">
        <v>2308</v>
      </c>
      <c r="AJ1124" t="s">
        <v>2312</v>
      </c>
    </row>
    <row r="1125" spans="1:36" x14ac:dyDescent="0.3">
      <c r="A1125" t="s">
        <v>1159</v>
      </c>
      <c r="B1125" s="2">
        <v>45461</v>
      </c>
      <c r="C1125" t="s">
        <v>1733</v>
      </c>
      <c r="D1125" t="s">
        <v>1770</v>
      </c>
      <c r="E1125" t="s">
        <v>1952</v>
      </c>
      <c r="F1125" t="s">
        <v>2238</v>
      </c>
      <c r="G1125" t="s">
        <v>2247</v>
      </c>
      <c r="H1125" t="s">
        <v>2257</v>
      </c>
      <c r="I1125" t="s">
        <v>2262</v>
      </c>
      <c r="J1125" t="s">
        <v>2266</v>
      </c>
      <c r="K1125">
        <v>1</v>
      </c>
      <c r="L1125">
        <v>100</v>
      </c>
      <c r="M1125">
        <v>0.05</v>
      </c>
      <c r="N1125">
        <v>100</v>
      </c>
      <c r="O1125">
        <v>95</v>
      </c>
      <c r="P1125" t="s">
        <v>2269</v>
      </c>
      <c r="Q1125" t="s">
        <v>2270</v>
      </c>
      <c r="R1125" t="s">
        <v>2278</v>
      </c>
      <c r="S1125" t="s">
        <v>2286</v>
      </c>
      <c r="T1125" t="s">
        <v>2289</v>
      </c>
      <c r="U1125">
        <v>1</v>
      </c>
      <c r="V1125">
        <v>337</v>
      </c>
      <c r="X1125">
        <v>41.08</v>
      </c>
      <c r="Y1125">
        <v>53.92</v>
      </c>
      <c r="Z1125" t="s">
        <v>2293</v>
      </c>
      <c r="AA1125" t="s">
        <v>2296</v>
      </c>
      <c r="AB1125">
        <v>100</v>
      </c>
      <c r="AC1125">
        <v>5</v>
      </c>
      <c r="AD1125">
        <v>95</v>
      </c>
      <c r="AE1125">
        <v>41.08</v>
      </c>
      <c r="AF1125">
        <v>53.92</v>
      </c>
      <c r="AG1125">
        <v>2024</v>
      </c>
      <c r="AH1125">
        <v>6</v>
      </c>
      <c r="AI1125" t="s">
        <v>2304</v>
      </c>
      <c r="AJ1125" t="s">
        <v>2313</v>
      </c>
    </row>
    <row r="1126" spans="1:36" x14ac:dyDescent="0.3">
      <c r="A1126" t="s">
        <v>1160</v>
      </c>
      <c r="B1126" s="2">
        <v>45505</v>
      </c>
      <c r="C1126" t="s">
        <v>1685</v>
      </c>
      <c r="D1126" t="s">
        <v>1752</v>
      </c>
      <c r="E1126" t="s">
        <v>2149</v>
      </c>
      <c r="F1126" t="s">
        <v>2239</v>
      </c>
      <c r="G1126" t="s">
        <v>2243</v>
      </c>
      <c r="H1126" t="s">
        <v>2258</v>
      </c>
      <c r="I1126" t="s">
        <v>2260</v>
      </c>
      <c r="K1126">
        <v>1</v>
      </c>
      <c r="L1126">
        <v>65</v>
      </c>
      <c r="M1126">
        <v>0.05</v>
      </c>
      <c r="N1126">
        <v>65</v>
      </c>
      <c r="O1126">
        <v>61.75</v>
      </c>
      <c r="P1126" t="s">
        <v>2269</v>
      </c>
      <c r="R1126" t="s">
        <v>2279</v>
      </c>
      <c r="S1126" t="s">
        <v>2286</v>
      </c>
      <c r="T1126" t="s">
        <v>2288</v>
      </c>
      <c r="U1126">
        <v>5</v>
      </c>
      <c r="V1126">
        <v>187</v>
      </c>
      <c r="X1126">
        <v>41.75</v>
      </c>
      <c r="Y1126">
        <v>20</v>
      </c>
      <c r="Z1126" t="s">
        <v>2292</v>
      </c>
      <c r="AA1126" t="s">
        <v>2298</v>
      </c>
      <c r="AB1126">
        <v>65</v>
      </c>
      <c r="AC1126">
        <v>3.25</v>
      </c>
      <c r="AD1126">
        <v>61.75</v>
      </c>
      <c r="AE1126">
        <v>41.75</v>
      </c>
      <c r="AF1126">
        <v>20</v>
      </c>
      <c r="AG1126">
        <v>2024</v>
      </c>
      <c r="AH1126">
        <v>8</v>
      </c>
      <c r="AI1126" t="s">
        <v>2301</v>
      </c>
      <c r="AJ1126" t="s">
        <v>2316</v>
      </c>
    </row>
    <row r="1127" spans="1:36" x14ac:dyDescent="0.3">
      <c r="A1127" t="s">
        <v>1161</v>
      </c>
      <c r="B1127" s="2">
        <v>45647</v>
      </c>
      <c r="C1127" t="s">
        <v>1646</v>
      </c>
      <c r="D1127" t="s">
        <v>1868</v>
      </c>
      <c r="E1127" t="s">
        <v>1963</v>
      </c>
      <c r="F1127" t="s">
        <v>2240</v>
      </c>
      <c r="G1127" t="s">
        <v>2254</v>
      </c>
      <c r="H1127" t="s">
        <v>2259</v>
      </c>
      <c r="I1127" t="s">
        <v>2263</v>
      </c>
      <c r="J1127" t="s">
        <v>2264</v>
      </c>
      <c r="K1127">
        <v>1</v>
      </c>
      <c r="L1127">
        <v>120</v>
      </c>
      <c r="M1127">
        <v>0</v>
      </c>
      <c r="N1127">
        <v>120</v>
      </c>
      <c r="O1127">
        <v>120</v>
      </c>
      <c r="P1127" t="s">
        <v>2269</v>
      </c>
      <c r="Q1127" t="s">
        <v>2272</v>
      </c>
      <c r="R1127" t="s">
        <v>2276</v>
      </c>
      <c r="S1127" t="s">
        <v>2285</v>
      </c>
      <c r="T1127" t="s">
        <v>2289</v>
      </c>
      <c r="V1127">
        <v>309</v>
      </c>
      <c r="W1127">
        <v>52</v>
      </c>
      <c r="X1127">
        <v>55.53</v>
      </c>
      <c r="Y1127">
        <v>64.47</v>
      </c>
      <c r="Z1127" t="s">
        <v>2293</v>
      </c>
      <c r="AA1127" t="s">
        <v>2299</v>
      </c>
      <c r="AB1127">
        <v>120</v>
      </c>
      <c r="AC1127">
        <v>0</v>
      </c>
      <c r="AD1127">
        <v>120</v>
      </c>
      <c r="AE1127">
        <v>55.53</v>
      </c>
      <c r="AF1127">
        <v>64.47</v>
      </c>
      <c r="AG1127">
        <v>2024</v>
      </c>
      <c r="AH1127">
        <v>12</v>
      </c>
      <c r="AI1127" t="s">
        <v>2309</v>
      </c>
      <c r="AJ1127" t="s">
        <v>2317</v>
      </c>
    </row>
    <row r="1128" spans="1:36" x14ac:dyDescent="0.3">
      <c r="A1128" t="s">
        <v>1162</v>
      </c>
      <c r="B1128" s="2">
        <v>45366</v>
      </c>
      <c r="C1128" t="s">
        <v>1643</v>
      </c>
      <c r="D1128" t="s">
        <v>1810</v>
      </c>
      <c r="E1128" t="s">
        <v>2229</v>
      </c>
      <c r="F1128" t="s">
        <v>2238</v>
      </c>
      <c r="G1128" t="s">
        <v>2245</v>
      </c>
      <c r="H1128" t="s">
        <v>2257</v>
      </c>
      <c r="I1128" t="s">
        <v>2263</v>
      </c>
      <c r="J1128" t="s">
        <v>2265</v>
      </c>
      <c r="K1128">
        <v>1</v>
      </c>
      <c r="L1128">
        <v>145</v>
      </c>
      <c r="M1128">
        <v>0.1</v>
      </c>
      <c r="N1128">
        <v>145</v>
      </c>
      <c r="O1128">
        <v>130.5</v>
      </c>
      <c r="P1128" t="s">
        <v>2269</v>
      </c>
      <c r="R1128" t="s">
        <v>2275</v>
      </c>
      <c r="S1128" t="s">
        <v>2283</v>
      </c>
      <c r="T1128" t="s">
        <v>2288</v>
      </c>
      <c r="U1128">
        <v>2</v>
      </c>
      <c r="V1128">
        <v>119</v>
      </c>
      <c r="W1128">
        <v>50</v>
      </c>
      <c r="X1128">
        <v>81.66</v>
      </c>
      <c r="Y1128">
        <v>48.84</v>
      </c>
      <c r="Z1128" t="s">
        <v>2293</v>
      </c>
      <c r="AA1128" t="s">
        <v>2296</v>
      </c>
      <c r="AB1128">
        <v>145</v>
      </c>
      <c r="AC1128">
        <v>14.5</v>
      </c>
      <c r="AD1128">
        <v>130.5</v>
      </c>
      <c r="AE1128">
        <v>81.66</v>
      </c>
      <c r="AF1128">
        <v>48.84</v>
      </c>
      <c r="AG1128">
        <v>2024</v>
      </c>
      <c r="AH1128">
        <v>3</v>
      </c>
      <c r="AI1128" t="s">
        <v>2305</v>
      </c>
      <c r="AJ1128" t="s">
        <v>2315</v>
      </c>
    </row>
    <row r="1129" spans="1:36" x14ac:dyDescent="0.3">
      <c r="A1129" t="s">
        <v>1163</v>
      </c>
      <c r="B1129" s="2">
        <v>45444</v>
      </c>
      <c r="C1129" t="s">
        <v>1674</v>
      </c>
      <c r="D1129" t="s">
        <v>1769</v>
      </c>
      <c r="E1129" t="s">
        <v>1948</v>
      </c>
      <c r="F1129" t="s">
        <v>2240</v>
      </c>
      <c r="G1129" t="s">
        <v>2251</v>
      </c>
      <c r="H1129" t="s">
        <v>2258</v>
      </c>
      <c r="I1129" t="s">
        <v>2260</v>
      </c>
      <c r="J1129" t="s">
        <v>2264</v>
      </c>
      <c r="K1129">
        <v>5</v>
      </c>
      <c r="L1129">
        <v>105</v>
      </c>
      <c r="M1129">
        <v>0.1</v>
      </c>
      <c r="N1129">
        <v>525</v>
      </c>
      <c r="O1129">
        <v>472.5</v>
      </c>
      <c r="P1129" t="s">
        <v>2269</v>
      </c>
      <c r="R1129" t="s">
        <v>2277</v>
      </c>
      <c r="S1129" t="s">
        <v>2284</v>
      </c>
      <c r="T1129" t="s">
        <v>2288</v>
      </c>
      <c r="U1129">
        <v>4</v>
      </c>
      <c r="V1129">
        <v>116</v>
      </c>
      <c r="X1129">
        <v>51.69</v>
      </c>
      <c r="Y1129">
        <v>214.05</v>
      </c>
      <c r="Z1129" t="s">
        <v>2294</v>
      </c>
      <c r="AA1129" t="s">
        <v>2299</v>
      </c>
      <c r="AB1129">
        <v>525</v>
      </c>
      <c r="AC1129">
        <v>52.5</v>
      </c>
      <c r="AD1129">
        <v>472.5</v>
      </c>
      <c r="AE1129">
        <v>258.45</v>
      </c>
      <c r="AF1129">
        <v>214.05</v>
      </c>
      <c r="AG1129">
        <v>2024</v>
      </c>
      <c r="AH1129">
        <v>6</v>
      </c>
      <c r="AI1129" t="s">
        <v>2304</v>
      </c>
      <c r="AJ1129" t="s">
        <v>2317</v>
      </c>
    </row>
    <row r="1130" spans="1:36" x14ac:dyDescent="0.3">
      <c r="A1130" t="s">
        <v>1164</v>
      </c>
      <c r="B1130" s="2">
        <v>45350</v>
      </c>
      <c r="C1130" t="s">
        <v>1738</v>
      </c>
      <c r="D1130" t="s">
        <v>1750</v>
      </c>
      <c r="E1130" t="s">
        <v>2013</v>
      </c>
      <c r="F1130" t="s">
        <v>1761</v>
      </c>
      <c r="G1130" t="s">
        <v>2247</v>
      </c>
      <c r="H1130" t="s">
        <v>2257</v>
      </c>
      <c r="I1130" t="s">
        <v>2262</v>
      </c>
      <c r="J1130" t="s">
        <v>2264</v>
      </c>
      <c r="K1130">
        <v>1</v>
      </c>
      <c r="L1130">
        <v>100</v>
      </c>
      <c r="N1130">
        <v>100</v>
      </c>
      <c r="P1130" t="s">
        <v>2267</v>
      </c>
      <c r="Q1130" t="s">
        <v>2270</v>
      </c>
      <c r="R1130" t="s">
        <v>2278</v>
      </c>
      <c r="S1130" t="s">
        <v>2281</v>
      </c>
      <c r="T1130" t="s">
        <v>2288</v>
      </c>
      <c r="U1130">
        <v>1</v>
      </c>
      <c r="V1130">
        <v>38</v>
      </c>
      <c r="X1130">
        <v>44.75</v>
      </c>
      <c r="Z1130" t="s">
        <v>2294</v>
      </c>
      <c r="AA1130" t="s">
        <v>1761</v>
      </c>
      <c r="AB1130">
        <v>100</v>
      </c>
      <c r="AC1130">
        <v>0</v>
      </c>
      <c r="AD1130">
        <v>100</v>
      </c>
      <c r="AE1130">
        <v>44.75</v>
      </c>
      <c r="AF1130">
        <v>55.25</v>
      </c>
      <c r="AG1130">
        <v>2024</v>
      </c>
      <c r="AH1130">
        <v>2</v>
      </c>
      <c r="AI1130" t="s">
        <v>2303</v>
      </c>
      <c r="AJ1130" t="s">
        <v>2312</v>
      </c>
    </row>
    <row r="1131" spans="1:36" x14ac:dyDescent="0.3">
      <c r="A1131" t="s">
        <v>1165</v>
      </c>
      <c r="B1131" s="2">
        <v>45301</v>
      </c>
      <c r="C1131" t="s">
        <v>1732</v>
      </c>
      <c r="D1131" t="s">
        <v>1854</v>
      </c>
      <c r="E1131" t="s">
        <v>1976</v>
      </c>
      <c r="F1131" t="s">
        <v>2239</v>
      </c>
      <c r="G1131" t="s">
        <v>2255</v>
      </c>
      <c r="H1131" t="s">
        <v>2260</v>
      </c>
      <c r="I1131" t="s">
        <v>2260</v>
      </c>
      <c r="J1131" t="s">
        <v>2264</v>
      </c>
      <c r="K1131">
        <v>2</v>
      </c>
      <c r="L1131">
        <v>180</v>
      </c>
      <c r="M1131">
        <v>0</v>
      </c>
      <c r="N1131">
        <v>360</v>
      </c>
      <c r="O1131">
        <v>360</v>
      </c>
      <c r="P1131" t="s">
        <v>2267</v>
      </c>
      <c r="Q1131" t="s">
        <v>2272</v>
      </c>
      <c r="R1131" t="s">
        <v>2276</v>
      </c>
      <c r="S1131" t="s">
        <v>2286</v>
      </c>
      <c r="T1131" t="s">
        <v>2288</v>
      </c>
      <c r="U1131">
        <v>1</v>
      </c>
      <c r="V1131">
        <v>200</v>
      </c>
      <c r="W1131">
        <v>60</v>
      </c>
      <c r="X1131">
        <v>65.47</v>
      </c>
      <c r="Y1131">
        <v>229.06</v>
      </c>
      <c r="Z1131" t="s">
        <v>1761</v>
      </c>
      <c r="AA1131" t="s">
        <v>1761</v>
      </c>
      <c r="AB1131">
        <v>360</v>
      </c>
      <c r="AC1131">
        <v>0</v>
      </c>
      <c r="AD1131">
        <v>360</v>
      </c>
      <c r="AE1131">
        <v>130.94</v>
      </c>
      <c r="AF1131">
        <v>229.06</v>
      </c>
      <c r="AG1131">
        <v>2024</v>
      </c>
      <c r="AH1131">
        <v>1</v>
      </c>
      <c r="AI1131" t="s">
        <v>2302</v>
      </c>
      <c r="AJ1131" t="s">
        <v>2312</v>
      </c>
    </row>
    <row r="1132" spans="1:36" x14ac:dyDescent="0.3">
      <c r="A1132" t="s">
        <v>1166</v>
      </c>
      <c r="B1132" s="2">
        <v>45329</v>
      </c>
      <c r="C1132" t="s">
        <v>1728</v>
      </c>
      <c r="D1132" t="s">
        <v>1851</v>
      </c>
      <c r="E1132" t="s">
        <v>2161</v>
      </c>
      <c r="F1132" t="s">
        <v>2240</v>
      </c>
      <c r="G1132" t="s">
        <v>2245</v>
      </c>
      <c r="H1132" t="s">
        <v>2257</v>
      </c>
      <c r="I1132" t="s">
        <v>2263</v>
      </c>
      <c r="J1132" t="s">
        <v>2266</v>
      </c>
      <c r="K1132">
        <v>1</v>
      </c>
      <c r="L1132">
        <v>145</v>
      </c>
      <c r="M1132">
        <v>0.15</v>
      </c>
      <c r="N1132">
        <v>145</v>
      </c>
      <c r="O1132">
        <v>123.25</v>
      </c>
      <c r="P1132" t="s">
        <v>2268</v>
      </c>
      <c r="Q1132" t="s">
        <v>2272</v>
      </c>
      <c r="R1132" t="s">
        <v>2278</v>
      </c>
      <c r="S1132" t="s">
        <v>2287</v>
      </c>
      <c r="T1132" t="s">
        <v>2288</v>
      </c>
      <c r="U1132">
        <v>2</v>
      </c>
      <c r="V1132">
        <v>129</v>
      </c>
      <c r="X1132">
        <v>84.34</v>
      </c>
      <c r="Y1132">
        <v>38.909999999999997</v>
      </c>
      <c r="Z1132" t="s">
        <v>2293</v>
      </c>
      <c r="AA1132" t="s">
        <v>2296</v>
      </c>
      <c r="AB1132">
        <v>145</v>
      </c>
      <c r="AC1132">
        <v>21.75</v>
      </c>
      <c r="AD1132">
        <v>123.25</v>
      </c>
      <c r="AE1132">
        <v>84.34</v>
      </c>
      <c r="AF1132">
        <v>38.909999999999997</v>
      </c>
      <c r="AG1132">
        <v>2024</v>
      </c>
      <c r="AH1132">
        <v>2</v>
      </c>
      <c r="AI1132" t="s">
        <v>2303</v>
      </c>
      <c r="AJ1132" t="s">
        <v>2312</v>
      </c>
    </row>
    <row r="1133" spans="1:36" x14ac:dyDescent="0.3">
      <c r="A1133" t="s">
        <v>1167</v>
      </c>
      <c r="B1133" s="2">
        <v>45655</v>
      </c>
      <c r="C1133" t="s">
        <v>1702</v>
      </c>
      <c r="D1133" t="s">
        <v>1924</v>
      </c>
      <c r="E1133" t="s">
        <v>2067</v>
      </c>
      <c r="F1133" t="s">
        <v>2240</v>
      </c>
      <c r="G1133" t="s">
        <v>2255</v>
      </c>
      <c r="H1133" t="s">
        <v>2260</v>
      </c>
      <c r="I1133" t="s">
        <v>2260</v>
      </c>
      <c r="J1133" t="s">
        <v>2266</v>
      </c>
      <c r="K1133">
        <v>1</v>
      </c>
      <c r="L1133">
        <v>180</v>
      </c>
      <c r="M1133">
        <v>0.05</v>
      </c>
      <c r="N1133">
        <v>180</v>
      </c>
      <c r="O1133">
        <v>171</v>
      </c>
      <c r="P1133" t="s">
        <v>2269</v>
      </c>
      <c r="Q1133" t="s">
        <v>2272</v>
      </c>
      <c r="R1133" t="s">
        <v>2274</v>
      </c>
      <c r="S1133" t="s">
        <v>2287</v>
      </c>
      <c r="T1133" t="s">
        <v>2288</v>
      </c>
      <c r="U1133">
        <v>5</v>
      </c>
      <c r="V1133">
        <v>173</v>
      </c>
      <c r="W1133">
        <v>40</v>
      </c>
      <c r="X1133">
        <v>103.42</v>
      </c>
      <c r="Y1133">
        <v>67.58</v>
      </c>
      <c r="Z1133" t="s">
        <v>2293</v>
      </c>
      <c r="AA1133" t="s">
        <v>2297</v>
      </c>
      <c r="AB1133">
        <v>180</v>
      </c>
      <c r="AC1133">
        <v>9</v>
      </c>
      <c r="AD1133">
        <v>171</v>
      </c>
      <c r="AE1133">
        <v>103.42</v>
      </c>
      <c r="AF1133">
        <v>67.58</v>
      </c>
      <c r="AG1133">
        <v>2024</v>
      </c>
      <c r="AH1133">
        <v>12</v>
      </c>
      <c r="AI1133" t="s">
        <v>2309</v>
      </c>
      <c r="AJ1133" t="s">
        <v>2318</v>
      </c>
    </row>
    <row r="1134" spans="1:36" x14ac:dyDescent="0.3">
      <c r="A1134" t="s">
        <v>1168</v>
      </c>
      <c r="B1134" s="2">
        <v>45293</v>
      </c>
      <c r="C1134" t="s">
        <v>1685</v>
      </c>
      <c r="D1134" t="s">
        <v>1745</v>
      </c>
      <c r="E1134" t="s">
        <v>1980</v>
      </c>
      <c r="F1134" t="s">
        <v>2239</v>
      </c>
      <c r="G1134" t="s">
        <v>2256</v>
      </c>
      <c r="H1134" t="s">
        <v>2261</v>
      </c>
      <c r="I1134" t="s">
        <v>2260</v>
      </c>
      <c r="J1134" t="s">
        <v>2266</v>
      </c>
      <c r="K1134">
        <v>1</v>
      </c>
      <c r="L1134">
        <v>200</v>
      </c>
      <c r="M1134">
        <v>0</v>
      </c>
      <c r="N1134">
        <v>200</v>
      </c>
      <c r="O1134">
        <v>200</v>
      </c>
      <c r="P1134" t="s">
        <v>2269</v>
      </c>
      <c r="Q1134" t="s">
        <v>2272</v>
      </c>
      <c r="R1134" t="s">
        <v>2279</v>
      </c>
      <c r="S1134" t="s">
        <v>2282</v>
      </c>
      <c r="T1134" t="s">
        <v>2288</v>
      </c>
      <c r="U1134">
        <v>3</v>
      </c>
      <c r="V1134">
        <v>220</v>
      </c>
      <c r="W1134">
        <v>47</v>
      </c>
      <c r="X1134">
        <v>113.05</v>
      </c>
      <c r="Y1134">
        <v>86.95</v>
      </c>
      <c r="Z1134" t="s">
        <v>1761</v>
      </c>
      <c r="AA1134" t="s">
        <v>2296</v>
      </c>
      <c r="AB1134">
        <v>200</v>
      </c>
      <c r="AC1134">
        <v>0</v>
      </c>
      <c r="AD1134">
        <v>200</v>
      </c>
      <c r="AE1134">
        <v>113.05</v>
      </c>
      <c r="AF1134">
        <v>86.95</v>
      </c>
      <c r="AG1134">
        <v>2024</v>
      </c>
      <c r="AH1134">
        <v>1</v>
      </c>
      <c r="AI1134" t="s">
        <v>2302</v>
      </c>
      <c r="AJ1134" t="s">
        <v>2313</v>
      </c>
    </row>
    <row r="1135" spans="1:36" x14ac:dyDescent="0.3">
      <c r="A1135" t="s">
        <v>1169</v>
      </c>
      <c r="B1135" s="2">
        <v>45478</v>
      </c>
      <c r="C1135" t="s">
        <v>1689</v>
      </c>
      <c r="D1135" t="s">
        <v>1748</v>
      </c>
      <c r="E1135" t="s">
        <v>2159</v>
      </c>
      <c r="F1135" t="s">
        <v>1761</v>
      </c>
      <c r="G1135" t="s">
        <v>2250</v>
      </c>
      <c r="H1135" t="s">
        <v>2259</v>
      </c>
      <c r="I1135" t="s">
        <v>2262</v>
      </c>
      <c r="J1135" t="s">
        <v>2264</v>
      </c>
      <c r="K1135">
        <v>1</v>
      </c>
      <c r="L1135">
        <v>90</v>
      </c>
      <c r="M1135">
        <v>0.15</v>
      </c>
      <c r="N1135">
        <v>90</v>
      </c>
      <c r="O1135">
        <v>76.5</v>
      </c>
      <c r="P1135" t="s">
        <v>2267</v>
      </c>
      <c r="Q1135" t="s">
        <v>2270</v>
      </c>
      <c r="R1135" t="s">
        <v>2279</v>
      </c>
      <c r="S1135" t="s">
        <v>2286</v>
      </c>
      <c r="T1135" t="s">
        <v>2290</v>
      </c>
      <c r="U1135">
        <v>1</v>
      </c>
      <c r="V1135">
        <v>205</v>
      </c>
      <c r="W1135">
        <v>37</v>
      </c>
      <c r="X1135">
        <v>47.9</v>
      </c>
      <c r="Y1135">
        <v>28.6</v>
      </c>
      <c r="Z1135" t="s">
        <v>2294</v>
      </c>
      <c r="AA1135" t="s">
        <v>2296</v>
      </c>
      <c r="AB1135">
        <v>90</v>
      </c>
      <c r="AC1135">
        <v>13.5</v>
      </c>
      <c r="AD1135">
        <v>76.5</v>
      </c>
      <c r="AE1135">
        <v>47.9</v>
      </c>
      <c r="AF1135">
        <v>28.6</v>
      </c>
      <c r="AG1135">
        <v>2024</v>
      </c>
      <c r="AH1135">
        <v>7</v>
      </c>
      <c r="AI1135" t="s">
        <v>2307</v>
      </c>
      <c r="AJ1135" t="s">
        <v>2315</v>
      </c>
    </row>
    <row r="1136" spans="1:36" x14ac:dyDescent="0.3">
      <c r="A1136" t="s">
        <v>1170</v>
      </c>
      <c r="B1136" s="2">
        <v>45465</v>
      </c>
      <c r="C1136" t="s">
        <v>1670</v>
      </c>
      <c r="D1136" t="s">
        <v>1802</v>
      </c>
      <c r="E1136" t="s">
        <v>2080</v>
      </c>
      <c r="F1136" t="s">
        <v>2239</v>
      </c>
      <c r="G1136" t="s">
        <v>2252</v>
      </c>
      <c r="H1136" t="s">
        <v>2257</v>
      </c>
      <c r="I1136" t="s">
        <v>2262</v>
      </c>
      <c r="J1136" t="s">
        <v>2266</v>
      </c>
      <c r="K1136">
        <v>3</v>
      </c>
      <c r="L1136">
        <v>95</v>
      </c>
      <c r="M1136">
        <v>0.1</v>
      </c>
      <c r="N1136">
        <v>285</v>
      </c>
      <c r="O1136">
        <v>256.5</v>
      </c>
      <c r="P1136" t="s">
        <v>2267</v>
      </c>
      <c r="Q1136" t="s">
        <v>2272</v>
      </c>
      <c r="R1136" t="s">
        <v>2273</v>
      </c>
      <c r="S1136" t="s">
        <v>2283</v>
      </c>
      <c r="T1136" t="s">
        <v>2289</v>
      </c>
      <c r="V1136">
        <v>89</v>
      </c>
      <c r="X1136">
        <v>38.299999999999997</v>
      </c>
      <c r="Y1136">
        <v>141.6</v>
      </c>
      <c r="Z1136" t="s">
        <v>2293</v>
      </c>
      <c r="AA1136" t="s">
        <v>2299</v>
      </c>
      <c r="AB1136">
        <v>285</v>
      </c>
      <c r="AC1136">
        <v>28.5</v>
      </c>
      <c r="AD1136">
        <v>256.5</v>
      </c>
      <c r="AE1136">
        <v>114.9</v>
      </c>
      <c r="AF1136">
        <v>141.6</v>
      </c>
      <c r="AG1136">
        <v>2024</v>
      </c>
      <c r="AH1136">
        <v>6</v>
      </c>
      <c r="AI1136" t="s">
        <v>2304</v>
      </c>
      <c r="AJ1136" t="s">
        <v>2317</v>
      </c>
    </row>
    <row r="1137" spans="1:36" x14ac:dyDescent="0.3">
      <c r="A1137" t="s">
        <v>1171</v>
      </c>
      <c r="B1137" s="2">
        <v>45545</v>
      </c>
      <c r="C1137" t="s">
        <v>1736</v>
      </c>
      <c r="D1137" t="s">
        <v>1888</v>
      </c>
      <c r="E1137" t="s">
        <v>1955</v>
      </c>
      <c r="F1137" t="s">
        <v>2239</v>
      </c>
      <c r="G1137" t="s">
        <v>2251</v>
      </c>
      <c r="H1137" t="s">
        <v>2258</v>
      </c>
      <c r="I1137" t="s">
        <v>2260</v>
      </c>
      <c r="K1137">
        <v>1</v>
      </c>
      <c r="L1137">
        <v>100</v>
      </c>
      <c r="M1137">
        <v>0</v>
      </c>
      <c r="N1137">
        <v>100</v>
      </c>
      <c r="O1137">
        <v>100</v>
      </c>
      <c r="Q1137" t="s">
        <v>2272</v>
      </c>
      <c r="R1137" t="s">
        <v>2273</v>
      </c>
      <c r="S1137" t="s">
        <v>2287</v>
      </c>
      <c r="T1137" t="s">
        <v>2288</v>
      </c>
      <c r="U1137">
        <v>5</v>
      </c>
      <c r="V1137">
        <v>453</v>
      </c>
      <c r="W1137">
        <v>18</v>
      </c>
      <c r="X1137">
        <v>57.97</v>
      </c>
      <c r="Y1137">
        <v>42.03</v>
      </c>
      <c r="Z1137" t="s">
        <v>1761</v>
      </c>
      <c r="AA1137" t="s">
        <v>2296</v>
      </c>
      <c r="AB1137">
        <v>100</v>
      </c>
      <c r="AC1137">
        <v>0</v>
      </c>
      <c r="AD1137">
        <v>100</v>
      </c>
      <c r="AE1137">
        <v>57.97</v>
      </c>
      <c r="AF1137">
        <v>42.03</v>
      </c>
      <c r="AG1137">
        <v>2024</v>
      </c>
      <c r="AH1137">
        <v>9</v>
      </c>
      <c r="AI1137" t="s">
        <v>2300</v>
      </c>
      <c r="AJ1137" t="s">
        <v>2313</v>
      </c>
    </row>
    <row r="1138" spans="1:36" x14ac:dyDescent="0.3">
      <c r="A1138" t="s">
        <v>1172</v>
      </c>
      <c r="B1138" s="2">
        <v>45492</v>
      </c>
      <c r="C1138" t="s">
        <v>1651</v>
      </c>
      <c r="D1138" t="s">
        <v>1807</v>
      </c>
      <c r="E1138" t="s">
        <v>2053</v>
      </c>
      <c r="F1138" t="s">
        <v>2240</v>
      </c>
      <c r="G1138" t="s">
        <v>2251</v>
      </c>
      <c r="H1138" t="s">
        <v>2258</v>
      </c>
      <c r="I1138" t="s">
        <v>2260</v>
      </c>
      <c r="J1138" t="s">
        <v>2266</v>
      </c>
      <c r="K1138">
        <v>2</v>
      </c>
      <c r="L1138">
        <v>100</v>
      </c>
      <c r="M1138">
        <v>0.05</v>
      </c>
      <c r="N1138">
        <v>200</v>
      </c>
      <c r="O1138">
        <v>190</v>
      </c>
      <c r="P1138" t="s">
        <v>2267</v>
      </c>
      <c r="Q1138" t="s">
        <v>2270</v>
      </c>
      <c r="R1138" t="s">
        <v>2275</v>
      </c>
      <c r="S1138" t="s">
        <v>2281</v>
      </c>
      <c r="T1138" t="s">
        <v>2289</v>
      </c>
      <c r="U1138">
        <v>3</v>
      </c>
      <c r="V1138">
        <v>436</v>
      </c>
      <c r="X1138">
        <v>47.35</v>
      </c>
      <c r="Y1138">
        <v>95.3</v>
      </c>
      <c r="Z1138" t="s">
        <v>1761</v>
      </c>
      <c r="AA1138" t="s">
        <v>2298</v>
      </c>
      <c r="AB1138">
        <v>200</v>
      </c>
      <c r="AC1138">
        <v>10</v>
      </c>
      <c r="AD1138">
        <v>190</v>
      </c>
      <c r="AE1138">
        <v>94.7</v>
      </c>
      <c r="AF1138">
        <v>95.3</v>
      </c>
      <c r="AG1138">
        <v>2024</v>
      </c>
      <c r="AH1138">
        <v>7</v>
      </c>
      <c r="AI1138" t="s">
        <v>2307</v>
      </c>
      <c r="AJ1138" t="s">
        <v>2315</v>
      </c>
    </row>
    <row r="1139" spans="1:36" x14ac:dyDescent="0.3">
      <c r="A1139" t="s">
        <v>1173</v>
      </c>
      <c r="B1139" s="2">
        <v>45339</v>
      </c>
      <c r="C1139" t="s">
        <v>1736</v>
      </c>
      <c r="D1139" t="s">
        <v>1899</v>
      </c>
      <c r="E1139" t="s">
        <v>2220</v>
      </c>
      <c r="F1139" t="s">
        <v>1761</v>
      </c>
      <c r="G1139" t="s">
        <v>2250</v>
      </c>
      <c r="H1139" t="s">
        <v>2259</v>
      </c>
      <c r="I1139" t="s">
        <v>2262</v>
      </c>
      <c r="J1139" t="s">
        <v>2264</v>
      </c>
      <c r="K1139">
        <v>1</v>
      </c>
      <c r="L1139">
        <v>80</v>
      </c>
      <c r="M1139">
        <v>0.05</v>
      </c>
      <c r="N1139">
        <v>80</v>
      </c>
      <c r="O1139">
        <v>76</v>
      </c>
      <c r="P1139" t="s">
        <v>2267</v>
      </c>
      <c r="R1139" t="s">
        <v>2276</v>
      </c>
      <c r="S1139" t="s">
        <v>2286</v>
      </c>
      <c r="T1139" t="s">
        <v>2289</v>
      </c>
      <c r="U1139">
        <v>4</v>
      </c>
      <c r="V1139">
        <v>174</v>
      </c>
      <c r="W1139">
        <v>16</v>
      </c>
      <c r="X1139">
        <v>32.450000000000003</v>
      </c>
      <c r="Y1139">
        <v>43.55</v>
      </c>
      <c r="Z1139" t="s">
        <v>2292</v>
      </c>
      <c r="AA1139" t="s">
        <v>2297</v>
      </c>
      <c r="AB1139">
        <v>80</v>
      </c>
      <c r="AC1139">
        <v>4</v>
      </c>
      <c r="AD1139">
        <v>76</v>
      </c>
      <c r="AE1139">
        <v>32.450000000000003</v>
      </c>
      <c r="AF1139">
        <v>43.55</v>
      </c>
      <c r="AG1139">
        <v>2024</v>
      </c>
      <c r="AH1139">
        <v>2</v>
      </c>
      <c r="AI1139" t="s">
        <v>2303</v>
      </c>
      <c r="AJ1139" t="s">
        <v>2317</v>
      </c>
    </row>
    <row r="1140" spans="1:36" x14ac:dyDescent="0.3">
      <c r="A1140" t="s">
        <v>1174</v>
      </c>
      <c r="B1140" s="2">
        <v>45650</v>
      </c>
      <c r="C1140" t="s">
        <v>1664</v>
      </c>
      <c r="D1140" t="s">
        <v>1930</v>
      </c>
      <c r="E1140" t="s">
        <v>2070</v>
      </c>
      <c r="F1140" t="s">
        <v>2240</v>
      </c>
      <c r="G1140" t="s">
        <v>2244</v>
      </c>
      <c r="H1140" t="s">
        <v>2257</v>
      </c>
      <c r="I1140" t="s">
        <v>2262</v>
      </c>
      <c r="J1140" t="s">
        <v>2266</v>
      </c>
      <c r="K1140">
        <v>1</v>
      </c>
      <c r="L1140">
        <v>125</v>
      </c>
      <c r="M1140">
        <v>0</v>
      </c>
      <c r="N1140">
        <v>125</v>
      </c>
      <c r="O1140">
        <v>125</v>
      </c>
      <c r="Q1140" t="s">
        <v>2270</v>
      </c>
      <c r="R1140" t="s">
        <v>2276</v>
      </c>
      <c r="S1140" t="s">
        <v>2280</v>
      </c>
      <c r="T1140" t="s">
        <v>2288</v>
      </c>
      <c r="U1140">
        <v>5</v>
      </c>
      <c r="V1140">
        <v>209</v>
      </c>
      <c r="X1140">
        <v>50.78</v>
      </c>
      <c r="Y1140">
        <v>74.22</v>
      </c>
      <c r="Z1140" t="s">
        <v>2293</v>
      </c>
      <c r="AA1140" t="s">
        <v>2296</v>
      </c>
      <c r="AB1140">
        <v>125</v>
      </c>
      <c r="AC1140">
        <v>0</v>
      </c>
      <c r="AD1140">
        <v>125</v>
      </c>
      <c r="AE1140">
        <v>50.78</v>
      </c>
      <c r="AF1140">
        <v>74.22</v>
      </c>
      <c r="AG1140">
        <v>2024</v>
      </c>
      <c r="AH1140">
        <v>12</v>
      </c>
      <c r="AI1140" t="s">
        <v>2309</v>
      </c>
      <c r="AJ1140" t="s">
        <v>2313</v>
      </c>
    </row>
    <row r="1141" spans="1:36" x14ac:dyDescent="0.3">
      <c r="A1141" t="s">
        <v>1175</v>
      </c>
      <c r="B1141" s="2">
        <v>45365</v>
      </c>
      <c r="C1141" t="s">
        <v>1727</v>
      </c>
      <c r="D1141" t="s">
        <v>1769</v>
      </c>
      <c r="E1141" t="s">
        <v>2134</v>
      </c>
      <c r="F1141" t="s">
        <v>1761</v>
      </c>
      <c r="G1141" t="s">
        <v>2249</v>
      </c>
      <c r="H1141" t="s">
        <v>2257</v>
      </c>
      <c r="I1141" t="s">
        <v>2263</v>
      </c>
      <c r="J1141" t="s">
        <v>2264</v>
      </c>
      <c r="K1141">
        <v>2</v>
      </c>
      <c r="L1141">
        <v>170</v>
      </c>
      <c r="M1141">
        <v>0</v>
      </c>
      <c r="N1141">
        <v>340</v>
      </c>
      <c r="O1141">
        <v>340</v>
      </c>
      <c r="P1141" t="s">
        <v>2269</v>
      </c>
      <c r="Q1141" t="s">
        <v>2270</v>
      </c>
      <c r="R1141" t="s">
        <v>2278</v>
      </c>
      <c r="S1141" t="s">
        <v>2284</v>
      </c>
      <c r="T1141" t="s">
        <v>2288</v>
      </c>
      <c r="V1141">
        <v>51</v>
      </c>
      <c r="W1141">
        <v>57</v>
      </c>
      <c r="X1141">
        <v>59.89</v>
      </c>
      <c r="Y1141">
        <v>220.22</v>
      </c>
      <c r="Z1141" t="s">
        <v>1761</v>
      </c>
      <c r="AA1141" t="s">
        <v>2297</v>
      </c>
      <c r="AB1141">
        <v>340</v>
      </c>
      <c r="AC1141">
        <v>0</v>
      </c>
      <c r="AD1141">
        <v>340</v>
      </c>
      <c r="AE1141">
        <v>119.78</v>
      </c>
      <c r="AF1141">
        <v>220.22</v>
      </c>
      <c r="AG1141">
        <v>2024</v>
      </c>
      <c r="AH1141">
        <v>3</v>
      </c>
      <c r="AI1141" t="s">
        <v>2305</v>
      </c>
      <c r="AJ1141" t="s">
        <v>2316</v>
      </c>
    </row>
    <row r="1142" spans="1:36" x14ac:dyDescent="0.3">
      <c r="A1142" t="s">
        <v>1176</v>
      </c>
      <c r="B1142" s="2">
        <v>45606</v>
      </c>
      <c r="C1142" t="s">
        <v>1642</v>
      </c>
      <c r="D1142" t="s">
        <v>1889</v>
      </c>
      <c r="E1142" t="s">
        <v>1989</v>
      </c>
      <c r="F1142" t="s">
        <v>2238</v>
      </c>
      <c r="G1142" t="s">
        <v>2255</v>
      </c>
      <c r="H1142" t="s">
        <v>2260</v>
      </c>
      <c r="I1142" t="s">
        <v>2260</v>
      </c>
      <c r="J1142" t="s">
        <v>2266</v>
      </c>
      <c r="K1142">
        <v>1</v>
      </c>
      <c r="L1142">
        <v>185</v>
      </c>
      <c r="M1142">
        <v>0</v>
      </c>
      <c r="N1142">
        <v>185</v>
      </c>
      <c r="O1142">
        <v>185</v>
      </c>
      <c r="P1142" t="s">
        <v>2267</v>
      </c>
      <c r="Q1142" t="s">
        <v>2270</v>
      </c>
      <c r="R1142" t="s">
        <v>2279</v>
      </c>
      <c r="S1142" t="s">
        <v>2286</v>
      </c>
      <c r="T1142" t="s">
        <v>2289</v>
      </c>
      <c r="U1142">
        <v>1</v>
      </c>
      <c r="W1142">
        <v>13</v>
      </c>
      <c r="X1142">
        <v>93.07</v>
      </c>
      <c r="Y1142">
        <v>91.93</v>
      </c>
      <c r="Z1142" t="s">
        <v>1761</v>
      </c>
      <c r="AA1142" t="s">
        <v>2296</v>
      </c>
      <c r="AB1142">
        <v>185</v>
      </c>
      <c r="AC1142">
        <v>0</v>
      </c>
      <c r="AD1142">
        <v>185</v>
      </c>
      <c r="AE1142">
        <v>93.07</v>
      </c>
      <c r="AF1142">
        <v>91.93</v>
      </c>
      <c r="AG1142">
        <v>2024</v>
      </c>
      <c r="AH1142">
        <v>11</v>
      </c>
      <c r="AI1142" t="s">
        <v>2311</v>
      </c>
      <c r="AJ1142" t="s">
        <v>2318</v>
      </c>
    </row>
    <row r="1143" spans="1:36" x14ac:dyDescent="0.3">
      <c r="A1143" t="s">
        <v>1177</v>
      </c>
      <c r="B1143" s="2">
        <v>45654</v>
      </c>
      <c r="C1143" t="s">
        <v>1669</v>
      </c>
      <c r="D1143" t="s">
        <v>1939</v>
      </c>
      <c r="E1143" t="s">
        <v>2208</v>
      </c>
      <c r="F1143" t="s">
        <v>2239</v>
      </c>
      <c r="G1143" t="s">
        <v>2244</v>
      </c>
      <c r="H1143" t="s">
        <v>2257</v>
      </c>
      <c r="I1143" t="s">
        <v>2262</v>
      </c>
      <c r="J1143" t="s">
        <v>2265</v>
      </c>
      <c r="K1143">
        <v>1</v>
      </c>
      <c r="L1143">
        <v>125</v>
      </c>
      <c r="M1143">
        <v>0.1</v>
      </c>
      <c r="N1143">
        <v>125</v>
      </c>
      <c r="O1143">
        <v>112.5</v>
      </c>
      <c r="Q1143" t="s">
        <v>2270</v>
      </c>
      <c r="R1143" t="s">
        <v>2278</v>
      </c>
      <c r="S1143" t="s">
        <v>2287</v>
      </c>
      <c r="T1143" t="s">
        <v>2289</v>
      </c>
      <c r="U1143">
        <v>4</v>
      </c>
      <c r="V1143">
        <v>285</v>
      </c>
      <c r="W1143">
        <v>25</v>
      </c>
      <c r="X1143">
        <v>57.79</v>
      </c>
      <c r="Y1143">
        <v>54.71</v>
      </c>
      <c r="Z1143" t="s">
        <v>2292</v>
      </c>
      <c r="AA1143" t="s">
        <v>1761</v>
      </c>
      <c r="AB1143">
        <v>125</v>
      </c>
      <c r="AC1143">
        <v>12.5</v>
      </c>
      <c r="AD1143">
        <v>112.5</v>
      </c>
      <c r="AE1143">
        <v>57.79</v>
      </c>
      <c r="AF1143">
        <v>54.71</v>
      </c>
      <c r="AG1143">
        <v>2024</v>
      </c>
      <c r="AH1143">
        <v>12</v>
      </c>
      <c r="AI1143" t="s">
        <v>2309</v>
      </c>
      <c r="AJ1143" t="s">
        <v>2317</v>
      </c>
    </row>
    <row r="1144" spans="1:36" x14ac:dyDescent="0.3">
      <c r="A1144" t="s">
        <v>1178</v>
      </c>
      <c r="B1144" s="2">
        <v>45464</v>
      </c>
      <c r="C1144" t="s">
        <v>1684</v>
      </c>
      <c r="D1144" t="s">
        <v>1815</v>
      </c>
      <c r="E1144" t="s">
        <v>2155</v>
      </c>
      <c r="F1144" t="s">
        <v>1761</v>
      </c>
      <c r="G1144" t="s">
        <v>2247</v>
      </c>
      <c r="H1144" t="s">
        <v>2257</v>
      </c>
      <c r="I1144" t="s">
        <v>2262</v>
      </c>
      <c r="J1144" t="s">
        <v>2265</v>
      </c>
      <c r="K1144">
        <v>1</v>
      </c>
      <c r="L1144">
        <v>110</v>
      </c>
      <c r="M1144">
        <v>0</v>
      </c>
      <c r="N1144">
        <v>110</v>
      </c>
      <c r="O1144">
        <v>110</v>
      </c>
      <c r="P1144" t="s">
        <v>2269</v>
      </c>
      <c r="R1144" t="s">
        <v>2277</v>
      </c>
      <c r="S1144" t="s">
        <v>2282</v>
      </c>
      <c r="T1144" t="s">
        <v>2290</v>
      </c>
      <c r="U1144">
        <v>4</v>
      </c>
      <c r="V1144">
        <v>499</v>
      </c>
      <c r="W1144">
        <v>45</v>
      </c>
      <c r="X1144">
        <v>58.22</v>
      </c>
      <c r="Y1144">
        <v>51.78</v>
      </c>
      <c r="Z1144" t="s">
        <v>2293</v>
      </c>
      <c r="AA1144" t="s">
        <v>2296</v>
      </c>
      <c r="AB1144">
        <v>110</v>
      </c>
      <c r="AC1144">
        <v>0</v>
      </c>
      <c r="AD1144">
        <v>110</v>
      </c>
      <c r="AE1144">
        <v>58.22</v>
      </c>
      <c r="AF1144">
        <v>51.78</v>
      </c>
      <c r="AG1144">
        <v>2024</v>
      </c>
      <c r="AH1144">
        <v>6</v>
      </c>
      <c r="AI1144" t="s">
        <v>2304</v>
      </c>
      <c r="AJ1144" t="s">
        <v>2315</v>
      </c>
    </row>
    <row r="1145" spans="1:36" x14ac:dyDescent="0.3">
      <c r="A1145" t="s">
        <v>1179</v>
      </c>
      <c r="B1145" s="2">
        <v>45609</v>
      </c>
      <c r="C1145" t="s">
        <v>1639</v>
      </c>
      <c r="D1145" t="s">
        <v>1761</v>
      </c>
      <c r="E1145" t="s">
        <v>2141</v>
      </c>
      <c r="F1145" t="s">
        <v>2240</v>
      </c>
      <c r="G1145" t="s">
        <v>2250</v>
      </c>
      <c r="H1145" t="s">
        <v>2259</v>
      </c>
      <c r="I1145" t="s">
        <v>2262</v>
      </c>
      <c r="J1145" t="s">
        <v>2265</v>
      </c>
      <c r="K1145">
        <v>1</v>
      </c>
      <c r="L1145">
        <v>80</v>
      </c>
      <c r="M1145">
        <v>0.1</v>
      </c>
      <c r="N1145">
        <v>80</v>
      </c>
      <c r="O1145">
        <v>72</v>
      </c>
      <c r="P1145" t="s">
        <v>2269</v>
      </c>
      <c r="Q1145" t="s">
        <v>2272</v>
      </c>
      <c r="R1145" t="s">
        <v>2278</v>
      </c>
      <c r="S1145" t="s">
        <v>2287</v>
      </c>
      <c r="T1145" t="s">
        <v>2289</v>
      </c>
      <c r="U1145">
        <v>3</v>
      </c>
      <c r="V1145">
        <v>241</v>
      </c>
      <c r="W1145">
        <v>50</v>
      </c>
      <c r="X1145">
        <v>33.07</v>
      </c>
      <c r="Y1145">
        <v>38.93</v>
      </c>
      <c r="Z1145" t="s">
        <v>2291</v>
      </c>
      <c r="AA1145" t="s">
        <v>2297</v>
      </c>
      <c r="AB1145">
        <v>80</v>
      </c>
      <c r="AC1145">
        <v>8</v>
      </c>
      <c r="AD1145">
        <v>72</v>
      </c>
      <c r="AE1145">
        <v>33.07</v>
      </c>
      <c r="AF1145">
        <v>38.93</v>
      </c>
      <c r="AG1145">
        <v>2024</v>
      </c>
      <c r="AH1145">
        <v>11</v>
      </c>
      <c r="AI1145" t="s">
        <v>2311</v>
      </c>
      <c r="AJ1145" t="s">
        <v>2312</v>
      </c>
    </row>
    <row r="1146" spans="1:36" x14ac:dyDescent="0.3">
      <c r="A1146" t="s">
        <v>1180</v>
      </c>
      <c r="C1146" t="s">
        <v>1687</v>
      </c>
      <c r="D1146" t="s">
        <v>1869</v>
      </c>
      <c r="E1146" t="s">
        <v>2149</v>
      </c>
      <c r="F1146" t="s">
        <v>2240</v>
      </c>
      <c r="G1146" t="s">
        <v>2253</v>
      </c>
      <c r="H1146" t="s">
        <v>2258</v>
      </c>
      <c r="I1146" t="s">
        <v>2260</v>
      </c>
      <c r="K1146">
        <v>2</v>
      </c>
      <c r="L1146">
        <v>95</v>
      </c>
      <c r="M1146">
        <v>0</v>
      </c>
      <c r="N1146">
        <v>190</v>
      </c>
      <c r="O1146">
        <v>190</v>
      </c>
      <c r="Q1146" t="s">
        <v>2272</v>
      </c>
      <c r="R1146" t="s">
        <v>2274</v>
      </c>
      <c r="S1146" t="s">
        <v>2283</v>
      </c>
      <c r="T1146" t="s">
        <v>2288</v>
      </c>
      <c r="U1146">
        <v>3</v>
      </c>
      <c r="V1146">
        <v>107</v>
      </c>
      <c r="W1146">
        <v>14</v>
      </c>
      <c r="X1146">
        <v>40.700000000000003</v>
      </c>
      <c r="Y1146">
        <v>108.6</v>
      </c>
      <c r="Z1146" t="s">
        <v>1761</v>
      </c>
      <c r="AA1146" t="s">
        <v>2296</v>
      </c>
      <c r="AB1146">
        <v>190</v>
      </c>
      <c r="AC1146">
        <v>0</v>
      </c>
      <c r="AD1146">
        <v>190</v>
      </c>
      <c r="AE1146">
        <v>81.400000000000006</v>
      </c>
      <c r="AF1146">
        <v>108.6</v>
      </c>
    </row>
    <row r="1147" spans="1:36" x14ac:dyDescent="0.3">
      <c r="A1147" t="s">
        <v>1181</v>
      </c>
      <c r="B1147" s="2">
        <v>45633</v>
      </c>
      <c r="C1147" t="s">
        <v>1652</v>
      </c>
      <c r="D1147" t="s">
        <v>1909</v>
      </c>
      <c r="E1147" t="s">
        <v>2018</v>
      </c>
      <c r="F1147" t="s">
        <v>2239</v>
      </c>
      <c r="G1147" t="s">
        <v>2243</v>
      </c>
      <c r="H1147" t="s">
        <v>2258</v>
      </c>
      <c r="I1147" t="s">
        <v>2260</v>
      </c>
      <c r="J1147" t="s">
        <v>2264</v>
      </c>
      <c r="K1147">
        <v>1</v>
      </c>
      <c r="L1147">
        <v>75</v>
      </c>
      <c r="M1147">
        <v>0.05</v>
      </c>
      <c r="N1147">
        <v>75</v>
      </c>
      <c r="O1147">
        <v>71.25</v>
      </c>
      <c r="P1147" t="s">
        <v>2267</v>
      </c>
      <c r="R1147" t="s">
        <v>2275</v>
      </c>
      <c r="S1147" t="s">
        <v>2281</v>
      </c>
      <c r="T1147" t="s">
        <v>2289</v>
      </c>
      <c r="U1147">
        <v>4</v>
      </c>
      <c r="V1147">
        <v>278</v>
      </c>
      <c r="W1147">
        <v>46</v>
      </c>
      <c r="X1147">
        <v>37.29</v>
      </c>
      <c r="Y1147">
        <v>33.96</v>
      </c>
      <c r="Z1147" t="s">
        <v>2291</v>
      </c>
      <c r="AA1147" t="s">
        <v>2296</v>
      </c>
      <c r="AB1147">
        <v>75</v>
      </c>
      <c r="AC1147">
        <v>3.75</v>
      </c>
      <c r="AD1147">
        <v>71.25</v>
      </c>
      <c r="AE1147">
        <v>37.29</v>
      </c>
      <c r="AF1147">
        <v>33.96</v>
      </c>
      <c r="AG1147">
        <v>2024</v>
      </c>
      <c r="AH1147">
        <v>12</v>
      </c>
      <c r="AI1147" t="s">
        <v>2309</v>
      </c>
      <c r="AJ1147" t="s">
        <v>2317</v>
      </c>
    </row>
    <row r="1148" spans="1:36" x14ac:dyDescent="0.3">
      <c r="A1148" t="s">
        <v>1182</v>
      </c>
      <c r="B1148" s="2">
        <v>45397</v>
      </c>
      <c r="C1148" t="s">
        <v>1698</v>
      </c>
      <c r="D1148" t="s">
        <v>1816</v>
      </c>
      <c r="E1148" t="s">
        <v>2120</v>
      </c>
      <c r="F1148" t="s">
        <v>2238</v>
      </c>
      <c r="G1148" t="s">
        <v>2248</v>
      </c>
      <c r="H1148" t="s">
        <v>2257</v>
      </c>
      <c r="I1148" t="s">
        <v>2262</v>
      </c>
      <c r="J1148" t="s">
        <v>2266</v>
      </c>
      <c r="L1148">
        <v>140</v>
      </c>
      <c r="N1148">
        <v>280</v>
      </c>
      <c r="P1148" t="s">
        <v>2268</v>
      </c>
      <c r="Q1148" t="s">
        <v>2272</v>
      </c>
      <c r="R1148" t="s">
        <v>2277</v>
      </c>
      <c r="S1148" t="s">
        <v>2285</v>
      </c>
      <c r="T1148" t="s">
        <v>2289</v>
      </c>
      <c r="W1148">
        <v>55</v>
      </c>
      <c r="X1148">
        <v>54</v>
      </c>
      <c r="Z1148" t="s">
        <v>2291</v>
      </c>
      <c r="AA1148" t="s">
        <v>2296</v>
      </c>
      <c r="AG1148">
        <v>2024</v>
      </c>
      <c r="AH1148">
        <v>4</v>
      </c>
      <c r="AI1148" t="s">
        <v>2308</v>
      </c>
      <c r="AJ1148" t="s">
        <v>2314</v>
      </c>
    </row>
    <row r="1149" spans="1:36" x14ac:dyDescent="0.3">
      <c r="A1149" t="s">
        <v>1183</v>
      </c>
      <c r="B1149" s="2">
        <v>45522</v>
      </c>
      <c r="C1149" t="s">
        <v>1697</v>
      </c>
      <c r="D1149" t="s">
        <v>1862</v>
      </c>
      <c r="E1149" t="s">
        <v>2010</v>
      </c>
      <c r="F1149" t="s">
        <v>2239</v>
      </c>
      <c r="G1149" t="s">
        <v>2255</v>
      </c>
      <c r="H1149" t="s">
        <v>2260</v>
      </c>
      <c r="I1149" t="s">
        <v>2260</v>
      </c>
      <c r="J1149" t="s">
        <v>2266</v>
      </c>
      <c r="K1149">
        <v>1</v>
      </c>
      <c r="L1149">
        <v>180</v>
      </c>
      <c r="M1149">
        <v>0.05</v>
      </c>
      <c r="N1149">
        <v>180</v>
      </c>
      <c r="O1149">
        <v>171</v>
      </c>
      <c r="P1149" t="s">
        <v>2268</v>
      </c>
      <c r="Q1149" t="s">
        <v>2271</v>
      </c>
      <c r="R1149" t="s">
        <v>2275</v>
      </c>
      <c r="S1149" t="s">
        <v>2283</v>
      </c>
      <c r="T1149" t="s">
        <v>2288</v>
      </c>
      <c r="U1149">
        <v>5</v>
      </c>
      <c r="V1149">
        <v>400</v>
      </c>
      <c r="W1149">
        <v>56</v>
      </c>
      <c r="X1149">
        <v>92.49</v>
      </c>
      <c r="Y1149">
        <v>78.510000000000005</v>
      </c>
      <c r="Z1149" t="s">
        <v>2293</v>
      </c>
      <c r="AA1149" t="s">
        <v>2299</v>
      </c>
      <c r="AB1149">
        <v>180</v>
      </c>
      <c r="AC1149">
        <v>9</v>
      </c>
      <c r="AD1149">
        <v>171</v>
      </c>
      <c r="AE1149">
        <v>92.49</v>
      </c>
      <c r="AF1149">
        <v>78.510000000000005</v>
      </c>
      <c r="AG1149">
        <v>2024</v>
      </c>
      <c r="AH1149">
        <v>8</v>
      </c>
      <c r="AI1149" t="s">
        <v>2301</v>
      </c>
      <c r="AJ1149" t="s">
        <v>2318</v>
      </c>
    </row>
    <row r="1150" spans="1:36" x14ac:dyDescent="0.3">
      <c r="A1150" t="s">
        <v>1184</v>
      </c>
      <c r="B1150" s="2">
        <v>45348</v>
      </c>
      <c r="C1150" t="s">
        <v>1641</v>
      </c>
      <c r="D1150" t="s">
        <v>1843</v>
      </c>
      <c r="E1150" t="s">
        <v>2209</v>
      </c>
      <c r="F1150" t="s">
        <v>1761</v>
      </c>
      <c r="G1150" t="s">
        <v>2246</v>
      </c>
      <c r="H1150" t="s">
        <v>2259</v>
      </c>
      <c r="I1150" t="s">
        <v>2262</v>
      </c>
      <c r="J1150" t="s">
        <v>2264</v>
      </c>
      <c r="K1150">
        <v>1</v>
      </c>
      <c r="L1150">
        <v>90</v>
      </c>
      <c r="M1150">
        <v>0.05</v>
      </c>
      <c r="N1150">
        <v>90</v>
      </c>
      <c r="O1150">
        <v>85.5</v>
      </c>
      <c r="P1150" t="s">
        <v>2269</v>
      </c>
      <c r="Q1150" t="s">
        <v>2271</v>
      </c>
      <c r="R1150" t="s">
        <v>2277</v>
      </c>
      <c r="S1150" t="s">
        <v>2280</v>
      </c>
      <c r="T1150" t="s">
        <v>2290</v>
      </c>
      <c r="U1150">
        <v>3</v>
      </c>
      <c r="V1150">
        <v>450</v>
      </c>
      <c r="W1150">
        <v>34</v>
      </c>
      <c r="X1150">
        <v>38.4</v>
      </c>
      <c r="Y1150">
        <v>47.1</v>
      </c>
      <c r="Z1150" t="s">
        <v>2291</v>
      </c>
      <c r="AA1150" t="s">
        <v>1761</v>
      </c>
      <c r="AB1150">
        <v>90</v>
      </c>
      <c r="AC1150">
        <v>4.5</v>
      </c>
      <c r="AD1150">
        <v>85.5</v>
      </c>
      <c r="AE1150">
        <v>38.4</v>
      </c>
      <c r="AF1150">
        <v>47.1</v>
      </c>
      <c r="AG1150">
        <v>2024</v>
      </c>
      <c r="AH1150">
        <v>2</v>
      </c>
      <c r="AI1150" t="s">
        <v>2303</v>
      </c>
      <c r="AJ1150" t="s">
        <v>2314</v>
      </c>
    </row>
    <row r="1151" spans="1:36" x14ac:dyDescent="0.3">
      <c r="A1151" t="s">
        <v>1185</v>
      </c>
      <c r="B1151" s="2">
        <v>45452</v>
      </c>
      <c r="C1151" t="s">
        <v>1732</v>
      </c>
      <c r="D1151" t="s">
        <v>1914</v>
      </c>
      <c r="E1151" t="s">
        <v>2033</v>
      </c>
      <c r="F1151" t="s">
        <v>2239</v>
      </c>
      <c r="G1151" t="s">
        <v>2242</v>
      </c>
      <c r="H1151" t="s">
        <v>2258</v>
      </c>
      <c r="I1151" t="s">
        <v>2260</v>
      </c>
      <c r="J1151" t="s">
        <v>2265</v>
      </c>
      <c r="K1151">
        <v>2</v>
      </c>
      <c r="L1151">
        <v>115</v>
      </c>
      <c r="M1151">
        <v>0</v>
      </c>
      <c r="N1151">
        <v>230</v>
      </c>
      <c r="O1151">
        <v>230</v>
      </c>
      <c r="P1151" t="s">
        <v>2267</v>
      </c>
      <c r="Q1151" t="s">
        <v>2272</v>
      </c>
      <c r="R1151" t="s">
        <v>2277</v>
      </c>
      <c r="S1151" t="s">
        <v>2281</v>
      </c>
      <c r="T1151" t="s">
        <v>2290</v>
      </c>
      <c r="U1151">
        <v>3</v>
      </c>
      <c r="V1151">
        <v>221</v>
      </c>
      <c r="W1151">
        <v>25</v>
      </c>
      <c r="X1151">
        <v>46.86</v>
      </c>
      <c r="Y1151">
        <v>136.28</v>
      </c>
      <c r="Z1151" t="s">
        <v>2292</v>
      </c>
      <c r="AA1151" t="s">
        <v>2299</v>
      </c>
      <c r="AB1151">
        <v>230</v>
      </c>
      <c r="AC1151">
        <v>0</v>
      </c>
      <c r="AD1151">
        <v>230</v>
      </c>
      <c r="AE1151">
        <v>93.72</v>
      </c>
      <c r="AF1151">
        <v>136.28</v>
      </c>
      <c r="AG1151">
        <v>2024</v>
      </c>
      <c r="AH1151">
        <v>6</v>
      </c>
      <c r="AI1151" t="s">
        <v>2304</v>
      </c>
      <c r="AJ1151" t="s">
        <v>2318</v>
      </c>
    </row>
    <row r="1152" spans="1:36" x14ac:dyDescent="0.3">
      <c r="A1152" t="s">
        <v>1186</v>
      </c>
      <c r="B1152" s="2">
        <v>45356</v>
      </c>
      <c r="C1152" t="s">
        <v>1730</v>
      </c>
      <c r="D1152" t="s">
        <v>1827</v>
      </c>
      <c r="E1152" t="s">
        <v>1973</v>
      </c>
      <c r="F1152" t="s">
        <v>2240</v>
      </c>
      <c r="G1152" t="s">
        <v>2249</v>
      </c>
      <c r="H1152" t="s">
        <v>2257</v>
      </c>
      <c r="I1152" t="s">
        <v>2263</v>
      </c>
      <c r="J1152" t="s">
        <v>2264</v>
      </c>
      <c r="K1152">
        <v>2</v>
      </c>
      <c r="L1152">
        <v>160</v>
      </c>
      <c r="M1152">
        <v>0.1</v>
      </c>
      <c r="N1152">
        <v>320</v>
      </c>
      <c r="O1152">
        <v>288</v>
      </c>
      <c r="P1152" t="s">
        <v>2269</v>
      </c>
      <c r="Q1152" t="s">
        <v>2272</v>
      </c>
      <c r="R1152" t="s">
        <v>2274</v>
      </c>
      <c r="S1152" t="s">
        <v>2281</v>
      </c>
      <c r="T1152" t="s">
        <v>2288</v>
      </c>
      <c r="U1152">
        <v>5</v>
      </c>
      <c r="V1152">
        <v>238</v>
      </c>
      <c r="W1152">
        <v>15</v>
      </c>
      <c r="X1152">
        <v>87.78</v>
      </c>
      <c r="Y1152">
        <v>112.44</v>
      </c>
      <c r="Z1152" t="s">
        <v>2293</v>
      </c>
      <c r="AA1152" t="s">
        <v>2297</v>
      </c>
      <c r="AB1152">
        <v>320</v>
      </c>
      <c r="AC1152">
        <v>32</v>
      </c>
      <c r="AD1152">
        <v>288</v>
      </c>
      <c r="AE1152">
        <v>175.56</v>
      </c>
      <c r="AF1152">
        <v>112.44</v>
      </c>
      <c r="AG1152">
        <v>2024</v>
      </c>
      <c r="AH1152">
        <v>3</v>
      </c>
      <c r="AI1152" t="s">
        <v>2305</v>
      </c>
      <c r="AJ1152" t="s">
        <v>2313</v>
      </c>
    </row>
    <row r="1153" spans="1:36" x14ac:dyDescent="0.3">
      <c r="A1153" t="s">
        <v>1187</v>
      </c>
      <c r="B1153" s="2">
        <v>45608</v>
      </c>
      <c r="C1153" t="s">
        <v>1727</v>
      </c>
      <c r="D1153" t="s">
        <v>1825</v>
      </c>
      <c r="E1153" t="s">
        <v>2192</v>
      </c>
      <c r="F1153" t="s">
        <v>1761</v>
      </c>
      <c r="G1153" t="s">
        <v>2251</v>
      </c>
      <c r="H1153" t="s">
        <v>2258</v>
      </c>
      <c r="I1153" t="s">
        <v>2260</v>
      </c>
      <c r="J1153" t="s">
        <v>2264</v>
      </c>
      <c r="K1153">
        <v>2</v>
      </c>
      <c r="L1153">
        <v>100</v>
      </c>
      <c r="M1153">
        <v>0.1</v>
      </c>
      <c r="N1153">
        <v>200</v>
      </c>
      <c r="O1153">
        <v>180</v>
      </c>
      <c r="P1153" t="s">
        <v>2268</v>
      </c>
      <c r="Q1153" t="s">
        <v>2271</v>
      </c>
      <c r="R1153" t="s">
        <v>2279</v>
      </c>
      <c r="S1153" t="s">
        <v>2281</v>
      </c>
      <c r="T1153" t="s">
        <v>2290</v>
      </c>
      <c r="U1153">
        <v>2</v>
      </c>
      <c r="V1153">
        <v>81</v>
      </c>
      <c r="W1153">
        <v>45</v>
      </c>
      <c r="X1153">
        <v>54.15</v>
      </c>
      <c r="Y1153">
        <v>71.7</v>
      </c>
      <c r="Z1153" t="s">
        <v>2291</v>
      </c>
      <c r="AA1153" t="s">
        <v>1761</v>
      </c>
      <c r="AB1153">
        <v>200</v>
      </c>
      <c r="AC1153">
        <v>20</v>
      </c>
      <c r="AD1153">
        <v>180</v>
      </c>
      <c r="AE1153">
        <v>108.3</v>
      </c>
      <c r="AF1153">
        <v>71.7</v>
      </c>
      <c r="AG1153">
        <v>2024</v>
      </c>
      <c r="AH1153">
        <v>11</v>
      </c>
      <c r="AI1153" t="s">
        <v>2311</v>
      </c>
      <c r="AJ1153" t="s">
        <v>2313</v>
      </c>
    </row>
    <row r="1154" spans="1:36" x14ac:dyDescent="0.3">
      <c r="A1154" t="s">
        <v>1188</v>
      </c>
      <c r="B1154" s="2">
        <v>45607</v>
      </c>
      <c r="C1154" t="s">
        <v>1699</v>
      </c>
      <c r="D1154" t="s">
        <v>1938</v>
      </c>
      <c r="E1154" t="s">
        <v>2216</v>
      </c>
      <c r="F1154" t="s">
        <v>2240</v>
      </c>
      <c r="G1154" t="s">
        <v>2253</v>
      </c>
      <c r="H1154" t="s">
        <v>2258</v>
      </c>
      <c r="I1154" t="s">
        <v>2260</v>
      </c>
      <c r="J1154" t="s">
        <v>2265</v>
      </c>
      <c r="K1154">
        <v>1</v>
      </c>
      <c r="L1154">
        <v>85</v>
      </c>
      <c r="M1154">
        <v>0</v>
      </c>
      <c r="N1154">
        <v>85</v>
      </c>
      <c r="O1154">
        <v>85</v>
      </c>
      <c r="P1154" t="s">
        <v>2268</v>
      </c>
      <c r="Q1154" t="s">
        <v>2272</v>
      </c>
      <c r="R1154" t="s">
        <v>2279</v>
      </c>
      <c r="S1154" t="s">
        <v>2287</v>
      </c>
      <c r="T1154" t="s">
        <v>2288</v>
      </c>
      <c r="U1154">
        <v>3</v>
      </c>
      <c r="V1154">
        <v>366</v>
      </c>
      <c r="W1154">
        <v>60</v>
      </c>
      <c r="X1154">
        <v>37.21</v>
      </c>
      <c r="Y1154">
        <v>47.79</v>
      </c>
      <c r="Z1154" t="s">
        <v>1761</v>
      </c>
      <c r="AA1154" t="s">
        <v>1761</v>
      </c>
      <c r="AB1154">
        <v>85</v>
      </c>
      <c r="AC1154">
        <v>0</v>
      </c>
      <c r="AD1154">
        <v>85</v>
      </c>
      <c r="AE1154">
        <v>37.21</v>
      </c>
      <c r="AF1154">
        <v>47.79</v>
      </c>
      <c r="AG1154">
        <v>2024</v>
      </c>
      <c r="AH1154">
        <v>11</v>
      </c>
      <c r="AI1154" t="s">
        <v>2311</v>
      </c>
      <c r="AJ1154" t="s">
        <v>2314</v>
      </c>
    </row>
    <row r="1155" spans="1:36" x14ac:dyDescent="0.3">
      <c r="A1155" t="s">
        <v>1189</v>
      </c>
      <c r="B1155" s="2">
        <v>45516</v>
      </c>
      <c r="C1155" t="s">
        <v>1704</v>
      </c>
      <c r="D1155" t="s">
        <v>1866</v>
      </c>
      <c r="E1155" t="s">
        <v>2014</v>
      </c>
      <c r="F1155" t="s">
        <v>2239</v>
      </c>
      <c r="G1155" t="s">
        <v>2254</v>
      </c>
      <c r="H1155" t="s">
        <v>2259</v>
      </c>
      <c r="I1155" t="s">
        <v>2263</v>
      </c>
      <c r="J1155" t="s">
        <v>2266</v>
      </c>
      <c r="K1155">
        <v>1</v>
      </c>
      <c r="L1155">
        <v>110</v>
      </c>
      <c r="M1155">
        <v>0</v>
      </c>
      <c r="N1155">
        <v>110</v>
      </c>
      <c r="O1155">
        <v>110</v>
      </c>
      <c r="Q1155" t="s">
        <v>2272</v>
      </c>
      <c r="R1155" t="s">
        <v>2276</v>
      </c>
      <c r="S1155" t="s">
        <v>2286</v>
      </c>
      <c r="T1155" t="s">
        <v>2288</v>
      </c>
      <c r="U1155">
        <v>4</v>
      </c>
      <c r="V1155">
        <v>132</v>
      </c>
      <c r="W1155">
        <v>32</v>
      </c>
      <c r="X1155">
        <v>60.11</v>
      </c>
      <c r="Y1155">
        <v>49.89</v>
      </c>
      <c r="Z1155" t="s">
        <v>2293</v>
      </c>
      <c r="AA1155" t="s">
        <v>2296</v>
      </c>
      <c r="AB1155">
        <v>110</v>
      </c>
      <c r="AC1155">
        <v>0</v>
      </c>
      <c r="AD1155">
        <v>110</v>
      </c>
      <c r="AE1155">
        <v>60.11</v>
      </c>
      <c r="AF1155">
        <v>49.89</v>
      </c>
      <c r="AG1155">
        <v>2024</v>
      </c>
      <c r="AH1155">
        <v>8</v>
      </c>
      <c r="AI1155" t="s">
        <v>2301</v>
      </c>
      <c r="AJ1155" t="s">
        <v>2314</v>
      </c>
    </row>
    <row r="1156" spans="1:36" x14ac:dyDescent="0.3">
      <c r="A1156" t="s">
        <v>1190</v>
      </c>
      <c r="B1156" s="2">
        <v>45312</v>
      </c>
      <c r="C1156" t="s">
        <v>1722</v>
      </c>
      <c r="D1156" t="s">
        <v>1857</v>
      </c>
      <c r="E1156" t="s">
        <v>2209</v>
      </c>
      <c r="F1156" t="s">
        <v>1761</v>
      </c>
      <c r="G1156" t="s">
        <v>2249</v>
      </c>
      <c r="H1156" t="s">
        <v>2257</v>
      </c>
      <c r="I1156" t="s">
        <v>2263</v>
      </c>
      <c r="J1156" t="s">
        <v>2264</v>
      </c>
      <c r="K1156">
        <v>1</v>
      </c>
      <c r="L1156">
        <v>170</v>
      </c>
      <c r="M1156">
        <v>0.1</v>
      </c>
      <c r="N1156">
        <v>170</v>
      </c>
      <c r="O1156">
        <v>153</v>
      </c>
      <c r="P1156" t="s">
        <v>2267</v>
      </c>
      <c r="R1156" t="s">
        <v>2275</v>
      </c>
      <c r="S1156" t="s">
        <v>2284</v>
      </c>
      <c r="T1156" t="s">
        <v>2289</v>
      </c>
      <c r="U1156">
        <v>3</v>
      </c>
      <c r="V1156">
        <v>142</v>
      </c>
      <c r="W1156">
        <v>36</v>
      </c>
      <c r="X1156">
        <v>72.59</v>
      </c>
      <c r="Y1156">
        <v>80.41</v>
      </c>
      <c r="Z1156" t="s">
        <v>2293</v>
      </c>
      <c r="AA1156" t="s">
        <v>2297</v>
      </c>
      <c r="AB1156">
        <v>170</v>
      </c>
      <c r="AC1156">
        <v>17</v>
      </c>
      <c r="AD1156">
        <v>153</v>
      </c>
      <c r="AE1156">
        <v>72.59</v>
      </c>
      <c r="AF1156">
        <v>80.41</v>
      </c>
      <c r="AG1156">
        <v>2024</v>
      </c>
      <c r="AH1156">
        <v>1</v>
      </c>
      <c r="AI1156" t="s">
        <v>2302</v>
      </c>
      <c r="AJ1156" t="s">
        <v>2318</v>
      </c>
    </row>
    <row r="1157" spans="1:36" x14ac:dyDescent="0.3">
      <c r="A1157" t="s">
        <v>1191</v>
      </c>
      <c r="B1157" s="2">
        <v>45549</v>
      </c>
      <c r="C1157" t="s">
        <v>1718</v>
      </c>
      <c r="D1157" t="s">
        <v>1858</v>
      </c>
      <c r="E1157" t="s">
        <v>2089</v>
      </c>
      <c r="F1157" t="s">
        <v>1761</v>
      </c>
      <c r="G1157" t="s">
        <v>2251</v>
      </c>
      <c r="H1157" t="s">
        <v>2258</v>
      </c>
      <c r="I1157" t="s">
        <v>2260</v>
      </c>
      <c r="J1157" t="s">
        <v>2264</v>
      </c>
      <c r="K1157">
        <v>1</v>
      </c>
      <c r="L1157">
        <v>95</v>
      </c>
      <c r="N1157">
        <v>95</v>
      </c>
      <c r="P1157" t="s">
        <v>2267</v>
      </c>
      <c r="Q1157" t="s">
        <v>2271</v>
      </c>
      <c r="R1157" t="s">
        <v>2273</v>
      </c>
      <c r="S1157" t="s">
        <v>2287</v>
      </c>
      <c r="T1157" t="s">
        <v>2288</v>
      </c>
      <c r="W1157">
        <v>27</v>
      </c>
      <c r="X1157">
        <v>35.03</v>
      </c>
      <c r="Z1157" t="s">
        <v>1761</v>
      </c>
      <c r="AA1157" t="s">
        <v>1761</v>
      </c>
      <c r="AB1157">
        <v>95</v>
      </c>
      <c r="AC1157">
        <v>0</v>
      </c>
      <c r="AD1157">
        <v>95</v>
      </c>
      <c r="AE1157">
        <v>35.03</v>
      </c>
      <c r="AF1157">
        <v>59.97</v>
      </c>
      <c r="AG1157">
        <v>2024</v>
      </c>
      <c r="AH1157">
        <v>9</v>
      </c>
      <c r="AI1157" t="s">
        <v>2300</v>
      </c>
      <c r="AJ1157" t="s">
        <v>2317</v>
      </c>
    </row>
    <row r="1158" spans="1:36" x14ac:dyDescent="0.3">
      <c r="A1158" t="s">
        <v>1192</v>
      </c>
      <c r="B1158" s="2">
        <v>45395</v>
      </c>
      <c r="C1158" t="s">
        <v>1699</v>
      </c>
      <c r="D1158" t="s">
        <v>1789</v>
      </c>
      <c r="E1158" t="s">
        <v>1965</v>
      </c>
      <c r="F1158" t="s">
        <v>2238</v>
      </c>
      <c r="G1158" t="s">
        <v>2244</v>
      </c>
      <c r="H1158" t="s">
        <v>2257</v>
      </c>
      <c r="I1158" t="s">
        <v>2262</v>
      </c>
      <c r="J1158" t="s">
        <v>2266</v>
      </c>
      <c r="K1158">
        <v>1</v>
      </c>
      <c r="L1158">
        <v>120</v>
      </c>
      <c r="M1158">
        <v>0</v>
      </c>
      <c r="N1158">
        <v>120</v>
      </c>
      <c r="O1158">
        <v>120</v>
      </c>
      <c r="P1158" t="s">
        <v>2269</v>
      </c>
      <c r="Q1158" t="s">
        <v>2272</v>
      </c>
      <c r="R1158" t="s">
        <v>2278</v>
      </c>
      <c r="S1158" t="s">
        <v>2286</v>
      </c>
      <c r="T1158" t="s">
        <v>2288</v>
      </c>
      <c r="U1158">
        <v>2</v>
      </c>
      <c r="V1158">
        <v>217</v>
      </c>
      <c r="X1158">
        <v>57.92</v>
      </c>
      <c r="Y1158">
        <v>62.08</v>
      </c>
      <c r="Z1158" t="s">
        <v>2292</v>
      </c>
      <c r="AA1158" t="s">
        <v>2297</v>
      </c>
      <c r="AB1158">
        <v>120</v>
      </c>
      <c r="AC1158">
        <v>0</v>
      </c>
      <c r="AD1158">
        <v>120</v>
      </c>
      <c r="AE1158">
        <v>57.92</v>
      </c>
      <c r="AF1158">
        <v>62.08</v>
      </c>
      <c r="AG1158">
        <v>2024</v>
      </c>
      <c r="AH1158">
        <v>4</v>
      </c>
      <c r="AI1158" t="s">
        <v>2308</v>
      </c>
      <c r="AJ1158" t="s">
        <v>2317</v>
      </c>
    </row>
    <row r="1159" spans="1:36" x14ac:dyDescent="0.3">
      <c r="A1159" t="s">
        <v>1193</v>
      </c>
      <c r="B1159" s="2">
        <v>45296</v>
      </c>
      <c r="C1159" t="s">
        <v>1666</v>
      </c>
      <c r="D1159" t="s">
        <v>1854</v>
      </c>
      <c r="E1159" t="s">
        <v>2229</v>
      </c>
      <c r="F1159" t="s">
        <v>2238</v>
      </c>
      <c r="G1159" t="s">
        <v>2241</v>
      </c>
      <c r="H1159" t="s">
        <v>2257</v>
      </c>
      <c r="I1159" t="s">
        <v>2262</v>
      </c>
      <c r="J1159" t="s">
        <v>2266</v>
      </c>
      <c r="K1159">
        <v>1</v>
      </c>
      <c r="L1159">
        <v>130</v>
      </c>
      <c r="M1159">
        <v>0</v>
      </c>
      <c r="N1159">
        <v>130</v>
      </c>
      <c r="O1159">
        <v>130</v>
      </c>
      <c r="P1159" t="s">
        <v>2269</v>
      </c>
      <c r="R1159" t="s">
        <v>2275</v>
      </c>
      <c r="S1159" t="s">
        <v>2281</v>
      </c>
      <c r="T1159" t="s">
        <v>2290</v>
      </c>
      <c r="U1159">
        <v>4</v>
      </c>
      <c r="V1159">
        <v>443</v>
      </c>
      <c r="W1159">
        <v>60</v>
      </c>
      <c r="X1159">
        <v>45.69</v>
      </c>
      <c r="Y1159">
        <v>84.31</v>
      </c>
      <c r="Z1159" t="s">
        <v>2292</v>
      </c>
      <c r="AA1159" t="s">
        <v>2297</v>
      </c>
      <c r="AB1159">
        <v>130</v>
      </c>
      <c r="AC1159">
        <v>0</v>
      </c>
      <c r="AD1159">
        <v>130</v>
      </c>
      <c r="AE1159">
        <v>45.69</v>
      </c>
      <c r="AF1159">
        <v>84.31</v>
      </c>
      <c r="AG1159">
        <v>2024</v>
      </c>
      <c r="AH1159">
        <v>1</v>
      </c>
      <c r="AI1159" t="s">
        <v>2302</v>
      </c>
      <c r="AJ1159" t="s">
        <v>2315</v>
      </c>
    </row>
    <row r="1160" spans="1:36" x14ac:dyDescent="0.3">
      <c r="A1160" t="s">
        <v>1194</v>
      </c>
      <c r="B1160" s="2">
        <v>45639</v>
      </c>
      <c r="C1160" t="s">
        <v>1699</v>
      </c>
      <c r="D1160" t="s">
        <v>1835</v>
      </c>
      <c r="E1160" t="s">
        <v>2019</v>
      </c>
      <c r="F1160" t="s">
        <v>1761</v>
      </c>
      <c r="G1160" t="s">
        <v>2243</v>
      </c>
      <c r="H1160" t="s">
        <v>2258</v>
      </c>
      <c r="I1160" t="s">
        <v>2260</v>
      </c>
      <c r="J1160" t="s">
        <v>2264</v>
      </c>
      <c r="K1160">
        <v>2</v>
      </c>
      <c r="L1160">
        <v>65</v>
      </c>
      <c r="M1160">
        <v>0.1</v>
      </c>
      <c r="N1160">
        <v>130</v>
      </c>
      <c r="O1160">
        <v>117</v>
      </c>
      <c r="P1160" t="s">
        <v>2267</v>
      </c>
      <c r="Q1160" t="s">
        <v>2272</v>
      </c>
      <c r="R1160" t="s">
        <v>2279</v>
      </c>
      <c r="S1160" t="s">
        <v>2287</v>
      </c>
      <c r="T1160" t="s">
        <v>2289</v>
      </c>
      <c r="U1160">
        <v>3</v>
      </c>
      <c r="V1160">
        <v>267</v>
      </c>
      <c r="X1160">
        <v>33.61</v>
      </c>
      <c r="Y1160">
        <v>49.78</v>
      </c>
      <c r="Z1160" t="s">
        <v>2294</v>
      </c>
      <c r="AA1160" t="s">
        <v>2296</v>
      </c>
      <c r="AB1160">
        <v>130</v>
      </c>
      <c r="AC1160">
        <v>13</v>
      </c>
      <c r="AD1160">
        <v>117</v>
      </c>
      <c r="AE1160">
        <v>67.22</v>
      </c>
      <c r="AF1160">
        <v>49.78</v>
      </c>
      <c r="AG1160">
        <v>2024</v>
      </c>
      <c r="AH1160">
        <v>12</v>
      </c>
      <c r="AI1160" t="s">
        <v>2309</v>
      </c>
      <c r="AJ1160" t="s">
        <v>2315</v>
      </c>
    </row>
    <row r="1161" spans="1:36" x14ac:dyDescent="0.3">
      <c r="A1161" t="s">
        <v>1195</v>
      </c>
      <c r="B1161" s="2">
        <v>45555</v>
      </c>
      <c r="C1161" t="s">
        <v>1700</v>
      </c>
      <c r="D1161" t="s">
        <v>1806</v>
      </c>
      <c r="E1161" t="s">
        <v>1972</v>
      </c>
      <c r="F1161" t="s">
        <v>2240</v>
      </c>
      <c r="G1161" t="s">
        <v>2256</v>
      </c>
      <c r="H1161" t="s">
        <v>2261</v>
      </c>
      <c r="I1161" t="s">
        <v>2260</v>
      </c>
      <c r="J1161" t="s">
        <v>2266</v>
      </c>
      <c r="K1161">
        <v>1</v>
      </c>
      <c r="L1161">
        <v>190</v>
      </c>
      <c r="M1161">
        <v>0.1</v>
      </c>
      <c r="N1161">
        <v>190</v>
      </c>
      <c r="O1161">
        <v>171</v>
      </c>
      <c r="P1161" t="s">
        <v>2269</v>
      </c>
      <c r="Q1161" t="s">
        <v>2270</v>
      </c>
      <c r="R1161" t="s">
        <v>2277</v>
      </c>
      <c r="S1161" t="s">
        <v>2286</v>
      </c>
      <c r="T1161" t="s">
        <v>2288</v>
      </c>
      <c r="U1161">
        <v>2</v>
      </c>
      <c r="V1161">
        <v>135</v>
      </c>
      <c r="W1161">
        <v>47</v>
      </c>
      <c r="X1161">
        <v>67.56</v>
      </c>
      <c r="Y1161">
        <v>103.44</v>
      </c>
      <c r="Z1161" t="s">
        <v>1761</v>
      </c>
      <c r="AA1161" t="s">
        <v>2298</v>
      </c>
      <c r="AB1161">
        <v>190</v>
      </c>
      <c r="AC1161">
        <v>19</v>
      </c>
      <c r="AD1161">
        <v>171</v>
      </c>
      <c r="AE1161">
        <v>67.56</v>
      </c>
      <c r="AF1161">
        <v>103.44</v>
      </c>
      <c r="AG1161">
        <v>2024</v>
      </c>
      <c r="AH1161">
        <v>9</v>
      </c>
      <c r="AI1161" t="s">
        <v>2300</v>
      </c>
      <c r="AJ1161" t="s">
        <v>2315</v>
      </c>
    </row>
    <row r="1162" spans="1:36" x14ac:dyDescent="0.3">
      <c r="A1162" t="s">
        <v>1196</v>
      </c>
      <c r="B1162" s="2">
        <v>45619</v>
      </c>
      <c r="C1162" t="s">
        <v>1690</v>
      </c>
      <c r="D1162" t="s">
        <v>1902</v>
      </c>
      <c r="E1162" t="s">
        <v>1975</v>
      </c>
      <c r="F1162" t="s">
        <v>2239</v>
      </c>
      <c r="G1162" t="s">
        <v>2249</v>
      </c>
      <c r="H1162" t="s">
        <v>2257</v>
      </c>
      <c r="I1162" t="s">
        <v>2263</v>
      </c>
      <c r="J1162" t="s">
        <v>2264</v>
      </c>
      <c r="K1162">
        <v>4</v>
      </c>
      <c r="L1162">
        <v>160</v>
      </c>
      <c r="M1162">
        <v>0</v>
      </c>
      <c r="N1162">
        <v>640</v>
      </c>
      <c r="O1162">
        <v>640</v>
      </c>
      <c r="P1162" t="s">
        <v>2269</v>
      </c>
      <c r="Q1162" t="s">
        <v>2271</v>
      </c>
      <c r="R1162" t="s">
        <v>2273</v>
      </c>
      <c r="S1162" t="s">
        <v>2282</v>
      </c>
      <c r="T1162" t="s">
        <v>2289</v>
      </c>
      <c r="U1162">
        <v>4</v>
      </c>
      <c r="V1162">
        <v>350</v>
      </c>
      <c r="X1162">
        <v>72.92</v>
      </c>
      <c r="Y1162">
        <v>348.32</v>
      </c>
      <c r="Z1162" t="s">
        <v>2291</v>
      </c>
      <c r="AA1162" t="s">
        <v>2297</v>
      </c>
      <c r="AB1162">
        <v>640</v>
      </c>
      <c r="AC1162">
        <v>0</v>
      </c>
      <c r="AD1162">
        <v>640</v>
      </c>
      <c r="AE1162">
        <v>291.68</v>
      </c>
      <c r="AF1162">
        <v>348.32</v>
      </c>
      <c r="AG1162">
        <v>2024</v>
      </c>
      <c r="AH1162">
        <v>11</v>
      </c>
      <c r="AI1162" t="s">
        <v>2311</v>
      </c>
      <c r="AJ1162" t="s">
        <v>2317</v>
      </c>
    </row>
    <row r="1163" spans="1:36" x14ac:dyDescent="0.3">
      <c r="A1163" t="s">
        <v>1197</v>
      </c>
      <c r="B1163" s="2">
        <v>45417</v>
      </c>
      <c r="C1163" t="s">
        <v>1670</v>
      </c>
      <c r="D1163" t="s">
        <v>1852</v>
      </c>
      <c r="E1163" t="s">
        <v>2040</v>
      </c>
      <c r="F1163" t="s">
        <v>2240</v>
      </c>
      <c r="G1163" t="s">
        <v>2246</v>
      </c>
      <c r="H1163" t="s">
        <v>2259</v>
      </c>
      <c r="I1163" t="s">
        <v>2262</v>
      </c>
      <c r="J1163" t="s">
        <v>2266</v>
      </c>
      <c r="K1163">
        <v>1</v>
      </c>
      <c r="L1163">
        <v>95</v>
      </c>
      <c r="M1163">
        <v>0.1</v>
      </c>
      <c r="N1163">
        <v>95</v>
      </c>
      <c r="O1163">
        <v>85.5</v>
      </c>
      <c r="P1163" t="s">
        <v>2269</v>
      </c>
      <c r="Q1163" t="s">
        <v>2272</v>
      </c>
      <c r="R1163" t="s">
        <v>2273</v>
      </c>
      <c r="S1163" t="s">
        <v>2280</v>
      </c>
      <c r="T1163" t="s">
        <v>2289</v>
      </c>
      <c r="U1163">
        <v>1</v>
      </c>
      <c r="V1163">
        <v>113</v>
      </c>
      <c r="W1163">
        <v>24</v>
      </c>
      <c r="X1163">
        <v>40.770000000000003</v>
      </c>
      <c r="Y1163">
        <v>44.73</v>
      </c>
      <c r="Z1163" t="s">
        <v>2292</v>
      </c>
      <c r="AA1163" t="s">
        <v>2299</v>
      </c>
      <c r="AB1163">
        <v>95</v>
      </c>
      <c r="AC1163">
        <v>9.5</v>
      </c>
      <c r="AD1163">
        <v>85.5</v>
      </c>
      <c r="AE1163">
        <v>40.770000000000003</v>
      </c>
      <c r="AF1163">
        <v>44.73</v>
      </c>
      <c r="AG1163">
        <v>2024</v>
      </c>
      <c r="AH1163">
        <v>5</v>
      </c>
      <c r="AI1163" t="s">
        <v>2306</v>
      </c>
      <c r="AJ1163" t="s">
        <v>2318</v>
      </c>
    </row>
    <row r="1164" spans="1:36" x14ac:dyDescent="0.3">
      <c r="A1164" t="s">
        <v>1198</v>
      </c>
      <c r="B1164" s="2">
        <v>45421</v>
      </c>
      <c r="C1164" t="s">
        <v>1729</v>
      </c>
      <c r="D1164" t="s">
        <v>1757</v>
      </c>
      <c r="E1164" t="s">
        <v>2233</v>
      </c>
      <c r="F1164" t="s">
        <v>1761</v>
      </c>
      <c r="G1164" t="s">
        <v>2248</v>
      </c>
      <c r="H1164" t="s">
        <v>2257</v>
      </c>
      <c r="I1164" t="s">
        <v>2262</v>
      </c>
      <c r="J1164" t="s">
        <v>2265</v>
      </c>
      <c r="K1164">
        <v>4</v>
      </c>
      <c r="L1164">
        <v>145</v>
      </c>
      <c r="M1164">
        <v>0.05</v>
      </c>
      <c r="N1164">
        <v>580</v>
      </c>
      <c r="O1164">
        <v>551</v>
      </c>
      <c r="P1164" t="s">
        <v>2269</v>
      </c>
      <c r="Q1164" t="s">
        <v>2270</v>
      </c>
      <c r="R1164" t="s">
        <v>2278</v>
      </c>
      <c r="S1164" t="s">
        <v>2287</v>
      </c>
      <c r="T1164" t="s">
        <v>2288</v>
      </c>
      <c r="U1164">
        <v>5</v>
      </c>
      <c r="V1164">
        <v>79</v>
      </c>
      <c r="W1164">
        <v>42</v>
      </c>
      <c r="X1164">
        <v>83.99</v>
      </c>
      <c r="Y1164">
        <v>215.04</v>
      </c>
      <c r="Z1164" t="s">
        <v>1761</v>
      </c>
      <c r="AA1164" t="s">
        <v>2296</v>
      </c>
      <c r="AB1164">
        <v>580</v>
      </c>
      <c r="AC1164">
        <v>29</v>
      </c>
      <c r="AD1164">
        <v>551</v>
      </c>
      <c r="AE1164">
        <v>335.96</v>
      </c>
      <c r="AF1164">
        <v>215.04</v>
      </c>
      <c r="AG1164">
        <v>2024</v>
      </c>
      <c r="AH1164">
        <v>5</v>
      </c>
      <c r="AI1164" t="s">
        <v>2306</v>
      </c>
      <c r="AJ1164" t="s">
        <v>2316</v>
      </c>
    </row>
    <row r="1165" spans="1:36" x14ac:dyDescent="0.3">
      <c r="A1165" t="s">
        <v>1199</v>
      </c>
      <c r="B1165" s="2">
        <v>45337</v>
      </c>
      <c r="C1165" t="s">
        <v>1662</v>
      </c>
      <c r="D1165" t="s">
        <v>1828</v>
      </c>
      <c r="E1165" t="s">
        <v>2154</v>
      </c>
      <c r="F1165" t="s">
        <v>1761</v>
      </c>
      <c r="G1165" t="s">
        <v>2244</v>
      </c>
      <c r="H1165" t="s">
        <v>2257</v>
      </c>
      <c r="I1165" t="s">
        <v>2262</v>
      </c>
      <c r="K1165">
        <v>4</v>
      </c>
      <c r="L1165">
        <v>120</v>
      </c>
      <c r="M1165">
        <v>0.1</v>
      </c>
      <c r="N1165">
        <v>480</v>
      </c>
      <c r="O1165">
        <v>432</v>
      </c>
      <c r="P1165" t="s">
        <v>2267</v>
      </c>
      <c r="Q1165" t="s">
        <v>2272</v>
      </c>
      <c r="R1165" t="s">
        <v>2278</v>
      </c>
      <c r="S1165" t="s">
        <v>2285</v>
      </c>
      <c r="T1165" t="s">
        <v>2288</v>
      </c>
      <c r="U1165">
        <v>2</v>
      </c>
      <c r="V1165">
        <v>190</v>
      </c>
      <c r="X1165">
        <v>63.06</v>
      </c>
      <c r="Y1165">
        <v>179.76</v>
      </c>
      <c r="Z1165" t="s">
        <v>2293</v>
      </c>
      <c r="AA1165" t="s">
        <v>2298</v>
      </c>
      <c r="AB1165">
        <v>480</v>
      </c>
      <c r="AC1165">
        <v>48</v>
      </c>
      <c r="AD1165">
        <v>432</v>
      </c>
      <c r="AE1165">
        <v>252.24</v>
      </c>
      <c r="AF1165">
        <v>179.76</v>
      </c>
      <c r="AG1165">
        <v>2024</v>
      </c>
      <c r="AH1165">
        <v>2</v>
      </c>
      <c r="AI1165" t="s">
        <v>2303</v>
      </c>
      <c r="AJ1165" t="s">
        <v>2316</v>
      </c>
    </row>
    <row r="1166" spans="1:36" x14ac:dyDescent="0.3">
      <c r="A1166" t="s">
        <v>1200</v>
      </c>
      <c r="B1166" s="2">
        <v>45379</v>
      </c>
      <c r="C1166" t="s">
        <v>1686</v>
      </c>
      <c r="D1166" t="s">
        <v>1761</v>
      </c>
      <c r="E1166" t="s">
        <v>2024</v>
      </c>
      <c r="F1166" t="s">
        <v>2238</v>
      </c>
      <c r="G1166" t="s">
        <v>2253</v>
      </c>
      <c r="H1166" t="s">
        <v>2258</v>
      </c>
      <c r="I1166" t="s">
        <v>2260</v>
      </c>
      <c r="J1166" t="s">
        <v>2264</v>
      </c>
      <c r="K1166">
        <v>1</v>
      </c>
      <c r="L1166">
        <v>90</v>
      </c>
      <c r="M1166">
        <v>0.15</v>
      </c>
      <c r="N1166">
        <v>90</v>
      </c>
      <c r="O1166">
        <v>76.5</v>
      </c>
      <c r="P1166" t="s">
        <v>2269</v>
      </c>
      <c r="Q1166" t="s">
        <v>2272</v>
      </c>
      <c r="R1166" t="s">
        <v>2279</v>
      </c>
      <c r="S1166" t="s">
        <v>2282</v>
      </c>
      <c r="T1166" t="s">
        <v>2288</v>
      </c>
      <c r="U1166">
        <v>5</v>
      </c>
      <c r="V1166">
        <v>278</v>
      </c>
      <c r="X1166">
        <v>52.29</v>
      </c>
      <c r="Y1166">
        <v>24.21</v>
      </c>
      <c r="Z1166" t="s">
        <v>2293</v>
      </c>
      <c r="AA1166" t="s">
        <v>1761</v>
      </c>
      <c r="AB1166">
        <v>90</v>
      </c>
      <c r="AC1166">
        <v>13.5</v>
      </c>
      <c r="AD1166">
        <v>76.5</v>
      </c>
      <c r="AE1166">
        <v>52.29</v>
      </c>
      <c r="AF1166">
        <v>24.21</v>
      </c>
      <c r="AG1166">
        <v>2024</v>
      </c>
      <c r="AH1166">
        <v>3</v>
      </c>
      <c r="AI1166" t="s">
        <v>2305</v>
      </c>
      <c r="AJ1166" t="s">
        <v>2316</v>
      </c>
    </row>
    <row r="1167" spans="1:36" x14ac:dyDescent="0.3">
      <c r="A1167" t="s">
        <v>1201</v>
      </c>
      <c r="B1167" s="2">
        <v>45467</v>
      </c>
      <c r="C1167" t="s">
        <v>1700</v>
      </c>
      <c r="D1167" t="s">
        <v>1856</v>
      </c>
      <c r="E1167" t="s">
        <v>2089</v>
      </c>
      <c r="F1167" t="s">
        <v>2238</v>
      </c>
      <c r="G1167" t="s">
        <v>2244</v>
      </c>
      <c r="H1167" t="s">
        <v>2257</v>
      </c>
      <c r="I1167" t="s">
        <v>2262</v>
      </c>
      <c r="J1167" t="s">
        <v>2265</v>
      </c>
      <c r="K1167">
        <v>1</v>
      </c>
      <c r="L1167">
        <v>120</v>
      </c>
      <c r="M1167">
        <v>0.1</v>
      </c>
      <c r="N1167">
        <v>120</v>
      </c>
      <c r="O1167">
        <v>108</v>
      </c>
      <c r="P1167" t="s">
        <v>2269</v>
      </c>
      <c r="Q1167" t="s">
        <v>2272</v>
      </c>
      <c r="R1167" t="s">
        <v>2277</v>
      </c>
      <c r="S1167" t="s">
        <v>2287</v>
      </c>
      <c r="T1167" t="s">
        <v>2288</v>
      </c>
      <c r="U1167">
        <v>2</v>
      </c>
      <c r="V1167">
        <v>234</v>
      </c>
      <c r="W1167">
        <v>31</v>
      </c>
      <c r="X1167">
        <v>54.06</v>
      </c>
      <c r="Y1167">
        <v>53.94</v>
      </c>
      <c r="Z1167" t="s">
        <v>1761</v>
      </c>
      <c r="AA1167" t="s">
        <v>2299</v>
      </c>
      <c r="AB1167">
        <v>120</v>
      </c>
      <c r="AC1167">
        <v>12</v>
      </c>
      <c r="AD1167">
        <v>108</v>
      </c>
      <c r="AE1167">
        <v>54.06</v>
      </c>
      <c r="AF1167">
        <v>53.94</v>
      </c>
      <c r="AG1167">
        <v>2024</v>
      </c>
      <c r="AH1167">
        <v>6</v>
      </c>
      <c r="AI1167" t="s">
        <v>2304</v>
      </c>
      <c r="AJ1167" t="s">
        <v>2314</v>
      </c>
    </row>
    <row r="1168" spans="1:36" x14ac:dyDescent="0.3">
      <c r="A1168" t="s">
        <v>1202</v>
      </c>
      <c r="B1168" s="2">
        <v>45642</v>
      </c>
      <c r="C1168" t="s">
        <v>1739</v>
      </c>
      <c r="D1168" t="s">
        <v>1898</v>
      </c>
      <c r="E1168" t="s">
        <v>2089</v>
      </c>
      <c r="F1168" t="s">
        <v>2239</v>
      </c>
      <c r="G1168" t="s">
        <v>2248</v>
      </c>
      <c r="H1168" t="s">
        <v>2257</v>
      </c>
      <c r="I1168" t="s">
        <v>2262</v>
      </c>
      <c r="K1168">
        <v>2</v>
      </c>
      <c r="L1168">
        <v>145</v>
      </c>
      <c r="M1168">
        <v>0</v>
      </c>
      <c r="N1168">
        <v>290</v>
      </c>
      <c r="O1168">
        <v>290</v>
      </c>
      <c r="P1168" t="s">
        <v>2269</v>
      </c>
      <c r="R1168" t="s">
        <v>2279</v>
      </c>
      <c r="S1168" t="s">
        <v>2280</v>
      </c>
      <c r="T1168" t="s">
        <v>2290</v>
      </c>
      <c r="U1168">
        <v>1</v>
      </c>
      <c r="W1168">
        <v>55</v>
      </c>
      <c r="X1168">
        <v>76.66</v>
      </c>
      <c r="Y1168">
        <v>136.68</v>
      </c>
      <c r="Z1168" t="s">
        <v>2293</v>
      </c>
      <c r="AA1168" t="s">
        <v>2296</v>
      </c>
      <c r="AB1168">
        <v>290</v>
      </c>
      <c r="AC1168">
        <v>0</v>
      </c>
      <c r="AD1168">
        <v>290</v>
      </c>
      <c r="AE1168">
        <v>153.32</v>
      </c>
      <c r="AF1168">
        <v>136.68</v>
      </c>
      <c r="AG1168">
        <v>2024</v>
      </c>
      <c r="AH1168">
        <v>12</v>
      </c>
      <c r="AI1168" t="s">
        <v>2309</v>
      </c>
      <c r="AJ1168" t="s">
        <v>2314</v>
      </c>
    </row>
    <row r="1169" spans="1:36" x14ac:dyDescent="0.3">
      <c r="A1169" t="s">
        <v>1203</v>
      </c>
      <c r="B1169" s="2">
        <v>45428</v>
      </c>
      <c r="C1169" t="s">
        <v>1706</v>
      </c>
      <c r="D1169" t="s">
        <v>1900</v>
      </c>
      <c r="E1169" t="s">
        <v>1971</v>
      </c>
      <c r="F1169" t="s">
        <v>1761</v>
      </c>
      <c r="G1169" t="s">
        <v>2248</v>
      </c>
      <c r="H1169" t="s">
        <v>2257</v>
      </c>
      <c r="I1169" t="s">
        <v>2262</v>
      </c>
      <c r="J1169" t="s">
        <v>2265</v>
      </c>
      <c r="K1169">
        <v>2</v>
      </c>
      <c r="L1169">
        <v>150</v>
      </c>
      <c r="M1169">
        <v>0.05</v>
      </c>
      <c r="N1169">
        <v>300</v>
      </c>
      <c r="O1169">
        <v>285</v>
      </c>
      <c r="P1169" t="s">
        <v>2269</v>
      </c>
      <c r="R1169" t="s">
        <v>2275</v>
      </c>
      <c r="S1169" t="s">
        <v>2286</v>
      </c>
      <c r="T1169" t="s">
        <v>2288</v>
      </c>
      <c r="U1169">
        <v>1</v>
      </c>
      <c r="V1169">
        <v>75</v>
      </c>
      <c r="W1169">
        <v>45</v>
      </c>
      <c r="X1169">
        <v>80.12</v>
      </c>
      <c r="Y1169">
        <v>124.76</v>
      </c>
      <c r="Z1169" t="s">
        <v>1761</v>
      </c>
      <c r="AA1169" t="s">
        <v>2299</v>
      </c>
      <c r="AB1169">
        <v>300</v>
      </c>
      <c r="AC1169">
        <v>15</v>
      </c>
      <c r="AD1169">
        <v>285</v>
      </c>
      <c r="AE1169">
        <v>160.24</v>
      </c>
      <c r="AF1169">
        <v>124.76</v>
      </c>
      <c r="AG1169">
        <v>2024</v>
      </c>
      <c r="AH1169">
        <v>5</v>
      </c>
      <c r="AI1169" t="s">
        <v>2306</v>
      </c>
      <c r="AJ1169" t="s">
        <v>2316</v>
      </c>
    </row>
    <row r="1170" spans="1:36" x14ac:dyDescent="0.3">
      <c r="A1170" t="s">
        <v>1204</v>
      </c>
      <c r="B1170" s="2">
        <v>45409</v>
      </c>
      <c r="C1170" t="s">
        <v>1665</v>
      </c>
      <c r="D1170" t="s">
        <v>1887</v>
      </c>
      <c r="E1170" t="s">
        <v>2077</v>
      </c>
      <c r="F1170" t="s">
        <v>2239</v>
      </c>
      <c r="G1170" t="s">
        <v>2254</v>
      </c>
      <c r="H1170" t="s">
        <v>2259</v>
      </c>
      <c r="I1170" t="s">
        <v>2263</v>
      </c>
      <c r="J1170" t="s">
        <v>2264</v>
      </c>
      <c r="K1170">
        <v>2</v>
      </c>
      <c r="L1170">
        <v>115</v>
      </c>
      <c r="M1170">
        <v>0</v>
      </c>
      <c r="N1170">
        <v>230</v>
      </c>
      <c r="O1170">
        <v>230</v>
      </c>
      <c r="P1170" t="s">
        <v>2267</v>
      </c>
      <c r="R1170" t="s">
        <v>2279</v>
      </c>
      <c r="S1170" t="s">
        <v>2282</v>
      </c>
      <c r="T1170" t="s">
        <v>2290</v>
      </c>
      <c r="V1170">
        <v>145</v>
      </c>
      <c r="W1170">
        <v>57</v>
      </c>
      <c r="X1170">
        <v>61.19</v>
      </c>
      <c r="Y1170">
        <v>107.62</v>
      </c>
      <c r="Z1170" t="s">
        <v>1761</v>
      </c>
      <c r="AA1170" t="s">
        <v>2296</v>
      </c>
      <c r="AB1170">
        <v>230</v>
      </c>
      <c r="AC1170">
        <v>0</v>
      </c>
      <c r="AD1170">
        <v>230</v>
      </c>
      <c r="AE1170">
        <v>122.38</v>
      </c>
      <c r="AF1170">
        <v>107.62</v>
      </c>
      <c r="AG1170">
        <v>2024</v>
      </c>
      <c r="AH1170">
        <v>4</v>
      </c>
      <c r="AI1170" t="s">
        <v>2308</v>
      </c>
      <c r="AJ1170" t="s">
        <v>2317</v>
      </c>
    </row>
    <row r="1171" spans="1:36" x14ac:dyDescent="0.3">
      <c r="A1171" t="s">
        <v>1205</v>
      </c>
      <c r="B1171" s="2">
        <v>45628</v>
      </c>
      <c r="C1171" t="s">
        <v>1664</v>
      </c>
      <c r="D1171" t="s">
        <v>1905</v>
      </c>
      <c r="E1171" t="s">
        <v>2172</v>
      </c>
      <c r="F1171" t="s">
        <v>2240</v>
      </c>
      <c r="G1171" t="s">
        <v>2254</v>
      </c>
      <c r="H1171" t="s">
        <v>2259</v>
      </c>
      <c r="I1171" t="s">
        <v>2263</v>
      </c>
      <c r="L1171">
        <v>120</v>
      </c>
      <c r="M1171">
        <v>0</v>
      </c>
      <c r="N1171">
        <v>120</v>
      </c>
      <c r="O1171">
        <v>120</v>
      </c>
      <c r="Q1171" t="s">
        <v>2270</v>
      </c>
      <c r="R1171" t="s">
        <v>2273</v>
      </c>
      <c r="S1171" t="s">
        <v>2284</v>
      </c>
      <c r="T1171" t="s">
        <v>2288</v>
      </c>
      <c r="U1171">
        <v>4</v>
      </c>
      <c r="V1171">
        <v>420</v>
      </c>
      <c r="X1171">
        <v>43.39</v>
      </c>
      <c r="Y1171">
        <v>76.61</v>
      </c>
      <c r="Z1171" t="s">
        <v>2291</v>
      </c>
      <c r="AA1171" t="s">
        <v>2299</v>
      </c>
      <c r="AG1171">
        <v>2024</v>
      </c>
      <c r="AH1171">
        <v>12</v>
      </c>
      <c r="AI1171" t="s">
        <v>2309</v>
      </c>
      <c r="AJ1171" t="s">
        <v>2314</v>
      </c>
    </row>
    <row r="1172" spans="1:36" x14ac:dyDescent="0.3">
      <c r="A1172" t="s">
        <v>1206</v>
      </c>
      <c r="B1172" s="2">
        <v>45585</v>
      </c>
      <c r="C1172" t="s">
        <v>1740</v>
      </c>
      <c r="D1172" t="s">
        <v>1786</v>
      </c>
      <c r="E1172" t="s">
        <v>2146</v>
      </c>
      <c r="F1172" t="s">
        <v>2240</v>
      </c>
      <c r="G1172" t="s">
        <v>2243</v>
      </c>
      <c r="H1172" t="s">
        <v>2258</v>
      </c>
      <c r="I1172" t="s">
        <v>2260</v>
      </c>
      <c r="J1172" t="s">
        <v>2264</v>
      </c>
      <c r="K1172">
        <v>1</v>
      </c>
      <c r="L1172">
        <v>80</v>
      </c>
      <c r="N1172">
        <v>80</v>
      </c>
      <c r="P1172" t="s">
        <v>2268</v>
      </c>
      <c r="Q1172" t="s">
        <v>2270</v>
      </c>
      <c r="R1172" t="s">
        <v>2273</v>
      </c>
      <c r="S1172" t="s">
        <v>2285</v>
      </c>
      <c r="T1172" t="s">
        <v>2288</v>
      </c>
      <c r="U1172">
        <v>2</v>
      </c>
      <c r="V1172">
        <v>231</v>
      </c>
      <c r="W1172">
        <v>30</v>
      </c>
      <c r="X1172">
        <v>38.29</v>
      </c>
      <c r="Z1172" t="s">
        <v>1761</v>
      </c>
      <c r="AA1172" t="s">
        <v>2298</v>
      </c>
      <c r="AB1172">
        <v>80</v>
      </c>
      <c r="AC1172">
        <v>0</v>
      </c>
      <c r="AD1172">
        <v>80</v>
      </c>
      <c r="AE1172">
        <v>38.29</v>
      </c>
      <c r="AF1172">
        <v>41.71</v>
      </c>
      <c r="AG1172">
        <v>2024</v>
      </c>
      <c r="AH1172">
        <v>10</v>
      </c>
      <c r="AI1172" t="s">
        <v>2310</v>
      </c>
      <c r="AJ1172" t="s">
        <v>2318</v>
      </c>
    </row>
    <row r="1173" spans="1:36" x14ac:dyDescent="0.3">
      <c r="A1173" t="s">
        <v>1207</v>
      </c>
      <c r="B1173" s="2">
        <v>45531</v>
      </c>
      <c r="C1173" t="s">
        <v>1682</v>
      </c>
      <c r="D1173" t="s">
        <v>1795</v>
      </c>
      <c r="E1173" t="s">
        <v>2041</v>
      </c>
      <c r="F1173" t="s">
        <v>2240</v>
      </c>
      <c r="G1173" t="s">
        <v>2243</v>
      </c>
      <c r="H1173" t="s">
        <v>2258</v>
      </c>
      <c r="I1173" t="s">
        <v>2260</v>
      </c>
      <c r="J1173" t="s">
        <v>2264</v>
      </c>
      <c r="K1173">
        <v>2</v>
      </c>
      <c r="L1173">
        <v>75</v>
      </c>
      <c r="M1173">
        <v>0.15</v>
      </c>
      <c r="N1173">
        <v>150</v>
      </c>
      <c r="O1173">
        <v>127.5</v>
      </c>
      <c r="Q1173" t="s">
        <v>2272</v>
      </c>
      <c r="R1173" t="s">
        <v>2274</v>
      </c>
      <c r="S1173" t="s">
        <v>2280</v>
      </c>
      <c r="T1173" t="s">
        <v>2290</v>
      </c>
      <c r="U1173">
        <v>5</v>
      </c>
      <c r="V1173">
        <v>200</v>
      </c>
      <c r="W1173">
        <v>39</v>
      </c>
      <c r="X1173">
        <v>29.28</v>
      </c>
      <c r="Y1173">
        <v>68.94</v>
      </c>
      <c r="Z1173" t="s">
        <v>2291</v>
      </c>
      <c r="AA1173" t="s">
        <v>2298</v>
      </c>
      <c r="AB1173">
        <v>150</v>
      </c>
      <c r="AC1173">
        <v>22.5</v>
      </c>
      <c r="AD1173">
        <v>127.5</v>
      </c>
      <c r="AE1173">
        <v>58.56</v>
      </c>
      <c r="AF1173">
        <v>68.94</v>
      </c>
      <c r="AG1173">
        <v>2024</v>
      </c>
      <c r="AH1173">
        <v>8</v>
      </c>
      <c r="AI1173" t="s">
        <v>2301</v>
      </c>
      <c r="AJ1173" t="s">
        <v>2313</v>
      </c>
    </row>
    <row r="1174" spans="1:36" x14ac:dyDescent="0.3">
      <c r="A1174" t="s">
        <v>1208</v>
      </c>
      <c r="B1174" s="2">
        <v>45514</v>
      </c>
      <c r="C1174" t="s">
        <v>1708</v>
      </c>
      <c r="D1174" t="s">
        <v>1773</v>
      </c>
      <c r="E1174" t="s">
        <v>1968</v>
      </c>
      <c r="F1174" t="s">
        <v>1761</v>
      </c>
      <c r="G1174" t="s">
        <v>2249</v>
      </c>
      <c r="H1174" t="s">
        <v>2257</v>
      </c>
      <c r="I1174" t="s">
        <v>2263</v>
      </c>
      <c r="J1174" t="s">
        <v>2264</v>
      </c>
      <c r="K1174">
        <v>2</v>
      </c>
      <c r="L1174">
        <v>155</v>
      </c>
      <c r="M1174">
        <v>0</v>
      </c>
      <c r="N1174">
        <v>310</v>
      </c>
      <c r="O1174">
        <v>310</v>
      </c>
      <c r="P1174" t="s">
        <v>2269</v>
      </c>
      <c r="Q1174" t="s">
        <v>2272</v>
      </c>
      <c r="R1174" t="s">
        <v>2275</v>
      </c>
      <c r="S1174" t="s">
        <v>2280</v>
      </c>
      <c r="T1174" t="s">
        <v>2290</v>
      </c>
      <c r="U1174">
        <v>3</v>
      </c>
      <c r="V1174">
        <v>204</v>
      </c>
      <c r="W1174">
        <v>18</v>
      </c>
      <c r="X1174">
        <v>90.4</v>
      </c>
      <c r="Y1174">
        <v>129.19999999999999</v>
      </c>
      <c r="Z1174" t="s">
        <v>2291</v>
      </c>
      <c r="AA1174" t="s">
        <v>2297</v>
      </c>
      <c r="AB1174">
        <v>310</v>
      </c>
      <c r="AC1174">
        <v>0</v>
      </c>
      <c r="AD1174">
        <v>310</v>
      </c>
      <c r="AE1174">
        <v>180.8</v>
      </c>
      <c r="AF1174">
        <v>129.19999999999999</v>
      </c>
      <c r="AG1174">
        <v>2024</v>
      </c>
      <c r="AH1174">
        <v>8</v>
      </c>
      <c r="AI1174" t="s">
        <v>2301</v>
      </c>
      <c r="AJ1174" t="s">
        <v>2317</v>
      </c>
    </row>
    <row r="1175" spans="1:36" x14ac:dyDescent="0.3">
      <c r="A1175" t="s">
        <v>1209</v>
      </c>
      <c r="B1175" s="2">
        <v>45632</v>
      </c>
      <c r="C1175" t="s">
        <v>1665</v>
      </c>
      <c r="D1175" t="s">
        <v>1931</v>
      </c>
      <c r="E1175" t="s">
        <v>2024</v>
      </c>
      <c r="F1175" t="s">
        <v>2240</v>
      </c>
      <c r="G1175" t="s">
        <v>2255</v>
      </c>
      <c r="H1175" t="s">
        <v>2260</v>
      </c>
      <c r="I1175" t="s">
        <v>2260</v>
      </c>
      <c r="J1175" t="s">
        <v>2264</v>
      </c>
      <c r="K1175">
        <v>2</v>
      </c>
      <c r="L1175">
        <v>190</v>
      </c>
      <c r="M1175">
        <v>0.1</v>
      </c>
      <c r="N1175">
        <v>380</v>
      </c>
      <c r="O1175">
        <v>342</v>
      </c>
      <c r="Q1175" t="s">
        <v>2270</v>
      </c>
      <c r="R1175" t="s">
        <v>2277</v>
      </c>
      <c r="S1175" t="s">
        <v>2280</v>
      </c>
      <c r="T1175" t="s">
        <v>2288</v>
      </c>
      <c r="U1175">
        <v>5</v>
      </c>
      <c r="V1175">
        <v>101</v>
      </c>
      <c r="W1175">
        <v>20</v>
      </c>
      <c r="X1175">
        <v>67.47</v>
      </c>
      <c r="Y1175">
        <v>207.06</v>
      </c>
      <c r="Z1175" t="s">
        <v>2294</v>
      </c>
      <c r="AA1175" t="s">
        <v>1761</v>
      </c>
      <c r="AB1175">
        <v>380</v>
      </c>
      <c r="AC1175">
        <v>38</v>
      </c>
      <c r="AD1175">
        <v>342</v>
      </c>
      <c r="AE1175">
        <v>134.94</v>
      </c>
      <c r="AF1175">
        <v>207.06</v>
      </c>
      <c r="AG1175">
        <v>2024</v>
      </c>
      <c r="AH1175">
        <v>12</v>
      </c>
      <c r="AI1175" t="s">
        <v>2309</v>
      </c>
      <c r="AJ1175" t="s">
        <v>2315</v>
      </c>
    </row>
    <row r="1176" spans="1:36" x14ac:dyDescent="0.3">
      <c r="A1176" t="s">
        <v>1210</v>
      </c>
      <c r="B1176" s="2">
        <v>45405</v>
      </c>
      <c r="C1176" t="s">
        <v>1685</v>
      </c>
      <c r="D1176" t="s">
        <v>1923</v>
      </c>
      <c r="E1176" t="s">
        <v>2142</v>
      </c>
      <c r="F1176" t="s">
        <v>1761</v>
      </c>
      <c r="G1176" t="s">
        <v>2247</v>
      </c>
      <c r="H1176" t="s">
        <v>2257</v>
      </c>
      <c r="I1176" t="s">
        <v>2262</v>
      </c>
      <c r="J1176" t="s">
        <v>2264</v>
      </c>
      <c r="K1176">
        <v>1</v>
      </c>
      <c r="L1176">
        <v>95</v>
      </c>
      <c r="N1176">
        <v>95</v>
      </c>
      <c r="P1176" t="s">
        <v>2269</v>
      </c>
      <c r="Q1176" t="s">
        <v>2270</v>
      </c>
      <c r="R1176" t="s">
        <v>2273</v>
      </c>
      <c r="S1176" t="s">
        <v>2284</v>
      </c>
      <c r="T1176" t="s">
        <v>2290</v>
      </c>
      <c r="U1176">
        <v>5</v>
      </c>
      <c r="V1176">
        <v>486</v>
      </c>
      <c r="X1176">
        <v>53.37</v>
      </c>
      <c r="Z1176" t="s">
        <v>2291</v>
      </c>
      <c r="AA1176" t="s">
        <v>2298</v>
      </c>
      <c r="AB1176">
        <v>95</v>
      </c>
      <c r="AC1176">
        <v>0</v>
      </c>
      <c r="AD1176">
        <v>95</v>
      </c>
      <c r="AE1176">
        <v>53.37</v>
      </c>
      <c r="AF1176">
        <v>41.63</v>
      </c>
      <c r="AG1176">
        <v>2024</v>
      </c>
      <c r="AH1176">
        <v>4</v>
      </c>
      <c r="AI1176" t="s">
        <v>2308</v>
      </c>
      <c r="AJ1176" t="s">
        <v>2313</v>
      </c>
    </row>
    <row r="1177" spans="1:36" x14ac:dyDescent="0.3">
      <c r="A1177" t="s">
        <v>1211</v>
      </c>
      <c r="B1177" s="2">
        <v>45619</v>
      </c>
      <c r="C1177" t="s">
        <v>1695</v>
      </c>
      <c r="D1177" t="s">
        <v>1871</v>
      </c>
      <c r="E1177" t="s">
        <v>2119</v>
      </c>
      <c r="F1177" t="s">
        <v>2240</v>
      </c>
      <c r="G1177" t="s">
        <v>2245</v>
      </c>
      <c r="H1177" t="s">
        <v>2257</v>
      </c>
      <c r="I1177" t="s">
        <v>2263</v>
      </c>
      <c r="J1177" t="s">
        <v>2265</v>
      </c>
      <c r="K1177">
        <v>2</v>
      </c>
      <c r="L1177">
        <v>150</v>
      </c>
      <c r="M1177">
        <v>0.05</v>
      </c>
      <c r="N1177">
        <v>300</v>
      </c>
      <c r="O1177">
        <v>285</v>
      </c>
      <c r="Q1177" t="s">
        <v>2271</v>
      </c>
      <c r="R1177" t="s">
        <v>2276</v>
      </c>
      <c r="S1177" t="s">
        <v>2284</v>
      </c>
      <c r="T1177" t="s">
        <v>2288</v>
      </c>
      <c r="U1177">
        <v>5</v>
      </c>
      <c r="V1177">
        <v>137</v>
      </c>
      <c r="W1177">
        <v>44</v>
      </c>
      <c r="X1177">
        <v>78.77</v>
      </c>
      <c r="Y1177">
        <v>127.46</v>
      </c>
      <c r="Z1177" t="s">
        <v>2291</v>
      </c>
      <c r="AA1177" t="s">
        <v>2298</v>
      </c>
      <c r="AB1177">
        <v>300</v>
      </c>
      <c r="AC1177">
        <v>15</v>
      </c>
      <c r="AD1177">
        <v>285</v>
      </c>
      <c r="AE1177">
        <v>157.54</v>
      </c>
      <c r="AF1177">
        <v>127.46</v>
      </c>
      <c r="AG1177">
        <v>2024</v>
      </c>
      <c r="AH1177">
        <v>11</v>
      </c>
      <c r="AI1177" t="s">
        <v>2311</v>
      </c>
      <c r="AJ1177" t="s">
        <v>2317</v>
      </c>
    </row>
    <row r="1178" spans="1:36" x14ac:dyDescent="0.3">
      <c r="A1178" t="s">
        <v>1212</v>
      </c>
      <c r="B1178" s="2">
        <v>45626</v>
      </c>
      <c r="C1178" t="s">
        <v>1674</v>
      </c>
      <c r="D1178" t="s">
        <v>1860</v>
      </c>
      <c r="E1178" t="s">
        <v>1964</v>
      </c>
      <c r="F1178" t="s">
        <v>2240</v>
      </c>
      <c r="G1178" t="s">
        <v>2249</v>
      </c>
      <c r="H1178" t="s">
        <v>2257</v>
      </c>
      <c r="I1178" t="s">
        <v>2263</v>
      </c>
      <c r="J1178" t="s">
        <v>2264</v>
      </c>
      <c r="K1178">
        <v>1</v>
      </c>
      <c r="L1178">
        <v>165</v>
      </c>
      <c r="M1178">
        <v>0.1</v>
      </c>
      <c r="O1178">
        <v>148.5</v>
      </c>
      <c r="P1178" t="s">
        <v>2269</v>
      </c>
      <c r="Q1178" t="s">
        <v>2271</v>
      </c>
      <c r="R1178" t="s">
        <v>2276</v>
      </c>
      <c r="S1178" t="s">
        <v>2284</v>
      </c>
      <c r="T1178" t="s">
        <v>2288</v>
      </c>
      <c r="U1178">
        <v>3</v>
      </c>
      <c r="V1178">
        <v>497</v>
      </c>
      <c r="W1178">
        <v>37</v>
      </c>
      <c r="X1178">
        <v>59.07</v>
      </c>
      <c r="Y1178">
        <v>89.43</v>
      </c>
      <c r="Z1178" t="s">
        <v>2293</v>
      </c>
      <c r="AA1178" t="s">
        <v>2299</v>
      </c>
      <c r="AB1178">
        <v>165</v>
      </c>
      <c r="AC1178">
        <v>16.5</v>
      </c>
      <c r="AD1178">
        <v>148.5</v>
      </c>
      <c r="AE1178">
        <v>59.07</v>
      </c>
      <c r="AF1178">
        <v>89.43</v>
      </c>
      <c r="AG1178">
        <v>2024</v>
      </c>
      <c r="AH1178">
        <v>11</v>
      </c>
      <c r="AI1178" t="s">
        <v>2311</v>
      </c>
      <c r="AJ1178" t="s">
        <v>2317</v>
      </c>
    </row>
    <row r="1179" spans="1:36" x14ac:dyDescent="0.3">
      <c r="A1179" t="s">
        <v>1213</v>
      </c>
      <c r="B1179" s="2">
        <v>45647</v>
      </c>
      <c r="C1179" t="s">
        <v>1671</v>
      </c>
      <c r="D1179" t="s">
        <v>1827</v>
      </c>
      <c r="E1179" t="s">
        <v>2059</v>
      </c>
      <c r="F1179" t="s">
        <v>2240</v>
      </c>
      <c r="G1179" t="s">
        <v>2242</v>
      </c>
      <c r="H1179" t="s">
        <v>2258</v>
      </c>
      <c r="I1179" t="s">
        <v>2260</v>
      </c>
      <c r="J1179" t="s">
        <v>2266</v>
      </c>
      <c r="K1179">
        <v>1</v>
      </c>
      <c r="L1179">
        <v>120</v>
      </c>
      <c r="M1179">
        <v>0</v>
      </c>
      <c r="N1179">
        <v>120</v>
      </c>
      <c r="O1179">
        <v>120</v>
      </c>
      <c r="P1179" t="s">
        <v>2267</v>
      </c>
      <c r="Q1179" t="s">
        <v>2272</v>
      </c>
      <c r="R1179" t="s">
        <v>2277</v>
      </c>
      <c r="S1179" t="s">
        <v>2280</v>
      </c>
      <c r="T1179" t="s">
        <v>2288</v>
      </c>
      <c r="U1179">
        <v>1</v>
      </c>
      <c r="V1179">
        <v>470</v>
      </c>
      <c r="W1179">
        <v>12</v>
      </c>
      <c r="X1179">
        <v>65.209999999999994</v>
      </c>
      <c r="Y1179">
        <v>54.79</v>
      </c>
      <c r="Z1179" t="s">
        <v>1761</v>
      </c>
      <c r="AA1179" t="s">
        <v>2296</v>
      </c>
      <c r="AB1179">
        <v>120</v>
      </c>
      <c r="AC1179">
        <v>0</v>
      </c>
      <c r="AD1179">
        <v>120</v>
      </c>
      <c r="AE1179">
        <v>65.209999999999994</v>
      </c>
      <c r="AF1179">
        <v>54.790000000000013</v>
      </c>
      <c r="AG1179">
        <v>2024</v>
      </c>
      <c r="AH1179">
        <v>12</v>
      </c>
      <c r="AI1179" t="s">
        <v>2309</v>
      </c>
      <c r="AJ1179" t="s">
        <v>2317</v>
      </c>
    </row>
    <row r="1180" spans="1:36" x14ac:dyDescent="0.3">
      <c r="A1180" t="s">
        <v>1214</v>
      </c>
      <c r="B1180" s="2">
        <v>45346</v>
      </c>
      <c r="C1180" t="s">
        <v>1685</v>
      </c>
      <c r="D1180" t="s">
        <v>1917</v>
      </c>
      <c r="E1180" t="s">
        <v>2208</v>
      </c>
      <c r="F1180" t="s">
        <v>2239</v>
      </c>
      <c r="G1180" t="s">
        <v>2243</v>
      </c>
      <c r="H1180" t="s">
        <v>2258</v>
      </c>
      <c r="I1180" t="s">
        <v>2260</v>
      </c>
      <c r="J1180" t="s">
        <v>2266</v>
      </c>
      <c r="K1180">
        <v>3</v>
      </c>
      <c r="L1180">
        <v>70</v>
      </c>
      <c r="M1180">
        <v>0.1</v>
      </c>
      <c r="N1180">
        <v>210</v>
      </c>
      <c r="O1180">
        <v>189</v>
      </c>
      <c r="P1180" t="s">
        <v>2268</v>
      </c>
      <c r="Q1180" t="s">
        <v>2270</v>
      </c>
      <c r="R1180" t="s">
        <v>2278</v>
      </c>
      <c r="S1180" t="s">
        <v>2281</v>
      </c>
      <c r="T1180" t="s">
        <v>2288</v>
      </c>
      <c r="U1180">
        <v>3</v>
      </c>
      <c r="W1180">
        <v>34</v>
      </c>
      <c r="X1180">
        <v>40.04</v>
      </c>
      <c r="Y1180">
        <v>68.88</v>
      </c>
      <c r="Z1180" t="s">
        <v>2294</v>
      </c>
      <c r="AA1180" t="s">
        <v>2298</v>
      </c>
      <c r="AB1180">
        <v>210</v>
      </c>
      <c r="AC1180">
        <v>21</v>
      </c>
      <c r="AD1180">
        <v>189</v>
      </c>
      <c r="AE1180">
        <v>120.12</v>
      </c>
      <c r="AF1180">
        <v>68.88</v>
      </c>
      <c r="AG1180">
        <v>2024</v>
      </c>
      <c r="AH1180">
        <v>2</v>
      </c>
      <c r="AI1180" t="s">
        <v>2303</v>
      </c>
      <c r="AJ1180" t="s">
        <v>2317</v>
      </c>
    </row>
    <row r="1181" spans="1:36" x14ac:dyDescent="0.3">
      <c r="A1181" t="s">
        <v>1215</v>
      </c>
      <c r="B1181" s="2">
        <v>45396</v>
      </c>
      <c r="C1181" t="s">
        <v>1720</v>
      </c>
      <c r="D1181" t="s">
        <v>1801</v>
      </c>
      <c r="E1181" t="s">
        <v>1957</v>
      </c>
      <c r="F1181" t="s">
        <v>2239</v>
      </c>
      <c r="G1181" t="s">
        <v>2253</v>
      </c>
      <c r="H1181" t="s">
        <v>2258</v>
      </c>
      <c r="I1181" t="s">
        <v>2260</v>
      </c>
      <c r="J1181" t="s">
        <v>2266</v>
      </c>
      <c r="K1181">
        <v>3</v>
      </c>
      <c r="L1181">
        <v>90</v>
      </c>
      <c r="N1181">
        <v>270</v>
      </c>
      <c r="P1181" t="s">
        <v>2269</v>
      </c>
      <c r="Q1181" t="s">
        <v>2270</v>
      </c>
      <c r="R1181" t="s">
        <v>2277</v>
      </c>
      <c r="S1181" t="s">
        <v>2285</v>
      </c>
      <c r="T1181" t="s">
        <v>2290</v>
      </c>
      <c r="U1181">
        <v>3</v>
      </c>
      <c r="V1181">
        <v>347</v>
      </c>
      <c r="X1181">
        <v>34.42</v>
      </c>
      <c r="Z1181" t="s">
        <v>1761</v>
      </c>
      <c r="AA1181" t="s">
        <v>2297</v>
      </c>
      <c r="AB1181">
        <v>270</v>
      </c>
      <c r="AC1181">
        <v>0</v>
      </c>
      <c r="AD1181">
        <v>270</v>
      </c>
      <c r="AE1181">
        <v>103.26</v>
      </c>
      <c r="AF1181">
        <v>166.74</v>
      </c>
      <c r="AG1181">
        <v>2024</v>
      </c>
      <c r="AH1181">
        <v>4</v>
      </c>
      <c r="AI1181" t="s">
        <v>2308</v>
      </c>
      <c r="AJ1181" t="s">
        <v>2318</v>
      </c>
    </row>
    <row r="1182" spans="1:36" x14ac:dyDescent="0.3">
      <c r="A1182" t="s">
        <v>1216</v>
      </c>
      <c r="B1182" s="2">
        <v>45647</v>
      </c>
      <c r="C1182" t="s">
        <v>1724</v>
      </c>
      <c r="D1182" t="s">
        <v>1770</v>
      </c>
      <c r="E1182" t="s">
        <v>2221</v>
      </c>
      <c r="F1182" t="s">
        <v>2240</v>
      </c>
      <c r="G1182" t="s">
        <v>2241</v>
      </c>
      <c r="H1182" t="s">
        <v>2257</v>
      </c>
      <c r="I1182" t="s">
        <v>2262</v>
      </c>
      <c r="J1182" t="s">
        <v>2265</v>
      </c>
      <c r="K1182">
        <v>1</v>
      </c>
      <c r="L1182">
        <v>135</v>
      </c>
      <c r="M1182">
        <v>0.15</v>
      </c>
      <c r="N1182">
        <v>135</v>
      </c>
      <c r="O1182">
        <v>114.75</v>
      </c>
      <c r="P1182" t="s">
        <v>2269</v>
      </c>
      <c r="Q1182" t="s">
        <v>2270</v>
      </c>
      <c r="R1182" t="s">
        <v>2277</v>
      </c>
      <c r="S1182" t="s">
        <v>2283</v>
      </c>
      <c r="T1182" t="s">
        <v>2288</v>
      </c>
      <c r="U1182">
        <v>2</v>
      </c>
      <c r="V1182">
        <v>152</v>
      </c>
      <c r="X1182">
        <v>75.16</v>
      </c>
      <c r="Y1182">
        <v>39.590000000000003</v>
      </c>
      <c r="Z1182" t="s">
        <v>2294</v>
      </c>
      <c r="AA1182" t="s">
        <v>2296</v>
      </c>
      <c r="AB1182">
        <v>135</v>
      </c>
      <c r="AC1182">
        <v>20.25</v>
      </c>
      <c r="AD1182">
        <v>114.75</v>
      </c>
      <c r="AE1182">
        <v>75.16</v>
      </c>
      <c r="AF1182">
        <v>39.590000000000003</v>
      </c>
      <c r="AG1182">
        <v>2024</v>
      </c>
      <c r="AH1182">
        <v>12</v>
      </c>
      <c r="AI1182" t="s">
        <v>2309</v>
      </c>
      <c r="AJ1182" t="s">
        <v>2317</v>
      </c>
    </row>
    <row r="1183" spans="1:36" x14ac:dyDescent="0.3">
      <c r="A1183" t="s">
        <v>1217</v>
      </c>
      <c r="B1183" s="2">
        <v>45446</v>
      </c>
      <c r="C1183" t="s">
        <v>1648</v>
      </c>
      <c r="D1183" t="s">
        <v>1803</v>
      </c>
      <c r="E1183" t="s">
        <v>2017</v>
      </c>
      <c r="F1183" t="s">
        <v>2239</v>
      </c>
      <c r="G1183" t="s">
        <v>2249</v>
      </c>
      <c r="H1183" t="s">
        <v>2257</v>
      </c>
      <c r="I1183" t="s">
        <v>2263</v>
      </c>
      <c r="K1183">
        <v>1</v>
      </c>
      <c r="L1183">
        <v>160</v>
      </c>
      <c r="N1183">
        <v>160</v>
      </c>
      <c r="P1183" t="s">
        <v>2267</v>
      </c>
      <c r="R1183" t="s">
        <v>2276</v>
      </c>
      <c r="S1183" t="s">
        <v>2286</v>
      </c>
      <c r="T1183" t="s">
        <v>2288</v>
      </c>
      <c r="U1183">
        <v>5</v>
      </c>
      <c r="V1183">
        <v>220</v>
      </c>
      <c r="W1183">
        <v>50</v>
      </c>
      <c r="X1183">
        <v>94.81</v>
      </c>
      <c r="Z1183" t="s">
        <v>1761</v>
      </c>
      <c r="AA1183" t="s">
        <v>2296</v>
      </c>
      <c r="AB1183">
        <v>160</v>
      </c>
      <c r="AC1183">
        <v>0</v>
      </c>
      <c r="AD1183">
        <v>160</v>
      </c>
      <c r="AE1183">
        <v>94.81</v>
      </c>
      <c r="AF1183">
        <v>65.19</v>
      </c>
      <c r="AG1183">
        <v>2024</v>
      </c>
      <c r="AH1183">
        <v>6</v>
      </c>
      <c r="AI1183" t="s">
        <v>2304</v>
      </c>
      <c r="AJ1183" t="s">
        <v>2314</v>
      </c>
    </row>
    <row r="1184" spans="1:36" x14ac:dyDescent="0.3">
      <c r="A1184" t="s">
        <v>1218</v>
      </c>
      <c r="B1184" s="2">
        <v>45557</v>
      </c>
      <c r="C1184" t="s">
        <v>1659</v>
      </c>
      <c r="D1184" t="s">
        <v>1794</v>
      </c>
      <c r="E1184" t="s">
        <v>1960</v>
      </c>
      <c r="F1184" t="s">
        <v>2240</v>
      </c>
      <c r="G1184" t="s">
        <v>2242</v>
      </c>
      <c r="H1184" t="s">
        <v>2258</v>
      </c>
      <c r="I1184" t="s">
        <v>2260</v>
      </c>
      <c r="J1184" t="s">
        <v>2265</v>
      </c>
      <c r="K1184">
        <v>2</v>
      </c>
      <c r="L1184">
        <v>130</v>
      </c>
      <c r="M1184">
        <v>0</v>
      </c>
      <c r="N1184">
        <v>260</v>
      </c>
      <c r="O1184">
        <v>260</v>
      </c>
      <c r="P1184" t="s">
        <v>2268</v>
      </c>
      <c r="Q1184" t="s">
        <v>2272</v>
      </c>
      <c r="R1184" t="s">
        <v>2274</v>
      </c>
      <c r="S1184" t="s">
        <v>2284</v>
      </c>
      <c r="T1184" t="s">
        <v>2288</v>
      </c>
      <c r="U1184">
        <v>4</v>
      </c>
      <c r="V1184">
        <v>179</v>
      </c>
      <c r="W1184">
        <v>43</v>
      </c>
      <c r="X1184">
        <v>71.87</v>
      </c>
      <c r="Y1184">
        <v>116.26</v>
      </c>
      <c r="Z1184" t="s">
        <v>1761</v>
      </c>
      <c r="AA1184" t="s">
        <v>1761</v>
      </c>
      <c r="AB1184">
        <v>260</v>
      </c>
      <c r="AC1184">
        <v>0</v>
      </c>
      <c r="AD1184">
        <v>260</v>
      </c>
      <c r="AE1184">
        <v>143.74</v>
      </c>
      <c r="AF1184">
        <v>116.26</v>
      </c>
      <c r="AG1184">
        <v>2024</v>
      </c>
      <c r="AH1184">
        <v>9</v>
      </c>
      <c r="AI1184" t="s">
        <v>2300</v>
      </c>
      <c r="AJ1184" t="s">
        <v>2318</v>
      </c>
    </row>
    <row r="1185" spans="1:36" x14ac:dyDescent="0.3">
      <c r="A1185" t="s">
        <v>1219</v>
      </c>
      <c r="B1185" s="2">
        <v>45469</v>
      </c>
      <c r="C1185" t="s">
        <v>1715</v>
      </c>
      <c r="D1185" t="s">
        <v>1791</v>
      </c>
      <c r="E1185" t="s">
        <v>1960</v>
      </c>
      <c r="F1185" t="s">
        <v>2239</v>
      </c>
      <c r="G1185" t="s">
        <v>2252</v>
      </c>
      <c r="H1185" t="s">
        <v>2257</v>
      </c>
      <c r="I1185" t="s">
        <v>2262</v>
      </c>
      <c r="J1185" t="s">
        <v>2265</v>
      </c>
      <c r="K1185">
        <v>5</v>
      </c>
      <c r="L1185">
        <v>90</v>
      </c>
      <c r="M1185">
        <v>0.1</v>
      </c>
      <c r="N1185">
        <v>450</v>
      </c>
      <c r="O1185">
        <v>405</v>
      </c>
      <c r="P1185" t="s">
        <v>2267</v>
      </c>
      <c r="Q1185" t="s">
        <v>2272</v>
      </c>
      <c r="R1185" t="s">
        <v>2274</v>
      </c>
      <c r="S1185" t="s">
        <v>2281</v>
      </c>
      <c r="T1185" t="s">
        <v>2290</v>
      </c>
      <c r="U1185">
        <v>1</v>
      </c>
      <c r="X1185">
        <v>52.52</v>
      </c>
      <c r="Y1185">
        <v>142.4</v>
      </c>
      <c r="Z1185" t="s">
        <v>2293</v>
      </c>
      <c r="AA1185" t="s">
        <v>1761</v>
      </c>
      <c r="AB1185">
        <v>450</v>
      </c>
      <c r="AC1185">
        <v>45</v>
      </c>
      <c r="AD1185">
        <v>405</v>
      </c>
      <c r="AE1185">
        <v>262.60000000000002</v>
      </c>
      <c r="AF1185">
        <v>142.4</v>
      </c>
      <c r="AG1185">
        <v>2024</v>
      </c>
      <c r="AH1185">
        <v>6</v>
      </c>
      <c r="AI1185" t="s">
        <v>2304</v>
      </c>
      <c r="AJ1185" t="s">
        <v>2312</v>
      </c>
    </row>
    <row r="1186" spans="1:36" x14ac:dyDescent="0.3">
      <c r="A1186" t="s">
        <v>1220</v>
      </c>
      <c r="B1186" s="2">
        <v>45413</v>
      </c>
      <c r="C1186" t="s">
        <v>1728</v>
      </c>
      <c r="D1186" t="s">
        <v>1866</v>
      </c>
      <c r="E1186" t="s">
        <v>2221</v>
      </c>
      <c r="F1186" t="s">
        <v>2239</v>
      </c>
      <c r="G1186" t="s">
        <v>2241</v>
      </c>
      <c r="H1186" t="s">
        <v>2257</v>
      </c>
      <c r="I1186" t="s">
        <v>2262</v>
      </c>
      <c r="J1186" t="s">
        <v>2265</v>
      </c>
      <c r="K1186">
        <v>3</v>
      </c>
      <c r="L1186">
        <v>130</v>
      </c>
      <c r="M1186">
        <v>0.1</v>
      </c>
      <c r="N1186">
        <v>390</v>
      </c>
      <c r="O1186">
        <v>351</v>
      </c>
      <c r="Q1186" t="s">
        <v>2271</v>
      </c>
      <c r="R1186" t="s">
        <v>2276</v>
      </c>
      <c r="S1186" t="s">
        <v>2282</v>
      </c>
      <c r="T1186" t="s">
        <v>2288</v>
      </c>
      <c r="U1186">
        <v>4</v>
      </c>
      <c r="V1186">
        <v>204</v>
      </c>
      <c r="W1186">
        <v>33</v>
      </c>
      <c r="X1186">
        <v>46.75</v>
      </c>
      <c r="Y1186">
        <v>210.75</v>
      </c>
      <c r="Z1186" t="s">
        <v>2293</v>
      </c>
      <c r="AA1186" t="s">
        <v>2299</v>
      </c>
      <c r="AB1186">
        <v>390</v>
      </c>
      <c r="AC1186">
        <v>39</v>
      </c>
      <c r="AD1186">
        <v>351</v>
      </c>
      <c r="AE1186">
        <v>140.25</v>
      </c>
      <c r="AF1186">
        <v>210.75</v>
      </c>
      <c r="AG1186">
        <v>2024</v>
      </c>
      <c r="AH1186">
        <v>5</v>
      </c>
      <c r="AI1186" t="s">
        <v>2306</v>
      </c>
      <c r="AJ1186" t="s">
        <v>2312</v>
      </c>
    </row>
    <row r="1187" spans="1:36" x14ac:dyDescent="0.3">
      <c r="A1187" t="s">
        <v>1221</v>
      </c>
      <c r="B1187" s="2">
        <v>45359</v>
      </c>
      <c r="C1187" t="s">
        <v>1700</v>
      </c>
      <c r="D1187" t="s">
        <v>1805</v>
      </c>
      <c r="E1187" t="s">
        <v>1962</v>
      </c>
      <c r="F1187" t="s">
        <v>2239</v>
      </c>
      <c r="G1187" t="s">
        <v>2247</v>
      </c>
      <c r="H1187" t="s">
        <v>2257</v>
      </c>
      <c r="I1187" t="s">
        <v>2262</v>
      </c>
      <c r="J1187" t="s">
        <v>2264</v>
      </c>
      <c r="K1187">
        <v>3</v>
      </c>
      <c r="L1187">
        <v>100</v>
      </c>
      <c r="M1187">
        <v>0</v>
      </c>
      <c r="N1187">
        <v>300</v>
      </c>
      <c r="O1187">
        <v>300</v>
      </c>
      <c r="P1187" t="s">
        <v>2269</v>
      </c>
      <c r="Q1187" t="s">
        <v>2272</v>
      </c>
      <c r="R1187" t="s">
        <v>2274</v>
      </c>
      <c r="S1187" t="s">
        <v>2286</v>
      </c>
      <c r="T1187" t="s">
        <v>2288</v>
      </c>
      <c r="U1187">
        <v>2</v>
      </c>
      <c r="W1187">
        <v>21</v>
      </c>
      <c r="X1187">
        <v>57.29</v>
      </c>
      <c r="Y1187">
        <v>128.13</v>
      </c>
      <c r="Z1187" t="s">
        <v>1761</v>
      </c>
      <c r="AA1187" t="s">
        <v>2298</v>
      </c>
      <c r="AB1187">
        <v>300</v>
      </c>
      <c r="AC1187">
        <v>0</v>
      </c>
      <c r="AD1187">
        <v>300</v>
      </c>
      <c r="AE1187">
        <v>171.87</v>
      </c>
      <c r="AF1187">
        <v>128.13</v>
      </c>
      <c r="AG1187">
        <v>2024</v>
      </c>
      <c r="AH1187">
        <v>3</v>
      </c>
      <c r="AI1187" t="s">
        <v>2305</v>
      </c>
      <c r="AJ1187" t="s">
        <v>2315</v>
      </c>
    </row>
    <row r="1188" spans="1:36" x14ac:dyDescent="0.3">
      <c r="A1188" t="s">
        <v>1222</v>
      </c>
      <c r="B1188" s="2">
        <v>45597</v>
      </c>
      <c r="C1188" t="s">
        <v>1710</v>
      </c>
      <c r="D1188" t="s">
        <v>1903</v>
      </c>
      <c r="E1188" t="s">
        <v>2133</v>
      </c>
      <c r="F1188" t="s">
        <v>2239</v>
      </c>
      <c r="G1188" t="s">
        <v>2253</v>
      </c>
      <c r="H1188" t="s">
        <v>2258</v>
      </c>
      <c r="I1188" t="s">
        <v>2260</v>
      </c>
      <c r="J1188" t="s">
        <v>2265</v>
      </c>
      <c r="K1188">
        <v>2</v>
      </c>
      <c r="L1188">
        <v>100</v>
      </c>
      <c r="M1188">
        <v>0</v>
      </c>
      <c r="N1188">
        <v>200</v>
      </c>
      <c r="O1188">
        <v>200</v>
      </c>
      <c r="P1188" t="s">
        <v>2268</v>
      </c>
      <c r="Q1188" t="s">
        <v>2270</v>
      </c>
      <c r="R1188" t="s">
        <v>2274</v>
      </c>
      <c r="S1188" t="s">
        <v>2285</v>
      </c>
      <c r="T1188" t="s">
        <v>2288</v>
      </c>
      <c r="U1188">
        <v>5</v>
      </c>
      <c r="V1188">
        <v>77</v>
      </c>
      <c r="W1188">
        <v>35</v>
      </c>
      <c r="X1188">
        <v>33.44</v>
      </c>
      <c r="Y1188">
        <v>133.12</v>
      </c>
      <c r="Z1188" t="s">
        <v>2294</v>
      </c>
      <c r="AA1188" t="s">
        <v>1761</v>
      </c>
      <c r="AB1188">
        <v>200</v>
      </c>
      <c r="AC1188">
        <v>0</v>
      </c>
      <c r="AD1188">
        <v>200</v>
      </c>
      <c r="AE1188">
        <v>66.88</v>
      </c>
      <c r="AF1188">
        <v>133.12</v>
      </c>
      <c r="AG1188">
        <v>2024</v>
      </c>
      <c r="AH1188">
        <v>11</v>
      </c>
      <c r="AI1188" t="s">
        <v>2311</v>
      </c>
      <c r="AJ1188" t="s">
        <v>2315</v>
      </c>
    </row>
    <row r="1189" spans="1:36" x14ac:dyDescent="0.3">
      <c r="A1189" t="s">
        <v>1223</v>
      </c>
      <c r="B1189" s="2">
        <v>45456</v>
      </c>
      <c r="C1189" t="s">
        <v>1673</v>
      </c>
      <c r="D1189" t="s">
        <v>1779</v>
      </c>
      <c r="E1189" t="s">
        <v>2119</v>
      </c>
      <c r="F1189" t="s">
        <v>2239</v>
      </c>
      <c r="G1189" t="s">
        <v>2247</v>
      </c>
      <c r="H1189" t="s">
        <v>2257</v>
      </c>
      <c r="I1189" t="s">
        <v>2262</v>
      </c>
      <c r="J1189" t="s">
        <v>2266</v>
      </c>
      <c r="K1189">
        <v>2</v>
      </c>
      <c r="L1189">
        <v>95</v>
      </c>
      <c r="M1189">
        <v>0.05</v>
      </c>
      <c r="N1189">
        <v>190</v>
      </c>
      <c r="O1189">
        <v>180.5</v>
      </c>
      <c r="P1189" t="s">
        <v>2269</v>
      </c>
      <c r="Q1189" t="s">
        <v>2271</v>
      </c>
      <c r="R1189" t="s">
        <v>2276</v>
      </c>
      <c r="S1189" t="s">
        <v>2282</v>
      </c>
      <c r="T1189" t="s">
        <v>2288</v>
      </c>
      <c r="U1189">
        <v>5</v>
      </c>
      <c r="V1189">
        <v>225</v>
      </c>
      <c r="W1189">
        <v>48</v>
      </c>
      <c r="X1189">
        <v>55.14</v>
      </c>
      <c r="Y1189">
        <v>70.22</v>
      </c>
      <c r="Z1189" t="s">
        <v>2293</v>
      </c>
      <c r="AA1189" t="s">
        <v>1761</v>
      </c>
      <c r="AB1189">
        <v>190</v>
      </c>
      <c r="AC1189">
        <v>9.5</v>
      </c>
      <c r="AD1189">
        <v>180.5</v>
      </c>
      <c r="AE1189">
        <v>110.28</v>
      </c>
      <c r="AF1189">
        <v>70.22</v>
      </c>
      <c r="AG1189">
        <v>2024</v>
      </c>
      <c r="AH1189">
        <v>6</v>
      </c>
      <c r="AI1189" t="s">
        <v>2304</v>
      </c>
      <c r="AJ1189" t="s">
        <v>2316</v>
      </c>
    </row>
    <row r="1190" spans="1:36" x14ac:dyDescent="0.3">
      <c r="A1190" t="s">
        <v>1224</v>
      </c>
      <c r="B1190" s="2">
        <v>45375</v>
      </c>
      <c r="C1190" t="s">
        <v>1703</v>
      </c>
      <c r="D1190" t="s">
        <v>1852</v>
      </c>
      <c r="E1190" t="s">
        <v>2071</v>
      </c>
      <c r="F1190" t="s">
        <v>1761</v>
      </c>
      <c r="G1190" t="s">
        <v>2250</v>
      </c>
      <c r="H1190" t="s">
        <v>2259</v>
      </c>
      <c r="I1190" t="s">
        <v>2262</v>
      </c>
      <c r="J1190" t="s">
        <v>2266</v>
      </c>
      <c r="K1190">
        <v>1</v>
      </c>
      <c r="L1190">
        <v>80</v>
      </c>
      <c r="M1190">
        <v>0.1</v>
      </c>
      <c r="N1190">
        <v>80</v>
      </c>
      <c r="O1190">
        <v>72</v>
      </c>
      <c r="P1190" t="s">
        <v>2268</v>
      </c>
      <c r="Q1190" t="s">
        <v>2270</v>
      </c>
      <c r="R1190" t="s">
        <v>2275</v>
      </c>
      <c r="S1190" t="s">
        <v>2284</v>
      </c>
      <c r="T1190" t="s">
        <v>2288</v>
      </c>
      <c r="U1190">
        <v>5</v>
      </c>
      <c r="V1190">
        <v>480</v>
      </c>
      <c r="W1190">
        <v>48</v>
      </c>
      <c r="X1190">
        <v>32.49</v>
      </c>
      <c r="Y1190">
        <v>39.51</v>
      </c>
      <c r="Z1190" t="s">
        <v>2293</v>
      </c>
      <c r="AA1190" t="s">
        <v>1761</v>
      </c>
      <c r="AB1190">
        <v>80</v>
      </c>
      <c r="AC1190">
        <v>8</v>
      </c>
      <c r="AD1190">
        <v>72</v>
      </c>
      <c r="AE1190">
        <v>32.49</v>
      </c>
      <c r="AF1190">
        <v>39.51</v>
      </c>
      <c r="AG1190">
        <v>2024</v>
      </c>
      <c r="AH1190">
        <v>3</v>
      </c>
      <c r="AI1190" t="s">
        <v>2305</v>
      </c>
      <c r="AJ1190" t="s">
        <v>2318</v>
      </c>
    </row>
    <row r="1191" spans="1:36" x14ac:dyDescent="0.3">
      <c r="A1191" t="s">
        <v>1225</v>
      </c>
      <c r="B1191" s="2">
        <v>45343</v>
      </c>
      <c r="C1191" t="s">
        <v>1705</v>
      </c>
      <c r="D1191" t="s">
        <v>1851</v>
      </c>
      <c r="E1191" t="s">
        <v>2159</v>
      </c>
      <c r="F1191" t="s">
        <v>2240</v>
      </c>
      <c r="G1191" t="s">
        <v>2248</v>
      </c>
      <c r="H1191" t="s">
        <v>2257</v>
      </c>
      <c r="I1191" t="s">
        <v>2262</v>
      </c>
      <c r="J1191" t="s">
        <v>2264</v>
      </c>
      <c r="K1191">
        <v>3</v>
      </c>
      <c r="L1191">
        <v>140</v>
      </c>
      <c r="M1191">
        <v>0.05</v>
      </c>
      <c r="N1191">
        <v>420</v>
      </c>
      <c r="O1191">
        <v>399</v>
      </c>
      <c r="P1191" t="s">
        <v>2269</v>
      </c>
      <c r="Q1191" t="s">
        <v>2270</v>
      </c>
      <c r="R1191" t="s">
        <v>2276</v>
      </c>
      <c r="S1191" t="s">
        <v>2283</v>
      </c>
      <c r="T1191" t="s">
        <v>2289</v>
      </c>
      <c r="U1191">
        <v>5</v>
      </c>
      <c r="V1191">
        <v>188</v>
      </c>
      <c r="X1191">
        <v>61.24</v>
      </c>
      <c r="Y1191">
        <v>215.28</v>
      </c>
      <c r="Z1191" t="s">
        <v>1761</v>
      </c>
      <c r="AA1191" t="s">
        <v>2299</v>
      </c>
      <c r="AB1191">
        <v>420</v>
      </c>
      <c r="AC1191">
        <v>21</v>
      </c>
      <c r="AD1191">
        <v>399</v>
      </c>
      <c r="AE1191">
        <v>183.72</v>
      </c>
      <c r="AF1191">
        <v>215.28</v>
      </c>
      <c r="AG1191">
        <v>2024</v>
      </c>
      <c r="AH1191">
        <v>2</v>
      </c>
      <c r="AI1191" t="s">
        <v>2303</v>
      </c>
      <c r="AJ1191" t="s">
        <v>2312</v>
      </c>
    </row>
    <row r="1192" spans="1:36" x14ac:dyDescent="0.3">
      <c r="A1192" t="s">
        <v>1226</v>
      </c>
      <c r="B1192" s="2">
        <v>45324</v>
      </c>
      <c r="C1192" t="s">
        <v>1714</v>
      </c>
      <c r="D1192" t="s">
        <v>1898</v>
      </c>
      <c r="E1192" t="s">
        <v>1945</v>
      </c>
      <c r="F1192" t="s">
        <v>2240</v>
      </c>
      <c r="G1192" t="s">
        <v>2248</v>
      </c>
      <c r="H1192" t="s">
        <v>2257</v>
      </c>
      <c r="I1192" t="s">
        <v>2262</v>
      </c>
      <c r="K1192">
        <v>3</v>
      </c>
      <c r="L1192">
        <v>150</v>
      </c>
      <c r="M1192">
        <v>0</v>
      </c>
      <c r="N1192">
        <v>450</v>
      </c>
      <c r="O1192">
        <v>450</v>
      </c>
      <c r="P1192" t="s">
        <v>2269</v>
      </c>
      <c r="Q1192" t="s">
        <v>2271</v>
      </c>
      <c r="R1192" t="s">
        <v>2274</v>
      </c>
      <c r="S1192" t="s">
        <v>2286</v>
      </c>
      <c r="T1192" t="s">
        <v>2288</v>
      </c>
      <c r="U1192">
        <v>5</v>
      </c>
      <c r="V1192">
        <v>312</v>
      </c>
      <c r="X1192">
        <v>76.540000000000006</v>
      </c>
      <c r="Y1192">
        <v>220.38</v>
      </c>
      <c r="Z1192" t="s">
        <v>2292</v>
      </c>
      <c r="AA1192" t="s">
        <v>2297</v>
      </c>
      <c r="AB1192">
        <v>450</v>
      </c>
      <c r="AC1192">
        <v>0</v>
      </c>
      <c r="AD1192">
        <v>450</v>
      </c>
      <c r="AE1192">
        <v>229.62</v>
      </c>
      <c r="AF1192">
        <v>220.38</v>
      </c>
      <c r="AG1192">
        <v>2024</v>
      </c>
      <c r="AH1192">
        <v>2</v>
      </c>
      <c r="AI1192" t="s">
        <v>2303</v>
      </c>
      <c r="AJ1192" t="s">
        <v>2315</v>
      </c>
    </row>
    <row r="1193" spans="1:36" x14ac:dyDescent="0.3">
      <c r="A1193" t="s">
        <v>1227</v>
      </c>
      <c r="B1193" s="2">
        <v>45423</v>
      </c>
      <c r="C1193" t="s">
        <v>1719</v>
      </c>
      <c r="D1193" t="s">
        <v>1920</v>
      </c>
      <c r="E1193" t="s">
        <v>2017</v>
      </c>
      <c r="F1193" t="s">
        <v>1761</v>
      </c>
      <c r="G1193" t="s">
        <v>2249</v>
      </c>
      <c r="H1193" t="s">
        <v>2257</v>
      </c>
      <c r="I1193" t="s">
        <v>2263</v>
      </c>
      <c r="J1193" t="s">
        <v>2266</v>
      </c>
      <c r="K1193">
        <v>2</v>
      </c>
      <c r="L1193">
        <v>170</v>
      </c>
      <c r="M1193">
        <v>0</v>
      </c>
      <c r="N1193">
        <v>340</v>
      </c>
      <c r="O1193">
        <v>340</v>
      </c>
      <c r="P1193" t="s">
        <v>2267</v>
      </c>
      <c r="R1193" t="s">
        <v>2274</v>
      </c>
      <c r="S1193" t="s">
        <v>2286</v>
      </c>
      <c r="T1193" t="s">
        <v>2288</v>
      </c>
      <c r="U1193">
        <v>2</v>
      </c>
      <c r="V1193">
        <v>75</v>
      </c>
      <c r="W1193">
        <v>38</v>
      </c>
      <c r="X1193">
        <v>76.02</v>
      </c>
      <c r="Y1193">
        <v>187.96</v>
      </c>
      <c r="Z1193" t="s">
        <v>1761</v>
      </c>
      <c r="AA1193" t="s">
        <v>2299</v>
      </c>
      <c r="AB1193">
        <v>340</v>
      </c>
      <c r="AC1193">
        <v>0</v>
      </c>
      <c r="AD1193">
        <v>340</v>
      </c>
      <c r="AE1193">
        <v>152.04</v>
      </c>
      <c r="AF1193">
        <v>187.96</v>
      </c>
      <c r="AG1193">
        <v>2024</v>
      </c>
      <c r="AH1193">
        <v>5</v>
      </c>
      <c r="AI1193" t="s">
        <v>2306</v>
      </c>
      <c r="AJ1193" t="s">
        <v>2317</v>
      </c>
    </row>
    <row r="1194" spans="1:36" x14ac:dyDescent="0.3">
      <c r="A1194" t="s">
        <v>1228</v>
      </c>
      <c r="B1194" s="2">
        <v>45292</v>
      </c>
      <c r="C1194" t="s">
        <v>1701</v>
      </c>
      <c r="E1194" t="s">
        <v>1956</v>
      </c>
      <c r="F1194" t="s">
        <v>1761</v>
      </c>
      <c r="G1194" t="s">
        <v>2250</v>
      </c>
      <c r="H1194" t="s">
        <v>2259</v>
      </c>
      <c r="I1194" t="s">
        <v>2262</v>
      </c>
      <c r="K1194">
        <v>1</v>
      </c>
      <c r="L1194">
        <v>80</v>
      </c>
      <c r="M1194">
        <v>0</v>
      </c>
      <c r="N1194">
        <v>80</v>
      </c>
      <c r="O1194">
        <v>80</v>
      </c>
      <c r="P1194" t="s">
        <v>2269</v>
      </c>
      <c r="Q1194" t="s">
        <v>2270</v>
      </c>
      <c r="R1194" t="s">
        <v>2277</v>
      </c>
      <c r="S1194" t="s">
        <v>2281</v>
      </c>
      <c r="T1194" t="s">
        <v>2289</v>
      </c>
      <c r="V1194">
        <v>327</v>
      </c>
      <c r="W1194">
        <v>38</v>
      </c>
      <c r="X1194">
        <v>38.04</v>
      </c>
      <c r="Y1194">
        <v>41.96</v>
      </c>
      <c r="Z1194" t="s">
        <v>2293</v>
      </c>
      <c r="AA1194" t="s">
        <v>2299</v>
      </c>
      <c r="AB1194">
        <v>80</v>
      </c>
      <c r="AC1194">
        <v>0</v>
      </c>
      <c r="AD1194">
        <v>80</v>
      </c>
      <c r="AE1194">
        <v>38.04</v>
      </c>
      <c r="AF1194">
        <v>41.96</v>
      </c>
      <c r="AG1194">
        <v>2024</v>
      </c>
      <c r="AH1194">
        <v>1</v>
      </c>
      <c r="AI1194" t="s">
        <v>2302</v>
      </c>
      <c r="AJ1194" t="s">
        <v>2314</v>
      </c>
    </row>
    <row r="1195" spans="1:36" x14ac:dyDescent="0.3">
      <c r="A1195" t="s">
        <v>1229</v>
      </c>
      <c r="B1195" s="2">
        <v>45414</v>
      </c>
      <c r="C1195" t="s">
        <v>1682</v>
      </c>
      <c r="D1195" t="s">
        <v>1865</v>
      </c>
      <c r="E1195" t="s">
        <v>2039</v>
      </c>
      <c r="F1195" t="s">
        <v>2240</v>
      </c>
      <c r="G1195" t="s">
        <v>2243</v>
      </c>
      <c r="H1195" t="s">
        <v>2258</v>
      </c>
      <c r="I1195" t="s">
        <v>2260</v>
      </c>
      <c r="J1195" t="s">
        <v>2264</v>
      </c>
      <c r="K1195">
        <v>4</v>
      </c>
      <c r="L1195">
        <v>75</v>
      </c>
      <c r="M1195">
        <v>0.1</v>
      </c>
      <c r="N1195">
        <v>300</v>
      </c>
      <c r="O1195">
        <v>270</v>
      </c>
      <c r="P1195" t="s">
        <v>2268</v>
      </c>
      <c r="R1195" t="s">
        <v>2277</v>
      </c>
      <c r="S1195" t="s">
        <v>2280</v>
      </c>
      <c r="T1195" t="s">
        <v>2288</v>
      </c>
      <c r="U1195">
        <v>5</v>
      </c>
      <c r="V1195">
        <v>165</v>
      </c>
      <c r="W1195">
        <v>26</v>
      </c>
      <c r="X1195">
        <v>31.07</v>
      </c>
      <c r="Y1195">
        <v>145.72</v>
      </c>
      <c r="Z1195" t="s">
        <v>2291</v>
      </c>
      <c r="AA1195" t="s">
        <v>2296</v>
      </c>
      <c r="AB1195">
        <v>300</v>
      </c>
      <c r="AC1195">
        <v>30</v>
      </c>
      <c r="AD1195">
        <v>270</v>
      </c>
      <c r="AE1195">
        <v>124.28</v>
      </c>
      <c r="AF1195">
        <v>145.72</v>
      </c>
      <c r="AG1195">
        <v>2024</v>
      </c>
      <c r="AH1195">
        <v>5</v>
      </c>
      <c r="AI1195" t="s">
        <v>2306</v>
      </c>
      <c r="AJ1195" t="s">
        <v>2316</v>
      </c>
    </row>
    <row r="1196" spans="1:36" x14ac:dyDescent="0.3">
      <c r="A1196" t="s">
        <v>1230</v>
      </c>
      <c r="B1196" s="2">
        <v>45362</v>
      </c>
      <c r="C1196" t="s">
        <v>1644</v>
      </c>
      <c r="D1196" t="s">
        <v>1761</v>
      </c>
      <c r="E1196" t="s">
        <v>2091</v>
      </c>
      <c r="F1196" t="s">
        <v>2240</v>
      </c>
      <c r="G1196" t="s">
        <v>2247</v>
      </c>
      <c r="H1196" t="s">
        <v>2257</v>
      </c>
      <c r="I1196" t="s">
        <v>2262</v>
      </c>
      <c r="J1196" t="s">
        <v>2266</v>
      </c>
      <c r="K1196">
        <v>1</v>
      </c>
      <c r="L1196">
        <v>100</v>
      </c>
      <c r="M1196">
        <v>0</v>
      </c>
      <c r="N1196">
        <v>100</v>
      </c>
      <c r="O1196">
        <v>100</v>
      </c>
      <c r="P1196" t="s">
        <v>2268</v>
      </c>
      <c r="Q1196" t="s">
        <v>2270</v>
      </c>
      <c r="R1196" t="s">
        <v>2277</v>
      </c>
      <c r="S1196" t="s">
        <v>2287</v>
      </c>
      <c r="T1196" t="s">
        <v>2288</v>
      </c>
      <c r="U1196">
        <v>4</v>
      </c>
      <c r="X1196">
        <v>50.93</v>
      </c>
      <c r="Y1196">
        <v>49.07</v>
      </c>
      <c r="Z1196" t="s">
        <v>2294</v>
      </c>
      <c r="AA1196" t="s">
        <v>2296</v>
      </c>
      <c r="AB1196">
        <v>100</v>
      </c>
      <c r="AC1196">
        <v>0</v>
      </c>
      <c r="AD1196">
        <v>100</v>
      </c>
      <c r="AE1196">
        <v>50.93</v>
      </c>
      <c r="AF1196">
        <v>49.07</v>
      </c>
      <c r="AG1196">
        <v>2024</v>
      </c>
      <c r="AH1196">
        <v>3</v>
      </c>
      <c r="AI1196" t="s">
        <v>2305</v>
      </c>
      <c r="AJ1196" t="s">
        <v>2314</v>
      </c>
    </row>
    <row r="1197" spans="1:36" x14ac:dyDescent="0.3">
      <c r="A1197" t="s">
        <v>1231</v>
      </c>
      <c r="B1197" s="2">
        <v>45392</v>
      </c>
      <c r="C1197" t="s">
        <v>1735</v>
      </c>
      <c r="D1197" t="s">
        <v>1762</v>
      </c>
      <c r="E1197" t="s">
        <v>2067</v>
      </c>
      <c r="F1197" t="s">
        <v>2239</v>
      </c>
      <c r="G1197" t="s">
        <v>2242</v>
      </c>
      <c r="H1197" t="s">
        <v>2258</v>
      </c>
      <c r="I1197" t="s">
        <v>2260</v>
      </c>
      <c r="J1197" t="s">
        <v>2264</v>
      </c>
      <c r="K1197">
        <v>1</v>
      </c>
      <c r="L1197">
        <v>115</v>
      </c>
      <c r="M1197">
        <v>0.1</v>
      </c>
      <c r="N1197">
        <v>115</v>
      </c>
      <c r="O1197">
        <v>103.5</v>
      </c>
      <c r="P1197" t="s">
        <v>2267</v>
      </c>
      <c r="Q1197" t="s">
        <v>2271</v>
      </c>
      <c r="R1197" t="s">
        <v>2278</v>
      </c>
      <c r="S1197" t="s">
        <v>2287</v>
      </c>
      <c r="T1197" t="s">
        <v>2288</v>
      </c>
      <c r="U1197">
        <v>5</v>
      </c>
      <c r="V1197">
        <v>180</v>
      </c>
      <c r="W1197">
        <v>60</v>
      </c>
      <c r="X1197">
        <v>61.47</v>
      </c>
      <c r="Y1197">
        <v>42.03</v>
      </c>
      <c r="Z1197" t="s">
        <v>2292</v>
      </c>
      <c r="AA1197" t="s">
        <v>1761</v>
      </c>
      <c r="AB1197">
        <v>115</v>
      </c>
      <c r="AC1197">
        <v>11.5</v>
      </c>
      <c r="AD1197">
        <v>103.5</v>
      </c>
      <c r="AE1197">
        <v>61.47</v>
      </c>
      <c r="AF1197">
        <v>42.03</v>
      </c>
      <c r="AG1197">
        <v>2024</v>
      </c>
      <c r="AH1197">
        <v>4</v>
      </c>
      <c r="AI1197" t="s">
        <v>2308</v>
      </c>
      <c r="AJ1197" t="s">
        <v>2312</v>
      </c>
    </row>
    <row r="1198" spans="1:36" x14ac:dyDescent="0.3">
      <c r="A1198" t="s">
        <v>1232</v>
      </c>
      <c r="B1198" s="2">
        <v>45655</v>
      </c>
      <c r="C1198" t="s">
        <v>1715</v>
      </c>
      <c r="D1198" t="s">
        <v>1898</v>
      </c>
      <c r="E1198" t="s">
        <v>2080</v>
      </c>
      <c r="F1198" t="s">
        <v>1761</v>
      </c>
      <c r="G1198" t="s">
        <v>2253</v>
      </c>
      <c r="H1198" t="s">
        <v>2258</v>
      </c>
      <c r="I1198" t="s">
        <v>2260</v>
      </c>
      <c r="K1198">
        <v>1</v>
      </c>
      <c r="L1198">
        <v>85</v>
      </c>
      <c r="M1198">
        <v>0</v>
      </c>
      <c r="N1198">
        <v>85</v>
      </c>
      <c r="O1198">
        <v>85</v>
      </c>
      <c r="P1198" t="s">
        <v>2267</v>
      </c>
      <c r="Q1198" t="s">
        <v>2270</v>
      </c>
      <c r="R1198" t="s">
        <v>2276</v>
      </c>
      <c r="S1198" t="s">
        <v>2287</v>
      </c>
      <c r="T1198" t="s">
        <v>2290</v>
      </c>
      <c r="U1198">
        <v>1</v>
      </c>
      <c r="V1198">
        <v>271</v>
      </c>
      <c r="W1198">
        <v>13</v>
      </c>
      <c r="X1198">
        <v>47.42</v>
      </c>
      <c r="Y1198">
        <v>37.58</v>
      </c>
      <c r="AA1198" t="s">
        <v>2299</v>
      </c>
      <c r="AB1198">
        <v>85</v>
      </c>
      <c r="AC1198">
        <v>0</v>
      </c>
      <c r="AD1198">
        <v>85</v>
      </c>
      <c r="AE1198">
        <v>47.42</v>
      </c>
      <c r="AF1198">
        <v>37.58</v>
      </c>
      <c r="AG1198">
        <v>2024</v>
      </c>
      <c r="AH1198">
        <v>12</v>
      </c>
      <c r="AI1198" t="s">
        <v>2309</v>
      </c>
      <c r="AJ1198" t="s">
        <v>2318</v>
      </c>
    </row>
    <row r="1199" spans="1:36" x14ac:dyDescent="0.3">
      <c r="A1199" t="s">
        <v>1233</v>
      </c>
      <c r="B1199" s="2">
        <v>45537</v>
      </c>
      <c r="C1199" t="s">
        <v>1720</v>
      </c>
      <c r="D1199" t="s">
        <v>1889</v>
      </c>
      <c r="E1199" t="s">
        <v>1956</v>
      </c>
      <c r="F1199" t="s">
        <v>2240</v>
      </c>
      <c r="G1199" t="s">
        <v>2256</v>
      </c>
      <c r="H1199" t="s">
        <v>2261</v>
      </c>
      <c r="I1199" t="s">
        <v>2260</v>
      </c>
      <c r="L1199">
        <v>190</v>
      </c>
      <c r="M1199">
        <v>0.1</v>
      </c>
      <c r="N1199">
        <v>380</v>
      </c>
      <c r="O1199">
        <v>342</v>
      </c>
      <c r="P1199" t="s">
        <v>2268</v>
      </c>
      <c r="Q1199" t="s">
        <v>2270</v>
      </c>
      <c r="R1199" t="s">
        <v>2273</v>
      </c>
      <c r="S1199" t="s">
        <v>2287</v>
      </c>
      <c r="T1199" t="s">
        <v>2289</v>
      </c>
      <c r="U1199">
        <v>4</v>
      </c>
      <c r="V1199">
        <v>76</v>
      </c>
      <c r="W1199">
        <v>40</v>
      </c>
      <c r="X1199">
        <v>105.99</v>
      </c>
      <c r="Y1199">
        <v>130.02000000000001</v>
      </c>
      <c r="Z1199" t="s">
        <v>2293</v>
      </c>
      <c r="AA1199" t="s">
        <v>1761</v>
      </c>
      <c r="AG1199">
        <v>2024</v>
      </c>
      <c r="AH1199">
        <v>9</v>
      </c>
      <c r="AI1199" t="s">
        <v>2300</v>
      </c>
      <c r="AJ1199" t="s">
        <v>2314</v>
      </c>
    </row>
    <row r="1200" spans="1:36" x14ac:dyDescent="0.3">
      <c r="A1200" t="s">
        <v>1234</v>
      </c>
      <c r="B1200" s="2">
        <v>45638</v>
      </c>
      <c r="C1200" t="s">
        <v>1653</v>
      </c>
      <c r="D1200" t="s">
        <v>1788</v>
      </c>
      <c r="E1200" t="s">
        <v>2155</v>
      </c>
      <c r="F1200" t="s">
        <v>2240</v>
      </c>
      <c r="G1200" t="s">
        <v>2253</v>
      </c>
      <c r="H1200" t="s">
        <v>2258</v>
      </c>
      <c r="I1200" t="s">
        <v>2260</v>
      </c>
      <c r="J1200" t="s">
        <v>2266</v>
      </c>
      <c r="K1200">
        <v>1</v>
      </c>
      <c r="L1200">
        <v>95</v>
      </c>
      <c r="M1200">
        <v>0</v>
      </c>
      <c r="N1200">
        <v>95</v>
      </c>
      <c r="O1200">
        <v>95</v>
      </c>
      <c r="P1200" t="s">
        <v>2267</v>
      </c>
      <c r="Q1200" t="s">
        <v>2270</v>
      </c>
      <c r="R1200" t="s">
        <v>2273</v>
      </c>
      <c r="S1200" t="s">
        <v>2285</v>
      </c>
      <c r="T1200" t="s">
        <v>2288</v>
      </c>
      <c r="U1200">
        <v>3</v>
      </c>
      <c r="V1200">
        <v>216</v>
      </c>
      <c r="W1200">
        <v>15</v>
      </c>
      <c r="X1200">
        <v>34.97</v>
      </c>
      <c r="Y1200">
        <v>60.03</v>
      </c>
      <c r="Z1200" t="s">
        <v>2293</v>
      </c>
      <c r="AA1200" t="s">
        <v>2299</v>
      </c>
      <c r="AB1200">
        <v>95</v>
      </c>
      <c r="AC1200">
        <v>0</v>
      </c>
      <c r="AD1200">
        <v>95</v>
      </c>
      <c r="AE1200">
        <v>34.97</v>
      </c>
      <c r="AF1200">
        <v>60.03</v>
      </c>
      <c r="AG1200">
        <v>2024</v>
      </c>
      <c r="AH1200">
        <v>12</v>
      </c>
      <c r="AI1200" t="s">
        <v>2309</v>
      </c>
      <c r="AJ1200" t="s">
        <v>2316</v>
      </c>
    </row>
    <row r="1201" spans="1:36" x14ac:dyDescent="0.3">
      <c r="A1201" t="s">
        <v>1235</v>
      </c>
      <c r="B1201" s="2">
        <v>45644</v>
      </c>
      <c r="C1201" t="s">
        <v>1651</v>
      </c>
      <c r="D1201" t="s">
        <v>1787</v>
      </c>
      <c r="E1201" t="s">
        <v>2045</v>
      </c>
      <c r="F1201" t="s">
        <v>1761</v>
      </c>
      <c r="G1201" t="s">
        <v>2254</v>
      </c>
      <c r="H1201" t="s">
        <v>2259</v>
      </c>
      <c r="I1201" t="s">
        <v>2263</v>
      </c>
      <c r="J1201" t="s">
        <v>2264</v>
      </c>
      <c r="K1201">
        <v>2</v>
      </c>
      <c r="L1201">
        <v>110</v>
      </c>
      <c r="M1201">
        <v>0.1</v>
      </c>
      <c r="N1201">
        <v>220</v>
      </c>
      <c r="O1201">
        <v>198</v>
      </c>
      <c r="P1201" t="s">
        <v>2268</v>
      </c>
      <c r="Q1201" t="s">
        <v>2272</v>
      </c>
      <c r="R1201" t="s">
        <v>2274</v>
      </c>
      <c r="S1201" t="s">
        <v>2284</v>
      </c>
      <c r="T1201" t="s">
        <v>2290</v>
      </c>
      <c r="U1201">
        <v>5</v>
      </c>
      <c r="V1201">
        <v>382</v>
      </c>
      <c r="W1201">
        <v>60</v>
      </c>
      <c r="X1201">
        <v>56.2</v>
      </c>
      <c r="Y1201">
        <v>85.6</v>
      </c>
      <c r="Z1201" t="s">
        <v>2294</v>
      </c>
      <c r="AA1201" t="s">
        <v>2298</v>
      </c>
      <c r="AB1201">
        <v>220</v>
      </c>
      <c r="AC1201">
        <v>22</v>
      </c>
      <c r="AD1201">
        <v>198</v>
      </c>
      <c r="AE1201">
        <v>112.4</v>
      </c>
      <c r="AF1201">
        <v>85.6</v>
      </c>
      <c r="AG1201">
        <v>2024</v>
      </c>
      <c r="AH1201">
        <v>12</v>
      </c>
      <c r="AI1201" t="s">
        <v>2309</v>
      </c>
      <c r="AJ1201" t="s">
        <v>2312</v>
      </c>
    </row>
    <row r="1202" spans="1:36" x14ac:dyDescent="0.3">
      <c r="A1202" t="s">
        <v>1236</v>
      </c>
      <c r="B1202" s="2">
        <v>45524</v>
      </c>
      <c r="C1202" t="s">
        <v>1721</v>
      </c>
      <c r="D1202" t="s">
        <v>1794</v>
      </c>
      <c r="E1202" t="s">
        <v>2122</v>
      </c>
      <c r="F1202" t="s">
        <v>1761</v>
      </c>
      <c r="G1202" t="s">
        <v>2246</v>
      </c>
      <c r="H1202" t="s">
        <v>2259</v>
      </c>
      <c r="I1202" t="s">
        <v>2262</v>
      </c>
      <c r="J1202" t="s">
        <v>2264</v>
      </c>
      <c r="K1202">
        <v>1</v>
      </c>
      <c r="L1202">
        <v>90</v>
      </c>
      <c r="M1202">
        <v>0.1</v>
      </c>
      <c r="N1202">
        <v>90</v>
      </c>
      <c r="O1202">
        <v>81</v>
      </c>
      <c r="P1202" t="s">
        <v>2269</v>
      </c>
      <c r="Q1202" t="s">
        <v>2270</v>
      </c>
      <c r="R1202" t="s">
        <v>2275</v>
      </c>
      <c r="S1202" t="s">
        <v>2287</v>
      </c>
      <c r="T1202" t="s">
        <v>2289</v>
      </c>
      <c r="U1202">
        <v>3</v>
      </c>
      <c r="V1202">
        <v>382</v>
      </c>
      <c r="W1202">
        <v>27</v>
      </c>
      <c r="X1202">
        <v>40.01</v>
      </c>
      <c r="Y1202">
        <v>40.99</v>
      </c>
      <c r="Z1202" t="s">
        <v>2291</v>
      </c>
      <c r="AA1202" t="s">
        <v>2296</v>
      </c>
      <c r="AB1202">
        <v>90</v>
      </c>
      <c r="AC1202">
        <v>9</v>
      </c>
      <c r="AD1202">
        <v>81</v>
      </c>
      <c r="AE1202">
        <v>40.01</v>
      </c>
      <c r="AF1202">
        <v>40.99</v>
      </c>
      <c r="AG1202">
        <v>2024</v>
      </c>
      <c r="AH1202">
        <v>8</v>
      </c>
      <c r="AI1202" t="s">
        <v>2301</v>
      </c>
      <c r="AJ1202" t="s">
        <v>2313</v>
      </c>
    </row>
    <row r="1203" spans="1:36" x14ac:dyDescent="0.3">
      <c r="A1203" t="s">
        <v>1237</v>
      </c>
      <c r="B1203" s="2">
        <v>45450</v>
      </c>
      <c r="C1203" t="s">
        <v>1661</v>
      </c>
      <c r="D1203" t="s">
        <v>1807</v>
      </c>
      <c r="E1203" t="s">
        <v>2208</v>
      </c>
      <c r="F1203" t="s">
        <v>2240</v>
      </c>
      <c r="G1203" t="s">
        <v>2243</v>
      </c>
      <c r="H1203" t="s">
        <v>2258</v>
      </c>
      <c r="I1203" t="s">
        <v>2260</v>
      </c>
      <c r="J1203" t="s">
        <v>2266</v>
      </c>
      <c r="K1203">
        <v>1</v>
      </c>
      <c r="L1203">
        <v>80</v>
      </c>
      <c r="N1203">
        <v>80</v>
      </c>
      <c r="Q1203" t="s">
        <v>2270</v>
      </c>
      <c r="R1203" t="s">
        <v>2279</v>
      </c>
      <c r="S1203" t="s">
        <v>2287</v>
      </c>
      <c r="T1203" t="s">
        <v>2289</v>
      </c>
      <c r="U1203">
        <v>3</v>
      </c>
      <c r="V1203">
        <v>94</v>
      </c>
      <c r="W1203">
        <v>60</v>
      </c>
      <c r="X1203">
        <v>37.950000000000003</v>
      </c>
      <c r="Z1203" t="s">
        <v>1761</v>
      </c>
      <c r="AA1203" t="s">
        <v>2298</v>
      </c>
      <c r="AB1203">
        <v>80</v>
      </c>
      <c r="AC1203">
        <v>0</v>
      </c>
      <c r="AD1203">
        <v>80</v>
      </c>
      <c r="AE1203">
        <v>37.950000000000003</v>
      </c>
      <c r="AF1203">
        <v>42.05</v>
      </c>
      <c r="AG1203">
        <v>2024</v>
      </c>
      <c r="AH1203">
        <v>6</v>
      </c>
      <c r="AI1203" t="s">
        <v>2304</v>
      </c>
      <c r="AJ1203" t="s">
        <v>2315</v>
      </c>
    </row>
    <row r="1204" spans="1:36" x14ac:dyDescent="0.3">
      <c r="A1204" t="s">
        <v>1238</v>
      </c>
      <c r="B1204" s="2">
        <v>45507</v>
      </c>
      <c r="C1204" t="s">
        <v>1679</v>
      </c>
      <c r="D1204" t="s">
        <v>1836</v>
      </c>
      <c r="E1204" t="s">
        <v>2131</v>
      </c>
      <c r="F1204" t="s">
        <v>1761</v>
      </c>
      <c r="G1204" t="s">
        <v>2244</v>
      </c>
      <c r="H1204" t="s">
        <v>2257</v>
      </c>
      <c r="I1204" t="s">
        <v>2262</v>
      </c>
      <c r="J1204" t="s">
        <v>2264</v>
      </c>
      <c r="K1204">
        <v>1</v>
      </c>
      <c r="L1204">
        <v>130</v>
      </c>
      <c r="M1204">
        <v>0.1</v>
      </c>
      <c r="O1204">
        <v>117</v>
      </c>
      <c r="P1204" t="s">
        <v>2268</v>
      </c>
      <c r="Q1204" t="s">
        <v>2271</v>
      </c>
      <c r="R1204" t="s">
        <v>2275</v>
      </c>
      <c r="S1204" t="s">
        <v>2283</v>
      </c>
      <c r="T1204" t="s">
        <v>2290</v>
      </c>
      <c r="U1204">
        <v>3</v>
      </c>
      <c r="V1204">
        <v>163</v>
      </c>
      <c r="W1204">
        <v>18</v>
      </c>
      <c r="X1204">
        <v>56.77</v>
      </c>
      <c r="Y1204">
        <v>60.23</v>
      </c>
      <c r="Z1204" t="s">
        <v>1761</v>
      </c>
      <c r="AA1204" t="s">
        <v>2296</v>
      </c>
      <c r="AB1204">
        <v>130</v>
      </c>
      <c r="AC1204">
        <v>13</v>
      </c>
      <c r="AD1204">
        <v>117</v>
      </c>
      <c r="AE1204">
        <v>56.77</v>
      </c>
      <c r="AF1204">
        <v>60.23</v>
      </c>
      <c r="AG1204">
        <v>2024</v>
      </c>
      <c r="AH1204">
        <v>8</v>
      </c>
      <c r="AI1204" t="s">
        <v>2301</v>
      </c>
      <c r="AJ1204" t="s">
        <v>2317</v>
      </c>
    </row>
    <row r="1205" spans="1:36" x14ac:dyDescent="0.3">
      <c r="A1205" t="s">
        <v>1239</v>
      </c>
      <c r="B1205" s="2">
        <v>45619</v>
      </c>
      <c r="C1205" t="s">
        <v>1637</v>
      </c>
      <c r="D1205" t="s">
        <v>1748</v>
      </c>
      <c r="E1205" t="s">
        <v>2104</v>
      </c>
      <c r="F1205" t="s">
        <v>2240</v>
      </c>
      <c r="G1205" t="s">
        <v>2249</v>
      </c>
      <c r="H1205" t="s">
        <v>2257</v>
      </c>
      <c r="I1205" t="s">
        <v>2263</v>
      </c>
      <c r="J1205" t="s">
        <v>2264</v>
      </c>
      <c r="K1205">
        <v>1</v>
      </c>
      <c r="L1205">
        <v>160</v>
      </c>
      <c r="M1205">
        <v>0</v>
      </c>
      <c r="N1205">
        <v>160</v>
      </c>
      <c r="O1205">
        <v>160</v>
      </c>
      <c r="P1205" t="s">
        <v>2267</v>
      </c>
      <c r="R1205" t="s">
        <v>2277</v>
      </c>
      <c r="S1205" t="s">
        <v>2280</v>
      </c>
      <c r="T1205" t="s">
        <v>2288</v>
      </c>
      <c r="U1205">
        <v>4</v>
      </c>
      <c r="V1205">
        <v>113</v>
      </c>
      <c r="X1205">
        <v>70.52</v>
      </c>
      <c r="Y1205">
        <v>89.48</v>
      </c>
      <c r="Z1205" t="s">
        <v>2293</v>
      </c>
      <c r="AA1205" t="s">
        <v>2296</v>
      </c>
      <c r="AB1205">
        <v>160</v>
      </c>
      <c r="AC1205">
        <v>0</v>
      </c>
      <c r="AD1205">
        <v>160</v>
      </c>
      <c r="AE1205">
        <v>70.52</v>
      </c>
      <c r="AF1205">
        <v>89.48</v>
      </c>
      <c r="AG1205">
        <v>2024</v>
      </c>
      <c r="AH1205">
        <v>11</v>
      </c>
      <c r="AI1205" t="s">
        <v>2311</v>
      </c>
      <c r="AJ1205" t="s">
        <v>2317</v>
      </c>
    </row>
    <row r="1206" spans="1:36" x14ac:dyDescent="0.3">
      <c r="A1206" t="s">
        <v>1240</v>
      </c>
      <c r="B1206" s="2">
        <v>45649</v>
      </c>
      <c r="C1206" t="s">
        <v>1655</v>
      </c>
      <c r="D1206" t="s">
        <v>1850</v>
      </c>
      <c r="E1206" t="s">
        <v>1994</v>
      </c>
      <c r="F1206" t="s">
        <v>2240</v>
      </c>
      <c r="G1206" t="s">
        <v>2241</v>
      </c>
      <c r="H1206" t="s">
        <v>2257</v>
      </c>
      <c r="I1206" t="s">
        <v>2262</v>
      </c>
      <c r="J1206" t="s">
        <v>2264</v>
      </c>
      <c r="K1206">
        <v>1</v>
      </c>
      <c r="L1206">
        <v>130</v>
      </c>
      <c r="M1206">
        <v>0</v>
      </c>
      <c r="N1206">
        <v>130</v>
      </c>
      <c r="O1206">
        <v>130</v>
      </c>
      <c r="P1206" t="s">
        <v>2269</v>
      </c>
      <c r="Q1206" t="s">
        <v>2270</v>
      </c>
      <c r="R1206" t="s">
        <v>2278</v>
      </c>
      <c r="S1206" t="s">
        <v>2281</v>
      </c>
      <c r="T1206" t="s">
        <v>2290</v>
      </c>
      <c r="U1206">
        <v>4</v>
      </c>
      <c r="V1206">
        <v>0</v>
      </c>
      <c r="W1206">
        <v>33</v>
      </c>
      <c r="X1206">
        <v>57.41</v>
      </c>
      <c r="Y1206">
        <v>72.59</v>
      </c>
      <c r="Z1206" t="s">
        <v>1761</v>
      </c>
      <c r="AA1206" t="s">
        <v>2298</v>
      </c>
      <c r="AB1206">
        <v>130</v>
      </c>
      <c r="AC1206">
        <v>0</v>
      </c>
      <c r="AD1206">
        <v>130</v>
      </c>
      <c r="AE1206">
        <v>57.41</v>
      </c>
      <c r="AF1206">
        <v>72.59</v>
      </c>
      <c r="AG1206">
        <v>2024</v>
      </c>
      <c r="AH1206">
        <v>12</v>
      </c>
      <c r="AI1206" t="s">
        <v>2309</v>
      </c>
      <c r="AJ1206" t="s">
        <v>2314</v>
      </c>
    </row>
    <row r="1207" spans="1:36" x14ac:dyDescent="0.3">
      <c r="A1207" t="s">
        <v>1241</v>
      </c>
      <c r="B1207" s="2">
        <v>45389</v>
      </c>
      <c r="C1207" t="s">
        <v>1696</v>
      </c>
      <c r="D1207" t="s">
        <v>1815</v>
      </c>
      <c r="E1207" t="s">
        <v>2044</v>
      </c>
      <c r="F1207" t="s">
        <v>2240</v>
      </c>
      <c r="G1207" t="s">
        <v>2254</v>
      </c>
      <c r="H1207" t="s">
        <v>2259</v>
      </c>
      <c r="I1207" t="s">
        <v>2263</v>
      </c>
      <c r="J1207" t="s">
        <v>2266</v>
      </c>
      <c r="L1207">
        <v>120</v>
      </c>
      <c r="M1207">
        <v>0</v>
      </c>
      <c r="O1207">
        <v>240</v>
      </c>
      <c r="P1207" t="s">
        <v>2269</v>
      </c>
      <c r="Q1207" t="s">
        <v>2272</v>
      </c>
      <c r="R1207" t="s">
        <v>2273</v>
      </c>
      <c r="S1207" t="s">
        <v>2286</v>
      </c>
      <c r="T1207" t="s">
        <v>2289</v>
      </c>
      <c r="V1207">
        <v>458</v>
      </c>
      <c r="W1207">
        <v>52</v>
      </c>
      <c r="X1207">
        <v>46.78</v>
      </c>
      <c r="Y1207">
        <v>146.44</v>
      </c>
      <c r="Z1207" t="s">
        <v>1761</v>
      </c>
      <c r="AA1207" t="s">
        <v>1761</v>
      </c>
      <c r="AG1207">
        <v>2024</v>
      </c>
      <c r="AH1207">
        <v>4</v>
      </c>
      <c r="AI1207" t="s">
        <v>2308</v>
      </c>
      <c r="AJ1207" t="s">
        <v>2318</v>
      </c>
    </row>
    <row r="1208" spans="1:36" x14ac:dyDescent="0.3">
      <c r="A1208" t="s">
        <v>1242</v>
      </c>
      <c r="B1208" s="2">
        <v>45523</v>
      </c>
      <c r="C1208" t="s">
        <v>1678</v>
      </c>
      <c r="D1208" t="s">
        <v>1924</v>
      </c>
      <c r="E1208" t="s">
        <v>2024</v>
      </c>
      <c r="F1208" t="s">
        <v>2240</v>
      </c>
      <c r="G1208" t="s">
        <v>2249</v>
      </c>
      <c r="H1208" t="s">
        <v>2257</v>
      </c>
      <c r="I1208" t="s">
        <v>2263</v>
      </c>
      <c r="J1208" t="s">
        <v>2266</v>
      </c>
      <c r="K1208">
        <v>3</v>
      </c>
      <c r="L1208">
        <v>160</v>
      </c>
      <c r="M1208">
        <v>0.15</v>
      </c>
      <c r="N1208">
        <v>480</v>
      </c>
      <c r="O1208">
        <v>408</v>
      </c>
      <c r="P1208" t="s">
        <v>2267</v>
      </c>
      <c r="Q1208" t="s">
        <v>2272</v>
      </c>
      <c r="R1208" t="s">
        <v>2274</v>
      </c>
      <c r="S1208" t="s">
        <v>2287</v>
      </c>
      <c r="T1208" t="s">
        <v>2289</v>
      </c>
      <c r="U1208">
        <v>5</v>
      </c>
      <c r="V1208">
        <v>87</v>
      </c>
      <c r="W1208">
        <v>36</v>
      </c>
      <c r="X1208">
        <v>72.69</v>
      </c>
      <c r="Y1208">
        <v>189.93</v>
      </c>
      <c r="Z1208" t="s">
        <v>2291</v>
      </c>
      <c r="AA1208" t="s">
        <v>2298</v>
      </c>
      <c r="AB1208">
        <v>480</v>
      </c>
      <c r="AC1208">
        <v>72</v>
      </c>
      <c r="AD1208">
        <v>408</v>
      </c>
      <c r="AE1208">
        <v>218.07</v>
      </c>
      <c r="AF1208">
        <v>189.93</v>
      </c>
      <c r="AG1208">
        <v>2024</v>
      </c>
      <c r="AH1208">
        <v>8</v>
      </c>
      <c r="AI1208" t="s">
        <v>2301</v>
      </c>
      <c r="AJ1208" t="s">
        <v>2314</v>
      </c>
    </row>
    <row r="1209" spans="1:36" x14ac:dyDescent="0.3">
      <c r="A1209" t="s">
        <v>1243</v>
      </c>
      <c r="B1209" s="2">
        <v>45424</v>
      </c>
      <c r="C1209" t="s">
        <v>1681</v>
      </c>
      <c r="D1209" t="s">
        <v>1836</v>
      </c>
      <c r="E1209" t="s">
        <v>2081</v>
      </c>
      <c r="F1209" t="s">
        <v>2238</v>
      </c>
      <c r="G1209" t="s">
        <v>2243</v>
      </c>
      <c r="H1209" t="s">
        <v>2258</v>
      </c>
      <c r="I1209" t="s">
        <v>2260</v>
      </c>
      <c r="J1209" t="s">
        <v>2264</v>
      </c>
      <c r="K1209">
        <v>2</v>
      </c>
      <c r="L1209">
        <v>80</v>
      </c>
      <c r="M1209">
        <v>0.1</v>
      </c>
      <c r="N1209">
        <v>160</v>
      </c>
      <c r="O1209">
        <v>144</v>
      </c>
      <c r="P1209" t="s">
        <v>2269</v>
      </c>
      <c r="R1209" t="s">
        <v>2275</v>
      </c>
      <c r="S1209" t="s">
        <v>2280</v>
      </c>
      <c r="T1209" t="s">
        <v>2288</v>
      </c>
      <c r="U1209">
        <v>3</v>
      </c>
      <c r="V1209">
        <v>233</v>
      </c>
      <c r="W1209">
        <v>54</v>
      </c>
      <c r="X1209">
        <v>39.61</v>
      </c>
      <c r="Y1209">
        <v>64.78</v>
      </c>
      <c r="Z1209" t="s">
        <v>2291</v>
      </c>
      <c r="AA1209" t="s">
        <v>1761</v>
      </c>
      <c r="AB1209">
        <v>160</v>
      </c>
      <c r="AC1209">
        <v>16</v>
      </c>
      <c r="AD1209">
        <v>144</v>
      </c>
      <c r="AE1209">
        <v>79.22</v>
      </c>
      <c r="AF1209">
        <v>64.78</v>
      </c>
      <c r="AG1209">
        <v>2024</v>
      </c>
      <c r="AH1209">
        <v>5</v>
      </c>
      <c r="AI1209" t="s">
        <v>2306</v>
      </c>
      <c r="AJ1209" t="s">
        <v>2318</v>
      </c>
    </row>
    <row r="1210" spans="1:36" x14ac:dyDescent="0.3">
      <c r="A1210" t="s">
        <v>1244</v>
      </c>
      <c r="B1210" s="2">
        <v>45335</v>
      </c>
      <c r="C1210" t="s">
        <v>1642</v>
      </c>
      <c r="D1210" t="s">
        <v>1788</v>
      </c>
      <c r="E1210" t="s">
        <v>2227</v>
      </c>
      <c r="F1210" t="s">
        <v>2239</v>
      </c>
      <c r="G1210" t="s">
        <v>2242</v>
      </c>
      <c r="H1210" t="s">
        <v>2258</v>
      </c>
      <c r="I1210" t="s">
        <v>2260</v>
      </c>
      <c r="J1210" t="s">
        <v>2265</v>
      </c>
      <c r="K1210">
        <v>1</v>
      </c>
      <c r="L1210">
        <v>120</v>
      </c>
      <c r="M1210">
        <v>0.05</v>
      </c>
      <c r="N1210">
        <v>120</v>
      </c>
      <c r="O1210">
        <v>114</v>
      </c>
      <c r="Q1210" t="s">
        <v>2272</v>
      </c>
      <c r="R1210" t="s">
        <v>2276</v>
      </c>
      <c r="S1210" t="s">
        <v>2284</v>
      </c>
      <c r="T1210" t="s">
        <v>2288</v>
      </c>
      <c r="U1210">
        <v>1</v>
      </c>
      <c r="V1210">
        <v>329</v>
      </c>
      <c r="W1210">
        <v>15</v>
      </c>
      <c r="X1210">
        <v>70.569999999999993</v>
      </c>
      <c r="Y1210">
        <v>43.43</v>
      </c>
      <c r="Z1210" t="s">
        <v>2293</v>
      </c>
      <c r="AA1210" t="s">
        <v>2298</v>
      </c>
      <c r="AB1210">
        <v>120</v>
      </c>
      <c r="AC1210">
        <v>6</v>
      </c>
      <c r="AD1210">
        <v>114</v>
      </c>
      <c r="AE1210">
        <v>70.569999999999993</v>
      </c>
      <c r="AF1210">
        <v>43.430000000000007</v>
      </c>
      <c r="AG1210">
        <v>2024</v>
      </c>
      <c r="AH1210">
        <v>2</v>
      </c>
      <c r="AI1210" t="s">
        <v>2303</v>
      </c>
      <c r="AJ1210" t="s">
        <v>2313</v>
      </c>
    </row>
    <row r="1211" spans="1:36" x14ac:dyDescent="0.3">
      <c r="A1211" t="s">
        <v>1245</v>
      </c>
      <c r="B1211" s="2">
        <v>45391</v>
      </c>
      <c r="C1211" t="s">
        <v>1671</v>
      </c>
      <c r="D1211" t="s">
        <v>1817</v>
      </c>
      <c r="E1211" t="s">
        <v>2029</v>
      </c>
      <c r="F1211" t="s">
        <v>2240</v>
      </c>
      <c r="G1211" t="s">
        <v>2244</v>
      </c>
      <c r="H1211" t="s">
        <v>2257</v>
      </c>
      <c r="I1211" t="s">
        <v>2262</v>
      </c>
      <c r="J1211" t="s">
        <v>2266</v>
      </c>
      <c r="K1211">
        <v>1</v>
      </c>
      <c r="L1211">
        <v>120</v>
      </c>
      <c r="M1211">
        <v>0.1</v>
      </c>
      <c r="N1211">
        <v>120</v>
      </c>
      <c r="O1211">
        <v>108</v>
      </c>
      <c r="P1211" t="s">
        <v>2269</v>
      </c>
      <c r="Q1211" t="s">
        <v>2270</v>
      </c>
      <c r="R1211" t="s">
        <v>2278</v>
      </c>
      <c r="S1211" t="s">
        <v>2287</v>
      </c>
      <c r="T1211" t="s">
        <v>2289</v>
      </c>
      <c r="U1211">
        <v>2</v>
      </c>
      <c r="V1211">
        <v>267</v>
      </c>
      <c r="X1211">
        <v>64.67</v>
      </c>
      <c r="Y1211">
        <v>43.33</v>
      </c>
      <c r="Z1211" t="s">
        <v>2293</v>
      </c>
      <c r="AA1211" t="s">
        <v>2299</v>
      </c>
      <c r="AB1211">
        <v>120</v>
      </c>
      <c r="AC1211">
        <v>12</v>
      </c>
      <c r="AD1211">
        <v>108</v>
      </c>
      <c r="AE1211">
        <v>64.67</v>
      </c>
      <c r="AF1211">
        <v>43.33</v>
      </c>
      <c r="AG1211">
        <v>2024</v>
      </c>
      <c r="AH1211">
        <v>4</v>
      </c>
      <c r="AI1211" t="s">
        <v>2308</v>
      </c>
      <c r="AJ1211" t="s">
        <v>2313</v>
      </c>
    </row>
    <row r="1212" spans="1:36" x14ac:dyDescent="0.3">
      <c r="A1212" t="s">
        <v>1246</v>
      </c>
      <c r="B1212" s="2">
        <v>45524</v>
      </c>
      <c r="C1212" t="s">
        <v>1668</v>
      </c>
      <c r="D1212" t="s">
        <v>1797</v>
      </c>
      <c r="E1212" t="s">
        <v>2207</v>
      </c>
      <c r="F1212" t="s">
        <v>1761</v>
      </c>
      <c r="G1212" t="s">
        <v>2248</v>
      </c>
      <c r="H1212" t="s">
        <v>2257</v>
      </c>
      <c r="I1212" t="s">
        <v>2262</v>
      </c>
      <c r="J1212" t="s">
        <v>2264</v>
      </c>
      <c r="K1212">
        <v>1</v>
      </c>
      <c r="L1212">
        <v>145</v>
      </c>
      <c r="N1212">
        <v>145</v>
      </c>
      <c r="P1212" t="s">
        <v>2269</v>
      </c>
      <c r="Q1212" t="s">
        <v>2272</v>
      </c>
      <c r="R1212" t="s">
        <v>2273</v>
      </c>
      <c r="S1212" t="s">
        <v>2281</v>
      </c>
      <c r="T1212" t="s">
        <v>2288</v>
      </c>
      <c r="U1212">
        <v>1</v>
      </c>
      <c r="V1212">
        <v>86</v>
      </c>
      <c r="X1212">
        <v>57.86</v>
      </c>
      <c r="Z1212" t="s">
        <v>2291</v>
      </c>
      <c r="AA1212" t="s">
        <v>2299</v>
      </c>
      <c r="AB1212">
        <v>145</v>
      </c>
      <c r="AC1212">
        <v>0</v>
      </c>
      <c r="AD1212">
        <v>145</v>
      </c>
      <c r="AE1212">
        <v>57.86</v>
      </c>
      <c r="AF1212">
        <v>87.14</v>
      </c>
      <c r="AG1212">
        <v>2024</v>
      </c>
      <c r="AH1212">
        <v>8</v>
      </c>
      <c r="AI1212" t="s">
        <v>2301</v>
      </c>
      <c r="AJ1212" t="s">
        <v>2313</v>
      </c>
    </row>
    <row r="1213" spans="1:36" x14ac:dyDescent="0.3">
      <c r="A1213" t="s">
        <v>1247</v>
      </c>
      <c r="B1213" s="2">
        <v>45554</v>
      </c>
      <c r="C1213" t="s">
        <v>1705</v>
      </c>
      <c r="D1213" t="s">
        <v>1870</v>
      </c>
      <c r="E1213" t="s">
        <v>2223</v>
      </c>
      <c r="F1213" t="s">
        <v>2239</v>
      </c>
      <c r="G1213" t="s">
        <v>2243</v>
      </c>
      <c r="H1213" t="s">
        <v>2258</v>
      </c>
      <c r="I1213" t="s">
        <v>2260</v>
      </c>
      <c r="J1213" t="s">
        <v>2265</v>
      </c>
      <c r="K1213">
        <v>1</v>
      </c>
      <c r="L1213">
        <v>75</v>
      </c>
      <c r="M1213">
        <v>0.05</v>
      </c>
      <c r="N1213">
        <v>75</v>
      </c>
      <c r="O1213">
        <v>71.25</v>
      </c>
      <c r="P1213" t="s">
        <v>2267</v>
      </c>
      <c r="Q1213" t="s">
        <v>2272</v>
      </c>
      <c r="R1213" t="s">
        <v>2279</v>
      </c>
      <c r="S1213" t="s">
        <v>2286</v>
      </c>
      <c r="T1213" t="s">
        <v>2288</v>
      </c>
      <c r="U1213">
        <v>3</v>
      </c>
      <c r="W1213">
        <v>38</v>
      </c>
      <c r="X1213">
        <v>31.7</v>
      </c>
      <c r="Y1213">
        <v>39.549999999999997</v>
      </c>
      <c r="Z1213" t="s">
        <v>2291</v>
      </c>
      <c r="AA1213" t="s">
        <v>1761</v>
      </c>
      <c r="AB1213">
        <v>75</v>
      </c>
      <c r="AC1213">
        <v>3.75</v>
      </c>
      <c r="AD1213">
        <v>71.25</v>
      </c>
      <c r="AE1213">
        <v>31.7</v>
      </c>
      <c r="AF1213">
        <v>39.549999999999997</v>
      </c>
      <c r="AG1213">
        <v>2024</v>
      </c>
      <c r="AH1213">
        <v>9</v>
      </c>
      <c r="AI1213" t="s">
        <v>2300</v>
      </c>
      <c r="AJ1213" t="s">
        <v>2316</v>
      </c>
    </row>
    <row r="1214" spans="1:36" x14ac:dyDescent="0.3">
      <c r="A1214" t="s">
        <v>1248</v>
      </c>
      <c r="B1214" s="2">
        <v>45476</v>
      </c>
      <c r="C1214" t="s">
        <v>1669</v>
      </c>
      <c r="D1214" t="s">
        <v>1761</v>
      </c>
      <c r="E1214" t="s">
        <v>2029</v>
      </c>
      <c r="F1214" t="s">
        <v>1761</v>
      </c>
      <c r="G1214" t="s">
        <v>2255</v>
      </c>
      <c r="H1214" t="s">
        <v>2260</v>
      </c>
      <c r="I1214" t="s">
        <v>2260</v>
      </c>
      <c r="J1214" t="s">
        <v>2264</v>
      </c>
      <c r="K1214">
        <v>4</v>
      </c>
      <c r="L1214">
        <v>180</v>
      </c>
      <c r="M1214">
        <v>0.1</v>
      </c>
      <c r="N1214">
        <v>720</v>
      </c>
      <c r="O1214">
        <v>648</v>
      </c>
      <c r="P1214" t="s">
        <v>2268</v>
      </c>
      <c r="Q1214" t="s">
        <v>2270</v>
      </c>
      <c r="R1214" t="s">
        <v>2279</v>
      </c>
      <c r="S1214" t="s">
        <v>2285</v>
      </c>
      <c r="T1214" t="s">
        <v>2288</v>
      </c>
      <c r="U1214">
        <v>2</v>
      </c>
      <c r="V1214">
        <v>480</v>
      </c>
      <c r="W1214">
        <v>21</v>
      </c>
      <c r="X1214">
        <v>84.94</v>
      </c>
      <c r="Y1214">
        <v>308.24</v>
      </c>
      <c r="Z1214" t="s">
        <v>2291</v>
      </c>
      <c r="AA1214" t="s">
        <v>2296</v>
      </c>
      <c r="AB1214">
        <v>720</v>
      </c>
      <c r="AC1214">
        <v>72</v>
      </c>
      <c r="AD1214">
        <v>648</v>
      </c>
      <c r="AE1214">
        <v>339.76</v>
      </c>
      <c r="AF1214">
        <v>308.24</v>
      </c>
      <c r="AG1214">
        <v>2024</v>
      </c>
      <c r="AH1214">
        <v>7</v>
      </c>
      <c r="AI1214" t="s">
        <v>2307</v>
      </c>
      <c r="AJ1214" t="s">
        <v>2312</v>
      </c>
    </row>
    <row r="1215" spans="1:36" x14ac:dyDescent="0.3">
      <c r="A1215" t="s">
        <v>1249</v>
      </c>
      <c r="B1215" s="2">
        <v>45323</v>
      </c>
      <c r="C1215" t="s">
        <v>1694</v>
      </c>
      <c r="D1215" t="s">
        <v>1885</v>
      </c>
      <c r="E1215" t="s">
        <v>2138</v>
      </c>
      <c r="F1215" t="s">
        <v>2239</v>
      </c>
      <c r="G1215" t="s">
        <v>2248</v>
      </c>
      <c r="H1215" t="s">
        <v>2257</v>
      </c>
      <c r="I1215" t="s">
        <v>2262</v>
      </c>
      <c r="J1215" t="s">
        <v>2264</v>
      </c>
      <c r="K1215">
        <v>2</v>
      </c>
      <c r="L1215">
        <v>145</v>
      </c>
      <c r="M1215">
        <v>0.15</v>
      </c>
      <c r="N1215">
        <v>290</v>
      </c>
      <c r="O1215">
        <v>246.5</v>
      </c>
      <c r="P1215" t="s">
        <v>2267</v>
      </c>
      <c r="Q1215" t="s">
        <v>2270</v>
      </c>
      <c r="R1215" t="s">
        <v>2274</v>
      </c>
      <c r="S1215" t="s">
        <v>2281</v>
      </c>
      <c r="T1215" t="s">
        <v>2290</v>
      </c>
      <c r="U1215">
        <v>5</v>
      </c>
      <c r="V1215">
        <v>236</v>
      </c>
      <c r="W1215">
        <v>51</v>
      </c>
      <c r="X1215">
        <v>83.77</v>
      </c>
      <c r="Y1215">
        <v>78.959999999999994</v>
      </c>
      <c r="Z1215" t="s">
        <v>1761</v>
      </c>
      <c r="AA1215" t="s">
        <v>2296</v>
      </c>
      <c r="AB1215">
        <v>290</v>
      </c>
      <c r="AC1215">
        <v>43.5</v>
      </c>
      <c r="AD1215">
        <v>246.5</v>
      </c>
      <c r="AE1215">
        <v>167.54</v>
      </c>
      <c r="AF1215">
        <v>78.960000000000008</v>
      </c>
      <c r="AG1215">
        <v>2024</v>
      </c>
      <c r="AH1215">
        <v>2</v>
      </c>
      <c r="AI1215" t="s">
        <v>2303</v>
      </c>
      <c r="AJ1215" t="s">
        <v>2316</v>
      </c>
    </row>
    <row r="1216" spans="1:36" x14ac:dyDescent="0.3">
      <c r="A1216" t="s">
        <v>1250</v>
      </c>
      <c r="B1216" s="2">
        <v>45503</v>
      </c>
      <c r="C1216" t="s">
        <v>1651</v>
      </c>
      <c r="D1216" t="s">
        <v>1915</v>
      </c>
      <c r="E1216" t="s">
        <v>2111</v>
      </c>
      <c r="F1216" t="s">
        <v>1761</v>
      </c>
      <c r="G1216" t="s">
        <v>2256</v>
      </c>
      <c r="H1216" t="s">
        <v>2261</v>
      </c>
      <c r="I1216" t="s">
        <v>2260</v>
      </c>
      <c r="J1216" t="s">
        <v>2264</v>
      </c>
      <c r="K1216">
        <v>1</v>
      </c>
      <c r="L1216">
        <v>185</v>
      </c>
      <c r="M1216">
        <v>0</v>
      </c>
      <c r="N1216">
        <v>185</v>
      </c>
      <c r="O1216">
        <v>185</v>
      </c>
      <c r="P1216" t="s">
        <v>2267</v>
      </c>
      <c r="R1216" t="s">
        <v>2279</v>
      </c>
      <c r="S1216" t="s">
        <v>2281</v>
      </c>
      <c r="T1216" t="s">
        <v>2288</v>
      </c>
      <c r="U1216">
        <v>3</v>
      </c>
      <c r="V1216">
        <v>404</v>
      </c>
      <c r="W1216">
        <v>33</v>
      </c>
      <c r="X1216">
        <v>93.15</v>
      </c>
      <c r="Y1216">
        <v>91.85</v>
      </c>
      <c r="Z1216" t="s">
        <v>2293</v>
      </c>
      <c r="AA1216" t="s">
        <v>2296</v>
      </c>
      <c r="AB1216">
        <v>185</v>
      </c>
      <c r="AC1216">
        <v>0</v>
      </c>
      <c r="AD1216">
        <v>185</v>
      </c>
      <c r="AE1216">
        <v>93.15</v>
      </c>
      <c r="AF1216">
        <v>91.85</v>
      </c>
      <c r="AG1216">
        <v>2024</v>
      </c>
      <c r="AH1216">
        <v>7</v>
      </c>
      <c r="AI1216" t="s">
        <v>2307</v>
      </c>
      <c r="AJ1216" t="s">
        <v>2313</v>
      </c>
    </row>
    <row r="1217" spans="1:36" x14ac:dyDescent="0.3">
      <c r="A1217" t="s">
        <v>1251</v>
      </c>
      <c r="B1217" s="2">
        <v>45562</v>
      </c>
      <c r="C1217" t="s">
        <v>1728</v>
      </c>
      <c r="D1217" t="s">
        <v>1785</v>
      </c>
      <c r="E1217" t="s">
        <v>2221</v>
      </c>
      <c r="F1217" t="s">
        <v>2239</v>
      </c>
      <c r="G1217" t="s">
        <v>2241</v>
      </c>
      <c r="H1217" t="s">
        <v>2257</v>
      </c>
      <c r="I1217" t="s">
        <v>2262</v>
      </c>
      <c r="J1217" t="s">
        <v>2266</v>
      </c>
      <c r="K1217">
        <v>4</v>
      </c>
      <c r="L1217">
        <v>135</v>
      </c>
      <c r="M1217">
        <v>0.05</v>
      </c>
      <c r="N1217">
        <v>540</v>
      </c>
      <c r="O1217">
        <v>513</v>
      </c>
      <c r="P1217" t="s">
        <v>2269</v>
      </c>
      <c r="Q1217" t="s">
        <v>2272</v>
      </c>
      <c r="R1217" t="s">
        <v>2276</v>
      </c>
      <c r="S1217" t="s">
        <v>2281</v>
      </c>
      <c r="T1217" t="s">
        <v>2288</v>
      </c>
      <c r="U1217">
        <v>3</v>
      </c>
      <c r="V1217">
        <v>406</v>
      </c>
      <c r="X1217">
        <v>67.319999999999993</v>
      </c>
      <c r="Y1217">
        <v>243.72</v>
      </c>
      <c r="Z1217" t="s">
        <v>2293</v>
      </c>
      <c r="AA1217" t="s">
        <v>2296</v>
      </c>
      <c r="AB1217">
        <v>540</v>
      </c>
      <c r="AC1217">
        <v>27</v>
      </c>
      <c r="AD1217">
        <v>513</v>
      </c>
      <c r="AE1217">
        <v>269.27999999999997</v>
      </c>
      <c r="AF1217">
        <v>243.72</v>
      </c>
      <c r="AG1217">
        <v>2024</v>
      </c>
      <c r="AH1217">
        <v>9</v>
      </c>
      <c r="AI1217" t="s">
        <v>2300</v>
      </c>
      <c r="AJ1217" t="s">
        <v>2315</v>
      </c>
    </row>
    <row r="1218" spans="1:36" x14ac:dyDescent="0.3">
      <c r="A1218" t="s">
        <v>1252</v>
      </c>
      <c r="B1218" s="2">
        <v>45379</v>
      </c>
      <c r="C1218" t="s">
        <v>1659</v>
      </c>
      <c r="D1218" t="s">
        <v>1844</v>
      </c>
      <c r="E1218" t="s">
        <v>1975</v>
      </c>
      <c r="F1218" t="s">
        <v>1761</v>
      </c>
      <c r="G1218" t="s">
        <v>2241</v>
      </c>
      <c r="H1218" t="s">
        <v>2257</v>
      </c>
      <c r="I1218" t="s">
        <v>2262</v>
      </c>
      <c r="K1218">
        <v>3</v>
      </c>
      <c r="L1218">
        <v>140</v>
      </c>
      <c r="N1218">
        <v>420</v>
      </c>
      <c r="P1218" t="s">
        <v>2268</v>
      </c>
      <c r="Q1218" t="s">
        <v>2271</v>
      </c>
      <c r="R1218" t="s">
        <v>2273</v>
      </c>
      <c r="S1218" t="s">
        <v>2283</v>
      </c>
      <c r="T1218" t="s">
        <v>2289</v>
      </c>
      <c r="U1218">
        <v>5</v>
      </c>
      <c r="V1218">
        <v>415</v>
      </c>
      <c r="W1218">
        <v>14</v>
      </c>
      <c r="X1218">
        <v>64.83</v>
      </c>
      <c r="Z1218" t="s">
        <v>2291</v>
      </c>
      <c r="AA1218" t="s">
        <v>2296</v>
      </c>
      <c r="AB1218">
        <v>420</v>
      </c>
      <c r="AC1218">
        <v>0</v>
      </c>
      <c r="AD1218">
        <v>420</v>
      </c>
      <c r="AE1218">
        <v>194.49</v>
      </c>
      <c r="AF1218">
        <v>225.51</v>
      </c>
      <c r="AG1218">
        <v>2024</v>
      </c>
      <c r="AH1218">
        <v>3</v>
      </c>
      <c r="AI1218" t="s">
        <v>2305</v>
      </c>
      <c r="AJ1218" t="s">
        <v>2316</v>
      </c>
    </row>
    <row r="1219" spans="1:36" x14ac:dyDescent="0.3">
      <c r="A1219" t="s">
        <v>1253</v>
      </c>
      <c r="B1219" s="2">
        <v>45524</v>
      </c>
      <c r="C1219" t="s">
        <v>1656</v>
      </c>
      <c r="D1219" t="s">
        <v>1880</v>
      </c>
      <c r="E1219" t="s">
        <v>1948</v>
      </c>
      <c r="F1219" t="s">
        <v>2239</v>
      </c>
      <c r="G1219" t="s">
        <v>2246</v>
      </c>
      <c r="H1219" t="s">
        <v>2259</v>
      </c>
      <c r="I1219" t="s">
        <v>2262</v>
      </c>
      <c r="J1219" t="s">
        <v>2264</v>
      </c>
      <c r="L1219">
        <v>90</v>
      </c>
      <c r="M1219">
        <v>0.05</v>
      </c>
      <c r="N1219">
        <v>90</v>
      </c>
      <c r="O1219">
        <v>85.5</v>
      </c>
      <c r="P1219" t="s">
        <v>2269</v>
      </c>
      <c r="Q1219" t="s">
        <v>2270</v>
      </c>
      <c r="R1219" t="s">
        <v>2279</v>
      </c>
      <c r="S1219" t="s">
        <v>2281</v>
      </c>
      <c r="T1219" t="s">
        <v>2289</v>
      </c>
      <c r="U1219">
        <v>3</v>
      </c>
      <c r="V1219">
        <v>392</v>
      </c>
      <c r="X1219">
        <v>44.3</v>
      </c>
      <c r="Y1219">
        <v>41.2</v>
      </c>
      <c r="Z1219" t="s">
        <v>2291</v>
      </c>
      <c r="AA1219" t="s">
        <v>2296</v>
      </c>
      <c r="AG1219">
        <v>2024</v>
      </c>
      <c r="AH1219">
        <v>8</v>
      </c>
      <c r="AI1219" t="s">
        <v>2301</v>
      </c>
      <c r="AJ1219" t="s">
        <v>2313</v>
      </c>
    </row>
    <row r="1220" spans="1:36" x14ac:dyDescent="0.3">
      <c r="A1220" t="s">
        <v>1254</v>
      </c>
      <c r="B1220" s="2">
        <v>45641</v>
      </c>
      <c r="C1220" t="s">
        <v>1685</v>
      </c>
      <c r="D1220" t="s">
        <v>1831</v>
      </c>
      <c r="E1220" t="s">
        <v>2077</v>
      </c>
      <c r="F1220" t="s">
        <v>2240</v>
      </c>
      <c r="G1220" t="s">
        <v>2249</v>
      </c>
      <c r="H1220" t="s">
        <v>2257</v>
      </c>
      <c r="I1220" t="s">
        <v>2263</v>
      </c>
      <c r="J1220" t="s">
        <v>2266</v>
      </c>
      <c r="K1220">
        <v>3</v>
      </c>
      <c r="L1220">
        <v>155</v>
      </c>
      <c r="M1220">
        <v>0</v>
      </c>
      <c r="N1220">
        <v>465</v>
      </c>
      <c r="O1220">
        <v>465</v>
      </c>
      <c r="P1220" t="s">
        <v>2268</v>
      </c>
      <c r="Q1220" t="s">
        <v>2272</v>
      </c>
      <c r="R1220" t="s">
        <v>2274</v>
      </c>
      <c r="S1220" t="s">
        <v>2281</v>
      </c>
      <c r="T1220" t="s">
        <v>2288</v>
      </c>
      <c r="V1220">
        <v>366</v>
      </c>
      <c r="W1220">
        <v>31</v>
      </c>
      <c r="X1220">
        <v>59.14</v>
      </c>
      <c r="Y1220">
        <v>287.58</v>
      </c>
      <c r="Z1220" t="s">
        <v>2291</v>
      </c>
      <c r="AA1220" t="s">
        <v>2296</v>
      </c>
      <c r="AB1220">
        <v>465</v>
      </c>
      <c r="AC1220">
        <v>0</v>
      </c>
      <c r="AD1220">
        <v>465</v>
      </c>
      <c r="AE1220">
        <v>177.42</v>
      </c>
      <c r="AF1220">
        <v>287.58</v>
      </c>
      <c r="AG1220">
        <v>2024</v>
      </c>
      <c r="AH1220">
        <v>12</v>
      </c>
      <c r="AI1220" t="s">
        <v>2309</v>
      </c>
      <c r="AJ1220" t="s">
        <v>2318</v>
      </c>
    </row>
    <row r="1221" spans="1:36" x14ac:dyDescent="0.3">
      <c r="A1221" t="s">
        <v>1255</v>
      </c>
      <c r="B1221" s="2">
        <v>45578</v>
      </c>
      <c r="C1221" t="s">
        <v>1703</v>
      </c>
      <c r="D1221" t="s">
        <v>1898</v>
      </c>
      <c r="E1221" t="s">
        <v>2178</v>
      </c>
      <c r="F1221" t="s">
        <v>2239</v>
      </c>
      <c r="G1221" t="s">
        <v>2249</v>
      </c>
      <c r="H1221" t="s">
        <v>2257</v>
      </c>
      <c r="I1221" t="s">
        <v>2263</v>
      </c>
      <c r="J1221" t="s">
        <v>2264</v>
      </c>
      <c r="K1221">
        <v>1</v>
      </c>
      <c r="L1221">
        <v>170</v>
      </c>
      <c r="M1221">
        <v>0</v>
      </c>
      <c r="N1221">
        <v>170</v>
      </c>
      <c r="O1221">
        <v>170</v>
      </c>
      <c r="P1221" t="s">
        <v>2269</v>
      </c>
      <c r="Q1221" t="s">
        <v>2272</v>
      </c>
      <c r="R1221" t="s">
        <v>2273</v>
      </c>
      <c r="S1221" t="s">
        <v>2284</v>
      </c>
      <c r="T1221" t="s">
        <v>2288</v>
      </c>
      <c r="U1221">
        <v>5</v>
      </c>
      <c r="V1221">
        <v>221</v>
      </c>
      <c r="W1221">
        <v>55</v>
      </c>
      <c r="X1221">
        <v>79.75</v>
      </c>
      <c r="Y1221">
        <v>90.25</v>
      </c>
      <c r="Z1221" t="s">
        <v>2293</v>
      </c>
      <c r="AA1221" t="s">
        <v>2296</v>
      </c>
      <c r="AB1221">
        <v>170</v>
      </c>
      <c r="AC1221">
        <v>0</v>
      </c>
      <c r="AD1221">
        <v>170</v>
      </c>
      <c r="AE1221">
        <v>79.75</v>
      </c>
      <c r="AF1221">
        <v>90.25</v>
      </c>
      <c r="AG1221">
        <v>2024</v>
      </c>
      <c r="AH1221">
        <v>10</v>
      </c>
      <c r="AI1221" t="s">
        <v>2310</v>
      </c>
      <c r="AJ1221" t="s">
        <v>2318</v>
      </c>
    </row>
    <row r="1222" spans="1:36" x14ac:dyDescent="0.3">
      <c r="A1222" t="s">
        <v>1256</v>
      </c>
      <c r="B1222" s="2">
        <v>45386</v>
      </c>
      <c r="C1222" t="s">
        <v>1654</v>
      </c>
      <c r="D1222" t="s">
        <v>1854</v>
      </c>
      <c r="E1222" t="s">
        <v>2123</v>
      </c>
      <c r="F1222" t="s">
        <v>2240</v>
      </c>
      <c r="G1222" t="s">
        <v>2245</v>
      </c>
      <c r="H1222" t="s">
        <v>2257</v>
      </c>
      <c r="I1222" t="s">
        <v>2263</v>
      </c>
      <c r="J1222" t="s">
        <v>2266</v>
      </c>
      <c r="K1222">
        <v>1</v>
      </c>
      <c r="L1222">
        <v>155</v>
      </c>
      <c r="M1222">
        <v>0.05</v>
      </c>
      <c r="N1222">
        <v>155</v>
      </c>
      <c r="O1222">
        <v>147.25</v>
      </c>
      <c r="P1222" t="s">
        <v>2269</v>
      </c>
      <c r="Q1222" t="s">
        <v>2270</v>
      </c>
      <c r="R1222" t="s">
        <v>2278</v>
      </c>
      <c r="S1222" t="s">
        <v>2281</v>
      </c>
      <c r="T1222" t="s">
        <v>2288</v>
      </c>
      <c r="U1222">
        <v>5</v>
      </c>
      <c r="V1222">
        <v>139</v>
      </c>
      <c r="W1222">
        <v>30</v>
      </c>
      <c r="X1222">
        <v>52.63</v>
      </c>
      <c r="Y1222">
        <v>94.62</v>
      </c>
      <c r="Z1222" t="s">
        <v>2292</v>
      </c>
      <c r="AA1222" t="s">
        <v>2296</v>
      </c>
      <c r="AB1222">
        <v>155</v>
      </c>
      <c r="AC1222">
        <v>7.75</v>
      </c>
      <c r="AD1222">
        <v>147.25</v>
      </c>
      <c r="AE1222">
        <v>52.63</v>
      </c>
      <c r="AF1222">
        <v>94.62</v>
      </c>
      <c r="AG1222">
        <v>2024</v>
      </c>
      <c r="AH1222">
        <v>4</v>
      </c>
      <c r="AI1222" t="s">
        <v>2308</v>
      </c>
      <c r="AJ1222" t="s">
        <v>2316</v>
      </c>
    </row>
    <row r="1223" spans="1:36" x14ac:dyDescent="0.3">
      <c r="A1223" t="s">
        <v>1257</v>
      </c>
      <c r="B1223" s="2">
        <v>45573</v>
      </c>
      <c r="C1223" t="s">
        <v>1687</v>
      </c>
      <c r="D1223" t="s">
        <v>1841</v>
      </c>
      <c r="E1223" t="s">
        <v>2024</v>
      </c>
      <c r="F1223" t="s">
        <v>2239</v>
      </c>
      <c r="G1223" t="s">
        <v>2241</v>
      </c>
      <c r="H1223" t="s">
        <v>2257</v>
      </c>
      <c r="I1223" t="s">
        <v>2262</v>
      </c>
      <c r="J1223" t="s">
        <v>2266</v>
      </c>
      <c r="K1223">
        <v>1</v>
      </c>
      <c r="L1223">
        <v>125</v>
      </c>
      <c r="M1223">
        <v>0.15</v>
      </c>
      <c r="N1223">
        <v>125</v>
      </c>
      <c r="O1223">
        <v>106.25</v>
      </c>
      <c r="P1223" t="s">
        <v>2267</v>
      </c>
      <c r="R1223" t="s">
        <v>2279</v>
      </c>
      <c r="S1223" t="s">
        <v>2285</v>
      </c>
      <c r="T1223" t="s">
        <v>2288</v>
      </c>
      <c r="U1223">
        <v>3</v>
      </c>
      <c r="W1223">
        <v>32</v>
      </c>
      <c r="X1223">
        <v>58.63</v>
      </c>
      <c r="Y1223">
        <v>47.62</v>
      </c>
      <c r="Z1223" t="s">
        <v>2293</v>
      </c>
      <c r="AA1223" t="s">
        <v>2298</v>
      </c>
      <c r="AB1223">
        <v>125</v>
      </c>
      <c r="AC1223">
        <v>18.75</v>
      </c>
      <c r="AD1223">
        <v>106.25</v>
      </c>
      <c r="AE1223">
        <v>58.63</v>
      </c>
      <c r="AF1223">
        <v>47.62</v>
      </c>
      <c r="AG1223">
        <v>2024</v>
      </c>
      <c r="AH1223">
        <v>10</v>
      </c>
      <c r="AI1223" t="s">
        <v>2310</v>
      </c>
      <c r="AJ1223" t="s">
        <v>2313</v>
      </c>
    </row>
    <row r="1224" spans="1:36" x14ac:dyDescent="0.3">
      <c r="A1224" t="s">
        <v>1258</v>
      </c>
      <c r="B1224" s="2">
        <v>45366</v>
      </c>
      <c r="C1224" t="s">
        <v>1721</v>
      </c>
      <c r="D1224" t="s">
        <v>1848</v>
      </c>
      <c r="E1224" t="s">
        <v>2020</v>
      </c>
      <c r="F1224" t="s">
        <v>2239</v>
      </c>
      <c r="G1224" t="s">
        <v>2256</v>
      </c>
      <c r="H1224" t="s">
        <v>2261</v>
      </c>
      <c r="I1224" t="s">
        <v>2260</v>
      </c>
      <c r="J1224" t="s">
        <v>2266</v>
      </c>
      <c r="K1224">
        <v>1</v>
      </c>
      <c r="L1224">
        <v>190</v>
      </c>
      <c r="M1224">
        <v>0.1</v>
      </c>
      <c r="N1224">
        <v>190</v>
      </c>
      <c r="O1224">
        <v>171</v>
      </c>
      <c r="P1224" t="s">
        <v>2269</v>
      </c>
      <c r="Q1224" t="s">
        <v>2272</v>
      </c>
      <c r="R1224" t="s">
        <v>2278</v>
      </c>
      <c r="S1224" t="s">
        <v>2286</v>
      </c>
      <c r="T1224" t="s">
        <v>2288</v>
      </c>
      <c r="U1224">
        <v>3</v>
      </c>
      <c r="X1224">
        <v>103.69</v>
      </c>
      <c r="Y1224">
        <v>67.31</v>
      </c>
      <c r="Z1224" t="s">
        <v>2292</v>
      </c>
      <c r="AA1224" t="s">
        <v>2297</v>
      </c>
      <c r="AB1224">
        <v>190</v>
      </c>
      <c r="AC1224">
        <v>19</v>
      </c>
      <c r="AD1224">
        <v>171</v>
      </c>
      <c r="AE1224">
        <v>103.69</v>
      </c>
      <c r="AF1224">
        <v>67.31</v>
      </c>
      <c r="AG1224">
        <v>2024</v>
      </c>
      <c r="AH1224">
        <v>3</v>
      </c>
      <c r="AI1224" t="s">
        <v>2305</v>
      </c>
      <c r="AJ1224" t="s">
        <v>2315</v>
      </c>
    </row>
    <row r="1225" spans="1:36" x14ac:dyDescent="0.3">
      <c r="A1225" t="s">
        <v>1259</v>
      </c>
      <c r="B1225" s="2">
        <v>45473</v>
      </c>
      <c r="C1225" t="s">
        <v>1677</v>
      </c>
      <c r="D1225" t="s">
        <v>1907</v>
      </c>
      <c r="E1225" t="s">
        <v>2122</v>
      </c>
      <c r="F1225" t="s">
        <v>2239</v>
      </c>
      <c r="G1225" t="s">
        <v>2249</v>
      </c>
      <c r="H1225" t="s">
        <v>2257</v>
      </c>
      <c r="I1225" t="s">
        <v>2263</v>
      </c>
      <c r="J1225" t="s">
        <v>2266</v>
      </c>
      <c r="K1225">
        <v>2</v>
      </c>
      <c r="L1225">
        <v>155</v>
      </c>
      <c r="M1225">
        <v>0.05</v>
      </c>
      <c r="N1225">
        <v>310</v>
      </c>
      <c r="O1225">
        <v>294.5</v>
      </c>
      <c r="P1225" t="s">
        <v>2268</v>
      </c>
      <c r="Q1225" t="s">
        <v>2271</v>
      </c>
      <c r="R1225" t="s">
        <v>2274</v>
      </c>
      <c r="S1225" t="s">
        <v>2283</v>
      </c>
      <c r="T1225" t="s">
        <v>2289</v>
      </c>
      <c r="V1225">
        <v>330</v>
      </c>
      <c r="W1225">
        <v>15</v>
      </c>
      <c r="X1225">
        <v>83.34</v>
      </c>
      <c r="Y1225">
        <v>127.82</v>
      </c>
      <c r="Z1225" t="s">
        <v>2294</v>
      </c>
      <c r="AA1225" t="s">
        <v>2299</v>
      </c>
      <c r="AB1225">
        <v>310</v>
      </c>
      <c r="AC1225">
        <v>15.5</v>
      </c>
      <c r="AD1225">
        <v>294.5</v>
      </c>
      <c r="AE1225">
        <v>166.68</v>
      </c>
      <c r="AF1225">
        <v>127.82</v>
      </c>
      <c r="AG1225">
        <v>2024</v>
      </c>
      <c r="AH1225">
        <v>6</v>
      </c>
      <c r="AI1225" t="s">
        <v>2304</v>
      </c>
      <c r="AJ1225" t="s">
        <v>2318</v>
      </c>
    </row>
    <row r="1226" spans="1:36" x14ac:dyDescent="0.3">
      <c r="A1226" t="s">
        <v>1260</v>
      </c>
      <c r="B1226" s="2">
        <v>45611</v>
      </c>
      <c r="C1226" t="s">
        <v>1683</v>
      </c>
      <c r="D1226" t="s">
        <v>1878</v>
      </c>
      <c r="E1226" t="s">
        <v>1951</v>
      </c>
      <c r="F1226" t="s">
        <v>2239</v>
      </c>
      <c r="G1226" t="s">
        <v>2252</v>
      </c>
      <c r="H1226" t="s">
        <v>2257</v>
      </c>
      <c r="I1226" t="s">
        <v>2262</v>
      </c>
      <c r="J1226" t="s">
        <v>2264</v>
      </c>
      <c r="K1226">
        <v>2</v>
      </c>
      <c r="L1226">
        <v>90</v>
      </c>
      <c r="M1226">
        <v>0.1</v>
      </c>
      <c r="N1226">
        <v>180</v>
      </c>
      <c r="O1226">
        <v>162</v>
      </c>
      <c r="Q1226" t="s">
        <v>2270</v>
      </c>
      <c r="R1226" t="s">
        <v>2273</v>
      </c>
      <c r="S1226" t="s">
        <v>2283</v>
      </c>
      <c r="T1226" t="s">
        <v>2288</v>
      </c>
      <c r="V1226">
        <v>406</v>
      </c>
      <c r="W1226">
        <v>48</v>
      </c>
      <c r="X1226">
        <v>33.96</v>
      </c>
      <c r="Y1226">
        <v>94.08</v>
      </c>
      <c r="Z1226" t="s">
        <v>1761</v>
      </c>
      <c r="AA1226" t="s">
        <v>2298</v>
      </c>
      <c r="AB1226">
        <v>180</v>
      </c>
      <c r="AC1226">
        <v>18</v>
      </c>
      <c r="AD1226">
        <v>162</v>
      </c>
      <c r="AE1226">
        <v>67.92</v>
      </c>
      <c r="AF1226">
        <v>94.08</v>
      </c>
      <c r="AG1226">
        <v>2024</v>
      </c>
      <c r="AH1226">
        <v>11</v>
      </c>
      <c r="AI1226" t="s">
        <v>2311</v>
      </c>
      <c r="AJ1226" t="s">
        <v>2315</v>
      </c>
    </row>
    <row r="1227" spans="1:36" x14ac:dyDescent="0.3">
      <c r="A1227" t="s">
        <v>1261</v>
      </c>
      <c r="B1227" s="2">
        <v>45326</v>
      </c>
      <c r="C1227" t="s">
        <v>1704</v>
      </c>
      <c r="D1227" t="s">
        <v>1875</v>
      </c>
      <c r="E1227" t="s">
        <v>1957</v>
      </c>
      <c r="F1227" t="s">
        <v>2240</v>
      </c>
      <c r="G1227" t="s">
        <v>2244</v>
      </c>
      <c r="H1227" t="s">
        <v>2257</v>
      </c>
      <c r="I1227" t="s">
        <v>2262</v>
      </c>
      <c r="J1227" t="s">
        <v>2265</v>
      </c>
      <c r="K1227">
        <v>4</v>
      </c>
      <c r="L1227">
        <v>115</v>
      </c>
      <c r="M1227">
        <v>0</v>
      </c>
      <c r="N1227">
        <v>460</v>
      </c>
      <c r="O1227">
        <v>460</v>
      </c>
      <c r="P1227" t="s">
        <v>2267</v>
      </c>
      <c r="Q1227" t="s">
        <v>2271</v>
      </c>
      <c r="R1227" t="s">
        <v>2279</v>
      </c>
      <c r="S1227" t="s">
        <v>2285</v>
      </c>
      <c r="T1227" t="s">
        <v>2288</v>
      </c>
      <c r="U1227">
        <v>4</v>
      </c>
      <c r="V1227">
        <v>229</v>
      </c>
      <c r="W1227">
        <v>36</v>
      </c>
      <c r="X1227">
        <v>68.56</v>
      </c>
      <c r="Y1227">
        <v>185.76</v>
      </c>
      <c r="Z1227" t="s">
        <v>2293</v>
      </c>
      <c r="AA1227" t="s">
        <v>2297</v>
      </c>
      <c r="AB1227">
        <v>460</v>
      </c>
      <c r="AC1227">
        <v>0</v>
      </c>
      <c r="AD1227">
        <v>460</v>
      </c>
      <c r="AE1227">
        <v>274.24</v>
      </c>
      <c r="AF1227">
        <v>185.76</v>
      </c>
      <c r="AG1227">
        <v>2024</v>
      </c>
      <c r="AH1227">
        <v>2</v>
      </c>
      <c r="AI1227" t="s">
        <v>2303</v>
      </c>
      <c r="AJ1227" t="s">
        <v>2318</v>
      </c>
    </row>
    <row r="1228" spans="1:36" x14ac:dyDescent="0.3">
      <c r="A1228" t="s">
        <v>1262</v>
      </c>
      <c r="B1228" s="2">
        <v>45376</v>
      </c>
      <c r="C1228" t="s">
        <v>1658</v>
      </c>
      <c r="D1228" t="s">
        <v>1850</v>
      </c>
      <c r="E1228" t="s">
        <v>2187</v>
      </c>
      <c r="F1228" t="s">
        <v>2239</v>
      </c>
      <c r="G1228" t="s">
        <v>2246</v>
      </c>
      <c r="H1228" t="s">
        <v>2259</v>
      </c>
      <c r="I1228" t="s">
        <v>2262</v>
      </c>
      <c r="J1228" t="s">
        <v>2264</v>
      </c>
      <c r="K1228">
        <v>2</v>
      </c>
      <c r="L1228">
        <v>95</v>
      </c>
      <c r="M1228">
        <v>0.05</v>
      </c>
      <c r="N1228">
        <v>190</v>
      </c>
      <c r="O1228">
        <v>180.5</v>
      </c>
      <c r="P1228" t="s">
        <v>2269</v>
      </c>
      <c r="Q1228" t="s">
        <v>2272</v>
      </c>
      <c r="R1228" t="s">
        <v>2276</v>
      </c>
      <c r="S1228" t="s">
        <v>2280</v>
      </c>
      <c r="T1228" t="s">
        <v>2288</v>
      </c>
      <c r="U1228">
        <v>5</v>
      </c>
      <c r="V1228">
        <v>379</v>
      </c>
      <c r="W1228">
        <v>29</v>
      </c>
      <c r="X1228">
        <v>48.59</v>
      </c>
      <c r="Y1228">
        <v>83.32</v>
      </c>
      <c r="Z1228" t="s">
        <v>2293</v>
      </c>
      <c r="AA1228" t="s">
        <v>2298</v>
      </c>
      <c r="AB1228">
        <v>190</v>
      </c>
      <c r="AC1228">
        <v>9.5</v>
      </c>
      <c r="AD1228">
        <v>180.5</v>
      </c>
      <c r="AE1228">
        <v>97.18</v>
      </c>
      <c r="AF1228">
        <v>83.32</v>
      </c>
      <c r="AG1228">
        <v>2024</v>
      </c>
      <c r="AH1228">
        <v>3</v>
      </c>
      <c r="AI1228" t="s">
        <v>2305</v>
      </c>
      <c r="AJ1228" t="s">
        <v>2314</v>
      </c>
    </row>
    <row r="1229" spans="1:36" x14ac:dyDescent="0.3">
      <c r="A1229" t="s">
        <v>1263</v>
      </c>
      <c r="B1229" s="2">
        <v>45401</v>
      </c>
      <c r="C1229" t="s">
        <v>1719</v>
      </c>
      <c r="D1229" t="s">
        <v>1812</v>
      </c>
      <c r="E1229" t="s">
        <v>2131</v>
      </c>
      <c r="F1229" t="s">
        <v>2238</v>
      </c>
      <c r="G1229" t="s">
        <v>2252</v>
      </c>
      <c r="H1229" t="s">
        <v>2257</v>
      </c>
      <c r="I1229" t="s">
        <v>2262</v>
      </c>
      <c r="J1229" t="s">
        <v>2265</v>
      </c>
      <c r="K1229">
        <v>1</v>
      </c>
      <c r="L1229">
        <v>90</v>
      </c>
      <c r="M1229">
        <v>0.1</v>
      </c>
      <c r="N1229">
        <v>90</v>
      </c>
      <c r="O1229">
        <v>81</v>
      </c>
      <c r="P1229" t="s">
        <v>2267</v>
      </c>
      <c r="Q1229" t="s">
        <v>2270</v>
      </c>
      <c r="R1229" t="s">
        <v>2278</v>
      </c>
      <c r="S1229" t="s">
        <v>2284</v>
      </c>
      <c r="T1229" t="s">
        <v>2289</v>
      </c>
      <c r="U1229">
        <v>3</v>
      </c>
      <c r="V1229">
        <v>267</v>
      </c>
      <c r="W1229">
        <v>33</v>
      </c>
      <c r="X1229">
        <v>46.24</v>
      </c>
      <c r="Y1229">
        <v>34.76</v>
      </c>
      <c r="Z1229" t="s">
        <v>2291</v>
      </c>
      <c r="AA1229" t="s">
        <v>2296</v>
      </c>
      <c r="AB1229">
        <v>90</v>
      </c>
      <c r="AC1229">
        <v>9</v>
      </c>
      <c r="AD1229">
        <v>81</v>
      </c>
      <c r="AE1229">
        <v>46.24</v>
      </c>
      <c r="AF1229">
        <v>34.76</v>
      </c>
      <c r="AG1229">
        <v>2024</v>
      </c>
      <c r="AH1229">
        <v>4</v>
      </c>
      <c r="AI1229" t="s">
        <v>2308</v>
      </c>
      <c r="AJ1229" t="s">
        <v>2315</v>
      </c>
    </row>
    <row r="1230" spans="1:36" x14ac:dyDescent="0.3">
      <c r="A1230" t="s">
        <v>1264</v>
      </c>
      <c r="B1230" s="2">
        <v>45633</v>
      </c>
      <c r="C1230" t="s">
        <v>1722</v>
      </c>
      <c r="D1230" t="s">
        <v>1801</v>
      </c>
      <c r="E1230" t="s">
        <v>2001</v>
      </c>
      <c r="F1230" t="s">
        <v>2239</v>
      </c>
      <c r="G1230" t="s">
        <v>2243</v>
      </c>
      <c r="H1230" t="s">
        <v>2258</v>
      </c>
      <c r="I1230" t="s">
        <v>2260</v>
      </c>
      <c r="K1230">
        <v>1</v>
      </c>
      <c r="L1230">
        <v>70</v>
      </c>
      <c r="M1230">
        <v>0.1</v>
      </c>
      <c r="N1230">
        <v>70</v>
      </c>
      <c r="O1230">
        <v>63</v>
      </c>
      <c r="P1230" t="s">
        <v>2267</v>
      </c>
      <c r="Q1230" t="s">
        <v>2272</v>
      </c>
      <c r="R1230" t="s">
        <v>2277</v>
      </c>
      <c r="S1230" t="s">
        <v>2283</v>
      </c>
      <c r="T1230" t="s">
        <v>2288</v>
      </c>
      <c r="U1230">
        <v>2</v>
      </c>
      <c r="V1230">
        <v>426</v>
      </c>
      <c r="W1230">
        <v>15</v>
      </c>
      <c r="X1230">
        <v>26.57</v>
      </c>
      <c r="Y1230">
        <v>36.43</v>
      </c>
      <c r="Z1230" t="s">
        <v>1761</v>
      </c>
      <c r="AA1230" t="s">
        <v>2298</v>
      </c>
      <c r="AB1230">
        <v>70</v>
      </c>
      <c r="AC1230">
        <v>7</v>
      </c>
      <c r="AD1230">
        <v>63</v>
      </c>
      <c r="AE1230">
        <v>26.57</v>
      </c>
      <c r="AF1230">
        <v>36.43</v>
      </c>
      <c r="AG1230">
        <v>2024</v>
      </c>
      <c r="AH1230">
        <v>12</v>
      </c>
      <c r="AI1230" t="s">
        <v>2309</v>
      </c>
      <c r="AJ1230" t="s">
        <v>2317</v>
      </c>
    </row>
    <row r="1231" spans="1:36" x14ac:dyDescent="0.3">
      <c r="A1231" t="s">
        <v>1265</v>
      </c>
      <c r="B1231" s="2">
        <v>45590</v>
      </c>
      <c r="C1231" t="s">
        <v>1659</v>
      </c>
      <c r="D1231" t="s">
        <v>1780</v>
      </c>
      <c r="E1231" t="s">
        <v>2223</v>
      </c>
      <c r="F1231" t="s">
        <v>2239</v>
      </c>
      <c r="G1231" t="s">
        <v>2251</v>
      </c>
      <c r="H1231" t="s">
        <v>2258</v>
      </c>
      <c r="I1231" t="s">
        <v>2260</v>
      </c>
      <c r="J1231" t="s">
        <v>2266</v>
      </c>
      <c r="K1231">
        <v>3</v>
      </c>
      <c r="L1231">
        <v>110</v>
      </c>
      <c r="M1231">
        <v>0</v>
      </c>
      <c r="N1231">
        <v>330</v>
      </c>
      <c r="O1231">
        <v>330</v>
      </c>
      <c r="P1231" t="s">
        <v>2267</v>
      </c>
      <c r="Q1231" t="s">
        <v>2271</v>
      </c>
      <c r="R1231" t="s">
        <v>2277</v>
      </c>
      <c r="S1231" t="s">
        <v>2284</v>
      </c>
      <c r="T1231" t="s">
        <v>2289</v>
      </c>
      <c r="U1231">
        <v>5</v>
      </c>
      <c r="V1231">
        <v>495</v>
      </c>
      <c r="X1231">
        <v>54.34</v>
      </c>
      <c r="Y1231">
        <v>166.98</v>
      </c>
      <c r="Z1231" t="s">
        <v>2293</v>
      </c>
      <c r="AA1231" t="s">
        <v>2296</v>
      </c>
      <c r="AB1231">
        <v>330</v>
      </c>
      <c r="AC1231">
        <v>0</v>
      </c>
      <c r="AD1231">
        <v>330</v>
      </c>
      <c r="AE1231">
        <v>163.02000000000001</v>
      </c>
      <c r="AF1231">
        <v>166.98</v>
      </c>
      <c r="AG1231">
        <v>2024</v>
      </c>
      <c r="AH1231">
        <v>10</v>
      </c>
      <c r="AI1231" t="s">
        <v>2310</v>
      </c>
      <c r="AJ1231" t="s">
        <v>2315</v>
      </c>
    </row>
    <row r="1232" spans="1:36" x14ac:dyDescent="0.3">
      <c r="A1232" t="s">
        <v>1266</v>
      </c>
      <c r="B1232" s="2">
        <v>45429</v>
      </c>
      <c r="C1232" t="s">
        <v>1732</v>
      </c>
      <c r="D1232" t="s">
        <v>1861</v>
      </c>
      <c r="E1232" t="s">
        <v>2202</v>
      </c>
      <c r="F1232" t="s">
        <v>2240</v>
      </c>
      <c r="G1232" t="s">
        <v>2244</v>
      </c>
      <c r="H1232" t="s">
        <v>2257</v>
      </c>
      <c r="I1232" t="s">
        <v>2262</v>
      </c>
      <c r="J1232" t="s">
        <v>2266</v>
      </c>
      <c r="K1232">
        <v>2</v>
      </c>
      <c r="L1232">
        <v>120</v>
      </c>
      <c r="N1232">
        <v>240</v>
      </c>
      <c r="P1232" t="s">
        <v>2267</v>
      </c>
      <c r="Q1232" t="s">
        <v>2272</v>
      </c>
      <c r="R1232" t="s">
        <v>2274</v>
      </c>
      <c r="S1232" t="s">
        <v>2281</v>
      </c>
      <c r="T1232" t="s">
        <v>2290</v>
      </c>
      <c r="U1232">
        <v>1</v>
      </c>
      <c r="V1232">
        <v>236</v>
      </c>
      <c r="W1232">
        <v>26</v>
      </c>
      <c r="X1232">
        <v>47.14</v>
      </c>
      <c r="Z1232" t="s">
        <v>2291</v>
      </c>
      <c r="AA1232" t="s">
        <v>2299</v>
      </c>
      <c r="AB1232">
        <v>240</v>
      </c>
      <c r="AC1232">
        <v>0</v>
      </c>
      <c r="AD1232">
        <v>240</v>
      </c>
      <c r="AE1232">
        <v>94.28</v>
      </c>
      <c r="AF1232">
        <v>145.72</v>
      </c>
      <c r="AG1232">
        <v>2024</v>
      </c>
      <c r="AH1232">
        <v>5</v>
      </c>
      <c r="AI1232" t="s">
        <v>2306</v>
      </c>
      <c r="AJ1232" t="s">
        <v>2315</v>
      </c>
    </row>
    <row r="1233" spans="1:36" x14ac:dyDescent="0.3">
      <c r="A1233" t="s">
        <v>1267</v>
      </c>
      <c r="B1233" s="2">
        <v>45370</v>
      </c>
      <c r="C1233" t="s">
        <v>1717</v>
      </c>
      <c r="D1233" t="s">
        <v>1862</v>
      </c>
      <c r="E1233" t="s">
        <v>1947</v>
      </c>
      <c r="F1233" t="s">
        <v>2240</v>
      </c>
      <c r="G1233" t="s">
        <v>2243</v>
      </c>
      <c r="H1233" t="s">
        <v>2258</v>
      </c>
      <c r="I1233" t="s">
        <v>2260</v>
      </c>
      <c r="J1233" t="s">
        <v>2264</v>
      </c>
      <c r="K1233">
        <v>2</v>
      </c>
      <c r="L1233">
        <v>75</v>
      </c>
      <c r="N1233">
        <v>150</v>
      </c>
      <c r="P1233" t="s">
        <v>2269</v>
      </c>
      <c r="R1233" t="s">
        <v>2279</v>
      </c>
      <c r="S1233" t="s">
        <v>2284</v>
      </c>
      <c r="T1233" t="s">
        <v>2288</v>
      </c>
      <c r="V1233">
        <v>112</v>
      </c>
      <c r="W1233">
        <v>25</v>
      </c>
      <c r="X1233">
        <v>36.58</v>
      </c>
      <c r="Z1233" t="s">
        <v>1761</v>
      </c>
      <c r="AA1233" t="s">
        <v>2296</v>
      </c>
      <c r="AB1233">
        <v>150</v>
      </c>
      <c r="AC1233">
        <v>0</v>
      </c>
      <c r="AD1233">
        <v>150</v>
      </c>
      <c r="AE1233">
        <v>73.16</v>
      </c>
      <c r="AF1233">
        <v>76.84</v>
      </c>
      <c r="AG1233">
        <v>2024</v>
      </c>
      <c r="AH1233">
        <v>3</v>
      </c>
      <c r="AI1233" t="s">
        <v>2305</v>
      </c>
      <c r="AJ1233" t="s">
        <v>2313</v>
      </c>
    </row>
    <row r="1234" spans="1:36" x14ac:dyDescent="0.3">
      <c r="A1234" t="s">
        <v>1268</v>
      </c>
      <c r="B1234" s="2">
        <v>45539</v>
      </c>
      <c r="C1234" t="s">
        <v>1736</v>
      </c>
      <c r="D1234" t="s">
        <v>1939</v>
      </c>
      <c r="E1234" t="s">
        <v>1761</v>
      </c>
      <c r="F1234" t="s">
        <v>2238</v>
      </c>
      <c r="G1234" t="s">
        <v>2246</v>
      </c>
      <c r="H1234" t="s">
        <v>2259</v>
      </c>
      <c r="I1234" t="s">
        <v>2262</v>
      </c>
      <c r="K1234">
        <v>2</v>
      </c>
      <c r="L1234">
        <v>95</v>
      </c>
      <c r="M1234">
        <v>0.1</v>
      </c>
      <c r="N1234">
        <v>190</v>
      </c>
      <c r="O1234">
        <v>171</v>
      </c>
      <c r="P1234" t="s">
        <v>2269</v>
      </c>
      <c r="Q1234" t="s">
        <v>2270</v>
      </c>
      <c r="R1234" t="s">
        <v>2277</v>
      </c>
      <c r="S1234" t="s">
        <v>2286</v>
      </c>
      <c r="T1234" t="s">
        <v>2288</v>
      </c>
      <c r="U1234">
        <v>2</v>
      </c>
      <c r="V1234">
        <v>143</v>
      </c>
      <c r="W1234">
        <v>20</v>
      </c>
      <c r="X1234">
        <v>40.729999999999997</v>
      </c>
      <c r="Y1234">
        <v>89.54</v>
      </c>
      <c r="Z1234" t="s">
        <v>1761</v>
      </c>
      <c r="AA1234" t="s">
        <v>2298</v>
      </c>
      <c r="AB1234">
        <v>190</v>
      </c>
      <c r="AC1234">
        <v>19</v>
      </c>
      <c r="AD1234">
        <v>171</v>
      </c>
      <c r="AE1234">
        <v>81.459999999999994</v>
      </c>
      <c r="AF1234">
        <v>89.54</v>
      </c>
      <c r="AG1234">
        <v>2024</v>
      </c>
      <c r="AH1234">
        <v>9</v>
      </c>
      <c r="AI1234" t="s">
        <v>2300</v>
      </c>
      <c r="AJ1234" t="s">
        <v>2312</v>
      </c>
    </row>
    <row r="1235" spans="1:36" x14ac:dyDescent="0.3">
      <c r="A1235" t="s">
        <v>1269</v>
      </c>
      <c r="B1235" s="2">
        <v>45578</v>
      </c>
      <c r="C1235" t="s">
        <v>1693</v>
      </c>
      <c r="D1235" t="s">
        <v>1927</v>
      </c>
      <c r="E1235" t="s">
        <v>2160</v>
      </c>
      <c r="F1235" t="s">
        <v>2240</v>
      </c>
      <c r="G1235" t="s">
        <v>2255</v>
      </c>
      <c r="H1235" t="s">
        <v>2260</v>
      </c>
      <c r="I1235" t="s">
        <v>2260</v>
      </c>
      <c r="J1235" t="s">
        <v>2265</v>
      </c>
      <c r="K1235">
        <v>1</v>
      </c>
      <c r="L1235">
        <v>185</v>
      </c>
      <c r="M1235">
        <v>0.15</v>
      </c>
      <c r="N1235">
        <v>185</v>
      </c>
      <c r="O1235">
        <v>157.25</v>
      </c>
      <c r="P1235" t="s">
        <v>2269</v>
      </c>
      <c r="Q1235" t="s">
        <v>2270</v>
      </c>
      <c r="R1235" t="s">
        <v>2279</v>
      </c>
      <c r="S1235" t="s">
        <v>2280</v>
      </c>
      <c r="T1235" t="s">
        <v>2289</v>
      </c>
      <c r="U1235">
        <v>5</v>
      </c>
      <c r="V1235">
        <v>62</v>
      </c>
      <c r="W1235">
        <v>35</v>
      </c>
      <c r="X1235">
        <v>68.25</v>
      </c>
      <c r="Y1235">
        <v>89</v>
      </c>
      <c r="Z1235" t="s">
        <v>2294</v>
      </c>
      <c r="AA1235" t="s">
        <v>2296</v>
      </c>
      <c r="AB1235">
        <v>185</v>
      </c>
      <c r="AC1235">
        <v>27.75</v>
      </c>
      <c r="AD1235">
        <v>157.25</v>
      </c>
      <c r="AE1235">
        <v>68.25</v>
      </c>
      <c r="AF1235">
        <v>89</v>
      </c>
      <c r="AG1235">
        <v>2024</v>
      </c>
      <c r="AH1235">
        <v>10</v>
      </c>
      <c r="AI1235" t="s">
        <v>2310</v>
      </c>
      <c r="AJ1235" t="s">
        <v>2318</v>
      </c>
    </row>
    <row r="1236" spans="1:36" x14ac:dyDescent="0.3">
      <c r="A1236" t="s">
        <v>1270</v>
      </c>
      <c r="B1236" s="2">
        <v>45426</v>
      </c>
      <c r="C1236" t="s">
        <v>1680</v>
      </c>
      <c r="D1236" t="s">
        <v>1870</v>
      </c>
      <c r="E1236" t="s">
        <v>2234</v>
      </c>
      <c r="F1236" t="s">
        <v>2238</v>
      </c>
      <c r="G1236" t="s">
        <v>2246</v>
      </c>
      <c r="H1236" t="s">
        <v>2259</v>
      </c>
      <c r="I1236" t="s">
        <v>2262</v>
      </c>
      <c r="J1236" t="s">
        <v>2266</v>
      </c>
      <c r="K1236">
        <v>1</v>
      </c>
      <c r="L1236">
        <v>95</v>
      </c>
      <c r="M1236">
        <v>0</v>
      </c>
      <c r="N1236">
        <v>95</v>
      </c>
      <c r="O1236">
        <v>95</v>
      </c>
      <c r="Q1236" t="s">
        <v>2270</v>
      </c>
      <c r="R1236" t="s">
        <v>2273</v>
      </c>
      <c r="S1236" t="s">
        <v>2285</v>
      </c>
      <c r="T1236" t="s">
        <v>2288</v>
      </c>
      <c r="U1236">
        <v>2</v>
      </c>
      <c r="V1236">
        <v>433</v>
      </c>
      <c r="W1236">
        <v>43</v>
      </c>
      <c r="X1236">
        <v>39.020000000000003</v>
      </c>
      <c r="Y1236">
        <v>55.98</v>
      </c>
      <c r="Z1236" t="s">
        <v>2294</v>
      </c>
      <c r="AA1236" t="s">
        <v>2296</v>
      </c>
      <c r="AB1236">
        <v>95</v>
      </c>
      <c r="AC1236">
        <v>0</v>
      </c>
      <c r="AD1236">
        <v>95</v>
      </c>
      <c r="AE1236">
        <v>39.020000000000003</v>
      </c>
      <c r="AF1236">
        <v>55.98</v>
      </c>
      <c r="AG1236">
        <v>2024</v>
      </c>
      <c r="AH1236">
        <v>5</v>
      </c>
      <c r="AI1236" t="s">
        <v>2306</v>
      </c>
      <c r="AJ1236" t="s">
        <v>2313</v>
      </c>
    </row>
    <row r="1237" spans="1:36" x14ac:dyDescent="0.3">
      <c r="A1237" t="s">
        <v>1271</v>
      </c>
      <c r="B1237" s="2">
        <v>45365</v>
      </c>
      <c r="C1237" t="s">
        <v>1687</v>
      </c>
      <c r="D1237" t="s">
        <v>1882</v>
      </c>
      <c r="E1237" t="s">
        <v>2068</v>
      </c>
      <c r="F1237" t="s">
        <v>2240</v>
      </c>
      <c r="G1237" t="s">
        <v>2252</v>
      </c>
      <c r="H1237" t="s">
        <v>2257</v>
      </c>
      <c r="I1237" t="s">
        <v>2262</v>
      </c>
      <c r="J1237" t="s">
        <v>2265</v>
      </c>
      <c r="K1237">
        <v>1</v>
      </c>
      <c r="L1237">
        <v>100</v>
      </c>
      <c r="M1237">
        <v>0</v>
      </c>
      <c r="N1237">
        <v>100</v>
      </c>
      <c r="O1237">
        <v>100</v>
      </c>
      <c r="P1237" t="s">
        <v>2267</v>
      </c>
      <c r="R1237" t="s">
        <v>2279</v>
      </c>
      <c r="S1237" t="s">
        <v>2280</v>
      </c>
      <c r="T1237" t="s">
        <v>2289</v>
      </c>
      <c r="U1237">
        <v>4</v>
      </c>
      <c r="V1237">
        <v>185</v>
      </c>
      <c r="X1237">
        <v>35.99</v>
      </c>
      <c r="Y1237">
        <v>64.010000000000005</v>
      </c>
      <c r="Z1237" t="s">
        <v>2292</v>
      </c>
      <c r="AA1237" t="s">
        <v>2299</v>
      </c>
      <c r="AB1237">
        <v>100</v>
      </c>
      <c r="AC1237">
        <v>0</v>
      </c>
      <c r="AD1237">
        <v>100</v>
      </c>
      <c r="AE1237">
        <v>35.99</v>
      </c>
      <c r="AF1237">
        <v>64.009999999999991</v>
      </c>
      <c r="AG1237">
        <v>2024</v>
      </c>
      <c r="AH1237">
        <v>3</v>
      </c>
      <c r="AI1237" t="s">
        <v>2305</v>
      </c>
      <c r="AJ1237" t="s">
        <v>2316</v>
      </c>
    </row>
    <row r="1238" spans="1:36" x14ac:dyDescent="0.3">
      <c r="A1238" t="s">
        <v>1272</v>
      </c>
      <c r="B1238" s="2">
        <v>45459</v>
      </c>
      <c r="C1238" t="s">
        <v>1661</v>
      </c>
      <c r="D1238" t="s">
        <v>1764</v>
      </c>
      <c r="E1238" t="s">
        <v>2104</v>
      </c>
      <c r="F1238" t="s">
        <v>2239</v>
      </c>
      <c r="G1238" t="s">
        <v>2243</v>
      </c>
      <c r="H1238" t="s">
        <v>2258</v>
      </c>
      <c r="I1238" t="s">
        <v>2260</v>
      </c>
      <c r="J1238" t="s">
        <v>2264</v>
      </c>
      <c r="K1238">
        <v>2</v>
      </c>
      <c r="L1238">
        <v>75</v>
      </c>
      <c r="N1238">
        <v>150</v>
      </c>
      <c r="P1238" t="s">
        <v>2267</v>
      </c>
      <c r="Q1238" t="s">
        <v>2270</v>
      </c>
      <c r="R1238" t="s">
        <v>2275</v>
      </c>
      <c r="S1238" t="s">
        <v>2280</v>
      </c>
      <c r="T1238" t="s">
        <v>2288</v>
      </c>
      <c r="U1238">
        <v>1</v>
      </c>
      <c r="V1238">
        <v>119</v>
      </c>
      <c r="X1238">
        <v>39.090000000000003</v>
      </c>
      <c r="Z1238" t="s">
        <v>1761</v>
      </c>
      <c r="AA1238" t="s">
        <v>2296</v>
      </c>
      <c r="AB1238">
        <v>150</v>
      </c>
      <c r="AC1238">
        <v>0</v>
      </c>
      <c r="AD1238">
        <v>150</v>
      </c>
      <c r="AE1238">
        <v>78.180000000000007</v>
      </c>
      <c r="AF1238">
        <v>71.819999999999993</v>
      </c>
      <c r="AG1238">
        <v>2024</v>
      </c>
      <c r="AH1238">
        <v>6</v>
      </c>
      <c r="AI1238" t="s">
        <v>2304</v>
      </c>
      <c r="AJ1238" t="s">
        <v>2318</v>
      </c>
    </row>
    <row r="1239" spans="1:36" x14ac:dyDescent="0.3">
      <c r="A1239" t="s">
        <v>1273</v>
      </c>
      <c r="B1239" s="2">
        <v>45411</v>
      </c>
      <c r="C1239" t="s">
        <v>1668</v>
      </c>
      <c r="D1239" t="s">
        <v>1788</v>
      </c>
      <c r="E1239" t="s">
        <v>2005</v>
      </c>
      <c r="F1239" t="s">
        <v>1761</v>
      </c>
      <c r="G1239" t="s">
        <v>2251</v>
      </c>
      <c r="H1239" t="s">
        <v>2258</v>
      </c>
      <c r="I1239" t="s">
        <v>2260</v>
      </c>
      <c r="J1239" t="s">
        <v>2265</v>
      </c>
      <c r="K1239">
        <v>1</v>
      </c>
      <c r="L1239">
        <v>95</v>
      </c>
      <c r="M1239">
        <v>0</v>
      </c>
      <c r="N1239">
        <v>95</v>
      </c>
      <c r="O1239">
        <v>95</v>
      </c>
      <c r="P1239" t="s">
        <v>2267</v>
      </c>
      <c r="Q1239" t="s">
        <v>2270</v>
      </c>
      <c r="R1239" t="s">
        <v>2276</v>
      </c>
      <c r="S1239" t="s">
        <v>2285</v>
      </c>
      <c r="T1239" t="s">
        <v>2289</v>
      </c>
      <c r="U1239">
        <v>5</v>
      </c>
      <c r="V1239">
        <v>80</v>
      </c>
      <c r="X1239">
        <v>42.58</v>
      </c>
      <c r="Y1239">
        <v>52.42</v>
      </c>
      <c r="Z1239" t="s">
        <v>2291</v>
      </c>
      <c r="AA1239" t="s">
        <v>2296</v>
      </c>
      <c r="AB1239">
        <v>95</v>
      </c>
      <c r="AC1239">
        <v>0</v>
      </c>
      <c r="AD1239">
        <v>95</v>
      </c>
      <c r="AE1239">
        <v>42.58</v>
      </c>
      <c r="AF1239">
        <v>52.42</v>
      </c>
      <c r="AG1239">
        <v>2024</v>
      </c>
      <c r="AH1239">
        <v>4</v>
      </c>
      <c r="AI1239" t="s">
        <v>2308</v>
      </c>
      <c r="AJ1239" t="s">
        <v>2314</v>
      </c>
    </row>
    <row r="1240" spans="1:36" x14ac:dyDescent="0.3">
      <c r="A1240" t="s">
        <v>1274</v>
      </c>
      <c r="B1240" s="2">
        <v>45317</v>
      </c>
      <c r="C1240" t="s">
        <v>1668</v>
      </c>
      <c r="D1240" t="s">
        <v>1820</v>
      </c>
      <c r="E1240" t="s">
        <v>2152</v>
      </c>
      <c r="F1240" t="s">
        <v>2239</v>
      </c>
      <c r="G1240" t="s">
        <v>2247</v>
      </c>
      <c r="H1240" t="s">
        <v>2257</v>
      </c>
      <c r="I1240" t="s">
        <v>2262</v>
      </c>
      <c r="J1240" t="s">
        <v>2264</v>
      </c>
      <c r="K1240">
        <v>3</v>
      </c>
      <c r="L1240">
        <v>110</v>
      </c>
      <c r="M1240">
        <v>0.05</v>
      </c>
      <c r="N1240">
        <v>330</v>
      </c>
      <c r="O1240">
        <v>313.5</v>
      </c>
      <c r="P1240" t="s">
        <v>2268</v>
      </c>
      <c r="Q1240" t="s">
        <v>2270</v>
      </c>
      <c r="R1240" t="s">
        <v>2279</v>
      </c>
      <c r="S1240" t="s">
        <v>2280</v>
      </c>
      <c r="T1240" t="s">
        <v>2289</v>
      </c>
      <c r="U1240">
        <v>5</v>
      </c>
      <c r="V1240">
        <v>488</v>
      </c>
      <c r="X1240">
        <v>55.29</v>
      </c>
      <c r="Y1240">
        <v>147.63</v>
      </c>
      <c r="Z1240" t="s">
        <v>1761</v>
      </c>
      <c r="AA1240" t="s">
        <v>2296</v>
      </c>
      <c r="AB1240">
        <v>330</v>
      </c>
      <c r="AC1240">
        <v>16.5</v>
      </c>
      <c r="AD1240">
        <v>313.5</v>
      </c>
      <c r="AE1240">
        <v>165.87</v>
      </c>
      <c r="AF1240">
        <v>147.63</v>
      </c>
      <c r="AG1240">
        <v>2024</v>
      </c>
      <c r="AH1240">
        <v>1</v>
      </c>
      <c r="AI1240" t="s">
        <v>2302</v>
      </c>
      <c r="AJ1240" t="s">
        <v>2315</v>
      </c>
    </row>
    <row r="1241" spans="1:36" x14ac:dyDescent="0.3">
      <c r="A1241" t="s">
        <v>1275</v>
      </c>
      <c r="B1241" s="2">
        <v>45484</v>
      </c>
      <c r="C1241" t="s">
        <v>1698</v>
      </c>
      <c r="D1241" t="s">
        <v>1767</v>
      </c>
      <c r="E1241" t="s">
        <v>2230</v>
      </c>
      <c r="F1241" t="s">
        <v>2240</v>
      </c>
      <c r="G1241" t="s">
        <v>2255</v>
      </c>
      <c r="H1241" t="s">
        <v>2260</v>
      </c>
      <c r="I1241" t="s">
        <v>2260</v>
      </c>
      <c r="J1241" t="s">
        <v>2265</v>
      </c>
      <c r="K1241">
        <v>3</v>
      </c>
      <c r="L1241">
        <v>185</v>
      </c>
      <c r="M1241">
        <v>0.05</v>
      </c>
      <c r="N1241">
        <v>555</v>
      </c>
      <c r="O1241">
        <v>527.25</v>
      </c>
      <c r="P1241" t="s">
        <v>2269</v>
      </c>
      <c r="Q1241" t="s">
        <v>2271</v>
      </c>
      <c r="R1241" t="s">
        <v>2277</v>
      </c>
      <c r="S1241" t="s">
        <v>2285</v>
      </c>
      <c r="T1241" t="s">
        <v>2289</v>
      </c>
      <c r="U1241">
        <v>4</v>
      </c>
      <c r="W1241">
        <v>55</v>
      </c>
      <c r="X1241">
        <v>101.27</v>
      </c>
      <c r="Y1241">
        <v>223.44</v>
      </c>
      <c r="Z1241" t="s">
        <v>2292</v>
      </c>
      <c r="AA1241" t="s">
        <v>2298</v>
      </c>
      <c r="AB1241">
        <v>555</v>
      </c>
      <c r="AC1241">
        <v>27.75</v>
      </c>
      <c r="AD1241">
        <v>527.25</v>
      </c>
      <c r="AE1241">
        <v>303.81</v>
      </c>
      <c r="AF1241">
        <v>223.44</v>
      </c>
      <c r="AG1241">
        <v>2024</v>
      </c>
      <c r="AH1241">
        <v>7</v>
      </c>
      <c r="AI1241" t="s">
        <v>2307</v>
      </c>
      <c r="AJ1241" t="s">
        <v>2316</v>
      </c>
    </row>
    <row r="1242" spans="1:36" x14ac:dyDescent="0.3">
      <c r="A1242" t="s">
        <v>1276</v>
      </c>
      <c r="B1242" s="2">
        <v>45369</v>
      </c>
      <c r="C1242" t="s">
        <v>1718</v>
      </c>
      <c r="D1242" t="s">
        <v>1841</v>
      </c>
      <c r="E1242" t="s">
        <v>2072</v>
      </c>
      <c r="F1242" t="s">
        <v>2239</v>
      </c>
      <c r="G1242" t="s">
        <v>2242</v>
      </c>
      <c r="H1242" t="s">
        <v>2258</v>
      </c>
      <c r="I1242" t="s">
        <v>2260</v>
      </c>
      <c r="J1242" t="s">
        <v>2266</v>
      </c>
      <c r="K1242">
        <v>1</v>
      </c>
      <c r="L1242">
        <v>120</v>
      </c>
      <c r="M1242">
        <v>0.15</v>
      </c>
      <c r="N1242">
        <v>120</v>
      </c>
      <c r="O1242">
        <v>102</v>
      </c>
      <c r="P1242" t="s">
        <v>2269</v>
      </c>
      <c r="Q1242" t="s">
        <v>2271</v>
      </c>
      <c r="R1242" t="s">
        <v>2279</v>
      </c>
      <c r="S1242" t="s">
        <v>2280</v>
      </c>
      <c r="T1242" t="s">
        <v>2288</v>
      </c>
      <c r="U1242">
        <v>3</v>
      </c>
      <c r="V1242">
        <v>61</v>
      </c>
      <c r="W1242">
        <v>12</v>
      </c>
      <c r="X1242">
        <v>58.44</v>
      </c>
      <c r="Y1242">
        <v>43.56</v>
      </c>
      <c r="Z1242" t="s">
        <v>1761</v>
      </c>
      <c r="AA1242" t="s">
        <v>2297</v>
      </c>
      <c r="AB1242">
        <v>120</v>
      </c>
      <c r="AC1242">
        <v>18</v>
      </c>
      <c r="AD1242">
        <v>102</v>
      </c>
      <c r="AE1242">
        <v>58.44</v>
      </c>
      <c r="AF1242">
        <v>43.56</v>
      </c>
      <c r="AG1242">
        <v>2024</v>
      </c>
      <c r="AH1242">
        <v>3</v>
      </c>
      <c r="AI1242" t="s">
        <v>2305</v>
      </c>
      <c r="AJ1242" t="s">
        <v>2314</v>
      </c>
    </row>
    <row r="1243" spans="1:36" x14ac:dyDescent="0.3">
      <c r="A1243" t="s">
        <v>1277</v>
      </c>
      <c r="B1243" s="2">
        <v>45427</v>
      </c>
      <c r="C1243" t="s">
        <v>1686</v>
      </c>
      <c r="D1243" t="s">
        <v>1826</v>
      </c>
      <c r="E1243" t="s">
        <v>2225</v>
      </c>
      <c r="F1243" t="s">
        <v>2238</v>
      </c>
      <c r="G1243" t="s">
        <v>2251</v>
      </c>
      <c r="H1243" t="s">
        <v>2258</v>
      </c>
      <c r="I1243" t="s">
        <v>2260</v>
      </c>
      <c r="J1243" t="s">
        <v>2265</v>
      </c>
      <c r="K1243">
        <v>1</v>
      </c>
      <c r="L1243">
        <v>110</v>
      </c>
      <c r="M1243">
        <v>0.05</v>
      </c>
      <c r="N1243">
        <v>110</v>
      </c>
      <c r="O1243">
        <v>104.5</v>
      </c>
      <c r="P1243" t="s">
        <v>2267</v>
      </c>
      <c r="Q1243" t="s">
        <v>2272</v>
      </c>
      <c r="R1243" t="s">
        <v>2274</v>
      </c>
      <c r="S1243" t="s">
        <v>2283</v>
      </c>
      <c r="T1243" t="s">
        <v>2288</v>
      </c>
      <c r="U1243">
        <v>5</v>
      </c>
      <c r="V1243">
        <v>83</v>
      </c>
      <c r="W1243">
        <v>38</v>
      </c>
      <c r="X1243">
        <v>52.62</v>
      </c>
      <c r="Y1243">
        <v>51.88</v>
      </c>
      <c r="Z1243" t="s">
        <v>2293</v>
      </c>
      <c r="AA1243" t="s">
        <v>2296</v>
      </c>
      <c r="AB1243">
        <v>110</v>
      </c>
      <c r="AC1243">
        <v>5.5</v>
      </c>
      <c r="AD1243">
        <v>104.5</v>
      </c>
      <c r="AE1243">
        <v>52.62</v>
      </c>
      <c r="AF1243">
        <v>51.88</v>
      </c>
      <c r="AG1243">
        <v>2024</v>
      </c>
      <c r="AH1243">
        <v>5</v>
      </c>
      <c r="AI1243" t="s">
        <v>2306</v>
      </c>
      <c r="AJ1243" t="s">
        <v>2312</v>
      </c>
    </row>
    <row r="1244" spans="1:36" x14ac:dyDescent="0.3">
      <c r="A1244" t="s">
        <v>1278</v>
      </c>
      <c r="B1244" s="2">
        <v>45528</v>
      </c>
      <c r="C1244" t="s">
        <v>1693</v>
      </c>
      <c r="D1244" t="s">
        <v>1875</v>
      </c>
      <c r="E1244" t="s">
        <v>2094</v>
      </c>
      <c r="F1244" t="s">
        <v>1761</v>
      </c>
      <c r="G1244" t="s">
        <v>2245</v>
      </c>
      <c r="H1244" t="s">
        <v>2257</v>
      </c>
      <c r="I1244" t="s">
        <v>2263</v>
      </c>
      <c r="J1244" t="s">
        <v>2265</v>
      </c>
      <c r="K1244">
        <v>1</v>
      </c>
      <c r="L1244">
        <v>150</v>
      </c>
      <c r="N1244">
        <v>150</v>
      </c>
      <c r="P1244" t="s">
        <v>2267</v>
      </c>
      <c r="Q1244" t="s">
        <v>2270</v>
      </c>
      <c r="R1244" t="s">
        <v>2278</v>
      </c>
      <c r="S1244" t="s">
        <v>2285</v>
      </c>
      <c r="T1244" t="s">
        <v>2288</v>
      </c>
      <c r="V1244">
        <v>1</v>
      </c>
      <c r="W1244">
        <v>35</v>
      </c>
      <c r="X1244">
        <v>54.14</v>
      </c>
      <c r="Z1244" t="s">
        <v>2293</v>
      </c>
      <c r="AA1244" t="s">
        <v>2298</v>
      </c>
      <c r="AB1244">
        <v>150</v>
      </c>
      <c r="AC1244">
        <v>0</v>
      </c>
      <c r="AD1244">
        <v>150</v>
      </c>
      <c r="AE1244">
        <v>54.14</v>
      </c>
      <c r="AF1244">
        <v>95.86</v>
      </c>
      <c r="AG1244">
        <v>2024</v>
      </c>
      <c r="AH1244">
        <v>8</v>
      </c>
      <c r="AI1244" t="s">
        <v>2301</v>
      </c>
      <c r="AJ1244" t="s">
        <v>2317</v>
      </c>
    </row>
    <row r="1245" spans="1:36" x14ac:dyDescent="0.3">
      <c r="A1245" t="s">
        <v>1279</v>
      </c>
      <c r="B1245" s="2">
        <v>45605</v>
      </c>
      <c r="C1245" t="s">
        <v>1704</v>
      </c>
      <c r="D1245" t="s">
        <v>1757</v>
      </c>
      <c r="E1245" t="s">
        <v>2074</v>
      </c>
      <c r="F1245" t="s">
        <v>2238</v>
      </c>
      <c r="G1245" t="s">
        <v>2254</v>
      </c>
      <c r="H1245" t="s">
        <v>2259</v>
      </c>
      <c r="I1245" t="s">
        <v>2263</v>
      </c>
      <c r="J1245" t="s">
        <v>2264</v>
      </c>
      <c r="K1245">
        <v>1</v>
      </c>
      <c r="L1245">
        <v>105</v>
      </c>
      <c r="M1245">
        <v>0</v>
      </c>
      <c r="N1245">
        <v>105</v>
      </c>
      <c r="O1245">
        <v>105</v>
      </c>
      <c r="P1245" t="s">
        <v>2268</v>
      </c>
      <c r="Q1245" t="s">
        <v>2271</v>
      </c>
      <c r="R1245" t="s">
        <v>2275</v>
      </c>
      <c r="S1245" t="s">
        <v>2280</v>
      </c>
      <c r="T1245" t="s">
        <v>2288</v>
      </c>
      <c r="U1245">
        <v>5</v>
      </c>
      <c r="V1245">
        <v>273</v>
      </c>
      <c r="W1245">
        <v>51</v>
      </c>
      <c r="X1245">
        <v>60.09</v>
      </c>
      <c r="Y1245">
        <v>44.91</v>
      </c>
      <c r="Z1245" t="s">
        <v>2291</v>
      </c>
      <c r="AA1245" t="s">
        <v>2299</v>
      </c>
      <c r="AB1245">
        <v>105</v>
      </c>
      <c r="AC1245">
        <v>0</v>
      </c>
      <c r="AD1245">
        <v>105</v>
      </c>
      <c r="AE1245">
        <v>60.09</v>
      </c>
      <c r="AF1245">
        <v>44.91</v>
      </c>
      <c r="AG1245">
        <v>2024</v>
      </c>
      <c r="AH1245">
        <v>11</v>
      </c>
      <c r="AI1245" t="s">
        <v>2311</v>
      </c>
      <c r="AJ1245" t="s">
        <v>2317</v>
      </c>
    </row>
    <row r="1246" spans="1:36" x14ac:dyDescent="0.3">
      <c r="A1246" t="s">
        <v>1280</v>
      </c>
      <c r="B1246" s="2">
        <v>45645</v>
      </c>
      <c r="C1246" t="s">
        <v>1652</v>
      </c>
      <c r="D1246" t="s">
        <v>1933</v>
      </c>
      <c r="E1246" t="s">
        <v>1987</v>
      </c>
      <c r="F1246" t="s">
        <v>2240</v>
      </c>
      <c r="G1246" t="s">
        <v>2244</v>
      </c>
      <c r="H1246" t="s">
        <v>2257</v>
      </c>
      <c r="I1246" t="s">
        <v>2262</v>
      </c>
      <c r="J1246" t="s">
        <v>2265</v>
      </c>
      <c r="K1246">
        <v>3</v>
      </c>
      <c r="L1246">
        <v>130</v>
      </c>
      <c r="M1246">
        <v>0.1</v>
      </c>
      <c r="N1246">
        <v>390</v>
      </c>
      <c r="O1246">
        <v>351</v>
      </c>
      <c r="P1246" t="s">
        <v>2269</v>
      </c>
      <c r="Q1246" t="s">
        <v>2272</v>
      </c>
      <c r="R1246" t="s">
        <v>2276</v>
      </c>
      <c r="S1246" t="s">
        <v>2287</v>
      </c>
      <c r="T1246" t="s">
        <v>2290</v>
      </c>
      <c r="U1246">
        <v>1</v>
      </c>
      <c r="V1246">
        <v>223</v>
      </c>
      <c r="W1246">
        <v>54</v>
      </c>
      <c r="X1246">
        <v>71.78</v>
      </c>
      <c r="Y1246">
        <v>135.66</v>
      </c>
      <c r="Z1246" t="s">
        <v>2293</v>
      </c>
      <c r="AA1246" t="s">
        <v>2299</v>
      </c>
      <c r="AB1246">
        <v>390</v>
      </c>
      <c r="AC1246">
        <v>39</v>
      </c>
      <c r="AD1246">
        <v>351</v>
      </c>
      <c r="AE1246">
        <v>215.34</v>
      </c>
      <c r="AF1246">
        <v>135.66</v>
      </c>
      <c r="AG1246">
        <v>2024</v>
      </c>
      <c r="AH1246">
        <v>12</v>
      </c>
      <c r="AI1246" t="s">
        <v>2309</v>
      </c>
      <c r="AJ1246" t="s">
        <v>2316</v>
      </c>
    </row>
    <row r="1247" spans="1:36" x14ac:dyDescent="0.3">
      <c r="A1247" t="s">
        <v>1281</v>
      </c>
      <c r="B1247" s="2">
        <v>45437</v>
      </c>
      <c r="C1247" t="s">
        <v>1704</v>
      </c>
      <c r="D1247" t="s">
        <v>1821</v>
      </c>
      <c r="E1247" t="s">
        <v>2026</v>
      </c>
      <c r="F1247" t="s">
        <v>2239</v>
      </c>
      <c r="G1247" t="s">
        <v>2252</v>
      </c>
      <c r="H1247" t="s">
        <v>2257</v>
      </c>
      <c r="I1247" t="s">
        <v>2262</v>
      </c>
      <c r="J1247" t="s">
        <v>2266</v>
      </c>
      <c r="K1247">
        <v>2</v>
      </c>
      <c r="L1247">
        <v>85</v>
      </c>
      <c r="M1247">
        <v>0</v>
      </c>
      <c r="N1247">
        <v>170</v>
      </c>
      <c r="O1247">
        <v>170</v>
      </c>
      <c r="P1247" t="s">
        <v>2269</v>
      </c>
      <c r="Q1247" t="s">
        <v>2271</v>
      </c>
      <c r="R1247" t="s">
        <v>2274</v>
      </c>
      <c r="S1247" t="s">
        <v>2280</v>
      </c>
      <c r="T1247" t="s">
        <v>2288</v>
      </c>
      <c r="U1247">
        <v>1</v>
      </c>
      <c r="V1247">
        <v>144</v>
      </c>
      <c r="W1247">
        <v>39</v>
      </c>
      <c r="X1247">
        <v>36.4</v>
      </c>
      <c r="Y1247">
        <v>97.2</v>
      </c>
      <c r="Z1247" t="s">
        <v>2291</v>
      </c>
      <c r="AA1247" t="s">
        <v>2299</v>
      </c>
      <c r="AB1247">
        <v>170</v>
      </c>
      <c r="AC1247">
        <v>0</v>
      </c>
      <c r="AD1247">
        <v>170</v>
      </c>
      <c r="AE1247">
        <v>72.8</v>
      </c>
      <c r="AF1247">
        <v>97.2</v>
      </c>
      <c r="AG1247">
        <v>2024</v>
      </c>
      <c r="AH1247">
        <v>5</v>
      </c>
      <c r="AI1247" t="s">
        <v>2306</v>
      </c>
      <c r="AJ1247" t="s">
        <v>2317</v>
      </c>
    </row>
    <row r="1248" spans="1:36" x14ac:dyDescent="0.3">
      <c r="A1248" t="s">
        <v>1282</v>
      </c>
      <c r="B1248" s="2">
        <v>45494</v>
      </c>
      <c r="C1248" t="s">
        <v>1724</v>
      </c>
      <c r="D1248" t="s">
        <v>1803</v>
      </c>
      <c r="E1248" t="s">
        <v>2039</v>
      </c>
      <c r="F1248" t="s">
        <v>2240</v>
      </c>
      <c r="G1248" t="s">
        <v>2243</v>
      </c>
      <c r="H1248" t="s">
        <v>2258</v>
      </c>
      <c r="I1248" t="s">
        <v>2260</v>
      </c>
      <c r="J1248" t="s">
        <v>2265</v>
      </c>
      <c r="K1248">
        <v>2</v>
      </c>
      <c r="L1248">
        <v>80</v>
      </c>
      <c r="M1248">
        <v>0.05</v>
      </c>
      <c r="N1248">
        <v>160</v>
      </c>
      <c r="O1248">
        <v>152</v>
      </c>
      <c r="P1248" t="s">
        <v>2267</v>
      </c>
      <c r="Q1248" t="s">
        <v>2270</v>
      </c>
      <c r="R1248" t="s">
        <v>2279</v>
      </c>
      <c r="S1248" t="s">
        <v>2281</v>
      </c>
      <c r="T1248" t="s">
        <v>2288</v>
      </c>
      <c r="W1248">
        <v>33</v>
      </c>
      <c r="X1248">
        <v>40.25</v>
      </c>
      <c r="Y1248">
        <v>71.5</v>
      </c>
      <c r="Z1248" t="s">
        <v>2294</v>
      </c>
      <c r="AA1248" t="s">
        <v>2296</v>
      </c>
      <c r="AB1248">
        <v>160</v>
      </c>
      <c r="AC1248">
        <v>8</v>
      </c>
      <c r="AD1248">
        <v>152</v>
      </c>
      <c r="AE1248">
        <v>80.5</v>
      </c>
      <c r="AF1248">
        <v>71.5</v>
      </c>
      <c r="AG1248">
        <v>2024</v>
      </c>
      <c r="AH1248">
        <v>7</v>
      </c>
      <c r="AI1248" t="s">
        <v>2307</v>
      </c>
      <c r="AJ1248" t="s">
        <v>2318</v>
      </c>
    </row>
    <row r="1249" spans="1:36" x14ac:dyDescent="0.3">
      <c r="A1249" t="s">
        <v>1283</v>
      </c>
      <c r="B1249" s="2">
        <v>45598</v>
      </c>
      <c r="C1249" t="s">
        <v>1734</v>
      </c>
      <c r="D1249" t="s">
        <v>1804</v>
      </c>
      <c r="E1249" t="s">
        <v>1973</v>
      </c>
      <c r="F1249" t="s">
        <v>2238</v>
      </c>
      <c r="G1249" t="s">
        <v>2254</v>
      </c>
      <c r="H1249" t="s">
        <v>2259</v>
      </c>
      <c r="I1249" t="s">
        <v>2263</v>
      </c>
      <c r="J1249" t="s">
        <v>2265</v>
      </c>
      <c r="K1249">
        <v>1</v>
      </c>
      <c r="L1249">
        <v>110</v>
      </c>
      <c r="N1249">
        <v>110</v>
      </c>
      <c r="P1249" t="s">
        <v>2267</v>
      </c>
      <c r="Q1249" t="s">
        <v>2272</v>
      </c>
      <c r="R1249" t="s">
        <v>2278</v>
      </c>
      <c r="S1249" t="s">
        <v>2282</v>
      </c>
      <c r="T1249" t="s">
        <v>2288</v>
      </c>
      <c r="U1249">
        <v>1</v>
      </c>
      <c r="V1249">
        <v>82</v>
      </c>
      <c r="W1249">
        <v>15</v>
      </c>
      <c r="X1249">
        <v>41.37</v>
      </c>
      <c r="Z1249" t="s">
        <v>2291</v>
      </c>
      <c r="AA1249" t="s">
        <v>1761</v>
      </c>
      <c r="AB1249">
        <v>110</v>
      </c>
      <c r="AC1249">
        <v>0</v>
      </c>
      <c r="AD1249">
        <v>110</v>
      </c>
      <c r="AE1249">
        <v>41.37</v>
      </c>
      <c r="AF1249">
        <v>68.63</v>
      </c>
      <c r="AG1249">
        <v>2024</v>
      </c>
      <c r="AH1249">
        <v>11</v>
      </c>
      <c r="AI1249" t="s">
        <v>2311</v>
      </c>
      <c r="AJ1249" t="s">
        <v>2317</v>
      </c>
    </row>
    <row r="1250" spans="1:36" x14ac:dyDescent="0.3">
      <c r="A1250" t="s">
        <v>1284</v>
      </c>
      <c r="B1250" s="2">
        <v>45414</v>
      </c>
      <c r="C1250" t="s">
        <v>1659</v>
      </c>
      <c r="D1250" t="s">
        <v>1913</v>
      </c>
      <c r="E1250" t="s">
        <v>2125</v>
      </c>
      <c r="F1250" t="s">
        <v>2240</v>
      </c>
      <c r="G1250" t="s">
        <v>2243</v>
      </c>
      <c r="H1250" t="s">
        <v>2258</v>
      </c>
      <c r="I1250" t="s">
        <v>2260</v>
      </c>
      <c r="J1250" t="s">
        <v>2265</v>
      </c>
      <c r="K1250">
        <v>1</v>
      </c>
      <c r="L1250">
        <v>70</v>
      </c>
      <c r="M1250">
        <v>0.05</v>
      </c>
      <c r="N1250">
        <v>70</v>
      </c>
      <c r="O1250">
        <v>66.5</v>
      </c>
      <c r="P1250" t="s">
        <v>2268</v>
      </c>
      <c r="R1250" t="s">
        <v>2277</v>
      </c>
      <c r="S1250" t="s">
        <v>2280</v>
      </c>
      <c r="T1250" t="s">
        <v>2288</v>
      </c>
      <c r="U1250">
        <v>2</v>
      </c>
      <c r="V1250">
        <v>147</v>
      </c>
      <c r="W1250">
        <v>12</v>
      </c>
      <c r="X1250">
        <v>28.16</v>
      </c>
      <c r="Y1250">
        <v>38.340000000000003</v>
      </c>
      <c r="Z1250" t="s">
        <v>2293</v>
      </c>
      <c r="AA1250" t="s">
        <v>2296</v>
      </c>
      <c r="AB1250">
        <v>70</v>
      </c>
      <c r="AC1250">
        <v>3.5</v>
      </c>
      <c r="AD1250">
        <v>66.5</v>
      </c>
      <c r="AE1250">
        <v>28.16</v>
      </c>
      <c r="AF1250">
        <v>38.340000000000003</v>
      </c>
      <c r="AG1250">
        <v>2024</v>
      </c>
      <c r="AH1250">
        <v>5</v>
      </c>
      <c r="AI1250" t="s">
        <v>2306</v>
      </c>
      <c r="AJ1250" t="s">
        <v>2316</v>
      </c>
    </row>
    <row r="1251" spans="1:36" x14ac:dyDescent="0.3">
      <c r="A1251" t="s">
        <v>1285</v>
      </c>
      <c r="B1251" s="2">
        <v>45445</v>
      </c>
      <c r="C1251" t="s">
        <v>1731</v>
      </c>
      <c r="D1251" t="s">
        <v>1773</v>
      </c>
      <c r="E1251" t="s">
        <v>2139</v>
      </c>
      <c r="F1251" t="s">
        <v>2239</v>
      </c>
      <c r="G1251" t="s">
        <v>2245</v>
      </c>
      <c r="H1251" t="s">
        <v>2257</v>
      </c>
      <c r="I1251" t="s">
        <v>2263</v>
      </c>
      <c r="J1251" t="s">
        <v>2266</v>
      </c>
      <c r="K1251">
        <v>1</v>
      </c>
      <c r="L1251">
        <v>160</v>
      </c>
      <c r="M1251">
        <v>0.1</v>
      </c>
      <c r="N1251">
        <v>160</v>
      </c>
      <c r="O1251">
        <v>144</v>
      </c>
      <c r="P1251" t="s">
        <v>2269</v>
      </c>
      <c r="R1251" t="s">
        <v>2274</v>
      </c>
      <c r="S1251" t="s">
        <v>2283</v>
      </c>
      <c r="T1251" t="s">
        <v>2290</v>
      </c>
      <c r="V1251">
        <v>286</v>
      </c>
      <c r="X1251">
        <v>84.8</v>
      </c>
      <c r="Y1251">
        <v>59.2</v>
      </c>
      <c r="Z1251" t="s">
        <v>1761</v>
      </c>
      <c r="AA1251" t="s">
        <v>2298</v>
      </c>
      <c r="AB1251">
        <v>160</v>
      </c>
      <c r="AC1251">
        <v>16</v>
      </c>
      <c r="AD1251">
        <v>144</v>
      </c>
      <c r="AE1251">
        <v>84.8</v>
      </c>
      <c r="AF1251">
        <v>59.2</v>
      </c>
      <c r="AG1251">
        <v>2024</v>
      </c>
      <c r="AH1251">
        <v>6</v>
      </c>
      <c r="AI1251" t="s">
        <v>2304</v>
      </c>
      <c r="AJ1251" t="s">
        <v>2318</v>
      </c>
    </row>
    <row r="1252" spans="1:36" x14ac:dyDescent="0.3">
      <c r="A1252" t="s">
        <v>1286</v>
      </c>
      <c r="B1252" s="2">
        <v>45637</v>
      </c>
      <c r="C1252" t="s">
        <v>1663</v>
      </c>
      <c r="D1252" t="s">
        <v>1761</v>
      </c>
      <c r="E1252" t="s">
        <v>2073</v>
      </c>
      <c r="F1252" t="s">
        <v>2240</v>
      </c>
      <c r="G1252" t="s">
        <v>2251</v>
      </c>
      <c r="H1252" t="s">
        <v>2258</v>
      </c>
      <c r="I1252" t="s">
        <v>2260</v>
      </c>
      <c r="J1252" t="s">
        <v>2266</v>
      </c>
      <c r="K1252">
        <v>1</v>
      </c>
      <c r="L1252">
        <v>100</v>
      </c>
      <c r="N1252">
        <v>100</v>
      </c>
      <c r="P1252" t="s">
        <v>2268</v>
      </c>
      <c r="R1252" t="s">
        <v>2276</v>
      </c>
      <c r="S1252" t="s">
        <v>2281</v>
      </c>
      <c r="T1252" t="s">
        <v>2288</v>
      </c>
      <c r="U1252">
        <v>4</v>
      </c>
      <c r="V1252">
        <v>381</v>
      </c>
      <c r="W1252">
        <v>57</v>
      </c>
      <c r="X1252">
        <v>47.86</v>
      </c>
      <c r="Z1252" t="s">
        <v>1761</v>
      </c>
      <c r="AA1252" t="s">
        <v>2299</v>
      </c>
      <c r="AB1252">
        <v>100</v>
      </c>
      <c r="AC1252">
        <v>0</v>
      </c>
      <c r="AD1252">
        <v>100</v>
      </c>
      <c r="AE1252">
        <v>47.86</v>
      </c>
      <c r="AF1252">
        <v>52.14</v>
      </c>
      <c r="AG1252">
        <v>2024</v>
      </c>
      <c r="AH1252">
        <v>12</v>
      </c>
      <c r="AI1252" t="s">
        <v>2309</v>
      </c>
      <c r="AJ1252" t="s">
        <v>2312</v>
      </c>
    </row>
    <row r="1253" spans="1:36" x14ac:dyDescent="0.3">
      <c r="A1253" t="s">
        <v>1287</v>
      </c>
      <c r="B1253" s="2">
        <v>45571</v>
      </c>
      <c r="C1253" t="s">
        <v>1706</v>
      </c>
      <c r="D1253" t="s">
        <v>1762</v>
      </c>
      <c r="E1253" t="s">
        <v>1955</v>
      </c>
      <c r="F1253" t="s">
        <v>2240</v>
      </c>
      <c r="G1253" t="s">
        <v>2244</v>
      </c>
      <c r="H1253" t="s">
        <v>2257</v>
      </c>
      <c r="I1253" t="s">
        <v>2262</v>
      </c>
      <c r="J1253" t="s">
        <v>2266</v>
      </c>
      <c r="K1253">
        <v>1</v>
      </c>
      <c r="L1253">
        <v>120</v>
      </c>
      <c r="M1253">
        <v>0.1</v>
      </c>
      <c r="N1253">
        <v>120</v>
      </c>
      <c r="O1253">
        <v>108</v>
      </c>
      <c r="P1253" t="s">
        <v>2269</v>
      </c>
      <c r="Q1253" t="s">
        <v>2272</v>
      </c>
      <c r="R1253" t="s">
        <v>2276</v>
      </c>
      <c r="S1253" t="s">
        <v>2280</v>
      </c>
      <c r="T1253" t="s">
        <v>2288</v>
      </c>
      <c r="U1253">
        <v>5</v>
      </c>
      <c r="V1253">
        <v>367</v>
      </c>
      <c r="W1253">
        <v>59</v>
      </c>
      <c r="X1253">
        <v>63.47</v>
      </c>
      <c r="Y1253">
        <v>44.53</v>
      </c>
      <c r="Z1253" t="s">
        <v>2294</v>
      </c>
      <c r="AA1253" t="s">
        <v>2298</v>
      </c>
      <c r="AB1253">
        <v>120</v>
      </c>
      <c r="AC1253">
        <v>12</v>
      </c>
      <c r="AD1253">
        <v>108</v>
      </c>
      <c r="AE1253">
        <v>63.47</v>
      </c>
      <c r="AF1253">
        <v>44.53</v>
      </c>
      <c r="AG1253">
        <v>2024</v>
      </c>
      <c r="AH1253">
        <v>10</v>
      </c>
      <c r="AI1253" t="s">
        <v>2310</v>
      </c>
      <c r="AJ1253" t="s">
        <v>2318</v>
      </c>
    </row>
    <row r="1254" spans="1:36" x14ac:dyDescent="0.3">
      <c r="A1254" t="s">
        <v>1288</v>
      </c>
      <c r="B1254" s="2">
        <v>45656</v>
      </c>
      <c r="C1254" t="s">
        <v>1732</v>
      </c>
      <c r="D1254" t="s">
        <v>1784</v>
      </c>
      <c r="E1254" t="s">
        <v>2089</v>
      </c>
      <c r="F1254" t="s">
        <v>1761</v>
      </c>
      <c r="G1254" t="s">
        <v>2251</v>
      </c>
      <c r="H1254" t="s">
        <v>2258</v>
      </c>
      <c r="I1254" t="s">
        <v>2260</v>
      </c>
      <c r="J1254" t="s">
        <v>2264</v>
      </c>
      <c r="K1254">
        <v>1</v>
      </c>
      <c r="L1254">
        <v>95</v>
      </c>
      <c r="M1254">
        <v>0.05</v>
      </c>
      <c r="N1254">
        <v>95</v>
      </c>
      <c r="O1254">
        <v>90.25</v>
      </c>
      <c r="P1254" t="s">
        <v>2269</v>
      </c>
      <c r="Q1254" t="s">
        <v>2271</v>
      </c>
      <c r="R1254" t="s">
        <v>2279</v>
      </c>
      <c r="S1254" t="s">
        <v>2282</v>
      </c>
      <c r="T1254" t="s">
        <v>2288</v>
      </c>
      <c r="U1254">
        <v>5</v>
      </c>
      <c r="V1254">
        <v>142</v>
      </c>
      <c r="W1254">
        <v>15</v>
      </c>
      <c r="X1254">
        <v>35.64</v>
      </c>
      <c r="Y1254">
        <v>54.61</v>
      </c>
      <c r="Z1254" t="s">
        <v>2293</v>
      </c>
      <c r="AA1254" t="s">
        <v>2297</v>
      </c>
      <c r="AB1254">
        <v>95</v>
      </c>
      <c r="AC1254">
        <v>4.75</v>
      </c>
      <c r="AD1254">
        <v>90.25</v>
      </c>
      <c r="AE1254">
        <v>35.64</v>
      </c>
      <c r="AF1254">
        <v>54.61</v>
      </c>
      <c r="AG1254">
        <v>2024</v>
      </c>
      <c r="AH1254">
        <v>12</v>
      </c>
      <c r="AI1254" t="s">
        <v>2309</v>
      </c>
      <c r="AJ1254" t="s">
        <v>2314</v>
      </c>
    </row>
    <row r="1255" spans="1:36" x14ac:dyDescent="0.3">
      <c r="A1255" t="s">
        <v>1289</v>
      </c>
      <c r="B1255" s="2">
        <v>45362</v>
      </c>
      <c r="C1255" t="s">
        <v>1732</v>
      </c>
      <c r="D1255" t="s">
        <v>1774</v>
      </c>
      <c r="E1255" t="s">
        <v>2235</v>
      </c>
      <c r="F1255" t="s">
        <v>2240</v>
      </c>
      <c r="G1255" t="s">
        <v>2250</v>
      </c>
      <c r="H1255" t="s">
        <v>2259</v>
      </c>
      <c r="I1255" t="s">
        <v>2262</v>
      </c>
      <c r="J1255" t="s">
        <v>2266</v>
      </c>
      <c r="K1255">
        <v>1</v>
      </c>
      <c r="L1255">
        <v>85</v>
      </c>
      <c r="M1255">
        <v>0.15</v>
      </c>
      <c r="N1255">
        <v>85</v>
      </c>
      <c r="O1255">
        <v>72.25</v>
      </c>
      <c r="P1255" t="s">
        <v>2268</v>
      </c>
      <c r="Q1255" t="s">
        <v>2270</v>
      </c>
      <c r="R1255" t="s">
        <v>2276</v>
      </c>
      <c r="S1255" t="s">
        <v>2285</v>
      </c>
      <c r="T1255" t="s">
        <v>2289</v>
      </c>
      <c r="U1255">
        <v>1</v>
      </c>
      <c r="V1255">
        <v>262</v>
      </c>
      <c r="W1255">
        <v>52</v>
      </c>
      <c r="X1255">
        <v>42.21</v>
      </c>
      <c r="Y1255">
        <v>30.04</v>
      </c>
      <c r="Z1255" t="s">
        <v>2291</v>
      </c>
      <c r="AA1255" t="s">
        <v>2296</v>
      </c>
      <c r="AB1255">
        <v>85</v>
      </c>
      <c r="AC1255">
        <v>12.75</v>
      </c>
      <c r="AD1255">
        <v>72.25</v>
      </c>
      <c r="AE1255">
        <v>42.21</v>
      </c>
      <c r="AF1255">
        <v>30.04</v>
      </c>
      <c r="AG1255">
        <v>2024</v>
      </c>
      <c r="AH1255">
        <v>3</v>
      </c>
      <c r="AI1255" t="s">
        <v>2305</v>
      </c>
      <c r="AJ1255" t="s">
        <v>2314</v>
      </c>
    </row>
    <row r="1256" spans="1:36" x14ac:dyDescent="0.3">
      <c r="A1256" t="s">
        <v>1290</v>
      </c>
      <c r="B1256" s="2">
        <v>45309</v>
      </c>
      <c r="C1256" t="s">
        <v>1639</v>
      </c>
      <c r="D1256" t="s">
        <v>1789</v>
      </c>
      <c r="E1256" t="s">
        <v>1761</v>
      </c>
      <c r="F1256" t="s">
        <v>2240</v>
      </c>
      <c r="G1256" t="s">
        <v>2245</v>
      </c>
      <c r="H1256" t="s">
        <v>2257</v>
      </c>
      <c r="I1256" t="s">
        <v>2263</v>
      </c>
      <c r="J1256" t="s">
        <v>2266</v>
      </c>
      <c r="K1256">
        <v>2</v>
      </c>
      <c r="L1256">
        <v>160</v>
      </c>
      <c r="M1256">
        <v>0.1</v>
      </c>
      <c r="N1256">
        <v>320</v>
      </c>
      <c r="O1256">
        <v>288</v>
      </c>
      <c r="P1256" t="s">
        <v>2268</v>
      </c>
      <c r="Q1256" t="s">
        <v>2270</v>
      </c>
      <c r="R1256" t="s">
        <v>2277</v>
      </c>
      <c r="S1256" t="s">
        <v>2283</v>
      </c>
      <c r="T1256" t="s">
        <v>2288</v>
      </c>
      <c r="U1256">
        <v>5</v>
      </c>
      <c r="V1256">
        <v>423</v>
      </c>
      <c r="W1256">
        <v>29</v>
      </c>
      <c r="X1256">
        <v>60.6</v>
      </c>
      <c r="Y1256">
        <v>166.8</v>
      </c>
      <c r="Z1256" t="s">
        <v>2292</v>
      </c>
      <c r="AA1256" t="s">
        <v>2297</v>
      </c>
      <c r="AB1256">
        <v>320</v>
      </c>
      <c r="AC1256">
        <v>32</v>
      </c>
      <c r="AD1256">
        <v>288</v>
      </c>
      <c r="AE1256">
        <v>121.2</v>
      </c>
      <c r="AF1256">
        <v>166.8</v>
      </c>
      <c r="AG1256">
        <v>2024</v>
      </c>
      <c r="AH1256">
        <v>1</v>
      </c>
      <c r="AI1256" t="s">
        <v>2302</v>
      </c>
      <c r="AJ1256" t="s">
        <v>2316</v>
      </c>
    </row>
    <row r="1257" spans="1:36" x14ac:dyDescent="0.3">
      <c r="A1257" t="s">
        <v>1291</v>
      </c>
      <c r="B1257" s="2">
        <v>45458</v>
      </c>
      <c r="C1257" t="s">
        <v>1726</v>
      </c>
      <c r="D1257" t="s">
        <v>1827</v>
      </c>
      <c r="E1257" t="s">
        <v>2125</v>
      </c>
      <c r="F1257" t="s">
        <v>2239</v>
      </c>
      <c r="G1257" t="s">
        <v>2242</v>
      </c>
      <c r="H1257" t="s">
        <v>2258</v>
      </c>
      <c r="I1257" t="s">
        <v>2260</v>
      </c>
      <c r="J1257" t="s">
        <v>2266</v>
      </c>
      <c r="K1257">
        <v>2</v>
      </c>
      <c r="L1257">
        <v>125</v>
      </c>
      <c r="M1257">
        <v>0.05</v>
      </c>
      <c r="N1257">
        <v>250</v>
      </c>
      <c r="O1257">
        <v>237.5</v>
      </c>
      <c r="P1257" t="s">
        <v>2269</v>
      </c>
      <c r="Q1257" t="s">
        <v>2272</v>
      </c>
      <c r="R1257" t="s">
        <v>2277</v>
      </c>
      <c r="S1257" t="s">
        <v>2283</v>
      </c>
      <c r="T1257" t="s">
        <v>2288</v>
      </c>
      <c r="U1257">
        <v>5</v>
      </c>
      <c r="V1257">
        <v>285</v>
      </c>
      <c r="X1257">
        <v>50.78</v>
      </c>
      <c r="Y1257">
        <v>135.94</v>
      </c>
      <c r="Z1257" t="s">
        <v>2294</v>
      </c>
      <c r="AA1257" t="s">
        <v>2296</v>
      </c>
      <c r="AB1257">
        <v>250</v>
      </c>
      <c r="AC1257">
        <v>12.5</v>
      </c>
      <c r="AD1257">
        <v>237.5</v>
      </c>
      <c r="AE1257">
        <v>101.56</v>
      </c>
      <c r="AF1257">
        <v>135.94</v>
      </c>
      <c r="AG1257">
        <v>2024</v>
      </c>
      <c r="AH1257">
        <v>6</v>
      </c>
      <c r="AI1257" t="s">
        <v>2304</v>
      </c>
      <c r="AJ1257" t="s">
        <v>2317</v>
      </c>
    </row>
    <row r="1258" spans="1:36" x14ac:dyDescent="0.3">
      <c r="A1258" t="s">
        <v>1292</v>
      </c>
      <c r="B1258" s="2">
        <v>45363</v>
      </c>
      <c r="C1258" t="s">
        <v>1706</v>
      </c>
      <c r="D1258" t="s">
        <v>1853</v>
      </c>
      <c r="E1258" t="s">
        <v>2138</v>
      </c>
      <c r="F1258" t="s">
        <v>2240</v>
      </c>
      <c r="G1258" t="s">
        <v>2246</v>
      </c>
      <c r="H1258" t="s">
        <v>2259</v>
      </c>
      <c r="I1258" t="s">
        <v>2262</v>
      </c>
      <c r="J1258" t="s">
        <v>2264</v>
      </c>
      <c r="K1258">
        <v>2</v>
      </c>
      <c r="L1258">
        <v>100</v>
      </c>
      <c r="M1258">
        <v>0</v>
      </c>
      <c r="N1258">
        <v>200</v>
      </c>
      <c r="O1258">
        <v>200</v>
      </c>
      <c r="P1258" t="s">
        <v>2269</v>
      </c>
      <c r="R1258" t="s">
        <v>2277</v>
      </c>
      <c r="S1258" t="s">
        <v>2283</v>
      </c>
      <c r="T1258" t="s">
        <v>2288</v>
      </c>
      <c r="V1258">
        <v>405</v>
      </c>
      <c r="W1258">
        <v>46</v>
      </c>
      <c r="X1258">
        <v>56.98</v>
      </c>
      <c r="Y1258">
        <v>86.04</v>
      </c>
      <c r="Z1258" t="s">
        <v>1761</v>
      </c>
      <c r="AA1258" t="s">
        <v>2299</v>
      </c>
      <c r="AB1258">
        <v>200</v>
      </c>
      <c r="AC1258">
        <v>0</v>
      </c>
      <c r="AD1258">
        <v>200</v>
      </c>
      <c r="AE1258">
        <v>113.96</v>
      </c>
      <c r="AF1258">
        <v>86.04</v>
      </c>
      <c r="AG1258">
        <v>2024</v>
      </c>
      <c r="AH1258">
        <v>3</v>
      </c>
      <c r="AI1258" t="s">
        <v>2305</v>
      </c>
      <c r="AJ1258" t="s">
        <v>2313</v>
      </c>
    </row>
    <row r="1259" spans="1:36" x14ac:dyDescent="0.3">
      <c r="A1259" t="s">
        <v>1293</v>
      </c>
      <c r="B1259" s="2">
        <v>45315</v>
      </c>
      <c r="C1259" t="s">
        <v>1706</v>
      </c>
      <c r="D1259" t="s">
        <v>1924</v>
      </c>
      <c r="E1259" t="s">
        <v>2224</v>
      </c>
      <c r="F1259" t="s">
        <v>2238</v>
      </c>
      <c r="G1259" t="s">
        <v>2244</v>
      </c>
      <c r="H1259" t="s">
        <v>2257</v>
      </c>
      <c r="I1259" t="s">
        <v>2262</v>
      </c>
      <c r="J1259" t="s">
        <v>2266</v>
      </c>
      <c r="K1259">
        <v>2</v>
      </c>
      <c r="L1259">
        <v>125</v>
      </c>
      <c r="M1259">
        <v>0.05</v>
      </c>
      <c r="N1259">
        <v>250</v>
      </c>
      <c r="O1259">
        <v>237.5</v>
      </c>
      <c r="P1259" t="s">
        <v>2268</v>
      </c>
      <c r="Q1259" t="s">
        <v>2271</v>
      </c>
      <c r="R1259" t="s">
        <v>2274</v>
      </c>
      <c r="S1259" t="s">
        <v>2281</v>
      </c>
      <c r="T1259" t="s">
        <v>2290</v>
      </c>
      <c r="U1259">
        <v>3</v>
      </c>
      <c r="V1259">
        <v>196</v>
      </c>
      <c r="W1259">
        <v>27</v>
      </c>
      <c r="X1259">
        <v>50.57</v>
      </c>
      <c r="Y1259">
        <v>136.36000000000001</v>
      </c>
      <c r="Z1259" t="s">
        <v>2291</v>
      </c>
      <c r="AA1259" t="s">
        <v>2299</v>
      </c>
      <c r="AB1259">
        <v>250</v>
      </c>
      <c r="AC1259">
        <v>12.5</v>
      </c>
      <c r="AD1259">
        <v>237.5</v>
      </c>
      <c r="AE1259">
        <v>101.14</v>
      </c>
      <c r="AF1259">
        <v>136.36000000000001</v>
      </c>
      <c r="AG1259">
        <v>2024</v>
      </c>
      <c r="AH1259">
        <v>1</v>
      </c>
      <c r="AI1259" t="s">
        <v>2302</v>
      </c>
      <c r="AJ1259" t="s">
        <v>2312</v>
      </c>
    </row>
    <row r="1260" spans="1:36" x14ac:dyDescent="0.3">
      <c r="A1260" t="s">
        <v>1294</v>
      </c>
      <c r="B1260" s="2">
        <v>45297</v>
      </c>
      <c r="C1260" t="s">
        <v>1673</v>
      </c>
      <c r="D1260" t="s">
        <v>1796</v>
      </c>
      <c r="E1260" t="s">
        <v>2129</v>
      </c>
      <c r="F1260" t="s">
        <v>1761</v>
      </c>
      <c r="G1260" t="s">
        <v>2243</v>
      </c>
      <c r="H1260" t="s">
        <v>2258</v>
      </c>
      <c r="I1260" t="s">
        <v>2260</v>
      </c>
      <c r="J1260" t="s">
        <v>2264</v>
      </c>
      <c r="K1260">
        <v>1</v>
      </c>
      <c r="L1260">
        <v>75</v>
      </c>
      <c r="N1260">
        <v>75</v>
      </c>
      <c r="Q1260" t="s">
        <v>2272</v>
      </c>
      <c r="R1260" t="s">
        <v>2278</v>
      </c>
      <c r="S1260" t="s">
        <v>2280</v>
      </c>
      <c r="T1260" t="s">
        <v>2288</v>
      </c>
      <c r="U1260">
        <v>5</v>
      </c>
      <c r="W1260">
        <v>33</v>
      </c>
      <c r="X1260">
        <v>36.69</v>
      </c>
      <c r="Z1260" t="s">
        <v>2292</v>
      </c>
      <c r="AA1260" t="s">
        <v>1761</v>
      </c>
      <c r="AB1260">
        <v>75</v>
      </c>
      <c r="AC1260">
        <v>0</v>
      </c>
      <c r="AD1260">
        <v>75</v>
      </c>
      <c r="AE1260">
        <v>36.69</v>
      </c>
      <c r="AF1260">
        <v>38.31</v>
      </c>
      <c r="AG1260">
        <v>2024</v>
      </c>
      <c r="AH1260">
        <v>1</v>
      </c>
      <c r="AI1260" t="s">
        <v>2302</v>
      </c>
      <c r="AJ1260" t="s">
        <v>2317</v>
      </c>
    </row>
    <row r="1261" spans="1:36" x14ac:dyDescent="0.3">
      <c r="A1261" t="s">
        <v>1295</v>
      </c>
      <c r="B1261" s="2">
        <v>45493</v>
      </c>
      <c r="C1261" t="s">
        <v>1696</v>
      </c>
      <c r="D1261" t="s">
        <v>1920</v>
      </c>
      <c r="E1261" t="s">
        <v>2097</v>
      </c>
      <c r="F1261" t="s">
        <v>2240</v>
      </c>
      <c r="G1261" t="s">
        <v>2244</v>
      </c>
      <c r="H1261" t="s">
        <v>2257</v>
      </c>
      <c r="I1261" t="s">
        <v>2262</v>
      </c>
      <c r="J1261" t="s">
        <v>2264</v>
      </c>
      <c r="K1261">
        <v>1</v>
      </c>
      <c r="L1261">
        <v>130</v>
      </c>
      <c r="M1261">
        <v>0.05</v>
      </c>
      <c r="N1261">
        <v>130</v>
      </c>
      <c r="O1261">
        <v>123.5</v>
      </c>
      <c r="Q1261" t="s">
        <v>2272</v>
      </c>
      <c r="R1261" t="s">
        <v>2273</v>
      </c>
      <c r="S1261" t="s">
        <v>2285</v>
      </c>
      <c r="T1261" t="s">
        <v>2288</v>
      </c>
      <c r="U1261">
        <v>4</v>
      </c>
      <c r="V1261">
        <v>172</v>
      </c>
      <c r="X1261">
        <v>50.7</v>
      </c>
      <c r="Y1261">
        <v>72.8</v>
      </c>
      <c r="Z1261" t="s">
        <v>1761</v>
      </c>
      <c r="AA1261" t="s">
        <v>2299</v>
      </c>
      <c r="AB1261">
        <v>130</v>
      </c>
      <c r="AC1261">
        <v>6.5</v>
      </c>
      <c r="AD1261">
        <v>123.5</v>
      </c>
      <c r="AE1261">
        <v>50.7</v>
      </c>
      <c r="AF1261">
        <v>72.8</v>
      </c>
      <c r="AG1261">
        <v>2024</v>
      </c>
      <c r="AH1261">
        <v>7</v>
      </c>
      <c r="AI1261" t="s">
        <v>2307</v>
      </c>
      <c r="AJ1261" t="s">
        <v>2317</v>
      </c>
    </row>
    <row r="1262" spans="1:36" x14ac:dyDescent="0.3">
      <c r="A1262" t="s">
        <v>1296</v>
      </c>
      <c r="B1262" s="2">
        <v>45630</v>
      </c>
      <c r="C1262" t="s">
        <v>1663</v>
      </c>
      <c r="D1262" t="s">
        <v>1851</v>
      </c>
      <c r="E1262" t="s">
        <v>1958</v>
      </c>
      <c r="F1262" t="s">
        <v>2240</v>
      </c>
      <c r="G1262" t="s">
        <v>2253</v>
      </c>
      <c r="H1262" t="s">
        <v>2258</v>
      </c>
      <c r="I1262" t="s">
        <v>2260</v>
      </c>
      <c r="J1262" t="s">
        <v>2265</v>
      </c>
      <c r="K1262">
        <v>4</v>
      </c>
      <c r="L1262">
        <v>85</v>
      </c>
      <c r="M1262">
        <v>0.05</v>
      </c>
      <c r="N1262">
        <v>340</v>
      </c>
      <c r="O1262">
        <v>323</v>
      </c>
      <c r="P1262" t="s">
        <v>2268</v>
      </c>
      <c r="Q1262" t="s">
        <v>2272</v>
      </c>
      <c r="R1262" t="s">
        <v>2276</v>
      </c>
      <c r="S1262" t="s">
        <v>2282</v>
      </c>
      <c r="T1262" t="s">
        <v>2288</v>
      </c>
      <c r="U1262">
        <v>4</v>
      </c>
      <c r="V1262">
        <v>210</v>
      </c>
      <c r="W1262">
        <v>27</v>
      </c>
      <c r="X1262">
        <v>42.47</v>
      </c>
      <c r="Y1262">
        <v>153.12</v>
      </c>
      <c r="Z1262" t="s">
        <v>1761</v>
      </c>
      <c r="AA1262" t="s">
        <v>2298</v>
      </c>
      <c r="AB1262">
        <v>340</v>
      </c>
      <c r="AC1262">
        <v>17</v>
      </c>
      <c r="AD1262">
        <v>323</v>
      </c>
      <c r="AE1262">
        <v>169.88</v>
      </c>
      <c r="AF1262">
        <v>153.12</v>
      </c>
      <c r="AG1262">
        <v>2024</v>
      </c>
      <c r="AH1262">
        <v>12</v>
      </c>
      <c r="AI1262" t="s">
        <v>2309</v>
      </c>
      <c r="AJ1262" t="s">
        <v>2312</v>
      </c>
    </row>
    <row r="1263" spans="1:36" x14ac:dyDescent="0.3">
      <c r="A1263" t="s">
        <v>1297</v>
      </c>
      <c r="B1263" s="2">
        <v>45652</v>
      </c>
      <c r="C1263" t="s">
        <v>1649</v>
      </c>
      <c r="D1263" t="s">
        <v>1877</v>
      </c>
      <c r="E1263" t="s">
        <v>2048</v>
      </c>
      <c r="F1263" t="s">
        <v>2240</v>
      </c>
      <c r="G1263" t="s">
        <v>2249</v>
      </c>
      <c r="H1263" t="s">
        <v>2257</v>
      </c>
      <c r="I1263" t="s">
        <v>2263</v>
      </c>
      <c r="J1263" t="s">
        <v>2266</v>
      </c>
      <c r="K1263">
        <v>1</v>
      </c>
      <c r="L1263">
        <v>155</v>
      </c>
      <c r="M1263">
        <v>0.1</v>
      </c>
      <c r="N1263">
        <v>155</v>
      </c>
      <c r="O1263">
        <v>139.5</v>
      </c>
      <c r="P1263" t="s">
        <v>2267</v>
      </c>
      <c r="Q1263" t="s">
        <v>2272</v>
      </c>
      <c r="R1263" t="s">
        <v>2275</v>
      </c>
      <c r="S1263" t="s">
        <v>2287</v>
      </c>
      <c r="T1263" t="s">
        <v>2288</v>
      </c>
      <c r="U1263">
        <v>3</v>
      </c>
      <c r="X1263">
        <v>94.95</v>
      </c>
      <c r="Y1263">
        <v>44.55</v>
      </c>
      <c r="Z1263" t="s">
        <v>2294</v>
      </c>
      <c r="AA1263" t="s">
        <v>2296</v>
      </c>
      <c r="AB1263">
        <v>155</v>
      </c>
      <c r="AC1263">
        <v>15.5</v>
      </c>
      <c r="AD1263">
        <v>139.5</v>
      </c>
      <c r="AE1263">
        <v>94.95</v>
      </c>
      <c r="AF1263">
        <v>44.55</v>
      </c>
      <c r="AG1263">
        <v>2024</v>
      </c>
      <c r="AH1263">
        <v>12</v>
      </c>
      <c r="AI1263" t="s">
        <v>2309</v>
      </c>
      <c r="AJ1263" t="s">
        <v>2316</v>
      </c>
    </row>
    <row r="1264" spans="1:36" x14ac:dyDescent="0.3">
      <c r="A1264" t="s">
        <v>1298</v>
      </c>
      <c r="B1264" s="2">
        <v>45300</v>
      </c>
      <c r="C1264" t="s">
        <v>1644</v>
      </c>
      <c r="D1264" t="s">
        <v>1805</v>
      </c>
      <c r="E1264" t="s">
        <v>2131</v>
      </c>
      <c r="F1264" t="s">
        <v>2238</v>
      </c>
      <c r="G1264" t="s">
        <v>2251</v>
      </c>
      <c r="H1264" t="s">
        <v>2258</v>
      </c>
      <c r="I1264" t="s">
        <v>2260</v>
      </c>
      <c r="J1264" t="s">
        <v>2266</v>
      </c>
      <c r="K1264">
        <v>1</v>
      </c>
      <c r="L1264">
        <v>105</v>
      </c>
      <c r="M1264">
        <v>0</v>
      </c>
      <c r="O1264">
        <v>105</v>
      </c>
      <c r="P1264" t="s">
        <v>2269</v>
      </c>
      <c r="R1264" t="s">
        <v>2278</v>
      </c>
      <c r="S1264" t="s">
        <v>2282</v>
      </c>
      <c r="T1264" t="s">
        <v>2288</v>
      </c>
      <c r="U1264">
        <v>5</v>
      </c>
      <c r="V1264">
        <v>129</v>
      </c>
      <c r="W1264">
        <v>41</v>
      </c>
      <c r="X1264">
        <v>56.3</v>
      </c>
      <c r="Y1264">
        <v>48.7</v>
      </c>
      <c r="Z1264" t="s">
        <v>2294</v>
      </c>
      <c r="AA1264" t="s">
        <v>2299</v>
      </c>
      <c r="AB1264">
        <v>105</v>
      </c>
      <c r="AC1264">
        <v>0</v>
      </c>
      <c r="AD1264">
        <v>105</v>
      </c>
      <c r="AE1264">
        <v>56.3</v>
      </c>
      <c r="AF1264">
        <v>48.7</v>
      </c>
      <c r="AG1264">
        <v>2024</v>
      </c>
      <c r="AH1264">
        <v>1</v>
      </c>
      <c r="AI1264" t="s">
        <v>2302</v>
      </c>
      <c r="AJ1264" t="s">
        <v>2313</v>
      </c>
    </row>
    <row r="1265" spans="1:36" x14ac:dyDescent="0.3">
      <c r="A1265" t="s">
        <v>1299</v>
      </c>
      <c r="B1265" s="2">
        <v>45566</v>
      </c>
      <c r="C1265" t="s">
        <v>1655</v>
      </c>
      <c r="D1265" t="s">
        <v>1769</v>
      </c>
      <c r="E1265" t="s">
        <v>2225</v>
      </c>
      <c r="F1265" t="s">
        <v>1761</v>
      </c>
      <c r="G1265" t="s">
        <v>2246</v>
      </c>
      <c r="H1265" t="s">
        <v>2259</v>
      </c>
      <c r="I1265" t="s">
        <v>2262</v>
      </c>
      <c r="J1265" t="s">
        <v>2266</v>
      </c>
      <c r="K1265">
        <v>2</v>
      </c>
      <c r="L1265">
        <v>105</v>
      </c>
      <c r="M1265">
        <v>0</v>
      </c>
      <c r="N1265">
        <v>210</v>
      </c>
      <c r="O1265">
        <v>210</v>
      </c>
      <c r="P1265" t="s">
        <v>2269</v>
      </c>
      <c r="R1265" t="s">
        <v>2275</v>
      </c>
      <c r="S1265" t="s">
        <v>2285</v>
      </c>
      <c r="T1265" t="s">
        <v>2288</v>
      </c>
      <c r="U1265">
        <v>5</v>
      </c>
      <c r="V1265">
        <v>374</v>
      </c>
      <c r="W1265">
        <v>32</v>
      </c>
      <c r="X1265">
        <v>55.8</v>
      </c>
      <c r="Y1265">
        <v>98.4</v>
      </c>
      <c r="Z1265" t="s">
        <v>1761</v>
      </c>
      <c r="AA1265" t="s">
        <v>2299</v>
      </c>
      <c r="AB1265">
        <v>210</v>
      </c>
      <c r="AC1265">
        <v>0</v>
      </c>
      <c r="AD1265">
        <v>210</v>
      </c>
      <c r="AE1265">
        <v>111.6</v>
      </c>
      <c r="AF1265">
        <v>98.4</v>
      </c>
      <c r="AG1265">
        <v>2024</v>
      </c>
      <c r="AH1265">
        <v>10</v>
      </c>
      <c r="AI1265" t="s">
        <v>2310</v>
      </c>
      <c r="AJ1265" t="s">
        <v>2313</v>
      </c>
    </row>
    <row r="1266" spans="1:36" x14ac:dyDescent="0.3">
      <c r="A1266" t="s">
        <v>1300</v>
      </c>
      <c r="B1266" s="2">
        <v>45491</v>
      </c>
      <c r="C1266" t="s">
        <v>1706</v>
      </c>
      <c r="D1266" t="s">
        <v>1761</v>
      </c>
      <c r="E1266" t="s">
        <v>2064</v>
      </c>
      <c r="F1266" t="s">
        <v>1761</v>
      </c>
      <c r="G1266" t="s">
        <v>2244</v>
      </c>
      <c r="H1266" t="s">
        <v>2257</v>
      </c>
      <c r="I1266" t="s">
        <v>2262</v>
      </c>
      <c r="J1266" t="s">
        <v>2264</v>
      </c>
      <c r="K1266">
        <v>1</v>
      </c>
      <c r="L1266">
        <v>125</v>
      </c>
      <c r="M1266">
        <v>0.05</v>
      </c>
      <c r="O1266">
        <v>118.75</v>
      </c>
      <c r="P1266" t="s">
        <v>2268</v>
      </c>
      <c r="Q1266" t="s">
        <v>2271</v>
      </c>
      <c r="R1266" t="s">
        <v>2279</v>
      </c>
      <c r="S1266" t="s">
        <v>2287</v>
      </c>
      <c r="T1266" t="s">
        <v>2288</v>
      </c>
      <c r="U1266">
        <v>1</v>
      </c>
      <c r="V1266">
        <v>110</v>
      </c>
      <c r="W1266">
        <v>51</v>
      </c>
      <c r="X1266">
        <v>62.97</v>
      </c>
      <c r="Y1266">
        <v>55.78</v>
      </c>
      <c r="Z1266" t="s">
        <v>2294</v>
      </c>
      <c r="AA1266" t="s">
        <v>2298</v>
      </c>
      <c r="AB1266">
        <v>125</v>
      </c>
      <c r="AC1266">
        <v>6.25</v>
      </c>
      <c r="AD1266">
        <v>118.75</v>
      </c>
      <c r="AE1266">
        <v>62.97</v>
      </c>
      <c r="AF1266">
        <v>55.78</v>
      </c>
      <c r="AG1266">
        <v>2024</v>
      </c>
      <c r="AH1266">
        <v>7</v>
      </c>
      <c r="AI1266" t="s">
        <v>2307</v>
      </c>
      <c r="AJ1266" t="s">
        <v>2316</v>
      </c>
    </row>
    <row r="1267" spans="1:36" x14ac:dyDescent="0.3">
      <c r="A1267" t="s">
        <v>1301</v>
      </c>
      <c r="B1267" s="2">
        <v>45526</v>
      </c>
      <c r="C1267" t="s">
        <v>1645</v>
      </c>
      <c r="D1267" t="s">
        <v>1905</v>
      </c>
      <c r="E1267" t="s">
        <v>2084</v>
      </c>
      <c r="F1267" t="s">
        <v>1761</v>
      </c>
      <c r="G1267" t="s">
        <v>2250</v>
      </c>
      <c r="H1267" t="s">
        <v>2259</v>
      </c>
      <c r="I1267" t="s">
        <v>2262</v>
      </c>
      <c r="J1267" t="s">
        <v>2264</v>
      </c>
      <c r="K1267">
        <v>2</v>
      </c>
      <c r="L1267">
        <v>85</v>
      </c>
      <c r="M1267">
        <v>0.05</v>
      </c>
      <c r="N1267">
        <v>170</v>
      </c>
      <c r="O1267">
        <v>161.5</v>
      </c>
      <c r="P1267" t="s">
        <v>2269</v>
      </c>
      <c r="Q1267" t="s">
        <v>2270</v>
      </c>
      <c r="R1267" t="s">
        <v>2273</v>
      </c>
      <c r="S1267" t="s">
        <v>2285</v>
      </c>
      <c r="T1267" t="s">
        <v>2289</v>
      </c>
      <c r="U1267">
        <v>2</v>
      </c>
      <c r="V1267">
        <v>258</v>
      </c>
      <c r="W1267">
        <v>53</v>
      </c>
      <c r="X1267">
        <v>43.8</v>
      </c>
      <c r="Y1267">
        <v>73.900000000000006</v>
      </c>
      <c r="Z1267" t="s">
        <v>1761</v>
      </c>
      <c r="AA1267" t="s">
        <v>2296</v>
      </c>
      <c r="AB1267">
        <v>170</v>
      </c>
      <c r="AC1267">
        <v>8.5</v>
      </c>
      <c r="AD1267">
        <v>161.5</v>
      </c>
      <c r="AE1267">
        <v>87.6</v>
      </c>
      <c r="AF1267">
        <v>73.900000000000006</v>
      </c>
      <c r="AG1267">
        <v>2024</v>
      </c>
      <c r="AH1267">
        <v>8</v>
      </c>
      <c r="AI1267" t="s">
        <v>2301</v>
      </c>
      <c r="AJ1267" t="s">
        <v>2316</v>
      </c>
    </row>
    <row r="1268" spans="1:36" x14ac:dyDescent="0.3">
      <c r="A1268" t="s">
        <v>1302</v>
      </c>
      <c r="B1268" s="2">
        <v>45320</v>
      </c>
      <c r="C1268" t="s">
        <v>1666</v>
      </c>
      <c r="D1268" t="s">
        <v>1748</v>
      </c>
      <c r="E1268" t="s">
        <v>1991</v>
      </c>
      <c r="F1268" t="s">
        <v>2240</v>
      </c>
      <c r="G1268" t="s">
        <v>2248</v>
      </c>
      <c r="H1268" t="s">
        <v>2257</v>
      </c>
      <c r="I1268" t="s">
        <v>2262</v>
      </c>
      <c r="J1268" t="s">
        <v>2265</v>
      </c>
      <c r="K1268">
        <v>2</v>
      </c>
      <c r="L1268">
        <v>155</v>
      </c>
      <c r="N1268">
        <v>310</v>
      </c>
      <c r="P1268" t="s">
        <v>2267</v>
      </c>
      <c r="Q1268" t="s">
        <v>2272</v>
      </c>
      <c r="R1268" t="s">
        <v>2278</v>
      </c>
      <c r="S1268" t="s">
        <v>2280</v>
      </c>
      <c r="T1268" t="s">
        <v>2288</v>
      </c>
      <c r="U1268">
        <v>1</v>
      </c>
      <c r="V1268">
        <v>40</v>
      </c>
      <c r="W1268">
        <v>55</v>
      </c>
      <c r="X1268">
        <v>59.69</v>
      </c>
      <c r="Z1268" t="s">
        <v>2294</v>
      </c>
      <c r="AA1268" t="s">
        <v>2298</v>
      </c>
      <c r="AB1268">
        <v>310</v>
      </c>
      <c r="AC1268">
        <v>0</v>
      </c>
      <c r="AD1268">
        <v>310</v>
      </c>
      <c r="AE1268">
        <v>119.38</v>
      </c>
      <c r="AF1268">
        <v>190.62</v>
      </c>
      <c r="AG1268">
        <v>2024</v>
      </c>
      <c r="AH1268">
        <v>1</v>
      </c>
      <c r="AI1268" t="s">
        <v>2302</v>
      </c>
      <c r="AJ1268" t="s">
        <v>2314</v>
      </c>
    </row>
    <row r="1269" spans="1:36" x14ac:dyDescent="0.3">
      <c r="A1269" t="s">
        <v>1303</v>
      </c>
      <c r="B1269" s="2">
        <v>45533</v>
      </c>
      <c r="C1269" t="s">
        <v>1646</v>
      </c>
      <c r="D1269" t="s">
        <v>1935</v>
      </c>
      <c r="E1269" t="s">
        <v>2166</v>
      </c>
      <c r="F1269" t="s">
        <v>2238</v>
      </c>
      <c r="G1269" t="s">
        <v>2254</v>
      </c>
      <c r="H1269" t="s">
        <v>2259</v>
      </c>
      <c r="I1269" t="s">
        <v>2263</v>
      </c>
      <c r="J1269" t="s">
        <v>2265</v>
      </c>
      <c r="K1269">
        <v>3</v>
      </c>
      <c r="L1269">
        <v>110</v>
      </c>
      <c r="M1269">
        <v>0</v>
      </c>
      <c r="N1269">
        <v>330</v>
      </c>
      <c r="O1269">
        <v>330</v>
      </c>
      <c r="P1269" t="s">
        <v>2268</v>
      </c>
      <c r="Q1269" t="s">
        <v>2272</v>
      </c>
      <c r="R1269" t="s">
        <v>2277</v>
      </c>
      <c r="S1269" t="s">
        <v>2281</v>
      </c>
      <c r="T1269" t="s">
        <v>2288</v>
      </c>
      <c r="U1269">
        <v>4</v>
      </c>
      <c r="V1269">
        <v>328</v>
      </c>
      <c r="X1269">
        <v>65.98</v>
      </c>
      <c r="Y1269">
        <v>132.06</v>
      </c>
      <c r="Z1269" t="s">
        <v>2293</v>
      </c>
      <c r="AA1269" t="s">
        <v>2298</v>
      </c>
      <c r="AB1269">
        <v>330</v>
      </c>
      <c r="AC1269">
        <v>0</v>
      </c>
      <c r="AD1269">
        <v>330</v>
      </c>
      <c r="AE1269">
        <v>197.94</v>
      </c>
      <c r="AF1269">
        <v>132.06</v>
      </c>
      <c r="AG1269">
        <v>2024</v>
      </c>
      <c r="AH1269">
        <v>8</v>
      </c>
      <c r="AI1269" t="s">
        <v>2301</v>
      </c>
      <c r="AJ1269" t="s">
        <v>2316</v>
      </c>
    </row>
    <row r="1270" spans="1:36" x14ac:dyDescent="0.3">
      <c r="A1270" t="s">
        <v>1304</v>
      </c>
      <c r="B1270" s="2">
        <v>45450</v>
      </c>
      <c r="C1270" t="s">
        <v>1715</v>
      </c>
      <c r="D1270" t="s">
        <v>1783</v>
      </c>
      <c r="E1270" t="s">
        <v>2170</v>
      </c>
      <c r="F1270" t="s">
        <v>2239</v>
      </c>
      <c r="G1270" t="s">
        <v>2241</v>
      </c>
      <c r="H1270" t="s">
        <v>2257</v>
      </c>
      <c r="I1270" t="s">
        <v>2262</v>
      </c>
      <c r="K1270">
        <v>2</v>
      </c>
      <c r="L1270">
        <v>130</v>
      </c>
      <c r="M1270">
        <v>0.05</v>
      </c>
      <c r="N1270">
        <v>260</v>
      </c>
      <c r="O1270">
        <v>247</v>
      </c>
      <c r="P1270" t="s">
        <v>2267</v>
      </c>
      <c r="Q1270" t="s">
        <v>2272</v>
      </c>
      <c r="R1270" t="s">
        <v>2278</v>
      </c>
      <c r="S1270" t="s">
        <v>2284</v>
      </c>
      <c r="T1270" t="s">
        <v>2288</v>
      </c>
      <c r="U1270">
        <v>3</v>
      </c>
      <c r="V1270">
        <v>235</v>
      </c>
      <c r="W1270">
        <v>30</v>
      </c>
      <c r="X1270">
        <v>54.52</v>
      </c>
      <c r="Y1270">
        <v>137.96</v>
      </c>
      <c r="Z1270" t="s">
        <v>2292</v>
      </c>
      <c r="AA1270" t="s">
        <v>2296</v>
      </c>
      <c r="AB1270">
        <v>260</v>
      </c>
      <c r="AC1270">
        <v>13</v>
      </c>
      <c r="AD1270">
        <v>247</v>
      </c>
      <c r="AE1270">
        <v>109.04</v>
      </c>
      <c r="AF1270">
        <v>137.96</v>
      </c>
      <c r="AG1270">
        <v>2024</v>
      </c>
      <c r="AH1270">
        <v>6</v>
      </c>
      <c r="AI1270" t="s">
        <v>2304</v>
      </c>
      <c r="AJ1270" t="s">
        <v>2315</v>
      </c>
    </row>
    <row r="1271" spans="1:36" x14ac:dyDescent="0.3">
      <c r="A1271" t="s">
        <v>1305</v>
      </c>
      <c r="B1271" s="2">
        <v>45309</v>
      </c>
      <c r="C1271" t="s">
        <v>1708</v>
      </c>
      <c r="D1271" t="s">
        <v>1905</v>
      </c>
      <c r="E1271" t="s">
        <v>2138</v>
      </c>
      <c r="F1271" t="s">
        <v>2240</v>
      </c>
      <c r="G1271" t="s">
        <v>2245</v>
      </c>
      <c r="H1271" t="s">
        <v>2257</v>
      </c>
      <c r="I1271" t="s">
        <v>2263</v>
      </c>
      <c r="J1271" t="s">
        <v>2266</v>
      </c>
      <c r="K1271">
        <v>1</v>
      </c>
      <c r="L1271">
        <v>150</v>
      </c>
      <c r="M1271">
        <v>0.05</v>
      </c>
      <c r="N1271">
        <v>150</v>
      </c>
      <c r="O1271">
        <v>142.5</v>
      </c>
      <c r="P1271" t="s">
        <v>2269</v>
      </c>
      <c r="Q1271" t="s">
        <v>2270</v>
      </c>
      <c r="R1271" t="s">
        <v>2278</v>
      </c>
      <c r="S1271" t="s">
        <v>2284</v>
      </c>
      <c r="T1271" t="s">
        <v>2288</v>
      </c>
      <c r="V1271">
        <v>248</v>
      </c>
      <c r="W1271">
        <v>29</v>
      </c>
      <c r="X1271">
        <v>61.45</v>
      </c>
      <c r="Y1271">
        <v>81.05</v>
      </c>
      <c r="Z1271" t="s">
        <v>1761</v>
      </c>
      <c r="AA1271" t="s">
        <v>2296</v>
      </c>
      <c r="AB1271">
        <v>150</v>
      </c>
      <c r="AC1271">
        <v>7.5</v>
      </c>
      <c r="AD1271">
        <v>142.5</v>
      </c>
      <c r="AE1271">
        <v>61.45</v>
      </c>
      <c r="AF1271">
        <v>81.05</v>
      </c>
      <c r="AG1271">
        <v>2024</v>
      </c>
      <c r="AH1271">
        <v>1</v>
      </c>
      <c r="AI1271" t="s">
        <v>2302</v>
      </c>
      <c r="AJ1271" t="s">
        <v>2316</v>
      </c>
    </row>
    <row r="1272" spans="1:36" x14ac:dyDescent="0.3">
      <c r="A1272" t="s">
        <v>1306</v>
      </c>
      <c r="B1272" s="2">
        <v>45294</v>
      </c>
      <c r="C1272" t="s">
        <v>1690</v>
      </c>
      <c r="D1272" t="s">
        <v>1927</v>
      </c>
      <c r="E1272" t="s">
        <v>1994</v>
      </c>
      <c r="F1272" t="s">
        <v>2240</v>
      </c>
      <c r="G1272" t="s">
        <v>2251</v>
      </c>
      <c r="H1272" t="s">
        <v>2258</v>
      </c>
      <c r="I1272" t="s">
        <v>2260</v>
      </c>
      <c r="J1272" t="s">
        <v>2265</v>
      </c>
      <c r="K1272">
        <v>2</v>
      </c>
      <c r="L1272">
        <v>95</v>
      </c>
      <c r="M1272">
        <v>0.05</v>
      </c>
      <c r="N1272">
        <v>190</v>
      </c>
      <c r="O1272">
        <v>180.5</v>
      </c>
      <c r="P1272" t="s">
        <v>2267</v>
      </c>
      <c r="R1272" t="s">
        <v>2274</v>
      </c>
      <c r="S1272" t="s">
        <v>2282</v>
      </c>
      <c r="T1272" t="s">
        <v>2288</v>
      </c>
      <c r="U1272">
        <v>5</v>
      </c>
      <c r="V1272">
        <v>209</v>
      </c>
      <c r="W1272">
        <v>58</v>
      </c>
      <c r="X1272">
        <v>43</v>
      </c>
      <c r="Y1272">
        <v>94.5</v>
      </c>
      <c r="Z1272" t="s">
        <v>2292</v>
      </c>
      <c r="AA1272" t="s">
        <v>2296</v>
      </c>
      <c r="AB1272">
        <v>190</v>
      </c>
      <c r="AC1272">
        <v>9.5</v>
      </c>
      <c r="AD1272">
        <v>180.5</v>
      </c>
      <c r="AE1272">
        <v>86</v>
      </c>
      <c r="AF1272">
        <v>94.5</v>
      </c>
      <c r="AG1272">
        <v>2024</v>
      </c>
      <c r="AH1272">
        <v>1</v>
      </c>
      <c r="AI1272" t="s">
        <v>2302</v>
      </c>
      <c r="AJ1272" t="s">
        <v>2312</v>
      </c>
    </row>
    <row r="1273" spans="1:36" x14ac:dyDescent="0.3">
      <c r="A1273" t="s">
        <v>1307</v>
      </c>
      <c r="B1273" s="2">
        <v>45474</v>
      </c>
      <c r="C1273" t="s">
        <v>1685</v>
      </c>
      <c r="D1273" t="s">
        <v>1808</v>
      </c>
      <c r="E1273" t="s">
        <v>2197</v>
      </c>
      <c r="F1273" t="s">
        <v>2240</v>
      </c>
      <c r="G1273" t="s">
        <v>2246</v>
      </c>
      <c r="H1273" t="s">
        <v>2259</v>
      </c>
      <c r="I1273" t="s">
        <v>2262</v>
      </c>
      <c r="K1273">
        <v>1</v>
      </c>
      <c r="L1273">
        <v>100</v>
      </c>
      <c r="M1273">
        <v>0</v>
      </c>
      <c r="N1273">
        <v>100</v>
      </c>
      <c r="O1273">
        <v>100</v>
      </c>
      <c r="P1273" t="s">
        <v>2269</v>
      </c>
      <c r="Q1273" t="s">
        <v>2271</v>
      </c>
      <c r="R1273" t="s">
        <v>2276</v>
      </c>
      <c r="S1273" t="s">
        <v>2285</v>
      </c>
      <c r="T1273" t="s">
        <v>2288</v>
      </c>
      <c r="U1273">
        <v>1</v>
      </c>
      <c r="V1273">
        <v>350</v>
      </c>
      <c r="W1273">
        <v>44</v>
      </c>
      <c r="X1273">
        <v>34.85</v>
      </c>
      <c r="Y1273">
        <v>65.150000000000006</v>
      </c>
      <c r="Z1273" t="s">
        <v>2294</v>
      </c>
      <c r="AA1273" t="s">
        <v>1761</v>
      </c>
      <c r="AB1273">
        <v>100</v>
      </c>
      <c r="AC1273">
        <v>0</v>
      </c>
      <c r="AD1273">
        <v>100</v>
      </c>
      <c r="AE1273">
        <v>34.85</v>
      </c>
      <c r="AF1273">
        <v>65.150000000000006</v>
      </c>
      <c r="AG1273">
        <v>2024</v>
      </c>
      <c r="AH1273">
        <v>7</v>
      </c>
      <c r="AI1273" t="s">
        <v>2307</v>
      </c>
      <c r="AJ1273" t="s">
        <v>2314</v>
      </c>
    </row>
    <row r="1274" spans="1:36" x14ac:dyDescent="0.3">
      <c r="A1274" t="s">
        <v>1308</v>
      </c>
      <c r="B1274" s="2">
        <v>45546</v>
      </c>
      <c r="C1274" t="s">
        <v>1683</v>
      </c>
      <c r="D1274" t="s">
        <v>1804</v>
      </c>
      <c r="E1274" t="s">
        <v>2125</v>
      </c>
      <c r="F1274" t="s">
        <v>2240</v>
      </c>
      <c r="G1274" t="s">
        <v>2256</v>
      </c>
      <c r="H1274" t="s">
        <v>2261</v>
      </c>
      <c r="I1274" t="s">
        <v>2260</v>
      </c>
      <c r="J1274" t="s">
        <v>2265</v>
      </c>
      <c r="K1274">
        <v>2</v>
      </c>
      <c r="L1274">
        <v>190</v>
      </c>
      <c r="M1274">
        <v>0.1</v>
      </c>
      <c r="N1274">
        <v>380</v>
      </c>
      <c r="O1274">
        <v>342</v>
      </c>
      <c r="P1274" t="s">
        <v>2267</v>
      </c>
      <c r="Q1274" t="s">
        <v>2270</v>
      </c>
      <c r="R1274" t="s">
        <v>2273</v>
      </c>
      <c r="S1274" t="s">
        <v>2283</v>
      </c>
      <c r="T1274" t="s">
        <v>2290</v>
      </c>
      <c r="U1274">
        <v>5</v>
      </c>
      <c r="V1274">
        <v>344</v>
      </c>
      <c r="W1274">
        <v>24</v>
      </c>
      <c r="X1274">
        <v>82.11</v>
      </c>
      <c r="Y1274">
        <v>177.78</v>
      </c>
      <c r="Z1274" t="s">
        <v>2293</v>
      </c>
      <c r="AA1274" t="s">
        <v>2298</v>
      </c>
      <c r="AB1274">
        <v>380</v>
      </c>
      <c r="AC1274">
        <v>38</v>
      </c>
      <c r="AD1274">
        <v>342</v>
      </c>
      <c r="AE1274">
        <v>164.22</v>
      </c>
      <c r="AF1274">
        <v>177.78</v>
      </c>
      <c r="AG1274">
        <v>2024</v>
      </c>
      <c r="AH1274">
        <v>9</v>
      </c>
      <c r="AI1274" t="s">
        <v>2300</v>
      </c>
      <c r="AJ1274" t="s">
        <v>2312</v>
      </c>
    </row>
    <row r="1275" spans="1:36" x14ac:dyDescent="0.3">
      <c r="A1275" t="s">
        <v>1309</v>
      </c>
      <c r="B1275" s="2">
        <v>45494</v>
      </c>
      <c r="C1275" t="s">
        <v>1707</v>
      </c>
      <c r="D1275" t="s">
        <v>1776</v>
      </c>
      <c r="E1275" t="s">
        <v>2218</v>
      </c>
      <c r="F1275" t="s">
        <v>1761</v>
      </c>
      <c r="G1275" t="s">
        <v>2243</v>
      </c>
      <c r="H1275" t="s">
        <v>2258</v>
      </c>
      <c r="I1275" t="s">
        <v>2260</v>
      </c>
      <c r="J1275" t="s">
        <v>2266</v>
      </c>
      <c r="K1275">
        <v>2</v>
      </c>
      <c r="L1275">
        <v>75</v>
      </c>
      <c r="M1275">
        <v>0</v>
      </c>
      <c r="N1275">
        <v>150</v>
      </c>
      <c r="O1275">
        <v>150</v>
      </c>
      <c r="P1275" t="s">
        <v>2267</v>
      </c>
      <c r="R1275" t="s">
        <v>2277</v>
      </c>
      <c r="S1275" t="s">
        <v>2286</v>
      </c>
      <c r="T1275" t="s">
        <v>2289</v>
      </c>
      <c r="U1275">
        <v>5</v>
      </c>
      <c r="V1275">
        <v>163</v>
      </c>
      <c r="W1275">
        <v>22</v>
      </c>
      <c r="X1275">
        <v>39.119999999999997</v>
      </c>
      <c r="Y1275">
        <v>71.760000000000005</v>
      </c>
      <c r="Z1275" t="s">
        <v>2292</v>
      </c>
      <c r="AA1275" t="s">
        <v>2297</v>
      </c>
      <c r="AB1275">
        <v>150</v>
      </c>
      <c r="AC1275">
        <v>0</v>
      </c>
      <c r="AD1275">
        <v>150</v>
      </c>
      <c r="AE1275">
        <v>78.239999999999995</v>
      </c>
      <c r="AF1275">
        <v>71.760000000000005</v>
      </c>
      <c r="AG1275">
        <v>2024</v>
      </c>
      <c r="AH1275">
        <v>7</v>
      </c>
      <c r="AI1275" t="s">
        <v>2307</v>
      </c>
      <c r="AJ1275" t="s">
        <v>2318</v>
      </c>
    </row>
    <row r="1276" spans="1:36" x14ac:dyDescent="0.3">
      <c r="A1276" t="s">
        <v>1310</v>
      </c>
      <c r="B1276" s="2">
        <v>45378</v>
      </c>
      <c r="C1276" t="s">
        <v>1637</v>
      </c>
      <c r="D1276" t="s">
        <v>1882</v>
      </c>
      <c r="E1276" t="s">
        <v>2049</v>
      </c>
      <c r="F1276" t="s">
        <v>2240</v>
      </c>
      <c r="G1276" t="s">
        <v>2241</v>
      </c>
      <c r="H1276" t="s">
        <v>2257</v>
      </c>
      <c r="I1276" t="s">
        <v>2262</v>
      </c>
      <c r="J1276" t="s">
        <v>2265</v>
      </c>
      <c r="K1276">
        <v>2</v>
      </c>
      <c r="L1276">
        <v>130</v>
      </c>
      <c r="M1276">
        <v>0</v>
      </c>
      <c r="N1276">
        <v>260</v>
      </c>
      <c r="O1276">
        <v>260</v>
      </c>
      <c r="Q1276" t="s">
        <v>2272</v>
      </c>
      <c r="R1276" t="s">
        <v>2276</v>
      </c>
      <c r="S1276" t="s">
        <v>2284</v>
      </c>
      <c r="T1276" t="s">
        <v>2290</v>
      </c>
      <c r="U1276">
        <v>1</v>
      </c>
      <c r="V1276">
        <v>413</v>
      </c>
      <c r="W1276">
        <v>58</v>
      </c>
      <c r="X1276">
        <v>53.56</v>
      </c>
      <c r="Y1276">
        <v>152.88</v>
      </c>
      <c r="Z1276" t="s">
        <v>2294</v>
      </c>
      <c r="AA1276" t="s">
        <v>2296</v>
      </c>
      <c r="AB1276">
        <v>260</v>
      </c>
      <c r="AC1276">
        <v>0</v>
      </c>
      <c r="AD1276">
        <v>260</v>
      </c>
      <c r="AE1276">
        <v>107.12</v>
      </c>
      <c r="AF1276">
        <v>152.88</v>
      </c>
      <c r="AG1276">
        <v>2024</v>
      </c>
      <c r="AH1276">
        <v>3</v>
      </c>
      <c r="AI1276" t="s">
        <v>2305</v>
      </c>
      <c r="AJ1276" t="s">
        <v>2312</v>
      </c>
    </row>
    <row r="1277" spans="1:36" x14ac:dyDescent="0.3">
      <c r="A1277" t="s">
        <v>1311</v>
      </c>
      <c r="B1277" s="2">
        <v>45474</v>
      </c>
      <c r="C1277" t="s">
        <v>1703</v>
      </c>
      <c r="D1277" t="s">
        <v>1770</v>
      </c>
      <c r="E1277" t="s">
        <v>1947</v>
      </c>
      <c r="F1277" t="s">
        <v>2239</v>
      </c>
      <c r="G1277" t="s">
        <v>2253</v>
      </c>
      <c r="H1277" t="s">
        <v>2258</v>
      </c>
      <c r="I1277" t="s">
        <v>2260</v>
      </c>
      <c r="K1277">
        <v>4</v>
      </c>
      <c r="L1277">
        <v>90</v>
      </c>
      <c r="N1277">
        <v>360</v>
      </c>
      <c r="P1277" t="s">
        <v>2267</v>
      </c>
      <c r="Q1277" t="s">
        <v>2270</v>
      </c>
      <c r="R1277" t="s">
        <v>2276</v>
      </c>
      <c r="S1277" t="s">
        <v>2280</v>
      </c>
      <c r="T1277" t="s">
        <v>2288</v>
      </c>
      <c r="V1277">
        <v>261</v>
      </c>
      <c r="X1277">
        <v>31.91</v>
      </c>
      <c r="Z1277" t="s">
        <v>1761</v>
      </c>
      <c r="AA1277" t="s">
        <v>2297</v>
      </c>
      <c r="AB1277">
        <v>360</v>
      </c>
      <c r="AC1277">
        <v>0</v>
      </c>
      <c r="AD1277">
        <v>360</v>
      </c>
      <c r="AE1277">
        <v>127.64</v>
      </c>
      <c r="AF1277">
        <v>232.36</v>
      </c>
      <c r="AG1277">
        <v>2024</v>
      </c>
      <c r="AH1277">
        <v>7</v>
      </c>
      <c r="AI1277" t="s">
        <v>2307</v>
      </c>
      <c r="AJ1277" t="s">
        <v>2314</v>
      </c>
    </row>
    <row r="1278" spans="1:36" x14ac:dyDescent="0.3">
      <c r="A1278" t="s">
        <v>1312</v>
      </c>
      <c r="C1278" t="s">
        <v>1715</v>
      </c>
      <c r="D1278" t="s">
        <v>1822</v>
      </c>
      <c r="E1278" t="s">
        <v>2222</v>
      </c>
      <c r="F1278" t="s">
        <v>2239</v>
      </c>
      <c r="G1278" t="s">
        <v>2256</v>
      </c>
      <c r="H1278" t="s">
        <v>2261</v>
      </c>
      <c r="I1278" t="s">
        <v>2260</v>
      </c>
      <c r="J1278" t="s">
        <v>2264</v>
      </c>
      <c r="K1278">
        <v>1</v>
      </c>
      <c r="L1278">
        <v>185</v>
      </c>
      <c r="M1278">
        <v>0.1</v>
      </c>
      <c r="N1278">
        <v>185</v>
      </c>
      <c r="O1278">
        <v>166.5</v>
      </c>
      <c r="P1278" t="s">
        <v>2268</v>
      </c>
      <c r="R1278" t="s">
        <v>2275</v>
      </c>
      <c r="S1278" t="s">
        <v>2283</v>
      </c>
      <c r="T1278" t="s">
        <v>2288</v>
      </c>
      <c r="U1278">
        <v>1</v>
      </c>
      <c r="V1278">
        <v>452</v>
      </c>
      <c r="W1278">
        <v>48</v>
      </c>
      <c r="X1278">
        <v>100.6</v>
      </c>
      <c r="Y1278">
        <v>65.900000000000006</v>
      </c>
      <c r="Z1278" t="s">
        <v>2293</v>
      </c>
      <c r="AA1278" t="s">
        <v>2296</v>
      </c>
      <c r="AB1278">
        <v>185</v>
      </c>
      <c r="AC1278">
        <v>18.5</v>
      </c>
      <c r="AD1278">
        <v>166.5</v>
      </c>
      <c r="AE1278">
        <v>100.6</v>
      </c>
      <c r="AF1278">
        <v>65.900000000000006</v>
      </c>
    </row>
    <row r="1279" spans="1:36" x14ac:dyDescent="0.3">
      <c r="A1279" t="s">
        <v>1313</v>
      </c>
      <c r="B1279" s="2">
        <v>45348</v>
      </c>
      <c r="C1279" t="s">
        <v>1727</v>
      </c>
      <c r="D1279" t="s">
        <v>1791</v>
      </c>
      <c r="E1279" t="s">
        <v>2218</v>
      </c>
      <c r="F1279" t="s">
        <v>2240</v>
      </c>
      <c r="G1279" t="s">
        <v>2248</v>
      </c>
      <c r="H1279" t="s">
        <v>2257</v>
      </c>
      <c r="I1279" t="s">
        <v>2262</v>
      </c>
      <c r="K1279">
        <v>1</v>
      </c>
      <c r="L1279">
        <v>155</v>
      </c>
      <c r="M1279">
        <v>0</v>
      </c>
      <c r="N1279">
        <v>155</v>
      </c>
      <c r="O1279">
        <v>155</v>
      </c>
      <c r="P1279" t="s">
        <v>2267</v>
      </c>
      <c r="Q1279" t="s">
        <v>2270</v>
      </c>
      <c r="R1279" t="s">
        <v>2279</v>
      </c>
      <c r="S1279" t="s">
        <v>2283</v>
      </c>
      <c r="T1279" t="s">
        <v>2288</v>
      </c>
      <c r="U1279">
        <v>4</v>
      </c>
      <c r="V1279">
        <v>104</v>
      </c>
      <c r="W1279">
        <v>46</v>
      </c>
      <c r="X1279">
        <v>76.77</v>
      </c>
      <c r="Y1279">
        <v>78.23</v>
      </c>
      <c r="Z1279" t="s">
        <v>2292</v>
      </c>
      <c r="AA1279" t="s">
        <v>2296</v>
      </c>
      <c r="AB1279">
        <v>155</v>
      </c>
      <c r="AC1279">
        <v>0</v>
      </c>
      <c r="AD1279">
        <v>155</v>
      </c>
      <c r="AE1279">
        <v>76.77</v>
      </c>
      <c r="AF1279">
        <v>78.23</v>
      </c>
      <c r="AG1279">
        <v>2024</v>
      </c>
      <c r="AH1279">
        <v>2</v>
      </c>
      <c r="AI1279" t="s">
        <v>2303</v>
      </c>
      <c r="AJ1279" t="s">
        <v>2314</v>
      </c>
    </row>
    <row r="1280" spans="1:36" x14ac:dyDescent="0.3">
      <c r="A1280" t="s">
        <v>1314</v>
      </c>
      <c r="B1280" s="2">
        <v>45580</v>
      </c>
      <c r="C1280" t="s">
        <v>1723</v>
      </c>
      <c r="D1280" t="s">
        <v>1809</v>
      </c>
      <c r="E1280" t="s">
        <v>1944</v>
      </c>
      <c r="F1280" t="s">
        <v>2240</v>
      </c>
      <c r="G1280" t="s">
        <v>2251</v>
      </c>
      <c r="H1280" t="s">
        <v>2258</v>
      </c>
      <c r="I1280" t="s">
        <v>2260</v>
      </c>
      <c r="J1280" t="s">
        <v>2264</v>
      </c>
      <c r="K1280">
        <v>4</v>
      </c>
      <c r="L1280">
        <v>110</v>
      </c>
      <c r="M1280">
        <v>0.05</v>
      </c>
      <c r="N1280">
        <v>440</v>
      </c>
      <c r="O1280">
        <v>418</v>
      </c>
      <c r="P1280" t="s">
        <v>2267</v>
      </c>
      <c r="Q1280" t="s">
        <v>2272</v>
      </c>
      <c r="R1280" t="s">
        <v>2278</v>
      </c>
      <c r="S1280" t="s">
        <v>2282</v>
      </c>
      <c r="T1280" t="s">
        <v>2288</v>
      </c>
      <c r="U1280">
        <v>5</v>
      </c>
      <c r="V1280">
        <v>460</v>
      </c>
      <c r="W1280">
        <v>11</v>
      </c>
      <c r="X1280">
        <v>53.54</v>
      </c>
      <c r="Y1280">
        <v>203.84</v>
      </c>
      <c r="Z1280" t="s">
        <v>2292</v>
      </c>
      <c r="AA1280" t="s">
        <v>2299</v>
      </c>
      <c r="AB1280">
        <v>440</v>
      </c>
      <c r="AC1280">
        <v>22</v>
      </c>
      <c r="AD1280">
        <v>418</v>
      </c>
      <c r="AE1280">
        <v>214.16</v>
      </c>
      <c r="AF1280">
        <v>203.84</v>
      </c>
      <c r="AG1280">
        <v>2024</v>
      </c>
      <c r="AH1280">
        <v>10</v>
      </c>
      <c r="AI1280" t="s">
        <v>2310</v>
      </c>
      <c r="AJ1280" t="s">
        <v>2313</v>
      </c>
    </row>
    <row r="1281" spans="1:36" x14ac:dyDescent="0.3">
      <c r="A1281" t="s">
        <v>1315</v>
      </c>
      <c r="B1281" s="2">
        <v>45634</v>
      </c>
      <c r="C1281" t="s">
        <v>1657</v>
      </c>
      <c r="D1281" t="s">
        <v>1813</v>
      </c>
      <c r="E1281" t="s">
        <v>1959</v>
      </c>
      <c r="F1281" t="s">
        <v>1761</v>
      </c>
      <c r="G1281" t="s">
        <v>2250</v>
      </c>
      <c r="H1281" t="s">
        <v>2259</v>
      </c>
      <c r="I1281" t="s">
        <v>2262</v>
      </c>
      <c r="J1281" t="s">
        <v>2266</v>
      </c>
      <c r="K1281">
        <v>1</v>
      </c>
      <c r="L1281">
        <v>80</v>
      </c>
      <c r="M1281">
        <v>0.05</v>
      </c>
      <c r="N1281">
        <v>80</v>
      </c>
      <c r="O1281">
        <v>76</v>
      </c>
      <c r="P1281" t="s">
        <v>2268</v>
      </c>
      <c r="Q1281" t="s">
        <v>2271</v>
      </c>
      <c r="R1281" t="s">
        <v>2274</v>
      </c>
      <c r="S1281" t="s">
        <v>2284</v>
      </c>
      <c r="T1281" t="s">
        <v>2288</v>
      </c>
      <c r="U1281">
        <v>1</v>
      </c>
      <c r="V1281">
        <v>11</v>
      </c>
      <c r="W1281">
        <v>41</v>
      </c>
      <c r="X1281">
        <v>39.479999999999997</v>
      </c>
      <c r="Y1281">
        <v>36.520000000000003</v>
      </c>
      <c r="Z1281" t="s">
        <v>2294</v>
      </c>
      <c r="AA1281" t="s">
        <v>2298</v>
      </c>
      <c r="AB1281">
        <v>80</v>
      </c>
      <c r="AC1281">
        <v>4</v>
      </c>
      <c r="AD1281">
        <v>76</v>
      </c>
      <c r="AE1281">
        <v>39.479999999999997</v>
      </c>
      <c r="AF1281">
        <v>36.520000000000003</v>
      </c>
      <c r="AG1281">
        <v>2024</v>
      </c>
      <c r="AH1281">
        <v>12</v>
      </c>
      <c r="AI1281" t="s">
        <v>2309</v>
      </c>
      <c r="AJ1281" t="s">
        <v>2318</v>
      </c>
    </row>
    <row r="1282" spans="1:36" x14ac:dyDescent="0.3">
      <c r="A1282" t="s">
        <v>1316</v>
      </c>
      <c r="B1282" s="2">
        <v>45465</v>
      </c>
      <c r="C1282" t="s">
        <v>1739</v>
      </c>
      <c r="D1282" t="s">
        <v>1792</v>
      </c>
      <c r="E1282" t="s">
        <v>1994</v>
      </c>
      <c r="F1282" t="s">
        <v>2239</v>
      </c>
      <c r="G1282" t="s">
        <v>2247</v>
      </c>
      <c r="H1282" t="s">
        <v>2257</v>
      </c>
      <c r="I1282" t="s">
        <v>2262</v>
      </c>
      <c r="J1282" t="s">
        <v>2264</v>
      </c>
      <c r="K1282">
        <v>4</v>
      </c>
      <c r="L1282">
        <v>110</v>
      </c>
      <c r="M1282">
        <v>0</v>
      </c>
      <c r="N1282">
        <v>440</v>
      </c>
      <c r="O1282">
        <v>440</v>
      </c>
      <c r="P1282" t="s">
        <v>2267</v>
      </c>
      <c r="R1282" t="s">
        <v>2275</v>
      </c>
      <c r="S1282" t="s">
        <v>2282</v>
      </c>
      <c r="T1282" t="s">
        <v>2289</v>
      </c>
      <c r="U1282">
        <v>2</v>
      </c>
      <c r="V1282">
        <v>474</v>
      </c>
      <c r="W1282">
        <v>24</v>
      </c>
      <c r="X1282">
        <v>54.96</v>
      </c>
      <c r="Y1282">
        <v>220.16</v>
      </c>
      <c r="Z1282" t="s">
        <v>1761</v>
      </c>
      <c r="AA1282" t="s">
        <v>2296</v>
      </c>
      <c r="AB1282">
        <v>440</v>
      </c>
      <c r="AC1282">
        <v>0</v>
      </c>
      <c r="AD1282">
        <v>440</v>
      </c>
      <c r="AE1282">
        <v>219.84</v>
      </c>
      <c r="AF1282">
        <v>220.16</v>
      </c>
      <c r="AG1282">
        <v>2024</v>
      </c>
      <c r="AH1282">
        <v>6</v>
      </c>
      <c r="AI1282" t="s">
        <v>2304</v>
      </c>
      <c r="AJ1282" t="s">
        <v>2317</v>
      </c>
    </row>
    <row r="1283" spans="1:36" x14ac:dyDescent="0.3">
      <c r="A1283" t="s">
        <v>1317</v>
      </c>
      <c r="B1283" s="2">
        <v>45533</v>
      </c>
      <c r="C1283" t="s">
        <v>1658</v>
      </c>
      <c r="D1283" t="s">
        <v>1934</v>
      </c>
      <c r="E1283" t="s">
        <v>1994</v>
      </c>
      <c r="F1283" t="s">
        <v>2238</v>
      </c>
      <c r="G1283" t="s">
        <v>2243</v>
      </c>
      <c r="H1283" t="s">
        <v>2258</v>
      </c>
      <c r="I1283" t="s">
        <v>2260</v>
      </c>
      <c r="J1283" t="s">
        <v>2265</v>
      </c>
      <c r="K1283">
        <v>1</v>
      </c>
      <c r="L1283">
        <v>80</v>
      </c>
      <c r="M1283">
        <v>0.05</v>
      </c>
      <c r="N1283">
        <v>80</v>
      </c>
      <c r="O1283">
        <v>76</v>
      </c>
      <c r="P1283" t="s">
        <v>2268</v>
      </c>
      <c r="R1283" t="s">
        <v>2275</v>
      </c>
      <c r="S1283" t="s">
        <v>2282</v>
      </c>
      <c r="T1283" t="s">
        <v>2290</v>
      </c>
      <c r="U1283">
        <v>1</v>
      </c>
      <c r="V1283">
        <v>43</v>
      </c>
      <c r="W1283">
        <v>22</v>
      </c>
      <c r="X1283">
        <v>34.92</v>
      </c>
      <c r="Y1283">
        <v>41.08</v>
      </c>
      <c r="Z1283" t="s">
        <v>2292</v>
      </c>
      <c r="AA1283" t="s">
        <v>2298</v>
      </c>
      <c r="AB1283">
        <v>80</v>
      </c>
      <c r="AC1283">
        <v>4</v>
      </c>
      <c r="AD1283">
        <v>76</v>
      </c>
      <c r="AE1283">
        <v>34.92</v>
      </c>
      <c r="AF1283">
        <v>41.08</v>
      </c>
      <c r="AG1283">
        <v>2024</v>
      </c>
      <c r="AH1283">
        <v>8</v>
      </c>
      <c r="AI1283" t="s">
        <v>2301</v>
      </c>
      <c r="AJ1283" t="s">
        <v>2316</v>
      </c>
    </row>
    <row r="1284" spans="1:36" x14ac:dyDescent="0.3">
      <c r="A1284" t="s">
        <v>1318</v>
      </c>
      <c r="B1284" s="2">
        <v>45651</v>
      </c>
      <c r="C1284" t="s">
        <v>1708</v>
      </c>
      <c r="D1284" t="s">
        <v>1788</v>
      </c>
      <c r="E1284" t="s">
        <v>2063</v>
      </c>
      <c r="F1284" t="s">
        <v>2240</v>
      </c>
      <c r="G1284" t="s">
        <v>2241</v>
      </c>
      <c r="H1284" t="s">
        <v>2257</v>
      </c>
      <c r="I1284" t="s">
        <v>2262</v>
      </c>
      <c r="J1284" t="s">
        <v>2265</v>
      </c>
      <c r="K1284">
        <v>2</v>
      </c>
      <c r="L1284">
        <v>140</v>
      </c>
      <c r="M1284">
        <v>0.1</v>
      </c>
      <c r="N1284">
        <v>280</v>
      </c>
      <c r="O1284">
        <v>252</v>
      </c>
      <c r="P1284" t="s">
        <v>2267</v>
      </c>
      <c r="Q1284" t="s">
        <v>2272</v>
      </c>
      <c r="R1284" t="s">
        <v>2277</v>
      </c>
      <c r="S1284" t="s">
        <v>2285</v>
      </c>
      <c r="T1284" t="s">
        <v>2289</v>
      </c>
      <c r="U1284">
        <v>5</v>
      </c>
      <c r="V1284">
        <v>223</v>
      </c>
      <c r="W1284">
        <v>55</v>
      </c>
      <c r="X1284">
        <v>49.98</v>
      </c>
      <c r="Y1284">
        <v>152.04</v>
      </c>
      <c r="Z1284" t="s">
        <v>2293</v>
      </c>
      <c r="AA1284" t="s">
        <v>2296</v>
      </c>
      <c r="AB1284">
        <v>280</v>
      </c>
      <c r="AC1284">
        <v>28</v>
      </c>
      <c r="AD1284">
        <v>252</v>
      </c>
      <c r="AE1284">
        <v>99.96</v>
      </c>
      <c r="AF1284">
        <v>152.04</v>
      </c>
      <c r="AG1284">
        <v>2024</v>
      </c>
      <c r="AH1284">
        <v>12</v>
      </c>
      <c r="AI1284" t="s">
        <v>2309</v>
      </c>
      <c r="AJ1284" t="s">
        <v>2312</v>
      </c>
    </row>
    <row r="1285" spans="1:36" x14ac:dyDescent="0.3">
      <c r="A1285" t="s">
        <v>1319</v>
      </c>
      <c r="B1285" s="2">
        <v>45295</v>
      </c>
      <c r="C1285" t="s">
        <v>1669</v>
      </c>
      <c r="D1285" t="s">
        <v>1940</v>
      </c>
      <c r="E1285" t="s">
        <v>2148</v>
      </c>
      <c r="F1285" t="s">
        <v>2238</v>
      </c>
      <c r="G1285" t="s">
        <v>2243</v>
      </c>
      <c r="H1285" t="s">
        <v>2258</v>
      </c>
      <c r="I1285" t="s">
        <v>2260</v>
      </c>
      <c r="J1285" t="s">
        <v>2266</v>
      </c>
      <c r="L1285">
        <v>70</v>
      </c>
      <c r="M1285">
        <v>0</v>
      </c>
      <c r="N1285">
        <v>70</v>
      </c>
      <c r="O1285">
        <v>70</v>
      </c>
      <c r="Q1285" t="s">
        <v>2272</v>
      </c>
      <c r="R1285" t="s">
        <v>2273</v>
      </c>
      <c r="S1285" t="s">
        <v>2283</v>
      </c>
      <c r="T1285" t="s">
        <v>2289</v>
      </c>
      <c r="U1285">
        <v>3</v>
      </c>
      <c r="V1285">
        <v>249</v>
      </c>
      <c r="W1285">
        <v>60</v>
      </c>
      <c r="X1285">
        <v>27.09</v>
      </c>
      <c r="Y1285">
        <v>42.91</v>
      </c>
      <c r="Z1285" t="s">
        <v>2293</v>
      </c>
      <c r="AA1285" t="s">
        <v>2296</v>
      </c>
      <c r="AG1285">
        <v>2024</v>
      </c>
      <c r="AH1285">
        <v>1</v>
      </c>
      <c r="AI1285" t="s">
        <v>2302</v>
      </c>
      <c r="AJ1285" t="s">
        <v>2316</v>
      </c>
    </row>
    <row r="1286" spans="1:36" x14ac:dyDescent="0.3">
      <c r="A1286" t="s">
        <v>1320</v>
      </c>
      <c r="B1286" s="2">
        <v>45339</v>
      </c>
      <c r="C1286" t="s">
        <v>1680</v>
      </c>
      <c r="D1286" t="s">
        <v>1759</v>
      </c>
      <c r="E1286" t="s">
        <v>2216</v>
      </c>
      <c r="F1286" t="s">
        <v>2240</v>
      </c>
      <c r="G1286" t="s">
        <v>2242</v>
      </c>
      <c r="H1286" t="s">
        <v>2258</v>
      </c>
      <c r="I1286" t="s">
        <v>2260</v>
      </c>
      <c r="J1286" t="s">
        <v>2264</v>
      </c>
      <c r="K1286">
        <v>1</v>
      </c>
      <c r="L1286">
        <v>130</v>
      </c>
      <c r="M1286">
        <v>0.1</v>
      </c>
      <c r="N1286">
        <v>130</v>
      </c>
      <c r="O1286">
        <v>117</v>
      </c>
      <c r="P1286" t="s">
        <v>2268</v>
      </c>
      <c r="Q1286" t="s">
        <v>2271</v>
      </c>
      <c r="R1286" t="s">
        <v>2275</v>
      </c>
      <c r="S1286" t="s">
        <v>2286</v>
      </c>
      <c r="T1286" t="s">
        <v>2288</v>
      </c>
      <c r="U1286">
        <v>4</v>
      </c>
      <c r="V1286">
        <v>462</v>
      </c>
      <c r="X1286">
        <v>60.13</v>
      </c>
      <c r="Y1286">
        <v>56.87</v>
      </c>
      <c r="Z1286" t="s">
        <v>1761</v>
      </c>
      <c r="AA1286" t="s">
        <v>2299</v>
      </c>
      <c r="AB1286">
        <v>130</v>
      </c>
      <c r="AC1286">
        <v>13</v>
      </c>
      <c r="AD1286">
        <v>117</v>
      </c>
      <c r="AE1286">
        <v>60.13</v>
      </c>
      <c r="AF1286">
        <v>56.87</v>
      </c>
      <c r="AG1286">
        <v>2024</v>
      </c>
      <c r="AH1286">
        <v>2</v>
      </c>
      <c r="AI1286" t="s">
        <v>2303</v>
      </c>
      <c r="AJ1286" t="s">
        <v>2317</v>
      </c>
    </row>
    <row r="1287" spans="1:36" x14ac:dyDescent="0.3">
      <c r="A1287" t="s">
        <v>1321</v>
      </c>
      <c r="B1287" s="2">
        <v>45309</v>
      </c>
      <c r="C1287" t="s">
        <v>1658</v>
      </c>
      <c r="D1287" t="s">
        <v>1882</v>
      </c>
      <c r="E1287" t="s">
        <v>2217</v>
      </c>
      <c r="F1287" t="s">
        <v>2239</v>
      </c>
      <c r="G1287" t="s">
        <v>2242</v>
      </c>
      <c r="H1287" t="s">
        <v>2258</v>
      </c>
      <c r="I1287" t="s">
        <v>2260</v>
      </c>
      <c r="J1287" t="s">
        <v>2264</v>
      </c>
      <c r="K1287">
        <v>2</v>
      </c>
      <c r="L1287">
        <v>115</v>
      </c>
      <c r="M1287">
        <v>0.1</v>
      </c>
      <c r="N1287">
        <v>230</v>
      </c>
      <c r="O1287">
        <v>207</v>
      </c>
      <c r="Q1287" t="s">
        <v>2270</v>
      </c>
      <c r="R1287" t="s">
        <v>2274</v>
      </c>
      <c r="S1287" t="s">
        <v>2284</v>
      </c>
      <c r="T1287" t="s">
        <v>2288</v>
      </c>
      <c r="U1287">
        <v>2</v>
      </c>
      <c r="V1287">
        <v>381</v>
      </c>
      <c r="W1287">
        <v>21</v>
      </c>
      <c r="X1287">
        <v>58.29</v>
      </c>
      <c r="Y1287">
        <v>90.42</v>
      </c>
      <c r="Z1287" t="s">
        <v>2291</v>
      </c>
      <c r="AA1287" t="s">
        <v>2297</v>
      </c>
      <c r="AB1287">
        <v>230</v>
      </c>
      <c r="AC1287">
        <v>23</v>
      </c>
      <c r="AD1287">
        <v>207</v>
      </c>
      <c r="AE1287">
        <v>116.58</v>
      </c>
      <c r="AF1287">
        <v>90.42</v>
      </c>
      <c r="AG1287">
        <v>2024</v>
      </c>
      <c r="AH1287">
        <v>1</v>
      </c>
      <c r="AI1287" t="s">
        <v>2302</v>
      </c>
      <c r="AJ1287" t="s">
        <v>2316</v>
      </c>
    </row>
    <row r="1288" spans="1:36" x14ac:dyDescent="0.3">
      <c r="A1288" t="s">
        <v>1322</v>
      </c>
      <c r="B1288" s="2">
        <v>45650</v>
      </c>
      <c r="C1288" t="s">
        <v>1700</v>
      </c>
      <c r="D1288" t="s">
        <v>1865</v>
      </c>
      <c r="E1288" t="s">
        <v>1958</v>
      </c>
      <c r="F1288" t="s">
        <v>2239</v>
      </c>
      <c r="G1288" t="s">
        <v>2256</v>
      </c>
      <c r="H1288" t="s">
        <v>2261</v>
      </c>
      <c r="I1288" t="s">
        <v>2260</v>
      </c>
      <c r="J1288" t="s">
        <v>2265</v>
      </c>
      <c r="K1288">
        <v>1</v>
      </c>
      <c r="L1288">
        <v>190</v>
      </c>
      <c r="M1288">
        <v>0</v>
      </c>
      <c r="N1288">
        <v>190</v>
      </c>
      <c r="O1288">
        <v>190</v>
      </c>
      <c r="P1288" t="s">
        <v>2267</v>
      </c>
      <c r="Q1288" t="s">
        <v>2270</v>
      </c>
      <c r="R1288" t="s">
        <v>2278</v>
      </c>
      <c r="S1288" t="s">
        <v>2287</v>
      </c>
      <c r="T1288" t="s">
        <v>2288</v>
      </c>
      <c r="U1288">
        <v>4</v>
      </c>
      <c r="V1288">
        <v>331</v>
      </c>
      <c r="W1288">
        <v>55</v>
      </c>
      <c r="X1288">
        <v>93.17</v>
      </c>
      <c r="Y1288">
        <v>96.83</v>
      </c>
      <c r="Z1288" t="s">
        <v>2292</v>
      </c>
      <c r="AA1288" t="s">
        <v>2296</v>
      </c>
      <c r="AB1288">
        <v>190</v>
      </c>
      <c r="AC1288">
        <v>0</v>
      </c>
      <c r="AD1288">
        <v>190</v>
      </c>
      <c r="AE1288">
        <v>93.17</v>
      </c>
      <c r="AF1288">
        <v>96.83</v>
      </c>
      <c r="AG1288">
        <v>2024</v>
      </c>
      <c r="AH1288">
        <v>12</v>
      </c>
      <c r="AI1288" t="s">
        <v>2309</v>
      </c>
      <c r="AJ1288" t="s">
        <v>2313</v>
      </c>
    </row>
    <row r="1289" spans="1:36" x14ac:dyDescent="0.3">
      <c r="A1289" t="s">
        <v>1323</v>
      </c>
      <c r="B1289" s="2">
        <v>45432</v>
      </c>
      <c r="C1289" t="s">
        <v>1665</v>
      </c>
      <c r="D1289" t="s">
        <v>1881</v>
      </c>
      <c r="E1289" t="s">
        <v>2077</v>
      </c>
      <c r="F1289" t="s">
        <v>2240</v>
      </c>
      <c r="G1289" t="s">
        <v>2253</v>
      </c>
      <c r="H1289" t="s">
        <v>2258</v>
      </c>
      <c r="I1289" t="s">
        <v>2260</v>
      </c>
      <c r="J1289" t="s">
        <v>2265</v>
      </c>
      <c r="K1289">
        <v>1</v>
      </c>
      <c r="L1289">
        <v>85</v>
      </c>
      <c r="M1289">
        <v>0.15</v>
      </c>
      <c r="N1289">
        <v>85</v>
      </c>
      <c r="O1289">
        <v>72.25</v>
      </c>
      <c r="P1289" t="s">
        <v>2268</v>
      </c>
      <c r="Q1289" t="s">
        <v>2272</v>
      </c>
      <c r="R1289" t="s">
        <v>2279</v>
      </c>
      <c r="S1289" t="s">
        <v>2284</v>
      </c>
      <c r="T1289" t="s">
        <v>2288</v>
      </c>
      <c r="U1289">
        <v>5</v>
      </c>
      <c r="V1289">
        <v>322</v>
      </c>
      <c r="W1289">
        <v>56</v>
      </c>
      <c r="X1289">
        <v>52.52</v>
      </c>
      <c r="Y1289">
        <v>19.73</v>
      </c>
      <c r="Z1289" t="s">
        <v>1761</v>
      </c>
      <c r="AA1289" t="s">
        <v>1761</v>
      </c>
      <c r="AB1289">
        <v>85</v>
      </c>
      <c r="AC1289">
        <v>12.75</v>
      </c>
      <c r="AD1289">
        <v>72.25</v>
      </c>
      <c r="AE1289">
        <v>52.52</v>
      </c>
      <c r="AF1289">
        <v>19.73</v>
      </c>
      <c r="AG1289">
        <v>2024</v>
      </c>
      <c r="AH1289">
        <v>5</v>
      </c>
      <c r="AI1289" t="s">
        <v>2306</v>
      </c>
      <c r="AJ1289" t="s">
        <v>2314</v>
      </c>
    </row>
    <row r="1290" spans="1:36" x14ac:dyDescent="0.3">
      <c r="A1290" t="s">
        <v>1324</v>
      </c>
      <c r="B1290" s="2">
        <v>45513</v>
      </c>
      <c r="C1290" t="s">
        <v>1701</v>
      </c>
      <c r="D1290" t="s">
        <v>1767</v>
      </c>
      <c r="E1290" t="s">
        <v>1947</v>
      </c>
      <c r="F1290" t="s">
        <v>2239</v>
      </c>
      <c r="G1290" t="s">
        <v>2243</v>
      </c>
      <c r="H1290" t="s">
        <v>2258</v>
      </c>
      <c r="I1290" t="s">
        <v>2260</v>
      </c>
      <c r="J1290" t="s">
        <v>2265</v>
      </c>
      <c r="K1290">
        <v>1</v>
      </c>
      <c r="L1290">
        <v>75</v>
      </c>
      <c r="M1290">
        <v>0.1</v>
      </c>
      <c r="O1290">
        <v>67.5</v>
      </c>
      <c r="P1290" t="s">
        <v>2269</v>
      </c>
      <c r="Q1290" t="s">
        <v>2270</v>
      </c>
      <c r="R1290" t="s">
        <v>2278</v>
      </c>
      <c r="S1290" t="s">
        <v>2284</v>
      </c>
      <c r="T1290" t="s">
        <v>2288</v>
      </c>
      <c r="U1290">
        <v>5</v>
      </c>
      <c r="V1290">
        <v>125</v>
      </c>
      <c r="W1290">
        <v>55</v>
      </c>
      <c r="X1290">
        <v>27.76</v>
      </c>
      <c r="Y1290">
        <v>39.74</v>
      </c>
      <c r="Z1290" t="s">
        <v>2292</v>
      </c>
      <c r="AA1290" t="s">
        <v>2298</v>
      </c>
      <c r="AB1290">
        <v>75</v>
      </c>
      <c r="AC1290">
        <v>7.5</v>
      </c>
      <c r="AD1290">
        <v>67.5</v>
      </c>
      <c r="AE1290">
        <v>27.76</v>
      </c>
      <c r="AF1290">
        <v>39.739999999999988</v>
      </c>
      <c r="AG1290">
        <v>2024</v>
      </c>
      <c r="AH1290">
        <v>8</v>
      </c>
      <c r="AI1290" t="s">
        <v>2301</v>
      </c>
      <c r="AJ1290" t="s">
        <v>2315</v>
      </c>
    </row>
    <row r="1291" spans="1:36" x14ac:dyDescent="0.3">
      <c r="A1291" t="s">
        <v>1325</v>
      </c>
      <c r="B1291" s="2">
        <v>45392</v>
      </c>
      <c r="C1291" t="s">
        <v>1701</v>
      </c>
      <c r="D1291" t="s">
        <v>1826</v>
      </c>
      <c r="E1291" t="s">
        <v>2148</v>
      </c>
      <c r="F1291" t="s">
        <v>2239</v>
      </c>
      <c r="G1291" t="s">
        <v>2245</v>
      </c>
      <c r="H1291" t="s">
        <v>2257</v>
      </c>
      <c r="I1291" t="s">
        <v>2263</v>
      </c>
      <c r="J1291" t="s">
        <v>2264</v>
      </c>
      <c r="K1291">
        <v>1</v>
      </c>
      <c r="L1291">
        <v>145</v>
      </c>
      <c r="M1291">
        <v>0</v>
      </c>
      <c r="N1291">
        <v>145</v>
      </c>
      <c r="O1291">
        <v>145</v>
      </c>
      <c r="Q1291" t="s">
        <v>2272</v>
      </c>
      <c r="R1291" t="s">
        <v>2274</v>
      </c>
      <c r="S1291" t="s">
        <v>2287</v>
      </c>
      <c r="T1291" t="s">
        <v>2288</v>
      </c>
      <c r="U1291">
        <v>5</v>
      </c>
      <c r="V1291">
        <v>132</v>
      </c>
      <c r="X1291">
        <v>59.65</v>
      </c>
      <c r="Y1291">
        <v>85.35</v>
      </c>
      <c r="Z1291" t="s">
        <v>2291</v>
      </c>
      <c r="AA1291" t="s">
        <v>1761</v>
      </c>
      <c r="AB1291">
        <v>145</v>
      </c>
      <c r="AC1291">
        <v>0</v>
      </c>
      <c r="AD1291">
        <v>145</v>
      </c>
      <c r="AE1291">
        <v>59.65</v>
      </c>
      <c r="AF1291">
        <v>85.35</v>
      </c>
      <c r="AG1291">
        <v>2024</v>
      </c>
      <c r="AH1291">
        <v>4</v>
      </c>
      <c r="AI1291" t="s">
        <v>2308</v>
      </c>
      <c r="AJ1291" t="s">
        <v>2312</v>
      </c>
    </row>
    <row r="1292" spans="1:36" x14ac:dyDescent="0.3">
      <c r="A1292" t="s">
        <v>1326</v>
      </c>
      <c r="B1292" s="2">
        <v>45611</v>
      </c>
      <c r="C1292" t="s">
        <v>1725</v>
      </c>
      <c r="D1292" t="s">
        <v>1824</v>
      </c>
      <c r="E1292" t="s">
        <v>2236</v>
      </c>
      <c r="F1292" t="s">
        <v>2238</v>
      </c>
      <c r="G1292" t="s">
        <v>2245</v>
      </c>
      <c r="H1292" t="s">
        <v>2257</v>
      </c>
      <c r="I1292" t="s">
        <v>2263</v>
      </c>
      <c r="J1292" t="s">
        <v>2264</v>
      </c>
      <c r="K1292">
        <v>2</v>
      </c>
      <c r="L1292">
        <v>150</v>
      </c>
      <c r="M1292">
        <v>0.1</v>
      </c>
      <c r="N1292">
        <v>300</v>
      </c>
      <c r="O1292">
        <v>270</v>
      </c>
      <c r="P1292" t="s">
        <v>2269</v>
      </c>
      <c r="Q1292" t="s">
        <v>2270</v>
      </c>
      <c r="R1292" t="s">
        <v>2275</v>
      </c>
      <c r="S1292" t="s">
        <v>2285</v>
      </c>
      <c r="T1292" t="s">
        <v>2288</v>
      </c>
      <c r="U1292">
        <v>2</v>
      </c>
      <c r="V1292">
        <v>14</v>
      </c>
      <c r="W1292">
        <v>38</v>
      </c>
      <c r="X1292">
        <v>74.37</v>
      </c>
      <c r="Y1292">
        <v>121.26</v>
      </c>
      <c r="Z1292" t="s">
        <v>2293</v>
      </c>
      <c r="AA1292" t="s">
        <v>2299</v>
      </c>
      <c r="AB1292">
        <v>300</v>
      </c>
      <c r="AC1292">
        <v>30</v>
      </c>
      <c r="AD1292">
        <v>270</v>
      </c>
      <c r="AE1292">
        <v>148.74</v>
      </c>
      <c r="AF1292">
        <v>121.26</v>
      </c>
      <c r="AG1292">
        <v>2024</v>
      </c>
      <c r="AH1292">
        <v>11</v>
      </c>
      <c r="AI1292" t="s">
        <v>2311</v>
      </c>
      <c r="AJ1292" t="s">
        <v>2315</v>
      </c>
    </row>
    <row r="1293" spans="1:36" x14ac:dyDescent="0.3">
      <c r="A1293" t="s">
        <v>1327</v>
      </c>
      <c r="B1293" s="2">
        <v>45602</v>
      </c>
      <c r="C1293" t="s">
        <v>1659</v>
      </c>
      <c r="D1293" t="s">
        <v>1779</v>
      </c>
      <c r="E1293" t="s">
        <v>2093</v>
      </c>
      <c r="F1293" t="s">
        <v>2240</v>
      </c>
      <c r="G1293" t="s">
        <v>2242</v>
      </c>
      <c r="H1293" t="s">
        <v>2258</v>
      </c>
      <c r="I1293" t="s">
        <v>2260</v>
      </c>
      <c r="K1293">
        <v>2</v>
      </c>
      <c r="L1293">
        <v>120</v>
      </c>
      <c r="M1293">
        <v>0.1</v>
      </c>
      <c r="N1293">
        <v>240</v>
      </c>
      <c r="O1293">
        <v>216</v>
      </c>
      <c r="P1293" t="s">
        <v>2268</v>
      </c>
      <c r="Q1293" t="s">
        <v>2272</v>
      </c>
      <c r="R1293" t="s">
        <v>2278</v>
      </c>
      <c r="S1293" t="s">
        <v>2282</v>
      </c>
      <c r="T1293" t="s">
        <v>2288</v>
      </c>
      <c r="U1293">
        <v>5</v>
      </c>
      <c r="V1293">
        <v>451</v>
      </c>
      <c r="W1293">
        <v>50</v>
      </c>
      <c r="X1293">
        <v>47.93</v>
      </c>
      <c r="Y1293">
        <v>120.14</v>
      </c>
      <c r="Z1293" t="s">
        <v>1761</v>
      </c>
      <c r="AA1293" t="s">
        <v>2298</v>
      </c>
      <c r="AB1293">
        <v>240</v>
      </c>
      <c r="AC1293">
        <v>24</v>
      </c>
      <c r="AD1293">
        <v>216</v>
      </c>
      <c r="AE1293">
        <v>95.86</v>
      </c>
      <c r="AF1293">
        <v>120.14</v>
      </c>
      <c r="AG1293">
        <v>2024</v>
      </c>
      <c r="AH1293">
        <v>11</v>
      </c>
      <c r="AI1293" t="s">
        <v>2311</v>
      </c>
      <c r="AJ1293" t="s">
        <v>2312</v>
      </c>
    </row>
    <row r="1294" spans="1:36" x14ac:dyDescent="0.3">
      <c r="A1294" t="s">
        <v>1328</v>
      </c>
      <c r="C1294" t="s">
        <v>1690</v>
      </c>
      <c r="D1294" t="s">
        <v>1755</v>
      </c>
      <c r="E1294" t="s">
        <v>2040</v>
      </c>
      <c r="F1294" t="s">
        <v>2240</v>
      </c>
      <c r="G1294" t="s">
        <v>2251</v>
      </c>
      <c r="H1294" t="s">
        <v>2258</v>
      </c>
      <c r="I1294" t="s">
        <v>2260</v>
      </c>
      <c r="J1294" t="s">
        <v>2266</v>
      </c>
      <c r="K1294">
        <v>2</v>
      </c>
      <c r="L1294">
        <v>100</v>
      </c>
      <c r="M1294">
        <v>0.1</v>
      </c>
      <c r="N1294">
        <v>200</v>
      </c>
      <c r="O1294">
        <v>180</v>
      </c>
      <c r="P1294" t="s">
        <v>2267</v>
      </c>
      <c r="R1294" t="s">
        <v>2275</v>
      </c>
      <c r="S1294" t="s">
        <v>2286</v>
      </c>
      <c r="T1294" t="s">
        <v>2288</v>
      </c>
      <c r="U1294">
        <v>5</v>
      </c>
      <c r="W1294">
        <v>33</v>
      </c>
      <c r="X1294">
        <v>44.74</v>
      </c>
      <c r="Y1294">
        <v>90.52</v>
      </c>
      <c r="Z1294" t="s">
        <v>2291</v>
      </c>
      <c r="AA1294" t="s">
        <v>2296</v>
      </c>
      <c r="AB1294">
        <v>200</v>
      </c>
      <c r="AC1294">
        <v>20</v>
      </c>
      <c r="AD1294">
        <v>180</v>
      </c>
      <c r="AE1294">
        <v>89.48</v>
      </c>
      <c r="AF1294">
        <v>90.52</v>
      </c>
    </row>
    <row r="1295" spans="1:36" x14ac:dyDescent="0.3">
      <c r="A1295" t="s">
        <v>1329</v>
      </c>
      <c r="B1295" s="2">
        <v>45335</v>
      </c>
      <c r="C1295" t="s">
        <v>1691</v>
      </c>
      <c r="D1295" t="s">
        <v>1779</v>
      </c>
      <c r="E1295" t="s">
        <v>1761</v>
      </c>
      <c r="F1295" t="s">
        <v>2240</v>
      </c>
      <c r="G1295" t="s">
        <v>2253</v>
      </c>
      <c r="H1295" t="s">
        <v>2258</v>
      </c>
      <c r="I1295" t="s">
        <v>2260</v>
      </c>
      <c r="J1295" t="s">
        <v>2264</v>
      </c>
      <c r="K1295">
        <v>1</v>
      </c>
      <c r="L1295">
        <v>85</v>
      </c>
      <c r="M1295">
        <v>0</v>
      </c>
      <c r="N1295">
        <v>85</v>
      </c>
      <c r="O1295">
        <v>85</v>
      </c>
      <c r="Q1295" t="s">
        <v>2271</v>
      </c>
      <c r="R1295" t="s">
        <v>2278</v>
      </c>
      <c r="S1295" t="s">
        <v>2287</v>
      </c>
      <c r="T1295" t="s">
        <v>2288</v>
      </c>
      <c r="U1295">
        <v>5</v>
      </c>
      <c r="V1295">
        <v>184</v>
      </c>
      <c r="W1295">
        <v>45</v>
      </c>
      <c r="X1295">
        <v>33.44</v>
      </c>
      <c r="Y1295">
        <v>51.56</v>
      </c>
      <c r="Z1295" t="s">
        <v>2291</v>
      </c>
      <c r="AA1295" t="s">
        <v>2298</v>
      </c>
      <c r="AB1295">
        <v>85</v>
      </c>
      <c r="AC1295">
        <v>0</v>
      </c>
      <c r="AD1295">
        <v>85</v>
      </c>
      <c r="AE1295">
        <v>33.44</v>
      </c>
      <c r="AF1295">
        <v>51.56</v>
      </c>
      <c r="AG1295">
        <v>2024</v>
      </c>
      <c r="AH1295">
        <v>2</v>
      </c>
      <c r="AI1295" t="s">
        <v>2303</v>
      </c>
      <c r="AJ1295" t="s">
        <v>2313</v>
      </c>
    </row>
    <row r="1296" spans="1:36" x14ac:dyDescent="0.3">
      <c r="A1296" t="s">
        <v>1330</v>
      </c>
      <c r="B1296" s="2">
        <v>45376</v>
      </c>
      <c r="C1296" t="s">
        <v>1702</v>
      </c>
      <c r="D1296" t="s">
        <v>1873</v>
      </c>
      <c r="E1296" t="s">
        <v>2006</v>
      </c>
      <c r="F1296" t="s">
        <v>1761</v>
      </c>
      <c r="G1296" t="s">
        <v>2243</v>
      </c>
      <c r="H1296" t="s">
        <v>2258</v>
      </c>
      <c r="I1296" t="s">
        <v>2260</v>
      </c>
      <c r="J1296" t="s">
        <v>2266</v>
      </c>
      <c r="K1296">
        <v>1</v>
      </c>
      <c r="L1296">
        <v>70</v>
      </c>
      <c r="M1296">
        <v>0</v>
      </c>
      <c r="N1296">
        <v>70</v>
      </c>
      <c r="O1296">
        <v>70</v>
      </c>
      <c r="P1296" t="s">
        <v>2268</v>
      </c>
      <c r="Q1296" t="s">
        <v>2270</v>
      </c>
      <c r="R1296" t="s">
        <v>2275</v>
      </c>
      <c r="S1296" t="s">
        <v>2287</v>
      </c>
      <c r="T1296" t="s">
        <v>2288</v>
      </c>
      <c r="V1296">
        <v>429</v>
      </c>
      <c r="W1296">
        <v>43</v>
      </c>
      <c r="X1296">
        <v>37.64</v>
      </c>
      <c r="Y1296">
        <v>32.36</v>
      </c>
      <c r="Z1296" t="s">
        <v>2292</v>
      </c>
      <c r="AA1296" t="s">
        <v>2299</v>
      </c>
      <c r="AB1296">
        <v>70</v>
      </c>
      <c r="AC1296">
        <v>0</v>
      </c>
      <c r="AD1296">
        <v>70</v>
      </c>
      <c r="AE1296">
        <v>37.64</v>
      </c>
      <c r="AF1296">
        <v>32.36</v>
      </c>
      <c r="AG1296">
        <v>2024</v>
      </c>
      <c r="AH1296">
        <v>3</v>
      </c>
      <c r="AI1296" t="s">
        <v>2305</v>
      </c>
      <c r="AJ1296" t="s">
        <v>2314</v>
      </c>
    </row>
    <row r="1297" spans="1:36" x14ac:dyDescent="0.3">
      <c r="A1297" t="s">
        <v>1331</v>
      </c>
      <c r="B1297" s="2">
        <v>45653</v>
      </c>
      <c r="C1297" t="s">
        <v>1649</v>
      </c>
      <c r="D1297" t="s">
        <v>1881</v>
      </c>
      <c r="E1297" t="s">
        <v>2237</v>
      </c>
      <c r="F1297" t="s">
        <v>1761</v>
      </c>
      <c r="G1297" t="s">
        <v>2244</v>
      </c>
      <c r="H1297" t="s">
        <v>2257</v>
      </c>
      <c r="I1297" t="s">
        <v>2262</v>
      </c>
      <c r="J1297" t="s">
        <v>2264</v>
      </c>
      <c r="K1297">
        <v>2</v>
      </c>
      <c r="L1297">
        <v>130</v>
      </c>
      <c r="M1297">
        <v>0.1</v>
      </c>
      <c r="N1297">
        <v>260</v>
      </c>
      <c r="O1297">
        <v>234</v>
      </c>
      <c r="P1297" t="s">
        <v>2269</v>
      </c>
      <c r="R1297" t="s">
        <v>2276</v>
      </c>
      <c r="S1297" t="s">
        <v>2283</v>
      </c>
      <c r="T1297" t="s">
        <v>2288</v>
      </c>
      <c r="U1297">
        <v>5</v>
      </c>
      <c r="V1297">
        <v>123</v>
      </c>
      <c r="W1297">
        <v>28</v>
      </c>
      <c r="X1297">
        <v>70.040000000000006</v>
      </c>
      <c r="Y1297">
        <v>93.92</v>
      </c>
      <c r="Z1297" t="s">
        <v>2293</v>
      </c>
      <c r="AA1297" t="s">
        <v>2299</v>
      </c>
      <c r="AB1297">
        <v>260</v>
      </c>
      <c r="AC1297">
        <v>26</v>
      </c>
      <c r="AD1297">
        <v>234</v>
      </c>
      <c r="AE1297">
        <v>140.08000000000001</v>
      </c>
      <c r="AF1297">
        <v>93.919999999999987</v>
      </c>
      <c r="AG1297">
        <v>2024</v>
      </c>
      <c r="AH1297">
        <v>12</v>
      </c>
      <c r="AI1297" t="s">
        <v>2309</v>
      </c>
      <c r="AJ1297" t="s">
        <v>2315</v>
      </c>
    </row>
    <row r="1298" spans="1:36" x14ac:dyDescent="0.3">
      <c r="A1298" t="s">
        <v>1332</v>
      </c>
      <c r="B1298" s="2">
        <v>45479</v>
      </c>
      <c r="C1298" t="s">
        <v>1710</v>
      </c>
      <c r="D1298" t="s">
        <v>1750</v>
      </c>
      <c r="E1298" t="s">
        <v>1761</v>
      </c>
      <c r="F1298" t="s">
        <v>2239</v>
      </c>
      <c r="G1298" t="s">
        <v>2248</v>
      </c>
      <c r="H1298" t="s">
        <v>2257</v>
      </c>
      <c r="I1298" t="s">
        <v>2262</v>
      </c>
      <c r="J1298" t="s">
        <v>2266</v>
      </c>
      <c r="K1298">
        <v>2</v>
      </c>
      <c r="L1298">
        <v>150</v>
      </c>
      <c r="M1298">
        <v>0.15</v>
      </c>
      <c r="N1298">
        <v>300</v>
      </c>
      <c r="O1298">
        <v>255</v>
      </c>
      <c r="P1298" t="s">
        <v>2268</v>
      </c>
      <c r="Q1298" t="s">
        <v>2272</v>
      </c>
      <c r="R1298" t="s">
        <v>2275</v>
      </c>
      <c r="S1298" t="s">
        <v>2286</v>
      </c>
      <c r="T1298" t="s">
        <v>2288</v>
      </c>
      <c r="V1298">
        <v>156</v>
      </c>
      <c r="W1298">
        <v>27</v>
      </c>
      <c r="X1298">
        <v>51.3</v>
      </c>
      <c r="Y1298">
        <v>152.4</v>
      </c>
      <c r="Z1298" t="s">
        <v>2294</v>
      </c>
      <c r="AA1298" t="s">
        <v>2299</v>
      </c>
      <c r="AB1298">
        <v>300</v>
      </c>
      <c r="AC1298">
        <v>45</v>
      </c>
      <c r="AD1298">
        <v>255</v>
      </c>
      <c r="AE1298">
        <v>102.6</v>
      </c>
      <c r="AF1298">
        <v>152.4</v>
      </c>
      <c r="AG1298">
        <v>2024</v>
      </c>
      <c r="AH1298">
        <v>7</v>
      </c>
      <c r="AI1298" t="s">
        <v>2307</v>
      </c>
      <c r="AJ1298" t="s">
        <v>2317</v>
      </c>
    </row>
    <row r="1299" spans="1:36" x14ac:dyDescent="0.3">
      <c r="A1299" t="s">
        <v>1333</v>
      </c>
      <c r="B1299" s="2">
        <v>45485</v>
      </c>
      <c r="C1299" t="s">
        <v>1705</v>
      </c>
      <c r="D1299" t="s">
        <v>1765</v>
      </c>
      <c r="E1299" t="s">
        <v>2218</v>
      </c>
      <c r="F1299" t="s">
        <v>1761</v>
      </c>
      <c r="G1299" t="s">
        <v>2246</v>
      </c>
      <c r="H1299" t="s">
        <v>2259</v>
      </c>
      <c r="I1299" t="s">
        <v>2262</v>
      </c>
      <c r="J1299" t="s">
        <v>2265</v>
      </c>
      <c r="K1299">
        <v>1</v>
      </c>
      <c r="L1299">
        <v>95</v>
      </c>
      <c r="P1299" t="s">
        <v>2269</v>
      </c>
      <c r="Q1299" t="s">
        <v>2271</v>
      </c>
      <c r="R1299" t="s">
        <v>2274</v>
      </c>
      <c r="S1299" t="s">
        <v>2282</v>
      </c>
      <c r="T1299" t="s">
        <v>2288</v>
      </c>
      <c r="U1299">
        <v>3</v>
      </c>
      <c r="V1299">
        <v>61</v>
      </c>
      <c r="W1299">
        <v>46</v>
      </c>
      <c r="X1299">
        <v>34.840000000000003</v>
      </c>
      <c r="Z1299" t="s">
        <v>2293</v>
      </c>
      <c r="AA1299" t="s">
        <v>2298</v>
      </c>
      <c r="AB1299">
        <v>95</v>
      </c>
      <c r="AC1299">
        <v>0</v>
      </c>
      <c r="AD1299">
        <v>95</v>
      </c>
      <c r="AE1299">
        <v>34.840000000000003</v>
      </c>
      <c r="AF1299">
        <v>60.16</v>
      </c>
      <c r="AG1299">
        <v>2024</v>
      </c>
      <c r="AH1299">
        <v>7</v>
      </c>
      <c r="AI1299" t="s">
        <v>2307</v>
      </c>
      <c r="AJ1299" t="s">
        <v>2315</v>
      </c>
    </row>
    <row r="1300" spans="1:36" x14ac:dyDescent="0.3">
      <c r="A1300" t="s">
        <v>1334</v>
      </c>
      <c r="B1300" s="2">
        <v>45418</v>
      </c>
      <c r="C1300" t="s">
        <v>1721</v>
      </c>
      <c r="D1300" t="s">
        <v>1758</v>
      </c>
      <c r="E1300" t="s">
        <v>2049</v>
      </c>
      <c r="F1300" t="s">
        <v>2240</v>
      </c>
      <c r="G1300" t="s">
        <v>2247</v>
      </c>
      <c r="H1300" t="s">
        <v>2257</v>
      </c>
      <c r="I1300" t="s">
        <v>2262</v>
      </c>
      <c r="J1300" t="s">
        <v>2266</v>
      </c>
      <c r="K1300">
        <v>4</v>
      </c>
      <c r="L1300">
        <v>110</v>
      </c>
      <c r="M1300">
        <v>0</v>
      </c>
      <c r="N1300">
        <v>440</v>
      </c>
      <c r="O1300">
        <v>440</v>
      </c>
      <c r="P1300" t="s">
        <v>2269</v>
      </c>
      <c r="Q1300" t="s">
        <v>2271</v>
      </c>
      <c r="R1300" t="s">
        <v>2276</v>
      </c>
      <c r="S1300" t="s">
        <v>2285</v>
      </c>
      <c r="T1300" t="s">
        <v>2289</v>
      </c>
      <c r="V1300">
        <v>158</v>
      </c>
      <c r="X1300">
        <v>42.03</v>
      </c>
      <c r="Y1300">
        <v>271.88</v>
      </c>
      <c r="Z1300" t="s">
        <v>2293</v>
      </c>
      <c r="AA1300" t="s">
        <v>2296</v>
      </c>
      <c r="AB1300">
        <v>440</v>
      </c>
      <c r="AC1300">
        <v>0</v>
      </c>
      <c r="AD1300">
        <v>440</v>
      </c>
      <c r="AE1300">
        <v>168.12</v>
      </c>
      <c r="AF1300">
        <v>271.88</v>
      </c>
      <c r="AG1300">
        <v>2024</v>
      </c>
      <c r="AH1300">
        <v>5</v>
      </c>
      <c r="AI1300" t="s">
        <v>2306</v>
      </c>
      <c r="AJ1300" t="s">
        <v>2314</v>
      </c>
    </row>
    <row r="1301" spans="1:36" x14ac:dyDescent="0.3">
      <c r="A1301" t="s">
        <v>1335</v>
      </c>
      <c r="B1301" s="2">
        <v>45471</v>
      </c>
      <c r="C1301" t="s">
        <v>1655</v>
      </c>
      <c r="D1301" t="s">
        <v>1779</v>
      </c>
      <c r="E1301" t="s">
        <v>2217</v>
      </c>
      <c r="F1301" t="s">
        <v>2239</v>
      </c>
      <c r="G1301" t="s">
        <v>2242</v>
      </c>
      <c r="H1301" t="s">
        <v>2258</v>
      </c>
      <c r="I1301" t="s">
        <v>2260</v>
      </c>
      <c r="J1301" t="s">
        <v>2265</v>
      </c>
      <c r="K1301">
        <v>2</v>
      </c>
      <c r="L1301">
        <v>115</v>
      </c>
      <c r="M1301">
        <v>0.05</v>
      </c>
      <c r="N1301">
        <v>230</v>
      </c>
      <c r="O1301">
        <v>218.5</v>
      </c>
      <c r="P1301" t="s">
        <v>2267</v>
      </c>
      <c r="Q1301" t="s">
        <v>2270</v>
      </c>
      <c r="R1301" t="s">
        <v>2275</v>
      </c>
      <c r="S1301" t="s">
        <v>2286</v>
      </c>
      <c r="T1301" t="s">
        <v>2288</v>
      </c>
      <c r="U1301">
        <v>5</v>
      </c>
      <c r="V1301">
        <v>147</v>
      </c>
      <c r="W1301">
        <v>29</v>
      </c>
      <c r="X1301">
        <v>50.71</v>
      </c>
      <c r="Y1301">
        <v>117.08</v>
      </c>
      <c r="Z1301" t="s">
        <v>2293</v>
      </c>
      <c r="AA1301" t="s">
        <v>2299</v>
      </c>
      <c r="AB1301">
        <v>230</v>
      </c>
      <c r="AC1301">
        <v>11.5</v>
      </c>
      <c r="AD1301">
        <v>218.5</v>
      </c>
      <c r="AE1301">
        <v>101.42</v>
      </c>
      <c r="AF1301">
        <v>117.08</v>
      </c>
      <c r="AG1301">
        <v>2024</v>
      </c>
      <c r="AH1301">
        <v>6</v>
      </c>
      <c r="AI1301" t="s">
        <v>2304</v>
      </c>
      <c r="AJ1301" t="s">
        <v>2315</v>
      </c>
    </row>
    <row r="1302" spans="1:36" x14ac:dyDescent="0.3">
      <c r="A1302" t="s">
        <v>1336</v>
      </c>
      <c r="C1302" t="s">
        <v>1666</v>
      </c>
      <c r="D1302" t="s">
        <v>1891</v>
      </c>
      <c r="E1302" t="s">
        <v>1973</v>
      </c>
      <c r="F1302" t="s">
        <v>2239</v>
      </c>
      <c r="G1302" t="s">
        <v>2253</v>
      </c>
      <c r="H1302" t="s">
        <v>2258</v>
      </c>
      <c r="I1302" t="s">
        <v>2260</v>
      </c>
      <c r="J1302" t="s">
        <v>2264</v>
      </c>
      <c r="K1302">
        <v>1</v>
      </c>
      <c r="L1302">
        <v>90</v>
      </c>
      <c r="M1302">
        <v>0.05</v>
      </c>
      <c r="N1302">
        <v>90</v>
      </c>
      <c r="O1302">
        <v>85.5</v>
      </c>
      <c r="P1302" t="s">
        <v>2267</v>
      </c>
      <c r="Q1302" t="s">
        <v>2272</v>
      </c>
      <c r="R1302" t="s">
        <v>2276</v>
      </c>
      <c r="S1302" t="s">
        <v>2280</v>
      </c>
      <c r="T1302" t="s">
        <v>2288</v>
      </c>
      <c r="U1302">
        <v>2</v>
      </c>
      <c r="V1302">
        <v>353</v>
      </c>
      <c r="X1302">
        <v>33.35</v>
      </c>
      <c r="Y1302">
        <v>52.15</v>
      </c>
      <c r="Z1302" t="s">
        <v>2291</v>
      </c>
      <c r="AA1302" t="s">
        <v>2296</v>
      </c>
      <c r="AB1302">
        <v>90</v>
      </c>
      <c r="AC1302">
        <v>4.5</v>
      </c>
      <c r="AD1302">
        <v>85.5</v>
      </c>
      <c r="AE1302">
        <v>33.35</v>
      </c>
      <c r="AF1302">
        <v>52.15</v>
      </c>
    </row>
    <row r="1303" spans="1:36" x14ac:dyDescent="0.3">
      <c r="A1303" t="s">
        <v>1337</v>
      </c>
      <c r="B1303" s="2">
        <v>45515</v>
      </c>
      <c r="C1303" t="s">
        <v>1679</v>
      </c>
      <c r="D1303" t="s">
        <v>1866</v>
      </c>
      <c r="E1303" t="s">
        <v>2147</v>
      </c>
      <c r="F1303" t="s">
        <v>1761</v>
      </c>
      <c r="G1303" t="s">
        <v>2250</v>
      </c>
      <c r="H1303" t="s">
        <v>2259</v>
      </c>
      <c r="I1303" t="s">
        <v>2262</v>
      </c>
      <c r="J1303" t="s">
        <v>2265</v>
      </c>
      <c r="K1303">
        <v>1</v>
      </c>
      <c r="L1303">
        <v>80</v>
      </c>
      <c r="M1303">
        <v>0.1</v>
      </c>
      <c r="N1303">
        <v>80</v>
      </c>
      <c r="O1303">
        <v>72</v>
      </c>
      <c r="P1303" t="s">
        <v>2269</v>
      </c>
      <c r="Q1303" t="s">
        <v>2272</v>
      </c>
      <c r="R1303" t="s">
        <v>2273</v>
      </c>
      <c r="S1303" t="s">
        <v>2282</v>
      </c>
      <c r="T1303" t="s">
        <v>2288</v>
      </c>
      <c r="U1303">
        <v>4</v>
      </c>
      <c r="X1303">
        <v>30.71</v>
      </c>
      <c r="Y1303">
        <v>41.29</v>
      </c>
      <c r="Z1303" t="s">
        <v>2293</v>
      </c>
      <c r="AA1303" t="s">
        <v>2298</v>
      </c>
      <c r="AB1303">
        <v>80</v>
      </c>
      <c r="AC1303">
        <v>8</v>
      </c>
      <c r="AD1303">
        <v>72</v>
      </c>
      <c r="AE1303">
        <v>30.71</v>
      </c>
      <c r="AF1303">
        <v>41.29</v>
      </c>
      <c r="AG1303">
        <v>2024</v>
      </c>
      <c r="AH1303">
        <v>8</v>
      </c>
      <c r="AI1303" t="s">
        <v>2301</v>
      </c>
      <c r="AJ1303" t="s">
        <v>2318</v>
      </c>
    </row>
    <row r="1304" spans="1:36" x14ac:dyDescent="0.3">
      <c r="A1304" t="s">
        <v>1338</v>
      </c>
      <c r="B1304" s="2">
        <v>45394</v>
      </c>
      <c r="C1304" t="s">
        <v>1642</v>
      </c>
      <c r="D1304" t="s">
        <v>1939</v>
      </c>
      <c r="E1304" t="s">
        <v>2051</v>
      </c>
      <c r="F1304" t="s">
        <v>2239</v>
      </c>
      <c r="G1304" t="s">
        <v>2249</v>
      </c>
      <c r="H1304" t="s">
        <v>2257</v>
      </c>
      <c r="I1304" t="s">
        <v>2263</v>
      </c>
      <c r="K1304">
        <v>2</v>
      </c>
      <c r="L1304">
        <v>160</v>
      </c>
      <c r="M1304">
        <v>0</v>
      </c>
      <c r="N1304">
        <v>320</v>
      </c>
      <c r="O1304">
        <v>320</v>
      </c>
      <c r="P1304" t="s">
        <v>2267</v>
      </c>
      <c r="Q1304" t="s">
        <v>2271</v>
      </c>
      <c r="R1304" t="s">
        <v>2273</v>
      </c>
      <c r="S1304" t="s">
        <v>2284</v>
      </c>
      <c r="T1304" t="s">
        <v>2288</v>
      </c>
      <c r="V1304">
        <v>476</v>
      </c>
      <c r="W1304">
        <v>35</v>
      </c>
      <c r="X1304">
        <v>64.62</v>
      </c>
      <c r="Y1304">
        <v>190.76</v>
      </c>
      <c r="Z1304" t="s">
        <v>1761</v>
      </c>
      <c r="AA1304" t="s">
        <v>2296</v>
      </c>
      <c r="AB1304">
        <v>320</v>
      </c>
      <c r="AC1304">
        <v>0</v>
      </c>
      <c r="AD1304">
        <v>320</v>
      </c>
      <c r="AE1304">
        <v>129.24</v>
      </c>
      <c r="AF1304">
        <v>190.76</v>
      </c>
      <c r="AG1304">
        <v>2024</v>
      </c>
      <c r="AH1304">
        <v>4</v>
      </c>
      <c r="AI1304" t="s">
        <v>2308</v>
      </c>
      <c r="AJ1304" t="s">
        <v>2315</v>
      </c>
    </row>
    <row r="1305" spans="1:36" x14ac:dyDescent="0.3">
      <c r="A1305" t="s">
        <v>1339</v>
      </c>
      <c r="B1305" s="2">
        <v>45352</v>
      </c>
      <c r="C1305" t="s">
        <v>1693</v>
      </c>
      <c r="D1305" t="s">
        <v>1882</v>
      </c>
      <c r="E1305" t="s">
        <v>2166</v>
      </c>
      <c r="F1305" t="s">
        <v>2238</v>
      </c>
      <c r="G1305" t="s">
        <v>2253</v>
      </c>
      <c r="H1305" t="s">
        <v>2258</v>
      </c>
      <c r="I1305" t="s">
        <v>2260</v>
      </c>
      <c r="J1305" t="s">
        <v>2266</v>
      </c>
      <c r="K1305">
        <v>1</v>
      </c>
      <c r="L1305">
        <v>90</v>
      </c>
      <c r="N1305">
        <v>90</v>
      </c>
      <c r="P1305" t="s">
        <v>2269</v>
      </c>
      <c r="Q1305" t="s">
        <v>2270</v>
      </c>
      <c r="R1305" t="s">
        <v>2273</v>
      </c>
      <c r="S1305" t="s">
        <v>2281</v>
      </c>
      <c r="T1305" t="s">
        <v>2288</v>
      </c>
      <c r="U1305">
        <v>4</v>
      </c>
      <c r="V1305">
        <v>475</v>
      </c>
      <c r="X1305">
        <v>43.63</v>
      </c>
      <c r="Z1305" t="s">
        <v>1761</v>
      </c>
      <c r="AA1305" t="s">
        <v>2297</v>
      </c>
      <c r="AB1305">
        <v>90</v>
      </c>
      <c r="AC1305">
        <v>0</v>
      </c>
      <c r="AD1305">
        <v>90</v>
      </c>
      <c r="AE1305">
        <v>43.63</v>
      </c>
      <c r="AF1305">
        <v>46.37</v>
      </c>
      <c r="AG1305">
        <v>2024</v>
      </c>
      <c r="AH1305">
        <v>3</v>
      </c>
      <c r="AI1305" t="s">
        <v>2305</v>
      </c>
      <c r="AJ1305" t="s">
        <v>2315</v>
      </c>
    </row>
    <row r="1306" spans="1:36" x14ac:dyDescent="0.3">
      <c r="A1306" t="s">
        <v>1340</v>
      </c>
      <c r="B1306" s="2">
        <v>45294</v>
      </c>
      <c r="C1306" t="s">
        <v>1672</v>
      </c>
      <c r="D1306" t="s">
        <v>1911</v>
      </c>
      <c r="E1306" t="s">
        <v>1761</v>
      </c>
      <c r="F1306" t="s">
        <v>2239</v>
      </c>
      <c r="G1306" t="s">
        <v>2253</v>
      </c>
      <c r="H1306" t="s">
        <v>2258</v>
      </c>
      <c r="I1306" t="s">
        <v>2260</v>
      </c>
      <c r="J1306" t="s">
        <v>2266</v>
      </c>
      <c r="K1306">
        <v>2</v>
      </c>
      <c r="L1306">
        <v>95</v>
      </c>
      <c r="M1306">
        <v>0</v>
      </c>
      <c r="N1306">
        <v>190</v>
      </c>
      <c r="O1306">
        <v>190</v>
      </c>
      <c r="P1306" t="s">
        <v>2267</v>
      </c>
      <c r="Q1306" t="s">
        <v>2272</v>
      </c>
      <c r="R1306" t="s">
        <v>2274</v>
      </c>
      <c r="S1306" t="s">
        <v>2284</v>
      </c>
      <c r="T1306" t="s">
        <v>2290</v>
      </c>
      <c r="U1306">
        <v>4</v>
      </c>
      <c r="V1306">
        <v>223</v>
      </c>
      <c r="W1306">
        <v>59</v>
      </c>
      <c r="X1306">
        <v>43.04</v>
      </c>
      <c r="Y1306">
        <v>103.92</v>
      </c>
      <c r="Z1306" t="s">
        <v>2291</v>
      </c>
      <c r="AA1306" t="s">
        <v>2296</v>
      </c>
      <c r="AB1306">
        <v>190</v>
      </c>
      <c r="AC1306">
        <v>0</v>
      </c>
      <c r="AD1306">
        <v>190</v>
      </c>
      <c r="AE1306">
        <v>86.08</v>
      </c>
      <c r="AF1306">
        <v>103.92</v>
      </c>
      <c r="AG1306">
        <v>2024</v>
      </c>
      <c r="AH1306">
        <v>1</v>
      </c>
      <c r="AI1306" t="s">
        <v>2302</v>
      </c>
      <c r="AJ1306" t="s">
        <v>2312</v>
      </c>
    </row>
    <row r="1307" spans="1:36" x14ac:dyDescent="0.3">
      <c r="A1307" t="s">
        <v>1341</v>
      </c>
      <c r="B1307" s="2">
        <v>45427</v>
      </c>
      <c r="C1307" t="s">
        <v>1696</v>
      </c>
      <c r="D1307" t="s">
        <v>1887</v>
      </c>
      <c r="E1307" t="s">
        <v>2214</v>
      </c>
      <c r="F1307" t="s">
        <v>2238</v>
      </c>
      <c r="G1307" t="s">
        <v>2248</v>
      </c>
      <c r="H1307" t="s">
        <v>2257</v>
      </c>
      <c r="I1307" t="s">
        <v>2262</v>
      </c>
      <c r="J1307" t="s">
        <v>2264</v>
      </c>
      <c r="K1307">
        <v>4</v>
      </c>
      <c r="L1307">
        <v>155</v>
      </c>
      <c r="M1307">
        <v>0.1</v>
      </c>
      <c r="N1307">
        <v>620</v>
      </c>
      <c r="O1307">
        <v>558</v>
      </c>
      <c r="P1307" t="s">
        <v>2269</v>
      </c>
      <c r="R1307" t="s">
        <v>2276</v>
      </c>
      <c r="S1307" t="s">
        <v>2281</v>
      </c>
      <c r="T1307" t="s">
        <v>2289</v>
      </c>
      <c r="U1307">
        <v>2</v>
      </c>
      <c r="V1307">
        <v>350</v>
      </c>
      <c r="W1307">
        <v>53</v>
      </c>
      <c r="X1307">
        <v>78.95</v>
      </c>
      <c r="Y1307">
        <v>242.2</v>
      </c>
      <c r="Z1307" t="s">
        <v>1761</v>
      </c>
      <c r="AA1307" t="s">
        <v>1761</v>
      </c>
      <c r="AB1307">
        <v>620</v>
      </c>
      <c r="AC1307">
        <v>62</v>
      </c>
      <c r="AD1307">
        <v>558</v>
      </c>
      <c r="AE1307">
        <v>315.8</v>
      </c>
      <c r="AF1307">
        <v>242.2</v>
      </c>
      <c r="AG1307">
        <v>2024</v>
      </c>
      <c r="AH1307">
        <v>5</v>
      </c>
      <c r="AI1307" t="s">
        <v>2306</v>
      </c>
      <c r="AJ1307" t="s">
        <v>2312</v>
      </c>
    </row>
    <row r="1308" spans="1:36" x14ac:dyDescent="0.3">
      <c r="A1308" t="s">
        <v>1342</v>
      </c>
      <c r="B1308" s="2">
        <v>45602</v>
      </c>
      <c r="C1308" t="s">
        <v>1686</v>
      </c>
      <c r="D1308" t="s">
        <v>1833</v>
      </c>
      <c r="E1308" t="s">
        <v>2170</v>
      </c>
      <c r="F1308" t="s">
        <v>2240</v>
      </c>
      <c r="G1308" t="s">
        <v>2253</v>
      </c>
      <c r="H1308" t="s">
        <v>2258</v>
      </c>
      <c r="I1308" t="s">
        <v>2260</v>
      </c>
      <c r="J1308" t="s">
        <v>2264</v>
      </c>
      <c r="K1308">
        <v>2</v>
      </c>
      <c r="L1308">
        <v>90</v>
      </c>
      <c r="M1308">
        <v>0</v>
      </c>
      <c r="N1308">
        <v>180</v>
      </c>
      <c r="O1308">
        <v>180</v>
      </c>
      <c r="P1308" t="s">
        <v>2269</v>
      </c>
      <c r="Q1308" t="s">
        <v>2272</v>
      </c>
      <c r="R1308" t="s">
        <v>2279</v>
      </c>
      <c r="S1308" t="s">
        <v>2283</v>
      </c>
      <c r="T1308" t="s">
        <v>2288</v>
      </c>
      <c r="U1308">
        <v>4</v>
      </c>
      <c r="V1308">
        <v>478</v>
      </c>
      <c r="W1308">
        <v>58</v>
      </c>
      <c r="X1308">
        <v>51.65</v>
      </c>
      <c r="Y1308">
        <v>76.7</v>
      </c>
      <c r="Z1308" t="s">
        <v>2293</v>
      </c>
      <c r="AA1308" t="s">
        <v>2298</v>
      </c>
      <c r="AB1308">
        <v>180</v>
      </c>
      <c r="AC1308">
        <v>0</v>
      </c>
      <c r="AD1308">
        <v>180</v>
      </c>
      <c r="AE1308">
        <v>103.3</v>
      </c>
      <c r="AF1308">
        <v>76.7</v>
      </c>
      <c r="AG1308">
        <v>2024</v>
      </c>
      <c r="AH1308">
        <v>11</v>
      </c>
      <c r="AI1308" t="s">
        <v>2311</v>
      </c>
      <c r="AJ1308" t="s">
        <v>2312</v>
      </c>
    </row>
    <row r="1309" spans="1:36" x14ac:dyDescent="0.3">
      <c r="A1309" t="s">
        <v>1343</v>
      </c>
      <c r="B1309" s="2">
        <v>45642</v>
      </c>
      <c r="C1309" t="s">
        <v>1642</v>
      </c>
      <c r="D1309" t="s">
        <v>1862</v>
      </c>
      <c r="E1309" t="s">
        <v>2030</v>
      </c>
      <c r="F1309" t="s">
        <v>2240</v>
      </c>
      <c r="G1309" t="s">
        <v>2253</v>
      </c>
      <c r="H1309" t="s">
        <v>2258</v>
      </c>
      <c r="I1309" t="s">
        <v>2260</v>
      </c>
      <c r="J1309" t="s">
        <v>2265</v>
      </c>
      <c r="K1309">
        <v>3</v>
      </c>
      <c r="L1309">
        <v>85</v>
      </c>
      <c r="M1309">
        <v>0.1</v>
      </c>
      <c r="N1309">
        <v>255</v>
      </c>
      <c r="O1309">
        <v>229.5</v>
      </c>
      <c r="Q1309" t="s">
        <v>2272</v>
      </c>
      <c r="R1309" t="s">
        <v>2277</v>
      </c>
      <c r="S1309" t="s">
        <v>2280</v>
      </c>
      <c r="T1309" t="s">
        <v>2288</v>
      </c>
      <c r="U1309">
        <v>5</v>
      </c>
      <c r="W1309">
        <v>22</v>
      </c>
      <c r="X1309">
        <v>33.61</v>
      </c>
      <c r="Y1309">
        <v>128.66999999999999</v>
      </c>
      <c r="Z1309" t="s">
        <v>1761</v>
      </c>
      <c r="AA1309" t="s">
        <v>1761</v>
      </c>
      <c r="AB1309">
        <v>255</v>
      </c>
      <c r="AC1309">
        <v>25.5</v>
      </c>
      <c r="AD1309">
        <v>229.5</v>
      </c>
      <c r="AE1309">
        <v>100.83</v>
      </c>
      <c r="AF1309">
        <v>128.66999999999999</v>
      </c>
      <c r="AG1309">
        <v>2024</v>
      </c>
      <c r="AH1309">
        <v>12</v>
      </c>
      <c r="AI1309" t="s">
        <v>2309</v>
      </c>
      <c r="AJ1309" t="s">
        <v>2314</v>
      </c>
    </row>
    <row r="1310" spans="1:36" x14ac:dyDescent="0.3">
      <c r="A1310" t="s">
        <v>1344</v>
      </c>
      <c r="B1310" s="2">
        <v>45297</v>
      </c>
      <c r="C1310" t="s">
        <v>1663</v>
      </c>
      <c r="D1310" t="s">
        <v>1787</v>
      </c>
      <c r="E1310" t="s">
        <v>2036</v>
      </c>
      <c r="F1310" t="s">
        <v>2239</v>
      </c>
      <c r="G1310" t="s">
        <v>2243</v>
      </c>
      <c r="H1310" t="s">
        <v>2258</v>
      </c>
      <c r="I1310" t="s">
        <v>2260</v>
      </c>
      <c r="K1310">
        <v>1</v>
      </c>
      <c r="L1310">
        <v>65</v>
      </c>
      <c r="M1310">
        <v>0</v>
      </c>
      <c r="N1310">
        <v>65</v>
      </c>
      <c r="O1310">
        <v>65</v>
      </c>
      <c r="P1310" t="s">
        <v>2269</v>
      </c>
      <c r="Q1310" t="s">
        <v>2272</v>
      </c>
      <c r="R1310" t="s">
        <v>2276</v>
      </c>
      <c r="S1310" t="s">
        <v>2283</v>
      </c>
      <c r="T1310" t="s">
        <v>2288</v>
      </c>
      <c r="U1310">
        <v>2</v>
      </c>
      <c r="V1310">
        <v>380</v>
      </c>
      <c r="W1310">
        <v>50</v>
      </c>
      <c r="X1310">
        <v>31.31</v>
      </c>
      <c r="Y1310">
        <v>33.69</v>
      </c>
      <c r="Z1310" t="s">
        <v>2291</v>
      </c>
      <c r="AA1310" t="s">
        <v>2297</v>
      </c>
      <c r="AB1310">
        <v>65</v>
      </c>
      <c r="AC1310">
        <v>0</v>
      </c>
      <c r="AD1310">
        <v>65</v>
      </c>
      <c r="AE1310">
        <v>31.31</v>
      </c>
      <c r="AF1310">
        <v>33.69</v>
      </c>
      <c r="AG1310">
        <v>2024</v>
      </c>
      <c r="AH1310">
        <v>1</v>
      </c>
      <c r="AI1310" t="s">
        <v>2302</v>
      </c>
      <c r="AJ1310" t="s">
        <v>2317</v>
      </c>
    </row>
    <row r="1311" spans="1:36" x14ac:dyDescent="0.3">
      <c r="A1311" t="s">
        <v>1345</v>
      </c>
      <c r="B1311" s="2">
        <v>45626</v>
      </c>
      <c r="C1311" t="s">
        <v>1717</v>
      </c>
      <c r="D1311" t="s">
        <v>1824</v>
      </c>
      <c r="E1311" t="s">
        <v>1979</v>
      </c>
      <c r="F1311" t="s">
        <v>2238</v>
      </c>
      <c r="G1311" t="s">
        <v>2251</v>
      </c>
      <c r="H1311" t="s">
        <v>2258</v>
      </c>
      <c r="I1311" t="s">
        <v>2260</v>
      </c>
      <c r="J1311" t="s">
        <v>2265</v>
      </c>
      <c r="K1311">
        <v>1</v>
      </c>
      <c r="L1311">
        <v>100</v>
      </c>
      <c r="M1311">
        <v>0</v>
      </c>
      <c r="N1311">
        <v>100</v>
      </c>
      <c r="O1311">
        <v>100</v>
      </c>
      <c r="P1311" t="s">
        <v>2268</v>
      </c>
      <c r="Q1311" t="s">
        <v>2270</v>
      </c>
      <c r="R1311" t="s">
        <v>2276</v>
      </c>
      <c r="S1311" t="s">
        <v>2284</v>
      </c>
      <c r="T1311" t="s">
        <v>2288</v>
      </c>
      <c r="U1311">
        <v>4</v>
      </c>
      <c r="V1311">
        <v>46</v>
      </c>
      <c r="W1311">
        <v>22</v>
      </c>
      <c r="X1311">
        <v>58.56</v>
      </c>
      <c r="Y1311">
        <v>41.44</v>
      </c>
      <c r="Z1311" t="s">
        <v>1761</v>
      </c>
      <c r="AA1311" t="s">
        <v>2296</v>
      </c>
      <c r="AB1311">
        <v>100</v>
      </c>
      <c r="AC1311">
        <v>0</v>
      </c>
      <c r="AD1311">
        <v>100</v>
      </c>
      <c r="AE1311">
        <v>58.56</v>
      </c>
      <c r="AF1311">
        <v>41.44</v>
      </c>
      <c r="AG1311">
        <v>2024</v>
      </c>
      <c r="AH1311">
        <v>11</v>
      </c>
      <c r="AI1311" t="s">
        <v>2311</v>
      </c>
      <c r="AJ1311" t="s">
        <v>2317</v>
      </c>
    </row>
    <row r="1312" spans="1:36" x14ac:dyDescent="0.3">
      <c r="A1312" t="s">
        <v>1346</v>
      </c>
      <c r="B1312" s="2">
        <v>45604</v>
      </c>
      <c r="C1312" t="s">
        <v>1679</v>
      </c>
      <c r="D1312" t="s">
        <v>1826</v>
      </c>
      <c r="E1312" t="s">
        <v>1987</v>
      </c>
      <c r="F1312" t="s">
        <v>2240</v>
      </c>
      <c r="G1312" t="s">
        <v>2247</v>
      </c>
      <c r="H1312" t="s">
        <v>2257</v>
      </c>
      <c r="I1312" t="s">
        <v>2262</v>
      </c>
      <c r="J1312" t="s">
        <v>2265</v>
      </c>
      <c r="K1312">
        <v>1</v>
      </c>
      <c r="L1312">
        <v>100</v>
      </c>
      <c r="M1312">
        <v>0.1</v>
      </c>
      <c r="N1312">
        <v>100</v>
      </c>
      <c r="O1312">
        <v>90</v>
      </c>
      <c r="P1312" t="s">
        <v>2269</v>
      </c>
      <c r="Q1312" t="s">
        <v>2271</v>
      </c>
      <c r="R1312" t="s">
        <v>2279</v>
      </c>
      <c r="S1312" t="s">
        <v>2284</v>
      </c>
      <c r="T1312" t="s">
        <v>2288</v>
      </c>
      <c r="U1312">
        <v>2</v>
      </c>
      <c r="V1312">
        <v>382</v>
      </c>
      <c r="W1312">
        <v>51</v>
      </c>
      <c r="X1312">
        <v>42.1</v>
      </c>
      <c r="Y1312">
        <v>47.9</v>
      </c>
      <c r="Z1312" t="s">
        <v>2291</v>
      </c>
      <c r="AA1312" t="s">
        <v>2296</v>
      </c>
      <c r="AB1312">
        <v>100</v>
      </c>
      <c r="AC1312">
        <v>10</v>
      </c>
      <c r="AD1312">
        <v>90</v>
      </c>
      <c r="AE1312">
        <v>42.1</v>
      </c>
      <c r="AF1312">
        <v>47.9</v>
      </c>
      <c r="AG1312">
        <v>2024</v>
      </c>
      <c r="AH1312">
        <v>11</v>
      </c>
      <c r="AI1312" t="s">
        <v>2311</v>
      </c>
      <c r="AJ1312" t="s">
        <v>2315</v>
      </c>
    </row>
    <row r="1313" spans="1:36" x14ac:dyDescent="0.3">
      <c r="A1313" t="s">
        <v>1347</v>
      </c>
      <c r="B1313" s="2">
        <v>45609</v>
      </c>
      <c r="C1313" t="s">
        <v>1690</v>
      </c>
      <c r="D1313" t="s">
        <v>1847</v>
      </c>
      <c r="E1313" t="s">
        <v>1952</v>
      </c>
      <c r="F1313" t="s">
        <v>2238</v>
      </c>
      <c r="G1313" t="s">
        <v>2248</v>
      </c>
      <c r="H1313" t="s">
        <v>2257</v>
      </c>
      <c r="I1313" t="s">
        <v>2262</v>
      </c>
      <c r="J1313" t="s">
        <v>2265</v>
      </c>
      <c r="K1313">
        <v>5</v>
      </c>
      <c r="L1313">
        <v>155</v>
      </c>
      <c r="M1313">
        <v>0.15</v>
      </c>
      <c r="N1313">
        <v>775</v>
      </c>
      <c r="O1313">
        <v>658.75</v>
      </c>
      <c r="P1313" t="s">
        <v>2267</v>
      </c>
      <c r="R1313" t="s">
        <v>2279</v>
      </c>
      <c r="S1313" t="s">
        <v>2285</v>
      </c>
      <c r="T1313" t="s">
        <v>2288</v>
      </c>
      <c r="U1313">
        <v>4</v>
      </c>
      <c r="V1313">
        <v>345</v>
      </c>
      <c r="W1313">
        <v>22</v>
      </c>
      <c r="X1313">
        <v>86.99</v>
      </c>
      <c r="Y1313">
        <v>223.8</v>
      </c>
      <c r="Z1313" t="s">
        <v>2292</v>
      </c>
      <c r="AA1313" t="s">
        <v>2299</v>
      </c>
      <c r="AB1313">
        <v>775</v>
      </c>
      <c r="AC1313">
        <v>116.25</v>
      </c>
      <c r="AD1313">
        <v>658.75</v>
      </c>
      <c r="AE1313">
        <v>434.95</v>
      </c>
      <c r="AF1313">
        <v>223.8</v>
      </c>
      <c r="AG1313">
        <v>2024</v>
      </c>
      <c r="AH1313">
        <v>11</v>
      </c>
      <c r="AI1313" t="s">
        <v>2311</v>
      </c>
      <c r="AJ1313" t="s">
        <v>2312</v>
      </c>
    </row>
    <row r="1314" spans="1:36" x14ac:dyDescent="0.3">
      <c r="A1314" t="s">
        <v>1348</v>
      </c>
      <c r="C1314" t="s">
        <v>1680</v>
      </c>
      <c r="D1314" t="s">
        <v>1800</v>
      </c>
      <c r="E1314" t="s">
        <v>2164</v>
      </c>
      <c r="F1314" t="s">
        <v>2239</v>
      </c>
      <c r="G1314" t="s">
        <v>2255</v>
      </c>
      <c r="H1314" t="s">
        <v>2260</v>
      </c>
      <c r="I1314" t="s">
        <v>2260</v>
      </c>
      <c r="J1314" t="s">
        <v>2266</v>
      </c>
      <c r="K1314">
        <v>1</v>
      </c>
      <c r="L1314">
        <v>175</v>
      </c>
      <c r="M1314">
        <v>0.15</v>
      </c>
      <c r="N1314">
        <v>175</v>
      </c>
      <c r="O1314">
        <v>148.75</v>
      </c>
      <c r="P1314" t="s">
        <v>2269</v>
      </c>
      <c r="Q1314" t="s">
        <v>2270</v>
      </c>
      <c r="R1314" t="s">
        <v>2278</v>
      </c>
      <c r="S1314" t="s">
        <v>2282</v>
      </c>
      <c r="T1314" t="s">
        <v>2288</v>
      </c>
      <c r="U1314">
        <v>3</v>
      </c>
      <c r="V1314">
        <v>230</v>
      </c>
      <c r="W1314">
        <v>60</v>
      </c>
      <c r="X1314">
        <v>87.59</v>
      </c>
      <c r="Y1314">
        <v>61.16</v>
      </c>
      <c r="Z1314" t="s">
        <v>2291</v>
      </c>
      <c r="AA1314" t="s">
        <v>2298</v>
      </c>
      <c r="AB1314">
        <v>175</v>
      </c>
      <c r="AC1314">
        <v>26.25</v>
      </c>
      <c r="AD1314">
        <v>148.75</v>
      </c>
      <c r="AE1314">
        <v>87.59</v>
      </c>
      <c r="AF1314">
        <v>61.16</v>
      </c>
    </row>
    <row r="1315" spans="1:36" x14ac:dyDescent="0.3">
      <c r="A1315" t="s">
        <v>1349</v>
      </c>
      <c r="B1315" s="2">
        <v>45331</v>
      </c>
      <c r="C1315" t="s">
        <v>1722</v>
      </c>
      <c r="D1315" t="s">
        <v>1860</v>
      </c>
      <c r="E1315" t="s">
        <v>2134</v>
      </c>
      <c r="F1315" t="s">
        <v>2238</v>
      </c>
      <c r="G1315" t="s">
        <v>2255</v>
      </c>
      <c r="H1315" t="s">
        <v>2260</v>
      </c>
      <c r="I1315" t="s">
        <v>2260</v>
      </c>
      <c r="J1315" t="s">
        <v>2264</v>
      </c>
      <c r="K1315">
        <v>1</v>
      </c>
      <c r="L1315">
        <v>190</v>
      </c>
      <c r="M1315">
        <v>0.05</v>
      </c>
      <c r="N1315">
        <v>190</v>
      </c>
      <c r="O1315">
        <v>180.5</v>
      </c>
      <c r="P1315" t="s">
        <v>2267</v>
      </c>
      <c r="Q1315" t="s">
        <v>2272</v>
      </c>
      <c r="R1315" t="s">
        <v>2279</v>
      </c>
      <c r="S1315" t="s">
        <v>2287</v>
      </c>
      <c r="T1315" t="s">
        <v>2288</v>
      </c>
      <c r="U1315">
        <v>3</v>
      </c>
      <c r="V1315">
        <v>400</v>
      </c>
      <c r="W1315">
        <v>25</v>
      </c>
      <c r="X1315">
        <v>75.510000000000005</v>
      </c>
      <c r="Y1315">
        <v>104.99</v>
      </c>
      <c r="Z1315" t="s">
        <v>1761</v>
      </c>
      <c r="AA1315" t="s">
        <v>2298</v>
      </c>
      <c r="AB1315">
        <v>190</v>
      </c>
      <c r="AC1315">
        <v>9.5</v>
      </c>
      <c r="AD1315">
        <v>180.5</v>
      </c>
      <c r="AE1315">
        <v>75.510000000000005</v>
      </c>
      <c r="AF1315">
        <v>104.99</v>
      </c>
      <c r="AG1315">
        <v>2024</v>
      </c>
      <c r="AH1315">
        <v>2</v>
      </c>
      <c r="AI1315" t="s">
        <v>2303</v>
      </c>
      <c r="AJ1315" t="s">
        <v>2315</v>
      </c>
    </row>
    <row r="1316" spans="1:36" x14ac:dyDescent="0.3">
      <c r="A1316" t="s">
        <v>1350</v>
      </c>
      <c r="B1316" s="2">
        <v>45599</v>
      </c>
      <c r="C1316" t="s">
        <v>1721</v>
      </c>
      <c r="D1316" t="s">
        <v>1864</v>
      </c>
      <c r="E1316" t="s">
        <v>2102</v>
      </c>
      <c r="F1316" t="s">
        <v>2238</v>
      </c>
      <c r="G1316" t="s">
        <v>2252</v>
      </c>
      <c r="H1316" t="s">
        <v>2257</v>
      </c>
      <c r="I1316" t="s">
        <v>2262</v>
      </c>
      <c r="J1316" t="s">
        <v>2265</v>
      </c>
      <c r="K1316">
        <v>2</v>
      </c>
      <c r="L1316">
        <v>85</v>
      </c>
      <c r="P1316" t="s">
        <v>2267</v>
      </c>
      <c r="R1316" t="s">
        <v>2275</v>
      </c>
      <c r="S1316" t="s">
        <v>2287</v>
      </c>
      <c r="T1316" t="s">
        <v>2288</v>
      </c>
      <c r="U1316">
        <v>5</v>
      </c>
      <c r="V1316">
        <v>38</v>
      </c>
      <c r="X1316">
        <v>32.56</v>
      </c>
      <c r="Z1316" t="s">
        <v>2292</v>
      </c>
      <c r="AA1316" t="s">
        <v>2299</v>
      </c>
      <c r="AB1316">
        <v>170</v>
      </c>
      <c r="AC1316">
        <v>0</v>
      </c>
      <c r="AD1316">
        <v>170</v>
      </c>
      <c r="AE1316">
        <v>65.12</v>
      </c>
      <c r="AF1316">
        <v>104.88</v>
      </c>
      <c r="AG1316">
        <v>2024</v>
      </c>
      <c r="AH1316">
        <v>11</v>
      </c>
      <c r="AI1316" t="s">
        <v>2311</v>
      </c>
      <c r="AJ1316" t="s">
        <v>2318</v>
      </c>
    </row>
    <row r="1317" spans="1:36" x14ac:dyDescent="0.3">
      <c r="A1317" t="s">
        <v>1351</v>
      </c>
      <c r="B1317" s="2">
        <v>45518</v>
      </c>
      <c r="C1317" t="s">
        <v>1700</v>
      </c>
      <c r="D1317" t="s">
        <v>1746</v>
      </c>
      <c r="E1317" t="s">
        <v>1761</v>
      </c>
      <c r="F1317" t="s">
        <v>2240</v>
      </c>
      <c r="G1317" t="s">
        <v>2251</v>
      </c>
      <c r="H1317" t="s">
        <v>2258</v>
      </c>
      <c r="I1317" t="s">
        <v>2260</v>
      </c>
      <c r="J1317" t="s">
        <v>2265</v>
      </c>
      <c r="K1317">
        <v>1</v>
      </c>
      <c r="L1317">
        <v>95</v>
      </c>
      <c r="M1317">
        <v>0.05</v>
      </c>
      <c r="N1317">
        <v>95</v>
      </c>
      <c r="O1317">
        <v>90.25</v>
      </c>
      <c r="P1317" t="s">
        <v>2267</v>
      </c>
      <c r="R1317" t="s">
        <v>2275</v>
      </c>
      <c r="S1317" t="s">
        <v>2283</v>
      </c>
      <c r="T1317" t="s">
        <v>2288</v>
      </c>
      <c r="U1317">
        <v>5</v>
      </c>
      <c r="V1317">
        <v>225</v>
      </c>
      <c r="W1317">
        <v>26</v>
      </c>
      <c r="X1317">
        <v>52.47</v>
      </c>
      <c r="Y1317">
        <v>37.78</v>
      </c>
      <c r="Z1317" t="s">
        <v>2293</v>
      </c>
      <c r="AA1317" t="s">
        <v>2296</v>
      </c>
      <c r="AB1317">
        <v>95</v>
      </c>
      <c r="AC1317">
        <v>4.75</v>
      </c>
      <c r="AD1317">
        <v>90.25</v>
      </c>
      <c r="AE1317">
        <v>52.47</v>
      </c>
      <c r="AF1317">
        <v>37.78</v>
      </c>
      <c r="AG1317">
        <v>2024</v>
      </c>
      <c r="AH1317">
        <v>8</v>
      </c>
      <c r="AI1317" t="s">
        <v>2301</v>
      </c>
      <c r="AJ1317" t="s">
        <v>2312</v>
      </c>
    </row>
    <row r="1318" spans="1:36" x14ac:dyDescent="0.3">
      <c r="A1318" t="s">
        <v>1352</v>
      </c>
      <c r="B1318" s="2">
        <v>45404</v>
      </c>
      <c r="C1318" t="s">
        <v>1693</v>
      </c>
      <c r="D1318" t="s">
        <v>1791</v>
      </c>
      <c r="E1318" t="s">
        <v>2088</v>
      </c>
      <c r="F1318" t="s">
        <v>2240</v>
      </c>
      <c r="G1318" t="s">
        <v>2254</v>
      </c>
      <c r="H1318" t="s">
        <v>2259</v>
      </c>
      <c r="I1318" t="s">
        <v>2263</v>
      </c>
      <c r="J1318" t="s">
        <v>2265</v>
      </c>
      <c r="K1318">
        <v>1</v>
      </c>
      <c r="L1318">
        <v>120</v>
      </c>
      <c r="M1318">
        <v>0.1</v>
      </c>
      <c r="N1318">
        <v>120</v>
      </c>
      <c r="O1318">
        <v>108</v>
      </c>
      <c r="P1318" t="s">
        <v>2269</v>
      </c>
      <c r="Q1318" t="s">
        <v>2272</v>
      </c>
      <c r="R1318" t="s">
        <v>2278</v>
      </c>
      <c r="S1318" t="s">
        <v>2284</v>
      </c>
      <c r="T1318" t="s">
        <v>2288</v>
      </c>
      <c r="U1318">
        <v>4</v>
      </c>
      <c r="V1318">
        <v>452</v>
      </c>
      <c r="W1318">
        <v>15</v>
      </c>
      <c r="X1318">
        <v>51.73</v>
      </c>
      <c r="Y1318">
        <v>56.27</v>
      </c>
      <c r="Z1318" t="s">
        <v>2293</v>
      </c>
      <c r="AA1318" t="s">
        <v>2298</v>
      </c>
      <c r="AB1318">
        <v>120</v>
      </c>
      <c r="AC1318">
        <v>12</v>
      </c>
      <c r="AD1318">
        <v>108</v>
      </c>
      <c r="AE1318">
        <v>51.73</v>
      </c>
      <c r="AF1318">
        <v>56.27</v>
      </c>
      <c r="AG1318">
        <v>2024</v>
      </c>
      <c r="AH1318">
        <v>4</v>
      </c>
      <c r="AI1318" t="s">
        <v>2308</v>
      </c>
      <c r="AJ1318" t="s">
        <v>2314</v>
      </c>
    </row>
    <row r="1319" spans="1:36" x14ac:dyDescent="0.3">
      <c r="A1319" t="s">
        <v>1353</v>
      </c>
      <c r="B1319" s="2">
        <v>45507</v>
      </c>
      <c r="C1319" t="s">
        <v>1699</v>
      </c>
      <c r="D1319" t="s">
        <v>1825</v>
      </c>
      <c r="E1319" t="s">
        <v>2125</v>
      </c>
      <c r="F1319" t="s">
        <v>1761</v>
      </c>
      <c r="G1319" t="s">
        <v>2254</v>
      </c>
      <c r="H1319" t="s">
        <v>2259</v>
      </c>
      <c r="I1319" t="s">
        <v>2263</v>
      </c>
      <c r="J1319" t="s">
        <v>2265</v>
      </c>
      <c r="K1319">
        <v>1</v>
      </c>
      <c r="L1319">
        <v>105</v>
      </c>
      <c r="M1319">
        <v>0.05</v>
      </c>
      <c r="N1319">
        <v>105</v>
      </c>
      <c r="O1319">
        <v>99.75</v>
      </c>
      <c r="P1319" t="s">
        <v>2267</v>
      </c>
      <c r="R1319" t="s">
        <v>2278</v>
      </c>
      <c r="S1319" t="s">
        <v>2283</v>
      </c>
      <c r="T1319" t="s">
        <v>2288</v>
      </c>
      <c r="U1319">
        <v>4</v>
      </c>
      <c r="V1319">
        <v>400</v>
      </c>
      <c r="X1319">
        <v>49.53</v>
      </c>
      <c r="Y1319">
        <v>50.22</v>
      </c>
      <c r="Z1319" t="s">
        <v>1761</v>
      </c>
      <c r="AA1319" t="s">
        <v>2299</v>
      </c>
      <c r="AB1319">
        <v>105</v>
      </c>
      <c r="AC1319">
        <v>5.25</v>
      </c>
      <c r="AD1319">
        <v>99.75</v>
      </c>
      <c r="AE1319">
        <v>49.53</v>
      </c>
      <c r="AF1319">
        <v>50.22</v>
      </c>
      <c r="AG1319">
        <v>2024</v>
      </c>
      <c r="AH1319">
        <v>8</v>
      </c>
      <c r="AI1319" t="s">
        <v>2301</v>
      </c>
      <c r="AJ1319" t="s">
        <v>2317</v>
      </c>
    </row>
    <row r="1320" spans="1:36" x14ac:dyDescent="0.3">
      <c r="A1320" t="s">
        <v>1354</v>
      </c>
      <c r="B1320" s="2">
        <v>45520</v>
      </c>
      <c r="C1320" t="s">
        <v>1658</v>
      </c>
      <c r="D1320" t="s">
        <v>1755</v>
      </c>
      <c r="E1320" t="s">
        <v>1761</v>
      </c>
      <c r="F1320" t="s">
        <v>2240</v>
      </c>
      <c r="G1320" t="s">
        <v>2252</v>
      </c>
      <c r="H1320" t="s">
        <v>2257</v>
      </c>
      <c r="I1320" t="s">
        <v>2262</v>
      </c>
      <c r="J1320" t="s">
        <v>2265</v>
      </c>
      <c r="K1320">
        <v>2</v>
      </c>
      <c r="L1320">
        <v>90</v>
      </c>
      <c r="N1320">
        <v>180</v>
      </c>
      <c r="P1320" t="s">
        <v>2267</v>
      </c>
      <c r="Q1320" t="s">
        <v>2271</v>
      </c>
      <c r="R1320" t="s">
        <v>2279</v>
      </c>
      <c r="S1320" t="s">
        <v>2282</v>
      </c>
      <c r="T1320" t="s">
        <v>2288</v>
      </c>
      <c r="U1320">
        <v>3</v>
      </c>
      <c r="V1320">
        <v>324</v>
      </c>
      <c r="W1320">
        <v>53</v>
      </c>
      <c r="X1320">
        <v>52.1</v>
      </c>
      <c r="Z1320" t="s">
        <v>2294</v>
      </c>
      <c r="AA1320" t="s">
        <v>1761</v>
      </c>
      <c r="AB1320">
        <v>180</v>
      </c>
      <c r="AC1320">
        <v>0</v>
      </c>
      <c r="AD1320">
        <v>180</v>
      </c>
      <c r="AE1320">
        <v>104.2</v>
      </c>
      <c r="AF1320">
        <v>75.8</v>
      </c>
      <c r="AG1320">
        <v>2024</v>
      </c>
      <c r="AH1320">
        <v>8</v>
      </c>
      <c r="AI1320" t="s">
        <v>2301</v>
      </c>
      <c r="AJ1320" t="s">
        <v>2315</v>
      </c>
    </row>
    <row r="1321" spans="1:36" x14ac:dyDescent="0.3">
      <c r="A1321" t="s">
        <v>1355</v>
      </c>
      <c r="B1321" s="2">
        <v>45536</v>
      </c>
      <c r="C1321" t="s">
        <v>1738</v>
      </c>
      <c r="D1321" t="s">
        <v>1818</v>
      </c>
      <c r="E1321" t="s">
        <v>1976</v>
      </c>
      <c r="F1321" t="s">
        <v>2240</v>
      </c>
      <c r="G1321" t="s">
        <v>2246</v>
      </c>
      <c r="H1321" t="s">
        <v>2259</v>
      </c>
      <c r="I1321" t="s">
        <v>2262</v>
      </c>
      <c r="J1321" t="s">
        <v>2264</v>
      </c>
      <c r="K1321">
        <v>4</v>
      </c>
      <c r="L1321">
        <v>100</v>
      </c>
      <c r="M1321">
        <v>0.1</v>
      </c>
      <c r="N1321">
        <v>400</v>
      </c>
      <c r="O1321">
        <v>360</v>
      </c>
      <c r="P1321" t="s">
        <v>2268</v>
      </c>
      <c r="Q1321" t="s">
        <v>2272</v>
      </c>
      <c r="R1321" t="s">
        <v>2275</v>
      </c>
      <c r="S1321" t="s">
        <v>2287</v>
      </c>
      <c r="T1321" t="s">
        <v>2289</v>
      </c>
      <c r="U1321">
        <v>4</v>
      </c>
      <c r="V1321">
        <v>364</v>
      </c>
      <c r="W1321">
        <v>31</v>
      </c>
      <c r="X1321">
        <v>37.14</v>
      </c>
      <c r="Y1321">
        <v>211.44</v>
      </c>
      <c r="Z1321" t="s">
        <v>2292</v>
      </c>
      <c r="AA1321" t="s">
        <v>1761</v>
      </c>
      <c r="AB1321">
        <v>400</v>
      </c>
      <c r="AC1321">
        <v>40</v>
      </c>
      <c r="AD1321">
        <v>360</v>
      </c>
      <c r="AE1321">
        <v>148.56</v>
      </c>
      <c r="AF1321">
        <v>211.44</v>
      </c>
      <c r="AG1321">
        <v>2024</v>
      </c>
      <c r="AH1321">
        <v>9</v>
      </c>
      <c r="AI1321" t="s">
        <v>2300</v>
      </c>
      <c r="AJ1321" t="s">
        <v>2318</v>
      </c>
    </row>
    <row r="1322" spans="1:36" x14ac:dyDescent="0.3">
      <c r="A1322" t="s">
        <v>1356</v>
      </c>
      <c r="B1322" s="2">
        <v>45441</v>
      </c>
      <c r="C1322" t="s">
        <v>1726</v>
      </c>
      <c r="D1322" t="s">
        <v>1787</v>
      </c>
      <c r="E1322" t="s">
        <v>2142</v>
      </c>
      <c r="F1322" t="s">
        <v>2238</v>
      </c>
      <c r="G1322" t="s">
        <v>2244</v>
      </c>
      <c r="H1322" t="s">
        <v>2257</v>
      </c>
      <c r="I1322" t="s">
        <v>2262</v>
      </c>
      <c r="J1322" t="s">
        <v>2264</v>
      </c>
      <c r="K1322">
        <v>1</v>
      </c>
      <c r="L1322">
        <v>120</v>
      </c>
      <c r="M1322">
        <v>0.05</v>
      </c>
      <c r="N1322">
        <v>120</v>
      </c>
      <c r="O1322">
        <v>114</v>
      </c>
      <c r="P1322" t="s">
        <v>2269</v>
      </c>
      <c r="Q1322" t="s">
        <v>2272</v>
      </c>
      <c r="R1322" t="s">
        <v>2277</v>
      </c>
      <c r="S1322" t="s">
        <v>2281</v>
      </c>
      <c r="T1322" t="s">
        <v>2290</v>
      </c>
      <c r="V1322">
        <v>268</v>
      </c>
      <c r="W1322">
        <v>49</v>
      </c>
      <c r="X1322">
        <v>51.17</v>
      </c>
      <c r="Y1322">
        <v>62.83</v>
      </c>
      <c r="Z1322" t="s">
        <v>2291</v>
      </c>
      <c r="AA1322" t="s">
        <v>2298</v>
      </c>
      <c r="AB1322">
        <v>120</v>
      </c>
      <c r="AC1322">
        <v>6</v>
      </c>
      <c r="AD1322">
        <v>114</v>
      </c>
      <c r="AE1322">
        <v>51.17</v>
      </c>
      <c r="AF1322">
        <v>62.83</v>
      </c>
      <c r="AG1322">
        <v>2024</v>
      </c>
      <c r="AH1322">
        <v>5</v>
      </c>
      <c r="AI1322" t="s">
        <v>2306</v>
      </c>
      <c r="AJ1322" t="s">
        <v>2312</v>
      </c>
    </row>
    <row r="1323" spans="1:36" x14ac:dyDescent="0.3">
      <c r="A1323" t="s">
        <v>1357</v>
      </c>
      <c r="B1323" s="2">
        <v>45594</v>
      </c>
      <c r="C1323" t="s">
        <v>1669</v>
      </c>
      <c r="D1323" t="s">
        <v>1749</v>
      </c>
      <c r="E1323" t="s">
        <v>2180</v>
      </c>
      <c r="F1323" t="s">
        <v>2238</v>
      </c>
      <c r="G1323" t="s">
        <v>2243</v>
      </c>
      <c r="H1323" t="s">
        <v>2258</v>
      </c>
      <c r="I1323" t="s">
        <v>2260</v>
      </c>
      <c r="J1323" t="s">
        <v>2265</v>
      </c>
      <c r="K1323">
        <v>1</v>
      </c>
      <c r="L1323">
        <v>65</v>
      </c>
      <c r="N1323">
        <v>65</v>
      </c>
      <c r="P1323" t="s">
        <v>2269</v>
      </c>
      <c r="R1323" t="s">
        <v>2274</v>
      </c>
      <c r="S1323" t="s">
        <v>2283</v>
      </c>
      <c r="T1323" t="s">
        <v>2288</v>
      </c>
      <c r="U1323">
        <v>1</v>
      </c>
      <c r="V1323">
        <v>425</v>
      </c>
      <c r="W1323">
        <v>31</v>
      </c>
      <c r="X1323">
        <v>27.24</v>
      </c>
      <c r="Z1323" t="s">
        <v>2293</v>
      </c>
      <c r="AA1323" t="s">
        <v>1761</v>
      </c>
      <c r="AB1323">
        <v>65</v>
      </c>
      <c r="AC1323">
        <v>0</v>
      </c>
      <c r="AD1323">
        <v>65</v>
      </c>
      <c r="AE1323">
        <v>27.24</v>
      </c>
      <c r="AF1323">
        <v>37.760000000000012</v>
      </c>
      <c r="AG1323">
        <v>2024</v>
      </c>
      <c r="AH1323">
        <v>10</v>
      </c>
      <c r="AI1323" t="s">
        <v>2310</v>
      </c>
      <c r="AJ1323" t="s">
        <v>2313</v>
      </c>
    </row>
    <row r="1324" spans="1:36" x14ac:dyDescent="0.3">
      <c r="A1324" t="s">
        <v>1358</v>
      </c>
      <c r="B1324" s="2">
        <v>45362</v>
      </c>
      <c r="C1324" t="s">
        <v>1736</v>
      </c>
      <c r="D1324" t="s">
        <v>1873</v>
      </c>
      <c r="E1324" t="s">
        <v>1761</v>
      </c>
      <c r="F1324" t="s">
        <v>2240</v>
      </c>
      <c r="G1324" t="s">
        <v>2251</v>
      </c>
      <c r="H1324" t="s">
        <v>2258</v>
      </c>
      <c r="I1324" t="s">
        <v>2260</v>
      </c>
      <c r="J1324" t="s">
        <v>2265</v>
      </c>
      <c r="K1324">
        <v>2</v>
      </c>
      <c r="L1324">
        <v>105</v>
      </c>
      <c r="M1324">
        <v>0</v>
      </c>
      <c r="N1324">
        <v>210</v>
      </c>
      <c r="O1324">
        <v>210</v>
      </c>
      <c r="P1324" t="s">
        <v>2269</v>
      </c>
      <c r="Q1324" t="s">
        <v>2272</v>
      </c>
      <c r="R1324" t="s">
        <v>2275</v>
      </c>
      <c r="S1324" t="s">
        <v>2285</v>
      </c>
      <c r="T1324" t="s">
        <v>2288</v>
      </c>
      <c r="U1324">
        <v>2</v>
      </c>
      <c r="X1324">
        <v>52.82</v>
      </c>
      <c r="Y1324">
        <v>104.36</v>
      </c>
      <c r="Z1324" t="s">
        <v>2294</v>
      </c>
      <c r="AA1324" t="s">
        <v>2296</v>
      </c>
      <c r="AB1324">
        <v>210</v>
      </c>
      <c r="AC1324">
        <v>0</v>
      </c>
      <c r="AD1324">
        <v>210</v>
      </c>
      <c r="AE1324">
        <v>105.64</v>
      </c>
      <c r="AF1324">
        <v>104.36</v>
      </c>
      <c r="AG1324">
        <v>2024</v>
      </c>
      <c r="AH1324">
        <v>3</v>
      </c>
      <c r="AI1324" t="s">
        <v>2305</v>
      </c>
      <c r="AJ1324" t="s">
        <v>2314</v>
      </c>
    </row>
    <row r="1325" spans="1:36" x14ac:dyDescent="0.3">
      <c r="A1325" t="s">
        <v>1359</v>
      </c>
      <c r="B1325" s="2">
        <v>45561</v>
      </c>
      <c r="C1325" t="s">
        <v>1651</v>
      </c>
      <c r="D1325" t="s">
        <v>1873</v>
      </c>
      <c r="E1325" t="s">
        <v>2096</v>
      </c>
      <c r="F1325" t="s">
        <v>2239</v>
      </c>
      <c r="G1325" t="s">
        <v>2255</v>
      </c>
      <c r="H1325" t="s">
        <v>2260</v>
      </c>
      <c r="I1325" t="s">
        <v>2260</v>
      </c>
      <c r="K1325">
        <v>2</v>
      </c>
      <c r="L1325">
        <v>190</v>
      </c>
      <c r="M1325">
        <v>0</v>
      </c>
      <c r="N1325">
        <v>380</v>
      </c>
      <c r="O1325">
        <v>380</v>
      </c>
      <c r="P1325" t="s">
        <v>2267</v>
      </c>
      <c r="Q1325" t="s">
        <v>2271</v>
      </c>
      <c r="R1325" t="s">
        <v>2276</v>
      </c>
      <c r="S1325" t="s">
        <v>2285</v>
      </c>
      <c r="T1325" t="s">
        <v>2288</v>
      </c>
      <c r="U1325">
        <v>1</v>
      </c>
      <c r="V1325">
        <v>390</v>
      </c>
      <c r="W1325">
        <v>49</v>
      </c>
      <c r="X1325">
        <v>81.64</v>
      </c>
      <c r="Y1325">
        <v>216.72</v>
      </c>
      <c r="Z1325" t="s">
        <v>2293</v>
      </c>
      <c r="AA1325" t="s">
        <v>2296</v>
      </c>
      <c r="AB1325">
        <v>380</v>
      </c>
      <c r="AC1325">
        <v>0</v>
      </c>
      <c r="AD1325">
        <v>380</v>
      </c>
      <c r="AE1325">
        <v>163.28</v>
      </c>
      <c r="AF1325">
        <v>216.72</v>
      </c>
      <c r="AG1325">
        <v>2024</v>
      </c>
      <c r="AH1325">
        <v>9</v>
      </c>
      <c r="AI1325" t="s">
        <v>2300</v>
      </c>
      <c r="AJ1325" t="s">
        <v>2316</v>
      </c>
    </row>
    <row r="1326" spans="1:36" x14ac:dyDescent="0.3">
      <c r="A1326" t="s">
        <v>1360</v>
      </c>
      <c r="B1326" s="2">
        <v>45326</v>
      </c>
      <c r="C1326" t="s">
        <v>1686</v>
      </c>
      <c r="D1326" t="s">
        <v>1904</v>
      </c>
      <c r="E1326" t="s">
        <v>2022</v>
      </c>
      <c r="F1326" t="s">
        <v>1761</v>
      </c>
      <c r="G1326" t="s">
        <v>2251</v>
      </c>
      <c r="H1326" t="s">
        <v>2258</v>
      </c>
      <c r="I1326" t="s">
        <v>2260</v>
      </c>
      <c r="J1326" t="s">
        <v>2265</v>
      </c>
      <c r="K1326">
        <v>4</v>
      </c>
      <c r="L1326">
        <v>105</v>
      </c>
      <c r="M1326">
        <v>0.1</v>
      </c>
      <c r="N1326">
        <v>420</v>
      </c>
      <c r="O1326">
        <v>378</v>
      </c>
      <c r="Q1326" t="s">
        <v>2270</v>
      </c>
      <c r="R1326" t="s">
        <v>2278</v>
      </c>
      <c r="S1326" t="s">
        <v>2280</v>
      </c>
      <c r="T1326" t="s">
        <v>2288</v>
      </c>
      <c r="U1326">
        <v>2</v>
      </c>
      <c r="V1326">
        <v>118</v>
      </c>
      <c r="W1326">
        <v>45</v>
      </c>
      <c r="X1326">
        <v>48.36</v>
      </c>
      <c r="Y1326">
        <v>184.56</v>
      </c>
      <c r="Z1326" t="s">
        <v>1761</v>
      </c>
      <c r="AA1326" t="s">
        <v>2297</v>
      </c>
      <c r="AB1326">
        <v>420</v>
      </c>
      <c r="AC1326">
        <v>42</v>
      </c>
      <c r="AD1326">
        <v>378</v>
      </c>
      <c r="AE1326">
        <v>193.44</v>
      </c>
      <c r="AF1326">
        <v>184.56</v>
      </c>
      <c r="AG1326">
        <v>2024</v>
      </c>
      <c r="AH1326">
        <v>2</v>
      </c>
      <c r="AI1326" t="s">
        <v>2303</v>
      </c>
      <c r="AJ1326" t="s">
        <v>2318</v>
      </c>
    </row>
    <row r="1327" spans="1:36" x14ac:dyDescent="0.3">
      <c r="A1327" t="s">
        <v>1361</v>
      </c>
      <c r="B1327" s="2">
        <v>45365</v>
      </c>
      <c r="C1327" t="s">
        <v>1686</v>
      </c>
      <c r="D1327" t="s">
        <v>1898</v>
      </c>
      <c r="E1327" t="s">
        <v>2032</v>
      </c>
      <c r="F1327" t="s">
        <v>1761</v>
      </c>
      <c r="G1327" t="s">
        <v>2248</v>
      </c>
      <c r="H1327" t="s">
        <v>2257</v>
      </c>
      <c r="I1327" t="s">
        <v>2262</v>
      </c>
      <c r="J1327" t="s">
        <v>2264</v>
      </c>
      <c r="K1327">
        <v>2</v>
      </c>
      <c r="L1327">
        <v>140</v>
      </c>
      <c r="M1327">
        <v>0</v>
      </c>
      <c r="N1327">
        <v>280</v>
      </c>
      <c r="O1327">
        <v>280</v>
      </c>
      <c r="P1327" t="s">
        <v>2267</v>
      </c>
      <c r="Q1327" t="s">
        <v>2272</v>
      </c>
      <c r="R1327" t="s">
        <v>2275</v>
      </c>
      <c r="S1327" t="s">
        <v>2281</v>
      </c>
      <c r="T1327" t="s">
        <v>2288</v>
      </c>
      <c r="U1327">
        <v>1</v>
      </c>
      <c r="V1327">
        <v>373</v>
      </c>
      <c r="W1327">
        <v>33</v>
      </c>
      <c r="X1327">
        <v>86.37</v>
      </c>
      <c r="Y1327">
        <v>107.26</v>
      </c>
      <c r="Z1327" t="s">
        <v>2292</v>
      </c>
      <c r="AA1327" t="s">
        <v>2297</v>
      </c>
      <c r="AB1327">
        <v>280</v>
      </c>
      <c r="AC1327">
        <v>0</v>
      </c>
      <c r="AD1327">
        <v>280</v>
      </c>
      <c r="AE1327">
        <v>172.74</v>
      </c>
      <c r="AF1327">
        <v>107.26</v>
      </c>
      <c r="AG1327">
        <v>2024</v>
      </c>
      <c r="AH1327">
        <v>3</v>
      </c>
      <c r="AI1327" t="s">
        <v>2305</v>
      </c>
      <c r="AJ1327" t="s">
        <v>2316</v>
      </c>
    </row>
    <row r="1328" spans="1:36" x14ac:dyDescent="0.3">
      <c r="A1328" t="s">
        <v>1362</v>
      </c>
      <c r="B1328" s="2">
        <v>45586</v>
      </c>
      <c r="C1328" t="s">
        <v>1724</v>
      </c>
      <c r="D1328" t="s">
        <v>1913</v>
      </c>
      <c r="E1328" t="s">
        <v>2100</v>
      </c>
      <c r="F1328" t="s">
        <v>2239</v>
      </c>
      <c r="G1328" t="s">
        <v>2247</v>
      </c>
      <c r="H1328" t="s">
        <v>2257</v>
      </c>
      <c r="I1328" t="s">
        <v>2262</v>
      </c>
      <c r="J1328" t="s">
        <v>2264</v>
      </c>
      <c r="K1328">
        <v>1</v>
      </c>
      <c r="L1328">
        <v>95</v>
      </c>
      <c r="M1328">
        <v>0.05</v>
      </c>
      <c r="N1328">
        <v>95</v>
      </c>
      <c r="O1328">
        <v>90.25</v>
      </c>
      <c r="P1328" t="s">
        <v>2269</v>
      </c>
      <c r="Q1328" t="s">
        <v>2270</v>
      </c>
      <c r="R1328" t="s">
        <v>2277</v>
      </c>
      <c r="S1328" t="s">
        <v>2282</v>
      </c>
      <c r="T1328" t="s">
        <v>2289</v>
      </c>
      <c r="U1328">
        <v>2</v>
      </c>
      <c r="V1328">
        <v>89</v>
      </c>
      <c r="W1328">
        <v>43</v>
      </c>
      <c r="X1328">
        <v>37.18</v>
      </c>
      <c r="Y1328">
        <v>53.07</v>
      </c>
      <c r="Z1328" t="s">
        <v>2293</v>
      </c>
      <c r="AA1328" t="s">
        <v>2297</v>
      </c>
      <c r="AB1328">
        <v>95</v>
      </c>
      <c r="AC1328">
        <v>4.75</v>
      </c>
      <c r="AD1328">
        <v>90.25</v>
      </c>
      <c r="AE1328">
        <v>37.18</v>
      </c>
      <c r="AF1328">
        <v>53.07</v>
      </c>
      <c r="AG1328">
        <v>2024</v>
      </c>
      <c r="AH1328">
        <v>10</v>
      </c>
      <c r="AI1328" t="s">
        <v>2310</v>
      </c>
      <c r="AJ1328" t="s">
        <v>2314</v>
      </c>
    </row>
    <row r="1329" spans="1:36" x14ac:dyDescent="0.3">
      <c r="A1329" t="s">
        <v>1363</v>
      </c>
      <c r="B1329" s="2">
        <v>45486</v>
      </c>
      <c r="C1329" t="s">
        <v>1679</v>
      </c>
      <c r="D1329" t="s">
        <v>1761</v>
      </c>
      <c r="E1329" t="s">
        <v>2213</v>
      </c>
      <c r="F1329" t="s">
        <v>2240</v>
      </c>
      <c r="G1329" t="s">
        <v>2255</v>
      </c>
      <c r="H1329" t="s">
        <v>2260</v>
      </c>
      <c r="I1329" t="s">
        <v>2260</v>
      </c>
      <c r="K1329">
        <v>2</v>
      </c>
      <c r="L1329">
        <v>190</v>
      </c>
      <c r="M1329">
        <v>0</v>
      </c>
      <c r="N1329">
        <v>380</v>
      </c>
      <c r="O1329">
        <v>380</v>
      </c>
      <c r="P1329" t="s">
        <v>2268</v>
      </c>
      <c r="R1329" t="s">
        <v>2275</v>
      </c>
      <c r="S1329" t="s">
        <v>2284</v>
      </c>
      <c r="T1329" t="s">
        <v>2288</v>
      </c>
      <c r="U1329">
        <v>3</v>
      </c>
      <c r="V1329">
        <v>472</v>
      </c>
      <c r="W1329">
        <v>15</v>
      </c>
      <c r="X1329">
        <v>92.74</v>
      </c>
      <c r="Y1329">
        <v>194.52</v>
      </c>
      <c r="Z1329" t="s">
        <v>2291</v>
      </c>
      <c r="AA1329" t="s">
        <v>2297</v>
      </c>
      <c r="AB1329">
        <v>380</v>
      </c>
      <c r="AC1329">
        <v>0</v>
      </c>
      <c r="AD1329">
        <v>380</v>
      </c>
      <c r="AE1329">
        <v>185.48</v>
      </c>
      <c r="AF1329">
        <v>194.52</v>
      </c>
      <c r="AG1329">
        <v>2024</v>
      </c>
      <c r="AH1329">
        <v>7</v>
      </c>
      <c r="AI1329" t="s">
        <v>2307</v>
      </c>
      <c r="AJ1329" t="s">
        <v>2317</v>
      </c>
    </row>
    <row r="1330" spans="1:36" x14ac:dyDescent="0.3">
      <c r="A1330" t="s">
        <v>1364</v>
      </c>
      <c r="B1330" s="2">
        <v>45358</v>
      </c>
      <c r="C1330" t="s">
        <v>1648</v>
      </c>
      <c r="D1330" t="s">
        <v>1829</v>
      </c>
      <c r="E1330" t="s">
        <v>2088</v>
      </c>
      <c r="F1330" t="s">
        <v>2240</v>
      </c>
      <c r="G1330" t="s">
        <v>2245</v>
      </c>
      <c r="H1330" t="s">
        <v>2257</v>
      </c>
      <c r="I1330" t="s">
        <v>2263</v>
      </c>
      <c r="J1330" t="s">
        <v>2266</v>
      </c>
      <c r="K1330">
        <v>1</v>
      </c>
      <c r="L1330">
        <v>160</v>
      </c>
      <c r="N1330">
        <v>160</v>
      </c>
      <c r="P1330" t="s">
        <v>2269</v>
      </c>
      <c r="R1330" t="s">
        <v>2278</v>
      </c>
      <c r="S1330" t="s">
        <v>2282</v>
      </c>
      <c r="T1330" t="s">
        <v>2288</v>
      </c>
      <c r="U1330">
        <v>2</v>
      </c>
      <c r="V1330">
        <v>90</v>
      </c>
      <c r="W1330">
        <v>40</v>
      </c>
      <c r="X1330">
        <v>55.12</v>
      </c>
      <c r="Z1330" t="s">
        <v>2291</v>
      </c>
      <c r="AA1330" t="s">
        <v>1761</v>
      </c>
      <c r="AB1330">
        <v>160</v>
      </c>
      <c r="AC1330">
        <v>0</v>
      </c>
      <c r="AD1330">
        <v>160</v>
      </c>
      <c r="AE1330">
        <v>55.12</v>
      </c>
      <c r="AF1330">
        <v>104.88</v>
      </c>
      <c r="AG1330">
        <v>2024</v>
      </c>
      <c r="AH1330">
        <v>3</v>
      </c>
      <c r="AI1330" t="s">
        <v>2305</v>
      </c>
      <c r="AJ1330" t="s">
        <v>2316</v>
      </c>
    </row>
    <row r="1331" spans="1:36" x14ac:dyDescent="0.3">
      <c r="A1331" t="s">
        <v>1365</v>
      </c>
      <c r="B1331" s="2">
        <v>45558</v>
      </c>
      <c r="C1331" t="s">
        <v>1701</v>
      </c>
      <c r="D1331" t="s">
        <v>1846</v>
      </c>
      <c r="E1331" t="s">
        <v>2043</v>
      </c>
      <c r="F1331" t="s">
        <v>2239</v>
      </c>
      <c r="G1331" t="s">
        <v>2254</v>
      </c>
      <c r="H1331" t="s">
        <v>2259</v>
      </c>
      <c r="I1331" t="s">
        <v>2263</v>
      </c>
      <c r="J1331" t="s">
        <v>2266</v>
      </c>
      <c r="K1331">
        <v>1</v>
      </c>
      <c r="L1331">
        <v>110</v>
      </c>
      <c r="N1331">
        <v>110</v>
      </c>
      <c r="P1331" t="s">
        <v>2267</v>
      </c>
      <c r="Q1331" t="s">
        <v>2271</v>
      </c>
      <c r="R1331" t="s">
        <v>2275</v>
      </c>
      <c r="S1331" t="s">
        <v>2285</v>
      </c>
      <c r="T1331" t="s">
        <v>2288</v>
      </c>
      <c r="U1331">
        <v>4</v>
      </c>
      <c r="V1331">
        <v>69</v>
      </c>
      <c r="W1331">
        <v>37</v>
      </c>
      <c r="X1331">
        <v>40.6</v>
      </c>
      <c r="Z1331" t="s">
        <v>2293</v>
      </c>
      <c r="AA1331" t="s">
        <v>2297</v>
      </c>
      <c r="AB1331">
        <v>110</v>
      </c>
      <c r="AC1331">
        <v>0</v>
      </c>
      <c r="AD1331">
        <v>110</v>
      </c>
      <c r="AE1331">
        <v>40.6</v>
      </c>
      <c r="AF1331">
        <v>69.400000000000006</v>
      </c>
      <c r="AG1331">
        <v>2024</v>
      </c>
      <c r="AH1331">
        <v>9</v>
      </c>
      <c r="AI1331" t="s">
        <v>2300</v>
      </c>
      <c r="AJ1331" t="s">
        <v>2314</v>
      </c>
    </row>
    <row r="1332" spans="1:36" x14ac:dyDescent="0.3">
      <c r="A1332" t="s">
        <v>1366</v>
      </c>
      <c r="B1332" s="2">
        <v>45431</v>
      </c>
      <c r="C1332" t="s">
        <v>1692</v>
      </c>
      <c r="D1332" t="s">
        <v>1857</v>
      </c>
      <c r="E1332" t="s">
        <v>2034</v>
      </c>
      <c r="F1332" t="s">
        <v>2239</v>
      </c>
      <c r="G1332" t="s">
        <v>2249</v>
      </c>
      <c r="H1332" t="s">
        <v>2257</v>
      </c>
      <c r="I1332" t="s">
        <v>2263</v>
      </c>
      <c r="K1332">
        <v>1</v>
      </c>
      <c r="L1332">
        <v>160</v>
      </c>
      <c r="M1332">
        <v>0.1</v>
      </c>
      <c r="N1332">
        <v>160</v>
      </c>
      <c r="O1332">
        <v>144</v>
      </c>
      <c r="P1332" t="s">
        <v>2269</v>
      </c>
      <c r="R1332" t="s">
        <v>2277</v>
      </c>
      <c r="S1332" t="s">
        <v>2282</v>
      </c>
      <c r="T1332" t="s">
        <v>2288</v>
      </c>
      <c r="U1332">
        <v>1</v>
      </c>
      <c r="V1332">
        <v>73</v>
      </c>
      <c r="W1332">
        <v>45</v>
      </c>
      <c r="X1332">
        <v>59.05</v>
      </c>
      <c r="Y1332">
        <v>84.95</v>
      </c>
      <c r="Z1332" t="s">
        <v>2293</v>
      </c>
      <c r="AA1332" t="s">
        <v>1761</v>
      </c>
      <c r="AB1332">
        <v>160</v>
      </c>
      <c r="AC1332">
        <v>16</v>
      </c>
      <c r="AD1332">
        <v>144</v>
      </c>
      <c r="AE1332">
        <v>59.05</v>
      </c>
      <c r="AF1332">
        <v>84.95</v>
      </c>
      <c r="AG1332">
        <v>2024</v>
      </c>
      <c r="AH1332">
        <v>5</v>
      </c>
      <c r="AI1332" t="s">
        <v>2306</v>
      </c>
      <c r="AJ1332" t="s">
        <v>2318</v>
      </c>
    </row>
    <row r="1333" spans="1:36" x14ac:dyDescent="0.3">
      <c r="A1333" t="s">
        <v>1367</v>
      </c>
      <c r="B1333" s="2">
        <v>45392</v>
      </c>
      <c r="C1333" t="s">
        <v>1723</v>
      </c>
      <c r="D1333" t="s">
        <v>1781</v>
      </c>
      <c r="E1333" t="s">
        <v>1973</v>
      </c>
      <c r="F1333" t="s">
        <v>2238</v>
      </c>
      <c r="G1333" t="s">
        <v>2256</v>
      </c>
      <c r="H1333" t="s">
        <v>2261</v>
      </c>
      <c r="I1333" t="s">
        <v>2260</v>
      </c>
      <c r="J1333" t="s">
        <v>2266</v>
      </c>
      <c r="K1333">
        <v>1</v>
      </c>
      <c r="L1333">
        <v>195</v>
      </c>
      <c r="M1333">
        <v>0</v>
      </c>
      <c r="N1333">
        <v>195</v>
      </c>
      <c r="O1333">
        <v>195</v>
      </c>
      <c r="P1333" t="s">
        <v>2267</v>
      </c>
      <c r="R1333" t="s">
        <v>2279</v>
      </c>
      <c r="S1333" t="s">
        <v>2280</v>
      </c>
      <c r="T1333" t="s">
        <v>2288</v>
      </c>
      <c r="U1333">
        <v>4</v>
      </c>
      <c r="V1333">
        <v>83</v>
      </c>
      <c r="X1333">
        <v>90.86</v>
      </c>
      <c r="Y1333">
        <v>104.14</v>
      </c>
      <c r="Z1333" t="s">
        <v>1761</v>
      </c>
      <c r="AA1333" t="s">
        <v>2297</v>
      </c>
      <c r="AB1333">
        <v>195</v>
      </c>
      <c r="AC1333">
        <v>0</v>
      </c>
      <c r="AD1333">
        <v>195</v>
      </c>
      <c r="AE1333">
        <v>90.86</v>
      </c>
      <c r="AF1333">
        <v>104.14</v>
      </c>
      <c r="AG1333">
        <v>2024</v>
      </c>
      <c r="AH1333">
        <v>4</v>
      </c>
      <c r="AI1333" t="s">
        <v>2308</v>
      </c>
      <c r="AJ1333" t="s">
        <v>2312</v>
      </c>
    </row>
    <row r="1334" spans="1:36" x14ac:dyDescent="0.3">
      <c r="A1334" t="s">
        <v>1368</v>
      </c>
      <c r="B1334" s="2">
        <v>45376</v>
      </c>
      <c r="C1334" t="s">
        <v>1723</v>
      </c>
      <c r="D1334" t="s">
        <v>1855</v>
      </c>
      <c r="E1334" t="s">
        <v>2014</v>
      </c>
      <c r="F1334" t="s">
        <v>2239</v>
      </c>
      <c r="G1334" t="s">
        <v>2254</v>
      </c>
      <c r="H1334" t="s">
        <v>2259</v>
      </c>
      <c r="I1334" t="s">
        <v>2263</v>
      </c>
      <c r="J1334" t="s">
        <v>2266</v>
      </c>
      <c r="K1334">
        <v>1</v>
      </c>
      <c r="L1334">
        <v>105</v>
      </c>
      <c r="N1334">
        <v>105</v>
      </c>
      <c r="P1334" t="s">
        <v>2267</v>
      </c>
      <c r="R1334" t="s">
        <v>2273</v>
      </c>
      <c r="S1334" t="s">
        <v>2282</v>
      </c>
      <c r="T1334" t="s">
        <v>2288</v>
      </c>
      <c r="U1334">
        <v>4</v>
      </c>
      <c r="V1334">
        <v>332</v>
      </c>
      <c r="W1334">
        <v>45</v>
      </c>
      <c r="X1334">
        <v>60.28</v>
      </c>
      <c r="Z1334" t="s">
        <v>2294</v>
      </c>
      <c r="AA1334" t="s">
        <v>2298</v>
      </c>
      <c r="AB1334">
        <v>105</v>
      </c>
      <c r="AC1334">
        <v>0</v>
      </c>
      <c r="AD1334">
        <v>105</v>
      </c>
      <c r="AE1334">
        <v>60.28</v>
      </c>
      <c r="AF1334">
        <v>44.72</v>
      </c>
      <c r="AG1334">
        <v>2024</v>
      </c>
      <c r="AH1334">
        <v>3</v>
      </c>
      <c r="AI1334" t="s">
        <v>2305</v>
      </c>
      <c r="AJ1334" t="s">
        <v>2314</v>
      </c>
    </row>
    <row r="1335" spans="1:36" x14ac:dyDescent="0.3">
      <c r="A1335" t="s">
        <v>1369</v>
      </c>
      <c r="B1335" s="2">
        <v>45613</v>
      </c>
      <c r="C1335" t="s">
        <v>1704</v>
      </c>
      <c r="D1335" t="s">
        <v>1813</v>
      </c>
      <c r="E1335" t="s">
        <v>1761</v>
      </c>
      <c r="F1335" t="s">
        <v>2238</v>
      </c>
      <c r="G1335" t="s">
        <v>2246</v>
      </c>
      <c r="H1335" t="s">
        <v>2259</v>
      </c>
      <c r="I1335" t="s">
        <v>2262</v>
      </c>
      <c r="J1335" t="s">
        <v>2264</v>
      </c>
      <c r="K1335">
        <v>1</v>
      </c>
      <c r="L1335">
        <v>100</v>
      </c>
      <c r="M1335">
        <v>0</v>
      </c>
      <c r="N1335">
        <v>100</v>
      </c>
      <c r="O1335">
        <v>100</v>
      </c>
      <c r="P1335" t="s">
        <v>2269</v>
      </c>
      <c r="Q1335" t="s">
        <v>2270</v>
      </c>
      <c r="R1335" t="s">
        <v>2273</v>
      </c>
      <c r="S1335" t="s">
        <v>2282</v>
      </c>
      <c r="T1335" t="s">
        <v>2288</v>
      </c>
      <c r="U1335">
        <v>3</v>
      </c>
      <c r="V1335">
        <v>140</v>
      </c>
      <c r="X1335">
        <v>43.03</v>
      </c>
      <c r="Y1335">
        <v>56.97</v>
      </c>
      <c r="Z1335" t="s">
        <v>2293</v>
      </c>
      <c r="AA1335" t="s">
        <v>2299</v>
      </c>
      <c r="AB1335">
        <v>100</v>
      </c>
      <c r="AC1335">
        <v>0</v>
      </c>
      <c r="AD1335">
        <v>100</v>
      </c>
      <c r="AE1335">
        <v>43.03</v>
      </c>
      <c r="AF1335">
        <v>56.97</v>
      </c>
      <c r="AG1335">
        <v>2024</v>
      </c>
      <c r="AH1335">
        <v>11</v>
      </c>
      <c r="AI1335" t="s">
        <v>2311</v>
      </c>
      <c r="AJ1335" t="s">
        <v>2318</v>
      </c>
    </row>
    <row r="1336" spans="1:36" x14ac:dyDescent="0.3">
      <c r="A1336" t="s">
        <v>1370</v>
      </c>
      <c r="C1336" t="s">
        <v>1661</v>
      </c>
      <c r="D1336" t="s">
        <v>1843</v>
      </c>
      <c r="E1336" t="s">
        <v>2002</v>
      </c>
      <c r="F1336" t="s">
        <v>2238</v>
      </c>
      <c r="G1336" t="s">
        <v>2254</v>
      </c>
      <c r="H1336" t="s">
        <v>2259</v>
      </c>
      <c r="I1336" t="s">
        <v>2263</v>
      </c>
      <c r="J1336" t="s">
        <v>2265</v>
      </c>
      <c r="K1336">
        <v>1</v>
      </c>
      <c r="L1336">
        <v>120</v>
      </c>
      <c r="M1336">
        <v>0.15</v>
      </c>
      <c r="N1336">
        <v>120</v>
      </c>
      <c r="O1336">
        <v>102</v>
      </c>
      <c r="P1336" t="s">
        <v>2268</v>
      </c>
      <c r="Q1336" t="s">
        <v>2272</v>
      </c>
      <c r="R1336" t="s">
        <v>2278</v>
      </c>
      <c r="S1336" t="s">
        <v>2286</v>
      </c>
      <c r="T1336" t="s">
        <v>2288</v>
      </c>
      <c r="U1336">
        <v>3</v>
      </c>
      <c r="V1336">
        <v>377</v>
      </c>
      <c r="W1336">
        <v>50</v>
      </c>
      <c r="X1336">
        <v>50.5</v>
      </c>
      <c r="Y1336">
        <v>51.5</v>
      </c>
      <c r="Z1336" t="s">
        <v>2291</v>
      </c>
      <c r="AA1336" t="s">
        <v>1761</v>
      </c>
      <c r="AB1336">
        <v>120</v>
      </c>
      <c r="AC1336">
        <v>18</v>
      </c>
      <c r="AD1336">
        <v>102</v>
      </c>
      <c r="AE1336">
        <v>50.5</v>
      </c>
      <c r="AF1336">
        <v>51.5</v>
      </c>
    </row>
    <row r="1337" spans="1:36" x14ac:dyDescent="0.3">
      <c r="A1337" t="s">
        <v>1371</v>
      </c>
      <c r="B1337" s="2">
        <v>45294</v>
      </c>
      <c r="C1337" t="s">
        <v>1662</v>
      </c>
      <c r="D1337" t="s">
        <v>1759</v>
      </c>
      <c r="E1337" t="s">
        <v>2217</v>
      </c>
      <c r="F1337" t="s">
        <v>2239</v>
      </c>
      <c r="G1337" t="s">
        <v>2255</v>
      </c>
      <c r="H1337" t="s">
        <v>2260</v>
      </c>
      <c r="I1337" t="s">
        <v>2260</v>
      </c>
      <c r="K1337">
        <v>1</v>
      </c>
      <c r="L1337">
        <v>175</v>
      </c>
      <c r="M1337">
        <v>0</v>
      </c>
      <c r="N1337">
        <v>175</v>
      </c>
      <c r="O1337">
        <v>175</v>
      </c>
      <c r="P1337" t="s">
        <v>2268</v>
      </c>
      <c r="Q1337" t="s">
        <v>2270</v>
      </c>
      <c r="R1337" t="s">
        <v>2275</v>
      </c>
      <c r="S1337" t="s">
        <v>2284</v>
      </c>
      <c r="T1337" t="s">
        <v>2288</v>
      </c>
      <c r="U1337">
        <v>1</v>
      </c>
      <c r="V1337">
        <v>53</v>
      </c>
      <c r="X1337">
        <v>86.05</v>
      </c>
      <c r="Y1337">
        <v>88.95</v>
      </c>
      <c r="Z1337" t="s">
        <v>1761</v>
      </c>
      <c r="AA1337" t="s">
        <v>2296</v>
      </c>
      <c r="AB1337">
        <v>175</v>
      </c>
      <c r="AC1337">
        <v>0</v>
      </c>
      <c r="AD1337">
        <v>175</v>
      </c>
      <c r="AE1337">
        <v>86.05</v>
      </c>
      <c r="AF1337">
        <v>88.95</v>
      </c>
      <c r="AG1337">
        <v>2024</v>
      </c>
      <c r="AH1337">
        <v>1</v>
      </c>
      <c r="AI1337" t="s">
        <v>2302</v>
      </c>
      <c r="AJ1337" t="s">
        <v>2312</v>
      </c>
    </row>
    <row r="1338" spans="1:36" x14ac:dyDescent="0.3">
      <c r="A1338" t="s">
        <v>1372</v>
      </c>
      <c r="B1338" s="2">
        <v>45402</v>
      </c>
      <c r="C1338" t="s">
        <v>1699</v>
      </c>
      <c r="D1338" t="s">
        <v>1924</v>
      </c>
      <c r="E1338" t="s">
        <v>2140</v>
      </c>
      <c r="F1338" t="s">
        <v>2238</v>
      </c>
      <c r="G1338" t="s">
        <v>2251</v>
      </c>
      <c r="H1338" t="s">
        <v>2258</v>
      </c>
      <c r="I1338" t="s">
        <v>2260</v>
      </c>
      <c r="J1338" t="s">
        <v>2266</v>
      </c>
      <c r="K1338">
        <v>2</v>
      </c>
      <c r="L1338">
        <v>100</v>
      </c>
      <c r="N1338">
        <v>200</v>
      </c>
      <c r="P1338" t="s">
        <v>2269</v>
      </c>
      <c r="Q1338" t="s">
        <v>2270</v>
      </c>
      <c r="R1338" t="s">
        <v>2276</v>
      </c>
      <c r="S1338" t="s">
        <v>2284</v>
      </c>
      <c r="T1338" t="s">
        <v>2290</v>
      </c>
      <c r="U1338">
        <v>2</v>
      </c>
      <c r="V1338">
        <v>264</v>
      </c>
      <c r="W1338">
        <v>14</v>
      </c>
      <c r="X1338">
        <v>36.5</v>
      </c>
      <c r="Z1338" t="s">
        <v>2294</v>
      </c>
      <c r="AA1338" t="s">
        <v>2296</v>
      </c>
      <c r="AB1338">
        <v>200</v>
      </c>
      <c r="AC1338">
        <v>0</v>
      </c>
      <c r="AD1338">
        <v>200</v>
      </c>
      <c r="AE1338">
        <v>73</v>
      </c>
      <c r="AF1338">
        <v>127</v>
      </c>
      <c r="AG1338">
        <v>2024</v>
      </c>
      <c r="AH1338">
        <v>4</v>
      </c>
      <c r="AI1338" t="s">
        <v>2308</v>
      </c>
      <c r="AJ1338" t="s">
        <v>2317</v>
      </c>
    </row>
    <row r="1339" spans="1:36" x14ac:dyDescent="0.3">
      <c r="A1339" t="s">
        <v>1373</v>
      </c>
      <c r="B1339" s="2">
        <v>45303</v>
      </c>
      <c r="C1339" t="s">
        <v>1638</v>
      </c>
      <c r="D1339" t="s">
        <v>1925</v>
      </c>
      <c r="E1339" t="s">
        <v>1987</v>
      </c>
      <c r="F1339" t="s">
        <v>2239</v>
      </c>
      <c r="G1339" t="s">
        <v>2244</v>
      </c>
      <c r="H1339" t="s">
        <v>2257</v>
      </c>
      <c r="I1339" t="s">
        <v>2262</v>
      </c>
      <c r="J1339" t="s">
        <v>2264</v>
      </c>
      <c r="K1339">
        <v>2</v>
      </c>
      <c r="L1339">
        <v>115</v>
      </c>
      <c r="N1339">
        <v>230</v>
      </c>
      <c r="P1339" t="s">
        <v>2269</v>
      </c>
      <c r="R1339" t="s">
        <v>2273</v>
      </c>
      <c r="S1339" t="s">
        <v>2280</v>
      </c>
      <c r="T1339" t="s">
        <v>2288</v>
      </c>
      <c r="U1339">
        <v>3</v>
      </c>
      <c r="V1339">
        <v>261</v>
      </c>
      <c r="W1339">
        <v>34</v>
      </c>
      <c r="X1339">
        <v>48.91</v>
      </c>
      <c r="Z1339" t="s">
        <v>2291</v>
      </c>
      <c r="AA1339" t="s">
        <v>2299</v>
      </c>
      <c r="AB1339">
        <v>230</v>
      </c>
      <c r="AC1339">
        <v>0</v>
      </c>
      <c r="AD1339">
        <v>230</v>
      </c>
      <c r="AE1339">
        <v>97.82</v>
      </c>
      <c r="AF1339">
        <v>132.18</v>
      </c>
      <c r="AG1339">
        <v>2024</v>
      </c>
      <c r="AH1339">
        <v>1</v>
      </c>
      <c r="AI1339" t="s">
        <v>2302</v>
      </c>
      <c r="AJ1339" t="s">
        <v>2315</v>
      </c>
    </row>
    <row r="1340" spans="1:36" x14ac:dyDescent="0.3">
      <c r="A1340" t="s">
        <v>1374</v>
      </c>
      <c r="B1340" s="2">
        <v>45533</v>
      </c>
      <c r="C1340" t="s">
        <v>1687</v>
      </c>
      <c r="D1340" t="s">
        <v>1838</v>
      </c>
      <c r="E1340" t="s">
        <v>2005</v>
      </c>
      <c r="F1340" t="s">
        <v>2239</v>
      </c>
      <c r="G1340" t="s">
        <v>2250</v>
      </c>
      <c r="H1340" t="s">
        <v>2259</v>
      </c>
      <c r="I1340" t="s">
        <v>2262</v>
      </c>
      <c r="J1340" t="s">
        <v>2265</v>
      </c>
      <c r="K1340">
        <v>3</v>
      </c>
      <c r="L1340">
        <v>80</v>
      </c>
      <c r="M1340">
        <v>0</v>
      </c>
      <c r="N1340">
        <v>240</v>
      </c>
      <c r="O1340">
        <v>240</v>
      </c>
      <c r="P1340" t="s">
        <v>2267</v>
      </c>
      <c r="Q1340" t="s">
        <v>2272</v>
      </c>
      <c r="R1340" t="s">
        <v>2273</v>
      </c>
      <c r="S1340" t="s">
        <v>2282</v>
      </c>
      <c r="T1340" t="s">
        <v>2290</v>
      </c>
      <c r="U1340">
        <v>5</v>
      </c>
      <c r="V1340">
        <v>260</v>
      </c>
      <c r="W1340">
        <v>46</v>
      </c>
      <c r="X1340">
        <v>40.18</v>
      </c>
      <c r="Y1340">
        <v>119.46</v>
      </c>
      <c r="Z1340" t="s">
        <v>1761</v>
      </c>
      <c r="AA1340" t="s">
        <v>1761</v>
      </c>
      <c r="AB1340">
        <v>240</v>
      </c>
      <c r="AC1340">
        <v>0</v>
      </c>
      <c r="AD1340">
        <v>240</v>
      </c>
      <c r="AE1340">
        <v>120.54</v>
      </c>
      <c r="AF1340">
        <v>119.46</v>
      </c>
      <c r="AG1340">
        <v>2024</v>
      </c>
      <c r="AH1340">
        <v>8</v>
      </c>
      <c r="AI1340" t="s">
        <v>2301</v>
      </c>
      <c r="AJ1340" t="s">
        <v>2316</v>
      </c>
    </row>
    <row r="1341" spans="1:36" x14ac:dyDescent="0.3">
      <c r="A1341" t="s">
        <v>1375</v>
      </c>
      <c r="B1341" s="2">
        <v>45613</v>
      </c>
      <c r="C1341" t="s">
        <v>1733</v>
      </c>
      <c r="D1341" t="s">
        <v>1868</v>
      </c>
      <c r="E1341" t="s">
        <v>2226</v>
      </c>
      <c r="F1341" t="s">
        <v>2239</v>
      </c>
      <c r="G1341" t="s">
        <v>2256</v>
      </c>
      <c r="H1341" t="s">
        <v>2261</v>
      </c>
      <c r="I1341" t="s">
        <v>2260</v>
      </c>
      <c r="J1341" t="s">
        <v>2264</v>
      </c>
      <c r="K1341">
        <v>1</v>
      </c>
      <c r="L1341">
        <v>185</v>
      </c>
      <c r="M1341">
        <v>0.1</v>
      </c>
      <c r="N1341">
        <v>185</v>
      </c>
      <c r="O1341">
        <v>166.5</v>
      </c>
      <c r="P1341" t="s">
        <v>2267</v>
      </c>
      <c r="Q1341" t="s">
        <v>2270</v>
      </c>
      <c r="R1341" t="s">
        <v>2273</v>
      </c>
      <c r="S1341" t="s">
        <v>2283</v>
      </c>
      <c r="T1341" t="s">
        <v>2288</v>
      </c>
      <c r="U1341">
        <v>2</v>
      </c>
      <c r="V1341">
        <v>244</v>
      </c>
      <c r="W1341">
        <v>41</v>
      </c>
      <c r="X1341">
        <v>84.29</v>
      </c>
      <c r="Y1341">
        <v>82.21</v>
      </c>
      <c r="Z1341" t="s">
        <v>2292</v>
      </c>
      <c r="AA1341" t="s">
        <v>1761</v>
      </c>
      <c r="AB1341">
        <v>185</v>
      </c>
      <c r="AC1341">
        <v>18.5</v>
      </c>
      <c r="AD1341">
        <v>166.5</v>
      </c>
      <c r="AE1341">
        <v>84.29</v>
      </c>
      <c r="AF1341">
        <v>82.21</v>
      </c>
      <c r="AG1341">
        <v>2024</v>
      </c>
      <c r="AH1341">
        <v>11</v>
      </c>
      <c r="AI1341" t="s">
        <v>2311</v>
      </c>
      <c r="AJ1341" t="s">
        <v>2318</v>
      </c>
    </row>
    <row r="1342" spans="1:36" x14ac:dyDescent="0.3">
      <c r="A1342" t="s">
        <v>1376</v>
      </c>
      <c r="B1342" s="2">
        <v>45303</v>
      </c>
      <c r="C1342" t="s">
        <v>1684</v>
      </c>
      <c r="D1342" t="s">
        <v>1853</v>
      </c>
      <c r="E1342" t="s">
        <v>2214</v>
      </c>
      <c r="F1342" t="s">
        <v>2238</v>
      </c>
      <c r="G1342" t="s">
        <v>2241</v>
      </c>
      <c r="H1342" t="s">
        <v>2257</v>
      </c>
      <c r="I1342" t="s">
        <v>2262</v>
      </c>
      <c r="J1342" t="s">
        <v>2264</v>
      </c>
      <c r="K1342">
        <v>2</v>
      </c>
      <c r="L1342">
        <v>130</v>
      </c>
      <c r="M1342">
        <v>0.15</v>
      </c>
      <c r="N1342">
        <v>260</v>
      </c>
      <c r="O1342">
        <v>221</v>
      </c>
      <c r="P1342" t="s">
        <v>2268</v>
      </c>
      <c r="Q1342" t="s">
        <v>2272</v>
      </c>
      <c r="R1342" t="s">
        <v>2276</v>
      </c>
      <c r="S1342" t="s">
        <v>2280</v>
      </c>
      <c r="T1342" t="s">
        <v>2288</v>
      </c>
      <c r="V1342">
        <v>32</v>
      </c>
      <c r="X1342">
        <v>55.89</v>
      </c>
      <c r="Y1342">
        <v>109.22</v>
      </c>
      <c r="Z1342" t="s">
        <v>1761</v>
      </c>
      <c r="AA1342" t="s">
        <v>2296</v>
      </c>
      <c r="AB1342">
        <v>260</v>
      </c>
      <c r="AC1342">
        <v>39</v>
      </c>
      <c r="AD1342">
        <v>221</v>
      </c>
      <c r="AE1342">
        <v>111.78</v>
      </c>
      <c r="AF1342">
        <v>109.22</v>
      </c>
      <c r="AG1342">
        <v>2024</v>
      </c>
      <c r="AH1342">
        <v>1</v>
      </c>
      <c r="AI1342" t="s">
        <v>2302</v>
      </c>
      <c r="AJ1342" t="s">
        <v>2315</v>
      </c>
    </row>
    <row r="1343" spans="1:36" x14ac:dyDescent="0.3">
      <c r="A1343" t="s">
        <v>1377</v>
      </c>
      <c r="B1343" s="2">
        <v>45408</v>
      </c>
      <c r="C1343" t="s">
        <v>1729</v>
      </c>
      <c r="D1343" t="s">
        <v>1793</v>
      </c>
      <c r="E1343" t="s">
        <v>2096</v>
      </c>
      <c r="F1343" t="s">
        <v>2238</v>
      </c>
      <c r="G1343" t="s">
        <v>2244</v>
      </c>
      <c r="H1343" t="s">
        <v>2257</v>
      </c>
      <c r="I1343" t="s">
        <v>2262</v>
      </c>
      <c r="J1343" t="s">
        <v>2265</v>
      </c>
      <c r="K1343">
        <v>2</v>
      </c>
      <c r="L1343">
        <v>130</v>
      </c>
      <c r="M1343">
        <v>0</v>
      </c>
      <c r="N1343">
        <v>260</v>
      </c>
      <c r="O1343">
        <v>260</v>
      </c>
      <c r="P1343" t="s">
        <v>2269</v>
      </c>
      <c r="Q1343" t="s">
        <v>2272</v>
      </c>
      <c r="R1343" t="s">
        <v>2273</v>
      </c>
      <c r="S1343" t="s">
        <v>2281</v>
      </c>
      <c r="T1343" t="s">
        <v>2288</v>
      </c>
      <c r="U1343">
        <v>3</v>
      </c>
      <c r="V1343">
        <v>268</v>
      </c>
      <c r="W1343">
        <v>37</v>
      </c>
      <c r="X1343">
        <v>51.35</v>
      </c>
      <c r="Y1343">
        <v>157.30000000000001</v>
      </c>
      <c r="Z1343" t="s">
        <v>2294</v>
      </c>
      <c r="AA1343" t="s">
        <v>2297</v>
      </c>
      <c r="AB1343">
        <v>260</v>
      </c>
      <c r="AC1343">
        <v>0</v>
      </c>
      <c r="AD1343">
        <v>260</v>
      </c>
      <c r="AE1343">
        <v>102.7</v>
      </c>
      <c r="AF1343">
        <v>157.30000000000001</v>
      </c>
      <c r="AG1343">
        <v>2024</v>
      </c>
      <c r="AH1343">
        <v>4</v>
      </c>
      <c r="AI1343" t="s">
        <v>2308</v>
      </c>
      <c r="AJ1343" t="s">
        <v>2315</v>
      </c>
    </row>
    <row r="1344" spans="1:36" x14ac:dyDescent="0.3">
      <c r="A1344" t="s">
        <v>1378</v>
      </c>
      <c r="B1344" s="2">
        <v>45580</v>
      </c>
      <c r="C1344" t="s">
        <v>1704</v>
      </c>
      <c r="D1344" t="s">
        <v>1761</v>
      </c>
      <c r="E1344" t="s">
        <v>2052</v>
      </c>
      <c r="F1344" t="s">
        <v>2239</v>
      </c>
      <c r="G1344" t="s">
        <v>2243</v>
      </c>
      <c r="H1344" t="s">
        <v>2258</v>
      </c>
      <c r="I1344" t="s">
        <v>2260</v>
      </c>
      <c r="J1344" t="s">
        <v>2264</v>
      </c>
      <c r="K1344">
        <v>1</v>
      </c>
      <c r="L1344">
        <v>65</v>
      </c>
      <c r="M1344">
        <v>0.1</v>
      </c>
      <c r="N1344">
        <v>65</v>
      </c>
      <c r="O1344">
        <v>58.5</v>
      </c>
      <c r="P1344" t="s">
        <v>2268</v>
      </c>
      <c r="R1344" t="s">
        <v>2275</v>
      </c>
      <c r="S1344" t="s">
        <v>2281</v>
      </c>
      <c r="T1344" t="s">
        <v>2290</v>
      </c>
      <c r="V1344">
        <v>491</v>
      </c>
      <c r="W1344">
        <v>35</v>
      </c>
      <c r="X1344">
        <v>26.18</v>
      </c>
      <c r="Y1344">
        <v>32.32</v>
      </c>
      <c r="Z1344" t="s">
        <v>2293</v>
      </c>
      <c r="AA1344" t="s">
        <v>2297</v>
      </c>
      <c r="AB1344">
        <v>65</v>
      </c>
      <c r="AC1344">
        <v>6.5</v>
      </c>
      <c r="AD1344">
        <v>58.5</v>
      </c>
      <c r="AE1344">
        <v>26.18</v>
      </c>
      <c r="AF1344">
        <v>32.32</v>
      </c>
      <c r="AG1344">
        <v>2024</v>
      </c>
      <c r="AH1344">
        <v>10</v>
      </c>
      <c r="AI1344" t="s">
        <v>2310</v>
      </c>
      <c r="AJ1344" t="s">
        <v>2313</v>
      </c>
    </row>
    <row r="1345" spans="1:36" x14ac:dyDescent="0.3">
      <c r="A1345" t="s">
        <v>1379</v>
      </c>
      <c r="B1345" s="2">
        <v>45593</v>
      </c>
      <c r="C1345" t="s">
        <v>1668</v>
      </c>
      <c r="D1345" t="s">
        <v>1916</v>
      </c>
      <c r="E1345" t="s">
        <v>2045</v>
      </c>
      <c r="F1345" t="s">
        <v>2240</v>
      </c>
      <c r="G1345" t="s">
        <v>2246</v>
      </c>
      <c r="H1345" t="s">
        <v>2259</v>
      </c>
      <c r="I1345" t="s">
        <v>2262</v>
      </c>
      <c r="J1345" t="s">
        <v>2264</v>
      </c>
      <c r="K1345">
        <v>2</v>
      </c>
      <c r="L1345">
        <v>90</v>
      </c>
      <c r="M1345">
        <v>0.05</v>
      </c>
      <c r="N1345">
        <v>180</v>
      </c>
      <c r="O1345">
        <v>171</v>
      </c>
      <c r="R1345" t="s">
        <v>2279</v>
      </c>
      <c r="S1345" t="s">
        <v>2286</v>
      </c>
      <c r="T1345" t="s">
        <v>2288</v>
      </c>
      <c r="V1345">
        <v>12</v>
      </c>
      <c r="W1345">
        <v>24</v>
      </c>
      <c r="X1345">
        <v>40.44</v>
      </c>
      <c r="Y1345">
        <v>90.12</v>
      </c>
      <c r="Z1345" t="s">
        <v>1761</v>
      </c>
      <c r="AA1345" t="s">
        <v>2299</v>
      </c>
      <c r="AB1345">
        <v>180</v>
      </c>
      <c r="AC1345">
        <v>9</v>
      </c>
      <c r="AD1345">
        <v>171</v>
      </c>
      <c r="AE1345">
        <v>80.88</v>
      </c>
      <c r="AF1345">
        <v>90.12</v>
      </c>
      <c r="AG1345">
        <v>2024</v>
      </c>
      <c r="AH1345">
        <v>10</v>
      </c>
      <c r="AI1345" t="s">
        <v>2310</v>
      </c>
      <c r="AJ1345" t="s">
        <v>2314</v>
      </c>
    </row>
    <row r="1346" spans="1:36" x14ac:dyDescent="0.3">
      <c r="A1346" t="s">
        <v>1380</v>
      </c>
      <c r="B1346" s="2">
        <v>45312</v>
      </c>
      <c r="C1346" t="s">
        <v>1653</v>
      </c>
      <c r="D1346" t="s">
        <v>1915</v>
      </c>
      <c r="E1346" t="s">
        <v>2228</v>
      </c>
      <c r="F1346" t="s">
        <v>2240</v>
      </c>
      <c r="G1346" t="s">
        <v>2247</v>
      </c>
      <c r="H1346" t="s">
        <v>2257</v>
      </c>
      <c r="I1346" t="s">
        <v>2262</v>
      </c>
      <c r="J1346" t="s">
        <v>2265</v>
      </c>
      <c r="K1346">
        <v>1</v>
      </c>
      <c r="L1346">
        <v>100</v>
      </c>
      <c r="M1346">
        <v>0.1</v>
      </c>
      <c r="N1346">
        <v>100</v>
      </c>
      <c r="O1346">
        <v>90</v>
      </c>
      <c r="P1346" t="s">
        <v>2269</v>
      </c>
      <c r="Q1346" t="s">
        <v>2272</v>
      </c>
      <c r="R1346" t="s">
        <v>2279</v>
      </c>
      <c r="S1346" t="s">
        <v>2285</v>
      </c>
      <c r="T1346" t="s">
        <v>2288</v>
      </c>
      <c r="U1346">
        <v>4</v>
      </c>
      <c r="V1346">
        <v>113</v>
      </c>
      <c r="X1346">
        <v>36.71</v>
      </c>
      <c r="Y1346">
        <v>53.29</v>
      </c>
      <c r="Z1346" t="s">
        <v>2291</v>
      </c>
      <c r="AA1346" t="s">
        <v>2296</v>
      </c>
      <c r="AB1346">
        <v>100</v>
      </c>
      <c r="AC1346">
        <v>10</v>
      </c>
      <c r="AD1346">
        <v>90</v>
      </c>
      <c r="AE1346">
        <v>36.71</v>
      </c>
      <c r="AF1346">
        <v>53.29</v>
      </c>
      <c r="AG1346">
        <v>2024</v>
      </c>
      <c r="AH1346">
        <v>1</v>
      </c>
      <c r="AI1346" t="s">
        <v>2302</v>
      </c>
      <c r="AJ1346" t="s">
        <v>2318</v>
      </c>
    </row>
    <row r="1347" spans="1:36" x14ac:dyDescent="0.3">
      <c r="A1347" t="s">
        <v>1381</v>
      </c>
      <c r="B1347" s="2">
        <v>45630</v>
      </c>
      <c r="C1347" t="s">
        <v>1640</v>
      </c>
      <c r="D1347" t="s">
        <v>1787</v>
      </c>
      <c r="E1347" t="s">
        <v>2083</v>
      </c>
      <c r="F1347" t="s">
        <v>2240</v>
      </c>
      <c r="G1347" t="s">
        <v>2246</v>
      </c>
      <c r="H1347" t="s">
        <v>2259</v>
      </c>
      <c r="I1347" t="s">
        <v>2262</v>
      </c>
      <c r="J1347" t="s">
        <v>2265</v>
      </c>
      <c r="K1347">
        <v>1</v>
      </c>
      <c r="L1347">
        <v>95</v>
      </c>
      <c r="M1347">
        <v>0.1</v>
      </c>
      <c r="N1347">
        <v>95</v>
      </c>
      <c r="O1347">
        <v>85.5</v>
      </c>
      <c r="P1347" t="s">
        <v>2267</v>
      </c>
      <c r="Q1347" t="s">
        <v>2271</v>
      </c>
      <c r="R1347" t="s">
        <v>2274</v>
      </c>
      <c r="S1347" t="s">
        <v>2284</v>
      </c>
      <c r="T1347" t="s">
        <v>2288</v>
      </c>
      <c r="V1347">
        <v>311</v>
      </c>
      <c r="W1347">
        <v>49</v>
      </c>
      <c r="X1347">
        <v>50.47</v>
      </c>
      <c r="Y1347">
        <v>35.03</v>
      </c>
      <c r="Z1347" t="s">
        <v>1761</v>
      </c>
      <c r="AA1347" t="s">
        <v>2298</v>
      </c>
      <c r="AB1347">
        <v>95</v>
      </c>
      <c r="AC1347">
        <v>9.5</v>
      </c>
      <c r="AD1347">
        <v>85.5</v>
      </c>
      <c r="AE1347">
        <v>50.47</v>
      </c>
      <c r="AF1347">
        <v>35.03</v>
      </c>
      <c r="AG1347">
        <v>2024</v>
      </c>
      <c r="AH1347">
        <v>12</v>
      </c>
      <c r="AI1347" t="s">
        <v>2309</v>
      </c>
      <c r="AJ1347" t="s">
        <v>2312</v>
      </c>
    </row>
    <row r="1348" spans="1:36" x14ac:dyDescent="0.3">
      <c r="A1348" t="s">
        <v>1382</v>
      </c>
      <c r="B1348" s="2">
        <v>45597</v>
      </c>
      <c r="C1348" t="s">
        <v>1649</v>
      </c>
      <c r="D1348" t="s">
        <v>1813</v>
      </c>
      <c r="E1348" t="s">
        <v>2048</v>
      </c>
      <c r="F1348" t="s">
        <v>1761</v>
      </c>
      <c r="G1348" t="s">
        <v>2256</v>
      </c>
      <c r="H1348" t="s">
        <v>2261</v>
      </c>
      <c r="I1348" t="s">
        <v>2260</v>
      </c>
      <c r="J1348" t="s">
        <v>2265</v>
      </c>
      <c r="K1348">
        <v>5</v>
      </c>
      <c r="L1348">
        <v>200</v>
      </c>
      <c r="N1348">
        <v>1000</v>
      </c>
      <c r="Q1348" t="s">
        <v>2272</v>
      </c>
      <c r="R1348" t="s">
        <v>2276</v>
      </c>
      <c r="S1348" t="s">
        <v>2287</v>
      </c>
      <c r="T1348" t="s">
        <v>2288</v>
      </c>
      <c r="U1348">
        <v>1</v>
      </c>
      <c r="V1348">
        <v>94</v>
      </c>
      <c r="W1348">
        <v>41</v>
      </c>
      <c r="X1348">
        <v>105.86</v>
      </c>
      <c r="Z1348" t="s">
        <v>1761</v>
      </c>
      <c r="AA1348" t="s">
        <v>2297</v>
      </c>
      <c r="AB1348">
        <v>1000</v>
      </c>
      <c r="AC1348">
        <v>0</v>
      </c>
      <c r="AD1348">
        <v>1000</v>
      </c>
      <c r="AE1348">
        <v>529.29999999999995</v>
      </c>
      <c r="AF1348">
        <v>470.7</v>
      </c>
      <c r="AG1348">
        <v>2024</v>
      </c>
      <c r="AH1348">
        <v>11</v>
      </c>
      <c r="AI1348" t="s">
        <v>2311</v>
      </c>
      <c r="AJ1348" t="s">
        <v>2315</v>
      </c>
    </row>
    <row r="1349" spans="1:36" x14ac:dyDescent="0.3">
      <c r="A1349" t="s">
        <v>1383</v>
      </c>
      <c r="B1349" s="2">
        <v>45463</v>
      </c>
      <c r="C1349" t="s">
        <v>1672</v>
      </c>
      <c r="D1349" t="s">
        <v>1815</v>
      </c>
      <c r="E1349" t="s">
        <v>2044</v>
      </c>
      <c r="F1349" t="s">
        <v>2239</v>
      </c>
      <c r="G1349" t="s">
        <v>2250</v>
      </c>
      <c r="H1349" t="s">
        <v>2259</v>
      </c>
      <c r="I1349" t="s">
        <v>2262</v>
      </c>
      <c r="K1349">
        <v>1</v>
      </c>
      <c r="L1349">
        <v>80</v>
      </c>
      <c r="M1349">
        <v>0</v>
      </c>
      <c r="O1349">
        <v>80</v>
      </c>
      <c r="P1349" t="s">
        <v>2268</v>
      </c>
      <c r="Q1349" t="s">
        <v>2270</v>
      </c>
      <c r="R1349" t="s">
        <v>2273</v>
      </c>
      <c r="S1349" t="s">
        <v>2282</v>
      </c>
      <c r="T1349" t="s">
        <v>2290</v>
      </c>
      <c r="U1349">
        <v>4</v>
      </c>
      <c r="V1349">
        <v>61</v>
      </c>
      <c r="W1349">
        <v>13</v>
      </c>
      <c r="X1349">
        <v>47.9</v>
      </c>
      <c r="Y1349">
        <v>32.1</v>
      </c>
      <c r="Z1349" t="s">
        <v>2293</v>
      </c>
      <c r="AA1349" t="s">
        <v>2296</v>
      </c>
      <c r="AB1349">
        <v>80</v>
      </c>
      <c r="AC1349">
        <v>0</v>
      </c>
      <c r="AD1349">
        <v>80</v>
      </c>
      <c r="AE1349">
        <v>47.9</v>
      </c>
      <c r="AF1349">
        <v>32.1</v>
      </c>
      <c r="AG1349">
        <v>2024</v>
      </c>
      <c r="AH1349">
        <v>6</v>
      </c>
      <c r="AI1349" t="s">
        <v>2304</v>
      </c>
      <c r="AJ1349" t="s">
        <v>2316</v>
      </c>
    </row>
    <row r="1350" spans="1:36" x14ac:dyDescent="0.3">
      <c r="A1350" t="s">
        <v>1384</v>
      </c>
      <c r="B1350" s="2">
        <v>45567</v>
      </c>
      <c r="C1350" t="s">
        <v>1665</v>
      </c>
      <c r="D1350" t="s">
        <v>1925</v>
      </c>
      <c r="E1350" t="s">
        <v>2173</v>
      </c>
      <c r="F1350" t="s">
        <v>2240</v>
      </c>
      <c r="G1350" t="s">
        <v>2246</v>
      </c>
      <c r="H1350" t="s">
        <v>2259</v>
      </c>
      <c r="I1350" t="s">
        <v>2262</v>
      </c>
      <c r="J1350" t="s">
        <v>2264</v>
      </c>
      <c r="K1350">
        <v>2</v>
      </c>
      <c r="L1350">
        <v>100</v>
      </c>
      <c r="M1350">
        <v>0</v>
      </c>
      <c r="N1350">
        <v>200</v>
      </c>
      <c r="O1350">
        <v>200</v>
      </c>
      <c r="P1350" t="s">
        <v>2267</v>
      </c>
      <c r="R1350" t="s">
        <v>2279</v>
      </c>
      <c r="S1350" t="s">
        <v>2287</v>
      </c>
      <c r="T1350" t="s">
        <v>2288</v>
      </c>
      <c r="U1350">
        <v>2</v>
      </c>
      <c r="V1350">
        <v>337</v>
      </c>
      <c r="W1350">
        <v>48</v>
      </c>
      <c r="X1350">
        <v>35.68</v>
      </c>
      <c r="Y1350">
        <v>128.63999999999999</v>
      </c>
      <c r="Z1350" t="s">
        <v>2293</v>
      </c>
      <c r="AA1350" t="s">
        <v>2299</v>
      </c>
      <c r="AB1350">
        <v>200</v>
      </c>
      <c r="AC1350">
        <v>0</v>
      </c>
      <c r="AD1350">
        <v>200</v>
      </c>
      <c r="AE1350">
        <v>71.36</v>
      </c>
      <c r="AF1350">
        <v>128.63999999999999</v>
      </c>
      <c r="AG1350">
        <v>2024</v>
      </c>
      <c r="AH1350">
        <v>10</v>
      </c>
      <c r="AI1350" t="s">
        <v>2310</v>
      </c>
      <c r="AJ1350" t="s">
        <v>2312</v>
      </c>
    </row>
    <row r="1351" spans="1:36" x14ac:dyDescent="0.3">
      <c r="A1351" t="s">
        <v>1385</v>
      </c>
      <c r="B1351" s="2">
        <v>45477</v>
      </c>
      <c r="C1351" t="s">
        <v>1687</v>
      </c>
      <c r="D1351" t="s">
        <v>1871</v>
      </c>
      <c r="E1351" t="s">
        <v>2064</v>
      </c>
      <c r="F1351" t="s">
        <v>2238</v>
      </c>
      <c r="G1351" t="s">
        <v>2244</v>
      </c>
      <c r="H1351" t="s">
        <v>2257</v>
      </c>
      <c r="I1351" t="s">
        <v>2262</v>
      </c>
      <c r="J1351" t="s">
        <v>2266</v>
      </c>
      <c r="K1351">
        <v>2</v>
      </c>
      <c r="L1351">
        <v>125</v>
      </c>
      <c r="M1351">
        <v>0.15</v>
      </c>
      <c r="N1351">
        <v>250</v>
      </c>
      <c r="O1351">
        <v>212.5</v>
      </c>
      <c r="R1351" t="s">
        <v>2279</v>
      </c>
      <c r="S1351" t="s">
        <v>2287</v>
      </c>
      <c r="T1351" t="s">
        <v>2288</v>
      </c>
      <c r="V1351">
        <v>462</v>
      </c>
      <c r="W1351">
        <v>56</v>
      </c>
      <c r="X1351">
        <v>63.52</v>
      </c>
      <c r="Y1351">
        <v>85.46</v>
      </c>
      <c r="Z1351" t="s">
        <v>1761</v>
      </c>
      <c r="AA1351" t="s">
        <v>1761</v>
      </c>
      <c r="AB1351">
        <v>250</v>
      </c>
      <c r="AC1351">
        <v>37.5</v>
      </c>
      <c r="AD1351">
        <v>212.5</v>
      </c>
      <c r="AE1351">
        <v>127.04</v>
      </c>
      <c r="AF1351">
        <v>85.46</v>
      </c>
      <c r="AG1351">
        <v>2024</v>
      </c>
      <c r="AH1351">
        <v>7</v>
      </c>
      <c r="AI1351" t="s">
        <v>2307</v>
      </c>
      <c r="AJ1351" t="s">
        <v>2316</v>
      </c>
    </row>
    <row r="1352" spans="1:36" x14ac:dyDescent="0.3">
      <c r="A1352" t="s">
        <v>1386</v>
      </c>
      <c r="B1352" s="2">
        <v>45320</v>
      </c>
      <c r="C1352" t="s">
        <v>1717</v>
      </c>
      <c r="D1352" t="s">
        <v>1883</v>
      </c>
      <c r="E1352" t="s">
        <v>1981</v>
      </c>
      <c r="F1352" t="s">
        <v>2240</v>
      </c>
      <c r="G1352" t="s">
        <v>2244</v>
      </c>
      <c r="H1352" t="s">
        <v>2257</v>
      </c>
      <c r="I1352" t="s">
        <v>2262</v>
      </c>
      <c r="K1352">
        <v>1</v>
      </c>
      <c r="L1352">
        <v>120</v>
      </c>
      <c r="M1352">
        <v>0.05</v>
      </c>
      <c r="N1352">
        <v>120</v>
      </c>
      <c r="O1352">
        <v>114</v>
      </c>
      <c r="P1352" t="s">
        <v>2268</v>
      </c>
      <c r="Q1352" t="s">
        <v>2270</v>
      </c>
      <c r="R1352" t="s">
        <v>2275</v>
      </c>
      <c r="S1352" t="s">
        <v>2283</v>
      </c>
      <c r="T1352" t="s">
        <v>2288</v>
      </c>
      <c r="U1352">
        <v>5</v>
      </c>
      <c r="V1352">
        <v>160</v>
      </c>
      <c r="W1352">
        <v>26</v>
      </c>
      <c r="X1352">
        <v>71.7</v>
      </c>
      <c r="Y1352">
        <v>42.3</v>
      </c>
      <c r="Z1352" t="s">
        <v>2293</v>
      </c>
      <c r="AA1352" t="s">
        <v>2298</v>
      </c>
      <c r="AB1352">
        <v>120</v>
      </c>
      <c r="AC1352">
        <v>6</v>
      </c>
      <c r="AD1352">
        <v>114</v>
      </c>
      <c r="AE1352">
        <v>71.7</v>
      </c>
      <c r="AF1352">
        <v>42.3</v>
      </c>
      <c r="AG1352">
        <v>2024</v>
      </c>
      <c r="AH1352">
        <v>1</v>
      </c>
      <c r="AI1352" t="s">
        <v>2302</v>
      </c>
      <c r="AJ1352" t="s">
        <v>2314</v>
      </c>
    </row>
    <row r="1353" spans="1:36" x14ac:dyDescent="0.3">
      <c r="A1353" t="s">
        <v>1387</v>
      </c>
      <c r="B1353" s="2">
        <v>45634</v>
      </c>
      <c r="C1353" t="s">
        <v>1669</v>
      </c>
      <c r="D1353" t="s">
        <v>1823</v>
      </c>
      <c r="E1353" t="s">
        <v>2039</v>
      </c>
      <c r="F1353" t="s">
        <v>2239</v>
      </c>
      <c r="G1353" t="s">
        <v>2243</v>
      </c>
      <c r="H1353" t="s">
        <v>2258</v>
      </c>
      <c r="I1353" t="s">
        <v>2260</v>
      </c>
      <c r="J1353" t="s">
        <v>2264</v>
      </c>
      <c r="K1353">
        <v>1</v>
      </c>
      <c r="L1353">
        <v>65</v>
      </c>
      <c r="N1353">
        <v>65</v>
      </c>
      <c r="P1353" t="s">
        <v>2267</v>
      </c>
      <c r="Q1353" t="s">
        <v>2271</v>
      </c>
      <c r="R1353" t="s">
        <v>2277</v>
      </c>
      <c r="S1353" t="s">
        <v>2286</v>
      </c>
      <c r="T1353" t="s">
        <v>2290</v>
      </c>
      <c r="V1353">
        <v>426</v>
      </c>
      <c r="W1353">
        <v>55</v>
      </c>
      <c r="X1353">
        <v>41.38</v>
      </c>
      <c r="Z1353" t="s">
        <v>1761</v>
      </c>
      <c r="AA1353" t="s">
        <v>2298</v>
      </c>
      <c r="AB1353">
        <v>65</v>
      </c>
      <c r="AC1353">
        <v>0</v>
      </c>
      <c r="AD1353">
        <v>65</v>
      </c>
      <c r="AE1353">
        <v>41.38</v>
      </c>
      <c r="AF1353">
        <v>23.62</v>
      </c>
      <c r="AG1353">
        <v>2024</v>
      </c>
      <c r="AH1353">
        <v>12</v>
      </c>
      <c r="AI1353" t="s">
        <v>2309</v>
      </c>
      <c r="AJ1353" t="s">
        <v>2318</v>
      </c>
    </row>
    <row r="1354" spans="1:36" x14ac:dyDescent="0.3">
      <c r="A1354" t="s">
        <v>1388</v>
      </c>
      <c r="B1354" s="2">
        <v>45456</v>
      </c>
      <c r="C1354" t="s">
        <v>1653</v>
      </c>
      <c r="D1354" t="s">
        <v>1932</v>
      </c>
      <c r="E1354" t="s">
        <v>2232</v>
      </c>
      <c r="F1354" t="s">
        <v>2239</v>
      </c>
      <c r="G1354" t="s">
        <v>2251</v>
      </c>
      <c r="H1354" t="s">
        <v>2258</v>
      </c>
      <c r="I1354" t="s">
        <v>2260</v>
      </c>
      <c r="K1354">
        <v>1</v>
      </c>
      <c r="L1354">
        <v>110</v>
      </c>
      <c r="M1354">
        <v>0</v>
      </c>
      <c r="N1354">
        <v>110</v>
      </c>
      <c r="O1354">
        <v>110</v>
      </c>
      <c r="P1354" t="s">
        <v>2269</v>
      </c>
      <c r="Q1354" t="s">
        <v>2270</v>
      </c>
      <c r="R1354" t="s">
        <v>2276</v>
      </c>
      <c r="S1354" t="s">
        <v>2282</v>
      </c>
      <c r="T1354" t="s">
        <v>2289</v>
      </c>
      <c r="U1354">
        <v>2</v>
      </c>
      <c r="V1354">
        <v>101</v>
      </c>
      <c r="W1354">
        <v>57</v>
      </c>
      <c r="X1354">
        <v>46.47</v>
      </c>
      <c r="Y1354">
        <v>63.53</v>
      </c>
      <c r="Z1354" t="s">
        <v>2295</v>
      </c>
      <c r="AA1354" t="s">
        <v>2298</v>
      </c>
      <c r="AB1354">
        <v>110</v>
      </c>
      <c r="AC1354">
        <v>0</v>
      </c>
      <c r="AD1354">
        <v>110</v>
      </c>
      <c r="AE1354">
        <v>46.47</v>
      </c>
      <c r="AF1354">
        <v>63.53</v>
      </c>
      <c r="AG1354">
        <v>2024</v>
      </c>
      <c r="AH1354">
        <v>6</v>
      </c>
      <c r="AI1354" t="s">
        <v>2304</v>
      </c>
      <c r="AJ1354" t="s">
        <v>2316</v>
      </c>
    </row>
    <row r="1355" spans="1:36" x14ac:dyDescent="0.3">
      <c r="A1355" t="s">
        <v>1389</v>
      </c>
      <c r="B1355" s="2">
        <v>45450</v>
      </c>
      <c r="C1355" t="s">
        <v>1725</v>
      </c>
      <c r="D1355" t="s">
        <v>1888</v>
      </c>
      <c r="E1355" t="s">
        <v>1761</v>
      </c>
      <c r="F1355" t="s">
        <v>2240</v>
      </c>
      <c r="G1355" t="s">
        <v>2247</v>
      </c>
      <c r="H1355" t="s">
        <v>2257</v>
      </c>
      <c r="I1355" t="s">
        <v>2262</v>
      </c>
      <c r="J1355" t="s">
        <v>2265</v>
      </c>
      <c r="K1355">
        <v>2</v>
      </c>
      <c r="L1355">
        <v>105</v>
      </c>
      <c r="M1355">
        <v>0</v>
      </c>
      <c r="N1355">
        <v>210</v>
      </c>
      <c r="O1355">
        <v>210</v>
      </c>
      <c r="P1355" t="s">
        <v>2267</v>
      </c>
      <c r="R1355" t="s">
        <v>2279</v>
      </c>
      <c r="S1355" t="s">
        <v>2285</v>
      </c>
      <c r="T1355" t="s">
        <v>2290</v>
      </c>
      <c r="U1355">
        <v>4</v>
      </c>
      <c r="W1355">
        <v>16</v>
      </c>
      <c r="X1355">
        <v>56.01</v>
      </c>
      <c r="Y1355">
        <v>97.98</v>
      </c>
      <c r="Z1355" t="s">
        <v>2292</v>
      </c>
      <c r="AA1355" t="s">
        <v>2296</v>
      </c>
      <c r="AB1355">
        <v>210</v>
      </c>
      <c r="AC1355">
        <v>0</v>
      </c>
      <c r="AD1355">
        <v>210</v>
      </c>
      <c r="AE1355">
        <v>112.02</v>
      </c>
      <c r="AF1355">
        <v>97.98</v>
      </c>
      <c r="AG1355">
        <v>2024</v>
      </c>
      <c r="AH1355">
        <v>6</v>
      </c>
      <c r="AI1355" t="s">
        <v>2304</v>
      </c>
      <c r="AJ1355" t="s">
        <v>2315</v>
      </c>
    </row>
    <row r="1356" spans="1:36" x14ac:dyDescent="0.3">
      <c r="A1356" t="s">
        <v>1390</v>
      </c>
      <c r="B1356" s="2">
        <v>45645</v>
      </c>
      <c r="C1356" t="s">
        <v>1675</v>
      </c>
      <c r="D1356" t="s">
        <v>1902</v>
      </c>
      <c r="E1356" t="s">
        <v>2149</v>
      </c>
      <c r="F1356" t="s">
        <v>1761</v>
      </c>
      <c r="G1356" t="s">
        <v>2248</v>
      </c>
      <c r="H1356" t="s">
        <v>2257</v>
      </c>
      <c r="I1356" t="s">
        <v>2262</v>
      </c>
      <c r="K1356">
        <v>3</v>
      </c>
      <c r="L1356">
        <v>155</v>
      </c>
      <c r="M1356">
        <v>0.05</v>
      </c>
      <c r="N1356">
        <v>465</v>
      </c>
      <c r="O1356">
        <v>441.75</v>
      </c>
      <c r="R1356" t="s">
        <v>2276</v>
      </c>
      <c r="S1356" t="s">
        <v>2284</v>
      </c>
      <c r="T1356" t="s">
        <v>2289</v>
      </c>
      <c r="U1356">
        <v>4</v>
      </c>
      <c r="V1356">
        <v>255</v>
      </c>
      <c r="W1356">
        <v>50</v>
      </c>
      <c r="X1356">
        <v>77.400000000000006</v>
      </c>
      <c r="Y1356">
        <v>209.55</v>
      </c>
      <c r="Z1356" t="s">
        <v>2294</v>
      </c>
      <c r="AA1356" t="s">
        <v>2296</v>
      </c>
      <c r="AB1356">
        <v>465</v>
      </c>
      <c r="AC1356">
        <v>23.25</v>
      </c>
      <c r="AD1356">
        <v>441.75</v>
      </c>
      <c r="AE1356">
        <v>232.2</v>
      </c>
      <c r="AF1356">
        <v>209.55</v>
      </c>
      <c r="AG1356">
        <v>2024</v>
      </c>
      <c r="AH1356">
        <v>12</v>
      </c>
      <c r="AI1356" t="s">
        <v>2309</v>
      </c>
      <c r="AJ1356" t="s">
        <v>2316</v>
      </c>
    </row>
    <row r="1357" spans="1:36" x14ac:dyDescent="0.3">
      <c r="A1357" t="s">
        <v>1391</v>
      </c>
      <c r="C1357" t="s">
        <v>1680</v>
      </c>
      <c r="D1357" t="s">
        <v>1839</v>
      </c>
      <c r="E1357" t="s">
        <v>1963</v>
      </c>
      <c r="F1357" t="s">
        <v>2240</v>
      </c>
      <c r="G1357" t="s">
        <v>2249</v>
      </c>
      <c r="H1357" t="s">
        <v>2257</v>
      </c>
      <c r="I1357" t="s">
        <v>2263</v>
      </c>
      <c r="K1357">
        <v>1</v>
      </c>
      <c r="L1357">
        <v>170</v>
      </c>
      <c r="N1357">
        <v>170</v>
      </c>
      <c r="P1357" t="s">
        <v>2267</v>
      </c>
      <c r="Q1357" t="s">
        <v>2270</v>
      </c>
      <c r="R1357" t="s">
        <v>2279</v>
      </c>
      <c r="S1357" t="s">
        <v>2285</v>
      </c>
      <c r="T1357" t="s">
        <v>2288</v>
      </c>
      <c r="U1357">
        <v>2</v>
      </c>
      <c r="X1357">
        <v>68.66</v>
      </c>
      <c r="Z1357" t="s">
        <v>2293</v>
      </c>
      <c r="AA1357" t="s">
        <v>2297</v>
      </c>
      <c r="AB1357">
        <v>170</v>
      </c>
      <c r="AC1357">
        <v>0</v>
      </c>
      <c r="AD1357">
        <v>170</v>
      </c>
      <c r="AE1357">
        <v>68.66</v>
      </c>
      <c r="AF1357">
        <v>101.34</v>
      </c>
    </row>
    <row r="1358" spans="1:36" x14ac:dyDescent="0.3">
      <c r="A1358" t="s">
        <v>1392</v>
      </c>
      <c r="B1358" s="2">
        <v>45423</v>
      </c>
      <c r="C1358" t="s">
        <v>1730</v>
      </c>
      <c r="D1358" t="s">
        <v>1833</v>
      </c>
      <c r="E1358" t="s">
        <v>2202</v>
      </c>
      <c r="F1358" t="s">
        <v>2240</v>
      </c>
      <c r="G1358" t="s">
        <v>2247</v>
      </c>
      <c r="H1358" t="s">
        <v>2257</v>
      </c>
      <c r="I1358" t="s">
        <v>2262</v>
      </c>
      <c r="J1358" t="s">
        <v>2264</v>
      </c>
      <c r="K1358">
        <v>1</v>
      </c>
      <c r="L1358">
        <v>105</v>
      </c>
      <c r="M1358">
        <v>0.1</v>
      </c>
      <c r="N1358">
        <v>105</v>
      </c>
      <c r="O1358">
        <v>94.5</v>
      </c>
      <c r="P1358" t="s">
        <v>2268</v>
      </c>
      <c r="Q1358" t="s">
        <v>2270</v>
      </c>
      <c r="R1358" t="s">
        <v>2273</v>
      </c>
      <c r="S1358" t="s">
        <v>2285</v>
      </c>
      <c r="T1358" t="s">
        <v>2288</v>
      </c>
      <c r="U1358">
        <v>1</v>
      </c>
      <c r="V1358">
        <v>134</v>
      </c>
      <c r="W1358">
        <v>36</v>
      </c>
      <c r="X1358">
        <v>35.26</v>
      </c>
      <c r="Y1358">
        <v>59.24</v>
      </c>
      <c r="Z1358" t="s">
        <v>2294</v>
      </c>
      <c r="AA1358" t="s">
        <v>2298</v>
      </c>
      <c r="AB1358">
        <v>105</v>
      </c>
      <c r="AC1358">
        <v>10.5</v>
      </c>
      <c r="AD1358">
        <v>94.5</v>
      </c>
      <c r="AE1358">
        <v>35.26</v>
      </c>
      <c r="AF1358">
        <v>59.24</v>
      </c>
      <c r="AG1358">
        <v>2024</v>
      </c>
      <c r="AH1358">
        <v>5</v>
      </c>
      <c r="AI1358" t="s">
        <v>2306</v>
      </c>
      <c r="AJ1358" t="s">
        <v>2317</v>
      </c>
    </row>
    <row r="1359" spans="1:36" x14ac:dyDescent="0.3">
      <c r="A1359" t="s">
        <v>1393</v>
      </c>
      <c r="B1359" s="2">
        <v>45562</v>
      </c>
      <c r="C1359" t="s">
        <v>1667</v>
      </c>
      <c r="D1359" t="s">
        <v>1919</v>
      </c>
      <c r="E1359" t="s">
        <v>2032</v>
      </c>
      <c r="F1359" t="s">
        <v>2240</v>
      </c>
      <c r="G1359" t="s">
        <v>2249</v>
      </c>
      <c r="H1359" t="s">
        <v>2257</v>
      </c>
      <c r="I1359" t="s">
        <v>2263</v>
      </c>
      <c r="J1359" t="s">
        <v>2264</v>
      </c>
      <c r="K1359">
        <v>2</v>
      </c>
      <c r="L1359">
        <v>170</v>
      </c>
      <c r="M1359">
        <v>0</v>
      </c>
      <c r="N1359">
        <v>340</v>
      </c>
      <c r="O1359">
        <v>340</v>
      </c>
      <c r="Q1359" t="s">
        <v>2271</v>
      </c>
      <c r="R1359" t="s">
        <v>2276</v>
      </c>
      <c r="S1359" t="s">
        <v>2281</v>
      </c>
      <c r="T1359" t="s">
        <v>2288</v>
      </c>
      <c r="U1359">
        <v>5</v>
      </c>
      <c r="V1359">
        <v>176</v>
      </c>
      <c r="W1359">
        <v>21</v>
      </c>
      <c r="X1359">
        <v>93.85</v>
      </c>
      <c r="Y1359">
        <v>152.30000000000001</v>
      </c>
      <c r="Z1359" t="s">
        <v>2293</v>
      </c>
      <c r="AA1359" t="s">
        <v>2296</v>
      </c>
      <c r="AB1359">
        <v>340</v>
      </c>
      <c r="AC1359">
        <v>0</v>
      </c>
      <c r="AD1359">
        <v>340</v>
      </c>
      <c r="AE1359">
        <v>187.7</v>
      </c>
      <c r="AF1359">
        <v>152.30000000000001</v>
      </c>
      <c r="AG1359">
        <v>2024</v>
      </c>
      <c r="AH1359">
        <v>9</v>
      </c>
      <c r="AI1359" t="s">
        <v>2300</v>
      </c>
      <c r="AJ1359" t="s">
        <v>2315</v>
      </c>
    </row>
    <row r="1360" spans="1:36" x14ac:dyDescent="0.3">
      <c r="A1360" t="s">
        <v>1394</v>
      </c>
      <c r="B1360" s="2">
        <v>45537</v>
      </c>
      <c r="C1360" t="s">
        <v>1728</v>
      </c>
      <c r="D1360" t="s">
        <v>1764</v>
      </c>
      <c r="E1360" t="s">
        <v>2234</v>
      </c>
      <c r="F1360" t="s">
        <v>2238</v>
      </c>
      <c r="G1360" t="s">
        <v>2245</v>
      </c>
      <c r="H1360" t="s">
        <v>2257</v>
      </c>
      <c r="I1360" t="s">
        <v>2263</v>
      </c>
      <c r="J1360" t="s">
        <v>2266</v>
      </c>
      <c r="K1360">
        <v>1</v>
      </c>
      <c r="L1360">
        <v>150</v>
      </c>
      <c r="M1360">
        <v>0.1</v>
      </c>
      <c r="N1360">
        <v>150</v>
      </c>
      <c r="O1360">
        <v>135</v>
      </c>
      <c r="P1360" t="s">
        <v>2267</v>
      </c>
      <c r="R1360" t="s">
        <v>2277</v>
      </c>
      <c r="S1360" t="s">
        <v>2287</v>
      </c>
      <c r="T1360" t="s">
        <v>2290</v>
      </c>
      <c r="U1360">
        <v>3</v>
      </c>
      <c r="V1360">
        <v>343</v>
      </c>
      <c r="X1360">
        <v>65.599999999999994</v>
      </c>
      <c r="Y1360">
        <v>69.400000000000006</v>
      </c>
      <c r="Z1360" t="s">
        <v>1761</v>
      </c>
      <c r="AA1360" t="s">
        <v>2296</v>
      </c>
      <c r="AB1360">
        <v>150</v>
      </c>
      <c r="AC1360">
        <v>15</v>
      </c>
      <c r="AD1360">
        <v>135</v>
      </c>
      <c r="AE1360">
        <v>65.599999999999994</v>
      </c>
      <c r="AF1360">
        <v>69.400000000000006</v>
      </c>
      <c r="AG1360">
        <v>2024</v>
      </c>
      <c r="AH1360">
        <v>9</v>
      </c>
      <c r="AI1360" t="s">
        <v>2300</v>
      </c>
      <c r="AJ1360" t="s">
        <v>2314</v>
      </c>
    </row>
    <row r="1361" spans="1:36" x14ac:dyDescent="0.3">
      <c r="A1361" t="s">
        <v>1395</v>
      </c>
      <c r="B1361" s="2">
        <v>45526</v>
      </c>
      <c r="C1361" t="s">
        <v>1641</v>
      </c>
      <c r="D1361" t="s">
        <v>1790</v>
      </c>
      <c r="E1361" t="s">
        <v>2022</v>
      </c>
      <c r="F1361" t="s">
        <v>2239</v>
      </c>
      <c r="G1361" t="s">
        <v>2251</v>
      </c>
      <c r="H1361" t="s">
        <v>2258</v>
      </c>
      <c r="I1361" t="s">
        <v>2260</v>
      </c>
      <c r="J1361" t="s">
        <v>2266</v>
      </c>
      <c r="K1361">
        <v>2</v>
      </c>
      <c r="L1361">
        <v>100</v>
      </c>
      <c r="N1361">
        <v>200</v>
      </c>
      <c r="P1361" t="s">
        <v>2268</v>
      </c>
      <c r="Q1361" t="s">
        <v>2271</v>
      </c>
      <c r="R1361" t="s">
        <v>2273</v>
      </c>
      <c r="S1361" t="s">
        <v>2285</v>
      </c>
      <c r="T1361" t="s">
        <v>2289</v>
      </c>
      <c r="U1361">
        <v>2</v>
      </c>
      <c r="V1361">
        <v>471</v>
      </c>
      <c r="X1361">
        <v>38.93</v>
      </c>
      <c r="Z1361" t="s">
        <v>2293</v>
      </c>
      <c r="AA1361" t="s">
        <v>2298</v>
      </c>
      <c r="AB1361">
        <v>200</v>
      </c>
      <c r="AC1361">
        <v>0</v>
      </c>
      <c r="AD1361">
        <v>200</v>
      </c>
      <c r="AE1361">
        <v>77.86</v>
      </c>
      <c r="AF1361">
        <v>122.14</v>
      </c>
      <c r="AG1361">
        <v>2024</v>
      </c>
      <c r="AH1361">
        <v>8</v>
      </c>
      <c r="AI1361" t="s">
        <v>2301</v>
      </c>
      <c r="AJ1361" t="s">
        <v>2316</v>
      </c>
    </row>
    <row r="1362" spans="1:36" x14ac:dyDescent="0.3">
      <c r="A1362" t="s">
        <v>1396</v>
      </c>
      <c r="B1362" s="2">
        <v>45349</v>
      </c>
      <c r="C1362" t="s">
        <v>1673</v>
      </c>
      <c r="D1362" t="s">
        <v>1922</v>
      </c>
      <c r="E1362" t="s">
        <v>2160</v>
      </c>
      <c r="F1362" t="s">
        <v>2238</v>
      </c>
      <c r="G1362" t="s">
        <v>2255</v>
      </c>
      <c r="H1362" t="s">
        <v>2260</v>
      </c>
      <c r="I1362" t="s">
        <v>2260</v>
      </c>
      <c r="J1362" t="s">
        <v>2264</v>
      </c>
      <c r="K1362">
        <v>1</v>
      </c>
      <c r="L1362">
        <v>185</v>
      </c>
      <c r="M1362">
        <v>0.1</v>
      </c>
      <c r="N1362">
        <v>185</v>
      </c>
      <c r="O1362">
        <v>166.5</v>
      </c>
      <c r="P1362" t="s">
        <v>2269</v>
      </c>
      <c r="Q1362" t="s">
        <v>2270</v>
      </c>
      <c r="R1362" t="s">
        <v>2279</v>
      </c>
      <c r="S1362" t="s">
        <v>2280</v>
      </c>
      <c r="T1362" t="s">
        <v>2289</v>
      </c>
      <c r="U1362">
        <v>3</v>
      </c>
      <c r="X1362">
        <v>75.010000000000005</v>
      </c>
      <c r="Y1362">
        <v>91.49</v>
      </c>
      <c r="Z1362" t="s">
        <v>2293</v>
      </c>
      <c r="AA1362" t="s">
        <v>2296</v>
      </c>
      <c r="AB1362">
        <v>185</v>
      </c>
      <c r="AC1362">
        <v>18.5</v>
      </c>
      <c r="AD1362">
        <v>166.5</v>
      </c>
      <c r="AE1362">
        <v>75.010000000000005</v>
      </c>
      <c r="AF1362">
        <v>91.49</v>
      </c>
      <c r="AG1362">
        <v>2024</v>
      </c>
      <c r="AH1362">
        <v>2</v>
      </c>
      <c r="AI1362" t="s">
        <v>2303</v>
      </c>
      <c r="AJ1362" t="s">
        <v>2313</v>
      </c>
    </row>
    <row r="1363" spans="1:36" x14ac:dyDescent="0.3">
      <c r="A1363" t="s">
        <v>1397</v>
      </c>
      <c r="B1363" s="2">
        <v>45372</v>
      </c>
      <c r="C1363" t="s">
        <v>1712</v>
      </c>
      <c r="D1363" t="s">
        <v>1753</v>
      </c>
      <c r="E1363" t="s">
        <v>2041</v>
      </c>
      <c r="F1363" t="s">
        <v>2240</v>
      </c>
      <c r="G1363" t="s">
        <v>2251</v>
      </c>
      <c r="H1363" t="s">
        <v>2258</v>
      </c>
      <c r="I1363" t="s">
        <v>2260</v>
      </c>
      <c r="J1363" t="s">
        <v>2264</v>
      </c>
      <c r="K1363">
        <v>2</v>
      </c>
      <c r="L1363">
        <v>100</v>
      </c>
      <c r="M1363">
        <v>0.05</v>
      </c>
      <c r="N1363">
        <v>200</v>
      </c>
      <c r="O1363">
        <v>190</v>
      </c>
      <c r="P1363" t="s">
        <v>2269</v>
      </c>
      <c r="Q1363" t="s">
        <v>2271</v>
      </c>
      <c r="R1363" t="s">
        <v>2278</v>
      </c>
      <c r="S1363" t="s">
        <v>2285</v>
      </c>
      <c r="T1363" t="s">
        <v>2289</v>
      </c>
      <c r="U1363">
        <v>5</v>
      </c>
      <c r="V1363">
        <v>194</v>
      </c>
      <c r="W1363">
        <v>39</v>
      </c>
      <c r="X1363">
        <v>45.12</v>
      </c>
      <c r="Y1363">
        <v>99.76</v>
      </c>
      <c r="Z1363" t="s">
        <v>1761</v>
      </c>
      <c r="AA1363" t="s">
        <v>2296</v>
      </c>
      <c r="AB1363">
        <v>200</v>
      </c>
      <c r="AC1363">
        <v>10</v>
      </c>
      <c r="AD1363">
        <v>190</v>
      </c>
      <c r="AE1363">
        <v>90.24</v>
      </c>
      <c r="AF1363">
        <v>99.76</v>
      </c>
      <c r="AG1363">
        <v>2024</v>
      </c>
      <c r="AH1363">
        <v>3</v>
      </c>
      <c r="AI1363" t="s">
        <v>2305</v>
      </c>
      <c r="AJ1363" t="s">
        <v>2316</v>
      </c>
    </row>
    <row r="1364" spans="1:36" x14ac:dyDescent="0.3">
      <c r="A1364" t="s">
        <v>1398</v>
      </c>
      <c r="B1364" s="2">
        <v>45533</v>
      </c>
      <c r="C1364" t="s">
        <v>1709</v>
      </c>
      <c r="D1364" t="s">
        <v>1748</v>
      </c>
      <c r="E1364" t="s">
        <v>1976</v>
      </c>
      <c r="F1364" t="s">
        <v>1761</v>
      </c>
      <c r="G1364" t="s">
        <v>2248</v>
      </c>
      <c r="H1364" t="s">
        <v>2257</v>
      </c>
      <c r="I1364" t="s">
        <v>2262</v>
      </c>
      <c r="J1364" t="s">
        <v>2264</v>
      </c>
      <c r="K1364">
        <v>2</v>
      </c>
      <c r="L1364">
        <v>145</v>
      </c>
      <c r="M1364">
        <v>0</v>
      </c>
      <c r="N1364">
        <v>290</v>
      </c>
      <c r="O1364">
        <v>290</v>
      </c>
      <c r="P1364" t="s">
        <v>2269</v>
      </c>
      <c r="R1364" t="s">
        <v>2277</v>
      </c>
      <c r="S1364" t="s">
        <v>2286</v>
      </c>
      <c r="T1364" t="s">
        <v>2290</v>
      </c>
      <c r="U1364">
        <v>5</v>
      </c>
      <c r="V1364">
        <v>140</v>
      </c>
      <c r="W1364">
        <v>30</v>
      </c>
      <c r="X1364">
        <v>68.58</v>
      </c>
      <c r="Y1364">
        <v>152.84</v>
      </c>
      <c r="Z1364" t="s">
        <v>2293</v>
      </c>
      <c r="AA1364" t="s">
        <v>2296</v>
      </c>
      <c r="AB1364">
        <v>290</v>
      </c>
      <c r="AC1364">
        <v>0</v>
      </c>
      <c r="AD1364">
        <v>290</v>
      </c>
      <c r="AE1364">
        <v>137.16</v>
      </c>
      <c r="AF1364">
        <v>152.84</v>
      </c>
      <c r="AG1364">
        <v>2024</v>
      </c>
      <c r="AH1364">
        <v>8</v>
      </c>
      <c r="AI1364" t="s">
        <v>2301</v>
      </c>
      <c r="AJ1364" t="s">
        <v>2316</v>
      </c>
    </row>
    <row r="1365" spans="1:36" x14ac:dyDescent="0.3">
      <c r="A1365" t="s">
        <v>1399</v>
      </c>
      <c r="B1365" s="2">
        <v>45383</v>
      </c>
      <c r="C1365" t="s">
        <v>1672</v>
      </c>
      <c r="D1365" t="s">
        <v>1905</v>
      </c>
      <c r="E1365" t="s">
        <v>2065</v>
      </c>
      <c r="F1365" t="s">
        <v>2238</v>
      </c>
      <c r="G1365" t="s">
        <v>2256</v>
      </c>
      <c r="H1365" t="s">
        <v>2261</v>
      </c>
      <c r="I1365" t="s">
        <v>2260</v>
      </c>
      <c r="J1365" t="s">
        <v>2264</v>
      </c>
      <c r="K1365">
        <v>1</v>
      </c>
      <c r="L1365">
        <v>185</v>
      </c>
      <c r="M1365">
        <v>0</v>
      </c>
      <c r="N1365">
        <v>185</v>
      </c>
      <c r="O1365">
        <v>185</v>
      </c>
      <c r="P1365" t="s">
        <v>2268</v>
      </c>
      <c r="Q1365" t="s">
        <v>2270</v>
      </c>
      <c r="R1365" t="s">
        <v>2277</v>
      </c>
      <c r="S1365" t="s">
        <v>2284</v>
      </c>
      <c r="T1365" t="s">
        <v>2288</v>
      </c>
      <c r="U1365">
        <v>1</v>
      </c>
      <c r="V1365">
        <v>362</v>
      </c>
      <c r="X1365">
        <v>103.62</v>
      </c>
      <c r="Y1365">
        <v>81.38</v>
      </c>
      <c r="Z1365" t="s">
        <v>2292</v>
      </c>
      <c r="AA1365" t="s">
        <v>2297</v>
      </c>
      <c r="AB1365">
        <v>185</v>
      </c>
      <c r="AC1365">
        <v>0</v>
      </c>
      <c r="AD1365">
        <v>185</v>
      </c>
      <c r="AE1365">
        <v>103.62</v>
      </c>
      <c r="AF1365">
        <v>81.38</v>
      </c>
      <c r="AG1365">
        <v>2024</v>
      </c>
      <c r="AH1365">
        <v>4</v>
      </c>
      <c r="AI1365" t="s">
        <v>2308</v>
      </c>
      <c r="AJ1365" t="s">
        <v>2314</v>
      </c>
    </row>
    <row r="1366" spans="1:36" x14ac:dyDescent="0.3">
      <c r="A1366" t="s">
        <v>1400</v>
      </c>
      <c r="B1366" s="2">
        <v>45573</v>
      </c>
      <c r="C1366" t="s">
        <v>1733</v>
      </c>
      <c r="D1366" t="s">
        <v>1758</v>
      </c>
      <c r="E1366" t="s">
        <v>2046</v>
      </c>
      <c r="F1366" t="s">
        <v>2240</v>
      </c>
      <c r="G1366" t="s">
        <v>2245</v>
      </c>
      <c r="H1366" t="s">
        <v>2257</v>
      </c>
      <c r="I1366" t="s">
        <v>2263</v>
      </c>
      <c r="K1366">
        <v>2</v>
      </c>
      <c r="L1366">
        <v>150</v>
      </c>
      <c r="N1366">
        <v>300</v>
      </c>
      <c r="P1366" t="s">
        <v>2269</v>
      </c>
      <c r="Q1366" t="s">
        <v>2271</v>
      </c>
      <c r="R1366" t="s">
        <v>2276</v>
      </c>
      <c r="S1366" t="s">
        <v>2282</v>
      </c>
      <c r="T1366" t="s">
        <v>2289</v>
      </c>
      <c r="V1366">
        <v>136</v>
      </c>
      <c r="W1366">
        <v>18</v>
      </c>
      <c r="X1366">
        <v>63.23</v>
      </c>
      <c r="Z1366" t="s">
        <v>2293</v>
      </c>
      <c r="AA1366" t="s">
        <v>2297</v>
      </c>
      <c r="AB1366">
        <v>300</v>
      </c>
      <c r="AC1366">
        <v>0</v>
      </c>
      <c r="AD1366">
        <v>300</v>
      </c>
      <c r="AE1366">
        <v>126.46</v>
      </c>
      <c r="AF1366">
        <v>173.54</v>
      </c>
      <c r="AG1366">
        <v>2024</v>
      </c>
      <c r="AH1366">
        <v>10</v>
      </c>
      <c r="AI1366" t="s">
        <v>2310</v>
      </c>
      <c r="AJ1366" t="s">
        <v>2313</v>
      </c>
    </row>
    <row r="1367" spans="1:36" x14ac:dyDescent="0.3">
      <c r="A1367" t="s">
        <v>1401</v>
      </c>
      <c r="B1367" s="2">
        <v>45337</v>
      </c>
      <c r="C1367" t="s">
        <v>1673</v>
      </c>
      <c r="D1367" t="s">
        <v>1873</v>
      </c>
      <c r="E1367" t="s">
        <v>1761</v>
      </c>
      <c r="F1367" t="s">
        <v>2239</v>
      </c>
      <c r="G1367" t="s">
        <v>2244</v>
      </c>
      <c r="H1367" t="s">
        <v>2257</v>
      </c>
      <c r="I1367" t="s">
        <v>2262</v>
      </c>
      <c r="K1367">
        <v>4</v>
      </c>
      <c r="L1367">
        <v>120</v>
      </c>
      <c r="M1367">
        <v>0</v>
      </c>
      <c r="N1367">
        <v>480</v>
      </c>
      <c r="O1367">
        <v>480</v>
      </c>
      <c r="P1367" t="s">
        <v>2267</v>
      </c>
      <c r="Q1367" t="s">
        <v>2271</v>
      </c>
      <c r="R1367" t="s">
        <v>2279</v>
      </c>
      <c r="S1367" t="s">
        <v>2287</v>
      </c>
      <c r="T1367" t="s">
        <v>2289</v>
      </c>
      <c r="U1367">
        <v>5</v>
      </c>
      <c r="V1367">
        <v>437</v>
      </c>
      <c r="W1367">
        <v>59</v>
      </c>
      <c r="X1367">
        <v>55.45</v>
      </c>
      <c r="Y1367">
        <v>258.2</v>
      </c>
      <c r="Z1367" t="s">
        <v>2291</v>
      </c>
      <c r="AA1367" t="s">
        <v>2298</v>
      </c>
      <c r="AB1367">
        <v>480</v>
      </c>
      <c r="AC1367">
        <v>0</v>
      </c>
      <c r="AD1367">
        <v>480</v>
      </c>
      <c r="AE1367">
        <v>221.8</v>
      </c>
      <c r="AF1367">
        <v>258.2</v>
      </c>
      <c r="AG1367">
        <v>2024</v>
      </c>
      <c r="AH1367">
        <v>2</v>
      </c>
      <c r="AI1367" t="s">
        <v>2303</v>
      </c>
      <c r="AJ1367" t="s">
        <v>2316</v>
      </c>
    </row>
    <row r="1368" spans="1:36" x14ac:dyDescent="0.3">
      <c r="A1368" t="s">
        <v>1402</v>
      </c>
      <c r="B1368" s="2">
        <v>45517</v>
      </c>
      <c r="C1368" t="s">
        <v>1702</v>
      </c>
      <c r="D1368" t="s">
        <v>1941</v>
      </c>
      <c r="E1368" t="s">
        <v>2166</v>
      </c>
      <c r="F1368" t="s">
        <v>2238</v>
      </c>
      <c r="G1368" t="s">
        <v>2255</v>
      </c>
      <c r="H1368" t="s">
        <v>2260</v>
      </c>
      <c r="I1368" t="s">
        <v>2260</v>
      </c>
      <c r="J1368" t="s">
        <v>2265</v>
      </c>
      <c r="K1368">
        <v>3</v>
      </c>
      <c r="L1368">
        <v>190</v>
      </c>
      <c r="M1368">
        <v>0.1</v>
      </c>
      <c r="N1368">
        <v>570</v>
      </c>
      <c r="O1368">
        <v>513</v>
      </c>
      <c r="P1368" t="s">
        <v>2269</v>
      </c>
      <c r="R1368" t="s">
        <v>2279</v>
      </c>
      <c r="S1368" t="s">
        <v>2282</v>
      </c>
      <c r="T1368" t="s">
        <v>2289</v>
      </c>
      <c r="U1368">
        <v>5</v>
      </c>
      <c r="V1368">
        <v>13</v>
      </c>
      <c r="X1368">
        <v>82.02</v>
      </c>
      <c r="Y1368">
        <v>266.94</v>
      </c>
      <c r="Z1368" t="s">
        <v>2292</v>
      </c>
      <c r="AA1368" t="s">
        <v>2296</v>
      </c>
      <c r="AB1368">
        <v>570</v>
      </c>
      <c r="AC1368">
        <v>57</v>
      </c>
      <c r="AD1368">
        <v>513</v>
      </c>
      <c r="AE1368">
        <v>246.06</v>
      </c>
      <c r="AF1368">
        <v>266.94</v>
      </c>
      <c r="AG1368">
        <v>2024</v>
      </c>
      <c r="AH1368">
        <v>8</v>
      </c>
      <c r="AI1368" t="s">
        <v>2301</v>
      </c>
      <c r="AJ1368" t="s">
        <v>2313</v>
      </c>
    </row>
    <row r="1369" spans="1:36" x14ac:dyDescent="0.3">
      <c r="A1369" t="s">
        <v>1403</v>
      </c>
      <c r="B1369" s="2">
        <v>45439</v>
      </c>
      <c r="C1369" t="s">
        <v>1732</v>
      </c>
      <c r="D1369" t="s">
        <v>1867</v>
      </c>
      <c r="E1369" t="s">
        <v>1974</v>
      </c>
      <c r="F1369" t="s">
        <v>1761</v>
      </c>
      <c r="G1369" t="s">
        <v>2253</v>
      </c>
      <c r="H1369" t="s">
        <v>2258</v>
      </c>
      <c r="I1369" t="s">
        <v>2260</v>
      </c>
      <c r="J1369" t="s">
        <v>2266</v>
      </c>
      <c r="K1369">
        <v>1</v>
      </c>
      <c r="L1369">
        <v>90</v>
      </c>
      <c r="M1369">
        <v>0</v>
      </c>
      <c r="N1369">
        <v>90</v>
      </c>
      <c r="O1369">
        <v>90</v>
      </c>
      <c r="P1369" t="s">
        <v>2269</v>
      </c>
      <c r="R1369" t="s">
        <v>2274</v>
      </c>
      <c r="S1369" t="s">
        <v>2282</v>
      </c>
      <c r="T1369" t="s">
        <v>2288</v>
      </c>
      <c r="U1369">
        <v>3</v>
      </c>
      <c r="V1369">
        <v>352</v>
      </c>
      <c r="W1369">
        <v>40</v>
      </c>
      <c r="X1369">
        <v>50.72</v>
      </c>
      <c r="Y1369">
        <v>39.28</v>
      </c>
      <c r="Z1369" t="s">
        <v>2293</v>
      </c>
      <c r="AA1369" t="s">
        <v>2298</v>
      </c>
      <c r="AB1369">
        <v>90</v>
      </c>
      <c r="AC1369">
        <v>0</v>
      </c>
      <c r="AD1369">
        <v>90</v>
      </c>
      <c r="AE1369">
        <v>50.72</v>
      </c>
      <c r="AF1369">
        <v>39.28</v>
      </c>
      <c r="AG1369">
        <v>2024</v>
      </c>
      <c r="AH1369">
        <v>5</v>
      </c>
      <c r="AI1369" t="s">
        <v>2306</v>
      </c>
      <c r="AJ1369" t="s">
        <v>2314</v>
      </c>
    </row>
    <row r="1370" spans="1:36" x14ac:dyDescent="0.3">
      <c r="A1370" t="s">
        <v>1404</v>
      </c>
      <c r="B1370" s="2">
        <v>45371</v>
      </c>
      <c r="C1370" t="s">
        <v>1676</v>
      </c>
      <c r="D1370" t="s">
        <v>1761</v>
      </c>
      <c r="E1370" t="s">
        <v>2150</v>
      </c>
      <c r="F1370" t="s">
        <v>2239</v>
      </c>
      <c r="G1370" t="s">
        <v>2250</v>
      </c>
      <c r="H1370" t="s">
        <v>2259</v>
      </c>
      <c r="I1370" t="s">
        <v>2262</v>
      </c>
      <c r="J1370" t="s">
        <v>2266</v>
      </c>
      <c r="K1370">
        <v>2</v>
      </c>
      <c r="L1370">
        <v>80</v>
      </c>
      <c r="M1370">
        <v>0</v>
      </c>
      <c r="N1370">
        <v>160</v>
      </c>
      <c r="O1370">
        <v>160</v>
      </c>
      <c r="P1370" t="s">
        <v>2267</v>
      </c>
      <c r="R1370" t="s">
        <v>2276</v>
      </c>
      <c r="S1370" t="s">
        <v>2282</v>
      </c>
      <c r="T1370" t="s">
        <v>2288</v>
      </c>
      <c r="U1370">
        <v>2</v>
      </c>
      <c r="V1370">
        <v>336</v>
      </c>
      <c r="W1370">
        <v>14</v>
      </c>
      <c r="X1370">
        <v>43.04</v>
      </c>
      <c r="Y1370">
        <v>73.92</v>
      </c>
      <c r="Z1370" t="s">
        <v>2293</v>
      </c>
      <c r="AA1370" t="s">
        <v>2296</v>
      </c>
      <c r="AB1370">
        <v>160</v>
      </c>
      <c r="AC1370">
        <v>0</v>
      </c>
      <c r="AD1370">
        <v>160</v>
      </c>
      <c r="AE1370">
        <v>86.08</v>
      </c>
      <c r="AF1370">
        <v>73.92</v>
      </c>
      <c r="AG1370">
        <v>2024</v>
      </c>
      <c r="AH1370">
        <v>3</v>
      </c>
      <c r="AI1370" t="s">
        <v>2305</v>
      </c>
      <c r="AJ1370" t="s">
        <v>2312</v>
      </c>
    </row>
    <row r="1371" spans="1:36" x14ac:dyDescent="0.3">
      <c r="A1371" t="s">
        <v>1405</v>
      </c>
      <c r="C1371" t="s">
        <v>1699</v>
      </c>
      <c r="D1371" t="s">
        <v>1934</v>
      </c>
      <c r="E1371" t="s">
        <v>2232</v>
      </c>
      <c r="F1371" t="s">
        <v>2239</v>
      </c>
      <c r="G1371" t="s">
        <v>2252</v>
      </c>
      <c r="H1371" t="s">
        <v>2257</v>
      </c>
      <c r="I1371" t="s">
        <v>2262</v>
      </c>
      <c r="J1371" t="s">
        <v>2266</v>
      </c>
      <c r="K1371">
        <v>1</v>
      </c>
      <c r="L1371">
        <v>100</v>
      </c>
      <c r="M1371">
        <v>0.05</v>
      </c>
      <c r="N1371">
        <v>100</v>
      </c>
      <c r="O1371">
        <v>95</v>
      </c>
      <c r="P1371" t="s">
        <v>2269</v>
      </c>
      <c r="Q1371" t="s">
        <v>2270</v>
      </c>
      <c r="R1371" t="s">
        <v>2274</v>
      </c>
      <c r="S1371" t="s">
        <v>2283</v>
      </c>
      <c r="T1371" t="s">
        <v>2288</v>
      </c>
      <c r="U1371">
        <v>3</v>
      </c>
      <c r="V1371">
        <v>74</v>
      </c>
      <c r="W1371">
        <v>11</v>
      </c>
      <c r="X1371">
        <v>40.98</v>
      </c>
      <c r="Y1371">
        <v>54.02</v>
      </c>
      <c r="Z1371" t="s">
        <v>2292</v>
      </c>
      <c r="AA1371" t="s">
        <v>2299</v>
      </c>
      <c r="AB1371">
        <v>100</v>
      </c>
      <c r="AC1371">
        <v>5</v>
      </c>
      <c r="AD1371">
        <v>95</v>
      </c>
      <c r="AE1371">
        <v>40.98</v>
      </c>
      <c r="AF1371">
        <v>54.02</v>
      </c>
    </row>
    <row r="1372" spans="1:36" x14ac:dyDescent="0.3">
      <c r="A1372" t="s">
        <v>1406</v>
      </c>
      <c r="B1372" s="2">
        <v>45647</v>
      </c>
      <c r="C1372" t="s">
        <v>1687</v>
      </c>
      <c r="D1372" t="s">
        <v>1907</v>
      </c>
      <c r="E1372" t="s">
        <v>2100</v>
      </c>
      <c r="F1372" t="s">
        <v>2239</v>
      </c>
      <c r="G1372" t="s">
        <v>2256</v>
      </c>
      <c r="H1372" t="s">
        <v>2261</v>
      </c>
      <c r="I1372" t="s">
        <v>2260</v>
      </c>
      <c r="J1372" t="s">
        <v>2265</v>
      </c>
      <c r="K1372">
        <v>3</v>
      </c>
      <c r="L1372">
        <v>185</v>
      </c>
      <c r="M1372">
        <v>0.15</v>
      </c>
      <c r="N1372">
        <v>555</v>
      </c>
      <c r="O1372">
        <v>471.75</v>
      </c>
      <c r="P1372" t="s">
        <v>2269</v>
      </c>
      <c r="Q1372" t="s">
        <v>2271</v>
      </c>
      <c r="R1372" t="s">
        <v>2276</v>
      </c>
      <c r="S1372" t="s">
        <v>2286</v>
      </c>
      <c r="T1372" t="s">
        <v>2288</v>
      </c>
      <c r="U1372">
        <v>2</v>
      </c>
      <c r="V1372">
        <v>151</v>
      </c>
      <c r="W1372">
        <v>18</v>
      </c>
      <c r="X1372">
        <v>79.69</v>
      </c>
      <c r="Y1372">
        <v>232.68</v>
      </c>
      <c r="Z1372" t="s">
        <v>2293</v>
      </c>
      <c r="AA1372" t="s">
        <v>1761</v>
      </c>
      <c r="AB1372">
        <v>555</v>
      </c>
      <c r="AC1372">
        <v>83.25</v>
      </c>
      <c r="AD1372">
        <v>471.75</v>
      </c>
      <c r="AE1372">
        <v>239.07</v>
      </c>
      <c r="AF1372">
        <v>232.68</v>
      </c>
      <c r="AG1372">
        <v>2024</v>
      </c>
      <c r="AH1372">
        <v>12</v>
      </c>
      <c r="AI1372" t="s">
        <v>2309</v>
      </c>
      <c r="AJ1372" t="s">
        <v>2317</v>
      </c>
    </row>
    <row r="1373" spans="1:36" x14ac:dyDescent="0.3">
      <c r="A1373" t="s">
        <v>1407</v>
      </c>
      <c r="B1373" s="2">
        <v>45565</v>
      </c>
      <c r="C1373" t="s">
        <v>1670</v>
      </c>
      <c r="D1373" t="s">
        <v>1861</v>
      </c>
      <c r="E1373" t="s">
        <v>2085</v>
      </c>
      <c r="F1373" t="s">
        <v>2240</v>
      </c>
      <c r="G1373" t="s">
        <v>2243</v>
      </c>
      <c r="H1373" t="s">
        <v>2258</v>
      </c>
      <c r="I1373" t="s">
        <v>2260</v>
      </c>
      <c r="J1373" t="s">
        <v>2264</v>
      </c>
      <c r="K1373">
        <v>2</v>
      </c>
      <c r="L1373">
        <v>80</v>
      </c>
      <c r="M1373">
        <v>0.05</v>
      </c>
      <c r="O1373">
        <v>152</v>
      </c>
      <c r="P1373" t="s">
        <v>2267</v>
      </c>
      <c r="Q1373" t="s">
        <v>2272</v>
      </c>
      <c r="R1373" t="s">
        <v>2277</v>
      </c>
      <c r="S1373" t="s">
        <v>2283</v>
      </c>
      <c r="T1373" t="s">
        <v>2288</v>
      </c>
      <c r="U1373">
        <v>2</v>
      </c>
      <c r="V1373">
        <v>123</v>
      </c>
      <c r="W1373">
        <v>19</v>
      </c>
      <c r="X1373">
        <v>27.75</v>
      </c>
      <c r="Y1373">
        <v>96.5</v>
      </c>
      <c r="Z1373" t="s">
        <v>2294</v>
      </c>
      <c r="AA1373" t="s">
        <v>2298</v>
      </c>
      <c r="AB1373">
        <v>160</v>
      </c>
      <c r="AC1373">
        <v>8</v>
      </c>
      <c r="AD1373">
        <v>152</v>
      </c>
      <c r="AE1373">
        <v>55.5</v>
      </c>
      <c r="AF1373">
        <v>96.5</v>
      </c>
      <c r="AG1373">
        <v>2024</v>
      </c>
      <c r="AH1373">
        <v>9</v>
      </c>
      <c r="AI1373" t="s">
        <v>2300</v>
      </c>
      <c r="AJ1373" t="s">
        <v>2314</v>
      </c>
    </row>
    <row r="1374" spans="1:36" x14ac:dyDescent="0.3">
      <c r="A1374" t="s">
        <v>1408</v>
      </c>
      <c r="B1374" s="2">
        <v>45302</v>
      </c>
      <c r="C1374" t="s">
        <v>1698</v>
      </c>
      <c r="D1374" t="s">
        <v>1769</v>
      </c>
      <c r="E1374" t="s">
        <v>2133</v>
      </c>
      <c r="F1374" t="s">
        <v>2240</v>
      </c>
      <c r="G1374" t="s">
        <v>2249</v>
      </c>
      <c r="H1374" t="s">
        <v>2257</v>
      </c>
      <c r="I1374" t="s">
        <v>2263</v>
      </c>
      <c r="J1374" t="s">
        <v>2265</v>
      </c>
      <c r="K1374">
        <v>1</v>
      </c>
      <c r="L1374">
        <v>155</v>
      </c>
      <c r="M1374">
        <v>0.1</v>
      </c>
      <c r="N1374">
        <v>155</v>
      </c>
      <c r="O1374">
        <v>139.5</v>
      </c>
      <c r="P1374" t="s">
        <v>2268</v>
      </c>
      <c r="Q1374" t="s">
        <v>2271</v>
      </c>
      <c r="R1374" t="s">
        <v>2273</v>
      </c>
      <c r="S1374" t="s">
        <v>2285</v>
      </c>
      <c r="T1374" t="s">
        <v>2288</v>
      </c>
      <c r="U1374">
        <v>2</v>
      </c>
      <c r="V1374">
        <v>114</v>
      </c>
      <c r="X1374">
        <v>67.290000000000006</v>
      </c>
      <c r="Y1374">
        <v>72.209999999999994</v>
      </c>
      <c r="Z1374" t="s">
        <v>2292</v>
      </c>
      <c r="AA1374" t="s">
        <v>2298</v>
      </c>
      <c r="AB1374">
        <v>155</v>
      </c>
      <c r="AC1374">
        <v>15.5</v>
      </c>
      <c r="AD1374">
        <v>139.5</v>
      </c>
      <c r="AE1374">
        <v>67.290000000000006</v>
      </c>
      <c r="AF1374">
        <v>72.209999999999994</v>
      </c>
      <c r="AG1374">
        <v>2024</v>
      </c>
      <c r="AH1374">
        <v>1</v>
      </c>
      <c r="AI1374" t="s">
        <v>2302</v>
      </c>
      <c r="AJ1374" t="s">
        <v>2316</v>
      </c>
    </row>
    <row r="1375" spans="1:36" x14ac:dyDescent="0.3">
      <c r="A1375" t="s">
        <v>1409</v>
      </c>
      <c r="B1375" s="2">
        <v>45437</v>
      </c>
      <c r="C1375" t="s">
        <v>1660</v>
      </c>
      <c r="D1375" t="s">
        <v>1850</v>
      </c>
      <c r="E1375" t="s">
        <v>2181</v>
      </c>
      <c r="F1375" t="s">
        <v>2239</v>
      </c>
      <c r="G1375" t="s">
        <v>2241</v>
      </c>
      <c r="H1375" t="s">
        <v>2257</v>
      </c>
      <c r="I1375" t="s">
        <v>2262</v>
      </c>
      <c r="J1375" t="s">
        <v>2265</v>
      </c>
      <c r="K1375">
        <v>1</v>
      </c>
      <c r="L1375">
        <v>130</v>
      </c>
      <c r="M1375">
        <v>0</v>
      </c>
      <c r="N1375">
        <v>130</v>
      </c>
      <c r="O1375">
        <v>130</v>
      </c>
      <c r="R1375" t="s">
        <v>2275</v>
      </c>
      <c r="S1375" t="s">
        <v>2285</v>
      </c>
      <c r="T1375" t="s">
        <v>2289</v>
      </c>
      <c r="U1375">
        <v>5</v>
      </c>
      <c r="V1375">
        <v>422</v>
      </c>
      <c r="W1375">
        <v>28</v>
      </c>
      <c r="X1375">
        <v>58.16</v>
      </c>
      <c r="Y1375">
        <v>71.84</v>
      </c>
      <c r="Z1375" t="s">
        <v>2293</v>
      </c>
      <c r="AA1375" t="s">
        <v>2297</v>
      </c>
      <c r="AB1375">
        <v>130</v>
      </c>
      <c r="AC1375">
        <v>0</v>
      </c>
      <c r="AD1375">
        <v>130</v>
      </c>
      <c r="AE1375">
        <v>58.16</v>
      </c>
      <c r="AF1375">
        <v>71.84</v>
      </c>
      <c r="AG1375">
        <v>2024</v>
      </c>
      <c r="AH1375">
        <v>5</v>
      </c>
      <c r="AI1375" t="s">
        <v>2306</v>
      </c>
      <c r="AJ1375" t="s">
        <v>2317</v>
      </c>
    </row>
    <row r="1376" spans="1:36" x14ac:dyDescent="0.3">
      <c r="A1376" t="s">
        <v>1410</v>
      </c>
      <c r="B1376" s="2">
        <v>45647</v>
      </c>
      <c r="C1376" t="s">
        <v>1679</v>
      </c>
      <c r="D1376" t="s">
        <v>1819</v>
      </c>
      <c r="E1376" t="s">
        <v>2040</v>
      </c>
      <c r="F1376" t="s">
        <v>2238</v>
      </c>
      <c r="G1376" t="s">
        <v>2249</v>
      </c>
      <c r="H1376" t="s">
        <v>2257</v>
      </c>
      <c r="I1376" t="s">
        <v>2263</v>
      </c>
      <c r="J1376" t="s">
        <v>2265</v>
      </c>
      <c r="K1376">
        <v>4</v>
      </c>
      <c r="L1376">
        <v>155</v>
      </c>
      <c r="M1376">
        <v>0</v>
      </c>
      <c r="N1376">
        <v>620</v>
      </c>
      <c r="O1376">
        <v>620</v>
      </c>
      <c r="P1376" t="s">
        <v>2268</v>
      </c>
      <c r="Q1376" t="s">
        <v>2272</v>
      </c>
      <c r="R1376" t="s">
        <v>2273</v>
      </c>
      <c r="S1376" t="s">
        <v>2287</v>
      </c>
      <c r="T1376" t="s">
        <v>2288</v>
      </c>
      <c r="U1376">
        <v>1</v>
      </c>
      <c r="V1376">
        <v>254</v>
      </c>
      <c r="W1376">
        <v>50</v>
      </c>
      <c r="X1376">
        <v>83.09</v>
      </c>
      <c r="Y1376">
        <v>287.64</v>
      </c>
      <c r="Z1376" t="s">
        <v>2293</v>
      </c>
      <c r="AA1376" t="s">
        <v>1761</v>
      </c>
      <c r="AB1376">
        <v>620</v>
      </c>
      <c r="AC1376">
        <v>0</v>
      </c>
      <c r="AD1376">
        <v>620</v>
      </c>
      <c r="AE1376">
        <v>332.36</v>
      </c>
      <c r="AF1376">
        <v>287.64</v>
      </c>
      <c r="AG1376">
        <v>2024</v>
      </c>
      <c r="AH1376">
        <v>12</v>
      </c>
      <c r="AI1376" t="s">
        <v>2309</v>
      </c>
      <c r="AJ1376" t="s">
        <v>2317</v>
      </c>
    </row>
    <row r="1377" spans="1:36" x14ac:dyDescent="0.3">
      <c r="A1377" t="s">
        <v>1411</v>
      </c>
      <c r="B1377" s="2">
        <v>45292</v>
      </c>
      <c r="C1377" t="s">
        <v>1668</v>
      </c>
      <c r="D1377" t="s">
        <v>1871</v>
      </c>
      <c r="E1377" t="s">
        <v>2106</v>
      </c>
      <c r="F1377" t="s">
        <v>1761</v>
      </c>
      <c r="G1377" t="s">
        <v>2254</v>
      </c>
      <c r="H1377" t="s">
        <v>2259</v>
      </c>
      <c r="I1377" t="s">
        <v>2263</v>
      </c>
      <c r="J1377" t="s">
        <v>2266</v>
      </c>
      <c r="K1377">
        <v>2</v>
      </c>
      <c r="L1377">
        <v>120</v>
      </c>
      <c r="M1377">
        <v>0.15</v>
      </c>
      <c r="N1377">
        <v>240</v>
      </c>
      <c r="O1377">
        <v>204</v>
      </c>
      <c r="P1377" t="s">
        <v>2269</v>
      </c>
      <c r="R1377" t="s">
        <v>2279</v>
      </c>
      <c r="S1377" t="s">
        <v>2287</v>
      </c>
      <c r="T1377" t="s">
        <v>2288</v>
      </c>
      <c r="U1377">
        <v>5</v>
      </c>
      <c r="V1377">
        <v>481</v>
      </c>
      <c r="W1377">
        <v>57</v>
      </c>
      <c r="X1377">
        <v>61.66</v>
      </c>
      <c r="Y1377">
        <v>80.680000000000007</v>
      </c>
      <c r="Z1377" t="s">
        <v>1761</v>
      </c>
      <c r="AA1377" t="s">
        <v>1761</v>
      </c>
      <c r="AB1377">
        <v>240</v>
      </c>
      <c r="AC1377">
        <v>36</v>
      </c>
      <c r="AD1377">
        <v>204</v>
      </c>
      <c r="AE1377">
        <v>123.32</v>
      </c>
      <c r="AF1377">
        <v>80.680000000000007</v>
      </c>
      <c r="AG1377">
        <v>2024</v>
      </c>
      <c r="AH1377">
        <v>1</v>
      </c>
      <c r="AI1377" t="s">
        <v>2302</v>
      </c>
      <c r="AJ1377" t="s">
        <v>2314</v>
      </c>
    </row>
    <row r="1378" spans="1:36" x14ac:dyDescent="0.3">
      <c r="A1378" t="s">
        <v>1412</v>
      </c>
      <c r="B1378" s="2">
        <v>45436</v>
      </c>
      <c r="C1378" t="s">
        <v>1689</v>
      </c>
      <c r="D1378" t="s">
        <v>1940</v>
      </c>
      <c r="E1378" t="s">
        <v>1952</v>
      </c>
      <c r="F1378" t="s">
        <v>2239</v>
      </c>
      <c r="G1378" t="s">
        <v>2247</v>
      </c>
      <c r="H1378" t="s">
        <v>2257</v>
      </c>
      <c r="I1378" t="s">
        <v>2262</v>
      </c>
      <c r="J1378" t="s">
        <v>2266</v>
      </c>
      <c r="K1378">
        <v>2</v>
      </c>
      <c r="L1378">
        <v>105</v>
      </c>
      <c r="M1378">
        <v>0.1</v>
      </c>
      <c r="N1378">
        <v>210</v>
      </c>
      <c r="O1378">
        <v>189</v>
      </c>
      <c r="P1378" t="s">
        <v>2267</v>
      </c>
      <c r="Q1378" t="s">
        <v>2272</v>
      </c>
      <c r="R1378" t="s">
        <v>2278</v>
      </c>
      <c r="S1378" t="s">
        <v>2285</v>
      </c>
      <c r="T1378" t="s">
        <v>2288</v>
      </c>
      <c r="U1378">
        <v>4</v>
      </c>
      <c r="V1378">
        <v>361</v>
      </c>
      <c r="W1378">
        <v>35</v>
      </c>
      <c r="X1378">
        <v>52.18</v>
      </c>
      <c r="Y1378">
        <v>84.64</v>
      </c>
      <c r="Z1378" t="s">
        <v>2293</v>
      </c>
      <c r="AA1378" t="s">
        <v>2296</v>
      </c>
      <c r="AB1378">
        <v>210</v>
      </c>
      <c r="AC1378">
        <v>21</v>
      </c>
      <c r="AD1378">
        <v>189</v>
      </c>
      <c r="AE1378">
        <v>104.36</v>
      </c>
      <c r="AF1378">
        <v>84.64</v>
      </c>
      <c r="AG1378">
        <v>2024</v>
      </c>
      <c r="AH1378">
        <v>5</v>
      </c>
      <c r="AI1378" t="s">
        <v>2306</v>
      </c>
      <c r="AJ1378" t="s">
        <v>2315</v>
      </c>
    </row>
    <row r="1379" spans="1:36" x14ac:dyDescent="0.3">
      <c r="A1379" t="s">
        <v>1413</v>
      </c>
      <c r="B1379" s="2">
        <v>45328</v>
      </c>
      <c r="C1379" t="s">
        <v>1739</v>
      </c>
      <c r="D1379" t="s">
        <v>1883</v>
      </c>
      <c r="E1379" t="s">
        <v>2020</v>
      </c>
      <c r="F1379" t="s">
        <v>2239</v>
      </c>
      <c r="G1379" t="s">
        <v>2256</v>
      </c>
      <c r="H1379" t="s">
        <v>2261</v>
      </c>
      <c r="I1379" t="s">
        <v>2260</v>
      </c>
      <c r="J1379" t="s">
        <v>2265</v>
      </c>
      <c r="K1379">
        <v>1</v>
      </c>
      <c r="L1379">
        <v>190</v>
      </c>
      <c r="M1379">
        <v>0.05</v>
      </c>
      <c r="N1379">
        <v>190</v>
      </c>
      <c r="O1379">
        <v>180.5</v>
      </c>
      <c r="R1379" t="s">
        <v>2279</v>
      </c>
      <c r="S1379" t="s">
        <v>2280</v>
      </c>
      <c r="T1379" t="s">
        <v>2290</v>
      </c>
      <c r="U1379">
        <v>2</v>
      </c>
      <c r="V1379">
        <v>78</v>
      </c>
      <c r="W1379">
        <v>12</v>
      </c>
      <c r="X1379">
        <v>90.47</v>
      </c>
      <c r="Y1379">
        <v>90.03</v>
      </c>
      <c r="Z1379" t="s">
        <v>2294</v>
      </c>
      <c r="AA1379" t="s">
        <v>2298</v>
      </c>
      <c r="AB1379">
        <v>190</v>
      </c>
      <c r="AC1379">
        <v>9.5</v>
      </c>
      <c r="AD1379">
        <v>180.5</v>
      </c>
      <c r="AE1379">
        <v>90.47</v>
      </c>
      <c r="AF1379">
        <v>90.03</v>
      </c>
      <c r="AG1379">
        <v>2024</v>
      </c>
      <c r="AH1379">
        <v>2</v>
      </c>
      <c r="AI1379" t="s">
        <v>2303</v>
      </c>
      <c r="AJ1379" t="s">
        <v>2313</v>
      </c>
    </row>
    <row r="1380" spans="1:36" x14ac:dyDescent="0.3">
      <c r="A1380" t="s">
        <v>1414</v>
      </c>
      <c r="C1380" t="s">
        <v>1638</v>
      </c>
      <c r="D1380" t="s">
        <v>1794</v>
      </c>
      <c r="E1380" t="s">
        <v>2079</v>
      </c>
      <c r="F1380" t="s">
        <v>2238</v>
      </c>
      <c r="G1380" t="s">
        <v>2255</v>
      </c>
      <c r="H1380" t="s">
        <v>2260</v>
      </c>
      <c r="I1380" t="s">
        <v>2260</v>
      </c>
      <c r="K1380">
        <v>1</v>
      </c>
      <c r="L1380">
        <v>185</v>
      </c>
      <c r="M1380">
        <v>0</v>
      </c>
      <c r="N1380">
        <v>185</v>
      </c>
      <c r="O1380">
        <v>185</v>
      </c>
      <c r="R1380" t="s">
        <v>2274</v>
      </c>
      <c r="S1380" t="s">
        <v>2280</v>
      </c>
      <c r="T1380" t="s">
        <v>2288</v>
      </c>
      <c r="U1380">
        <v>5</v>
      </c>
      <c r="V1380">
        <v>177</v>
      </c>
      <c r="W1380">
        <v>13</v>
      </c>
      <c r="X1380">
        <v>72.5</v>
      </c>
      <c r="Y1380">
        <v>112.5</v>
      </c>
      <c r="Z1380" t="s">
        <v>1761</v>
      </c>
      <c r="AA1380" t="s">
        <v>1761</v>
      </c>
      <c r="AB1380">
        <v>185</v>
      </c>
      <c r="AC1380">
        <v>0</v>
      </c>
      <c r="AD1380">
        <v>185</v>
      </c>
      <c r="AE1380">
        <v>72.5</v>
      </c>
      <c r="AF1380">
        <v>112.5</v>
      </c>
    </row>
    <row r="1381" spans="1:36" x14ac:dyDescent="0.3">
      <c r="A1381" t="s">
        <v>1415</v>
      </c>
      <c r="B1381" s="2">
        <v>45364</v>
      </c>
      <c r="C1381" t="s">
        <v>1691</v>
      </c>
      <c r="D1381" t="s">
        <v>1773</v>
      </c>
      <c r="E1381" t="s">
        <v>1761</v>
      </c>
      <c r="F1381" t="s">
        <v>1761</v>
      </c>
      <c r="G1381" t="s">
        <v>2249</v>
      </c>
      <c r="H1381" t="s">
        <v>2257</v>
      </c>
      <c r="I1381" t="s">
        <v>2263</v>
      </c>
      <c r="K1381">
        <v>2</v>
      </c>
      <c r="L1381">
        <v>165</v>
      </c>
      <c r="M1381">
        <v>0.05</v>
      </c>
      <c r="N1381">
        <v>330</v>
      </c>
      <c r="O1381">
        <v>313.5</v>
      </c>
      <c r="P1381" t="s">
        <v>2267</v>
      </c>
      <c r="Q1381" t="s">
        <v>2272</v>
      </c>
      <c r="R1381" t="s">
        <v>2275</v>
      </c>
      <c r="S1381" t="s">
        <v>2287</v>
      </c>
      <c r="T1381" t="s">
        <v>2288</v>
      </c>
      <c r="U1381">
        <v>3</v>
      </c>
      <c r="V1381">
        <v>460</v>
      </c>
      <c r="W1381">
        <v>36</v>
      </c>
      <c r="X1381">
        <v>82.02</v>
      </c>
      <c r="Y1381">
        <v>149.46</v>
      </c>
      <c r="Z1381" t="s">
        <v>2294</v>
      </c>
      <c r="AA1381" t="s">
        <v>2297</v>
      </c>
      <c r="AB1381">
        <v>330</v>
      </c>
      <c r="AC1381">
        <v>16.5</v>
      </c>
      <c r="AD1381">
        <v>313.5</v>
      </c>
      <c r="AE1381">
        <v>164.04</v>
      </c>
      <c r="AF1381">
        <v>149.46</v>
      </c>
      <c r="AG1381">
        <v>2024</v>
      </c>
      <c r="AH1381">
        <v>3</v>
      </c>
      <c r="AI1381" t="s">
        <v>2305</v>
      </c>
      <c r="AJ1381" t="s">
        <v>2312</v>
      </c>
    </row>
    <row r="1382" spans="1:36" x14ac:dyDescent="0.3">
      <c r="A1382" t="s">
        <v>1416</v>
      </c>
      <c r="B1382" s="2">
        <v>45390</v>
      </c>
      <c r="C1382" t="s">
        <v>1680</v>
      </c>
      <c r="D1382" t="s">
        <v>1870</v>
      </c>
      <c r="E1382" t="s">
        <v>2069</v>
      </c>
      <c r="F1382" t="s">
        <v>2240</v>
      </c>
      <c r="G1382" t="s">
        <v>2242</v>
      </c>
      <c r="H1382" t="s">
        <v>2258</v>
      </c>
      <c r="I1382" t="s">
        <v>2260</v>
      </c>
      <c r="J1382" t="s">
        <v>2264</v>
      </c>
      <c r="K1382">
        <v>2</v>
      </c>
      <c r="L1382">
        <v>120</v>
      </c>
      <c r="M1382">
        <v>0.15</v>
      </c>
      <c r="N1382">
        <v>240</v>
      </c>
      <c r="O1382">
        <v>204</v>
      </c>
      <c r="P1382" t="s">
        <v>2267</v>
      </c>
      <c r="Q1382" t="s">
        <v>2270</v>
      </c>
      <c r="R1382" t="s">
        <v>2273</v>
      </c>
      <c r="S1382" t="s">
        <v>2285</v>
      </c>
      <c r="T1382" t="s">
        <v>2288</v>
      </c>
      <c r="U1382">
        <v>5</v>
      </c>
      <c r="V1382">
        <v>374</v>
      </c>
      <c r="W1382">
        <v>28</v>
      </c>
      <c r="X1382">
        <v>60.68</v>
      </c>
      <c r="Y1382">
        <v>82.64</v>
      </c>
      <c r="Z1382" t="s">
        <v>2293</v>
      </c>
      <c r="AA1382" t="s">
        <v>2298</v>
      </c>
      <c r="AB1382">
        <v>240</v>
      </c>
      <c r="AC1382">
        <v>36</v>
      </c>
      <c r="AD1382">
        <v>204</v>
      </c>
      <c r="AE1382">
        <v>121.36</v>
      </c>
      <c r="AF1382">
        <v>82.64</v>
      </c>
      <c r="AG1382">
        <v>2024</v>
      </c>
      <c r="AH1382">
        <v>4</v>
      </c>
      <c r="AI1382" t="s">
        <v>2308</v>
      </c>
      <c r="AJ1382" t="s">
        <v>2314</v>
      </c>
    </row>
    <row r="1383" spans="1:36" x14ac:dyDescent="0.3">
      <c r="A1383" t="s">
        <v>1417</v>
      </c>
      <c r="B1383" s="2">
        <v>45652</v>
      </c>
      <c r="C1383" t="s">
        <v>1696</v>
      </c>
      <c r="D1383" t="s">
        <v>1793</v>
      </c>
      <c r="E1383" t="s">
        <v>1988</v>
      </c>
      <c r="F1383" t="s">
        <v>2240</v>
      </c>
      <c r="G1383" t="s">
        <v>2252</v>
      </c>
      <c r="H1383" t="s">
        <v>2257</v>
      </c>
      <c r="I1383" t="s">
        <v>2262</v>
      </c>
      <c r="J1383" t="s">
        <v>2266</v>
      </c>
      <c r="K1383">
        <v>1</v>
      </c>
      <c r="L1383">
        <v>95</v>
      </c>
      <c r="M1383">
        <v>0.1</v>
      </c>
      <c r="N1383">
        <v>95</v>
      </c>
      <c r="O1383">
        <v>85.5</v>
      </c>
      <c r="P1383" t="s">
        <v>2268</v>
      </c>
      <c r="Q1383" t="s">
        <v>2272</v>
      </c>
      <c r="R1383" t="s">
        <v>2273</v>
      </c>
      <c r="S1383" t="s">
        <v>2286</v>
      </c>
      <c r="T1383" t="s">
        <v>2290</v>
      </c>
      <c r="U1383">
        <v>4</v>
      </c>
      <c r="V1383">
        <v>385</v>
      </c>
      <c r="W1383">
        <v>35</v>
      </c>
      <c r="X1383">
        <v>43.66</v>
      </c>
      <c r="Y1383">
        <v>41.84</v>
      </c>
      <c r="Z1383" t="s">
        <v>2293</v>
      </c>
      <c r="AA1383" t="s">
        <v>2296</v>
      </c>
      <c r="AB1383">
        <v>95</v>
      </c>
      <c r="AC1383">
        <v>9.5</v>
      </c>
      <c r="AD1383">
        <v>85.5</v>
      </c>
      <c r="AE1383">
        <v>43.66</v>
      </c>
      <c r="AF1383">
        <v>41.84</v>
      </c>
      <c r="AG1383">
        <v>2024</v>
      </c>
      <c r="AH1383">
        <v>12</v>
      </c>
      <c r="AI1383" t="s">
        <v>2309</v>
      </c>
      <c r="AJ1383" t="s">
        <v>2316</v>
      </c>
    </row>
    <row r="1384" spans="1:36" x14ac:dyDescent="0.3">
      <c r="A1384" t="s">
        <v>1418</v>
      </c>
      <c r="B1384" s="2">
        <v>45347</v>
      </c>
      <c r="C1384" t="s">
        <v>1709</v>
      </c>
      <c r="D1384" t="s">
        <v>1747</v>
      </c>
      <c r="E1384" t="s">
        <v>2195</v>
      </c>
      <c r="F1384" t="s">
        <v>1761</v>
      </c>
      <c r="G1384" t="s">
        <v>2253</v>
      </c>
      <c r="H1384" t="s">
        <v>2258</v>
      </c>
      <c r="I1384" t="s">
        <v>2260</v>
      </c>
      <c r="J1384" t="s">
        <v>2264</v>
      </c>
      <c r="K1384">
        <v>1</v>
      </c>
      <c r="L1384">
        <v>90</v>
      </c>
      <c r="M1384">
        <v>0</v>
      </c>
      <c r="N1384">
        <v>90</v>
      </c>
      <c r="O1384">
        <v>90</v>
      </c>
      <c r="P1384" t="s">
        <v>2269</v>
      </c>
      <c r="Q1384" t="s">
        <v>2270</v>
      </c>
      <c r="R1384" t="s">
        <v>2273</v>
      </c>
      <c r="S1384" t="s">
        <v>2282</v>
      </c>
      <c r="T1384" t="s">
        <v>2288</v>
      </c>
      <c r="U1384">
        <v>4</v>
      </c>
      <c r="V1384">
        <v>104</v>
      </c>
      <c r="X1384">
        <v>45.18</v>
      </c>
      <c r="Y1384">
        <v>44.82</v>
      </c>
      <c r="Z1384" t="s">
        <v>1761</v>
      </c>
      <c r="AA1384" t="s">
        <v>2297</v>
      </c>
      <c r="AB1384">
        <v>90</v>
      </c>
      <c r="AC1384">
        <v>0</v>
      </c>
      <c r="AD1384">
        <v>90</v>
      </c>
      <c r="AE1384">
        <v>45.18</v>
      </c>
      <c r="AF1384">
        <v>44.82</v>
      </c>
      <c r="AG1384">
        <v>2024</v>
      </c>
      <c r="AH1384">
        <v>2</v>
      </c>
      <c r="AI1384" t="s">
        <v>2303</v>
      </c>
      <c r="AJ1384" t="s">
        <v>2318</v>
      </c>
    </row>
    <row r="1385" spans="1:36" x14ac:dyDescent="0.3">
      <c r="A1385" t="s">
        <v>1419</v>
      </c>
      <c r="B1385" s="2">
        <v>45374</v>
      </c>
      <c r="C1385" t="s">
        <v>1707</v>
      </c>
      <c r="D1385" t="s">
        <v>1941</v>
      </c>
      <c r="E1385" t="s">
        <v>1761</v>
      </c>
      <c r="F1385" t="s">
        <v>2240</v>
      </c>
      <c r="G1385" t="s">
        <v>2244</v>
      </c>
      <c r="H1385" t="s">
        <v>2257</v>
      </c>
      <c r="I1385" t="s">
        <v>2262</v>
      </c>
      <c r="J1385" t="s">
        <v>2266</v>
      </c>
      <c r="K1385">
        <v>2</v>
      </c>
      <c r="L1385">
        <v>120</v>
      </c>
      <c r="M1385">
        <v>0.05</v>
      </c>
      <c r="N1385">
        <v>240</v>
      </c>
      <c r="O1385">
        <v>228</v>
      </c>
      <c r="P1385" t="s">
        <v>2269</v>
      </c>
      <c r="Q1385" t="s">
        <v>2272</v>
      </c>
      <c r="R1385" t="s">
        <v>2273</v>
      </c>
      <c r="S1385" t="s">
        <v>2284</v>
      </c>
      <c r="T1385" t="s">
        <v>2288</v>
      </c>
      <c r="V1385">
        <v>481</v>
      </c>
      <c r="X1385">
        <v>44.16</v>
      </c>
      <c r="Y1385">
        <v>139.68</v>
      </c>
      <c r="Z1385" t="s">
        <v>1761</v>
      </c>
      <c r="AA1385" t="s">
        <v>2296</v>
      </c>
      <c r="AB1385">
        <v>240</v>
      </c>
      <c r="AC1385">
        <v>12</v>
      </c>
      <c r="AD1385">
        <v>228</v>
      </c>
      <c r="AE1385">
        <v>88.32</v>
      </c>
      <c r="AF1385">
        <v>139.68</v>
      </c>
      <c r="AG1385">
        <v>2024</v>
      </c>
      <c r="AH1385">
        <v>3</v>
      </c>
      <c r="AI1385" t="s">
        <v>2305</v>
      </c>
      <c r="AJ1385" t="s">
        <v>2317</v>
      </c>
    </row>
    <row r="1386" spans="1:36" x14ac:dyDescent="0.3">
      <c r="A1386" t="s">
        <v>1420</v>
      </c>
      <c r="B1386" s="2">
        <v>45617</v>
      </c>
      <c r="C1386" t="s">
        <v>1644</v>
      </c>
      <c r="D1386" t="s">
        <v>1760</v>
      </c>
      <c r="E1386" t="s">
        <v>2044</v>
      </c>
      <c r="F1386" t="s">
        <v>2238</v>
      </c>
      <c r="G1386" t="s">
        <v>2253</v>
      </c>
      <c r="H1386" t="s">
        <v>2258</v>
      </c>
      <c r="I1386" t="s">
        <v>2260</v>
      </c>
      <c r="J1386" t="s">
        <v>2265</v>
      </c>
      <c r="K1386">
        <v>1</v>
      </c>
      <c r="L1386">
        <v>100</v>
      </c>
      <c r="M1386">
        <v>0.1</v>
      </c>
      <c r="N1386">
        <v>100</v>
      </c>
      <c r="O1386">
        <v>90</v>
      </c>
      <c r="P1386" t="s">
        <v>2267</v>
      </c>
      <c r="R1386" t="s">
        <v>2274</v>
      </c>
      <c r="S1386" t="s">
        <v>2282</v>
      </c>
      <c r="T1386" t="s">
        <v>2288</v>
      </c>
      <c r="U1386">
        <v>3</v>
      </c>
      <c r="V1386">
        <v>194</v>
      </c>
      <c r="W1386">
        <v>44</v>
      </c>
      <c r="X1386">
        <v>46.44</v>
      </c>
      <c r="Y1386">
        <v>43.56</v>
      </c>
      <c r="Z1386" t="s">
        <v>2293</v>
      </c>
      <c r="AA1386" t="s">
        <v>1761</v>
      </c>
      <c r="AB1386">
        <v>100</v>
      </c>
      <c r="AC1386">
        <v>10</v>
      </c>
      <c r="AD1386">
        <v>90</v>
      </c>
      <c r="AE1386">
        <v>46.44</v>
      </c>
      <c r="AF1386">
        <v>43.56</v>
      </c>
      <c r="AG1386">
        <v>2024</v>
      </c>
      <c r="AH1386">
        <v>11</v>
      </c>
      <c r="AI1386" t="s">
        <v>2311</v>
      </c>
      <c r="AJ1386" t="s">
        <v>2316</v>
      </c>
    </row>
    <row r="1387" spans="1:36" x14ac:dyDescent="0.3">
      <c r="A1387" t="s">
        <v>1421</v>
      </c>
      <c r="B1387" s="2">
        <v>45526</v>
      </c>
      <c r="C1387" t="s">
        <v>1739</v>
      </c>
      <c r="D1387" t="s">
        <v>1859</v>
      </c>
      <c r="E1387" t="s">
        <v>1947</v>
      </c>
      <c r="F1387" t="s">
        <v>2239</v>
      </c>
      <c r="G1387" t="s">
        <v>2246</v>
      </c>
      <c r="H1387" t="s">
        <v>2259</v>
      </c>
      <c r="I1387" t="s">
        <v>2262</v>
      </c>
      <c r="J1387" t="s">
        <v>2266</v>
      </c>
      <c r="K1387">
        <v>3</v>
      </c>
      <c r="L1387">
        <v>100</v>
      </c>
      <c r="M1387">
        <v>0.05</v>
      </c>
      <c r="N1387">
        <v>300</v>
      </c>
      <c r="O1387">
        <v>285</v>
      </c>
      <c r="P1387" t="s">
        <v>2267</v>
      </c>
      <c r="Q1387" t="s">
        <v>2272</v>
      </c>
      <c r="R1387" t="s">
        <v>2273</v>
      </c>
      <c r="S1387" t="s">
        <v>2283</v>
      </c>
      <c r="T1387" t="s">
        <v>2288</v>
      </c>
      <c r="U1387">
        <v>5</v>
      </c>
      <c r="V1387">
        <v>291</v>
      </c>
      <c r="W1387">
        <v>25</v>
      </c>
      <c r="X1387">
        <v>51.49</v>
      </c>
      <c r="Y1387">
        <v>130.53</v>
      </c>
      <c r="Z1387" t="s">
        <v>2292</v>
      </c>
      <c r="AA1387" t="s">
        <v>1761</v>
      </c>
      <c r="AB1387">
        <v>300</v>
      </c>
      <c r="AC1387">
        <v>15</v>
      </c>
      <c r="AD1387">
        <v>285</v>
      </c>
      <c r="AE1387">
        <v>154.47</v>
      </c>
      <c r="AF1387">
        <v>130.53</v>
      </c>
      <c r="AG1387">
        <v>2024</v>
      </c>
      <c r="AH1387">
        <v>8</v>
      </c>
      <c r="AI1387" t="s">
        <v>2301</v>
      </c>
      <c r="AJ1387" t="s">
        <v>2316</v>
      </c>
    </row>
    <row r="1388" spans="1:36" x14ac:dyDescent="0.3">
      <c r="A1388" t="s">
        <v>1422</v>
      </c>
      <c r="B1388" s="2">
        <v>45395</v>
      </c>
      <c r="C1388" t="s">
        <v>1670</v>
      </c>
      <c r="D1388" t="s">
        <v>1831</v>
      </c>
      <c r="E1388" t="s">
        <v>2006</v>
      </c>
      <c r="F1388" t="s">
        <v>2240</v>
      </c>
      <c r="G1388" t="s">
        <v>2247</v>
      </c>
      <c r="H1388" t="s">
        <v>2257</v>
      </c>
      <c r="I1388" t="s">
        <v>2262</v>
      </c>
      <c r="K1388">
        <v>1</v>
      </c>
      <c r="L1388">
        <v>95</v>
      </c>
      <c r="M1388">
        <v>0</v>
      </c>
      <c r="N1388">
        <v>95</v>
      </c>
      <c r="O1388">
        <v>95</v>
      </c>
      <c r="P1388" t="s">
        <v>2269</v>
      </c>
      <c r="Q1388" t="s">
        <v>2272</v>
      </c>
      <c r="R1388" t="s">
        <v>2277</v>
      </c>
      <c r="S1388" t="s">
        <v>2284</v>
      </c>
      <c r="T1388" t="s">
        <v>2288</v>
      </c>
      <c r="U1388">
        <v>3</v>
      </c>
      <c r="V1388">
        <v>113</v>
      </c>
      <c r="W1388">
        <v>44</v>
      </c>
      <c r="X1388">
        <v>54.72</v>
      </c>
      <c r="Y1388">
        <v>40.28</v>
      </c>
      <c r="Z1388" t="s">
        <v>2294</v>
      </c>
      <c r="AA1388" t="s">
        <v>2299</v>
      </c>
      <c r="AB1388">
        <v>95</v>
      </c>
      <c r="AC1388">
        <v>0</v>
      </c>
      <c r="AD1388">
        <v>95</v>
      </c>
      <c r="AE1388">
        <v>54.72</v>
      </c>
      <c r="AF1388">
        <v>40.28</v>
      </c>
      <c r="AG1388">
        <v>2024</v>
      </c>
      <c r="AH1388">
        <v>4</v>
      </c>
      <c r="AI1388" t="s">
        <v>2308</v>
      </c>
      <c r="AJ1388" t="s">
        <v>2317</v>
      </c>
    </row>
    <row r="1389" spans="1:36" x14ac:dyDescent="0.3">
      <c r="A1389" t="s">
        <v>1423</v>
      </c>
      <c r="B1389" s="2">
        <v>45577</v>
      </c>
      <c r="C1389" t="s">
        <v>1672</v>
      </c>
      <c r="D1389" t="s">
        <v>1761</v>
      </c>
      <c r="E1389" t="s">
        <v>2094</v>
      </c>
      <c r="F1389" t="s">
        <v>2238</v>
      </c>
      <c r="G1389" t="s">
        <v>2254</v>
      </c>
      <c r="H1389" t="s">
        <v>2259</v>
      </c>
      <c r="I1389" t="s">
        <v>2263</v>
      </c>
      <c r="K1389">
        <v>3</v>
      </c>
      <c r="L1389">
        <v>105</v>
      </c>
      <c r="N1389">
        <v>315</v>
      </c>
      <c r="P1389" t="s">
        <v>2269</v>
      </c>
      <c r="Q1389" t="s">
        <v>2270</v>
      </c>
      <c r="R1389" t="s">
        <v>2277</v>
      </c>
      <c r="S1389" t="s">
        <v>2280</v>
      </c>
      <c r="T1389" t="s">
        <v>2288</v>
      </c>
      <c r="U1389">
        <v>3</v>
      </c>
      <c r="V1389">
        <v>290</v>
      </c>
      <c r="X1389">
        <v>43.53</v>
      </c>
      <c r="Z1389" t="s">
        <v>2293</v>
      </c>
      <c r="AA1389" t="s">
        <v>2299</v>
      </c>
      <c r="AB1389">
        <v>315</v>
      </c>
      <c r="AC1389">
        <v>0</v>
      </c>
      <c r="AD1389">
        <v>315</v>
      </c>
      <c r="AE1389">
        <v>130.59</v>
      </c>
      <c r="AF1389">
        <v>184.41</v>
      </c>
      <c r="AG1389">
        <v>2024</v>
      </c>
      <c r="AH1389">
        <v>10</v>
      </c>
      <c r="AI1389" t="s">
        <v>2310</v>
      </c>
      <c r="AJ1389" t="s">
        <v>2317</v>
      </c>
    </row>
    <row r="1390" spans="1:36" x14ac:dyDescent="0.3">
      <c r="A1390" t="s">
        <v>1424</v>
      </c>
      <c r="B1390" s="2">
        <v>45545</v>
      </c>
      <c r="C1390" t="s">
        <v>1684</v>
      </c>
      <c r="D1390" t="s">
        <v>1782</v>
      </c>
      <c r="E1390" t="s">
        <v>1962</v>
      </c>
      <c r="F1390" t="s">
        <v>2240</v>
      </c>
      <c r="G1390" t="s">
        <v>2250</v>
      </c>
      <c r="H1390" t="s">
        <v>2259</v>
      </c>
      <c r="I1390" t="s">
        <v>2262</v>
      </c>
      <c r="J1390" t="s">
        <v>2266</v>
      </c>
      <c r="K1390">
        <v>2</v>
      </c>
      <c r="L1390">
        <v>90</v>
      </c>
      <c r="M1390">
        <v>0</v>
      </c>
      <c r="N1390">
        <v>180</v>
      </c>
      <c r="O1390">
        <v>180</v>
      </c>
      <c r="P1390" t="s">
        <v>2267</v>
      </c>
      <c r="Q1390" t="s">
        <v>2270</v>
      </c>
      <c r="R1390" t="s">
        <v>2275</v>
      </c>
      <c r="S1390" t="s">
        <v>2280</v>
      </c>
      <c r="T1390" t="s">
        <v>2288</v>
      </c>
      <c r="U1390">
        <v>5</v>
      </c>
      <c r="V1390">
        <v>59</v>
      </c>
      <c r="W1390">
        <v>46</v>
      </c>
      <c r="X1390">
        <v>36.01</v>
      </c>
      <c r="Y1390">
        <v>107.98</v>
      </c>
      <c r="Z1390" t="s">
        <v>1761</v>
      </c>
      <c r="AA1390" t="s">
        <v>2296</v>
      </c>
      <c r="AB1390">
        <v>180</v>
      </c>
      <c r="AC1390">
        <v>0</v>
      </c>
      <c r="AD1390">
        <v>180</v>
      </c>
      <c r="AE1390">
        <v>72.02</v>
      </c>
      <c r="AF1390">
        <v>107.98</v>
      </c>
      <c r="AG1390">
        <v>2024</v>
      </c>
      <c r="AH1390">
        <v>9</v>
      </c>
      <c r="AI1390" t="s">
        <v>2300</v>
      </c>
      <c r="AJ1390" t="s">
        <v>2313</v>
      </c>
    </row>
    <row r="1391" spans="1:36" x14ac:dyDescent="0.3">
      <c r="A1391" t="s">
        <v>1425</v>
      </c>
      <c r="B1391" s="2">
        <v>45564</v>
      </c>
      <c r="C1391" t="s">
        <v>1697</v>
      </c>
      <c r="D1391" t="s">
        <v>1813</v>
      </c>
      <c r="E1391" t="s">
        <v>1970</v>
      </c>
      <c r="F1391" t="s">
        <v>2238</v>
      </c>
      <c r="G1391" t="s">
        <v>2241</v>
      </c>
      <c r="H1391" t="s">
        <v>2257</v>
      </c>
      <c r="I1391" t="s">
        <v>2262</v>
      </c>
      <c r="J1391" t="s">
        <v>2266</v>
      </c>
      <c r="K1391">
        <v>1</v>
      </c>
      <c r="L1391">
        <v>130</v>
      </c>
      <c r="M1391">
        <v>0.1</v>
      </c>
      <c r="N1391">
        <v>130</v>
      </c>
      <c r="O1391">
        <v>117</v>
      </c>
      <c r="P1391" t="s">
        <v>2269</v>
      </c>
      <c r="Q1391" t="s">
        <v>2272</v>
      </c>
      <c r="R1391" t="s">
        <v>2278</v>
      </c>
      <c r="S1391" t="s">
        <v>2283</v>
      </c>
      <c r="T1391" t="s">
        <v>2288</v>
      </c>
      <c r="U1391">
        <v>5</v>
      </c>
      <c r="V1391">
        <v>73</v>
      </c>
      <c r="X1391">
        <v>63.16</v>
      </c>
      <c r="Y1391">
        <v>53.84</v>
      </c>
      <c r="Z1391" t="s">
        <v>2292</v>
      </c>
      <c r="AA1391" t="s">
        <v>1761</v>
      </c>
      <c r="AB1391">
        <v>130</v>
      </c>
      <c r="AC1391">
        <v>13</v>
      </c>
      <c r="AD1391">
        <v>117</v>
      </c>
      <c r="AE1391">
        <v>63.16</v>
      </c>
      <c r="AF1391">
        <v>53.84</v>
      </c>
      <c r="AG1391">
        <v>2024</v>
      </c>
      <c r="AH1391">
        <v>9</v>
      </c>
      <c r="AI1391" t="s">
        <v>2300</v>
      </c>
      <c r="AJ1391" t="s">
        <v>2318</v>
      </c>
    </row>
    <row r="1392" spans="1:36" x14ac:dyDescent="0.3">
      <c r="A1392" t="s">
        <v>1426</v>
      </c>
      <c r="B1392" s="2">
        <v>45503</v>
      </c>
      <c r="C1392" t="s">
        <v>1720</v>
      </c>
      <c r="D1392" t="s">
        <v>1907</v>
      </c>
      <c r="E1392" t="s">
        <v>2013</v>
      </c>
      <c r="F1392" t="s">
        <v>2239</v>
      </c>
      <c r="G1392" t="s">
        <v>2251</v>
      </c>
      <c r="H1392" t="s">
        <v>2258</v>
      </c>
      <c r="I1392" t="s">
        <v>2260</v>
      </c>
      <c r="J1392" t="s">
        <v>2264</v>
      </c>
      <c r="K1392">
        <v>1</v>
      </c>
      <c r="L1392">
        <v>95</v>
      </c>
      <c r="M1392">
        <v>0</v>
      </c>
      <c r="N1392">
        <v>95</v>
      </c>
      <c r="O1392">
        <v>95</v>
      </c>
      <c r="P1392" t="s">
        <v>2267</v>
      </c>
      <c r="Q1392" t="s">
        <v>2271</v>
      </c>
      <c r="R1392" t="s">
        <v>2277</v>
      </c>
      <c r="S1392" t="s">
        <v>2286</v>
      </c>
      <c r="T1392" t="s">
        <v>2288</v>
      </c>
      <c r="U1392">
        <v>5</v>
      </c>
      <c r="V1392">
        <v>445</v>
      </c>
      <c r="X1392">
        <v>36.04</v>
      </c>
      <c r="Y1392">
        <v>58.96</v>
      </c>
      <c r="Z1392" t="s">
        <v>1761</v>
      </c>
      <c r="AA1392" t="s">
        <v>1761</v>
      </c>
      <c r="AB1392">
        <v>95</v>
      </c>
      <c r="AC1392">
        <v>0</v>
      </c>
      <c r="AD1392">
        <v>95</v>
      </c>
      <c r="AE1392">
        <v>36.04</v>
      </c>
      <c r="AF1392">
        <v>58.96</v>
      </c>
      <c r="AG1392">
        <v>2024</v>
      </c>
      <c r="AH1392">
        <v>7</v>
      </c>
      <c r="AI1392" t="s">
        <v>2307</v>
      </c>
      <c r="AJ1392" t="s">
        <v>2313</v>
      </c>
    </row>
    <row r="1393" spans="1:36" x14ac:dyDescent="0.3">
      <c r="A1393" t="s">
        <v>1427</v>
      </c>
      <c r="B1393" s="2">
        <v>45616</v>
      </c>
      <c r="C1393" t="s">
        <v>1724</v>
      </c>
      <c r="D1393" t="s">
        <v>1865</v>
      </c>
      <c r="E1393" t="s">
        <v>2104</v>
      </c>
      <c r="F1393" t="s">
        <v>2240</v>
      </c>
      <c r="G1393" t="s">
        <v>2242</v>
      </c>
      <c r="H1393" t="s">
        <v>2258</v>
      </c>
      <c r="I1393" t="s">
        <v>2260</v>
      </c>
      <c r="K1393">
        <v>1</v>
      </c>
      <c r="L1393">
        <v>120</v>
      </c>
      <c r="N1393">
        <v>120</v>
      </c>
      <c r="P1393" t="s">
        <v>2269</v>
      </c>
      <c r="Q1393" t="s">
        <v>2271</v>
      </c>
      <c r="R1393" t="s">
        <v>2277</v>
      </c>
      <c r="S1393" t="s">
        <v>2285</v>
      </c>
      <c r="T1393" t="s">
        <v>2288</v>
      </c>
      <c r="V1393">
        <v>8</v>
      </c>
      <c r="W1393">
        <v>50</v>
      </c>
      <c r="X1393">
        <v>52.09</v>
      </c>
      <c r="Z1393" t="s">
        <v>1761</v>
      </c>
      <c r="AA1393" t="s">
        <v>1761</v>
      </c>
      <c r="AB1393">
        <v>120</v>
      </c>
      <c r="AC1393">
        <v>0</v>
      </c>
      <c r="AD1393">
        <v>120</v>
      </c>
      <c r="AE1393">
        <v>52.09</v>
      </c>
      <c r="AF1393">
        <v>67.91</v>
      </c>
      <c r="AG1393">
        <v>2024</v>
      </c>
      <c r="AH1393">
        <v>11</v>
      </c>
      <c r="AI1393" t="s">
        <v>2311</v>
      </c>
      <c r="AJ1393" t="s">
        <v>2312</v>
      </c>
    </row>
    <row r="1394" spans="1:36" x14ac:dyDescent="0.3">
      <c r="A1394" t="s">
        <v>1428</v>
      </c>
      <c r="B1394" s="2">
        <v>45529</v>
      </c>
      <c r="C1394" t="s">
        <v>1684</v>
      </c>
      <c r="D1394" t="s">
        <v>1798</v>
      </c>
      <c r="E1394" t="s">
        <v>1981</v>
      </c>
      <c r="F1394" t="s">
        <v>2238</v>
      </c>
      <c r="G1394" t="s">
        <v>2242</v>
      </c>
      <c r="H1394" t="s">
        <v>2258</v>
      </c>
      <c r="I1394" t="s">
        <v>2260</v>
      </c>
      <c r="J1394" t="s">
        <v>2266</v>
      </c>
      <c r="K1394">
        <v>4</v>
      </c>
      <c r="L1394">
        <v>130</v>
      </c>
      <c r="N1394">
        <v>520</v>
      </c>
      <c r="P1394" t="s">
        <v>2267</v>
      </c>
      <c r="Q1394" t="s">
        <v>2272</v>
      </c>
      <c r="R1394" t="s">
        <v>2277</v>
      </c>
      <c r="S1394" t="s">
        <v>2286</v>
      </c>
      <c r="T1394" t="s">
        <v>2288</v>
      </c>
      <c r="U1394">
        <v>3</v>
      </c>
      <c r="V1394">
        <v>59</v>
      </c>
      <c r="W1394">
        <v>42</v>
      </c>
      <c r="X1394">
        <v>63.53</v>
      </c>
      <c r="AA1394" t="s">
        <v>2299</v>
      </c>
      <c r="AB1394">
        <v>520</v>
      </c>
      <c r="AC1394">
        <v>0</v>
      </c>
      <c r="AD1394">
        <v>520</v>
      </c>
      <c r="AE1394">
        <v>254.12</v>
      </c>
      <c r="AF1394">
        <v>265.88</v>
      </c>
      <c r="AG1394">
        <v>2024</v>
      </c>
      <c r="AH1394">
        <v>8</v>
      </c>
      <c r="AI1394" t="s">
        <v>2301</v>
      </c>
      <c r="AJ1394" t="s">
        <v>2318</v>
      </c>
    </row>
    <row r="1395" spans="1:36" x14ac:dyDescent="0.3">
      <c r="A1395" t="s">
        <v>1429</v>
      </c>
      <c r="B1395" s="2">
        <v>45607</v>
      </c>
      <c r="C1395" t="s">
        <v>1680</v>
      </c>
      <c r="D1395" t="s">
        <v>1898</v>
      </c>
      <c r="E1395" t="s">
        <v>1985</v>
      </c>
      <c r="F1395" t="s">
        <v>2240</v>
      </c>
      <c r="G1395" t="s">
        <v>2246</v>
      </c>
      <c r="H1395" t="s">
        <v>2259</v>
      </c>
      <c r="I1395" t="s">
        <v>2262</v>
      </c>
      <c r="J1395" t="s">
        <v>2265</v>
      </c>
      <c r="L1395">
        <v>95</v>
      </c>
      <c r="M1395">
        <v>0.1</v>
      </c>
      <c r="N1395">
        <v>95</v>
      </c>
      <c r="O1395">
        <v>85.5</v>
      </c>
      <c r="P1395" t="s">
        <v>2269</v>
      </c>
      <c r="Q1395" t="s">
        <v>2272</v>
      </c>
      <c r="R1395" t="s">
        <v>2273</v>
      </c>
      <c r="S1395" t="s">
        <v>2281</v>
      </c>
      <c r="T1395" t="s">
        <v>2289</v>
      </c>
      <c r="U1395">
        <v>2</v>
      </c>
      <c r="V1395">
        <v>486</v>
      </c>
      <c r="W1395">
        <v>28</v>
      </c>
      <c r="X1395">
        <v>40.200000000000003</v>
      </c>
      <c r="Y1395">
        <v>45.3</v>
      </c>
      <c r="Z1395" t="s">
        <v>2292</v>
      </c>
      <c r="AA1395" t="s">
        <v>2296</v>
      </c>
      <c r="AG1395">
        <v>2024</v>
      </c>
      <c r="AH1395">
        <v>11</v>
      </c>
      <c r="AI1395" t="s">
        <v>2311</v>
      </c>
      <c r="AJ1395" t="s">
        <v>2314</v>
      </c>
    </row>
    <row r="1396" spans="1:36" x14ac:dyDescent="0.3">
      <c r="A1396" t="s">
        <v>1430</v>
      </c>
      <c r="B1396" s="2">
        <v>45508</v>
      </c>
      <c r="C1396" t="s">
        <v>1705</v>
      </c>
      <c r="D1396" t="s">
        <v>1913</v>
      </c>
      <c r="E1396" t="s">
        <v>2076</v>
      </c>
      <c r="F1396" t="s">
        <v>2239</v>
      </c>
      <c r="G1396" t="s">
        <v>2245</v>
      </c>
      <c r="H1396" t="s">
        <v>2257</v>
      </c>
      <c r="I1396" t="s">
        <v>2263</v>
      </c>
      <c r="J1396" t="s">
        <v>2264</v>
      </c>
      <c r="K1396">
        <v>1</v>
      </c>
      <c r="L1396">
        <v>145</v>
      </c>
      <c r="N1396">
        <v>145</v>
      </c>
      <c r="P1396" t="s">
        <v>2267</v>
      </c>
      <c r="Q1396" t="s">
        <v>2270</v>
      </c>
      <c r="R1396" t="s">
        <v>2277</v>
      </c>
      <c r="S1396" t="s">
        <v>2281</v>
      </c>
      <c r="T1396" t="s">
        <v>2288</v>
      </c>
      <c r="U1396">
        <v>1</v>
      </c>
      <c r="W1396">
        <v>30</v>
      </c>
      <c r="X1396">
        <v>53.28</v>
      </c>
      <c r="Z1396" t="s">
        <v>2293</v>
      </c>
      <c r="AA1396" t="s">
        <v>2296</v>
      </c>
      <c r="AB1396">
        <v>145</v>
      </c>
      <c r="AC1396">
        <v>0</v>
      </c>
      <c r="AD1396">
        <v>145</v>
      </c>
      <c r="AE1396">
        <v>53.28</v>
      </c>
      <c r="AF1396">
        <v>91.72</v>
      </c>
      <c r="AG1396">
        <v>2024</v>
      </c>
      <c r="AH1396">
        <v>8</v>
      </c>
      <c r="AI1396" t="s">
        <v>2301</v>
      </c>
      <c r="AJ1396" t="s">
        <v>2318</v>
      </c>
    </row>
    <row r="1397" spans="1:36" x14ac:dyDescent="0.3">
      <c r="A1397" t="s">
        <v>1431</v>
      </c>
      <c r="B1397" s="2">
        <v>45428</v>
      </c>
      <c r="C1397" t="s">
        <v>1647</v>
      </c>
      <c r="D1397" t="s">
        <v>1780</v>
      </c>
      <c r="E1397" t="s">
        <v>2107</v>
      </c>
      <c r="F1397" t="s">
        <v>2239</v>
      </c>
      <c r="G1397" t="s">
        <v>2256</v>
      </c>
      <c r="H1397" t="s">
        <v>2261</v>
      </c>
      <c r="I1397" t="s">
        <v>2260</v>
      </c>
      <c r="J1397" t="s">
        <v>2265</v>
      </c>
      <c r="K1397">
        <v>1</v>
      </c>
      <c r="L1397">
        <v>185</v>
      </c>
      <c r="M1397">
        <v>0.05</v>
      </c>
      <c r="N1397">
        <v>185</v>
      </c>
      <c r="O1397">
        <v>175.75</v>
      </c>
      <c r="P1397" t="s">
        <v>2269</v>
      </c>
      <c r="Q1397" t="s">
        <v>2270</v>
      </c>
      <c r="R1397" t="s">
        <v>2273</v>
      </c>
      <c r="S1397" t="s">
        <v>2286</v>
      </c>
      <c r="T1397" t="s">
        <v>2288</v>
      </c>
      <c r="V1397">
        <v>260</v>
      </c>
      <c r="W1397">
        <v>47</v>
      </c>
      <c r="X1397">
        <v>89.05</v>
      </c>
      <c r="Y1397">
        <v>86.7</v>
      </c>
      <c r="Z1397" t="s">
        <v>2291</v>
      </c>
      <c r="AA1397" t="s">
        <v>2296</v>
      </c>
      <c r="AB1397">
        <v>185</v>
      </c>
      <c r="AC1397">
        <v>9.25</v>
      </c>
      <c r="AD1397">
        <v>175.75</v>
      </c>
      <c r="AE1397">
        <v>89.05</v>
      </c>
      <c r="AF1397">
        <v>86.7</v>
      </c>
      <c r="AG1397">
        <v>2024</v>
      </c>
      <c r="AH1397">
        <v>5</v>
      </c>
      <c r="AI1397" t="s">
        <v>2306</v>
      </c>
      <c r="AJ1397" t="s">
        <v>2316</v>
      </c>
    </row>
    <row r="1398" spans="1:36" x14ac:dyDescent="0.3">
      <c r="A1398" t="s">
        <v>1432</v>
      </c>
      <c r="B1398" s="2">
        <v>45427</v>
      </c>
      <c r="C1398" t="s">
        <v>1709</v>
      </c>
      <c r="D1398" t="s">
        <v>1820</v>
      </c>
      <c r="E1398" t="s">
        <v>1967</v>
      </c>
      <c r="F1398" t="s">
        <v>2238</v>
      </c>
      <c r="G1398" t="s">
        <v>2249</v>
      </c>
      <c r="H1398" t="s">
        <v>2257</v>
      </c>
      <c r="I1398" t="s">
        <v>2263</v>
      </c>
      <c r="K1398">
        <v>1</v>
      </c>
      <c r="L1398">
        <v>160</v>
      </c>
      <c r="M1398">
        <v>0</v>
      </c>
      <c r="N1398">
        <v>160</v>
      </c>
      <c r="O1398">
        <v>160</v>
      </c>
      <c r="P1398" t="s">
        <v>2268</v>
      </c>
      <c r="Q1398" t="s">
        <v>2271</v>
      </c>
      <c r="R1398" t="s">
        <v>2274</v>
      </c>
      <c r="S1398" t="s">
        <v>2281</v>
      </c>
      <c r="T1398" t="s">
        <v>2288</v>
      </c>
      <c r="U1398">
        <v>5</v>
      </c>
      <c r="V1398">
        <v>193</v>
      </c>
      <c r="X1398">
        <v>87.24</v>
      </c>
      <c r="Y1398">
        <v>72.760000000000005</v>
      </c>
      <c r="Z1398" t="s">
        <v>1761</v>
      </c>
      <c r="AA1398" t="s">
        <v>2299</v>
      </c>
      <c r="AB1398">
        <v>160</v>
      </c>
      <c r="AC1398">
        <v>0</v>
      </c>
      <c r="AD1398">
        <v>160</v>
      </c>
      <c r="AE1398">
        <v>87.24</v>
      </c>
      <c r="AF1398">
        <v>72.760000000000005</v>
      </c>
      <c r="AG1398">
        <v>2024</v>
      </c>
      <c r="AH1398">
        <v>5</v>
      </c>
      <c r="AI1398" t="s">
        <v>2306</v>
      </c>
      <c r="AJ1398" t="s">
        <v>2312</v>
      </c>
    </row>
    <row r="1399" spans="1:36" x14ac:dyDescent="0.3">
      <c r="A1399" t="s">
        <v>1433</v>
      </c>
      <c r="B1399" s="2">
        <v>45586</v>
      </c>
      <c r="C1399" t="s">
        <v>1721</v>
      </c>
      <c r="D1399" t="s">
        <v>1887</v>
      </c>
      <c r="E1399" t="s">
        <v>2171</v>
      </c>
      <c r="F1399" t="s">
        <v>2240</v>
      </c>
      <c r="G1399" t="s">
        <v>2249</v>
      </c>
      <c r="H1399" t="s">
        <v>2257</v>
      </c>
      <c r="I1399" t="s">
        <v>2263</v>
      </c>
      <c r="J1399" t="s">
        <v>2266</v>
      </c>
      <c r="K1399">
        <v>2</v>
      </c>
      <c r="L1399">
        <v>155</v>
      </c>
      <c r="M1399">
        <v>0</v>
      </c>
      <c r="O1399">
        <v>310</v>
      </c>
      <c r="P1399" t="s">
        <v>2268</v>
      </c>
      <c r="R1399" t="s">
        <v>2278</v>
      </c>
      <c r="S1399" t="s">
        <v>2287</v>
      </c>
      <c r="T1399" t="s">
        <v>2289</v>
      </c>
      <c r="U1399">
        <v>4</v>
      </c>
      <c r="V1399">
        <v>444</v>
      </c>
      <c r="W1399">
        <v>10</v>
      </c>
      <c r="X1399">
        <v>92.03</v>
      </c>
      <c r="Y1399">
        <v>125.94</v>
      </c>
      <c r="Z1399" t="s">
        <v>2291</v>
      </c>
      <c r="AA1399" t="s">
        <v>2296</v>
      </c>
      <c r="AB1399">
        <v>310</v>
      </c>
      <c r="AC1399">
        <v>0</v>
      </c>
      <c r="AD1399">
        <v>310</v>
      </c>
      <c r="AE1399">
        <v>184.06</v>
      </c>
      <c r="AF1399">
        <v>125.94</v>
      </c>
      <c r="AG1399">
        <v>2024</v>
      </c>
      <c r="AH1399">
        <v>10</v>
      </c>
      <c r="AI1399" t="s">
        <v>2310</v>
      </c>
      <c r="AJ1399" t="s">
        <v>2314</v>
      </c>
    </row>
    <row r="1400" spans="1:36" x14ac:dyDescent="0.3">
      <c r="A1400" t="s">
        <v>1434</v>
      </c>
      <c r="B1400" s="2">
        <v>45372</v>
      </c>
      <c r="C1400" t="s">
        <v>1703</v>
      </c>
      <c r="D1400" t="s">
        <v>1761</v>
      </c>
      <c r="E1400" t="s">
        <v>1761</v>
      </c>
      <c r="F1400" t="s">
        <v>2240</v>
      </c>
      <c r="G1400" t="s">
        <v>2250</v>
      </c>
      <c r="H1400" t="s">
        <v>2259</v>
      </c>
      <c r="I1400" t="s">
        <v>2262</v>
      </c>
      <c r="J1400" t="s">
        <v>2266</v>
      </c>
      <c r="K1400">
        <v>2</v>
      </c>
      <c r="L1400">
        <v>75</v>
      </c>
      <c r="M1400">
        <v>0</v>
      </c>
      <c r="N1400">
        <v>150</v>
      </c>
      <c r="O1400">
        <v>150</v>
      </c>
      <c r="P1400" t="s">
        <v>2269</v>
      </c>
      <c r="Q1400" t="s">
        <v>2270</v>
      </c>
      <c r="R1400" t="s">
        <v>2273</v>
      </c>
      <c r="S1400" t="s">
        <v>2286</v>
      </c>
      <c r="T1400" t="s">
        <v>2288</v>
      </c>
      <c r="U1400">
        <v>3</v>
      </c>
      <c r="V1400">
        <v>481</v>
      </c>
      <c r="W1400">
        <v>33</v>
      </c>
      <c r="X1400">
        <v>29.32</v>
      </c>
      <c r="Y1400">
        <v>91.36</v>
      </c>
      <c r="Z1400" t="s">
        <v>2294</v>
      </c>
      <c r="AA1400" t="s">
        <v>1761</v>
      </c>
      <c r="AB1400">
        <v>150</v>
      </c>
      <c r="AC1400">
        <v>0</v>
      </c>
      <c r="AD1400">
        <v>150</v>
      </c>
      <c r="AE1400">
        <v>58.64</v>
      </c>
      <c r="AF1400">
        <v>91.36</v>
      </c>
      <c r="AG1400">
        <v>2024</v>
      </c>
      <c r="AH1400">
        <v>3</v>
      </c>
      <c r="AI1400" t="s">
        <v>2305</v>
      </c>
      <c r="AJ1400" t="s">
        <v>2316</v>
      </c>
    </row>
    <row r="1401" spans="1:36" x14ac:dyDescent="0.3">
      <c r="A1401" t="s">
        <v>1435</v>
      </c>
      <c r="B1401" s="2">
        <v>45349</v>
      </c>
      <c r="C1401" t="s">
        <v>1638</v>
      </c>
      <c r="D1401" t="s">
        <v>1925</v>
      </c>
      <c r="E1401" t="s">
        <v>2043</v>
      </c>
      <c r="F1401" t="s">
        <v>2239</v>
      </c>
      <c r="G1401" t="s">
        <v>2251</v>
      </c>
      <c r="H1401" t="s">
        <v>2258</v>
      </c>
      <c r="I1401" t="s">
        <v>2260</v>
      </c>
      <c r="J1401" t="s">
        <v>2266</v>
      </c>
      <c r="K1401">
        <v>4</v>
      </c>
      <c r="L1401">
        <v>105</v>
      </c>
      <c r="M1401">
        <v>0</v>
      </c>
      <c r="N1401">
        <v>420</v>
      </c>
      <c r="O1401">
        <v>420</v>
      </c>
      <c r="P1401" t="s">
        <v>2267</v>
      </c>
      <c r="Q1401" t="s">
        <v>2272</v>
      </c>
      <c r="R1401" t="s">
        <v>2273</v>
      </c>
      <c r="S1401" t="s">
        <v>2287</v>
      </c>
      <c r="T1401" t="s">
        <v>2288</v>
      </c>
      <c r="U1401">
        <v>2</v>
      </c>
      <c r="V1401">
        <v>93</v>
      </c>
      <c r="W1401">
        <v>26</v>
      </c>
      <c r="X1401">
        <v>57.95</v>
      </c>
      <c r="Y1401">
        <v>188.2</v>
      </c>
      <c r="Z1401" t="s">
        <v>2293</v>
      </c>
      <c r="AA1401" t="s">
        <v>2298</v>
      </c>
      <c r="AB1401">
        <v>420</v>
      </c>
      <c r="AC1401">
        <v>0</v>
      </c>
      <c r="AD1401">
        <v>420</v>
      </c>
      <c r="AE1401">
        <v>231.8</v>
      </c>
      <c r="AF1401">
        <v>188.2</v>
      </c>
      <c r="AG1401">
        <v>2024</v>
      </c>
      <c r="AH1401">
        <v>2</v>
      </c>
      <c r="AI1401" t="s">
        <v>2303</v>
      </c>
      <c r="AJ1401" t="s">
        <v>2313</v>
      </c>
    </row>
    <row r="1402" spans="1:36" x14ac:dyDescent="0.3">
      <c r="A1402" t="s">
        <v>1436</v>
      </c>
      <c r="B1402" s="2">
        <v>45401</v>
      </c>
      <c r="C1402" t="s">
        <v>1733</v>
      </c>
      <c r="D1402" t="s">
        <v>1902</v>
      </c>
      <c r="E1402" t="s">
        <v>2176</v>
      </c>
      <c r="F1402" t="s">
        <v>2240</v>
      </c>
      <c r="G1402" t="s">
        <v>2256</v>
      </c>
      <c r="H1402" t="s">
        <v>2261</v>
      </c>
      <c r="I1402" t="s">
        <v>2260</v>
      </c>
      <c r="J1402" t="s">
        <v>2266</v>
      </c>
      <c r="K1402">
        <v>1</v>
      </c>
      <c r="L1402">
        <v>200</v>
      </c>
      <c r="M1402">
        <v>0.1</v>
      </c>
      <c r="N1402">
        <v>200</v>
      </c>
      <c r="O1402">
        <v>180</v>
      </c>
      <c r="P1402" t="s">
        <v>2269</v>
      </c>
      <c r="Q1402" t="s">
        <v>2270</v>
      </c>
      <c r="R1402" t="s">
        <v>2274</v>
      </c>
      <c r="S1402" t="s">
        <v>2283</v>
      </c>
      <c r="T1402" t="s">
        <v>2288</v>
      </c>
      <c r="U1402">
        <v>5</v>
      </c>
      <c r="V1402">
        <v>418</v>
      </c>
      <c r="X1402">
        <v>93.99</v>
      </c>
      <c r="Y1402">
        <v>86.01</v>
      </c>
      <c r="Z1402" t="s">
        <v>1761</v>
      </c>
      <c r="AA1402" t="s">
        <v>2296</v>
      </c>
      <c r="AB1402">
        <v>200</v>
      </c>
      <c r="AC1402">
        <v>20</v>
      </c>
      <c r="AD1402">
        <v>180</v>
      </c>
      <c r="AE1402">
        <v>93.99</v>
      </c>
      <c r="AF1402">
        <v>86.01</v>
      </c>
      <c r="AG1402">
        <v>2024</v>
      </c>
      <c r="AH1402">
        <v>4</v>
      </c>
      <c r="AI1402" t="s">
        <v>2308</v>
      </c>
      <c r="AJ1402" t="s">
        <v>2315</v>
      </c>
    </row>
    <row r="1403" spans="1:36" x14ac:dyDescent="0.3">
      <c r="A1403" t="s">
        <v>1437</v>
      </c>
      <c r="B1403" s="2">
        <v>45418</v>
      </c>
      <c r="C1403" t="s">
        <v>1666</v>
      </c>
      <c r="D1403" t="s">
        <v>1759</v>
      </c>
      <c r="E1403" t="s">
        <v>2150</v>
      </c>
      <c r="F1403" t="s">
        <v>2238</v>
      </c>
      <c r="G1403" t="s">
        <v>2253</v>
      </c>
      <c r="H1403" t="s">
        <v>2258</v>
      </c>
      <c r="I1403" t="s">
        <v>2260</v>
      </c>
      <c r="J1403" t="s">
        <v>2266</v>
      </c>
      <c r="K1403">
        <v>2</v>
      </c>
      <c r="L1403">
        <v>90</v>
      </c>
      <c r="M1403">
        <v>0</v>
      </c>
      <c r="N1403">
        <v>180</v>
      </c>
      <c r="O1403">
        <v>180</v>
      </c>
      <c r="P1403" t="s">
        <v>2267</v>
      </c>
      <c r="Q1403" t="s">
        <v>2270</v>
      </c>
      <c r="R1403" t="s">
        <v>2275</v>
      </c>
      <c r="S1403" t="s">
        <v>2283</v>
      </c>
      <c r="T1403" t="s">
        <v>2288</v>
      </c>
      <c r="U1403">
        <v>5</v>
      </c>
      <c r="V1403">
        <v>350</v>
      </c>
      <c r="X1403">
        <v>35.96</v>
      </c>
      <c r="Y1403">
        <v>108.08</v>
      </c>
      <c r="Z1403" t="s">
        <v>2292</v>
      </c>
      <c r="AA1403" t="s">
        <v>2298</v>
      </c>
      <c r="AB1403">
        <v>180</v>
      </c>
      <c r="AC1403">
        <v>0</v>
      </c>
      <c r="AD1403">
        <v>180</v>
      </c>
      <c r="AE1403">
        <v>71.92</v>
      </c>
      <c r="AF1403">
        <v>108.08</v>
      </c>
      <c r="AG1403">
        <v>2024</v>
      </c>
      <c r="AH1403">
        <v>5</v>
      </c>
      <c r="AI1403" t="s">
        <v>2306</v>
      </c>
      <c r="AJ1403" t="s">
        <v>2314</v>
      </c>
    </row>
    <row r="1404" spans="1:36" x14ac:dyDescent="0.3">
      <c r="A1404" t="s">
        <v>1438</v>
      </c>
      <c r="B1404" s="2">
        <v>45401</v>
      </c>
      <c r="C1404" t="s">
        <v>1685</v>
      </c>
      <c r="D1404" t="s">
        <v>1845</v>
      </c>
      <c r="E1404" t="s">
        <v>2046</v>
      </c>
      <c r="F1404" t="s">
        <v>2239</v>
      </c>
      <c r="G1404" t="s">
        <v>2242</v>
      </c>
      <c r="H1404" t="s">
        <v>2258</v>
      </c>
      <c r="I1404" t="s">
        <v>2260</v>
      </c>
      <c r="K1404">
        <v>5</v>
      </c>
      <c r="L1404">
        <v>120</v>
      </c>
      <c r="M1404">
        <v>0.15</v>
      </c>
      <c r="N1404">
        <v>600</v>
      </c>
      <c r="O1404">
        <v>510</v>
      </c>
      <c r="P1404" t="s">
        <v>2268</v>
      </c>
      <c r="Q1404" t="s">
        <v>2272</v>
      </c>
      <c r="R1404" t="s">
        <v>2276</v>
      </c>
      <c r="S1404" t="s">
        <v>2281</v>
      </c>
      <c r="T1404" t="s">
        <v>2288</v>
      </c>
      <c r="U1404">
        <v>5</v>
      </c>
      <c r="V1404">
        <v>492</v>
      </c>
      <c r="X1404">
        <v>60.19</v>
      </c>
      <c r="Y1404">
        <v>209.05</v>
      </c>
      <c r="Z1404" t="s">
        <v>2294</v>
      </c>
      <c r="AA1404" t="s">
        <v>2296</v>
      </c>
      <c r="AB1404">
        <v>600</v>
      </c>
      <c r="AC1404">
        <v>90</v>
      </c>
      <c r="AD1404">
        <v>510</v>
      </c>
      <c r="AE1404">
        <v>300.95</v>
      </c>
      <c r="AF1404">
        <v>209.05</v>
      </c>
      <c r="AG1404">
        <v>2024</v>
      </c>
      <c r="AH1404">
        <v>4</v>
      </c>
      <c r="AI1404" t="s">
        <v>2308</v>
      </c>
      <c r="AJ1404" t="s">
        <v>2315</v>
      </c>
    </row>
    <row r="1405" spans="1:36" x14ac:dyDescent="0.3">
      <c r="A1405" t="s">
        <v>1439</v>
      </c>
      <c r="B1405" s="2">
        <v>45377</v>
      </c>
      <c r="C1405" t="s">
        <v>1674</v>
      </c>
      <c r="D1405" t="s">
        <v>1747</v>
      </c>
      <c r="E1405" t="s">
        <v>2182</v>
      </c>
      <c r="F1405" t="s">
        <v>2239</v>
      </c>
      <c r="G1405" t="s">
        <v>2246</v>
      </c>
      <c r="H1405" t="s">
        <v>2259</v>
      </c>
      <c r="I1405" t="s">
        <v>2262</v>
      </c>
      <c r="J1405" t="s">
        <v>2265</v>
      </c>
      <c r="K1405">
        <v>5</v>
      </c>
      <c r="L1405">
        <v>100</v>
      </c>
      <c r="M1405">
        <v>0.05</v>
      </c>
      <c r="N1405">
        <v>500</v>
      </c>
      <c r="O1405">
        <v>475</v>
      </c>
      <c r="P1405" t="s">
        <v>2269</v>
      </c>
      <c r="Q1405" t="s">
        <v>2271</v>
      </c>
      <c r="R1405" t="s">
        <v>2279</v>
      </c>
      <c r="S1405" t="s">
        <v>2284</v>
      </c>
      <c r="T1405" t="s">
        <v>2290</v>
      </c>
      <c r="V1405">
        <v>247</v>
      </c>
      <c r="W1405">
        <v>17</v>
      </c>
      <c r="X1405">
        <v>50.59</v>
      </c>
      <c r="Y1405">
        <v>222.05</v>
      </c>
      <c r="Z1405" t="s">
        <v>2293</v>
      </c>
      <c r="AA1405" t="s">
        <v>2296</v>
      </c>
      <c r="AB1405">
        <v>500</v>
      </c>
      <c r="AC1405">
        <v>25</v>
      </c>
      <c r="AD1405">
        <v>475</v>
      </c>
      <c r="AE1405">
        <v>252.95</v>
      </c>
      <c r="AF1405">
        <v>222.05</v>
      </c>
      <c r="AG1405">
        <v>2024</v>
      </c>
      <c r="AH1405">
        <v>3</v>
      </c>
      <c r="AI1405" t="s">
        <v>2305</v>
      </c>
      <c r="AJ1405" t="s">
        <v>2313</v>
      </c>
    </row>
    <row r="1406" spans="1:36" x14ac:dyDescent="0.3">
      <c r="A1406" t="s">
        <v>1440</v>
      </c>
      <c r="B1406" s="2">
        <v>45447</v>
      </c>
      <c r="C1406" t="s">
        <v>1727</v>
      </c>
      <c r="D1406" t="s">
        <v>1930</v>
      </c>
      <c r="E1406" t="s">
        <v>2008</v>
      </c>
      <c r="F1406" t="s">
        <v>2239</v>
      </c>
      <c r="G1406" t="s">
        <v>2244</v>
      </c>
      <c r="H1406" t="s">
        <v>2257</v>
      </c>
      <c r="I1406" t="s">
        <v>2262</v>
      </c>
      <c r="J1406" t="s">
        <v>2266</v>
      </c>
      <c r="K1406">
        <v>1</v>
      </c>
      <c r="L1406">
        <v>115</v>
      </c>
      <c r="M1406">
        <v>0.05</v>
      </c>
      <c r="N1406">
        <v>115</v>
      </c>
      <c r="O1406">
        <v>109.25</v>
      </c>
      <c r="P1406" t="s">
        <v>2267</v>
      </c>
      <c r="R1406" t="s">
        <v>2277</v>
      </c>
      <c r="S1406" t="s">
        <v>2283</v>
      </c>
      <c r="T1406" t="s">
        <v>2289</v>
      </c>
      <c r="U1406">
        <v>5</v>
      </c>
      <c r="V1406">
        <v>483</v>
      </c>
      <c r="W1406">
        <v>26</v>
      </c>
      <c r="X1406">
        <v>53.92</v>
      </c>
      <c r="Y1406">
        <v>55.33</v>
      </c>
      <c r="Z1406" t="s">
        <v>2294</v>
      </c>
      <c r="AA1406" t="s">
        <v>2299</v>
      </c>
      <c r="AB1406">
        <v>115</v>
      </c>
      <c r="AC1406">
        <v>5.75</v>
      </c>
      <c r="AD1406">
        <v>109.25</v>
      </c>
      <c r="AE1406">
        <v>53.92</v>
      </c>
      <c r="AF1406">
        <v>55.33</v>
      </c>
      <c r="AG1406">
        <v>2024</v>
      </c>
      <c r="AH1406">
        <v>6</v>
      </c>
      <c r="AI1406" t="s">
        <v>2304</v>
      </c>
      <c r="AJ1406" t="s">
        <v>2313</v>
      </c>
    </row>
    <row r="1407" spans="1:36" x14ac:dyDescent="0.3">
      <c r="A1407" t="s">
        <v>1441</v>
      </c>
      <c r="B1407" s="2">
        <v>45393</v>
      </c>
      <c r="C1407" t="s">
        <v>1661</v>
      </c>
      <c r="D1407" t="s">
        <v>1913</v>
      </c>
      <c r="E1407" t="s">
        <v>1761</v>
      </c>
      <c r="F1407" t="s">
        <v>2240</v>
      </c>
      <c r="G1407" t="s">
        <v>2251</v>
      </c>
      <c r="H1407" t="s">
        <v>2258</v>
      </c>
      <c r="I1407" t="s">
        <v>2260</v>
      </c>
      <c r="J1407" t="s">
        <v>2266</v>
      </c>
      <c r="K1407">
        <v>2</v>
      </c>
      <c r="L1407">
        <v>105</v>
      </c>
      <c r="M1407">
        <v>0</v>
      </c>
      <c r="N1407">
        <v>210</v>
      </c>
      <c r="O1407">
        <v>210</v>
      </c>
      <c r="P1407" t="s">
        <v>2267</v>
      </c>
      <c r="Q1407" t="s">
        <v>2270</v>
      </c>
      <c r="R1407" t="s">
        <v>2274</v>
      </c>
      <c r="S1407" t="s">
        <v>2285</v>
      </c>
      <c r="T1407" t="s">
        <v>2288</v>
      </c>
      <c r="U1407">
        <v>1</v>
      </c>
      <c r="V1407">
        <v>437</v>
      </c>
      <c r="W1407">
        <v>40</v>
      </c>
      <c r="X1407">
        <v>59.68</v>
      </c>
      <c r="Y1407">
        <v>90.64</v>
      </c>
      <c r="Z1407" t="s">
        <v>1761</v>
      </c>
      <c r="AA1407" t="s">
        <v>2298</v>
      </c>
      <c r="AB1407">
        <v>210</v>
      </c>
      <c r="AC1407">
        <v>0</v>
      </c>
      <c r="AD1407">
        <v>210</v>
      </c>
      <c r="AE1407">
        <v>119.36</v>
      </c>
      <c r="AF1407">
        <v>90.64</v>
      </c>
      <c r="AG1407">
        <v>2024</v>
      </c>
      <c r="AH1407">
        <v>4</v>
      </c>
      <c r="AI1407" t="s">
        <v>2308</v>
      </c>
      <c r="AJ1407" t="s">
        <v>2316</v>
      </c>
    </row>
    <row r="1408" spans="1:36" x14ac:dyDescent="0.3">
      <c r="A1408" t="s">
        <v>1442</v>
      </c>
      <c r="B1408" s="2">
        <v>45292</v>
      </c>
      <c r="C1408" t="s">
        <v>1681</v>
      </c>
      <c r="D1408" t="s">
        <v>1822</v>
      </c>
      <c r="E1408" t="s">
        <v>2083</v>
      </c>
      <c r="F1408" t="s">
        <v>2240</v>
      </c>
      <c r="G1408" t="s">
        <v>2250</v>
      </c>
      <c r="H1408" t="s">
        <v>2259</v>
      </c>
      <c r="I1408" t="s">
        <v>2262</v>
      </c>
      <c r="J1408" t="s">
        <v>2265</v>
      </c>
      <c r="K1408">
        <v>1</v>
      </c>
      <c r="L1408">
        <v>80</v>
      </c>
      <c r="M1408">
        <v>0</v>
      </c>
      <c r="N1408">
        <v>80</v>
      </c>
      <c r="O1408">
        <v>80</v>
      </c>
      <c r="P1408" t="s">
        <v>2268</v>
      </c>
      <c r="Q1408" t="s">
        <v>2270</v>
      </c>
      <c r="R1408" t="s">
        <v>2275</v>
      </c>
      <c r="S1408" t="s">
        <v>2284</v>
      </c>
      <c r="T1408" t="s">
        <v>2288</v>
      </c>
      <c r="U1408">
        <v>2</v>
      </c>
      <c r="V1408">
        <v>47</v>
      </c>
      <c r="W1408">
        <v>12</v>
      </c>
      <c r="X1408">
        <v>32.380000000000003</v>
      </c>
      <c r="Y1408">
        <v>47.62</v>
      </c>
      <c r="Z1408" t="s">
        <v>1761</v>
      </c>
      <c r="AA1408" t="s">
        <v>2297</v>
      </c>
      <c r="AB1408">
        <v>80</v>
      </c>
      <c r="AC1408">
        <v>0</v>
      </c>
      <c r="AD1408">
        <v>80</v>
      </c>
      <c r="AE1408">
        <v>32.380000000000003</v>
      </c>
      <c r="AF1408">
        <v>47.62</v>
      </c>
      <c r="AG1408">
        <v>2024</v>
      </c>
      <c r="AH1408">
        <v>1</v>
      </c>
      <c r="AI1408" t="s">
        <v>2302</v>
      </c>
      <c r="AJ1408" t="s">
        <v>2314</v>
      </c>
    </row>
    <row r="1409" spans="1:36" x14ac:dyDescent="0.3">
      <c r="A1409" t="s">
        <v>1443</v>
      </c>
      <c r="B1409" s="2">
        <v>45308</v>
      </c>
      <c r="C1409" t="s">
        <v>1659</v>
      </c>
      <c r="D1409" t="s">
        <v>1795</v>
      </c>
      <c r="E1409" t="s">
        <v>1761</v>
      </c>
      <c r="F1409" t="s">
        <v>1761</v>
      </c>
      <c r="G1409" t="s">
        <v>2245</v>
      </c>
      <c r="H1409" t="s">
        <v>2257</v>
      </c>
      <c r="I1409" t="s">
        <v>2263</v>
      </c>
      <c r="J1409" t="s">
        <v>2265</v>
      </c>
      <c r="K1409">
        <v>1</v>
      </c>
      <c r="L1409">
        <v>145</v>
      </c>
      <c r="M1409">
        <v>0.1</v>
      </c>
      <c r="N1409">
        <v>145</v>
      </c>
      <c r="O1409">
        <v>130.5</v>
      </c>
      <c r="R1409" t="s">
        <v>2274</v>
      </c>
      <c r="S1409" t="s">
        <v>2280</v>
      </c>
      <c r="T1409" t="s">
        <v>2289</v>
      </c>
      <c r="U1409">
        <v>5</v>
      </c>
      <c r="V1409">
        <v>120</v>
      </c>
      <c r="W1409">
        <v>38</v>
      </c>
      <c r="X1409">
        <v>53.81</v>
      </c>
      <c r="Y1409">
        <v>76.69</v>
      </c>
      <c r="Z1409" t="s">
        <v>1761</v>
      </c>
      <c r="AA1409" t="s">
        <v>2296</v>
      </c>
      <c r="AB1409">
        <v>145</v>
      </c>
      <c r="AC1409">
        <v>14.5</v>
      </c>
      <c r="AD1409">
        <v>130.5</v>
      </c>
      <c r="AE1409">
        <v>53.81</v>
      </c>
      <c r="AF1409">
        <v>76.69</v>
      </c>
      <c r="AG1409">
        <v>2024</v>
      </c>
      <c r="AH1409">
        <v>1</v>
      </c>
      <c r="AI1409" t="s">
        <v>2302</v>
      </c>
      <c r="AJ1409" t="s">
        <v>2312</v>
      </c>
    </row>
    <row r="1410" spans="1:36" x14ac:dyDescent="0.3">
      <c r="A1410" t="s">
        <v>1444</v>
      </c>
      <c r="B1410" s="2">
        <v>45446</v>
      </c>
      <c r="C1410" t="s">
        <v>1685</v>
      </c>
      <c r="D1410" t="s">
        <v>1852</v>
      </c>
      <c r="E1410" t="s">
        <v>2036</v>
      </c>
      <c r="F1410" t="s">
        <v>2240</v>
      </c>
      <c r="G1410" t="s">
        <v>2252</v>
      </c>
      <c r="H1410" t="s">
        <v>2257</v>
      </c>
      <c r="I1410" t="s">
        <v>2262</v>
      </c>
      <c r="J1410" t="s">
        <v>2266</v>
      </c>
      <c r="K1410">
        <v>3</v>
      </c>
      <c r="L1410">
        <v>90</v>
      </c>
      <c r="M1410">
        <v>0.15</v>
      </c>
      <c r="N1410">
        <v>270</v>
      </c>
      <c r="O1410">
        <v>229.5</v>
      </c>
      <c r="P1410" t="s">
        <v>2269</v>
      </c>
      <c r="Q1410" t="s">
        <v>2272</v>
      </c>
      <c r="R1410" t="s">
        <v>2276</v>
      </c>
      <c r="S1410" t="s">
        <v>2282</v>
      </c>
      <c r="T1410" t="s">
        <v>2288</v>
      </c>
      <c r="U1410">
        <v>3</v>
      </c>
      <c r="V1410">
        <v>369</v>
      </c>
      <c r="X1410">
        <v>39.81</v>
      </c>
      <c r="Y1410">
        <v>110.07</v>
      </c>
      <c r="Z1410" t="s">
        <v>2292</v>
      </c>
      <c r="AA1410" t="s">
        <v>2299</v>
      </c>
      <c r="AB1410">
        <v>270</v>
      </c>
      <c r="AC1410">
        <v>40.5</v>
      </c>
      <c r="AD1410">
        <v>229.5</v>
      </c>
      <c r="AE1410">
        <v>119.43</v>
      </c>
      <c r="AF1410">
        <v>110.07</v>
      </c>
      <c r="AG1410">
        <v>2024</v>
      </c>
      <c r="AH1410">
        <v>6</v>
      </c>
      <c r="AI1410" t="s">
        <v>2304</v>
      </c>
      <c r="AJ1410" t="s">
        <v>2314</v>
      </c>
    </row>
    <row r="1411" spans="1:36" x14ac:dyDescent="0.3">
      <c r="A1411" t="s">
        <v>1445</v>
      </c>
      <c r="B1411" s="2">
        <v>45572</v>
      </c>
      <c r="C1411" t="s">
        <v>1662</v>
      </c>
      <c r="D1411" t="s">
        <v>1831</v>
      </c>
      <c r="E1411" t="s">
        <v>1761</v>
      </c>
      <c r="F1411" t="s">
        <v>2240</v>
      </c>
      <c r="G1411" t="s">
        <v>2241</v>
      </c>
      <c r="H1411" t="s">
        <v>2257</v>
      </c>
      <c r="I1411" t="s">
        <v>2262</v>
      </c>
      <c r="K1411">
        <v>1</v>
      </c>
      <c r="L1411">
        <v>140</v>
      </c>
      <c r="M1411">
        <v>0</v>
      </c>
      <c r="N1411">
        <v>140</v>
      </c>
      <c r="O1411">
        <v>140</v>
      </c>
      <c r="P1411" t="s">
        <v>2267</v>
      </c>
      <c r="Q1411" t="s">
        <v>2271</v>
      </c>
      <c r="R1411" t="s">
        <v>2276</v>
      </c>
      <c r="S1411" t="s">
        <v>2284</v>
      </c>
      <c r="T1411" t="s">
        <v>2288</v>
      </c>
      <c r="U1411">
        <v>5</v>
      </c>
      <c r="V1411">
        <v>499</v>
      </c>
      <c r="W1411">
        <v>49</v>
      </c>
      <c r="X1411">
        <v>56.52</v>
      </c>
      <c r="Y1411">
        <v>83.48</v>
      </c>
      <c r="Z1411" t="s">
        <v>1761</v>
      </c>
      <c r="AA1411" t="s">
        <v>2298</v>
      </c>
      <c r="AB1411">
        <v>140</v>
      </c>
      <c r="AC1411">
        <v>0</v>
      </c>
      <c r="AD1411">
        <v>140</v>
      </c>
      <c r="AE1411">
        <v>56.52</v>
      </c>
      <c r="AF1411">
        <v>83.47999999999999</v>
      </c>
      <c r="AG1411">
        <v>2024</v>
      </c>
      <c r="AH1411">
        <v>10</v>
      </c>
      <c r="AI1411" t="s">
        <v>2310</v>
      </c>
      <c r="AJ1411" t="s">
        <v>2314</v>
      </c>
    </row>
    <row r="1412" spans="1:36" x14ac:dyDescent="0.3">
      <c r="A1412" t="s">
        <v>1446</v>
      </c>
      <c r="B1412" s="2">
        <v>45376</v>
      </c>
      <c r="C1412" t="s">
        <v>1673</v>
      </c>
      <c r="D1412" t="s">
        <v>1751</v>
      </c>
      <c r="E1412" t="s">
        <v>2101</v>
      </c>
      <c r="F1412" t="s">
        <v>2239</v>
      </c>
      <c r="G1412" t="s">
        <v>2248</v>
      </c>
      <c r="H1412" t="s">
        <v>2257</v>
      </c>
      <c r="I1412" t="s">
        <v>2262</v>
      </c>
      <c r="J1412" t="s">
        <v>2266</v>
      </c>
      <c r="K1412">
        <v>2</v>
      </c>
      <c r="L1412">
        <v>145</v>
      </c>
      <c r="M1412">
        <v>0.05</v>
      </c>
      <c r="N1412">
        <v>290</v>
      </c>
      <c r="O1412">
        <v>275.5</v>
      </c>
      <c r="P1412" t="s">
        <v>2269</v>
      </c>
      <c r="Q1412" t="s">
        <v>2271</v>
      </c>
      <c r="R1412" t="s">
        <v>2273</v>
      </c>
      <c r="S1412" t="s">
        <v>2282</v>
      </c>
      <c r="T1412" t="s">
        <v>2290</v>
      </c>
      <c r="U1412">
        <v>5</v>
      </c>
      <c r="V1412">
        <v>21</v>
      </c>
      <c r="W1412">
        <v>24</v>
      </c>
      <c r="X1412">
        <v>56.88</v>
      </c>
      <c r="Y1412">
        <v>161.74</v>
      </c>
      <c r="Z1412" t="s">
        <v>2293</v>
      </c>
      <c r="AA1412" t="s">
        <v>2297</v>
      </c>
      <c r="AB1412">
        <v>290</v>
      </c>
      <c r="AC1412">
        <v>14.5</v>
      </c>
      <c r="AD1412">
        <v>275.5</v>
      </c>
      <c r="AE1412">
        <v>113.76</v>
      </c>
      <c r="AF1412">
        <v>161.74</v>
      </c>
      <c r="AG1412">
        <v>2024</v>
      </c>
      <c r="AH1412">
        <v>3</v>
      </c>
      <c r="AI1412" t="s">
        <v>2305</v>
      </c>
      <c r="AJ1412" t="s">
        <v>2314</v>
      </c>
    </row>
    <row r="1413" spans="1:36" x14ac:dyDescent="0.3">
      <c r="A1413" t="s">
        <v>1447</v>
      </c>
      <c r="B1413" s="2">
        <v>45566</v>
      </c>
      <c r="C1413" t="s">
        <v>1715</v>
      </c>
      <c r="D1413" t="s">
        <v>1808</v>
      </c>
      <c r="E1413" t="s">
        <v>1988</v>
      </c>
      <c r="F1413" t="s">
        <v>2239</v>
      </c>
      <c r="G1413" t="s">
        <v>2254</v>
      </c>
      <c r="H1413" t="s">
        <v>2259</v>
      </c>
      <c r="I1413" t="s">
        <v>2263</v>
      </c>
      <c r="J1413" t="s">
        <v>2266</v>
      </c>
      <c r="K1413">
        <v>1</v>
      </c>
      <c r="L1413">
        <v>120</v>
      </c>
      <c r="M1413">
        <v>0</v>
      </c>
      <c r="O1413">
        <v>120</v>
      </c>
      <c r="P1413" t="s">
        <v>2267</v>
      </c>
      <c r="Q1413" t="s">
        <v>2270</v>
      </c>
      <c r="R1413" t="s">
        <v>2279</v>
      </c>
      <c r="S1413" t="s">
        <v>2282</v>
      </c>
      <c r="T1413" t="s">
        <v>2289</v>
      </c>
      <c r="U1413">
        <v>1</v>
      </c>
      <c r="V1413">
        <v>281</v>
      </c>
      <c r="W1413">
        <v>22</v>
      </c>
      <c r="X1413">
        <v>51.92</v>
      </c>
      <c r="Y1413">
        <v>68.08</v>
      </c>
      <c r="Z1413" t="s">
        <v>2291</v>
      </c>
      <c r="AA1413" t="s">
        <v>2296</v>
      </c>
      <c r="AB1413">
        <v>120</v>
      </c>
      <c r="AC1413">
        <v>0</v>
      </c>
      <c r="AD1413">
        <v>120</v>
      </c>
      <c r="AE1413">
        <v>51.92</v>
      </c>
      <c r="AF1413">
        <v>68.08</v>
      </c>
      <c r="AG1413">
        <v>2024</v>
      </c>
      <c r="AH1413">
        <v>10</v>
      </c>
      <c r="AI1413" t="s">
        <v>2310</v>
      </c>
      <c r="AJ1413" t="s">
        <v>2313</v>
      </c>
    </row>
    <row r="1414" spans="1:36" x14ac:dyDescent="0.3">
      <c r="A1414" t="s">
        <v>1448</v>
      </c>
      <c r="B1414" s="2">
        <v>45578</v>
      </c>
      <c r="C1414" t="s">
        <v>1724</v>
      </c>
      <c r="D1414" t="s">
        <v>1910</v>
      </c>
      <c r="E1414" t="s">
        <v>2127</v>
      </c>
      <c r="F1414" t="s">
        <v>2240</v>
      </c>
      <c r="G1414" t="s">
        <v>2241</v>
      </c>
      <c r="H1414" t="s">
        <v>2257</v>
      </c>
      <c r="I1414" t="s">
        <v>2262</v>
      </c>
      <c r="J1414" t="s">
        <v>2265</v>
      </c>
      <c r="K1414">
        <v>4</v>
      </c>
      <c r="L1414">
        <v>135</v>
      </c>
      <c r="M1414">
        <v>0</v>
      </c>
      <c r="N1414">
        <v>540</v>
      </c>
      <c r="O1414">
        <v>540</v>
      </c>
      <c r="P1414" t="s">
        <v>2268</v>
      </c>
      <c r="Q1414" t="s">
        <v>2270</v>
      </c>
      <c r="R1414" t="s">
        <v>2276</v>
      </c>
      <c r="S1414" t="s">
        <v>2282</v>
      </c>
      <c r="T1414" t="s">
        <v>2289</v>
      </c>
      <c r="U1414">
        <v>4</v>
      </c>
      <c r="V1414">
        <v>17</v>
      </c>
      <c r="X1414">
        <v>45.86</v>
      </c>
      <c r="Y1414">
        <v>356.56</v>
      </c>
      <c r="Z1414" t="s">
        <v>2292</v>
      </c>
      <c r="AA1414" t="s">
        <v>2296</v>
      </c>
      <c r="AB1414">
        <v>540</v>
      </c>
      <c r="AC1414">
        <v>0</v>
      </c>
      <c r="AD1414">
        <v>540</v>
      </c>
      <c r="AE1414">
        <v>183.44</v>
      </c>
      <c r="AF1414">
        <v>356.56</v>
      </c>
      <c r="AG1414">
        <v>2024</v>
      </c>
      <c r="AH1414">
        <v>10</v>
      </c>
      <c r="AI1414" t="s">
        <v>2310</v>
      </c>
      <c r="AJ1414" t="s">
        <v>2318</v>
      </c>
    </row>
    <row r="1415" spans="1:36" x14ac:dyDescent="0.3">
      <c r="A1415" t="s">
        <v>1449</v>
      </c>
      <c r="B1415" s="2">
        <v>45492</v>
      </c>
      <c r="C1415" t="s">
        <v>1714</v>
      </c>
      <c r="D1415" t="s">
        <v>1905</v>
      </c>
      <c r="E1415" t="s">
        <v>2225</v>
      </c>
      <c r="F1415" t="s">
        <v>2239</v>
      </c>
      <c r="G1415" t="s">
        <v>2254</v>
      </c>
      <c r="H1415" t="s">
        <v>2259</v>
      </c>
      <c r="I1415" t="s">
        <v>2263</v>
      </c>
      <c r="K1415">
        <v>1</v>
      </c>
      <c r="L1415">
        <v>105</v>
      </c>
      <c r="M1415">
        <v>0.15</v>
      </c>
      <c r="N1415">
        <v>105</v>
      </c>
      <c r="O1415">
        <v>89.25</v>
      </c>
      <c r="P1415" t="s">
        <v>2269</v>
      </c>
      <c r="Q1415" t="s">
        <v>2270</v>
      </c>
      <c r="R1415" t="s">
        <v>2273</v>
      </c>
      <c r="S1415" t="s">
        <v>2281</v>
      </c>
      <c r="T1415" t="s">
        <v>2288</v>
      </c>
      <c r="U1415">
        <v>1</v>
      </c>
      <c r="V1415">
        <v>260</v>
      </c>
      <c r="W1415">
        <v>13</v>
      </c>
      <c r="X1415">
        <v>62.52</v>
      </c>
      <c r="Y1415">
        <v>26.73</v>
      </c>
      <c r="Z1415" t="s">
        <v>2291</v>
      </c>
      <c r="AA1415" t="s">
        <v>2296</v>
      </c>
      <c r="AB1415">
        <v>105</v>
      </c>
      <c r="AC1415">
        <v>15.75</v>
      </c>
      <c r="AD1415">
        <v>89.25</v>
      </c>
      <c r="AE1415">
        <v>62.52</v>
      </c>
      <c r="AF1415">
        <v>26.73</v>
      </c>
      <c r="AG1415">
        <v>2024</v>
      </c>
      <c r="AH1415">
        <v>7</v>
      </c>
      <c r="AI1415" t="s">
        <v>2307</v>
      </c>
      <c r="AJ1415" t="s">
        <v>2315</v>
      </c>
    </row>
    <row r="1416" spans="1:36" x14ac:dyDescent="0.3">
      <c r="A1416" t="s">
        <v>1450</v>
      </c>
      <c r="B1416" s="2">
        <v>45299</v>
      </c>
      <c r="C1416" t="s">
        <v>1737</v>
      </c>
      <c r="D1416" t="s">
        <v>1884</v>
      </c>
      <c r="E1416" t="s">
        <v>2198</v>
      </c>
      <c r="F1416" t="s">
        <v>2238</v>
      </c>
      <c r="G1416" t="s">
        <v>2250</v>
      </c>
      <c r="H1416" t="s">
        <v>2259</v>
      </c>
      <c r="I1416" t="s">
        <v>2262</v>
      </c>
      <c r="J1416" t="s">
        <v>2265</v>
      </c>
      <c r="K1416">
        <v>2</v>
      </c>
      <c r="L1416">
        <v>85</v>
      </c>
      <c r="M1416">
        <v>0.15</v>
      </c>
      <c r="N1416">
        <v>170</v>
      </c>
      <c r="O1416">
        <v>144.5</v>
      </c>
      <c r="P1416" t="s">
        <v>2269</v>
      </c>
      <c r="Q1416" t="s">
        <v>2272</v>
      </c>
      <c r="R1416" t="s">
        <v>2273</v>
      </c>
      <c r="S1416" t="s">
        <v>2280</v>
      </c>
      <c r="T1416" t="s">
        <v>2288</v>
      </c>
      <c r="V1416">
        <v>240</v>
      </c>
      <c r="X1416">
        <v>40.82</v>
      </c>
      <c r="Y1416">
        <v>62.86</v>
      </c>
      <c r="Z1416" t="s">
        <v>2293</v>
      </c>
      <c r="AA1416" t="s">
        <v>2299</v>
      </c>
      <c r="AB1416">
        <v>170</v>
      </c>
      <c r="AC1416">
        <v>25.5</v>
      </c>
      <c r="AD1416">
        <v>144.5</v>
      </c>
      <c r="AE1416">
        <v>81.64</v>
      </c>
      <c r="AF1416">
        <v>62.86</v>
      </c>
      <c r="AG1416">
        <v>2024</v>
      </c>
      <c r="AH1416">
        <v>1</v>
      </c>
      <c r="AI1416" t="s">
        <v>2302</v>
      </c>
      <c r="AJ1416" t="s">
        <v>2314</v>
      </c>
    </row>
    <row r="1417" spans="1:36" x14ac:dyDescent="0.3">
      <c r="A1417" t="s">
        <v>1451</v>
      </c>
      <c r="B1417" s="2">
        <v>45509</v>
      </c>
      <c r="C1417" t="s">
        <v>1689</v>
      </c>
      <c r="D1417" t="s">
        <v>1916</v>
      </c>
      <c r="E1417" t="s">
        <v>2144</v>
      </c>
      <c r="F1417" t="s">
        <v>2240</v>
      </c>
      <c r="G1417" t="s">
        <v>2245</v>
      </c>
      <c r="H1417" t="s">
        <v>2257</v>
      </c>
      <c r="I1417" t="s">
        <v>2263</v>
      </c>
      <c r="J1417" t="s">
        <v>2266</v>
      </c>
      <c r="K1417">
        <v>4</v>
      </c>
      <c r="L1417">
        <v>150</v>
      </c>
      <c r="M1417">
        <v>0.05</v>
      </c>
      <c r="O1417">
        <v>570</v>
      </c>
      <c r="P1417" t="s">
        <v>2269</v>
      </c>
      <c r="Q1417" t="s">
        <v>2272</v>
      </c>
      <c r="R1417" t="s">
        <v>2279</v>
      </c>
      <c r="S1417" t="s">
        <v>2281</v>
      </c>
      <c r="T1417" t="s">
        <v>2289</v>
      </c>
      <c r="U1417">
        <v>3</v>
      </c>
      <c r="W1417">
        <v>14</v>
      </c>
      <c r="X1417">
        <v>77.13</v>
      </c>
      <c r="Y1417">
        <v>261.48</v>
      </c>
      <c r="Z1417" t="s">
        <v>2294</v>
      </c>
      <c r="AA1417" t="s">
        <v>2299</v>
      </c>
      <c r="AB1417">
        <v>600</v>
      </c>
      <c r="AC1417">
        <v>30</v>
      </c>
      <c r="AD1417">
        <v>570</v>
      </c>
      <c r="AE1417">
        <v>308.52</v>
      </c>
      <c r="AF1417">
        <v>261.48</v>
      </c>
      <c r="AG1417">
        <v>2024</v>
      </c>
      <c r="AH1417">
        <v>8</v>
      </c>
      <c r="AI1417" t="s">
        <v>2301</v>
      </c>
      <c r="AJ1417" t="s">
        <v>2314</v>
      </c>
    </row>
    <row r="1418" spans="1:36" x14ac:dyDescent="0.3">
      <c r="A1418" t="s">
        <v>1452</v>
      </c>
      <c r="B1418" s="2">
        <v>45564</v>
      </c>
      <c r="C1418" t="s">
        <v>1669</v>
      </c>
      <c r="D1418" t="s">
        <v>1893</v>
      </c>
      <c r="E1418" t="s">
        <v>2091</v>
      </c>
      <c r="F1418" t="s">
        <v>2240</v>
      </c>
      <c r="G1418" t="s">
        <v>2253</v>
      </c>
      <c r="H1418" t="s">
        <v>2258</v>
      </c>
      <c r="I1418" t="s">
        <v>2260</v>
      </c>
      <c r="J1418" t="s">
        <v>2265</v>
      </c>
      <c r="K1418">
        <v>2</v>
      </c>
      <c r="L1418">
        <v>90</v>
      </c>
      <c r="M1418">
        <v>0.1</v>
      </c>
      <c r="N1418">
        <v>180</v>
      </c>
      <c r="O1418">
        <v>162</v>
      </c>
      <c r="P1418" t="s">
        <v>2269</v>
      </c>
      <c r="Q1418" t="s">
        <v>2272</v>
      </c>
      <c r="R1418" t="s">
        <v>2278</v>
      </c>
      <c r="S1418" t="s">
        <v>2286</v>
      </c>
      <c r="T1418" t="s">
        <v>2288</v>
      </c>
      <c r="U1418">
        <v>3</v>
      </c>
      <c r="V1418">
        <v>158</v>
      </c>
      <c r="W1418">
        <v>12</v>
      </c>
      <c r="X1418">
        <v>47.69</v>
      </c>
      <c r="Y1418">
        <v>66.62</v>
      </c>
      <c r="Z1418" t="s">
        <v>1761</v>
      </c>
      <c r="AA1418" t="s">
        <v>2296</v>
      </c>
      <c r="AB1418">
        <v>180</v>
      </c>
      <c r="AC1418">
        <v>18</v>
      </c>
      <c r="AD1418">
        <v>162</v>
      </c>
      <c r="AE1418">
        <v>95.38</v>
      </c>
      <c r="AF1418">
        <v>66.62</v>
      </c>
      <c r="AG1418">
        <v>2024</v>
      </c>
      <c r="AH1418">
        <v>9</v>
      </c>
      <c r="AI1418" t="s">
        <v>2300</v>
      </c>
      <c r="AJ1418" t="s">
        <v>2318</v>
      </c>
    </row>
    <row r="1419" spans="1:36" x14ac:dyDescent="0.3">
      <c r="A1419" t="s">
        <v>1453</v>
      </c>
      <c r="B1419" s="2">
        <v>45402</v>
      </c>
      <c r="C1419" t="s">
        <v>1661</v>
      </c>
      <c r="D1419" t="s">
        <v>1866</v>
      </c>
      <c r="E1419" t="s">
        <v>1959</v>
      </c>
      <c r="F1419" t="s">
        <v>2240</v>
      </c>
      <c r="G1419" t="s">
        <v>2249</v>
      </c>
      <c r="H1419" t="s">
        <v>2257</v>
      </c>
      <c r="I1419" t="s">
        <v>2263</v>
      </c>
      <c r="J1419" t="s">
        <v>2264</v>
      </c>
      <c r="K1419">
        <v>1</v>
      </c>
      <c r="L1419">
        <v>160</v>
      </c>
      <c r="M1419">
        <v>0.15</v>
      </c>
      <c r="N1419">
        <v>160</v>
      </c>
      <c r="O1419">
        <v>136</v>
      </c>
      <c r="P1419" t="s">
        <v>2267</v>
      </c>
      <c r="Q1419" t="s">
        <v>2272</v>
      </c>
      <c r="R1419" t="s">
        <v>2278</v>
      </c>
      <c r="S1419" t="s">
        <v>2286</v>
      </c>
      <c r="T1419" t="s">
        <v>2289</v>
      </c>
      <c r="U1419">
        <v>4</v>
      </c>
      <c r="V1419">
        <v>289</v>
      </c>
      <c r="W1419">
        <v>55</v>
      </c>
      <c r="X1419">
        <v>75.650000000000006</v>
      </c>
      <c r="Y1419">
        <v>60.35</v>
      </c>
      <c r="Z1419" t="s">
        <v>1761</v>
      </c>
      <c r="AA1419" t="s">
        <v>2296</v>
      </c>
      <c r="AB1419">
        <v>160</v>
      </c>
      <c r="AC1419">
        <v>24</v>
      </c>
      <c r="AD1419">
        <v>136</v>
      </c>
      <c r="AE1419">
        <v>75.650000000000006</v>
      </c>
      <c r="AF1419">
        <v>60.349999999999987</v>
      </c>
      <c r="AG1419">
        <v>2024</v>
      </c>
      <c r="AH1419">
        <v>4</v>
      </c>
      <c r="AI1419" t="s">
        <v>2308</v>
      </c>
      <c r="AJ1419" t="s">
        <v>2317</v>
      </c>
    </row>
    <row r="1420" spans="1:36" x14ac:dyDescent="0.3">
      <c r="A1420" t="s">
        <v>1454</v>
      </c>
      <c r="B1420" s="2">
        <v>45515</v>
      </c>
      <c r="C1420" t="s">
        <v>1685</v>
      </c>
      <c r="D1420" t="s">
        <v>1807</v>
      </c>
      <c r="E1420" t="s">
        <v>2222</v>
      </c>
      <c r="F1420" t="s">
        <v>2240</v>
      </c>
      <c r="G1420" t="s">
        <v>2243</v>
      </c>
      <c r="H1420" t="s">
        <v>2258</v>
      </c>
      <c r="I1420" t="s">
        <v>2260</v>
      </c>
      <c r="J1420" t="s">
        <v>2266</v>
      </c>
      <c r="K1420">
        <v>3</v>
      </c>
      <c r="L1420">
        <v>75</v>
      </c>
      <c r="M1420">
        <v>0</v>
      </c>
      <c r="N1420">
        <v>225</v>
      </c>
      <c r="O1420">
        <v>225</v>
      </c>
      <c r="Q1420" t="s">
        <v>2271</v>
      </c>
      <c r="R1420" t="s">
        <v>2273</v>
      </c>
      <c r="S1420" t="s">
        <v>2282</v>
      </c>
      <c r="T1420" t="s">
        <v>2290</v>
      </c>
      <c r="U1420">
        <v>5</v>
      </c>
      <c r="V1420">
        <v>90</v>
      </c>
      <c r="W1420">
        <v>46</v>
      </c>
      <c r="X1420">
        <v>38.76</v>
      </c>
      <c r="Y1420">
        <v>108.72</v>
      </c>
      <c r="Z1420" t="s">
        <v>1761</v>
      </c>
      <c r="AA1420" t="s">
        <v>2296</v>
      </c>
      <c r="AB1420">
        <v>225</v>
      </c>
      <c r="AC1420">
        <v>0</v>
      </c>
      <c r="AD1420">
        <v>225</v>
      </c>
      <c r="AE1420">
        <v>116.28</v>
      </c>
      <c r="AF1420">
        <v>108.72</v>
      </c>
      <c r="AG1420">
        <v>2024</v>
      </c>
      <c r="AH1420">
        <v>8</v>
      </c>
      <c r="AI1420" t="s">
        <v>2301</v>
      </c>
      <c r="AJ1420" t="s">
        <v>2318</v>
      </c>
    </row>
    <row r="1421" spans="1:36" x14ac:dyDescent="0.3">
      <c r="A1421" t="s">
        <v>1455</v>
      </c>
      <c r="C1421" t="s">
        <v>1680</v>
      </c>
      <c r="D1421" t="s">
        <v>1812</v>
      </c>
      <c r="E1421" t="s">
        <v>2177</v>
      </c>
      <c r="F1421" t="s">
        <v>1761</v>
      </c>
      <c r="G1421" t="s">
        <v>2253</v>
      </c>
      <c r="H1421" t="s">
        <v>2258</v>
      </c>
      <c r="I1421" t="s">
        <v>2260</v>
      </c>
      <c r="J1421" t="s">
        <v>2264</v>
      </c>
      <c r="K1421">
        <v>1</v>
      </c>
      <c r="L1421">
        <v>90</v>
      </c>
      <c r="N1421">
        <v>90</v>
      </c>
      <c r="P1421" t="s">
        <v>2267</v>
      </c>
      <c r="Q1421" t="s">
        <v>2270</v>
      </c>
      <c r="R1421" t="s">
        <v>2279</v>
      </c>
      <c r="S1421" t="s">
        <v>2286</v>
      </c>
      <c r="T1421" t="s">
        <v>2288</v>
      </c>
      <c r="U1421">
        <v>3</v>
      </c>
      <c r="V1421">
        <v>465</v>
      </c>
      <c r="W1421">
        <v>10</v>
      </c>
      <c r="X1421">
        <v>43.86</v>
      </c>
      <c r="Z1421" t="s">
        <v>1761</v>
      </c>
      <c r="AA1421" t="s">
        <v>2297</v>
      </c>
      <c r="AB1421">
        <v>90</v>
      </c>
      <c r="AC1421">
        <v>0</v>
      </c>
      <c r="AD1421">
        <v>90</v>
      </c>
      <c r="AE1421">
        <v>43.86</v>
      </c>
      <c r="AF1421">
        <v>46.14</v>
      </c>
    </row>
    <row r="1422" spans="1:36" x14ac:dyDescent="0.3">
      <c r="A1422" t="s">
        <v>1456</v>
      </c>
      <c r="B1422" s="2">
        <v>45534</v>
      </c>
      <c r="C1422" t="s">
        <v>1704</v>
      </c>
      <c r="D1422" t="s">
        <v>1788</v>
      </c>
      <c r="E1422" t="s">
        <v>2033</v>
      </c>
      <c r="F1422" t="s">
        <v>2239</v>
      </c>
      <c r="G1422" t="s">
        <v>2241</v>
      </c>
      <c r="H1422" t="s">
        <v>2257</v>
      </c>
      <c r="I1422" t="s">
        <v>2262</v>
      </c>
      <c r="K1422">
        <v>3</v>
      </c>
      <c r="L1422">
        <v>125</v>
      </c>
      <c r="N1422">
        <v>375</v>
      </c>
      <c r="P1422" t="s">
        <v>2267</v>
      </c>
      <c r="Q1422" t="s">
        <v>2270</v>
      </c>
      <c r="R1422" t="s">
        <v>2274</v>
      </c>
      <c r="S1422" t="s">
        <v>2286</v>
      </c>
      <c r="T1422" t="s">
        <v>2288</v>
      </c>
      <c r="U1422">
        <v>2</v>
      </c>
      <c r="V1422">
        <v>92</v>
      </c>
      <c r="X1422">
        <v>52.67</v>
      </c>
      <c r="Z1422" t="s">
        <v>2293</v>
      </c>
      <c r="AA1422" t="s">
        <v>2299</v>
      </c>
      <c r="AB1422">
        <v>375</v>
      </c>
      <c r="AC1422">
        <v>0</v>
      </c>
      <c r="AD1422">
        <v>375</v>
      </c>
      <c r="AE1422">
        <v>158.01</v>
      </c>
      <c r="AF1422">
        <v>216.99</v>
      </c>
      <c r="AG1422">
        <v>2024</v>
      </c>
      <c r="AH1422">
        <v>8</v>
      </c>
      <c r="AI1422" t="s">
        <v>2301</v>
      </c>
      <c r="AJ1422" t="s">
        <v>2315</v>
      </c>
    </row>
    <row r="1423" spans="1:36" x14ac:dyDescent="0.3">
      <c r="A1423" t="s">
        <v>1457</v>
      </c>
      <c r="B1423" s="2">
        <v>45599</v>
      </c>
      <c r="C1423" t="s">
        <v>1707</v>
      </c>
      <c r="D1423" t="s">
        <v>1871</v>
      </c>
      <c r="E1423" t="s">
        <v>2173</v>
      </c>
      <c r="F1423" t="s">
        <v>2240</v>
      </c>
      <c r="G1423" t="s">
        <v>2249</v>
      </c>
      <c r="H1423" t="s">
        <v>2257</v>
      </c>
      <c r="I1423" t="s">
        <v>2263</v>
      </c>
      <c r="J1423" t="s">
        <v>2266</v>
      </c>
      <c r="K1423">
        <v>1</v>
      </c>
      <c r="L1423">
        <v>160</v>
      </c>
      <c r="M1423">
        <v>0.1</v>
      </c>
      <c r="N1423">
        <v>160</v>
      </c>
      <c r="O1423">
        <v>144</v>
      </c>
      <c r="P1423" t="s">
        <v>2269</v>
      </c>
      <c r="Q1423" t="s">
        <v>2270</v>
      </c>
      <c r="R1423" t="s">
        <v>2273</v>
      </c>
      <c r="S1423" t="s">
        <v>2284</v>
      </c>
      <c r="T1423" t="s">
        <v>2288</v>
      </c>
      <c r="U1423">
        <v>4</v>
      </c>
      <c r="V1423">
        <v>256</v>
      </c>
      <c r="W1423">
        <v>33</v>
      </c>
      <c r="X1423">
        <v>89.1</v>
      </c>
      <c r="Y1423">
        <v>54.9</v>
      </c>
      <c r="Z1423" t="s">
        <v>2293</v>
      </c>
      <c r="AA1423" t="s">
        <v>2297</v>
      </c>
      <c r="AB1423">
        <v>160</v>
      </c>
      <c r="AC1423">
        <v>16</v>
      </c>
      <c r="AD1423">
        <v>144</v>
      </c>
      <c r="AE1423">
        <v>89.1</v>
      </c>
      <c r="AF1423">
        <v>54.900000000000013</v>
      </c>
      <c r="AG1423">
        <v>2024</v>
      </c>
      <c r="AH1423">
        <v>11</v>
      </c>
      <c r="AI1423" t="s">
        <v>2311</v>
      </c>
      <c r="AJ1423" t="s">
        <v>2318</v>
      </c>
    </row>
    <row r="1424" spans="1:36" x14ac:dyDescent="0.3">
      <c r="A1424" t="s">
        <v>1458</v>
      </c>
      <c r="B1424" s="2">
        <v>45559</v>
      </c>
      <c r="C1424" t="s">
        <v>1701</v>
      </c>
      <c r="D1424" t="s">
        <v>1857</v>
      </c>
      <c r="E1424" t="s">
        <v>2173</v>
      </c>
      <c r="F1424" t="s">
        <v>2238</v>
      </c>
      <c r="G1424" t="s">
        <v>2246</v>
      </c>
      <c r="H1424" t="s">
        <v>2259</v>
      </c>
      <c r="I1424" t="s">
        <v>2262</v>
      </c>
      <c r="J1424" t="s">
        <v>2264</v>
      </c>
      <c r="K1424">
        <v>1</v>
      </c>
      <c r="L1424">
        <v>90</v>
      </c>
      <c r="M1424">
        <v>0.05</v>
      </c>
      <c r="N1424">
        <v>90</v>
      </c>
      <c r="O1424">
        <v>85.5</v>
      </c>
      <c r="P1424" t="s">
        <v>2269</v>
      </c>
      <c r="R1424" t="s">
        <v>2279</v>
      </c>
      <c r="S1424" t="s">
        <v>2281</v>
      </c>
      <c r="T1424" t="s">
        <v>2288</v>
      </c>
      <c r="U1424">
        <v>4</v>
      </c>
      <c r="V1424">
        <v>325</v>
      </c>
      <c r="W1424">
        <v>28</v>
      </c>
      <c r="X1424">
        <v>43.2</v>
      </c>
      <c r="Y1424">
        <v>42.3</v>
      </c>
      <c r="Z1424" t="s">
        <v>2291</v>
      </c>
      <c r="AA1424" t="s">
        <v>2296</v>
      </c>
      <c r="AB1424">
        <v>90</v>
      </c>
      <c r="AC1424">
        <v>4.5</v>
      </c>
      <c r="AD1424">
        <v>85.5</v>
      </c>
      <c r="AE1424">
        <v>43.2</v>
      </c>
      <c r="AF1424">
        <v>42.3</v>
      </c>
      <c r="AG1424">
        <v>2024</v>
      </c>
      <c r="AH1424">
        <v>9</v>
      </c>
      <c r="AI1424" t="s">
        <v>2300</v>
      </c>
      <c r="AJ1424" t="s">
        <v>2313</v>
      </c>
    </row>
    <row r="1425" spans="1:36" x14ac:dyDescent="0.3">
      <c r="A1425" t="s">
        <v>1459</v>
      </c>
      <c r="C1425" t="s">
        <v>1684</v>
      </c>
      <c r="D1425" t="s">
        <v>1847</v>
      </c>
      <c r="E1425" t="s">
        <v>2010</v>
      </c>
      <c r="F1425" t="s">
        <v>2238</v>
      </c>
      <c r="G1425" t="s">
        <v>2242</v>
      </c>
      <c r="H1425" t="s">
        <v>2258</v>
      </c>
      <c r="I1425" t="s">
        <v>2260</v>
      </c>
      <c r="J1425" t="s">
        <v>2265</v>
      </c>
      <c r="K1425">
        <v>2</v>
      </c>
      <c r="L1425">
        <v>115</v>
      </c>
      <c r="M1425">
        <v>0.05</v>
      </c>
      <c r="N1425">
        <v>230</v>
      </c>
      <c r="O1425">
        <v>218.5</v>
      </c>
      <c r="P1425" t="s">
        <v>2267</v>
      </c>
      <c r="R1425" t="s">
        <v>2274</v>
      </c>
      <c r="S1425" t="s">
        <v>2282</v>
      </c>
      <c r="T1425" t="s">
        <v>2288</v>
      </c>
      <c r="U1425">
        <v>1</v>
      </c>
      <c r="W1425">
        <v>55</v>
      </c>
      <c r="X1425">
        <v>58.31</v>
      </c>
      <c r="Y1425">
        <v>101.88</v>
      </c>
      <c r="Z1425" t="s">
        <v>1761</v>
      </c>
      <c r="AA1425" t="s">
        <v>1761</v>
      </c>
      <c r="AB1425">
        <v>230</v>
      </c>
      <c r="AC1425">
        <v>11.5</v>
      </c>
      <c r="AD1425">
        <v>218.5</v>
      </c>
      <c r="AE1425">
        <v>116.62</v>
      </c>
      <c r="AF1425">
        <v>101.88</v>
      </c>
    </row>
    <row r="1426" spans="1:36" x14ac:dyDescent="0.3">
      <c r="A1426" t="s">
        <v>1460</v>
      </c>
      <c r="B1426" s="2">
        <v>45541</v>
      </c>
      <c r="C1426" t="s">
        <v>1660</v>
      </c>
      <c r="D1426" t="s">
        <v>1850</v>
      </c>
      <c r="E1426" t="s">
        <v>2136</v>
      </c>
      <c r="F1426" t="s">
        <v>2240</v>
      </c>
      <c r="G1426" t="s">
        <v>2243</v>
      </c>
      <c r="H1426" t="s">
        <v>2258</v>
      </c>
      <c r="I1426" t="s">
        <v>2260</v>
      </c>
      <c r="K1426">
        <v>5</v>
      </c>
      <c r="L1426">
        <v>70</v>
      </c>
      <c r="N1426">
        <v>350</v>
      </c>
      <c r="P1426" t="s">
        <v>2267</v>
      </c>
      <c r="Q1426" t="s">
        <v>2270</v>
      </c>
      <c r="R1426" t="s">
        <v>2277</v>
      </c>
      <c r="S1426" t="s">
        <v>2287</v>
      </c>
      <c r="T1426" t="s">
        <v>2288</v>
      </c>
      <c r="U1426">
        <v>5</v>
      </c>
      <c r="V1426">
        <v>474</v>
      </c>
      <c r="W1426">
        <v>17</v>
      </c>
      <c r="X1426">
        <v>32.42</v>
      </c>
      <c r="Z1426" t="s">
        <v>2295</v>
      </c>
      <c r="AA1426" t="s">
        <v>2299</v>
      </c>
      <c r="AB1426">
        <v>350</v>
      </c>
      <c r="AC1426">
        <v>0</v>
      </c>
      <c r="AD1426">
        <v>350</v>
      </c>
      <c r="AE1426">
        <v>162.1</v>
      </c>
      <c r="AF1426">
        <v>187.9</v>
      </c>
      <c r="AG1426">
        <v>2024</v>
      </c>
      <c r="AH1426">
        <v>9</v>
      </c>
      <c r="AI1426" t="s">
        <v>2300</v>
      </c>
      <c r="AJ1426" t="s">
        <v>2315</v>
      </c>
    </row>
    <row r="1427" spans="1:36" x14ac:dyDescent="0.3">
      <c r="A1427" t="s">
        <v>1461</v>
      </c>
      <c r="B1427" s="2">
        <v>45600</v>
      </c>
      <c r="C1427" t="s">
        <v>1664</v>
      </c>
      <c r="D1427" t="s">
        <v>1917</v>
      </c>
      <c r="E1427" t="s">
        <v>1990</v>
      </c>
      <c r="F1427" t="s">
        <v>2240</v>
      </c>
      <c r="G1427" t="s">
        <v>2250</v>
      </c>
      <c r="H1427" t="s">
        <v>2259</v>
      </c>
      <c r="I1427" t="s">
        <v>2262</v>
      </c>
      <c r="J1427" t="s">
        <v>2265</v>
      </c>
      <c r="K1427">
        <v>2</v>
      </c>
      <c r="L1427">
        <v>80</v>
      </c>
      <c r="M1427">
        <v>0.1</v>
      </c>
      <c r="N1427">
        <v>160</v>
      </c>
      <c r="O1427">
        <v>144</v>
      </c>
      <c r="P1427" t="s">
        <v>2267</v>
      </c>
      <c r="Q1427" t="s">
        <v>2270</v>
      </c>
      <c r="R1427" t="s">
        <v>2278</v>
      </c>
      <c r="S1427" t="s">
        <v>2282</v>
      </c>
      <c r="T1427" t="s">
        <v>2288</v>
      </c>
      <c r="U1427">
        <v>2</v>
      </c>
      <c r="V1427">
        <v>7</v>
      </c>
      <c r="W1427">
        <v>15</v>
      </c>
      <c r="X1427">
        <v>38.83</v>
      </c>
      <c r="Y1427">
        <v>66.34</v>
      </c>
      <c r="Z1427" t="s">
        <v>1761</v>
      </c>
      <c r="AA1427" t="s">
        <v>2298</v>
      </c>
      <c r="AB1427">
        <v>160</v>
      </c>
      <c r="AC1427">
        <v>16</v>
      </c>
      <c r="AD1427">
        <v>144</v>
      </c>
      <c r="AE1427">
        <v>77.66</v>
      </c>
      <c r="AF1427">
        <v>66.34</v>
      </c>
      <c r="AG1427">
        <v>2024</v>
      </c>
      <c r="AH1427">
        <v>11</v>
      </c>
      <c r="AI1427" t="s">
        <v>2311</v>
      </c>
      <c r="AJ1427" t="s">
        <v>2314</v>
      </c>
    </row>
    <row r="1428" spans="1:36" x14ac:dyDescent="0.3">
      <c r="A1428" t="s">
        <v>1462</v>
      </c>
      <c r="B1428" s="2">
        <v>45649</v>
      </c>
      <c r="C1428" t="s">
        <v>1725</v>
      </c>
      <c r="D1428" t="s">
        <v>1797</v>
      </c>
      <c r="E1428" t="s">
        <v>2203</v>
      </c>
      <c r="F1428" t="s">
        <v>2239</v>
      </c>
      <c r="G1428" t="s">
        <v>2243</v>
      </c>
      <c r="H1428" t="s">
        <v>2258</v>
      </c>
      <c r="I1428" t="s">
        <v>2260</v>
      </c>
      <c r="J1428" t="s">
        <v>2264</v>
      </c>
      <c r="K1428">
        <v>4</v>
      </c>
      <c r="L1428">
        <v>70</v>
      </c>
      <c r="M1428">
        <v>0.05</v>
      </c>
      <c r="N1428">
        <v>280</v>
      </c>
      <c r="O1428">
        <v>266</v>
      </c>
      <c r="P1428" t="s">
        <v>2268</v>
      </c>
      <c r="Q1428" t="s">
        <v>2272</v>
      </c>
      <c r="R1428" t="s">
        <v>2275</v>
      </c>
      <c r="S1428" t="s">
        <v>2287</v>
      </c>
      <c r="T1428" t="s">
        <v>2290</v>
      </c>
      <c r="U1428">
        <v>2</v>
      </c>
      <c r="W1428">
        <v>53</v>
      </c>
      <c r="X1428">
        <v>29.46</v>
      </c>
      <c r="Y1428">
        <v>148.16</v>
      </c>
      <c r="Z1428" t="s">
        <v>2293</v>
      </c>
      <c r="AA1428" t="s">
        <v>1761</v>
      </c>
      <c r="AB1428">
        <v>280</v>
      </c>
      <c r="AC1428">
        <v>14</v>
      </c>
      <c r="AD1428">
        <v>266</v>
      </c>
      <c r="AE1428">
        <v>117.84</v>
      </c>
      <c r="AF1428">
        <v>148.16</v>
      </c>
      <c r="AG1428">
        <v>2024</v>
      </c>
      <c r="AH1428">
        <v>12</v>
      </c>
      <c r="AI1428" t="s">
        <v>2309</v>
      </c>
      <c r="AJ1428" t="s">
        <v>2314</v>
      </c>
    </row>
    <row r="1429" spans="1:36" x14ac:dyDescent="0.3">
      <c r="A1429" t="s">
        <v>1463</v>
      </c>
      <c r="B1429" s="2">
        <v>45392</v>
      </c>
      <c r="C1429" t="s">
        <v>1641</v>
      </c>
      <c r="D1429" t="s">
        <v>1783</v>
      </c>
      <c r="E1429" t="s">
        <v>2115</v>
      </c>
      <c r="F1429" t="s">
        <v>2240</v>
      </c>
      <c r="G1429" t="s">
        <v>2251</v>
      </c>
      <c r="H1429" t="s">
        <v>2258</v>
      </c>
      <c r="I1429" t="s">
        <v>2260</v>
      </c>
      <c r="J1429" t="s">
        <v>2265</v>
      </c>
      <c r="L1429">
        <v>100</v>
      </c>
      <c r="M1429">
        <v>0</v>
      </c>
      <c r="N1429">
        <v>300</v>
      </c>
      <c r="O1429">
        <v>300</v>
      </c>
      <c r="P1429" t="s">
        <v>2269</v>
      </c>
      <c r="Q1429" t="s">
        <v>2272</v>
      </c>
      <c r="R1429" t="s">
        <v>2275</v>
      </c>
      <c r="S1429" t="s">
        <v>2287</v>
      </c>
      <c r="T1429" t="s">
        <v>2288</v>
      </c>
      <c r="V1429">
        <v>167</v>
      </c>
      <c r="W1429">
        <v>53</v>
      </c>
      <c r="X1429">
        <v>51.31</v>
      </c>
      <c r="Y1429">
        <v>146.07</v>
      </c>
      <c r="Z1429" t="s">
        <v>2294</v>
      </c>
      <c r="AA1429" t="s">
        <v>2296</v>
      </c>
      <c r="AG1429">
        <v>2024</v>
      </c>
      <c r="AH1429">
        <v>4</v>
      </c>
      <c r="AI1429" t="s">
        <v>2308</v>
      </c>
      <c r="AJ1429" t="s">
        <v>2312</v>
      </c>
    </row>
    <row r="1430" spans="1:36" x14ac:dyDescent="0.3">
      <c r="A1430" t="s">
        <v>1464</v>
      </c>
      <c r="B1430" s="2">
        <v>45620</v>
      </c>
      <c r="C1430" t="s">
        <v>1733</v>
      </c>
      <c r="D1430" t="s">
        <v>1858</v>
      </c>
      <c r="E1430" t="s">
        <v>2057</v>
      </c>
      <c r="F1430" t="s">
        <v>2239</v>
      </c>
      <c r="G1430" t="s">
        <v>2254</v>
      </c>
      <c r="H1430" t="s">
        <v>2259</v>
      </c>
      <c r="I1430" t="s">
        <v>2263</v>
      </c>
      <c r="J1430" t="s">
        <v>2265</v>
      </c>
      <c r="K1430">
        <v>1</v>
      </c>
      <c r="L1430">
        <v>120</v>
      </c>
      <c r="N1430">
        <v>120</v>
      </c>
      <c r="P1430" t="s">
        <v>2269</v>
      </c>
      <c r="R1430" t="s">
        <v>2276</v>
      </c>
      <c r="S1430" t="s">
        <v>2286</v>
      </c>
      <c r="T1430" t="s">
        <v>2288</v>
      </c>
      <c r="U1430">
        <v>2</v>
      </c>
      <c r="V1430">
        <v>277</v>
      </c>
      <c r="W1430">
        <v>50</v>
      </c>
      <c r="X1430">
        <v>65.09</v>
      </c>
      <c r="Z1430" t="s">
        <v>2291</v>
      </c>
      <c r="AA1430" t="s">
        <v>2296</v>
      </c>
      <c r="AB1430">
        <v>120</v>
      </c>
      <c r="AC1430">
        <v>0</v>
      </c>
      <c r="AD1430">
        <v>120</v>
      </c>
      <c r="AE1430">
        <v>65.09</v>
      </c>
      <c r="AF1430">
        <v>54.91</v>
      </c>
      <c r="AG1430">
        <v>2024</v>
      </c>
      <c r="AH1430">
        <v>11</v>
      </c>
      <c r="AI1430" t="s">
        <v>2311</v>
      </c>
      <c r="AJ1430" t="s">
        <v>2318</v>
      </c>
    </row>
    <row r="1431" spans="1:36" x14ac:dyDescent="0.3">
      <c r="A1431" t="s">
        <v>1465</v>
      </c>
      <c r="B1431" s="2">
        <v>45563</v>
      </c>
      <c r="C1431" t="s">
        <v>1729</v>
      </c>
      <c r="D1431" t="s">
        <v>1919</v>
      </c>
      <c r="E1431" t="s">
        <v>1956</v>
      </c>
      <c r="F1431" t="s">
        <v>1761</v>
      </c>
      <c r="G1431" t="s">
        <v>2255</v>
      </c>
      <c r="H1431" t="s">
        <v>2260</v>
      </c>
      <c r="I1431" t="s">
        <v>2260</v>
      </c>
      <c r="J1431" t="s">
        <v>2265</v>
      </c>
      <c r="K1431">
        <v>1</v>
      </c>
      <c r="L1431">
        <v>175</v>
      </c>
      <c r="M1431">
        <v>0</v>
      </c>
      <c r="N1431">
        <v>175</v>
      </c>
      <c r="O1431">
        <v>175</v>
      </c>
      <c r="P1431" t="s">
        <v>2269</v>
      </c>
      <c r="R1431" t="s">
        <v>2277</v>
      </c>
      <c r="S1431" t="s">
        <v>2280</v>
      </c>
      <c r="T1431" t="s">
        <v>2289</v>
      </c>
      <c r="U1431">
        <v>3</v>
      </c>
      <c r="V1431">
        <v>131</v>
      </c>
      <c r="W1431">
        <v>13</v>
      </c>
      <c r="X1431">
        <v>64.75</v>
      </c>
      <c r="Y1431">
        <v>110.25</v>
      </c>
      <c r="Z1431" t="s">
        <v>2293</v>
      </c>
      <c r="AA1431" t="s">
        <v>2297</v>
      </c>
      <c r="AB1431">
        <v>175</v>
      </c>
      <c r="AC1431">
        <v>0</v>
      </c>
      <c r="AD1431">
        <v>175</v>
      </c>
      <c r="AE1431">
        <v>64.75</v>
      </c>
      <c r="AF1431">
        <v>110.25</v>
      </c>
      <c r="AG1431">
        <v>2024</v>
      </c>
      <c r="AH1431">
        <v>9</v>
      </c>
      <c r="AI1431" t="s">
        <v>2300</v>
      </c>
      <c r="AJ1431" t="s">
        <v>2317</v>
      </c>
    </row>
    <row r="1432" spans="1:36" x14ac:dyDescent="0.3">
      <c r="A1432" t="s">
        <v>1466</v>
      </c>
      <c r="B1432" s="2">
        <v>45350</v>
      </c>
      <c r="C1432" t="s">
        <v>1722</v>
      </c>
      <c r="D1432" t="s">
        <v>1752</v>
      </c>
      <c r="E1432" t="s">
        <v>2162</v>
      </c>
      <c r="F1432" t="s">
        <v>2238</v>
      </c>
      <c r="G1432" t="s">
        <v>2251</v>
      </c>
      <c r="H1432" t="s">
        <v>2258</v>
      </c>
      <c r="I1432" t="s">
        <v>2260</v>
      </c>
      <c r="J1432" t="s">
        <v>2264</v>
      </c>
      <c r="K1432">
        <v>1</v>
      </c>
      <c r="L1432">
        <v>100</v>
      </c>
      <c r="M1432">
        <v>0.15</v>
      </c>
      <c r="N1432">
        <v>100</v>
      </c>
      <c r="O1432">
        <v>85</v>
      </c>
      <c r="Q1432" t="s">
        <v>2270</v>
      </c>
      <c r="R1432" t="s">
        <v>2275</v>
      </c>
      <c r="S1432" t="s">
        <v>2286</v>
      </c>
      <c r="T1432" t="s">
        <v>2289</v>
      </c>
      <c r="V1432">
        <v>335</v>
      </c>
      <c r="X1432">
        <v>43.24</v>
      </c>
      <c r="Y1432">
        <v>41.76</v>
      </c>
      <c r="Z1432" t="s">
        <v>2291</v>
      </c>
      <c r="AA1432" t="s">
        <v>2296</v>
      </c>
      <c r="AB1432">
        <v>100</v>
      </c>
      <c r="AC1432">
        <v>15</v>
      </c>
      <c r="AD1432">
        <v>85</v>
      </c>
      <c r="AE1432">
        <v>43.24</v>
      </c>
      <c r="AF1432">
        <v>41.76</v>
      </c>
      <c r="AG1432">
        <v>2024</v>
      </c>
      <c r="AH1432">
        <v>2</v>
      </c>
      <c r="AI1432" t="s">
        <v>2303</v>
      </c>
      <c r="AJ1432" t="s">
        <v>2312</v>
      </c>
    </row>
    <row r="1433" spans="1:36" x14ac:dyDescent="0.3">
      <c r="A1433" t="s">
        <v>1467</v>
      </c>
      <c r="B1433" s="2">
        <v>45374</v>
      </c>
      <c r="C1433" t="s">
        <v>1682</v>
      </c>
      <c r="D1433" t="s">
        <v>1813</v>
      </c>
      <c r="E1433" t="s">
        <v>2025</v>
      </c>
      <c r="F1433" t="s">
        <v>2239</v>
      </c>
      <c r="G1433" t="s">
        <v>2252</v>
      </c>
      <c r="H1433" t="s">
        <v>2257</v>
      </c>
      <c r="I1433" t="s">
        <v>2262</v>
      </c>
      <c r="K1433">
        <v>1</v>
      </c>
      <c r="L1433">
        <v>90</v>
      </c>
      <c r="M1433">
        <v>0.1</v>
      </c>
      <c r="N1433">
        <v>90</v>
      </c>
      <c r="O1433">
        <v>81</v>
      </c>
      <c r="P1433" t="s">
        <v>2267</v>
      </c>
      <c r="Q1433" t="s">
        <v>2272</v>
      </c>
      <c r="R1433" t="s">
        <v>2277</v>
      </c>
      <c r="S1433" t="s">
        <v>2283</v>
      </c>
      <c r="T1433" t="s">
        <v>2288</v>
      </c>
      <c r="U1433">
        <v>1</v>
      </c>
      <c r="V1433">
        <v>303</v>
      </c>
      <c r="X1433">
        <v>46.05</v>
      </c>
      <c r="Y1433">
        <v>34.950000000000003</v>
      </c>
      <c r="Z1433" t="s">
        <v>2291</v>
      </c>
      <c r="AA1433" t="s">
        <v>2299</v>
      </c>
      <c r="AB1433">
        <v>90</v>
      </c>
      <c r="AC1433">
        <v>9</v>
      </c>
      <c r="AD1433">
        <v>81</v>
      </c>
      <c r="AE1433">
        <v>46.05</v>
      </c>
      <c r="AF1433">
        <v>34.950000000000003</v>
      </c>
      <c r="AG1433">
        <v>2024</v>
      </c>
      <c r="AH1433">
        <v>3</v>
      </c>
      <c r="AI1433" t="s">
        <v>2305</v>
      </c>
      <c r="AJ1433" t="s">
        <v>2317</v>
      </c>
    </row>
    <row r="1434" spans="1:36" x14ac:dyDescent="0.3">
      <c r="A1434" t="s">
        <v>1468</v>
      </c>
      <c r="B1434" s="2">
        <v>45305</v>
      </c>
      <c r="C1434" t="s">
        <v>1655</v>
      </c>
      <c r="D1434" t="s">
        <v>1761</v>
      </c>
      <c r="E1434" t="s">
        <v>2232</v>
      </c>
      <c r="F1434" t="s">
        <v>2240</v>
      </c>
      <c r="G1434" t="s">
        <v>2253</v>
      </c>
      <c r="H1434" t="s">
        <v>2258</v>
      </c>
      <c r="I1434" t="s">
        <v>2260</v>
      </c>
      <c r="K1434">
        <v>1</v>
      </c>
      <c r="L1434">
        <v>90</v>
      </c>
      <c r="M1434">
        <v>0.05</v>
      </c>
      <c r="N1434">
        <v>90</v>
      </c>
      <c r="O1434">
        <v>85.5</v>
      </c>
      <c r="P1434" t="s">
        <v>2268</v>
      </c>
      <c r="Q1434" t="s">
        <v>2270</v>
      </c>
      <c r="R1434" t="s">
        <v>2278</v>
      </c>
      <c r="S1434" t="s">
        <v>2285</v>
      </c>
      <c r="T1434" t="s">
        <v>2289</v>
      </c>
      <c r="U1434">
        <v>3</v>
      </c>
      <c r="V1434">
        <v>490</v>
      </c>
      <c r="W1434">
        <v>16</v>
      </c>
      <c r="X1434">
        <v>33.619999999999997</v>
      </c>
      <c r="Y1434">
        <v>51.88</v>
      </c>
      <c r="Z1434" t="s">
        <v>2293</v>
      </c>
      <c r="AA1434" t="s">
        <v>2299</v>
      </c>
      <c r="AB1434">
        <v>90</v>
      </c>
      <c r="AC1434">
        <v>4.5</v>
      </c>
      <c r="AD1434">
        <v>85.5</v>
      </c>
      <c r="AE1434">
        <v>33.619999999999997</v>
      </c>
      <c r="AF1434">
        <v>51.88</v>
      </c>
      <c r="AG1434">
        <v>2024</v>
      </c>
      <c r="AH1434">
        <v>1</v>
      </c>
      <c r="AI1434" t="s">
        <v>2302</v>
      </c>
      <c r="AJ1434" t="s">
        <v>2318</v>
      </c>
    </row>
    <row r="1435" spans="1:36" x14ac:dyDescent="0.3">
      <c r="A1435" t="s">
        <v>1469</v>
      </c>
      <c r="B1435" s="2">
        <v>45515</v>
      </c>
      <c r="C1435" t="s">
        <v>1697</v>
      </c>
      <c r="D1435" t="s">
        <v>1772</v>
      </c>
      <c r="E1435" t="s">
        <v>2101</v>
      </c>
      <c r="F1435" t="s">
        <v>2239</v>
      </c>
      <c r="G1435" t="s">
        <v>2244</v>
      </c>
      <c r="H1435" t="s">
        <v>2257</v>
      </c>
      <c r="I1435" t="s">
        <v>2262</v>
      </c>
      <c r="J1435" t="s">
        <v>2265</v>
      </c>
      <c r="K1435">
        <v>1</v>
      </c>
      <c r="L1435">
        <v>115</v>
      </c>
      <c r="M1435">
        <v>0</v>
      </c>
      <c r="N1435">
        <v>115</v>
      </c>
      <c r="O1435">
        <v>115</v>
      </c>
      <c r="P1435" t="s">
        <v>2268</v>
      </c>
      <c r="Q1435" t="s">
        <v>2271</v>
      </c>
      <c r="R1435" t="s">
        <v>2277</v>
      </c>
      <c r="S1435" t="s">
        <v>2284</v>
      </c>
      <c r="T1435" t="s">
        <v>2288</v>
      </c>
      <c r="U1435">
        <v>4</v>
      </c>
      <c r="V1435">
        <v>235</v>
      </c>
      <c r="X1435">
        <v>56.8</v>
      </c>
      <c r="Y1435">
        <v>58.2</v>
      </c>
      <c r="Z1435" t="s">
        <v>1761</v>
      </c>
      <c r="AA1435" t="s">
        <v>2297</v>
      </c>
      <c r="AB1435">
        <v>115</v>
      </c>
      <c r="AC1435">
        <v>0</v>
      </c>
      <c r="AD1435">
        <v>115</v>
      </c>
      <c r="AE1435">
        <v>56.8</v>
      </c>
      <c r="AF1435">
        <v>58.2</v>
      </c>
      <c r="AG1435">
        <v>2024</v>
      </c>
      <c r="AH1435">
        <v>8</v>
      </c>
      <c r="AI1435" t="s">
        <v>2301</v>
      </c>
      <c r="AJ1435" t="s">
        <v>2318</v>
      </c>
    </row>
    <row r="1436" spans="1:36" x14ac:dyDescent="0.3">
      <c r="A1436" t="s">
        <v>1470</v>
      </c>
      <c r="B1436" s="2">
        <v>45298</v>
      </c>
      <c r="C1436" t="s">
        <v>1725</v>
      </c>
      <c r="D1436" t="s">
        <v>1840</v>
      </c>
      <c r="E1436" t="s">
        <v>2082</v>
      </c>
      <c r="F1436" t="s">
        <v>2240</v>
      </c>
      <c r="G1436" t="s">
        <v>2249</v>
      </c>
      <c r="H1436" t="s">
        <v>2257</v>
      </c>
      <c r="I1436" t="s">
        <v>2263</v>
      </c>
      <c r="J1436" t="s">
        <v>2264</v>
      </c>
      <c r="K1436">
        <v>1</v>
      </c>
      <c r="L1436">
        <v>165</v>
      </c>
      <c r="M1436">
        <v>0.1</v>
      </c>
      <c r="N1436">
        <v>165</v>
      </c>
      <c r="O1436">
        <v>148.5</v>
      </c>
      <c r="P1436" t="s">
        <v>2267</v>
      </c>
      <c r="Q1436" t="s">
        <v>2272</v>
      </c>
      <c r="R1436" t="s">
        <v>2274</v>
      </c>
      <c r="S1436" t="s">
        <v>2287</v>
      </c>
      <c r="T1436" t="s">
        <v>2288</v>
      </c>
      <c r="U1436">
        <v>5</v>
      </c>
      <c r="V1436">
        <v>192</v>
      </c>
      <c r="W1436">
        <v>38</v>
      </c>
      <c r="X1436">
        <v>59.83</v>
      </c>
      <c r="Y1436">
        <v>88.67</v>
      </c>
      <c r="Z1436" t="s">
        <v>2294</v>
      </c>
      <c r="AA1436" t="s">
        <v>1761</v>
      </c>
      <c r="AB1436">
        <v>165</v>
      </c>
      <c r="AC1436">
        <v>16.5</v>
      </c>
      <c r="AD1436">
        <v>148.5</v>
      </c>
      <c r="AE1436">
        <v>59.83</v>
      </c>
      <c r="AF1436">
        <v>88.67</v>
      </c>
      <c r="AG1436">
        <v>2024</v>
      </c>
      <c r="AH1436">
        <v>1</v>
      </c>
      <c r="AI1436" t="s">
        <v>2302</v>
      </c>
      <c r="AJ1436" t="s">
        <v>2318</v>
      </c>
    </row>
    <row r="1437" spans="1:36" x14ac:dyDescent="0.3">
      <c r="A1437" t="s">
        <v>1471</v>
      </c>
      <c r="B1437" s="2">
        <v>45502</v>
      </c>
      <c r="C1437" t="s">
        <v>1676</v>
      </c>
      <c r="D1437" t="s">
        <v>1905</v>
      </c>
      <c r="E1437" t="s">
        <v>2007</v>
      </c>
      <c r="F1437" t="s">
        <v>1761</v>
      </c>
      <c r="G1437" t="s">
        <v>2251</v>
      </c>
      <c r="H1437" t="s">
        <v>2258</v>
      </c>
      <c r="I1437" t="s">
        <v>2260</v>
      </c>
      <c r="J1437" t="s">
        <v>2264</v>
      </c>
      <c r="K1437">
        <v>1</v>
      </c>
      <c r="L1437">
        <v>100</v>
      </c>
      <c r="M1437">
        <v>0</v>
      </c>
      <c r="N1437">
        <v>100</v>
      </c>
      <c r="O1437">
        <v>100</v>
      </c>
      <c r="P1437" t="s">
        <v>2269</v>
      </c>
      <c r="Q1437" t="s">
        <v>2270</v>
      </c>
      <c r="R1437" t="s">
        <v>2273</v>
      </c>
      <c r="S1437" t="s">
        <v>2287</v>
      </c>
      <c r="T1437" t="s">
        <v>2288</v>
      </c>
      <c r="U1437">
        <v>5</v>
      </c>
      <c r="V1437">
        <v>477</v>
      </c>
      <c r="X1437">
        <v>37.39</v>
      </c>
      <c r="Y1437">
        <v>62.61</v>
      </c>
      <c r="Z1437" t="s">
        <v>2294</v>
      </c>
      <c r="AA1437" t="s">
        <v>2296</v>
      </c>
      <c r="AB1437">
        <v>100</v>
      </c>
      <c r="AC1437">
        <v>0</v>
      </c>
      <c r="AD1437">
        <v>100</v>
      </c>
      <c r="AE1437">
        <v>37.39</v>
      </c>
      <c r="AF1437">
        <v>62.61</v>
      </c>
      <c r="AG1437">
        <v>2024</v>
      </c>
      <c r="AH1437">
        <v>7</v>
      </c>
      <c r="AI1437" t="s">
        <v>2307</v>
      </c>
      <c r="AJ1437" t="s">
        <v>2314</v>
      </c>
    </row>
    <row r="1438" spans="1:36" x14ac:dyDescent="0.3">
      <c r="A1438" t="s">
        <v>1472</v>
      </c>
      <c r="C1438" t="s">
        <v>1739</v>
      </c>
      <c r="D1438" t="s">
        <v>1751</v>
      </c>
      <c r="E1438" t="s">
        <v>2140</v>
      </c>
      <c r="F1438" t="s">
        <v>2239</v>
      </c>
      <c r="G1438" t="s">
        <v>2241</v>
      </c>
      <c r="H1438" t="s">
        <v>2257</v>
      </c>
      <c r="I1438" t="s">
        <v>2262</v>
      </c>
      <c r="K1438">
        <v>1</v>
      </c>
      <c r="L1438">
        <v>130</v>
      </c>
      <c r="M1438">
        <v>0</v>
      </c>
      <c r="N1438">
        <v>130</v>
      </c>
      <c r="O1438">
        <v>130</v>
      </c>
      <c r="P1438" t="s">
        <v>2269</v>
      </c>
      <c r="Q1438" t="s">
        <v>2271</v>
      </c>
      <c r="R1438" t="s">
        <v>2276</v>
      </c>
      <c r="S1438" t="s">
        <v>2283</v>
      </c>
      <c r="T1438" t="s">
        <v>2290</v>
      </c>
      <c r="U1438">
        <v>1</v>
      </c>
      <c r="V1438">
        <v>339</v>
      </c>
      <c r="W1438">
        <v>14</v>
      </c>
      <c r="X1438">
        <v>68.099999999999994</v>
      </c>
      <c r="Y1438">
        <v>61.9</v>
      </c>
      <c r="Z1438" t="s">
        <v>2291</v>
      </c>
      <c r="AA1438" t="s">
        <v>2296</v>
      </c>
      <c r="AB1438">
        <v>130</v>
      </c>
      <c r="AC1438">
        <v>0</v>
      </c>
      <c r="AD1438">
        <v>130</v>
      </c>
      <c r="AE1438">
        <v>68.099999999999994</v>
      </c>
      <c r="AF1438">
        <v>61.900000000000013</v>
      </c>
    </row>
    <row r="1439" spans="1:36" x14ac:dyDescent="0.3">
      <c r="A1439" t="s">
        <v>1473</v>
      </c>
      <c r="B1439" s="2">
        <v>45498</v>
      </c>
      <c r="C1439" t="s">
        <v>1705</v>
      </c>
      <c r="D1439" t="s">
        <v>1865</v>
      </c>
      <c r="E1439" t="s">
        <v>1991</v>
      </c>
      <c r="F1439" t="s">
        <v>1761</v>
      </c>
      <c r="G1439" t="s">
        <v>2255</v>
      </c>
      <c r="H1439" t="s">
        <v>2260</v>
      </c>
      <c r="I1439" t="s">
        <v>2260</v>
      </c>
      <c r="J1439" t="s">
        <v>2265</v>
      </c>
      <c r="K1439">
        <v>2</v>
      </c>
      <c r="L1439">
        <v>180</v>
      </c>
      <c r="M1439">
        <v>0</v>
      </c>
      <c r="N1439">
        <v>360</v>
      </c>
      <c r="O1439">
        <v>360</v>
      </c>
      <c r="Q1439" t="s">
        <v>2272</v>
      </c>
      <c r="R1439" t="s">
        <v>2277</v>
      </c>
      <c r="S1439" t="s">
        <v>2286</v>
      </c>
      <c r="T1439" t="s">
        <v>2288</v>
      </c>
      <c r="U1439">
        <v>4</v>
      </c>
      <c r="V1439">
        <v>409</v>
      </c>
      <c r="X1439">
        <v>85.87</v>
      </c>
      <c r="Y1439">
        <v>188.26</v>
      </c>
      <c r="Z1439" t="s">
        <v>2293</v>
      </c>
      <c r="AA1439" t="s">
        <v>1761</v>
      </c>
      <c r="AB1439">
        <v>360</v>
      </c>
      <c r="AC1439">
        <v>0</v>
      </c>
      <c r="AD1439">
        <v>360</v>
      </c>
      <c r="AE1439">
        <v>171.74</v>
      </c>
      <c r="AF1439">
        <v>188.26</v>
      </c>
      <c r="AG1439">
        <v>2024</v>
      </c>
      <c r="AH1439">
        <v>7</v>
      </c>
      <c r="AI1439" t="s">
        <v>2307</v>
      </c>
      <c r="AJ1439" t="s">
        <v>2316</v>
      </c>
    </row>
    <row r="1440" spans="1:36" x14ac:dyDescent="0.3">
      <c r="A1440" t="s">
        <v>1474</v>
      </c>
      <c r="B1440" s="2">
        <v>45565</v>
      </c>
      <c r="C1440" t="s">
        <v>1716</v>
      </c>
      <c r="D1440" t="s">
        <v>1925</v>
      </c>
      <c r="E1440" t="s">
        <v>1761</v>
      </c>
      <c r="F1440" t="s">
        <v>2238</v>
      </c>
      <c r="G1440" t="s">
        <v>2249</v>
      </c>
      <c r="H1440" t="s">
        <v>2257</v>
      </c>
      <c r="I1440" t="s">
        <v>2263</v>
      </c>
      <c r="J1440" t="s">
        <v>2264</v>
      </c>
      <c r="K1440">
        <v>1</v>
      </c>
      <c r="L1440">
        <v>155</v>
      </c>
      <c r="M1440">
        <v>0.1</v>
      </c>
      <c r="N1440">
        <v>155</v>
      </c>
      <c r="O1440">
        <v>139.5</v>
      </c>
      <c r="P1440" t="s">
        <v>2267</v>
      </c>
      <c r="Q1440" t="s">
        <v>2270</v>
      </c>
      <c r="R1440" t="s">
        <v>2279</v>
      </c>
      <c r="S1440" t="s">
        <v>2285</v>
      </c>
      <c r="T1440" t="s">
        <v>2288</v>
      </c>
      <c r="V1440">
        <v>155</v>
      </c>
      <c r="W1440">
        <v>10</v>
      </c>
      <c r="X1440">
        <v>84.04</v>
      </c>
      <c r="Y1440">
        <v>55.46</v>
      </c>
      <c r="Z1440" t="s">
        <v>2292</v>
      </c>
      <c r="AA1440" t="s">
        <v>1761</v>
      </c>
      <c r="AB1440">
        <v>155</v>
      </c>
      <c r="AC1440">
        <v>15.5</v>
      </c>
      <c r="AD1440">
        <v>139.5</v>
      </c>
      <c r="AE1440">
        <v>84.04</v>
      </c>
      <c r="AF1440">
        <v>55.459999999999987</v>
      </c>
      <c r="AG1440">
        <v>2024</v>
      </c>
      <c r="AH1440">
        <v>9</v>
      </c>
      <c r="AI1440" t="s">
        <v>2300</v>
      </c>
      <c r="AJ1440" t="s">
        <v>2314</v>
      </c>
    </row>
    <row r="1441" spans="1:36" x14ac:dyDescent="0.3">
      <c r="A1441" t="s">
        <v>1475</v>
      </c>
      <c r="B1441" s="2">
        <v>45493</v>
      </c>
      <c r="C1441" t="s">
        <v>1649</v>
      </c>
      <c r="D1441" t="s">
        <v>1828</v>
      </c>
      <c r="E1441" t="s">
        <v>2133</v>
      </c>
      <c r="F1441" t="s">
        <v>2240</v>
      </c>
      <c r="G1441" t="s">
        <v>2247</v>
      </c>
      <c r="H1441" t="s">
        <v>2257</v>
      </c>
      <c r="I1441" t="s">
        <v>2262</v>
      </c>
      <c r="J1441" t="s">
        <v>2266</v>
      </c>
      <c r="K1441">
        <v>1</v>
      </c>
      <c r="L1441">
        <v>95</v>
      </c>
      <c r="M1441">
        <v>0</v>
      </c>
      <c r="N1441">
        <v>95</v>
      </c>
      <c r="O1441">
        <v>95</v>
      </c>
      <c r="P1441" t="s">
        <v>2269</v>
      </c>
      <c r="Q1441" t="s">
        <v>2270</v>
      </c>
      <c r="R1441" t="s">
        <v>2277</v>
      </c>
      <c r="S1441" t="s">
        <v>2286</v>
      </c>
      <c r="T1441" t="s">
        <v>2290</v>
      </c>
      <c r="U1441">
        <v>1</v>
      </c>
      <c r="V1441">
        <v>32</v>
      </c>
      <c r="W1441">
        <v>31</v>
      </c>
      <c r="X1441">
        <v>44.63</v>
      </c>
      <c r="Y1441">
        <v>50.37</v>
      </c>
      <c r="Z1441" t="s">
        <v>1761</v>
      </c>
      <c r="AA1441" t="s">
        <v>2297</v>
      </c>
      <c r="AB1441">
        <v>95</v>
      </c>
      <c r="AC1441">
        <v>0</v>
      </c>
      <c r="AD1441">
        <v>95</v>
      </c>
      <c r="AE1441">
        <v>44.63</v>
      </c>
      <c r="AF1441">
        <v>50.37</v>
      </c>
      <c r="AG1441">
        <v>2024</v>
      </c>
      <c r="AH1441">
        <v>7</v>
      </c>
      <c r="AI1441" t="s">
        <v>2307</v>
      </c>
      <c r="AJ1441" t="s">
        <v>2317</v>
      </c>
    </row>
    <row r="1442" spans="1:36" x14ac:dyDescent="0.3">
      <c r="A1442" t="s">
        <v>1476</v>
      </c>
      <c r="B1442" s="2">
        <v>45538</v>
      </c>
      <c r="C1442" t="s">
        <v>1712</v>
      </c>
      <c r="D1442" t="s">
        <v>1805</v>
      </c>
      <c r="E1442" t="s">
        <v>1991</v>
      </c>
      <c r="F1442" t="s">
        <v>2238</v>
      </c>
      <c r="G1442" t="s">
        <v>2249</v>
      </c>
      <c r="H1442" t="s">
        <v>2257</v>
      </c>
      <c r="I1442" t="s">
        <v>2263</v>
      </c>
      <c r="J1442" t="s">
        <v>2265</v>
      </c>
      <c r="K1442">
        <v>2</v>
      </c>
      <c r="L1442">
        <v>170</v>
      </c>
      <c r="N1442">
        <v>340</v>
      </c>
      <c r="P1442" t="s">
        <v>2267</v>
      </c>
      <c r="Q1442" t="s">
        <v>2271</v>
      </c>
      <c r="R1442" t="s">
        <v>2279</v>
      </c>
      <c r="S1442" t="s">
        <v>2287</v>
      </c>
      <c r="T1442" t="s">
        <v>2289</v>
      </c>
      <c r="U1442">
        <v>5</v>
      </c>
      <c r="V1442">
        <v>86</v>
      </c>
      <c r="X1442">
        <v>90.99</v>
      </c>
      <c r="Z1442" t="s">
        <v>2293</v>
      </c>
      <c r="AA1442" t="s">
        <v>2297</v>
      </c>
      <c r="AB1442">
        <v>340</v>
      </c>
      <c r="AC1442">
        <v>0</v>
      </c>
      <c r="AD1442">
        <v>340</v>
      </c>
      <c r="AE1442">
        <v>181.98</v>
      </c>
      <c r="AF1442">
        <v>158.02000000000001</v>
      </c>
      <c r="AG1442">
        <v>2024</v>
      </c>
      <c r="AH1442">
        <v>9</v>
      </c>
      <c r="AI1442" t="s">
        <v>2300</v>
      </c>
      <c r="AJ1442" t="s">
        <v>2313</v>
      </c>
    </row>
    <row r="1443" spans="1:36" x14ac:dyDescent="0.3">
      <c r="A1443" t="s">
        <v>1477</v>
      </c>
      <c r="B1443" s="2">
        <v>45502</v>
      </c>
      <c r="C1443" t="s">
        <v>1703</v>
      </c>
      <c r="D1443" t="s">
        <v>1909</v>
      </c>
      <c r="E1443" t="s">
        <v>2172</v>
      </c>
      <c r="F1443" t="s">
        <v>2239</v>
      </c>
      <c r="G1443" t="s">
        <v>2245</v>
      </c>
      <c r="H1443" t="s">
        <v>2257</v>
      </c>
      <c r="I1443" t="s">
        <v>2263</v>
      </c>
      <c r="J1443" t="s">
        <v>2266</v>
      </c>
      <c r="K1443">
        <v>1</v>
      </c>
      <c r="L1443">
        <v>150</v>
      </c>
      <c r="M1443">
        <v>0</v>
      </c>
      <c r="N1443">
        <v>150</v>
      </c>
      <c r="O1443">
        <v>150</v>
      </c>
      <c r="P1443" t="s">
        <v>2267</v>
      </c>
      <c r="Q1443" t="s">
        <v>2272</v>
      </c>
      <c r="R1443" t="s">
        <v>2279</v>
      </c>
      <c r="S1443" t="s">
        <v>2287</v>
      </c>
      <c r="T1443" t="s">
        <v>2288</v>
      </c>
      <c r="U1443">
        <v>3</v>
      </c>
      <c r="V1443">
        <v>235</v>
      </c>
      <c r="W1443">
        <v>53</v>
      </c>
      <c r="X1443">
        <v>55.65</v>
      </c>
      <c r="Y1443">
        <v>94.35</v>
      </c>
      <c r="Z1443" t="s">
        <v>2292</v>
      </c>
      <c r="AA1443" t="s">
        <v>2298</v>
      </c>
      <c r="AB1443">
        <v>150</v>
      </c>
      <c r="AC1443">
        <v>0</v>
      </c>
      <c r="AD1443">
        <v>150</v>
      </c>
      <c r="AE1443">
        <v>55.65</v>
      </c>
      <c r="AF1443">
        <v>94.35</v>
      </c>
      <c r="AG1443">
        <v>2024</v>
      </c>
      <c r="AH1443">
        <v>7</v>
      </c>
      <c r="AI1443" t="s">
        <v>2307</v>
      </c>
      <c r="AJ1443" t="s">
        <v>2314</v>
      </c>
    </row>
    <row r="1444" spans="1:36" x14ac:dyDescent="0.3">
      <c r="A1444" t="s">
        <v>1478</v>
      </c>
      <c r="B1444" s="2">
        <v>45496</v>
      </c>
      <c r="C1444" t="s">
        <v>1728</v>
      </c>
      <c r="D1444" t="s">
        <v>1848</v>
      </c>
      <c r="E1444" t="s">
        <v>2125</v>
      </c>
      <c r="F1444" t="s">
        <v>2239</v>
      </c>
      <c r="G1444" t="s">
        <v>2243</v>
      </c>
      <c r="H1444" t="s">
        <v>2258</v>
      </c>
      <c r="I1444" t="s">
        <v>2260</v>
      </c>
      <c r="J1444" t="s">
        <v>2266</v>
      </c>
      <c r="K1444">
        <v>2</v>
      </c>
      <c r="L1444">
        <v>65</v>
      </c>
      <c r="M1444">
        <v>0.1</v>
      </c>
      <c r="N1444">
        <v>130</v>
      </c>
      <c r="O1444">
        <v>117</v>
      </c>
      <c r="Q1444" t="s">
        <v>2272</v>
      </c>
      <c r="R1444" t="s">
        <v>2275</v>
      </c>
      <c r="S1444" t="s">
        <v>2283</v>
      </c>
      <c r="T1444" t="s">
        <v>2288</v>
      </c>
      <c r="U1444">
        <v>2</v>
      </c>
      <c r="V1444">
        <v>8</v>
      </c>
      <c r="W1444">
        <v>31</v>
      </c>
      <c r="X1444">
        <v>24.54</v>
      </c>
      <c r="Y1444">
        <v>67.92</v>
      </c>
      <c r="Z1444" t="s">
        <v>1761</v>
      </c>
      <c r="AA1444" t="s">
        <v>2297</v>
      </c>
      <c r="AB1444">
        <v>130</v>
      </c>
      <c r="AC1444">
        <v>13</v>
      </c>
      <c r="AD1444">
        <v>117</v>
      </c>
      <c r="AE1444">
        <v>49.08</v>
      </c>
      <c r="AF1444">
        <v>67.92</v>
      </c>
      <c r="AG1444">
        <v>2024</v>
      </c>
      <c r="AH1444">
        <v>7</v>
      </c>
      <c r="AI1444" t="s">
        <v>2307</v>
      </c>
      <c r="AJ1444" t="s">
        <v>2313</v>
      </c>
    </row>
    <row r="1445" spans="1:36" x14ac:dyDescent="0.3">
      <c r="A1445" t="s">
        <v>1479</v>
      </c>
      <c r="B1445" s="2">
        <v>45551</v>
      </c>
      <c r="C1445" t="s">
        <v>1680</v>
      </c>
      <c r="D1445" t="s">
        <v>1814</v>
      </c>
      <c r="E1445" t="s">
        <v>2107</v>
      </c>
      <c r="F1445" t="s">
        <v>2239</v>
      </c>
      <c r="G1445" t="s">
        <v>2254</v>
      </c>
      <c r="H1445" t="s">
        <v>2259</v>
      </c>
      <c r="I1445" t="s">
        <v>2263</v>
      </c>
      <c r="J1445" t="s">
        <v>2266</v>
      </c>
      <c r="K1445">
        <v>3</v>
      </c>
      <c r="L1445">
        <v>120</v>
      </c>
      <c r="M1445">
        <v>0.15</v>
      </c>
      <c r="N1445">
        <v>360</v>
      </c>
      <c r="O1445">
        <v>306</v>
      </c>
      <c r="P1445" t="s">
        <v>2268</v>
      </c>
      <c r="R1445" t="s">
        <v>2278</v>
      </c>
      <c r="S1445" t="s">
        <v>2287</v>
      </c>
      <c r="T1445" t="s">
        <v>2288</v>
      </c>
      <c r="U1445">
        <v>5</v>
      </c>
      <c r="V1445">
        <v>442</v>
      </c>
      <c r="X1445">
        <v>56.98</v>
      </c>
      <c r="Y1445">
        <v>135.06</v>
      </c>
      <c r="Z1445" t="s">
        <v>2292</v>
      </c>
      <c r="AA1445" t="s">
        <v>1761</v>
      </c>
      <c r="AB1445">
        <v>360</v>
      </c>
      <c r="AC1445">
        <v>54</v>
      </c>
      <c r="AD1445">
        <v>306</v>
      </c>
      <c r="AE1445">
        <v>170.94</v>
      </c>
      <c r="AF1445">
        <v>135.06</v>
      </c>
      <c r="AG1445">
        <v>2024</v>
      </c>
      <c r="AH1445">
        <v>9</v>
      </c>
      <c r="AI1445" t="s">
        <v>2300</v>
      </c>
      <c r="AJ1445" t="s">
        <v>2314</v>
      </c>
    </row>
    <row r="1446" spans="1:36" x14ac:dyDescent="0.3">
      <c r="A1446" t="s">
        <v>1480</v>
      </c>
      <c r="B1446" s="2">
        <v>45418</v>
      </c>
      <c r="C1446" t="s">
        <v>1721</v>
      </c>
      <c r="D1446" t="s">
        <v>1791</v>
      </c>
      <c r="E1446" t="s">
        <v>2137</v>
      </c>
      <c r="F1446" t="s">
        <v>2238</v>
      </c>
      <c r="G1446" t="s">
        <v>2243</v>
      </c>
      <c r="H1446" t="s">
        <v>2258</v>
      </c>
      <c r="I1446" t="s">
        <v>2260</v>
      </c>
      <c r="J1446" t="s">
        <v>2266</v>
      </c>
      <c r="L1446">
        <v>65</v>
      </c>
      <c r="M1446">
        <v>0.05</v>
      </c>
      <c r="N1446">
        <v>65</v>
      </c>
      <c r="O1446">
        <v>61.75</v>
      </c>
      <c r="P1446" t="s">
        <v>2267</v>
      </c>
      <c r="Q1446" t="s">
        <v>2271</v>
      </c>
      <c r="R1446" t="s">
        <v>2277</v>
      </c>
      <c r="S1446" t="s">
        <v>2280</v>
      </c>
      <c r="T1446" t="s">
        <v>2288</v>
      </c>
      <c r="U1446">
        <v>1</v>
      </c>
      <c r="V1446">
        <v>294</v>
      </c>
      <c r="W1446">
        <v>30</v>
      </c>
      <c r="X1446">
        <v>41.64</v>
      </c>
      <c r="Y1446">
        <v>20.11</v>
      </c>
      <c r="Z1446" t="s">
        <v>1761</v>
      </c>
      <c r="AA1446" t="s">
        <v>2296</v>
      </c>
      <c r="AG1446">
        <v>2024</v>
      </c>
      <c r="AH1446">
        <v>5</v>
      </c>
      <c r="AI1446" t="s">
        <v>2306</v>
      </c>
      <c r="AJ1446" t="s">
        <v>2314</v>
      </c>
    </row>
    <row r="1447" spans="1:36" x14ac:dyDescent="0.3">
      <c r="A1447" t="s">
        <v>1481</v>
      </c>
      <c r="B1447" s="2">
        <v>45495</v>
      </c>
      <c r="C1447" t="s">
        <v>1689</v>
      </c>
      <c r="D1447" t="s">
        <v>1751</v>
      </c>
      <c r="E1447" t="s">
        <v>2005</v>
      </c>
      <c r="F1447" t="s">
        <v>2238</v>
      </c>
      <c r="G1447" t="s">
        <v>2245</v>
      </c>
      <c r="H1447" t="s">
        <v>2257</v>
      </c>
      <c r="I1447" t="s">
        <v>2263</v>
      </c>
      <c r="J1447" t="s">
        <v>2264</v>
      </c>
      <c r="K1447">
        <v>1</v>
      </c>
      <c r="L1447">
        <v>145</v>
      </c>
      <c r="M1447">
        <v>0.15</v>
      </c>
      <c r="N1447">
        <v>145</v>
      </c>
      <c r="O1447">
        <v>123.25</v>
      </c>
      <c r="P1447" t="s">
        <v>2269</v>
      </c>
      <c r="Q1447" t="s">
        <v>2272</v>
      </c>
      <c r="R1447" t="s">
        <v>2279</v>
      </c>
      <c r="S1447" t="s">
        <v>2281</v>
      </c>
      <c r="T1447" t="s">
        <v>2289</v>
      </c>
      <c r="V1447">
        <v>444</v>
      </c>
      <c r="W1447">
        <v>14</v>
      </c>
      <c r="X1447">
        <v>84.41</v>
      </c>
      <c r="Y1447">
        <v>38.840000000000003</v>
      </c>
      <c r="Z1447" t="s">
        <v>2294</v>
      </c>
      <c r="AA1447" t="s">
        <v>1761</v>
      </c>
      <c r="AB1447">
        <v>145</v>
      </c>
      <c r="AC1447">
        <v>21.75</v>
      </c>
      <c r="AD1447">
        <v>123.25</v>
      </c>
      <c r="AE1447">
        <v>84.41</v>
      </c>
      <c r="AF1447">
        <v>38.840000000000003</v>
      </c>
      <c r="AG1447">
        <v>2024</v>
      </c>
      <c r="AH1447">
        <v>7</v>
      </c>
      <c r="AI1447" t="s">
        <v>2307</v>
      </c>
      <c r="AJ1447" t="s">
        <v>2314</v>
      </c>
    </row>
    <row r="1448" spans="1:36" x14ac:dyDescent="0.3">
      <c r="A1448" t="s">
        <v>1482</v>
      </c>
      <c r="B1448" s="2">
        <v>45417</v>
      </c>
      <c r="C1448" t="s">
        <v>1695</v>
      </c>
      <c r="D1448" t="s">
        <v>1759</v>
      </c>
      <c r="E1448" t="s">
        <v>2220</v>
      </c>
      <c r="F1448" t="s">
        <v>1761</v>
      </c>
      <c r="G1448" t="s">
        <v>2255</v>
      </c>
      <c r="H1448" t="s">
        <v>2260</v>
      </c>
      <c r="I1448" t="s">
        <v>2260</v>
      </c>
      <c r="J1448" t="s">
        <v>2266</v>
      </c>
      <c r="K1448">
        <v>1</v>
      </c>
      <c r="L1448">
        <v>185</v>
      </c>
      <c r="M1448">
        <v>0.05</v>
      </c>
      <c r="N1448">
        <v>185</v>
      </c>
      <c r="O1448">
        <v>175.75</v>
      </c>
      <c r="P1448" t="s">
        <v>2268</v>
      </c>
      <c r="R1448" t="s">
        <v>2273</v>
      </c>
      <c r="S1448" t="s">
        <v>2280</v>
      </c>
      <c r="T1448" t="s">
        <v>2289</v>
      </c>
      <c r="U1448">
        <v>2</v>
      </c>
      <c r="V1448">
        <v>309</v>
      </c>
      <c r="W1448">
        <v>10</v>
      </c>
      <c r="X1448">
        <v>96.12</v>
      </c>
      <c r="Y1448">
        <v>79.63</v>
      </c>
      <c r="Z1448" t="s">
        <v>1761</v>
      </c>
      <c r="AA1448" t="s">
        <v>2296</v>
      </c>
      <c r="AB1448">
        <v>185</v>
      </c>
      <c r="AC1448">
        <v>9.25</v>
      </c>
      <c r="AD1448">
        <v>175.75</v>
      </c>
      <c r="AE1448">
        <v>96.12</v>
      </c>
      <c r="AF1448">
        <v>79.63</v>
      </c>
      <c r="AG1448">
        <v>2024</v>
      </c>
      <c r="AH1448">
        <v>5</v>
      </c>
      <c r="AI1448" t="s">
        <v>2306</v>
      </c>
      <c r="AJ1448" t="s">
        <v>2318</v>
      </c>
    </row>
    <row r="1449" spans="1:36" x14ac:dyDescent="0.3">
      <c r="A1449" t="s">
        <v>1483</v>
      </c>
      <c r="B1449" s="2">
        <v>45587</v>
      </c>
      <c r="C1449" t="s">
        <v>1726</v>
      </c>
      <c r="D1449" t="s">
        <v>1939</v>
      </c>
      <c r="E1449" t="s">
        <v>1761</v>
      </c>
      <c r="F1449" t="s">
        <v>1761</v>
      </c>
      <c r="G1449" t="s">
        <v>2242</v>
      </c>
      <c r="H1449" t="s">
        <v>2258</v>
      </c>
      <c r="I1449" t="s">
        <v>2260</v>
      </c>
      <c r="J1449" t="s">
        <v>2266</v>
      </c>
      <c r="K1449">
        <v>1</v>
      </c>
      <c r="L1449">
        <v>115</v>
      </c>
      <c r="M1449">
        <v>0.05</v>
      </c>
      <c r="N1449">
        <v>115</v>
      </c>
      <c r="O1449">
        <v>109.25</v>
      </c>
      <c r="P1449" t="s">
        <v>2268</v>
      </c>
      <c r="Q1449" t="s">
        <v>2270</v>
      </c>
      <c r="R1449" t="s">
        <v>2278</v>
      </c>
      <c r="S1449" t="s">
        <v>2285</v>
      </c>
      <c r="T1449" t="s">
        <v>2288</v>
      </c>
      <c r="U1449">
        <v>5</v>
      </c>
      <c r="V1449">
        <v>477</v>
      </c>
      <c r="W1449">
        <v>44</v>
      </c>
      <c r="X1449">
        <v>45.43</v>
      </c>
      <c r="Y1449">
        <v>63.82</v>
      </c>
      <c r="Z1449" t="s">
        <v>1761</v>
      </c>
      <c r="AA1449" t="s">
        <v>2297</v>
      </c>
      <c r="AB1449">
        <v>115</v>
      </c>
      <c r="AC1449">
        <v>5.75</v>
      </c>
      <c r="AD1449">
        <v>109.25</v>
      </c>
      <c r="AE1449">
        <v>45.43</v>
      </c>
      <c r="AF1449">
        <v>63.82</v>
      </c>
      <c r="AG1449">
        <v>2024</v>
      </c>
      <c r="AH1449">
        <v>10</v>
      </c>
      <c r="AI1449" t="s">
        <v>2310</v>
      </c>
      <c r="AJ1449" t="s">
        <v>2313</v>
      </c>
    </row>
    <row r="1450" spans="1:36" x14ac:dyDescent="0.3">
      <c r="A1450" t="s">
        <v>1484</v>
      </c>
      <c r="B1450" s="2">
        <v>45600</v>
      </c>
      <c r="C1450" t="s">
        <v>1689</v>
      </c>
      <c r="D1450" t="s">
        <v>1786</v>
      </c>
      <c r="E1450" t="s">
        <v>1987</v>
      </c>
      <c r="F1450" t="s">
        <v>2239</v>
      </c>
      <c r="G1450" t="s">
        <v>2241</v>
      </c>
      <c r="H1450" t="s">
        <v>2257</v>
      </c>
      <c r="I1450" t="s">
        <v>2262</v>
      </c>
      <c r="K1450">
        <v>2</v>
      </c>
      <c r="L1450">
        <v>135</v>
      </c>
      <c r="M1450">
        <v>0.05</v>
      </c>
      <c r="N1450">
        <v>270</v>
      </c>
      <c r="O1450">
        <v>256.5</v>
      </c>
      <c r="P1450" t="s">
        <v>2267</v>
      </c>
      <c r="Q1450" t="s">
        <v>2271</v>
      </c>
      <c r="R1450" t="s">
        <v>2274</v>
      </c>
      <c r="S1450" t="s">
        <v>2280</v>
      </c>
      <c r="T1450" t="s">
        <v>2288</v>
      </c>
      <c r="U1450">
        <v>4</v>
      </c>
      <c r="V1450">
        <v>174</v>
      </c>
      <c r="X1450">
        <v>63.73</v>
      </c>
      <c r="Y1450">
        <v>129.04</v>
      </c>
      <c r="Z1450" t="s">
        <v>2292</v>
      </c>
      <c r="AA1450" t="s">
        <v>2298</v>
      </c>
      <c r="AB1450">
        <v>270</v>
      </c>
      <c r="AC1450">
        <v>13.5</v>
      </c>
      <c r="AD1450">
        <v>256.5</v>
      </c>
      <c r="AE1450">
        <v>127.46</v>
      </c>
      <c r="AF1450">
        <v>129.04</v>
      </c>
      <c r="AG1450">
        <v>2024</v>
      </c>
      <c r="AH1450">
        <v>11</v>
      </c>
      <c r="AI1450" t="s">
        <v>2311</v>
      </c>
      <c r="AJ1450" t="s">
        <v>2314</v>
      </c>
    </row>
    <row r="1451" spans="1:36" x14ac:dyDescent="0.3">
      <c r="A1451" t="s">
        <v>1485</v>
      </c>
      <c r="B1451" s="2">
        <v>45634</v>
      </c>
      <c r="C1451" t="s">
        <v>1678</v>
      </c>
      <c r="D1451" t="s">
        <v>1839</v>
      </c>
      <c r="E1451" t="s">
        <v>1993</v>
      </c>
      <c r="F1451" t="s">
        <v>2238</v>
      </c>
      <c r="G1451" t="s">
        <v>2251</v>
      </c>
      <c r="H1451" t="s">
        <v>2258</v>
      </c>
      <c r="I1451" t="s">
        <v>2260</v>
      </c>
      <c r="K1451">
        <v>1</v>
      </c>
      <c r="L1451">
        <v>105</v>
      </c>
      <c r="M1451">
        <v>0.1</v>
      </c>
      <c r="N1451">
        <v>105</v>
      </c>
      <c r="O1451">
        <v>94.5</v>
      </c>
      <c r="P1451" t="s">
        <v>2269</v>
      </c>
      <c r="Q1451" t="s">
        <v>2270</v>
      </c>
      <c r="R1451" t="s">
        <v>2275</v>
      </c>
      <c r="S1451" t="s">
        <v>2282</v>
      </c>
      <c r="T1451" t="s">
        <v>2288</v>
      </c>
      <c r="U1451">
        <v>1</v>
      </c>
      <c r="V1451">
        <v>291</v>
      </c>
      <c r="X1451">
        <v>53.19</v>
      </c>
      <c r="Y1451">
        <v>41.31</v>
      </c>
      <c r="Z1451" t="s">
        <v>2292</v>
      </c>
      <c r="AA1451" t="s">
        <v>2298</v>
      </c>
      <c r="AB1451">
        <v>105</v>
      </c>
      <c r="AC1451">
        <v>10.5</v>
      </c>
      <c r="AD1451">
        <v>94.5</v>
      </c>
      <c r="AE1451">
        <v>53.19</v>
      </c>
      <c r="AF1451">
        <v>41.31</v>
      </c>
      <c r="AG1451">
        <v>2024</v>
      </c>
      <c r="AH1451">
        <v>12</v>
      </c>
      <c r="AI1451" t="s">
        <v>2309</v>
      </c>
      <c r="AJ1451" t="s">
        <v>2318</v>
      </c>
    </row>
    <row r="1452" spans="1:36" x14ac:dyDescent="0.3">
      <c r="A1452" t="s">
        <v>1486</v>
      </c>
      <c r="B1452" s="2">
        <v>45559</v>
      </c>
      <c r="C1452" t="s">
        <v>1679</v>
      </c>
      <c r="D1452" t="s">
        <v>1815</v>
      </c>
      <c r="E1452" t="s">
        <v>2102</v>
      </c>
      <c r="F1452" t="s">
        <v>1761</v>
      </c>
      <c r="G1452" t="s">
        <v>2253</v>
      </c>
      <c r="H1452" t="s">
        <v>2258</v>
      </c>
      <c r="I1452" t="s">
        <v>2260</v>
      </c>
      <c r="K1452">
        <v>2</v>
      </c>
      <c r="L1452">
        <v>90</v>
      </c>
      <c r="M1452">
        <v>0.05</v>
      </c>
      <c r="N1452">
        <v>180</v>
      </c>
      <c r="O1452">
        <v>171</v>
      </c>
      <c r="Q1452" t="s">
        <v>2272</v>
      </c>
      <c r="R1452" t="s">
        <v>2279</v>
      </c>
      <c r="S1452" t="s">
        <v>2284</v>
      </c>
      <c r="T1452" t="s">
        <v>2288</v>
      </c>
      <c r="U1452">
        <v>4</v>
      </c>
      <c r="V1452">
        <v>276</v>
      </c>
      <c r="X1452">
        <v>40.43</v>
      </c>
      <c r="Y1452">
        <v>90.14</v>
      </c>
      <c r="Z1452" t="s">
        <v>2293</v>
      </c>
      <c r="AA1452" t="s">
        <v>1761</v>
      </c>
      <c r="AB1452">
        <v>180</v>
      </c>
      <c r="AC1452">
        <v>9</v>
      </c>
      <c r="AD1452">
        <v>171</v>
      </c>
      <c r="AE1452">
        <v>80.86</v>
      </c>
      <c r="AF1452">
        <v>90.14</v>
      </c>
      <c r="AG1452">
        <v>2024</v>
      </c>
      <c r="AH1452">
        <v>9</v>
      </c>
      <c r="AI1452" t="s">
        <v>2300</v>
      </c>
      <c r="AJ1452" t="s">
        <v>2313</v>
      </c>
    </row>
    <row r="1453" spans="1:36" x14ac:dyDescent="0.3">
      <c r="A1453" t="s">
        <v>1487</v>
      </c>
      <c r="B1453" s="2">
        <v>45619</v>
      </c>
      <c r="C1453" t="s">
        <v>1691</v>
      </c>
      <c r="D1453" t="s">
        <v>1804</v>
      </c>
      <c r="E1453" t="s">
        <v>1999</v>
      </c>
      <c r="F1453" t="s">
        <v>2239</v>
      </c>
      <c r="G1453" t="s">
        <v>2254</v>
      </c>
      <c r="H1453" t="s">
        <v>2259</v>
      </c>
      <c r="I1453" t="s">
        <v>2263</v>
      </c>
      <c r="J1453" t="s">
        <v>2266</v>
      </c>
      <c r="K1453">
        <v>2</v>
      </c>
      <c r="L1453">
        <v>110</v>
      </c>
      <c r="M1453">
        <v>0.1</v>
      </c>
      <c r="N1453">
        <v>220</v>
      </c>
      <c r="O1453">
        <v>198</v>
      </c>
      <c r="P1453" t="s">
        <v>2268</v>
      </c>
      <c r="Q1453" t="s">
        <v>2271</v>
      </c>
      <c r="R1453" t="s">
        <v>2274</v>
      </c>
      <c r="S1453" t="s">
        <v>2281</v>
      </c>
      <c r="T1453" t="s">
        <v>2289</v>
      </c>
      <c r="V1453">
        <v>73</v>
      </c>
      <c r="W1453">
        <v>37</v>
      </c>
      <c r="X1453">
        <v>39.200000000000003</v>
      </c>
      <c r="Y1453">
        <v>119.6</v>
      </c>
      <c r="Z1453" t="s">
        <v>2291</v>
      </c>
      <c r="AA1453" t="s">
        <v>2298</v>
      </c>
      <c r="AB1453">
        <v>220</v>
      </c>
      <c r="AC1453">
        <v>22</v>
      </c>
      <c r="AD1453">
        <v>198</v>
      </c>
      <c r="AE1453">
        <v>78.400000000000006</v>
      </c>
      <c r="AF1453">
        <v>119.6</v>
      </c>
      <c r="AG1453">
        <v>2024</v>
      </c>
      <c r="AH1453">
        <v>11</v>
      </c>
      <c r="AI1453" t="s">
        <v>2311</v>
      </c>
      <c r="AJ1453" t="s">
        <v>2317</v>
      </c>
    </row>
    <row r="1454" spans="1:36" x14ac:dyDescent="0.3">
      <c r="A1454" t="s">
        <v>1488</v>
      </c>
      <c r="C1454" t="s">
        <v>1648</v>
      </c>
      <c r="D1454" t="s">
        <v>1813</v>
      </c>
      <c r="E1454" t="s">
        <v>2222</v>
      </c>
      <c r="F1454" t="s">
        <v>2240</v>
      </c>
      <c r="G1454" t="s">
        <v>2254</v>
      </c>
      <c r="H1454" t="s">
        <v>2259</v>
      </c>
      <c r="I1454" t="s">
        <v>2263</v>
      </c>
      <c r="J1454" t="s">
        <v>2265</v>
      </c>
      <c r="K1454">
        <v>1</v>
      </c>
      <c r="L1454">
        <v>105</v>
      </c>
      <c r="M1454">
        <v>0</v>
      </c>
      <c r="N1454">
        <v>105</v>
      </c>
      <c r="O1454">
        <v>105</v>
      </c>
      <c r="Q1454" t="s">
        <v>2272</v>
      </c>
      <c r="R1454" t="s">
        <v>2276</v>
      </c>
      <c r="S1454" t="s">
        <v>2284</v>
      </c>
      <c r="T1454" t="s">
        <v>2288</v>
      </c>
      <c r="U1454">
        <v>4</v>
      </c>
      <c r="V1454">
        <v>230</v>
      </c>
      <c r="W1454">
        <v>55</v>
      </c>
      <c r="X1454">
        <v>44.75</v>
      </c>
      <c r="Y1454">
        <v>60.25</v>
      </c>
      <c r="Z1454" t="s">
        <v>2294</v>
      </c>
      <c r="AA1454" t="s">
        <v>2297</v>
      </c>
      <c r="AB1454">
        <v>105</v>
      </c>
      <c r="AC1454">
        <v>0</v>
      </c>
      <c r="AD1454">
        <v>105</v>
      </c>
      <c r="AE1454">
        <v>44.75</v>
      </c>
      <c r="AF1454">
        <v>60.25</v>
      </c>
    </row>
    <row r="1455" spans="1:36" x14ac:dyDescent="0.3">
      <c r="A1455" t="s">
        <v>1489</v>
      </c>
      <c r="B1455" s="2">
        <v>45334</v>
      </c>
      <c r="C1455" t="s">
        <v>1638</v>
      </c>
      <c r="D1455" t="s">
        <v>1826</v>
      </c>
      <c r="E1455" t="s">
        <v>2026</v>
      </c>
      <c r="F1455" t="s">
        <v>2240</v>
      </c>
      <c r="G1455" t="s">
        <v>2241</v>
      </c>
      <c r="H1455" t="s">
        <v>2257</v>
      </c>
      <c r="I1455" t="s">
        <v>2262</v>
      </c>
      <c r="J1455" t="s">
        <v>2264</v>
      </c>
      <c r="K1455">
        <v>1</v>
      </c>
      <c r="L1455">
        <v>130</v>
      </c>
      <c r="N1455">
        <v>130</v>
      </c>
      <c r="P1455" t="s">
        <v>2269</v>
      </c>
      <c r="Q1455" t="s">
        <v>2271</v>
      </c>
      <c r="R1455" t="s">
        <v>2273</v>
      </c>
      <c r="S1455" t="s">
        <v>2281</v>
      </c>
      <c r="T1455" t="s">
        <v>2288</v>
      </c>
      <c r="U1455">
        <v>3</v>
      </c>
      <c r="V1455">
        <v>375</v>
      </c>
      <c r="W1455">
        <v>43</v>
      </c>
      <c r="X1455">
        <v>64.069999999999993</v>
      </c>
      <c r="Z1455" t="s">
        <v>2291</v>
      </c>
      <c r="AA1455" t="s">
        <v>1761</v>
      </c>
      <c r="AB1455">
        <v>130</v>
      </c>
      <c r="AC1455">
        <v>0</v>
      </c>
      <c r="AD1455">
        <v>130</v>
      </c>
      <c r="AE1455">
        <v>64.069999999999993</v>
      </c>
      <c r="AF1455">
        <v>65.930000000000007</v>
      </c>
      <c r="AG1455">
        <v>2024</v>
      </c>
      <c r="AH1455">
        <v>2</v>
      </c>
      <c r="AI1455" t="s">
        <v>2303</v>
      </c>
      <c r="AJ1455" t="s">
        <v>2314</v>
      </c>
    </row>
    <row r="1456" spans="1:36" x14ac:dyDescent="0.3">
      <c r="A1456" t="s">
        <v>1490</v>
      </c>
      <c r="B1456" s="2">
        <v>45621</v>
      </c>
      <c r="C1456" t="s">
        <v>1728</v>
      </c>
      <c r="D1456" t="s">
        <v>1782</v>
      </c>
      <c r="E1456" t="s">
        <v>2150</v>
      </c>
      <c r="F1456" t="s">
        <v>1761</v>
      </c>
      <c r="G1456" t="s">
        <v>2247</v>
      </c>
      <c r="H1456" t="s">
        <v>2257</v>
      </c>
      <c r="I1456" t="s">
        <v>2262</v>
      </c>
      <c r="J1456" t="s">
        <v>2266</v>
      </c>
      <c r="L1456">
        <v>95</v>
      </c>
      <c r="P1456" t="s">
        <v>2267</v>
      </c>
      <c r="Q1456" t="s">
        <v>2270</v>
      </c>
      <c r="R1456" t="s">
        <v>2273</v>
      </c>
      <c r="S1456" t="s">
        <v>2284</v>
      </c>
      <c r="T1456" t="s">
        <v>2289</v>
      </c>
      <c r="U1456">
        <v>2</v>
      </c>
      <c r="V1456">
        <v>390</v>
      </c>
      <c r="W1456">
        <v>54</v>
      </c>
      <c r="X1456">
        <v>53.41</v>
      </c>
      <c r="Z1456" t="s">
        <v>2294</v>
      </c>
      <c r="AA1456" t="s">
        <v>2298</v>
      </c>
      <c r="AG1456">
        <v>2024</v>
      </c>
      <c r="AH1456">
        <v>11</v>
      </c>
      <c r="AI1456" t="s">
        <v>2311</v>
      </c>
      <c r="AJ1456" t="s">
        <v>2314</v>
      </c>
    </row>
    <row r="1457" spans="1:36" x14ac:dyDescent="0.3">
      <c r="A1457" t="s">
        <v>1491</v>
      </c>
      <c r="B1457" s="2">
        <v>45566</v>
      </c>
      <c r="C1457" t="s">
        <v>1718</v>
      </c>
      <c r="D1457" t="s">
        <v>1844</v>
      </c>
      <c r="E1457" t="s">
        <v>2115</v>
      </c>
      <c r="F1457" t="s">
        <v>1761</v>
      </c>
      <c r="G1457" t="s">
        <v>2253</v>
      </c>
      <c r="H1457" t="s">
        <v>2258</v>
      </c>
      <c r="I1457" t="s">
        <v>2260</v>
      </c>
      <c r="J1457" t="s">
        <v>2266</v>
      </c>
      <c r="K1457">
        <v>1</v>
      </c>
      <c r="L1457">
        <v>95</v>
      </c>
      <c r="M1457">
        <v>0.1</v>
      </c>
      <c r="N1457">
        <v>95</v>
      </c>
      <c r="O1457">
        <v>85.5</v>
      </c>
      <c r="P1457" t="s">
        <v>2268</v>
      </c>
      <c r="Q1457" t="s">
        <v>2271</v>
      </c>
      <c r="R1457" t="s">
        <v>2278</v>
      </c>
      <c r="S1457" t="s">
        <v>2286</v>
      </c>
      <c r="T1457" t="s">
        <v>2289</v>
      </c>
      <c r="U1457">
        <v>5</v>
      </c>
      <c r="V1457">
        <v>286</v>
      </c>
      <c r="W1457">
        <v>36</v>
      </c>
      <c r="X1457">
        <v>38.46</v>
      </c>
      <c r="Y1457">
        <v>47.04</v>
      </c>
      <c r="Z1457" t="s">
        <v>1761</v>
      </c>
      <c r="AA1457" t="s">
        <v>2296</v>
      </c>
      <c r="AB1457">
        <v>95</v>
      </c>
      <c r="AC1457">
        <v>9.5</v>
      </c>
      <c r="AD1457">
        <v>85.5</v>
      </c>
      <c r="AE1457">
        <v>38.46</v>
      </c>
      <c r="AF1457">
        <v>47.04</v>
      </c>
      <c r="AG1457">
        <v>2024</v>
      </c>
      <c r="AH1457">
        <v>10</v>
      </c>
      <c r="AI1457" t="s">
        <v>2310</v>
      </c>
      <c r="AJ1457" t="s">
        <v>2313</v>
      </c>
    </row>
    <row r="1458" spans="1:36" x14ac:dyDescent="0.3">
      <c r="A1458" t="s">
        <v>1492</v>
      </c>
      <c r="B1458" s="2">
        <v>45527</v>
      </c>
      <c r="C1458" t="s">
        <v>1729</v>
      </c>
      <c r="D1458" t="s">
        <v>1803</v>
      </c>
      <c r="E1458" t="s">
        <v>2156</v>
      </c>
      <c r="F1458" t="s">
        <v>2240</v>
      </c>
      <c r="G1458" t="s">
        <v>2253</v>
      </c>
      <c r="H1458" t="s">
        <v>2258</v>
      </c>
      <c r="I1458" t="s">
        <v>2260</v>
      </c>
      <c r="J1458" t="s">
        <v>2264</v>
      </c>
      <c r="K1458">
        <v>1</v>
      </c>
      <c r="L1458">
        <v>85</v>
      </c>
      <c r="N1458">
        <v>85</v>
      </c>
      <c r="P1458" t="s">
        <v>2269</v>
      </c>
      <c r="Q1458" t="s">
        <v>2271</v>
      </c>
      <c r="R1458" t="s">
        <v>2273</v>
      </c>
      <c r="S1458" t="s">
        <v>2286</v>
      </c>
      <c r="T1458" t="s">
        <v>2290</v>
      </c>
      <c r="U1458">
        <v>5</v>
      </c>
      <c r="V1458">
        <v>250</v>
      </c>
      <c r="W1458">
        <v>29</v>
      </c>
      <c r="X1458">
        <v>36.83</v>
      </c>
      <c r="Z1458" t="s">
        <v>1761</v>
      </c>
      <c r="AA1458" t="s">
        <v>2298</v>
      </c>
      <c r="AB1458">
        <v>85</v>
      </c>
      <c r="AC1458">
        <v>0</v>
      </c>
      <c r="AD1458">
        <v>85</v>
      </c>
      <c r="AE1458">
        <v>36.83</v>
      </c>
      <c r="AF1458">
        <v>48.17</v>
      </c>
      <c r="AG1458">
        <v>2024</v>
      </c>
      <c r="AH1458">
        <v>8</v>
      </c>
      <c r="AI1458" t="s">
        <v>2301</v>
      </c>
      <c r="AJ1458" t="s">
        <v>2315</v>
      </c>
    </row>
    <row r="1459" spans="1:36" x14ac:dyDescent="0.3">
      <c r="A1459" t="s">
        <v>1493</v>
      </c>
      <c r="B1459" s="2">
        <v>45312</v>
      </c>
      <c r="C1459" t="s">
        <v>1687</v>
      </c>
      <c r="D1459" t="s">
        <v>1881</v>
      </c>
      <c r="E1459" t="s">
        <v>2195</v>
      </c>
      <c r="F1459" t="s">
        <v>1761</v>
      </c>
      <c r="G1459" t="s">
        <v>2246</v>
      </c>
      <c r="H1459" t="s">
        <v>2259</v>
      </c>
      <c r="I1459" t="s">
        <v>2262</v>
      </c>
      <c r="J1459" t="s">
        <v>2266</v>
      </c>
      <c r="K1459">
        <v>3</v>
      </c>
      <c r="L1459">
        <v>95</v>
      </c>
      <c r="M1459">
        <v>0</v>
      </c>
      <c r="N1459">
        <v>285</v>
      </c>
      <c r="O1459">
        <v>285</v>
      </c>
      <c r="P1459" t="s">
        <v>2268</v>
      </c>
      <c r="R1459" t="s">
        <v>2279</v>
      </c>
      <c r="S1459" t="s">
        <v>2283</v>
      </c>
      <c r="T1459" t="s">
        <v>2288</v>
      </c>
      <c r="U1459">
        <v>5</v>
      </c>
      <c r="V1459">
        <v>365</v>
      </c>
      <c r="W1459">
        <v>16</v>
      </c>
      <c r="X1459">
        <v>36.69</v>
      </c>
      <c r="Y1459">
        <v>174.93</v>
      </c>
      <c r="Z1459" t="s">
        <v>2293</v>
      </c>
      <c r="AA1459" t="s">
        <v>2297</v>
      </c>
      <c r="AB1459">
        <v>285</v>
      </c>
      <c r="AC1459">
        <v>0</v>
      </c>
      <c r="AD1459">
        <v>285</v>
      </c>
      <c r="AE1459">
        <v>110.07</v>
      </c>
      <c r="AF1459">
        <v>174.93</v>
      </c>
      <c r="AG1459">
        <v>2024</v>
      </c>
      <c r="AH1459">
        <v>1</v>
      </c>
      <c r="AI1459" t="s">
        <v>2302</v>
      </c>
      <c r="AJ1459" t="s">
        <v>2318</v>
      </c>
    </row>
    <row r="1460" spans="1:36" x14ac:dyDescent="0.3">
      <c r="A1460" t="s">
        <v>1494</v>
      </c>
      <c r="B1460" s="2">
        <v>45613</v>
      </c>
      <c r="C1460" t="s">
        <v>1648</v>
      </c>
      <c r="D1460" t="s">
        <v>1912</v>
      </c>
      <c r="E1460" t="s">
        <v>1761</v>
      </c>
      <c r="F1460" t="s">
        <v>2240</v>
      </c>
      <c r="G1460" t="s">
        <v>2245</v>
      </c>
      <c r="H1460" t="s">
        <v>2257</v>
      </c>
      <c r="I1460" t="s">
        <v>2263</v>
      </c>
      <c r="J1460" t="s">
        <v>2265</v>
      </c>
      <c r="K1460">
        <v>1</v>
      </c>
      <c r="L1460">
        <v>150</v>
      </c>
      <c r="M1460">
        <v>0.1</v>
      </c>
      <c r="N1460">
        <v>150</v>
      </c>
      <c r="O1460">
        <v>135</v>
      </c>
      <c r="R1460" t="s">
        <v>2279</v>
      </c>
      <c r="S1460" t="s">
        <v>2280</v>
      </c>
      <c r="T1460" t="s">
        <v>2290</v>
      </c>
      <c r="V1460">
        <v>288</v>
      </c>
      <c r="X1460">
        <v>66.2</v>
      </c>
      <c r="Y1460">
        <v>68.8</v>
      </c>
      <c r="Z1460" t="s">
        <v>2292</v>
      </c>
      <c r="AA1460" t="s">
        <v>2296</v>
      </c>
      <c r="AB1460">
        <v>150</v>
      </c>
      <c r="AC1460">
        <v>15</v>
      </c>
      <c r="AD1460">
        <v>135</v>
      </c>
      <c r="AE1460">
        <v>66.2</v>
      </c>
      <c r="AF1460">
        <v>68.8</v>
      </c>
      <c r="AG1460">
        <v>2024</v>
      </c>
      <c r="AH1460">
        <v>11</v>
      </c>
      <c r="AI1460" t="s">
        <v>2311</v>
      </c>
      <c r="AJ1460" t="s">
        <v>2318</v>
      </c>
    </row>
    <row r="1461" spans="1:36" x14ac:dyDescent="0.3">
      <c r="A1461" t="s">
        <v>1495</v>
      </c>
      <c r="B1461" s="2">
        <v>45459</v>
      </c>
      <c r="C1461" t="s">
        <v>1672</v>
      </c>
      <c r="D1461" t="s">
        <v>1904</v>
      </c>
      <c r="E1461" t="s">
        <v>2170</v>
      </c>
      <c r="F1461" t="s">
        <v>2239</v>
      </c>
      <c r="G1461" t="s">
        <v>2242</v>
      </c>
      <c r="H1461" t="s">
        <v>2258</v>
      </c>
      <c r="I1461" t="s">
        <v>2260</v>
      </c>
      <c r="K1461">
        <v>2</v>
      </c>
      <c r="L1461">
        <v>125</v>
      </c>
      <c r="M1461">
        <v>0.1</v>
      </c>
      <c r="N1461">
        <v>250</v>
      </c>
      <c r="O1461">
        <v>225</v>
      </c>
      <c r="P1461" t="s">
        <v>2269</v>
      </c>
      <c r="Q1461" t="s">
        <v>2272</v>
      </c>
      <c r="R1461" t="s">
        <v>2277</v>
      </c>
      <c r="S1461" t="s">
        <v>2285</v>
      </c>
      <c r="T1461" t="s">
        <v>2288</v>
      </c>
      <c r="U1461">
        <v>3</v>
      </c>
      <c r="V1461">
        <v>248</v>
      </c>
      <c r="W1461">
        <v>47</v>
      </c>
      <c r="X1461">
        <v>57.91</v>
      </c>
      <c r="Y1461">
        <v>109.18</v>
      </c>
      <c r="Z1461" t="s">
        <v>2293</v>
      </c>
      <c r="AA1461" t="s">
        <v>2298</v>
      </c>
      <c r="AB1461">
        <v>250</v>
      </c>
      <c r="AC1461">
        <v>25</v>
      </c>
      <c r="AD1461">
        <v>225</v>
      </c>
      <c r="AE1461">
        <v>115.82</v>
      </c>
      <c r="AF1461">
        <v>109.18</v>
      </c>
      <c r="AG1461">
        <v>2024</v>
      </c>
      <c r="AH1461">
        <v>6</v>
      </c>
      <c r="AI1461" t="s">
        <v>2304</v>
      </c>
      <c r="AJ1461" t="s">
        <v>2318</v>
      </c>
    </row>
    <row r="1462" spans="1:36" x14ac:dyDescent="0.3">
      <c r="A1462" t="s">
        <v>1496</v>
      </c>
      <c r="B1462" s="2">
        <v>45653</v>
      </c>
      <c r="C1462" t="s">
        <v>1669</v>
      </c>
      <c r="D1462" t="s">
        <v>1913</v>
      </c>
      <c r="E1462" t="s">
        <v>2197</v>
      </c>
      <c r="F1462" t="s">
        <v>2238</v>
      </c>
      <c r="G1462" t="s">
        <v>2255</v>
      </c>
      <c r="H1462" t="s">
        <v>2260</v>
      </c>
      <c r="I1462" t="s">
        <v>2260</v>
      </c>
      <c r="J1462" t="s">
        <v>2264</v>
      </c>
      <c r="K1462">
        <v>1</v>
      </c>
      <c r="L1462">
        <v>180</v>
      </c>
      <c r="M1462">
        <v>0.05</v>
      </c>
      <c r="N1462">
        <v>180</v>
      </c>
      <c r="O1462">
        <v>171</v>
      </c>
      <c r="P1462" t="s">
        <v>2267</v>
      </c>
      <c r="Q1462" t="s">
        <v>2270</v>
      </c>
      <c r="R1462" t="s">
        <v>2276</v>
      </c>
      <c r="S1462" t="s">
        <v>2283</v>
      </c>
      <c r="T1462" t="s">
        <v>2288</v>
      </c>
      <c r="U1462">
        <v>2</v>
      </c>
      <c r="V1462">
        <v>242</v>
      </c>
      <c r="W1462">
        <v>28</v>
      </c>
      <c r="X1462">
        <v>79.7</v>
      </c>
      <c r="Y1462">
        <v>91.3</v>
      </c>
      <c r="Z1462" t="s">
        <v>2291</v>
      </c>
      <c r="AA1462" t="s">
        <v>2297</v>
      </c>
      <c r="AB1462">
        <v>180</v>
      </c>
      <c r="AC1462">
        <v>9</v>
      </c>
      <c r="AD1462">
        <v>171</v>
      </c>
      <c r="AE1462">
        <v>79.7</v>
      </c>
      <c r="AF1462">
        <v>91.3</v>
      </c>
      <c r="AG1462">
        <v>2024</v>
      </c>
      <c r="AH1462">
        <v>12</v>
      </c>
      <c r="AI1462" t="s">
        <v>2309</v>
      </c>
      <c r="AJ1462" t="s">
        <v>2315</v>
      </c>
    </row>
    <row r="1463" spans="1:36" x14ac:dyDescent="0.3">
      <c r="A1463" t="s">
        <v>1497</v>
      </c>
      <c r="B1463" s="2">
        <v>45505</v>
      </c>
      <c r="C1463" t="s">
        <v>1674</v>
      </c>
      <c r="D1463" t="s">
        <v>1879</v>
      </c>
      <c r="E1463" t="s">
        <v>2068</v>
      </c>
      <c r="F1463" t="s">
        <v>2240</v>
      </c>
      <c r="G1463" t="s">
        <v>2247</v>
      </c>
      <c r="H1463" t="s">
        <v>2257</v>
      </c>
      <c r="I1463" t="s">
        <v>2262</v>
      </c>
      <c r="J1463" t="s">
        <v>2266</v>
      </c>
      <c r="K1463">
        <v>4</v>
      </c>
      <c r="L1463">
        <v>110</v>
      </c>
      <c r="M1463">
        <v>0.05</v>
      </c>
      <c r="N1463">
        <v>440</v>
      </c>
      <c r="O1463">
        <v>418</v>
      </c>
      <c r="P1463" t="s">
        <v>2268</v>
      </c>
      <c r="Q1463" t="s">
        <v>2270</v>
      </c>
      <c r="R1463" t="s">
        <v>2277</v>
      </c>
      <c r="S1463" t="s">
        <v>2286</v>
      </c>
      <c r="T1463" t="s">
        <v>2289</v>
      </c>
      <c r="U1463">
        <v>5</v>
      </c>
      <c r="V1463">
        <v>416</v>
      </c>
      <c r="W1463">
        <v>58</v>
      </c>
      <c r="X1463">
        <v>36.69</v>
      </c>
      <c r="Y1463">
        <v>271.24</v>
      </c>
      <c r="Z1463" t="s">
        <v>2293</v>
      </c>
      <c r="AA1463" t="s">
        <v>2297</v>
      </c>
      <c r="AB1463">
        <v>440</v>
      </c>
      <c r="AC1463">
        <v>22</v>
      </c>
      <c r="AD1463">
        <v>418</v>
      </c>
      <c r="AE1463">
        <v>146.76</v>
      </c>
      <c r="AF1463">
        <v>271.24</v>
      </c>
      <c r="AG1463">
        <v>2024</v>
      </c>
      <c r="AH1463">
        <v>8</v>
      </c>
      <c r="AI1463" t="s">
        <v>2301</v>
      </c>
      <c r="AJ1463" t="s">
        <v>2316</v>
      </c>
    </row>
    <row r="1464" spans="1:36" x14ac:dyDescent="0.3">
      <c r="A1464" t="s">
        <v>1498</v>
      </c>
      <c r="B1464" s="2">
        <v>45507</v>
      </c>
      <c r="C1464" t="s">
        <v>1711</v>
      </c>
      <c r="D1464" t="s">
        <v>1898</v>
      </c>
      <c r="E1464" t="s">
        <v>2116</v>
      </c>
      <c r="F1464" t="s">
        <v>2239</v>
      </c>
      <c r="G1464" t="s">
        <v>2247</v>
      </c>
      <c r="H1464" t="s">
        <v>2257</v>
      </c>
      <c r="I1464" t="s">
        <v>2262</v>
      </c>
      <c r="K1464">
        <v>1</v>
      </c>
      <c r="L1464">
        <v>110</v>
      </c>
      <c r="M1464">
        <v>0.1</v>
      </c>
      <c r="N1464">
        <v>110</v>
      </c>
      <c r="O1464">
        <v>99</v>
      </c>
      <c r="P1464" t="s">
        <v>2269</v>
      </c>
      <c r="Q1464" t="s">
        <v>2272</v>
      </c>
      <c r="R1464" t="s">
        <v>2279</v>
      </c>
      <c r="S1464" t="s">
        <v>2284</v>
      </c>
      <c r="T1464" t="s">
        <v>2288</v>
      </c>
      <c r="U1464">
        <v>3</v>
      </c>
      <c r="V1464">
        <v>453</v>
      </c>
      <c r="W1464">
        <v>15</v>
      </c>
      <c r="X1464">
        <v>41.91</v>
      </c>
      <c r="Y1464">
        <v>57.09</v>
      </c>
      <c r="Z1464" t="s">
        <v>2292</v>
      </c>
      <c r="AA1464" t="s">
        <v>2298</v>
      </c>
      <c r="AB1464">
        <v>110</v>
      </c>
      <c r="AC1464">
        <v>11</v>
      </c>
      <c r="AD1464">
        <v>99</v>
      </c>
      <c r="AE1464">
        <v>41.91</v>
      </c>
      <c r="AF1464">
        <v>57.09</v>
      </c>
      <c r="AG1464">
        <v>2024</v>
      </c>
      <c r="AH1464">
        <v>8</v>
      </c>
      <c r="AI1464" t="s">
        <v>2301</v>
      </c>
      <c r="AJ1464" t="s">
        <v>2317</v>
      </c>
    </row>
    <row r="1465" spans="1:36" x14ac:dyDescent="0.3">
      <c r="A1465" t="s">
        <v>1499</v>
      </c>
      <c r="B1465" s="2">
        <v>45393</v>
      </c>
      <c r="C1465" t="s">
        <v>1650</v>
      </c>
      <c r="D1465" t="s">
        <v>1819</v>
      </c>
      <c r="E1465" t="s">
        <v>2182</v>
      </c>
      <c r="F1465" t="s">
        <v>2240</v>
      </c>
      <c r="G1465" t="s">
        <v>2253</v>
      </c>
      <c r="H1465" t="s">
        <v>2258</v>
      </c>
      <c r="I1465" t="s">
        <v>2260</v>
      </c>
      <c r="J1465" t="s">
        <v>2264</v>
      </c>
      <c r="K1465">
        <v>3</v>
      </c>
      <c r="L1465">
        <v>90</v>
      </c>
      <c r="M1465">
        <v>0.05</v>
      </c>
      <c r="N1465">
        <v>270</v>
      </c>
      <c r="O1465">
        <v>256.5</v>
      </c>
      <c r="P1465" t="s">
        <v>2267</v>
      </c>
      <c r="Q1465" t="s">
        <v>2272</v>
      </c>
      <c r="R1465" t="s">
        <v>2276</v>
      </c>
      <c r="S1465" t="s">
        <v>2285</v>
      </c>
      <c r="T1465" t="s">
        <v>2288</v>
      </c>
      <c r="V1465">
        <v>136</v>
      </c>
      <c r="X1465">
        <v>37.840000000000003</v>
      </c>
      <c r="Y1465">
        <v>142.97999999999999</v>
      </c>
      <c r="Z1465" t="s">
        <v>2291</v>
      </c>
      <c r="AA1465" t="s">
        <v>2297</v>
      </c>
      <c r="AB1465">
        <v>270</v>
      </c>
      <c r="AC1465">
        <v>13.5</v>
      </c>
      <c r="AD1465">
        <v>256.5</v>
      </c>
      <c r="AE1465">
        <v>113.52</v>
      </c>
      <c r="AF1465">
        <v>142.97999999999999</v>
      </c>
      <c r="AG1465">
        <v>2024</v>
      </c>
      <c r="AH1465">
        <v>4</v>
      </c>
      <c r="AI1465" t="s">
        <v>2308</v>
      </c>
      <c r="AJ1465" t="s">
        <v>2316</v>
      </c>
    </row>
    <row r="1466" spans="1:36" x14ac:dyDescent="0.3">
      <c r="A1466" t="s">
        <v>1500</v>
      </c>
      <c r="B1466" s="2">
        <v>45593</v>
      </c>
      <c r="C1466" t="s">
        <v>1678</v>
      </c>
      <c r="D1466" t="s">
        <v>1939</v>
      </c>
      <c r="E1466" t="s">
        <v>2015</v>
      </c>
      <c r="F1466" t="s">
        <v>2240</v>
      </c>
      <c r="G1466" t="s">
        <v>2241</v>
      </c>
      <c r="H1466" t="s">
        <v>2257</v>
      </c>
      <c r="I1466" t="s">
        <v>2262</v>
      </c>
      <c r="J1466" t="s">
        <v>2266</v>
      </c>
      <c r="K1466">
        <v>1</v>
      </c>
      <c r="L1466">
        <v>130</v>
      </c>
      <c r="M1466">
        <v>0.1</v>
      </c>
      <c r="N1466">
        <v>130</v>
      </c>
      <c r="O1466">
        <v>117</v>
      </c>
      <c r="P1466" t="s">
        <v>2267</v>
      </c>
      <c r="Q1466" t="s">
        <v>2270</v>
      </c>
      <c r="R1466" t="s">
        <v>2279</v>
      </c>
      <c r="S1466" t="s">
        <v>2287</v>
      </c>
      <c r="T1466" t="s">
        <v>2288</v>
      </c>
      <c r="U1466">
        <v>2</v>
      </c>
      <c r="V1466">
        <v>462</v>
      </c>
      <c r="W1466">
        <v>29</v>
      </c>
      <c r="X1466">
        <v>54</v>
      </c>
      <c r="Y1466">
        <v>63</v>
      </c>
      <c r="Z1466" t="s">
        <v>1761</v>
      </c>
      <c r="AA1466" t="s">
        <v>2298</v>
      </c>
      <c r="AB1466">
        <v>130</v>
      </c>
      <c r="AC1466">
        <v>13</v>
      </c>
      <c r="AD1466">
        <v>117</v>
      </c>
      <c r="AE1466">
        <v>54</v>
      </c>
      <c r="AF1466">
        <v>63</v>
      </c>
      <c r="AG1466">
        <v>2024</v>
      </c>
      <c r="AH1466">
        <v>10</v>
      </c>
      <c r="AI1466" t="s">
        <v>2310</v>
      </c>
      <c r="AJ1466" t="s">
        <v>2314</v>
      </c>
    </row>
    <row r="1467" spans="1:36" x14ac:dyDescent="0.3">
      <c r="A1467" t="s">
        <v>1501</v>
      </c>
      <c r="B1467" s="2">
        <v>45434</v>
      </c>
      <c r="C1467" t="s">
        <v>1723</v>
      </c>
      <c r="D1467" t="s">
        <v>1867</v>
      </c>
      <c r="E1467" t="s">
        <v>2232</v>
      </c>
      <c r="F1467" t="s">
        <v>2238</v>
      </c>
      <c r="G1467" t="s">
        <v>2256</v>
      </c>
      <c r="H1467" t="s">
        <v>2261</v>
      </c>
      <c r="I1467" t="s">
        <v>2260</v>
      </c>
      <c r="J1467" t="s">
        <v>2265</v>
      </c>
      <c r="K1467">
        <v>2</v>
      </c>
      <c r="L1467">
        <v>190</v>
      </c>
      <c r="M1467">
        <v>0.1</v>
      </c>
      <c r="N1467">
        <v>380</v>
      </c>
      <c r="O1467">
        <v>342</v>
      </c>
      <c r="P1467" t="s">
        <v>2267</v>
      </c>
      <c r="Q1467" t="s">
        <v>2270</v>
      </c>
      <c r="R1467" t="s">
        <v>2275</v>
      </c>
      <c r="S1467" t="s">
        <v>2286</v>
      </c>
      <c r="T1467" t="s">
        <v>2288</v>
      </c>
      <c r="U1467">
        <v>1</v>
      </c>
      <c r="W1467">
        <v>46</v>
      </c>
      <c r="X1467">
        <v>89.8</v>
      </c>
      <c r="Y1467">
        <v>162.4</v>
      </c>
      <c r="Z1467" t="s">
        <v>2293</v>
      </c>
      <c r="AA1467" t="s">
        <v>2296</v>
      </c>
      <c r="AB1467">
        <v>380</v>
      </c>
      <c r="AC1467">
        <v>38</v>
      </c>
      <c r="AD1467">
        <v>342</v>
      </c>
      <c r="AE1467">
        <v>179.6</v>
      </c>
      <c r="AF1467">
        <v>162.4</v>
      </c>
      <c r="AG1467">
        <v>2024</v>
      </c>
      <c r="AH1467">
        <v>5</v>
      </c>
      <c r="AI1467" t="s">
        <v>2306</v>
      </c>
      <c r="AJ1467" t="s">
        <v>2312</v>
      </c>
    </row>
    <row r="1468" spans="1:36" x14ac:dyDescent="0.3">
      <c r="A1468" t="s">
        <v>1502</v>
      </c>
      <c r="B1468" s="2">
        <v>45494</v>
      </c>
      <c r="C1468" t="s">
        <v>1643</v>
      </c>
      <c r="D1468" t="s">
        <v>1931</v>
      </c>
      <c r="E1468" t="s">
        <v>2138</v>
      </c>
      <c r="F1468" t="s">
        <v>2239</v>
      </c>
      <c r="G1468" t="s">
        <v>2242</v>
      </c>
      <c r="H1468" t="s">
        <v>2258</v>
      </c>
      <c r="I1468" t="s">
        <v>2260</v>
      </c>
      <c r="J1468" t="s">
        <v>2265</v>
      </c>
      <c r="K1468">
        <v>2</v>
      </c>
      <c r="L1468">
        <v>125</v>
      </c>
      <c r="M1468">
        <v>0.15</v>
      </c>
      <c r="N1468">
        <v>250</v>
      </c>
      <c r="O1468">
        <v>212.5</v>
      </c>
      <c r="P1468" t="s">
        <v>2267</v>
      </c>
      <c r="Q1468" t="s">
        <v>2270</v>
      </c>
      <c r="R1468" t="s">
        <v>2278</v>
      </c>
      <c r="S1468" t="s">
        <v>2285</v>
      </c>
      <c r="T1468" t="s">
        <v>2290</v>
      </c>
      <c r="U1468">
        <v>4</v>
      </c>
      <c r="V1468">
        <v>375</v>
      </c>
      <c r="W1468">
        <v>28</v>
      </c>
      <c r="X1468">
        <v>56.23</v>
      </c>
      <c r="Y1468">
        <v>100.04</v>
      </c>
      <c r="Z1468" t="s">
        <v>2291</v>
      </c>
      <c r="AA1468" t="s">
        <v>2297</v>
      </c>
      <c r="AB1468">
        <v>250</v>
      </c>
      <c r="AC1468">
        <v>37.5</v>
      </c>
      <c r="AD1468">
        <v>212.5</v>
      </c>
      <c r="AE1468">
        <v>112.46</v>
      </c>
      <c r="AF1468">
        <v>100.04</v>
      </c>
      <c r="AG1468">
        <v>2024</v>
      </c>
      <c r="AH1468">
        <v>7</v>
      </c>
      <c r="AI1468" t="s">
        <v>2307</v>
      </c>
      <c r="AJ1468" t="s">
        <v>2318</v>
      </c>
    </row>
    <row r="1469" spans="1:36" x14ac:dyDescent="0.3">
      <c r="A1469" t="s">
        <v>1503</v>
      </c>
      <c r="B1469" s="2">
        <v>45458</v>
      </c>
      <c r="C1469" t="s">
        <v>1715</v>
      </c>
      <c r="D1469" t="s">
        <v>1834</v>
      </c>
      <c r="E1469" t="s">
        <v>2098</v>
      </c>
      <c r="F1469" t="s">
        <v>2238</v>
      </c>
      <c r="G1469" t="s">
        <v>2246</v>
      </c>
      <c r="H1469" t="s">
        <v>2259</v>
      </c>
      <c r="I1469" t="s">
        <v>2262</v>
      </c>
      <c r="J1469" t="s">
        <v>2264</v>
      </c>
      <c r="K1469">
        <v>1</v>
      </c>
      <c r="L1469">
        <v>95</v>
      </c>
      <c r="M1469">
        <v>0</v>
      </c>
      <c r="N1469">
        <v>95</v>
      </c>
      <c r="O1469">
        <v>95</v>
      </c>
      <c r="P1469" t="s">
        <v>2267</v>
      </c>
      <c r="Q1469" t="s">
        <v>2272</v>
      </c>
      <c r="R1469" t="s">
        <v>2278</v>
      </c>
      <c r="S1469" t="s">
        <v>2281</v>
      </c>
      <c r="T1469" t="s">
        <v>2288</v>
      </c>
      <c r="U1469">
        <v>4</v>
      </c>
      <c r="V1469">
        <v>222</v>
      </c>
      <c r="W1469">
        <v>13</v>
      </c>
      <c r="X1469">
        <v>33.89</v>
      </c>
      <c r="Y1469">
        <v>61.11</v>
      </c>
      <c r="Z1469" t="s">
        <v>2291</v>
      </c>
      <c r="AA1469" t="s">
        <v>1761</v>
      </c>
      <c r="AB1469">
        <v>95</v>
      </c>
      <c r="AC1469">
        <v>0</v>
      </c>
      <c r="AD1469">
        <v>95</v>
      </c>
      <c r="AE1469">
        <v>33.89</v>
      </c>
      <c r="AF1469">
        <v>61.11</v>
      </c>
      <c r="AG1469">
        <v>2024</v>
      </c>
      <c r="AH1469">
        <v>6</v>
      </c>
      <c r="AI1469" t="s">
        <v>2304</v>
      </c>
      <c r="AJ1469" t="s">
        <v>2317</v>
      </c>
    </row>
    <row r="1470" spans="1:36" x14ac:dyDescent="0.3">
      <c r="A1470" t="s">
        <v>1504</v>
      </c>
      <c r="B1470" s="2">
        <v>45422</v>
      </c>
      <c r="C1470" t="s">
        <v>1661</v>
      </c>
      <c r="D1470" t="s">
        <v>1889</v>
      </c>
      <c r="E1470" t="s">
        <v>1991</v>
      </c>
      <c r="F1470" t="s">
        <v>2239</v>
      </c>
      <c r="G1470" t="s">
        <v>2250</v>
      </c>
      <c r="H1470" t="s">
        <v>2259</v>
      </c>
      <c r="I1470" t="s">
        <v>2262</v>
      </c>
      <c r="J1470" t="s">
        <v>2265</v>
      </c>
      <c r="K1470">
        <v>2</v>
      </c>
      <c r="L1470">
        <v>75</v>
      </c>
      <c r="M1470">
        <v>0.1</v>
      </c>
      <c r="N1470">
        <v>150</v>
      </c>
      <c r="O1470">
        <v>135</v>
      </c>
      <c r="P1470" t="s">
        <v>2269</v>
      </c>
      <c r="Q1470" t="s">
        <v>2272</v>
      </c>
      <c r="R1470" t="s">
        <v>2278</v>
      </c>
      <c r="S1470" t="s">
        <v>2286</v>
      </c>
      <c r="T1470" t="s">
        <v>2288</v>
      </c>
      <c r="U1470">
        <v>5</v>
      </c>
      <c r="V1470">
        <v>129</v>
      </c>
      <c r="W1470">
        <v>17</v>
      </c>
      <c r="X1470">
        <v>45.3</v>
      </c>
      <c r="Y1470">
        <v>44.4</v>
      </c>
      <c r="Z1470" t="s">
        <v>2293</v>
      </c>
      <c r="AA1470" t="s">
        <v>2299</v>
      </c>
      <c r="AB1470">
        <v>150</v>
      </c>
      <c r="AC1470">
        <v>15</v>
      </c>
      <c r="AD1470">
        <v>135</v>
      </c>
      <c r="AE1470">
        <v>90.6</v>
      </c>
      <c r="AF1470">
        <v>44.400000000000013</v>
      </c>
      <c r="AG1470">
        <v>2024</v>
      </c>
      <c r="AH1470">
        <v>5</v>
      </c>
      <c r="AI1470" t="s">
        <v>2306</v>
      </c>
      <c r="AJ1470" t="s">
        <v>2315</v>
      </c>
    </row>
    <row r="1471" spans="1:36" x14ac:dyDescent="0.3">
      <c r="A1471" t="s">
        <v>1505</v>
      </c>
      <c r="B1471" s="2">
        <v>45569</v>
      </c>
      <c r="C1471" t="s">
        <v>1674</v>
      </c>
      <c r="D1471" t="s">
        <v>1886</v>
      </c>
      <c r="E1471" t="s">
        <v>1959</v>
      </c>
      <c r="F1471" t="s">
        <v>2238</v>
      </c>
      <c r="G1471" t="s">
        <v>2254</v>
      </c>
      <c r="H1471" t="s">
        <v>2259</v>
      </c>
      <c r="I1471" t="s">
        <v>2263</v>
      </c>
      <c r="J1471" t="s">
        <v>2264</v>
      </c>
      <c r="K1471">
        <v>3</v>
      </c>
      <c r="L1471">
        <v>120</v>
      </c>
      <c r="N1471">
        <v>360</v>
      </c>
      <c r="P1471" t="s">
        <v>2269</v>
      </c>
      <c r="Q1471" t="s">
        <v>2270</v>
      </c>
      <c r="R1471" t="s">
        <v>2273</v>
      </c>
      <c r="S1471" t="s">
        <v>2285</v>
      </c>
      <c r="T1471" t="s">
        <v>2288</v>
      </c>
      <c r="U1471">
        <v>2</v>
      </c>
      <c r="V1471">
        <v>250</v>
      </c>
      <c r="X1471">
        <v>46.71</v>
      </c>
      <c r="Z1471" t="s">
        <v>2291</v>
      </c>
      <c r="AA1471" t="s">
        <v>2296</v>
      </c>
      <c r="AB1471">
        <v>360</v>
      </c>
      <c r="AC1471">
        <v>0</v>
      </c>
      <c r="AD1471">
        <v>360</v>
      </c>
      <c r="AE1471">
        <v>140.13</v>
      </c>
      <c r="AF1471">
        <v>219.87</v>
      </c>
      <c r="AG1471">
        <v>2024</v>
      </c>
      <c r="AH1471">
        <v>10</v>
      </c>
      <c r="AI1471" t="s">
        <v>2310</v>
      </c>
      <c r="AJ1471" t="s">
        <v>2315</v>
      </c>
    </row>
    <row r="1472" spans="1:36" x14ac:dyDescent="0.3">
      <c r="A1472" t="s">
        <v>1506</v>
      </c>
      <c r="B1472" s="2">
        <v>45542</v>
      </c>
      <c r="C1472" t="s">
        <v>1709</v>
      </c>
      <c r="D1472" t="s">
        <v>1746</v>
      </c>
      <c r="E1472" t="s">
        <v>1951</v>
      </c>
      <c r="F1472" t="s">
        <v>2240</v>
      </c>
      <c r="G1472" t="s">
        <v>2246</v>
      </c>
      <c r="H1472" t="s">
        <v>2259</v>
      </c>
      <c r="I1472" t="s">
        <v>2262</v>
      </c>
      <c r="L1472">
        <v>105</v>
      </c>
      <c r="M1472">
        <v>0.1</v>
      </c>
      <c r="N1472">
        <v>210</v>
      </c>
      <c r="O1472">
        <v>189</v>
      </c>
      <c r="P1472" t="s">
        <v>2267</v>
      </c>
      <c r="Q1472" t="s">
        <v>2270</v>
      </c>
      <c r="R1472" t="s">
        <v>2278</v>
      </c>
      <c r="S1472" t="s">
        <v>2283</v>
      </c>
      <c r="T1472" t="s">
        <v>2288</v>
      </c>
      <c r="V1472">
        <v>197</v>
      </c>
      <c r="X1472">
        <v>56.56</v>
      </c>
      <c r="Y1472">
        <v>75.88</v>
      </c>
      <c r="Z1472" t="s">
        <v>2294</v>
      </c>
      <c r="AA1472" t="s">
        <v>2299</v>
      </c>
      <c r="AG1472">
        <v>2024</v>
      </c>
      <c r="AH1472">
        <v>9</v>
      </c>
      <c r="AI1472" t="s">
        <v>2300</v>
      </c>
      <c r="AJ1472" t="s">
        <v>2317</v>
      </c>
    </row>
    <row r="1473" spans="1:36" x14ac:dyDescent="0.3">
      <c r="A1473" t="s">
        <v>1507</v>
      </c>
      <c r="B1473" s="2">
        <v>45408</v>
      </c>
      <c r="C1473" t="s">
        <v>1652</v>
      </c>
      <c r="D1473" t="s">
        <v>1758</v>
      </c>
      <c r="E1473" t="s">
        <v>1976</v>
      </c>
      <c r="F1473" t="s">
        <v>2238</v>
      </c>
      <c r="G1473" t="s">
        <v>2252</v>
      </c>
      <c r="H1473" t="s">
        <v>2257</v>
      </c>
      <c r="I1473" t="s">
        <v>2262</v>
      </c>
      <c r="K1473">
        <v>1</v>
      </c>
      <c r="L1473">
        <v>90</v>
      </c>
      <c r="M1473">
        <v>0.1</v>
      </c>
      <c r="N1473">
        <v>90</v>
      </c>
      <c r="O1473">
        <v>81</v>
      </c>
      <c r="P1473" t="s">
        <v>2269</v>
      </c>
      <c r="R1473" t="s">
        <v>2273</v>
      </c>
      <c r="S1473" t="s">
        <v>2280</v>
      </c>
      <c r="T1473" t="s">
        <v>2289</v>
      </c>
      <c r="U1473">
        <v>2</v>
      </c>
      <c r="V1473">
        <v>217</v>
      </c>
      <c r="W1473">
        <v>45</v>
      </c>
      <c r="X1473">
        <v>41.07</v>
      </c>
      <c r="Y1473">
        <v>39.93</v>
      </c>
      <c r="Z1473" t="s">
        <v>2294</v>
      </c>
      <c r="AA1473" t="s">
        <v>1761</v>
      </c>
      <c r="AB1473">
        <v>90</v>
      </c>
      <c r="AC1473">
        <v>9</v>
      </c>
      <c r="AD1473">
        <v>81</v>
      </c>
      <c r="AE1473">
        <v>41.07</v>
      </c>
      <c r="AF1473">
        <v>39.93</v>
      </c>
      <c r="AG1473">
        <v>2024</v>
      </c>
      <c r="AH1473">
        <v>4</v>
      </c>
      <c r="AI1473" t="s">
        <v>2308</v>
      </c>
      <c r="AJ1473" t="s">
        <v>2315</v>
      </c>
    </row>
    <row r="1474" spans="1:36" x14ac:dyDescent="0.3">
      <c r="A1474" t="s">
        <v>1508</v>
      </c>
      <c r="B1474" s="2">
        <v>45373</v>
      </c>
      <c r="C1474" t="s">
        <v>1681</v>
      </c>
      <c r="D1474" t="s">
        <v>1895</v>
      </c>
      <c r="E1474" t="s">
        <v>1761</v>
      </c>
      <c r="F1474" t="s">
        <v>2238</v>
      </c>
      <c r="G1474" t="s">
        <v>2244</v>
      </c>
      <c r="H1474" t="s">
        <v>2257</v>
      </c>
      <c r="I1474" t="s">
        <v>2262</v>
      </c>
      <c r="J1474" t="s">
        <v>2264</v>
      </c>
      <c r="K1474">
        <v>1</v>
      </c>
      <c r="L1474">
        <v>120</v>
      </c>
      <c r="M1474">
        <v>0.1</v>
      </c>
      <c r="N1474">
        <v>120</v>
      </c>
      <c r="O1474">
        <v>108</v>
      </c>
      <c r="P1474" t="s">
        <v>2267</v>
      </c>
      <c r="R1474" t="s">
        <v>2273</v>
      </c>
      <c r="S1474" t="s">
        <v>2281</v>
      </c>
      <c r="T1474" t="s">
        <v>2288</v>
      </c>
      <c r="U1474">
        <v>4</v>
      </c>
      <c r="V1474">
        <v>180</v>
      </c>
      <c r="W1474">
        <v>25</v>
      </c>
      <c r="X1474">
        <v>59.69</v>
      </c>
      <c r="Y1474">
        <v>48.31</v>
      </c>
      <c r="Z1474" t="s">
        <v>2293</v>
      </c>
      <c r="AA1474" t="s">
        <v>2299</v>
      </c>
      <c r="AB1474">
        <v>120</v>
      </c>
      <c r="AC1474">
        <v>12</v>
      </c>
      <c r="AD1474">
        <v>108</v>
      </c>
      <c r="AE1474">
        <v>59.69</v>
      </c>
      <c r="AF1474">
        <v>48.31</v>
      </c>
      <c r="AG1474">
        <v>2024</v>
      </c>
      <c r="AH1474">
        <v>3</v>
      </c>
      <c r="AI1474" t="s">
        <v>2305</v>
      </c>
      <c r="AJ1474" t="s">
        <v>2315</v>
      </c>
    </row>
    <row r="1475" spans="1:36" x14ac:dyDescent="0.3">
      <c r="A1475" t="s">
        <v>1509</v>
      </c>
      <c r="B1475" s="2">
        <v>45585</v>
      </c>
      <c r="C1475" t="s">
        <v>1670</v>
      </c>
      <c r="D1475" t="s">
        <v>1744</v>
      </c>
      <c r="E1475" t="s">
        <v>2181</v>
      </c>
      <c r="F1475" t="s">
        <v>2240</v>
      </c>
      <c r="G1475" t="s">
        <v>2246</v>
      </c>
      <c r="H1475" t="s">
        <v>2259</v>
      </c>
      <c r="I1475" t="s">
        <v>2262</v>
      </c>
      <c r="J1475" t="s">
        <v>2266</v>
      </c>
      <c r="K1475">
        <v>1</v>
      </c>
      <c r="L1475">
        <v>100</v>
      </c>
      <c r="M1475">
        <v>0</v>
      </c>
      <c r="N1475">
        <v>100</v>
      </c>
      <c r="O1475">
        <v>100</v>
      </c>
      <c r="P1475" t="s">
        <v>2267</v>
      </c>
      <c r="Q1475" t="s">
        <v>2272</v>
      </c>
      <c r="R1475" t="s">
        <v>2278</v>
      </c>
      <c r="S1475" t="s">
        <v>2281</v>
      </c>
      <c r="T1475" t="s">
        <v>2288</v>
      </c>
      <c r="V1475">
        <v>42</v>
      </c>
      <c r="X1475">
        <v>36.9</v>
      </c>
      <c r="Y1475">
        <v>63.1</v>
      </c>
      <c r="Z1475" t="s">
        <v>1761</v>
      </c>
      <c r="AA1475" t="s">
        <v>2298</v>
      </c>
      <c r="AB1475">
        <v>100</v>
      </c>
      <c r="AC1475">
        <v>0</v>
      </c>
      <c r="AD1475">
        <v>100</v>
      </c>
      <c r="AE1475">
        <v>36.9</v>
      </c>
      <c r="AF1475">
        <v>63.1</v>
      </c>
      <c r="AG1475">
        <v>2024</v>
      </c>
      <c r="AH1475">
        <v>10</v>
      </c>
      <c r="AI1475" t="s">
        <v>2310</v>
      </c>
      <c r="AJ1475" t="s">
        <v>2318</v>
      </c>
    </row>
    <row r="1476" spans="1:36" x14ac:dyDescent="0.3">
      <c r="A1476" t="s">
        <v>1510</v>
      </c>
      <c r="B1476" s="2">
        <v>45560</v>
      </c>
      <c r="C1476" t="s">
        <v>1729</v>
      </c>
      <c r="D1476" t="s">
        <v>1829</v>
      </c>
      <c r="E1476" t="s">
        <v>2183</v>
      </c>
      <c r="F1476" t="s">
        <v>2240</v>
      </c>
      <c r="G1476" t="s">
        <v>2248</v>
      </c>
      <c r="H1476" t="s">
        <v>2257</v>
      </c>
      <c r="I1476" t="s">
        <v>2262</v>
      </c>
      <c r="J1476" t="s">
        <v>2266</v>
      </c>
      <c r="K1476">
        <v>1</v>
      </c>
      <c r="L1476">
        <v>145</v>
      </c>
      <c r="M1476">
        <v>0.15</v>
      </c>
      <c r="N1476">
        <v>145</v>
      </c>
      <c r="O1476">
        <v>123.25</v>
      </c>
      <c r="P1476" t="s">
        <v>2269</v>
      </c>
      <c r="Q1476" t="s">
        <v>2270</v>
      </c>
      <c r="R1476" t="s">
        <v>2275</v>
      </c>
      <c r="S1476" t="s">
        <v>2287</v>
      </c>
      <c r="T1476" t="s">
        <v>2288</v>
      </c>
      <c r="V1476">
        <v>496</v>
      </c>
      <c r="W1476">
        <v>52</v>
      </c>
      <c r="X1476">
        <v>57.68</v>
      </c>
      <c r="Y1476">
        <v>65.569999999999993</v>
      </c>
      <c r="Z1476" t="s">
        <v>2293</v>
      </c>
      <c r="AA1476" t="s">
        <v>2298</v>
      </c>
      <c r="AB1476">
        <v>145</v>
      </c>
      <c r="AC1476">
        <v>21.75</v>
      </c>
      <c r="AD1476">
        <v>123.25</v>
      </c>
      <c r="AE1476">
        <v>57.68</v>
      </c>
      <c r="AF1476">
        <v>65.569999999999993</v>
      </c>
      <c r="AG1476">
        <v>2024</v>
      </c>
      <c r="AH1476">
        <v>9</v>
      </c>
      <c r="AI1476" t="s">
        <v>2300</v>
      </c>
      <c r="AJ1476" t="s">
        <v>2312</v>
      </c>
    </row>
    <row r="1477" spans="1:36" x14ac:dyDescent="0.3">
      <c r="A1477" t="s">
        <v>1511</v>
      </c>
      <c r="B1477" s="2">
        <v>45560</v>
      </c>
      <c r="C1477" t="s">
        <v>1679</v>
      </c>
      <c r="D1477" t="s">
        <v>1761</v>
      </c>
      <c r="E1477" t="s">
        <v>2108</v>
      </c>
      <c r="F1477" t="s">
        <v>1761</v>
      </c>
      <c r="G1477" t="s">
        <v>2255</v>
      </c>
      <c r="H1477" t="s">
        <v>2260</v>
      </c>
      <c r="I1477" t="s">
        <v>2260</v>
      </c>
      <c r="J1477" t="s">
        <v>2264</v>
      </c>
      <c r="K1477">
        <v>1</v>
      </c>
      <c r="L1477">
        <v>180</v>
      </c>
      <c r="M1477">
        <v>0.05</v>
      </c>
      <c r="N1477">
        <v>180</v>
      </c>
      <c r="O1477">
        <v>171</v>
      </c>
      <c r="P1477" t="s">
        <v>2268</v>
      </c>
      <c r="Q1477" t="s">
        <v>2270</v>
      </c>
      <c r="R1477" t="s">
        <v>2273</v>
      </c>
      <c r="S1477" t="s">
        <v>2284</v>
      </c>
      <c r="T1477" t="s">
        <v>2290</v>
      </c>
      <c r="U1477">
        <v>2</v>
      </c>
      <c r="V1477">
        <v>7</v>
      </c>
      <c r="X1477">
        <v>81.5</v>
      </c>
      <c r="Y1477">
        <v>89.5</v>
      </c>
      <c r="Z1477" t="s">
        <v>2291</v>
      </c>
      <c r="AA1477" t="s">
        <v>2296</v>
      </c>
      <c r="AB1477">
        <v>180</v>
      </c>
      <c r="AC1477">
        <v>9</v>
      </c>
      <c r="AD1477">
        <v>171</v>
      </c>
      <c r="AE1477">
        <v>81.5</v>
      </c>
      <c r="AF1477">
        <v>89.5</v>
      </c>
      <c r="AG1477">
        <v>2024</v>
      </c>
      <c r="AH1477">
        <v>9</v>
      </c>
      <c r="AI1477" t="s">
        <v>2300</v>
      </c>
      <c r="AJ1477" t="s">
        <v>2312</v>
      </c>
    </row>
    <row r="1478" spans="1:36" x14ac:dyDescent="0.3">
      <c r="A1478" t="s">
        <v>1512</v>
      </c>
      <c r="B1478" s="2">
        <v>45619</v>
      </c>
      <c r="C1478" t="s">
        <v>1653</v>
      </c>
      <c r="D1478" t="s">
        <v>1779</v>
      </c>
      <c r="E1478" t="s">
        <v>2060</v>
      </c>
      <c r="F1478" t="s">
        <v>2240</v>
      </c>
      <c r="G1478" t="s">
        <v>2243</v>
      </c>
      <c r="H1478" t="s">
        <v>2258</v>
      </c>
      <c r="I1478" t="s">
        <v>2260</v>
      </c>
      <c r="J1478" t="s">
        <v>2264</v>
      </c>
      <c r="K1478">
        <v>2</v>
      </c>
      <c r="L1478">
        <v>70</v>
      </c>
      <c r="M1478">
        <v>0</v>
      </c>
      <c r="N1478">
        <v>140</v>
      </c>
      <c r="O1478">
        <v>140</v>
      </c>
      <c r="Q1478" t="s">
        <v>2271</v>
      </c>
      <c r="R1478" t="s">
        <v>2276</v>
      </c>
      <c r="S1478" t="s">
        <v>2285</v>
      </c>
      <c r="T1478" t="s">
        <v>2288</v>
      </c>
      <c r="U1478">
        <v>3</v>
      </c>
      <c r="V1478">
        <v>321</v>
      </c>
      <c r="W1478">
        <v>36</v>
      </c>
      <c r="X1478">
        <v>28.83</v>
      </c>
      <c r="Y1478">
        <v>82.34</v>
      </c>
      <c r="Z1478" t="s">
        <v>2293</v>
      </c>
      <c r="AA1478" t="s">
        <v>2299</v>
      </c>
      <c r="AB1478">
        <v>140</v>
      </c>
      <c r="AC1478">
        <v>0</v>
      </c>
      <c r="AD1478">
        <v>140</v>
      </c>
      <c r="AE1478">
        <v>57.66</v>
      </c>
      <c r="AF1478">
        <v>82.34</v>
      </c>
      <c r="AG1478">
        <v>2024</v>
      </c>
      <c r="AH1478">
        <v>11</v>
      </c>
      <c r="AI1478" t="s">
        <v>2311</v>
      </c>
      <c r="AJ1478" t="s">
        <v>2317</v>
      </c>
    </row>
    <row r="1479" spans="1:36" x14ac:dyDescent="0.3">
      <c r="A1479" t="s">
        <v>1513</v>
      </c>
      <c r="B1479" s="2">
        <v>45446</v>
      </c>
      <c r="C1479" t="s">
        <v>1707</v>
      </c>
      <c r="D1479" t="s">
        <v>1824</v>
      </c>
      <c r="E1479" t="s">
        <v>1973</v>
      </c>
      <c r="F1479" t="s">
        <v>2239</v>
      </c>
      <c r="G1479" t="s">
        <v>2251</v>
      </c>
      <c r="H1479" t="s">
        <v>2258</v>
      </c>
      <c r="I1479" t="s">
        <v>2260</v>
      </c>
      <c r="J1479" t="s">
        <v>2264</v>
      </c>
      <c r="K1479">
        <v>1</v>
      </c>
      <c r="L1479">
        <v>100</v>
      </c>
      <c r="M1479">
        <v>0</v>
      </c>
      <c r="N1479">
        <v>100</v>
      </c>
      <c r="O1479">
        <v>100</v>
      </c>
      <c r="P1479" t="s">
        <v>2269</v>
      </c>
      <c r="Q1479" t="s">
        <v>2270</v>
      </c>
      <c r="R1479" t="s">
        <v>2273</v>
      </c>
      <c r="S1479" t="s">
        <v>2280</v>
      </c>
      <c r="T1479" t="s">
        <v>2288</v>
      </c>
      <c r="U1479">
        <v>3</v>
      </c>
      <c r="V1479">
        <v>47</v>
      </c>
      <c r="W1479">
        <v>45</v>
      </c>
      <c r="X1479">
        <v>57.93</v>
      </c>
      <c r="Y1479">
        <v>42.07</v>
      </c>
      <c r="Z1479" t="s">
        <v>1761</v>
      </c>
      <c r="AA1479" t="s">
        <v>2296</v>
      </c>
      <c r="AB1479">
        <v>100</v>
      </c>
      <c r="AC1479">
        <v>0</v>
      </c>
      <c r="AD1479">
        <v>100</v>
      </c>
      <c r="AE1479">
        <v>57.93</v>
      </c>
      <c r="AF1479">
        <v>42.07</v>
      </c>
      <c r="AG1479">
        <v>2024</v>
      </c>
      <c r="AH1479">
        <v>6</v>
      </c>
      <c r="AI1479" t="s">
        <v>2304</v>
      </c>
      <c r="AJ1479" t="s">
        <v>2314</v>
      </c>
    </row>
    <row r="1480" spans="1:36" x14ac:dyDescent="0.3">
      <c r="A1480" t="s">
        <v>1514</v>
      </c>
      <c r="B1480" s="2">
        <v>45500</v>
      </c>
      <c r="C1480" t="s">
        <v>1729</v>
      </c>
      <c r="D1480" t="s">
        <v>1805</v>
      </c>
      <c r="E1480" t="s">
        <v>2066</v>
      </c>
      <c r="F1480" t="s">
        <v>2239</v>
      </c>
      <c r="G1480" t="s">
        <v>2255</v>
      </c>
      <c r="H1480" t="s">
        <v>2260</v>
      </c>
      <c r="I1480" t="s">
        <v>2260</v>
      </c>
      <c r="J1480" t="s">
        <v>2266</v>
      </c>
      <c r="K1480">
        <v>1</v>
      </c>
      <c r="L1480">
        <v>185</v>
      </c>
      <c r="M1480">
        <v>0</v>
      </c>
      <c r="N1480">
        <v>185</v>
      </c>
      <c r="O1480">
        <v>185</v>
      </c>
      <c r="P1480" t="s">
        <v>2267</v>
      </c>
      <c r="Q1480" t="s">
        <v>2272</v>
      </c>
      <c r="R1480" t="s">
        <v>2277</v>
      </c>
      <c r="S1480" t="s">
        <v>2282</v>
      </c>
      <c r="T1480" t="s">
        <v>2289</v>
      </c>
      <c r="U1480">
        <v>4</v>
      </c>
      <c r="V1480">
        <v>76</v>
      </c>
      <c r="X1480">
        <v>107.41</v>
      </c>
      <c r="Y1480">
        <v>77.59</v>
      </c>
      <c r="Z1480" t="s">
        <v>2292</v>
      </c>
      <c r="AA1480" t="s">
        <v>2298</v>
      </c>
      <c r="AB1480">
        <v>185</v>
      </c>
      <c r="AC1480">
        <v>0</v>
      </c>
      <c r="AD1480">
        <v>185</v>
      </c>
      <c r="AE1480">
        <v>107.41</v>
      </c>
      <c r="AF1480">
        <v>77.59</v>
      </c>
      <c r="AG1480">
        <v>2024</v>
      </c>
      <c r="AH1480">
        <v>7</v>
      </c>
      <c r="AI1480" t="s">
        <v>2307</v>
      </c>
      <c r="AJ1480" t="s">
        <v>2317</v>
      </c>
    </row>
    <row r="1481" spans="1:36" x14ac:dyDescent="0.3">
      <c r="A1481" t="s">
        <v>1515</v>
      </c>
      <c r="B1481" s="2">
        <v>45653</v>
      </c>
      <c r="C1481" t="s">
        <v>1712</v>
      </c>
      <c r="D1481" t="s">
        <v>1863</v>
      </c>
      <c r="E1481" t="s">
        <v>2004</v>
      </c>
      <c r="F1481" t="s">
        <v>2239</v>
      </c>
      <c r="G1481" t="s">
        <v>2251</v>
      </c>
      <c r="H1481" t="s">
        <v>2258</v>
      </c>
      <c r="I1481" t="s">
        <v>2260</v>
      </c>
      <c r="J1481" t="s">
        <v>2264</v>
      </c>
      <c r="K1481">
        <v>1</v>
      </c>
      <c r="L1481">
        <v>105</v>
      </c>
      <c r="M1481">
        <v>0</v>
      </c>
      <c r="N1481">
        <v>105</v>
      </c>
      <c r="O1481">
        <v>105</v>
      </c>
      <c r="P1481" t="s">
        <v>2268</v>
      </c>
      <c r="Q1481" t="s">
        <v>2272</v>
      </c>
      <c r="R1481" t="s">
        <v>2277</v>
      </c>
      <c r="S1481" t="s">
        <v>2282</v>
      </c>
      <c r="T1481" t="s">
        <v>2288</v>
      </c>
      <c r="U1481">
        <v>3</v>
      </c>
      <c r="V1481">
        <v>263</v>
      </c>
      <c r="W1481">
        <v>28</v>
      </c>
      <c r="X1481">
        <v>53.76</v>
      </c>
      <c r="Y1481">
        <v>51.24</v>
      </c>
      <c r="Z1481" t="s">
        <v>2291</v>
      </c>
      <c r="AA1481" t="s">
        <v>2297</v>
      </c>
      <c r="AB1481">
        <v>105</v>
      </c>
      <c r="AC1481">
        <v>0</v>
      </c>
      <c r="AD1481">
        <v>105</v>
      </c>
      <c r="AE1481">
        <v>53.76</v>
      </c>
      <c r="AF1481">
        <v>51.24</v>
      </c>
      <c r="AG1481">
        <v>2024</v>
      </c>
      <c r="AH1481">
        <v>12</v>
      </c>
      <c r="AI1481" t="s">
        <v>2309</v>
      </c>
      <c r="AJ1481" t="s">
        <v>2315</v>
      </c>
    </row>
    <row r="1482" spans="1:36" x14ac:dyDescent="0.3">
      <c r="A1482" t="s">
        <v>1516</v>
      </c>
      <c r="B1482" s="2">
        <v>45588</v>
      </c>
      <c r="C1482" t="s">
        <v>1690</v>
      </c>
      <c r="D1482" t="s">
        <v>1754</v>
      </c>
      <c r="E1482" t="s">
        <v>2132</v>
      </c>
      <c r="F1482" t="s">
        <v>2238</v>
      </c>
      <c r="G1482" t="s">
        <v>2242</v>
      </c>
      <c r="H1482" t="s">
        <v>2258</v>
      </c>
      <c r="I1482" t="s">
        <v>2260</v>
      </c>
      <c r="J1482" t="s">
        <v>2265</v>
      </c>
      <c r="K1482">
        <v>1</v>
      </c>
      <c r="L1482">
        <v>130</v>
      </c>
      <c r="M1482">
        <v>0.05</v>
      </c>
      <c r="N1482">
        <v>130</v>
      </c>
      <c r="O1482">
        <v>123.5</v>
      </c>
      <c r="P1482" t="s">
        <v>2268</v>
      </c>
      <c r="Q1482" t="s">
        <v>2272</v>
      </c>
      <c r="R1482" t="s">
        <v>2273</v>
      </c>
      <c r="S1482" t="s">
        <v>2282</v>
      </c>
      <c r="T1482" t="s">
        <v>2288</v>
      </c>
      <c r="U1482">
        <v>4</v>
      </c>
      <c r="V1482">
        <v>307</v>
      </c>
      <c r="X1482">
        <v>61.96</v>
      </c>
      <c r="Y1482">
        <v>61.54</v>
      </c>
      <c r="Z1482" t="s">
        <v>2292</v>
      </c>
      <c r="AA1482" t="s">
        <v>2296</v>
      </c>
      <c r="AB1482">
        <v>130</v>
      </c>
      <c r="AC1482">
        <v>6.5</v>
      </c>
      <c r="AD1482">
        <v>123.5</v>
      </c>
      <c r="AE1482">
        <v>61.96</v>
      </c>
      <c r="AF1482">
        <v>61.54</v>
      </c>
      <c r="AG1482">
        <v>2024</v>
      </c>
      <c r="AH1482">
        <v>10</v>
      </c>
      <c r="AI1482" t="s">
        <v>2310</v>
      </c>
      <c r="AJ1482" t="s">
        <v>2312</v>
      </c>
    </row>
    <row r="1483" spans="1:36" x14ac:dyDescent="0.3">
      <c r="A1483" t="s">
        <v>1517</v>
      </c>
      <c r="B1483" s="2">
        <v>45480</v>
      </c>
      <c r="C1483" t="s">
        <v>1704</v>
      </c>
      <c r="D1483" t="s">
        <v>1858</v>
      </c>
      <c r="E1483" t="s">
        <v>2205</v>
      </c>
      <c r="F1483" t="s">
        <v>2239</v>
      </c>
      <c r="G1483" t="s">
        <v>2253</v>
      </c>
      <c r="H1483" t="s">
        <v>2258</v>
      </c>
      <c r="I1483" t="s">
        <v>2260</v>
      </c>
      <c r="J1483" t="s">
        <v>2264</v>
      </c>
      <c r="K1483">
        <v>1</v>
      </c>
      <c r="L1483">
        <v>90</v>
      </c>
      <c r="M1483">
        <v>0.1</v>
      </c>
      <c r="N1483">
        <v>90</v>
      </c>
      <c r="O1483">
        <v>81</v>
      </c>
      <c r="P1483" t="s">
        <v>2268</v>
      </c>
      <c r="Q1483" t="s">
        <v>2270</v>
      </c>
      <c r="R1483" t="s">
        <v>2274</v>
      </c>
      <c r="S1483" t="s">
        <v>2282</v>
      </c>
      <c r="T1483" t="s">
        <v>2289</v>
      </c>
      <c r="U1483">
        <v>5</v>
      </c>
      <c r="V1483">
        <v>320</v>
      </c>
      <c r="W1483">
        <v>44</v>
      </c>
      <c r="X1483">
        <v>44.75</v>
      </c>
      <c r="Y1483">
        <v>36.25</v>
      </c>
      <c r="Z1483" t="s">
        <v>2294</v>
      </c>
      <c r="AA1483" t="s">
        <v>2299</v>
      </c>
      <c r="AB1483">
        <v>90</v>
      </c>
      <c r="AC1483">
        <v>9</v>
      </c>
      <c r="AD1483">
        <v>81</v>
      </c>
      <c r="AE1483">
        <v>44.75</v>
      </c>
      <c r="AF1483">
        <v>36.25</v>
      </c>
      <c r="AG1483">
        <v>2024</v>
      </c>
      <c r="AH1483">
        <v>7</v>
      </c>
      <c r="AI1483" t="s">
        <v>2307</v>
      </c>
      <c r="AJ1483" t="s">
        <v>2318</v>
      </c>
    </row>
    <row r="1484" spans="1:36" x14ac:dyDescent="0.3">
      <c r="A1484" t="s">
        <v>1518</v>
      </c>
      <c r="B1484" s="2">
        <v>45579</v>
      </c>
      <c r="C1484" t="s">
        <v>1675</v>
      </c>
      <c r="D1484" t="s">
        <v>1931</v>
      </c>
      <c r="E1484" t="s">
        <v>2155</v>
      </c>
      <c r="F1484" t="s">
        <v>2239</v>
      </c>
      <c r="G1484" t="s">
        <v>2253</v>
      </c>
      <c r="H1484" t="s">
        <v>2258</v>
      </c>
      <c r="I1484" t="s">
        <v>2260</v>
      </c>
      <c r="J1484" t="s">
        <v>2264</v>
      </c>
      <c r="K1484">
        <v>1</v>
      </c>
      <c r="L1484">
        <v>90</v>
      </c>
      <c r="M1484">
        <v>0.05</v>
      </c>
      <c r="N1484">
        <v>90</v>
      </c>
      <c r="O1484">
        <v>85.5</v>
      </c>
      <c r="P1484" t="s">
        <v>2268</v>
      </c>
      <c r="Q1484" t="s">
        <v>2271</v>
      </c>
      <c r="R1484" t="s">
        <v>2277</v>
      </c>
      <c r="S1484" t="s">
        <v>2287</v>
      </c>
      <c r="T1484" t="s">
        <v>2289</v>
      </c>
      <c r="U1484">
        <v>5</v>
      </c>
      <c r="V1484">
        <v>492</v>
      </c>
      <c r="W1484">
        <v>27</v>
      </c>
      <c r="X1484">
        <v>40.659999999999997</v>
      </c>
      <c r="Y1484">
        <v>44.84</v>
      </c>
      <c r="Z1484" t="s">
        <v>2294</v>
      </c>
      <c r="AA1484" t="s">
        <v>2298</v>
      </c>
      <c r="AB1484">
        <v>90</v>
      </c>
      <c r="AC1484">
        <v>4.5</v>
      </c>
      <c r="AD1484">
        <v>85.5</v>
      </c>
      <c r="AE1484">
        <v>40.659999999999997</v>
      </c>
      <c r="AF1484">
        <v>44.84</v>
      </c>
      <c r="AG1484">
        <v>2024</v>
      </c>
      <c r="AH1484">
        <v>10</v>
      </c>
      <c r="AI1484" t="s">
        <v>2310</v>
      </c>
      <c r="AJ1484" t="s">
        <v>2314</v>
      </c>
    </row>
    <row r="1485" spans="1:36" x14ac:dyDescent="0.3">
      <c r="A1485" t="s">
        <v>1519</v>
      </c>
      <c r="B1485" s="2">
        <v>45625</v>
      </c>
      <c r="C1485" t="s">
        <v>1682</v>
      </c>
      <c r="D1485" t="s">
        <v>1782</v>
      </c>
      <c r="E1485" t="s">
        <v>2203</v>
      </c>
      <c r="F1485" t="s">
        <v>2238</v>
      </c>
      <c r="G1485" t="s">
        <v>2254</v>
      </c>
      <c r="H1485" t="s">
        <v>2259</v>
      </c>
      <c r="I1485" t="s">
        <v>2263</v>
      </c>
      <c r="K1485">
        <v>1</v>
      </c>
      <c r="L1485">
        <v>110</v>
      </c>
      <c r="M1485">
        <v>0</v>
      </c>
      <c r="N1485">
        <v>110</v>
      </c>
      <c r="O1485">
        <v>110</v>
      </c>
      <c r="P1485" t="s">
        <v>2267</v>
      </c>
      <c r="Q1485" t="s">
        <v>2271</v>
      </c>
      <c r="R1485" t="s">
        <v>2273</v>
      </c>
      <c r="S1485" t="s">
        <v>2284</v>
      </c>
      <c r="T1485" t="s">
        <v>2288</v>
      </c>
      <c r="U1485">
        <v>1</v>
      </c>
      <c r="V1485">
        <v>207</v>
      </c>
      <c r="W1485">
        <v>21</v>
      </c>
      <c r="X1485">
        <v>49.73</v>
      </c>
      <c r="Y1485">
        <v>60.27</v>
      </c>
      <c r="Z1485" t="s">
        <v>2293</v>
      </c>
      <c r="AA1485" t="s">
        <v>2296</v>
      </c>
      <c r="AB1485">
        <v>110</v>
      </c>
      <c r="AC1485">
        <v>0</v>
      </c>
      <c r="AD1485">
        <v>110</v>
      </c>
      <c r="AE1485">
        <v>49.73</v>
      </c>
      <c r="AF1485">
        <v>60.27</v>
      </c>
      <c r="AG1485">
        <v>2024</v>
      </c>
      <c r="AH1485">
        <v>11</v>
      </c>
      <c r="AI1485" t="s">
        <v>2311</v>
      </c>
      <c r="AJ1485" t="s">
        <v>2315</v>
      </c>
    </row>
    <row r="1486" spans="1:36" x14ac:dyDescent="0.3">
      <c r="A1486" t="s">
        <v>1520</v>
      </c>
      <c r="B1486" s="2">
        <v>45338</v>
      </c>
      <c r="C1486" t="s">
        <v>1740</v>
      </c>
      <c r="D1486" t="s">
        <v>1753</v>
      </c>
      <c r="E1486" t="s">
        <v>2216</v>
      </c>
      <c r="F1486" t="s">
        <v>2239</v>
      </c>
      <c r="G1486" t="s">
        <v>2245</v>
      </c>
      <c r="H1486" t="s">
        <v>2257</v>
      </c>
      <c r="I1486" t="s">
        <v>2263</v>
      </c>
      <c r="K1486">
        <v>2</v>
      </c>
      <c r="L1486">
        <v>150</v>
      </c>
      <c r="M1486">
        <v>0.1</v>
      </c>
      <c r="N1486">
        <v>300</v>
      </c>
      <c r="O1486">
        <v>270</v>
      </c>
      <c r="P1486" t="s">
        <v>2267</v>
      </c>
      <c r="Q1486" t="s">
        <v>2272</v>
      </c>
      <c r="R1486" t="s">
        <v>2275</v>
      </c>
      <c r="S1486" t="s">
        <v>2283</v>
      </c>
      <c r="T1486" t="s">
        <v>2289</v>
      </c>
      <c r="U1486">
        <v>5</v>
      </c>
      <c r="X1486">
        <v>84.7</v>
      </c>
      <c r="Y1486">
        <v>100.6</v>
      </c>
      <c r="Z1486" t="s">
        <v>2291</v>
      </c>
      <c r="AA1486" t="s">
        <v>2296</v>
      </c>
      <c r="AB1486">
        <v>300</v>
      </c>
      <c r="AC1486">
        <v>30</v>
      </c>
      <c r="AD1486">
        <v>270</v>
      </c>
      <c r="AE1486">
        <v>169.4</v>
      </c>
      <c r="AF1486">
        <v>100.6</v>
      </c>
      <c r="AG1486">
        <v>2024</v>
      </c>
      <c r="AH1486">
        <v>2</v>
      </c>
      <c r="AI1486" t="s">
        <v>2303</v>
      </c>
      <c r="AJ1486" t="s">
        <v>2315</v>
      </c>
    </row>
    <row r="1487" spans="1:36" x14ac:dyDescent="0.3">
      <c r="A1487" t="s">
        <v>1521</v>
      </c>
      <c r="B1487" s="2">
        <v>45509</v>
      </c>
      <c r="C1487" t="s">
        <v>1645</v>
      </c>
      <c r="D1487" t="s">
        <v>1858</v>
      </c>
      <c r="E1487" t="s">
        <v>2211</v>
      </c>
      <c r="F1487" t="s">
        <v>2238</v>
      </c>
      <c r="G1487" t="s">
        <v>2252</v>
      </c>
      <c r="H1487" t="s">
        <v>2257</v>
      </c>
      <c r="I1487" t="s">
        <v>2262</v>
      </c>
      <c r="J1487" t="s">
        <v>2266</v>
      </c>
      <c r="K1487">
        <v>1</v>
      </c>
      <c r="L1487">
        <v>85</v>
      </c>
      <c r="N1487">
        <v>85</v>
      </c>
      <c r="P1487" t="s">
        <v>2268</v>
      </c>
      <c r="Q1487" t="s">
        <v>2270</v>
      </c>
      <c r="R1487" t="s">
        <v>2277</v>
      </c>
      <c r="S1487" t="s">
        <v>2284</v>
      </c>
      <c r="T1487" t="s">
        <v>2288</v>
      </c>
      <c r="U1487">
        <v>5</v>
      </c>
      <c r="V1487">
        <v>406</v>
      </c>
      <c r="X1487">
        <v>32.409999999999997</v>
      </c>
      <c r="Z1487" t="s">
        <v>2293</v>
      </c>
      <c r="AA1487" t="s">
        <v>2299</v>
      </c>
      <c r="AB1487">
        <v>85</v>
      </c>
      <c r="AC1487">
        <v>0</v>
      </c>
      <c r="AD1487">
        <v>85</v>
      </c>
      <c r="AE1487">
        <v>32.409999999999997</v>
      </c>
      <c r="AF1487">
        <v>52.59</v>
      </c>
      <c r="AG1487">
        <v>2024</v>
      </c>
      <c r="AH1487">
        <v>8</v>
      </c>
      <c r="AI1487" t="s">
        <v>2301</v>
      </c>
      <c r="AJ1487" t="s">
        <v>2314</v>
      </c>
    </row>
    <row r="1488" spans="1:36" x14ac:dyDescent="0.3">
      <c r="A1488" t="s">
        <v>1522</v>
      </c>
      <c r="B1488" s="2">
        <v>45570</v>
      </c>
      <c r="C1488" t="s">
        <v>1666</v>
      </c>
      <c r="D1488" t="s">
        <v>1929</v>
      </c>
      <c r="E1488" t="s">
        <v>1761</v>
      </c>
      <c r="F1488" t="s">
        <v>2240</v>
      </c>
      <c r="G1488" t="s">
        <v>2250</v>
      </c>
      <c r="H1488" t="s">
        <v>2259</v>
      </c>
      <c r="I1488" t="s">
        <v>2262</v>
      </c>
      <c r="J1488" t="s">
        <v>2265</v>
      </c>
      <c r="K1488">
        <v>1</v>
      </c>
      <c r="L1488">
        <v>85</v>
      </c>
      <c r="M1488">
        <v>0</v>
      </c>
      <c r="N1488">
        <v>85</v>
      </c>
      <c r="O1488">
        <v>85</v>
      </c>
      <c r="P1488" t="s">
        <v>2268</v>
      </c>
      <c r="R1488" t="s">
        <v>2278</v>
      </c>
      <c r="S1488" t="s">
        <v>2285</v>
      </c>
      <c r="T1488" t="s">
        <v>2288</v>
      </c>
      <c r="U1488">
        <v>5</v>
      </c>
      <c r="V1488">
        <v>52</v>
      </c>
      <c r="W1488">
        <v>22</v>
      </c>
      <c r="X1488">
        <v>40.51</v>
      </c>
      <c r="Y1488">
        <v>44.49</v>
      </c>
      <c r="Z1488" t="s">
        <v>2293</v>
      </c>
      <c r="AA1488" t="s">
        <v>2296</v>
      </c>
      <c r="AB1488">
        <v>85</v>
      </c>
      <c r="AC1488">
        <v>0</v>
      </c>
      <c r="AD1488">
        <v>85</v>
      </c>
      <c r="AE1488">
        <v>40.51</v>
      </c>
      <c r="AF1488">
        <v>44.49</v>
      </c>
      <c r="AG1488">
        <v>2024</v>
      </c>
      <c r="AH1488">
        <v>10</v>
      </c>
      <c r="AI1488" t="s">
        <v>2310</v>
      </c>
      <c r="AJ1488" t="s">
        <v>2317</v>
      </c>
    </row>
    <row r="1489" spans="1:36" x14ac:dyDescent="0.3">
      <c r="A1489" t="s">
        <v>1523</v>
      </c>
      <c r="B1489" s="2">
        <v>45579</v>
      </c>
      <c r="C1489" t="s">
        <v>1702</v>
      </c>
      <c r="D1489" t="s">
        <v>1888</v>
      </c>
      <c r="E1489" t="s">
        <v>2186</v>
      </c>
      <c r="F1489" t="s">
        <v>2240</v>
      </c>
      <c r="G1489" t="s">
        <v>2241</v>
      </c>
      <c r="H1489" t="s">
        <v>2257</v>
      </c>
      <c r="I1489" t="s">
        <v>2262</v>
      </c>
      <c r="J1489" t="s">
        <v>2265</v>
      </c>
      <c r="K1489">
        <v>1</v>
      </c>
      <c r="L1489">
        <v>130</v>
      </c>
      <c r="M1489">
        <v>0.1</v>
      </c>
      <c r="N1489">
        <v>130</v>
      </c>
      <c r="O1489">
        <v>117</v>
      </c>
      <c r="P1489" t="s">
        <v>2269</v>
      </c>
      <c r="Q1489" t="s">
        <v>2270</v>
      </c>
      <c r="R1489" t="s">
        <v>2274</v>
      </c>
      <c r="S1489" t="s">
        <v>2287</v>
      </c>
      <c r="T1489" t="s">
        <v>2290</v>
      </c>
      <c r="U1489">
        <v>5</v>
      </c>
      <c r="V1489">
        <v>333</v>
      </c>
      <c r="W1489">
        <v>50</v>
      </c>
      <c r="X1489">
        <v>61.32</v>
      </c>
      <c r="Y1489">
        <v>55.68</v>
      </c>
      <c r="Z1489" t="s">
        <v>2293</v>
      </c>
      <c r="AA1489" t="s">
        <v>2296</v>
      </c>
      <c r="AB1489">
        <v>130</v>
      </c>
      <c r="AC1489">
        <v>13</v>
      </c>
      <c r="AD1489">
        <v>117</v>
      </c>
      <c r="AE1489">
        <v>61.32</v>
      </c>
      <c r="AF1489">
        <v>55.68</v>
      </c>
      <c r="AG1489">
        <v>2024</v>
      </c>
      <c r="AH1489">
        <v>10</v>
      </c>
      <c r="AI1489" t="s">
        <v>2310</v>
      </c>
      <c r="AJ1489" t="s">
        <v>2314</v>
      </c>
    </row>
    <row r="1490" spans="1:36" x14ac:dyDescent="0.3">
      <c r="A1490" t="s">
        <v>1524</v>
      </c>
      <c r="B1490" s="2">
        <v>45307</v>
      </c>
      <c r="C1490" t="s">
        <v>1684</v>
      </c>
      <c r="D1490" t="s">
        <v>1839</v>
      </c>
      <c r="E1490" t="s">
        <v>2138</v>
      </c>
      <c r="F1490" t="s">
        <v>2240</v>
      </c>
      <c r="G1490" t="s">
        <v>2253</v>
      </c>
      <c r="H1490" t="s">
        <v>2258</v>
      </c>
      <c r="I1490" t="s">
        <v>2260</v>
      </c>
      <c r="J1490" t="s">
        <v>2265</v>
      </c>
      <c r="K1490">
        <v>2</v>
      </c>
      <c r="L1490">
        <v>90</v>
      </c>
      <c r="M1490">
        <v>0.05</v>
      </c>
      <c r="N1490">
        <v>180</v>
      </c>
      <c r="O1490">
        <v>171</v>
      </c>
      <c r="P1490" t="s">
        <v>2269</v>
      </c>
      <c r="Q1490" t="s">
        <v>2272</v>
      </c>
      <c r="R1490" t="s">
        <v>2279</v>
      </c>
      <c r="S1490" t="s">
        <v>2280</v>
      </c>
      <c r="T1490" t="s">
        <v>2288</v>
      </c>
      <c r="U1490">
        <v>3</v>
      </c>
      <c r="V1490">
        <v>194</v>
      </c>
      <c r="X1490">
        <v>34.799999999999997</v>
      </c>
      <c r="Y1490">
        <v>101.4</v>
      </c>
      <c r="Z1490" t="s">
        <v>2293</v>
      </c>
      <c r="AA1490" t="s">
        <v>1761</v>
      </c>
      <c r="AB1490">
        <v>180</v>
      </c>
      <c r="AC1490">
        <v>9</v>
      </c>
      <c r="AD1490">
        <v>171</v>
      </c>
      <c r="AE1490">
        <v>69.599999999999994</v>
      </c>
      <c r="AF1490">
        <v>101.4</v>
      </c>
      <c r="AG1490">
        <v>2024</v>
      </c>
      <c r="AH1490">
        <v>1</v>
      </c>
      <c r="AI1490" t="s">
        <v>2302</v>
      </c>
      <c r="AJ1490" t="s">
        <v>2313</v>
      </c>
    </row>
    <row r="1491" spans="1:36" x14ac:dyDescent="0.3">
      <c r="A1491" t="s">
        <v>1525</v>
      </c>
      <c r="B1491" s="2">
        <v>45390</v>
      </c>
      <c r="C1491" t="s">
        <v>1676</v>
      </c>
      <c r="D1491" t="s">
        <v>1858</v>
      </c>
      <c r="E1491" t="s">
        <v>2003</v>
      </c>
      <c r="F1491" t="s">
        <v>2239</v>
      </c>
      <c r="G1491" t="s">
        <v>2246</v>
      </c>
      <c r="H1491" t="s">
        <v>2259</v>
      </c>
      <c r="I1491" t="s">
        <v>2262</v>
      </c>
      <c r="J1491" t="s">
        <v>2264</v>
      </c>
      <c r="K1491">
        <v>1</v>
      </c>
      <c r="L1491">
        <v>105</v>
      </c>
      <c r="M1491">
        <v>0.05</v>
      </c>
      <c r="N1491">
        <v>105</v>
      </c>
      <c r="O1491">
        <v>99.75</v>
      </c>
      <c r="P1491" t="s">
        <v>2267</v>
      </c>
      <c r="Q1491" t="s">
        <v>2270</v>
      </c>
      <c r="R1491" t="s">
        <v>2276</v>
      </c>
      <c r="S1491" t="s">
        <v>2287</v>
      </c>
      <c r="T1491" t="s">
        <v>2288</v>
      </c>
      <c r="U1491">
        <v>5</v>
      </c>
      <c r="V1491">
        <v>385</v>
      </c>
      <c r="W1491">
        <v>26</v>
      </c>
      <c r="X1491">
        <v>41.24</v>
      </c>
      <c r="Y1491">
        <v>58.51</v>
      </c>
      <c r="Z1491" t="s">
        <v>2294</v>
      </c>
      <c r="AA1491" t="s">
        <v>2296</v>
      </c>
      <c r="AB1491">
        <v>105</v>
      </c>
      <c r="AC1491">
        <v>5.25</v>
      </c>
      <c r="AD1491">
        <v>99.75</v>
      </c>
      <c r="AE1491">
        <v>41.24</v>
      </c>
      <c r="AF1491">
        <v>58.51</v>
      </c>
      <c r="AG1491">
        <v>2024</v>
      </c>
      <c r="AH1491">
        <v>4</v>
      </c>
      <c r="AI1491" t="s">
        <v>2308</v>
      </c>
      <c r="AJ1491" t="s">
        <v>2314</v>
      </c>
    </row>
    <row r="1492" spans="1:36" x14ac:dyDescent="0.3">
      <c r="A1492" t="s">
        <v>1526</v>
      </c>
      <c r="B1492" s="2">
        <v>45634</v>
      </c>
      <c r="C1492" t="s">
        <v>1716</v>
      </c>
      <c r="D1492" t="s">
        <v>1930</v>
      </c>
      <c r="E1492" t="s">
        <v>2213</v>
      </c>
      <c r="F1492" t="s">
        <v>2239</v>
      </c>
      <c r="G1492" t="s">
        <v>2242</v>
      </c>
      <c r="H1492" t="s">
        <v>2258</v>
      </c>
      <c r="I1492" t="s">
        <v>2260</v>
      </c>
      <c r="J1492" t="s">
        <v>2264</v>
      </c>
      <c r="K1492">
        <v>1</v>
      </c>
      <c r="L1492">
        <v>120</v>
      </c>
      <c r="M1492">
        <v>0</v>
      </c>
      <c r="N1492">
        <v>120</v>
      </c>
      <c r="O1492">
        <v>120</v>
      </c>
      <c r="P1492" t="s">
        <v>2267</v>
      </c>
      <c r="Q1492" t="s">
        <v>2272</v>
      </c>
      <c r="R1492" t="s">
        <v>2277</v>
      </c>
      <c r="S1492" t="s">
        <v>2287</v>
      </c>
      <c r="T1492" t="s">
        <v>2288</v>
      </c>
      <c r="U1492">
        <v>4</v>
      </c>
      <c r="V1492">
        <v>307</v>
      </c>
      <c r="W1492">
        <v>45</v>
      </c>
      <c r="X1492">
        <v>63.62</v>
      </c>
      <c r="Y1492">
        <v>56.38</v>
      </c>
      <c r="Z1492" t="s">
        <v>2292</v>
      </c>
      <c r="AA1492" t="s">
        <v>2298</v>
      </c>
      <c r="AB1492">
        <v>120</v>
      </c>
      <c r="AC1492">
        <v>0</v>
      </c>
      <c r="AD1492">
        <v>120</v>
      </c>
      <c r="AE1492">
        <v>63.62</v>
      </c>
      <c r="AF1492">
        <v>56.38</v>
      </c>
      <c r="AG1492">
        <v>2024</v>
      </c>
      <c r="AH1492">
        <v>12</v>
      </c>
      <c r="AI1492" t="s">
        <v>2309</v>
      </c>
      <c r="AJ1492" t="s">
        <v>2318</v>
      </c>
    </row>
    <row r="1493" spans="1:36" x14ac:dyDescent="0.3">
      <c r="A1493" t="s">
        <v>1527</v>
      </c>
      <c r="B1493" s="2">
        <v>45513</v>
      </c>
      <c r="C1493" t="s">
        <v>1718</v>
      </c>
      <c r="D1493" t="s">
        <v>1820</v>
      </c>
      <c r="E1493" t="s">
        <v>2042</v>
      </c>
      <c r="F1493" t="s">
        <v>2238</v>
      </c>
      <c r="G1493" t="s">
        <v>2256</v>
      </c>
      <c r="H1493" t="s">
        <v>2261</v>
      </c>
      <c r="I1493" t="s">
        <v>2260</v>
      </c>
      <c r="J1493" t="s">
        <v>2265</v>
      </c>
      <c r="L1493">
        <v>200</v>
      </c>
      <c r="M1493">
        <v>0.15</v>
      </c>
      <c r="N1493">
        <v>200</v>
      </c>
      <c r="O1493">
        <v>170</v>
      </c>
      <c r="P1493" t="s">
        <v>2269</v>
      </c>
      <c r="Q1493" t="s">
        <v>2270</v>
      </c>
      <c r="R1493" t="s">
        <v>2274</v>
      </c>
      <c r="S1493" t="s">
        <v>2283</v>
      </c>
      <c r="T1493" t="s">
        <v>2288</v>
      </c>
      <c r="U1493">
        <v>3</v>
      </c>
      <c r="V1493">
        <v>14</v>
      </c>
      <c r="W1493">
        <v>38</v>
      </c>
      <c r="X1493">
        <v>71.98</v>
      </c>
      <c r="Y1493">
        <v>98.02</v>
      </c>
      <c r="Z1493" t="s">
        <v>1761</v>
      </c>
      <c r="AA1493" t="s">
        <v>2296</v>
      </c>
      <c r="AG1493">
        <v>2024</v>
      </c>
      <c r="AH1493">
        <v>8</v>
      </c>
      <c r="AI1493" t="s">
        <v>2301</v>
      </c>
      <c r="AJ1493" t="s">
        <v>2315</v>
      </c>
    </row>
    <row r="1494" spans="1:36" x14ac:dyDescent="0.3">
      <c r="A1494" t="s">
        <v>1528</v>
      </c>
      <c r="B1494" s="2">
        <v>45640</v>
      </c>
      <c r="C1494" t="s">
        <v>1642</v>
      </c>
      <c r="D1494" t="s">
        <v>1890</v>
      </c>
      <c r="E1494" t="s">
        <v>2112</v>
      </c>
      <c r="F1494" t="s">
        <v>2239</v>
      </c>
      <c r="G1494" t="s">
        <v>2251</v>
      </c>
      <c r="H1494" t="s">
        <v>2258</v>
      </c>
      <c r="I1494" t="s">
        <v>2260</v>
      </c>
      <c r="K1494">
        <v>2</v>
      </c>
      <c r="L1494">
        <v>100</v>
      </c>
      <c r="M1494">
        <v>0</v>
      </c>
      <c r="N1494">
        <v>200</v>
      </c>
      <c r="O1494">
        <v>200</v>
      </c>
      <c r="P1494" t="s">
        <v>2269</v>
      </c>
      <c r="Q1494" t="s">
        <v>2270</v>
      </c>
      <c r="R1494" t="s">
        <v>2275</v>
      </c>
      <c r="S1494" t="s">
        <v>2282</v>
      </c>
      <c r="T1494" t="s">
        <v>2288</v>
      </c>
      <c r="V1494">
        <v>155</v>
      </c>
      <c r="W1494">
        <v>55</v>
      </c>
      <c r="X1494">
        <v>37.54</v>
      </c>
      <c r="Y1494">
        <v>124.92</v>
      </c>
      <c r="Z1494" t="s">
        <v>1761</v>
      </c>
      <c r="AA1494" t="s">
        <v>2296</v>
      </c>
      <c r="AB1494">
        <v>200</v>
      </c>
      <c r="AC1494">
        <v>0</v>
      </c>
      <c r="AD1494">
        <v>200</v>
      </c>
      <c r="AE1494">
        <v>75.08</v>
      </c>
      <c r="AF1494">
        <v>124.92</v>
      </c>
      <c r="AG1494">
        <v>2024</v>
      </c>
      <c r="AH1494">
        <v>12</v>
      </c>
      <c r="AI1494" t="s">
        <v>2309</v>
      </c>
      <c r="AJ1494" t="s">
        <v>2317</v>
      </c>
    </row>
    <row r="1495" spans="1:36" x14ac:dyDescent="0.3">
      <c r="A1495" t="s">
        <v>1529</v>
      </c>
      <c r="B1495" s="2">
        <v>45468</v>
      </c>
      <c r="C1495" t="s">
        <v>1659</v>
      </c>
      <c r="D1495" t="s">
        <v>1796</v>
      </c>
      <c r="E1495" t="s">
        <v>1761</v>
      </c>
      <c r="F1495" t="s">
        <v>2239</v>
      </c>
      <c r="G1495" t="s">
        <v>2247</v>
      </c>
      <c r="H1495" t="s">
        <v>2257</v>
      </c>
      <c r="I1495" t="s">
        <v>2262</v>
      </c>
      <c r="J1495" t="s">
        <v>2264</v>
      </c>
      <c r="K1495">
        <v>1</v>
      </c>
      <c r="L1495">
        <v>110</v>
      </c>
      <c r="M1495">
        <v>0.05</v>
      </c>
      <c r="N1495">
        <v>110</v>
      </c>
      <c r="O1495">
        <v>104.5</v>
      </c>
      <c r="P1495" t="s">
        <v>2267</v>
      </c>
      <c r="Q1495" t="s">
        <v>2270</v>
      </c>
      <c r="R1495" t="s">
        <v>2277</v>
      </c>
      <c r="S1495" t="s">
        <v>2281</v>
      </c>
      <c r="T1495" t="s">
        <v>2288</v>
      </c>
      <c r="U1495">
        <v>3</v>
      </c>
      <c r="V1495">
        <v>151</v>
      </c>
      <c r="W1495">
        <v>59</v>
      </c>
      <c r="X1495">
        <v>48.26</v>
      </c>
      <c r="Y1495">
        <v>56.24</v>
      </c>
      <c r="Z1495" t="s">
        <v>1761</v>
      </c>
      <c r="AA1495" t="s">
        <v>2296</v>
      </c>
      <c r="AB1495">
        <v>110</v>
      </c>
      <c r="AC1495">
        <v>5.5</v>
      </c>
      <c r="AD1495">
        <v>104.5</v>
      </c>
      <c r="AE1495">
        <v>48.26</v>
      </c>
      <c r="AF1495">
        <v>56.24</v>
      </c>
      <c r="AG1495">
        <v>2024</v>
      </c>
      <c r="AH1495">
        <v>6</v>
      </c>
      <c r="AI1495" t="s">
        <v>2304</v>
      </c>
      <c r="AJ1495" t="s">
        <v>2313</v>
      </c>
    </row>
    <row r="1496" spans="1:36" x14ac:dyDescent="0.3">
      <c r="A1496" t="s">
        <v>1530</v>
      </c>
      <c r="B1496" s="2">
        <v>45431</v>
      </c>
      <c r="C1496" t="s">
        <v>1683</v>
      </c>
      <c r="D1496" t="s">
        <v>1915</v>
      </c>
      <c r="E1496" t="s">
        <v>2169</v>
      </c>
      <c r="F1496" t="s">
        <v>2239</v>
      </c>
      <c r="G1496" t="s">
        <v>2256</v>
      </c>
      <c r="H1496" t="s">
        <v>2261</v>
      </c>
      <c r="I1496" t="s">
        <v>2260</v>
      </c>
      <c r="K1496">
        <v>1</v>
      </c>
      <c r="L1496">
        <v>195</v>
      </c>
      <c r="M1496">
        <v>0.1</v>
      </c>
      <c r="N1496">
        <v>195</v>
      </c>
      <c r="O1496">
        <v>175.5</v>
      </c>
      <c r="P1496" t="s">
        <v>2268</v>
      </c>
      <c r="Q1496" t="s">
        <v>2270</v>
      </c>
      <c r="R1496" t="s">
        <v>2274</v>
      </c>
      <c r="S1496" t="s">
        <v>2287</v>
      </c>
      <c r="T1496" t="s">
        <v>2290</v>
      </c>
      <c r="U1496">
        <v>2</v>
      </c>
      <c r="V1496">
        <v>465</v>
      </c>
      <c r="W1496">
        <v>25</v>
      </c>
      <c r="X1496">
        <v>98.04</v>
      </c>
      <c r="Y1496">
        <v>77.459999999999994</v>
      </c>
      <c r="Z1496" t="s">
        <v>2293</v>
      </c>
      <c r="AA1496" t="s">
        <v>2296</v>
      </c>
      <c r="AB1496">
        <v>195</v>
      </c>
      <c r="AC1496">
        <v>19.5</v>
      </c>
      <c r="AD1496">
        <v>175.5</v>
      </c>
      <c r="AE1496">
        <v>98.04</v>
      </c>
      <c r="AF1496">
        <v>77.459999999999994</v>
      </c>
      <c r="AG1496">
        <v>2024</v>
      </c>
      <c r="AH1496">
        <v>5</v>
      </c>
      <c r="AI1496" t="s">
        <v>2306</v>
      </c>
      <c r="AJ1496" t="s">
        <v>2318</v>
      </c>
    </row>
    <row r="1497" spans="1:36" x14ac:dyDescent="0.3">
      <c r="A1497" t="s">
        <v>1531</v>
      </c>
      <c r="B1497" s="2">
        <v>45325</v>
      </c>
      <c r="C1497" t="s">
        <v>1681</v>
      </c>
      <c r="D1497" t="s">
        <v>1839</v>
      </c>
      <c r="E1497" t="s">
        <v>2225</v>
      </c>
      <c r="F1497" t="s">
        <v>1761</v>
      </c>
      <c r="G1497" t="s">
        <v>2243</v>
      </c>
      <c r="H1497" t="s">
        <v>2258</v>
      </c>
      <c r="I1497" t="s">
        <v>2260</v>
      </c>
      <c r="K1497">
        <v>1</v>
      </c>
      <c r="L1497">
        <v>70</v>
      </c>
      <c r="M1497">
        <v>0.1</v>
      </c>
      <c r="N1497">
        <v>70</v>
      </c>
      <c r="O1497">
        <v>63</v>
      </c>
      <c r="P1497" t="s">
        <v>2269</v>
      </c>
      <c r="Q1497" t="s">
        <v>2272</v>
      </c>
      <c r="R1497" t="s">
        <v>2277</v>
      </c>
      <c r="S1497" t="s">
        <v>2280</v>
      </c>
      <c r="T1497" t="s">
        <v>2288</v>
      </c>
      <c r="U1497">
        <v>1</v>
      </c>
      <c r="W1497">
        <v>32</v>
      </c>
      <c r="X1497">
        <v>26.68</v>
      </c>
      <c r="Y1497">
        <v>36.32</v>
      </c>
      <c r="Z1497" t="s">
        <v>1761</v>
      </c>
      <c r="AA1497" t="s">
        <v>2299</v>
      </c>
      <c r="AB1497">
        <v>70</v>
      </c>
      <c r="AC1497">
        <v>7</v>
      </c>
      <c r="AD1497">
        <v>63</v>
      </c>
      <c r="AE1497">
        <v>26.68</v>
      </c>
      <c r="AF1497">
        <v>36.32</v>
      </c>
      <c r="AG1497">
        <v>2024</v>
      </c>
      <c r="AH1497">
        <v>2</v>
      </c>
      <c r="AI1497" t="s">
        <v>2303</v>
      </c>
      <c r="AJ1497" t="s">
        <v>2317</v>
      </c>
    </row>
    <row r="1498" spans="1:36" x14ac:dyDescent="0.3">
      <c r="A1498" t="s">
        <v>1532</v>
      </c>
      <c r="B1498" s="2">
        <v>45391</v>
      </c>
      <c r="C1498" t="s">
        <v>1715</v>
      </c>
      <c r="D1498" t="s">
        <v>1907</v>
      </c>
      <c r="E1498" t="s">
        <v>2185</v>
      </c>
      <c r="F1498" t="s">
        <v>2240</v>
      </c>
      <c r="G1498" t="s">
        <v>2256</v>
      </c>
      <c r="H1498" t="s">
        <v>2261</v>
      </c>
      <c r="I1498" t="s">
        <v>2260</v>
      </c>
      <c r="J1498" t="s">
        <v>2264</v>
      </c>
      <c r="K1498">
        <v>4</v>
      </c>
      <c r="L1498">
        <v>190</v>
      </c>
      <c r="M1498">
        <v>0</v>
      </c>
      <c r="N1498">
        <v>760</v>
      </c>
      <c r="O1498">
        <v>760</v>
      </c>
      <c r="P1498" t="s">
        <v>2269</v>
      </c>
      <c r="R1498" t="s">
        <v>2274</v>
      </c>
      <c r="S1498" t="s">
        <v>2281</v>
      </c>
      <c r="T1498" t="s">
        <v>2289</v>
      </c>
      <c r="U1498">
        <v>4</v>
      </c>
      <c r="V1498">
        <v>228</v>
      </c>
      <c r="W1498">
        <v>36</v>
      </c>
      <c r="X1498">
        <v>74.09</v>
      </c>
      <c r="Y1498">
        <v>463.64</v>
      </c>
      <c r="Z1498" t="s">
        <v>2293</v>
      </c>
      <c r="AA1498" t="s">
        <v>2297</v>
      </c>
      <c r="AB1498">
        <v>760</v>
      </c>
      <c r="AC1498">
        <v>0</v>
      </c>
      <c r="AD1498">
        <v>760</v>
      </c>
      <c r="AE1498">
        <v>296.36</v>
      </c>
      <c r="AF1498">
        <v>463.64</v>
      </c>
      <c r="AG1498">
        <v>2024</v>
      </c>
      <c r="AH1498">
        <v>4</v>
      </c>
      <c r="AI1498" t="s">
        <v>2308</v>
      </c>
      <c r="AJ1498" t="s">
        <v>2313</v>
      </c>
    </row>
    <row r="1499" spans="1:36" x14ac:dyDescent="0.3">
      <c r="A1499" t="s">
        <v>1533</v>
      </c>
      <c r="B1499" s="2">
        <v>45590</v>
      </c>
      <c r="C1499" t="s">
        <v>1690</v>
      </c>
      <c r="D1499" t="s">
        <v>1836</v>
      </c>
      <c r="E1499" t="s">
        <v>1977</v>
      </c>
      <c r="F1499" t="s">
        <v>2240</v>
      </c>
      <c r="G1499" t="s">
        <v>2250</v>
      </c>
      <c r="H1499" t="s">
        <v>2259</v>
      </c>
      <c r="I1499" t="s">
        <v>2262</v>
      </c>
      <c r="J1499" t="s">
        <v>2265</v>
      </c>
      <c r="K1499">
        <v>1</v>
      </c>
      <c r="L1499">
        <v>80</v>
      </c>
      <c r="M1499">
        <v>0.05</v>
      </c>
      <c r="N1499">
        <v>80</v>
      </c>
      <c r="O1499">
        <v>76</v>
      </c>
      <c r="P1499" t="s">
        <v>2269</v>
      </c>
      <c r="Q1499" t="s">
        <v>2271</v>
      </c>
      <c r="R1499" t="s">
        <v>2277</v>
      </c>
      <c r="S1499" t="s">
        <v>2287</v>
      </c>
      <c r="T1499" t="s">
        <v>2288</v>
      </c>
      <c r="U1499">
        <v>2</v>
      </c>
      <c r="V1499">
        <v>273</v>
      </c>
      <c r="W1499">
        <v>56</v>
      </c>
      <c r="X1499">
        <v>30.56</v>
      </c>
      <c r="Y1499">
        <v>45.44</v>
      </c>
      <c r="Z1499" t="s">
        <v>2293</v>
      </c>
      <c r="AA1499" t="s">
        <v>2297</v>
      </c>
      <c r="AB1499">
        <v>80</v>
      </c>
      <c r="AC1499">
        <v>4</v>
      </c>
      <c r="AD1499">
        <v>76</v>
      </c>
      <c r="AE1499">
        <v>30.56</v>
      </c>
      <c r="AF1499">
        <v>45.44</v>
      </c>
      <c r="AG1499">
        <v>2024</v>
      </c>
      <c r="AH1499">
        <v>10</v>
      </c>
      <c r="AI1499" t="s">
        <v>2310</v>
      </c>
      <c r="AJ1499" t="s">
        <v>2315</v>
      </c>
    </row>
    <row r="1500" spans="1:36" x14ac:dyDescent="0.3">
      <c r="A1500" t="s">
        <v>1534</v>
      </c>
      <c r="B1500" s="2">
        <v>45292</v>
      </c>
      <c r="C1500" t="s">
        <v>1665</v>
      </c>
      <c r="D1500" t="s">
        <v>1919</v>
      </c>
      <c r="E1500" t="s">
        <v>2006</v>
      </c>
      <c r="F1500" t="s">
        <v>2240</v>
      </c>
      <c r="G1500" t="s">
        <v>2256</v>
      </c>
      <c r="H1500" t="s">
        <v>2261</v>
      </c>
      <c r="I1500" t="s">
        <v>2260</v>
      </c>
      <c r="J1500" t="s">
        <v>2264</v>
      </c>
      <c r="K1500">
        <v>1</v>
      </c>
      <c r="L1500">
        <v>200</v>
      </c>
      <c r="M1500">
        <v>0.15</v>
      </c>
      <c r="N1500">
        <v>200</v>
      </c>
      <c r="O1500">
        <v>170</v>
      </c>
      <c r="Q1500" t="s">
        <v>2271</v>
      </c>
      <c r="R1500" t="s">
        <v>2277</v>
      </c>
      <c r="S1500" t="s">
        <v>2282</v>
      </c>
      <c r="T1500" t="s">
        <v>2290</v>
      </c>
      <c r="U1500">
        <v>1</v>
      </c>
      <c r="V1500">
        <v>310</v>
      </c>
      <c r="W1500">
        <v>54</v>
      </c>
      <c r="X1500">
        <v>79.989999999999995</v>
      </c>
      <c r="Y1500">
        <v>90.01</v>
      </c>
      <c r="Z1500" t="s">
        <v>2294</v>
      </c>
      <c r="AA1500" t="s">
        <v>2297</v>
      </c>
      <c r="AB1500">
        <v>200</v>
      </c>
      <c r="AC1500">
        <v>30</v>
      </c>
      <c r="AD1500">
        <v>170</v>
      </c>
      <c r="AE1500">
        <v>79.989999999999995</v>
      </c>
      <c r="AF1500">
        <v>90.01</v>
      </c>
      <c r="AG1500">
        <v>2024</v>
      </c>
      <c r="AH1500">
        <v>1</v>
      </c>
      <c r="AI1500" t="s">
        <v>2302</v>
      </c>
      <c r="AJ1500" t="s">
        <v>2314</v>
      </c>
    </row>
    <row r="1501" spans="1:36" x14ac:dyDescent="0.3">
      <c r="A1501" t="s">
        <v>1535</v>
      </c>
      <c r="B1501" s="2">
        <v>45323</v>
      </c>
      <c r="C1501" t="s">
        <v>1682</v>
      </c>
      <c r="D1501" t="s">
        <v>1823</v>
      </c>
      <c r="E1501" t="s">
        <v>1971</v>
      </c>
      <c r="F1501" t="s">
        <v>1761</v>
      </c>
      <c r="G1501" t="s">
        <v>2256</v>
      </c>
      <c r="H1501" t="s">
        <v>2261</v>
      </c>
      <c r="I1501" t="s">
        <v>2260</v>
      </c>
      <c r="J1501" t="s">
        <v>2266</v>
      </c>
      <c r="K1501">
        <v>2</v>
      </c>
      <c r="L1501">
        <v>190</v>
      </c>
      <c r="M1501">
        <v>0.05</v>
      </c>
      <c r="N1501">
        <v>380</v>
      </c>
      <c r="O1501">
        <v>361</v>
      </c>
      <c r="P1501" t="s">
        <v>2267</v>
      </c>
      <c r="R1501" t="s">
        <v>2279</v>
      </c>
      <c r="S1501" t="s">
        <v>2281</v>
      </c>
      <c r="T1501" t="s">
        <v>2288</v>
      </c>
      <c r="U1501">
        <v>2</v>
      </c>
      <c r="V1501">
        <v>140</v>
      </c>
      <c r="X1501">
        <v>87.85</v>
      </c>
      <c r="Y1501">
        <v>185.3</v>
      </c>
      <c r="Z1501" t="s">
        <v>2293</v>
      </c>
      <c r="AA1501" t="s">
        <v>2297</v>
      </c>
      <c r="AB1501">
        <v>380</v>
      </c>
      <c r="AC1501">
        <v>19</v>
      </c>
      <c r="AD1501">
        <v>361</v>
      </c>
      <c r="AE1501">
        <v>175.7</v>
      </c>
      <c r="AF1501">
        <v>185.3</v>
      </c>
      <c r="AG1501">
        <v>2024</v>
      </c>
      <c r="AH1501">
        <v>2</v>
      </c>
      <c r="AI1501" t="s">
        <v>2303</v>
      </c>
      <c r="AJ1501" t="s">
        <v>2316</v>
      </c>
    </row>
    <row r="1502" spans="1:36" x14ac:dyDescent="0.3">
      <c r="A1502" t="s">
        <v>1536</v>
      </c>
      <c r="B1502" s="2">
        <v>45330</v>
      </c>
      <c r="C1502" t="s">
        <v>1648</v>
      </c>
      <c r="D1502" t="s">
        <v>1868</v>
      </c>
      <c r="E1502" t="s">
        <v>2062</v>
      </c>
      <c r="F1502" t="s">
        <v>2240</v>
      </c>
      <c r="G1502" t="s">
        <v>2241</v>
      </c>
      <c r="H1502" t="s">
        <v>2257</v>
      </c>
      <c r="I1502" t="s">
        <v>2262</v>
      </c>
      <c r="J1502" t="s">
        <v>2264</v>
      </c>
      <c r="K1502">
        <v>2</v>
      </c>
      <c r="L1502">
        <v>130</v>
      </c>
      <c r="M1502">
        <v>0.1</v>
      </c>
      <c r="N1502">
        <v>260</v>
      </c>
      <c r="O1502">
        <v>234</v>
      </c>
      <c r="P1502" t="s">
        <v>2268</v>
      </c>
      <c r="Q1502" t="s">
        <v>2271</v>
      </c>
      <c r="R1502" t="s">
        <v>2279</v>
      </c>
      <c r="S1502" t="s">
        <v>2286</v>
      </c>
      <c r="T1502" t="s">
        <v>2290</v>
      </c>
      <c r="U1502">
        <v>5</v>
      </c>
      <c r="V1502">
        <v>203</v>
      </c>
      <c r="W1502">
        <v>38</v>
      </c>
      <c r="X1502">
        <v>68.77</v>
      </c>
      <c r="Y1502">
        <v>96.46</v>
      </c>
      <c r="Z1502" t="s">
        <v>1761</v>
      </c>
      <c r="AA1502" t="s">
        <v>2299</v>
      </c>
      <c r="AB1502">
        <v>260</v>
      </c>
      <c r="AC1502">
        <v>26</v>
      </c>
      <c r="AD1502">
        <v>234</v>
      </c>
      <c r="AE1502">
        <v>137.54</v>
      </c>
      <c r="AF1502">
        <v>96.460000000000008</v>
      </c>
      <c r="AG1502">
        <v>2024</v>
      </c>
      <c r="AH1502">
        <v>2</v>
      </c>
      <c r="AI1502" t="s">
        <v>2303</v>
      </c>
      <c r="AJ1502" t="s">
        <v>2316</v>
      </c>
    </row>
    <row r="1503" spans="1:36" x14ac:dyDescent="0.3">
      <c r="A1503" t="s">
        <v>1537</v>
      </c>
      <c r="B1503" s="2">
        <v>45349</v>
      </c>
      <c r="C1503" t="s">
        <v>1697</v>
      </c>
      <c r="D1503" t="s">
        <v>1775</v>
      </c>
      <c r="E1503" t="s">
        <v>1999</v>
      </c>
      <c r="F1503" t="s">
        <v>2238</v>
      </c>
      <c r="G1503" t="s">
        <v>2244</v>
      </c>
      <c r="H1503" t="s">
        <v>2257</v>
      </c>
      <c r="I1503" t="s">
        <v>2262</v>
      </c>
      <c r="K1503">
        <v>2</v>
      </c>
      <c r="L1503">
        <v>130</v>
      </c>
      <c r="M1503">
        <v>0</v>
      </c>
      <c r="N1503">
        <v>260</v>
      </c>
      <c r="O1503">
        <v>260</v>
      </c>
      <c r="P1503" t="s">
        <v>2267</v>
      </c>
      <c r="Q1503" t="s">
        <v>2272</v>
      </c>
      <c r="R1503" t="s">
        <v>2275</v>
      </c>
      <c r="S1503" t="s">
        <v>2282</v>
      </c>
      <c r="T1503" t="s">
        <v>2289</v>
      </c>
      <c r="U1503">
        <v>2</v>
      </c>
      <c r="V1503">
        <v>157</v>
      </c>
      <c r="W1503">
        <v>57</v>
      </c>
      <c r="X1503">
        <v>54.17</v>
      </c>
      <c r="Y1503">
        <v>151.66</v>
      </c>
      <c r="Z1503" t="s">
        <v>2292</v>
      </c>
      <c r="AA1503" t="s">
        <v>2298</v>
      </c>
      <c r="AB1503">
        <v>260</v>
      </c>
      <c r="AC1503">
        <v>0</v>
      </c>
      <c r="AD1503">
        <v>260</v>
      </c>
      <c r="AE1503">
        <v>108.34</v>
      </c>
      <c r="AF1503">
        <v>151.66</v>
      </c>
      <c r="AG1503">
        <v>2024</v>
      </c>
      <c r="AH1503">
        <v>2</v>
      </c>
      <c r="AI1503" t="s">
        <v>2303</v>
      </c>
      <c r="AJ1503" t="s">
        <v>2313</v>
      </c>
    </row>
    <row r="1504" spans="1:36" x14ac:dyDescent="0.3">
      <c r="A1504" t="s">
        <v>1538</v>
      </c>
      <c r="B1504" s="2">
        <v>45385</v>
      </c>
      <c r="C1504" t="s">
        <v>1665</v>
      </c>
      <c r="D1504" t="s">
        <v>1861</v>
      </c>
      <c r="E1504" t="s">
        <v>1761</v>
      </c>
      <c r="F1504" t="s">
        <v>2240</v>
      </c>
      <c r="G1504" t="s">
        <v>2246</v>
      </c>
      <c r="H1504" t="s">
        <v>2259</v>
      </c>
      <c r="I1504" t="s">
        <v>2262</v>
      </c>
      <c r="J1504" t="s">
        <v>2265</v>
      </c>
      <c r="K1504">
        <v>1</v>
      </c>
      <c r="L1504">
        <v>90</v>
      </c>
      <c r="M1504">
        <v>0</v>
      </c>
      <c r="N1504">
        <v>90</v>
      </c>
      <c r="O1504">
        <v>90</v>
      </c>
      <c r="Q1504" t="s">
        <v>2272</v>
      </c>
      <c r="R1504" t="s">
        <v>2275</v>
      </c>
      <c r="S1504" t="s">
        <v>2287</v>
      </c>
      <c r="T1504" t="s">
        <v>2288</v>
      </c>
      <c r="U1504">
        <v>5</v>
      </c>
      <c r="V1504">
        <v>155</v>
      </c>
      <c r="X1504">
        <v>35.79</v>
      </c>
      <c r="Y1504">
        <v>54.21</v>
      </c>
      <c r="Z1504" t="s">
        <v>2293</v>
      </c>
      <c r="AA1504" t="s">
        <v>2299</v>
      </c>
      <c r="AB1504">
        <v>90</v>
      </c>
      <c r="AC1504">
        <v>0</v>
      </c>
      <c r="AD1504">
        <v>90</v>
      </c>
      <c r="AE1504">
        <v>35.79</v>
      </c>
      <c r="AF1504">
        <v>54.21</v>
      </c>
      <c r="AG1504">
        <v>2024</v>
      </c>
      <c r="AH1504">
        <v>4</v>
      </c>
      <c r="AI1504" t="s">
        <v>2308</v>
      </c>
      <c r="AJ1504" t="s">
        <v>2312</v>
      </c>
    </row>
    <row r="1505" spans="1:36" x14ac:dyDescent="0.3">
      <c r="A1505" t="s">
        <v>1539</v>
      </c>
      <c r="B1505" s="2">
        <v>45294</v>
      </c>
      <c r="C1505" t="s">
        <v>1678</v>
      </c>
      <c r="D1505" t="s">
        <v>1825</v>
      </c>
      <c r="E1505" t="s">
        <v>2156</v>
      </c>
      <c r="F1505" t="s">
        <v>2239</v>
      </c>
      <c r="G1505" t="s">
        <v>2253</v>
      </c>
      <c r="H1505" t="s">
        <v>2258</v>
      </c>
      <c r="I1505" t="s">
        <v>2260</v>
      </c>
      <c r="K1505">
        <v>1</v>
      </c>
      <c r="L1505">
        <v>90</v>
      </c>
      <c r="N1505">
        <v>90</v>
      </c>
      <c r="P1505" t="s">
        <v>2267</v>
      </c>
      <c r="R1505" t="s">
        <v>2279</v>
      </c>
      <c r="S1505" t="s">
        <v>2280</v>
      </c>
      <c r="T1505" t="s">
        <v>2288</v>
      </c>
      <c r="W1505">
        <v>48</v>
      </c>
      <c r="X1505">
        <v>32.64</v>
      </c>
      <c r="Z1505" t="s">
        <v>2291</v>
      </c>
      <c r="AA1505" t="s">
        <v>2298</v>
      </c>
      <c r="AB1505">
        <v>90</v>
      </c>
      <c r="AC1505">
        <v>0</v>
      </c>
      <c r="AD1505">
        <v>90</v>
      </c>
      <c r="AE1505">
        <v>32.64</v>
      </c>
      <c r="AF1505">
        <v>57.36</v>
      </c>
      <c r="AG1505">
        <v>2024</v>
      </c>
      <c r="AH1505">
        <v>1</v>
      </c>
      <c r="AI1505" t="s">
        <v>2302</v>
      </c>
      <c r="AJ1505" t="s">
        <v>2312</v>
      </c>
    </row>
    <row r="1506" spans="1:36" x14ac:dyDescent="0.3">
      <c r="A1506" t="s">
        <v>1540</v>
      </c>
      <c r="B1506" s="2">
        <v>45595</v>
      </c>
      <c r="C1506" t="s">
        <v>1732</v>
      </c>
      <c r="D1506" t="s">
        <v>1811</v>
      </c>
      <c r="E1506" t="s">
        <v>2212</v>
      </c>
      <c r="F1506" t="s">
        <v>2240</v>
      </c>
      <c r="G1506" t="s">
        <v>2249</v>
      </c>
      <c r="H1506" t="s">
        <v>2257</v>
      </c>
      <c r="I1506" t="s">
        <v>2263</v>
      </c>
      <c r="J1506" t="s">
        <v>2264</v>
      </c>
      <c r="K1506">
        <v>1</v>
      </c>
      <c r="L1506">
        <v>165</v>
      </c>
      <c r="M1506">
        <v>0.15</v>
      </c>
      <c r="N1506">
        <v>165</v>
      </c>
      <c r="O1506">
        <v>140.25</v>
      </c>
      <c r="P1506" t="s">
        <v>2267</v>
      </c>
      <c r="Q1506" t="s">
        <v>2270</v>
      </c>
      <c r="R1506" t="s">
        <v>2278</v>
      </c>
      <c r="S1506" t="s">
        <v>2282</v>
      </c>
      <c r="T1506" t="s">
        <v>2288</v>
      </c>
      <c r="U1506">
        <v>5</v>
      </c>
      <c r="V1506">
        <v>490</v>
      </c>
      <c r="W1506">
        <v>54</v>
      </c>
      <c r="X1506">
        <v>95.04</v>
      </c>
      <c r="Y1506">
        <v>45.21</v>
      </c>
      <c r="Z1506" t="s">
        <v>2294</v>
      </c>
      <c r="AA1506" t="s">
        <v>2296</v>
      </c>
      <c r="AB1506">
        <v>165</v>
      </c>
      <c r="AC1506">
        <v>24.75</v>
      </c>
      <c r="AD1506">
        <v>140.25</v>
      </c>
      <c r="AE1506">
        <v>95.04</v>
      </c>
      <c r="AF1506">
        <v>45.209999999999987</v>
      </c>
      <c r="AG1506">
        <v>2024</v>
      </c>
      <c r="AH1506">
        <v>10</v>
      </c>
      <c r="AI1506" t="s">
        <v>2310</v>
      </c>
      <c r="AJ1506" t="s">
        <v>2312</v>
      </c>
    </row>
    <row r="1507" spans="1:36" x14ac:dyDescent="0.3">
      <c r="A1507" t="s">
        <v>1541</v>
      </c>
      <c r="B1507" s="2">
        <v>45376</v>
      </c>
      <c r="C1507" t="s">
        <v>1714</v>
      </c>
      <c r="D1507" t="s">
        <v>1907</v>
      </c>
      <c r="E1507" t="s">
        <v>1955</v>
      </c>
      <c r="F1507" t="s">
        <v>2239</v>
      </c>
      <c r="G1507" t="s">
        <v>2241</v>
      </c>
      <c r="H1507" t="s">
        <v>2257</v>
      </c>
      <c r="I1507" t="s">
        <v>2262</v>
      </c>
      <c r="J1507" t="s">
        <v>2264</v>
      </c>
      <c r="K1507">
        <v>1</v>
      </c>
      <c r="L1507">
        <v>140</v>
      </c>
      <c r="M1507">
        <v>0.05</v>
      </c>
      <c r="N1507">
        <v>140</v>
      </c>
      <c r="O1507">
        <v>133</v>
      </c>
      <c r="P1507" t="s">
        <v>2269</v>
      </c>
      <c r="Q1507" t="s">
        <v>2271</v>
      </c>
      <c r="R1507" t="s">
        <v>2278</v>
      </c>
      <c r="S1507" t="s">
        <v>2283</v>
      </c>
      <c r="T1507" t="s">
        <v>2288</v>
      </c>
      <c r="V1507">
        <v>236</v>
      </c>
      <c r="W1507">
        <v>58</v>
      </c>
      <c r="X1507">
        <v>67.540000000000006</v>
      </c>
      <c r="Y1507">
        <v>65.459999999999994</v>
      </c>
      <c r="Z1507" t="s">
        <v>2292</v>
      </c>
      <c r="AA1507" t="s">
        <v>2296</v>
      </c>
      <c r="AB1507">
        <v>140</v>
      </c>
      <c r="AC1507">
        <v>7</v>
      </c>
      <c r="AD1507">
        <v>133</v>
      </c>
      <c r="AE1507">
        <v>67.540000000000006</v>
      </c>
      <c r="AF1507">
        <v>65.459999999999994</v>
      </c>
      <c r="AG1507">
        <v>2024</v>
      </c>
      <c r="AH1507">
        <v>3</v>
      </c>
      <c r="AI1507" t="s">
        <v>2305</v>
      </c>
      <c r="AJ1507" t="s">
        <v>2314</v>
      </c>
    </row>
    <row r="1508" spans="1:36" x14ac:dyDescent="0.3">
      <c r="A1508" t="s">
        <v>1542</v>
      </c>
      <c r="B1508" s="2">
        <v>45532</v>
      </c>
      <c r="C1508" t="s">
        <v>1691</v>
      </c>
      <c r="D1508" t="s">
        <v>1811</v>
      </c>
      <c r="E1508" t="s">
        <v>2075</v>
      </c>
      <c r="F1508" t="s">
        <v>2240</v>
      </c>
      <c r="G1508" t="s">
        <v>2243</v>
      </c>
      <c r="H1508" t="s">
        <v>2258</v>
      </c>
      <c r="I1508" t="s">
        <v>2260</v>
      </c>
      <c r="J1508" t="s">
        <v>2265</v>
      </c>
      <c r="K1508">
        <v>3</v>
      </c>
      <c r="L1508">
        <v>65</v>
      </c>
      <c r="M1508">
        <v>0.15</v>
      </c>
      <c r="N1508">
        <v>195</v>
      </c>
      <c r="O1508">
        <v>165.75</v>
      </c>
      <c r="Q1508" t="s">
        <v>2272</v>
      </c>
      <c r="R1508" t="s">
        <v>2273</v>
      </c>
      <c r="S1508" t="s">
        <v>2287</v>
      </c>
      <c r="T1508" t="s">
        <v>2288</v>
      </c>
      <c r="U1508">
        <v>1</v>
      </c>
      <c r="V1508">
        <v>168</v>
      </c>
      <c r="X1508">
        <v>26.28</v>
      </c>
      <c r="Y1508">
        <v>86.91</v>
      </c>
      <c r="Z1508" t="s">
        <v>1761</v>
      </c>
      <c r="AA1508" t="s">
        <v>2296</v>
      </c>
      <c r="AB1508">
        <v>195</v>
      </c>
      <c r="AC1508">
        <v>29.25</v>
      </c>
      <c r="AD1508">
        <v>165.75</v>
      </c>
      <c r="AE1508">
        <v>78.84</v>
      </c>
      <c r="AF1508">
        <v>86.91</v>
      </c>
      <c r="AG1508">
        <v>2024</v>
      </c>
      <c r="AH1508">
        <v>8</v>
      </c>
      <c r="AI1508" t="s">
        <v>2301</v>
      </c>
      <c r="AJ1508" t="s">
        <v>2312</v>
      </c>
    </row>
    <row r="1509" spans="1:36" x14ac:dyDescent="0.3">
      <c r="A1509" t="s">
        <v>1543</v>
      </c>
      <c r="B1509" s="2">
        <v>45519</v>
      </c>
      <c r="C1509" t="s">
        <v>1714</v>
      </c>
      <c r="D1509" t="s">
        <v>1889</v>
      </c>
      <c r="E1509" t="s">
        <v>2052</v>
      </c>
      <c r="F1509" t="s">
        <v>2239</v>
      </c>
      <c r="G1509" t="s">
        <v>2248</v>
      </c>
      <c r="H1509" t="s">
        <v>2257</v>
      </c>
      <c r="I1509" t="s">
        <v>2262</v>
      </c>
      <c r="J1509" t="s">
        <v>2264</v>
      </c>
      <c r="K1509">
        <v>2</v>
      </c>
      <c r="L1509">
        <v>140</v>
      </c>
      <c r="M1509">
        <v>0</v>
      </c>
      <c r="N1509">
        <v>280</v>
      </c>
      <c r="O1509">
        <v>280</v>
      </c>
      <c r="P1509" t="s">
        <v>2267</v>
      </c>
      <c r="Q1509" t="s">
        <v>2271</v>
      </c>
      <c r="R1509" t="s">
        <v>2276</v>
      </c>
      <c r="S1509" t="s">
        <v>2280</v>
      </c>
      <c r="T1509" t="s">
        <v>2288</v>
      </c>
      <c r="U1509">
        <v>3</v>
      </c>
      <c r="V1509">
        <v>19</v>
      </c>
      <c r="W1509">
        <v>28</v>
      </c>
      <c r="X1509">
        <v>73.33</v>
      </c>
      <c r="Y1509">
        <v>133.34</v>
      </c>
      <c r="Z1509" t="s">
        <v>2291</v>
      </c>
      <c r="AA1509" t="s">
        <v>1761</v>
      </c>
      <c r="AB1509">
        <v>280</v>
      </c>
      <c r="AC1509">
        <v>0</v>
      </c>
      <c r="AD1509">
        <v>280</v>
      </c>
      <c r="AE1509">
        <v>146.66</v>
      </c>
      <c r="AF1509">
        <v>133.34</v>
      </c>
      <c r="AG1509">
        <v>2024</v>
      </c>
      <c r="AH1509">
        <v>8</v>
      </c>
      <c r="AI1509" t="s">
        <v>2301</v>
      </c>
      <c r="AJ1509" t="s">
        <v>2316</v>
      </c>
    </row>
    <row r="1510" spans="1:36" x14ac:dyDescent="0.3">
      <c r="A1510" t="s">
        <v>1544</v>
      </c>
      <c r="B1510" s="2">
        <v>45317</v>
      </c>
      <c r="C1510" t="s">
        <v>1690</v>
      </c>
      <c r="D1510" t="s">
        <v>1752</v>
      </c>
      <c r="E1510" t="s">
        <v>2071</v>
      </c>
      <c r="F1510" t="s">
        <v>2239</v>
      </c>
      <c r="G1510" t="s">
        <v>2241</v>
      </c>
      <c r="H1510" t="s">
        <v>2257</v>
      </c>
      <c r="I1510" t="s">
        <v>2262</v>
      </c>
      <c r="J1510" t="s">
        <v>2266</v>
      </c>
      <c r="K1510">
        <v>2</v>
      </c>
      <c r="L1510">
        <v>135</v>
      </c>
      <c r="N1510">
        <v>270</v>
      </c>
      <c r="P1510" t="s">
        <v>2269</v>
      </c>
      <c r="Q1510" t="s">
        <v>2272</v>
      </c>
      <c r="R1510" t="s">
        <v>2277</v>
      </c>
      <c r="S1510" t="s">
        <v>2286</v>
      </c>
      <c r="T1510" t="s">
        <v>2289</v>
      </c>
      <c r="U1510">
        <v>2</v>
      </c>
      <c r="V1510">
        <v>254</v>
      </c>
      <c r="W1510">
        <v>35</v>
      </c>
      <c r="X1510">
        <v>60.75</v>
      </c>
      <c r="Z1510" t="s">
        <v>1761</v>
      </c>
      <c r="AA1510" t="s">
        <v>2298</v>
      </c>
      <c r="AB1510">
        <v>270</v>
      </c>
      <c r="AC1510">
        <v>0</v>
      </c>
      <c r="AD1510">
        <v>270</v>
      </c>
      <c r="AE1510">
        <v>121.5</v>
      </c>
      <c r="AF1510">
        <v>148.5</v>
      </c>
      <c r="AG1510">
        <v>2024</v>
      </c>
      <c r="AH1510">
        <v>1</v>
      </c>
      <c r="AI1510" t="s">
        <v>2302</v>
      </c>
      <c r="AJ1510" t="s">
        <v>2315</v>
      </c>
    </row>
    <row r="1511" spans="1:36" x14ac:dyDescent="0.3">
      <c r="A1511" t="s">
        <v>1545</v>
      </c>
      <c r="B1511" s="2">
        <v>45330</v>
      </c>
      <c r="C1511" t="s">
        <v>1706</v>
      </c>
      <c r="D1511" t="s">
        <v>1916</v>
      </c>
      <c r="E1511" t="s">
        <v>2039</v>
      </c>
      <c r="F1511" t="s">
        <v>2240</v>
      </c>
      <c r="G1511" t="s">
        <v>2248</v>
      </c>
      <c r="H1511" t="s">
        <v>2257</v>
      </c>
      <c r="I1511" t="s">
        <v>2262</v>
      </c>
      <c r="J1511" t="s">
        <v>2264</v>
      </c>
      <c r="K1511">
        <v>2</v>
      </c>
      <c r="L1511">
        <v>150</v>
      </c>
      <c r="M1511">
        <v>0</v>
      </c>
      <c r="N1511">
        <v>300</v>
      </c>
      <c r="O1511">
        <v>300</v>
      </c>
      <c r="P1511" t="s">
        <v>2268</v>
      </c>
      <c r="R1511" t="s">
        <v>2274</v>
      </c>
      <c r="S1511" t="s">
        <v>2281</v>
      </c>
      <c r="T1511" t="s">
        <v>2288</v>
      </c>
      <c r="U1511">
        <v>3</v>
      </c>
      <c r="V1511">
        <v>241</v>
      </c>
      <c r="W1511">
        <v>43</v>
      </c>
      <c r="X1511">
        <v>64.739999999999995</v>
      </c>
      <c r="Y1511">
        <v>170.52</v>
      </c>
      <c r="Z1511" t="s">
        <v>2293</v>
      </c>
      <c r="AA1511" t="s">
        <v>2299</v>
      </c>
      <c r="AB1511">
        <v>300</v>
      </c>
      <c r="AC1511">
        <v>0</v>
      </c>
      <c r="AD1511">
        <v>300</v>
      </c>
      <c r="AE1511">
        <v>129.47999999999999</v>
      </c>
      <c r="AF1511">
        <v>170.52</v>
      </c>
      <c r="AG1511">
        <v>2024</v>
      </c>
      <c r="AH1511">
        <v>2</v>
      </c>
      <c r="AI1511" t="s">
        <v>2303</v>
      </c>
      <c r="AJ1511" t="s">
        <v>2316</v>
      </c>
    </row>
    <row r="1512" spans="1:36" x14ac:dyDescent="0.3">
      <c r="A1512" t="s">
        <v>1546</v>
      </c>
      <c r="B1512" s="2">
        <v>45564</v>
      </c>
      <c r="C1512" t="s">
        <v>1642</v>
      </c>
      <c r="D1512" t="s">
        <v>1892</v>
      </c>
      <c r="E1512" t="s">
        <v>2044</v>
      </c>
      <c r="F1512" t="s">
        <v>2239</v>
      </c>
      <c r="G1512" t="s">
        <v>2253</v>
      </c>
      <c r="H1512" t="s">
        <v>2258</v>
      </c>
      <c r="I1512" t="s">
        <v>2260</v>
      </c>
      <c r="J1512" t="s">
        <v>2266</v>
      </c>
      <c r="K1512">
        <v>1</v>
      </c>
      <c r="L1512">
        <v>95</v>
      </c>
      <c r="M1512">
        <v>0.1</v>
      </c>
      <c r="N1512">
        <v>95</v>
      </c>
      <c r="O1512">
        <v>85.5</v>
      </c>
      <c r="Q1512" t="s">
        <v>2271</v>
      </c>
      <c r="R1512" t="s">
        <v>2277</v>
      </c>
      <c r="S1512" t="s">
        <v>2285</v>
      </c>
      <c r="T1512" t="s">
        <v>2288</v>
      </c>
      <c r="U1512">
        <v>5</v>
      </c>
      <c r="V1512">
        <v>328</v>
      </c>
      <c r="W1512">
        <v>24</v>
      </c>
      <c r="X1512">
        <v>34.840000000000003</v>
      </c>
      <c r="Y1512">
        <v>50.66</v>
      </c>
      <c r="Z1512" t="s">
        <v>1761</v>
      </c>
      <c r="AA1512" t="s">
        <v>1761</v>
      </c>
      <c r="AB1512">
        <v>95</v>
      </c>
      <c r="AC1512">
        <v>9.5</v>
      </c>
      <c r="AD1512">
        <v>85.5</v>
      </c>
      <c r="AE1512">
        <v>34.840000000000003</v>
      </c>
      <c r="AF1512">
        <v>50.66</v>
      </c>
      <c r="AG1512">
        <v>2024</v>
      </c>
      <c r="AH1512">
        <v>9</v>
      </c>
      <c r="AI1512" t="s">
        <v>2300</v>
      </c>
      <c r="AJ1512" t="s">
        <v>2318</v>
      </c>
    </row>
    <row r="1513" spans="1:36" x14ac:dyDescent="0.3">
      <c r="A1513" t="s">
        <v>1547</v>
      </c>
      <c r="B1513" s="2">
        <v>45484</v>
      </c>
      <c r="C1513" t="s">
        <v>1641</v>
      </c>
      <c r="D1513" t="s">
        <v>1794</v>
      </c>
      <c r="E1513" t="s">
        <v>2150</v>
      </c>
      <c r="F1513" t="s">
        <v>2240</v>
      </c>
      <c r="G1513" t="s">
        <v>2248</v>
      </c>
      <c r="H1513" t="s">
        <v>2257</v>
      </c>
      <c r="I1513" t="s">
        <v>2262</v>
      </c>
      <c r="J1513" t="s">
        <v>2264</v>
      </c>
      <c r="K1513">
        <v>2</v>
      </c>
      <c r="L1513">
        <v>145</v>
      </c>
      <c r="M1513">
        <v>0.1</v>
      </c>
      <c r="N1513">
        <v>290</v>
      </c>
      <c r="O1513">
        <v>261</v>
      </c>
      <c r="P1513" t="s">
        <v>2269</v>
      </c>
      <c r="Q1513" t="s">
        <v>2271</v>
      </c>
      <c r="R1513" t="s">
        <v>2278</v>
      </c>
      <c r="S1513" t="s">
        <v>2286</v>
      </c>
      <c r="T1513" t="s">
        <v>2288</v>
      </c>
      <c r="V1513">
        <v>210</v>
      </c>
      <c r="W1513">
        <v>52</v>
      </c>
      <c r="X1513">
        <v>75.73</v>
      </c>
      <c r="Y1513">
        <v>109.54</v>
      </c>
      <c r="Z1513" t="s">
        <v>2292</v>
      </c>
      <c r="AA1513" t="s">
        <v>1761</v>
      </c>
      <c r="AB1513">
        <v>290</v>
      </c>
      <c r="AC1513">
        <v>29</v>
      </c>
      <c r="AD1513">
        <v>261</v>
      </c>
      <c r="AE1513">
        <v>151.46</v>
      </c>
      <c r="AF1513">
        <v>109.54</v>
      </c>
      <c r="AG1513">
        <v>2024</v>
      </c>
      <c r="AH1513">
        <v>7</v>
      </c>
      <c r="AI1513" t="s">
        <v>2307</v>
      </c>
      <c r="AJ1513" t="s">
        <v>2316</v>
      </c>
    </row>
    <row r="1514" spans="1:36" x14ac:dyDescent="0.3">
      <c r="A1514" t="s">
        <v>1548</v>
      </c>
      <c r="B1514" s="2">
        <v>45513</v>
      </c>
      <c r="C1514" t="s">
        <v>1673</v>
      </c>
      <c r="D1514" t="s">
        <v>1742</v>
      </c>
      <c r="E1514" t="s">
        <v>2175</v>
      </c>
      <c r="F1514" t="s">
        <v>2240</v>
      </c>
      <c r="G1514" t="s">
        <v>2242</v>
      </c>
      <c r="H1514" t="s">
        <v>2258</v>
      </c>
      <c r="I1514" t="s">
        <v>2260</v>
      </c>
      <c r="K1514">
        <v>1</v>
      </c>
      <c r="L1514">
        <v>120</v>
      </c>
      <c r="M1514">
        <v>0.05</v>
      </c>
      <c r="N1514">
        <v>120</v>
      </c>
      <c r="O1514">
        <v>114</v>
      </c>
      <c r="P1514" t="s">
        <v>2269</v>
      </c>
      <c r="Q1514" t="s">
        <v>2270</v>
      </c>
      <c r="R1514" t="s">
        <v>2274</v>
      </c>
      <c r="S1514" t="s">
        <v>2285</v>
      </c>
      <c r="T1514" t="s">
        <v>2288</v>
      </c>
      <c r="U1514">
        <v>1</v>
      </c>
      <c r="V1514">
        <v>283</v>
      </c>
      <c r="W1514">
        <v>24</v>
      </c>
      <c r="X1514">
        <v>52.89</v>
      </c>
      <c r="Y1514">
        <v>61.11</v>
      </c>
      <c r="Z1514" t="s">
        <v>2291</v>
      </c>
      <c r="AA1514" t="s">
        <v>2297</v>
      </c>
      <c r="AB1514">
        <v>120</v>
      </c>
      <c r="AC1514">
        <v>6</v>
      </c>
      <c r="AD1514">
        <v>114</v>
      </c>
      <c r="AE1514">
        <v>52.89</v>
      </c>
      <c r="AF1514">
        <v>61.11</v>
      </c>
      <c r="AG1514">
        <v>2024</v>
      </c>
      <c r="AH1514">
        <v>8</v>
      </c>
      <c r="AI1514" t="s">
        <v>2301</v>
      </c>
      <c r="AJ1514" t="s">
        <v>2315</v>
      </c>
    </row>
    <row r="1515" spans="1:36" x14ac:dyDescent="0.3">
      <c r="A1515" t="s">
        <v>1549</v>
      </c>
      <c r="B1515" s="2">
        <v>45417</v>
      </c>
      <c r="C1515" t="s">
        <v>1716</v>
      </c>
      <c r="D1515" t="s">
        <v>1940</v>
      </c>
      <c r="E1515" t="s">
        <v>1998</v>
      </c>
      <c r="F1515" t="s">
        <v>2240</v>
      </c>
      <c r="G1515" t="s">
        <v>2251</v>
      </c>
      <c r="H1515" t="s">
        <v>2258</v>
      </c>
      <c r="I1515" t="s">
        <v>2260</v>
      </c>
      <c r="J1515" t="s">
        <v>2264</v>
      </c>
      <c r="K1515">
        <v>1</v>
      </c>
      <c r="L1515">
        <v>105</v>
      </c>
      <c r="M1515">
        <v>0.15</v>
      </c>
      <c r="N1515">
        <v>105</v>
      </c>
      <c r="O1515">
        <v>89.25</v>
      </c>
      <c r="P1515" t="s">
        <v>2268</v>
      </c>
      <c r="Q1515" t="s">
        <v>2272</v>
      </c>
      <c r="R1515" t="s">
        <v>2275</v>
      </c>
      <c r="S1515" t="s">
        <v>2284</v>
      </c>
      <c r="T1515" t="s">
        <v>2288</v>
      </c>
      <c r="U1515">
        <v>5</v>
      </c>
      <c r="V1515">
        <v>229</v>
      </c>
      <c r="X1515">
        <v>45.62</v>
      </c>
      <c r="Y1515">
        <v>43.63</v>
      </c>
      <c r="Z1515" t="s">
        <v>2291</v>
      </c>
      <c r="AA1515" t="s">
        <v>1761</v>
      </c>
      <c r="AB1515">
        <v>105</v>
      </c>
      <c r="AC1515">
        <v>15.75</v>
      </c>
      <c r="AD1515">
        <v>89.25</v>
      </c>
      <c r="AE1515">
        <v>45.62</v>
      </c>
      <c r="AF1515">
        <v>43.63</v>
      </c>
      <c r="AG1515">
        <v>2024</v>
      </c>
      <c r="AH1515">
        <v>5</v>
      </c>
      <c r="AI1515" t="s">
        <v>2306</v>
      </c>
      <c r="AJ1515" t="s">
        <v>2318</v>
      </c>
    </row>
    <row r="1516" spans="1:36" x14ac:dyDescent="0.3">
      <c r="A1516" t="s">
        <v>1550</v>
      </c>
      <c r="B1516" s="2">
        <v>45427</v>
      </c>
      <c r="C1516" t="s">
        <v>1640</v>
      </c>
      <c r="D1516" t="s">
        <v>1772</v>
      </c>
      <c r="E1516" t="s">
        <v>2218</v>
      </c>
      <c r="F1516" t="s">
        <v>2240</v>
      </c>
      <c r="G1516" t="s">
        <v>2244</v>
      </c>
      <c r="H1516" t="s">
        <v>2257</v>
      </c>
      <c r="I1516" t="s">
        <v>2262</v>
      </c>
      <c r="J1516" t="s">
        <v>2264</v>
      </c>
      <c r="K1516">
        <v>1</v>
      </c>
      <c r="L1516">
        <v>120</v>
      </c>
      <c r="M1516">
        <v>0.1</v>
      </c>
      <c r="N1516">
        <v>120</v>
      </c>
      <c r="O1516">
        <v>108</v>
      </c>
      <c r="P1516" t="s">
        <v>2268</v>
      </c>
      <c r="Q1516" t="s">
        <v>2272</v>
      </c>
      <c r="R1516" t="s">
        <v>2274</v>
      </c>
      <c r="S1516" t="s">
        <v>2280</v>
      </c>
      <c r="T1516" t="s">
        <v>2289</v>
      </c>
      <c r="U1516">
        <v>2</v>
      </c>
      <c r="V1516">
        <v>369</v>
      </c>
      <c r="W1516">
        <v>37</v>
      </c>
      <c r="X1516">
        <v>48.85</v>
      </c>
      <c r="Y1516">
        <v>59.15</v>
      </c>
      <c r="Z1516" t="s">
        <v>2292</v>
      </c>
      <c r="AA1516" t="s">
        <v>1761</v>
      </c>
      <c r="AB1516">
        <v>120</v>
      </c>
      <c r="AC1516">
        <v>12</v>
      </c>
      <c r="AD1516">
        <v>108</v>
      </c>
      <c r="AE1516">
        <v>48.85</v>
      </c>
      <c r="AF1516">
        <v>59.15</v>
      </c>
      <c r="AG1516">
        <v>2024</v>
      </c>
      <c r="AH1516">
        <v>5</v>
      </c>
      <c r="AI1516" t="s">
        <v>2306</v>
      </c>
      <c r="AJ1516" t="s">
        <v>2312</v>
      </c>
    </row>
    <row r="1517" spans="1:36" x14ac:dyDescent="0.3">
      <c r="A1517" t="s">
        <v>1551</v>
      </c>
      <c r="B1517" s="2">
        <v>45532</v>
      </c>
      <c r="C1517" t="s">
        <v>1637</v>
      </c>
      <c r="D1517" t="s">
        <v>1770</v>
      </c>
      <c r="E1517" t="s">
        <v>1761</v>
      </c>
      <c r="F1517" t="s">
        <v>2240</v>
      </c>
      <c r="G1517" t="s">
        <v>2250</v>
      </c>
      <c r="H1517" t="s">
        <v>2259</v>
      </c>
      <c r="I1517" t="s">
        <v>2262</v>
      </c>
      <c r="J1517" t="s">
        <v>2264</v>
      </c>
      <c r="K1517">
        <v>5</v>
      </c>
      <c r="L1517">
        <v>90</v>
      </c>
      <c r="M1517">
        <v>0.15</v>
      </c>
      <c r="N1517">
        <v>450</v>
      </c>
      <c r="O1517">
        <v>382.5</v>
      </c>
      <c r="P1517" t="s">
        <v>2267</v>
      </c>
      <c r="Q1517" t="s">
        <v>2272</v>
      </c>
      <c r="R1517" t="s">
        <v>2275</v>
      </c>
      <c r="S1517" t="s">
        <v>2281</v>
      </c>
      <c r="T1517" t="s">
        <v>2288</v>
      </c>
      <c r="U1517">
        <v>5</v>
      </c>
      <c r="V1517">
        <v>259</v>
      </c>
      <c r="W1517">
        <v>28</v>
      </c>
      <c r="X1517">
        <v>31.31</v>
      </c>
      <c r="Y1517">
        <v>225.95</v>
      </c>
      <c r="Z1517" t="s">
        <v>1761</v>
      </c>
      <c r="AA1517" t="s">
        <v>1761</v>
      </c>
      <c r="AB1517">
        <v>450</v>
      </c>
      <c r="AC1517">
        <v>67.5</v>
      </c>
      <c r="AD1517">
        <v>382.5</v>
      </c>
      <c r="AE1517">
        <v>156.55000000000001</v>
      </c>
      <c r="AF1517">
        <v>225.95</v>
      </c>
      <c r="AG1517">
        <v>2024</v>
      </c>
      <c r="AH1517">
        <v>8</v>
      </c>
      <c r="AI1517" t="s">
        <v>2301</v>
      </c>
      <c r="AJ1517" t="s">
        <v>2312</v>
      </c>
    </row>
    <row r="1518" spans="1:36" x14ac:dyDescent="0.3">
      <c r="A1518" t="s">
        <v>1552</v>
      </c>
      <c r="B1518" s="2">
        <v>45437</v>
      </c>
      <c r="C1518" t="s">
        <v>1650</v>
      </c>
      <c r="D1518" t="s">
        <v>1796</v>
      </c>
      <c r="E1518" t="s">
        <v>1973</v>
      </c>
      <c r="F1518" t="s">
        <v>2239</v>
      </c>
      <c r="G1518" t="s">
        <v>2255</v>
      </c>
      <c r="H1518" t="s">
        <v>2260</v>
      </c>
      <c r="I1518" t="s">
        <v>2260</v>
      </c>
      <c r="J1518" t="s">
        <v>2265</v>
      </c>
      <c r="K1518">
        <v>1</v>
      </c>
      <c r="L1518">
        <v>190</v>
      </c>
      <c r="M1518">
        <v>0.15</v>
      </c>
      <c r="N1518">
        <v>190</v>
      </c>
      <c r="O1518">
        <v>161.5</v>
      </c>
      <c r="P1518" t="s">
        <v>2269</v>
      </c>
      <c r="Q1518" t="s">
        <v>2270</v>
      </c>
      <c r="R1518" t="s">
        <v>2276</v>
      </c>
      <c r="S1518" t="s">
        <v>2281</v>
      </c>
      <c r="T1518" t="s">
        <v>2288</v>
      </c>
      <c r="U1518">
        <v>5</v>
      </c>
      <c r="V1518">
        <v>460</v>
      </c>
      <c r="W1518">
        <v>60</v>
      </c>
      <c r="X1518">
        <v>73.349999999999994</v>
      </c>
      <c r="Y1518">
        <v>88.15</v>
      </c>
      <c r="Z1518" t="s">
        <v>1761</v>
      </c>
      <c r="AA1518" t="s">
        <v>2297</v>
      </c>
      <c r="AB1518">
        <v>190</v>
      </c>
      <c r="AC1518">
        <v>28.5</v>
      </c>
      <c r="AD1518">
        <v>161.5</v>
      </c>
      <c r="AE1518">
        <v>73.349999999999994</v>
      </c>
      <c r="AF1518">
        <v>88.15</v>
      </c>
      <c r="AG1518">
        <v>2024</v>
      </c>
      <c r="AH1518">
        <v>5</v>
      </c>
      <c r="AI1518" t="s">
        <v>2306</v>
      </c>
      <c r="AJ1518" t="s">
        <v>2317</v>
      </c>
    </row>
    <row r="1519" spans="1:36" x14ac:dyDescent="0.3">
      <c r="A1519" t="s">
        <v>1553</v>
      </c>
      <c r="B1519" s="2">
        <v>45472</v>
      </c>
      <c r="C1519" t="s">
        <v>1651</v>
      </c>
      <c r="D1519" t="s">
        <v>1888</v>
      </c>
      <c r="E1519" t="s">
        <v>2002</v>
      </c>
      <c r="F1519" t="s">
        <v>2239</v>
      </c>
      <c r="G1519" t="s">
        <v>2256</v>
      </c>
      <c r="H1519" t="s">
        <v>2261</v>
      </c>
      <c r="I1519" t="s">
        <v>2260</v>
      </c>
      <c r="J1519" t="s">
        <v>2264</v>
      </c>
      <c r="K1519">
        <v>1</v>
      </c>
      <c r="L1519">
        <v>195</v>
      </c>
      <c r="M1519">
        <v>0.05</v>
      </c>
      <c r="N1519">
        <v>195</v>
      </c>
      <c r="O1519">
        <v>185.25</v>
      </c>
      <c r="P1519" t="s">
        <v>2268</v>
      </c>
      <c r="R1519" t="s">
        <v>2275</v>
      </c>
      <c r="S1519" t="s">
        <v>2280</v>
      </c>
      <c r="T1519" t="s">
        <v>2288</v>
      </c>
      <c r="U1519">
        <v>1</v>
      </c>
      <c r="V1519">
        <v>396</v>
      </c>
      <c r="X1519">
        <v>96.16</v>
      </c>
      <c r="Y1519">
        <v>89.09</v>
      </c>
      <c r="Z1519" t="s">
        <v>2293</v>
      </c>
      <c r="AA1519" t="s">
        <v>2297</v>
      </c>
      <c r="AB1519">
        <v>195</v>
      </c>
      <c r="AC1519">
        <v>9.75</v>
      </c>
      <c r="AD1519">
        <v>185.25</v>
      </c>
      <c r="AE1519">
        <v>96.16</v>
      </c>
      <c r="AF1519">
        <v>89.09</v>
      </c>
      <c r="AG1519">
        <v>2024</v>
      </c>
      <c r="AH1519">
        <v>6</v>
      </c>
      <c r="AI1519" t="s">
        <v>2304</v>
      </c>
      <c r="AJ1519" t="s">
        <v>2317</v>
      </c>
    </row>
    <row r="1520" spans="1:36" x14ac:dyDescent="0.3">
      <c r="A1520" t="s">
        <v>1554</v>
      </c>
      <c r="B1520" s="2">
        <v>45420</v>
      </c>
      <c r="C1520" t="s">
        <v>1738</v>
      </c>
      <c r="D1520" t="s">
        <v>1782</v>
      </c>
      <c r="E1520" t="s">
        <v>2231</v>
      </c>
      <c r="F1520" t="s">
        <v>2240</v>
      </c>
      <c r="G1520" t="s">
        <v>2242</v>
      </c>
      <c r="H1520" t="s">
        <v>2258</v>
      </c>
      <c r="I1520" t="s">
        <v>2260</v>
      </c>
      <c r="J1520" t="s">
        <v>2265</v>
      </c>
      <c r="K1520">
        <v>2</v>
      </c>
      <c r="L1520">
        <v>120</v>
      </c>
      <c r="N1520">
        <v>240</v>
      </c>
      <c r="P1520" t="s">
        <v>2268</v>
      </c>
      <c r="Q1520" t="s">
        <v>2270</v>
      </c>
      <c r="R1520" t="s">
        <v>2276</v>
      </c>
      <c r="S1520" t="s">
        <v>2280</v>
      </c>
      <c r="T1520" t="s">
        <v>2288</v>
      </c>
      <c r="V1520">
        <v>391</v>
      </c>
      <c r="W1520">
        <v>40</v>
      </c>
      <c r="X1520">
        <v>64.540000000000006</v>
      </c>
      <c r="Z1520" t="s">
        <v>2292</v>
      </c>
      <c r="AA1520" t="s">
        <v>1761</v>
      </c>
      <c r="AB1520">
        <v>240</v>
      </c>
      <c r="AC1520">
        <v>0</v>
      </c>
      <c r="AD1520">
        <v>240</v>
      </c>
      <c r="AE1520">
        <v>129.08000000000001</v>
      </c>
      <c r="AF1520">
        <v>110.92</v>
      </c>
      <c r="AG1520">
        <v>2024</v>
      </c>
      <c r="AH1520">
        <v>5</v>
      </c>
      <c r="AI1520" t="s">
        <v>2306</v>
      </c>
      <c r="AJ1520" t="s">
        <v>2312</v>
      </c>
    </row>
    <row r="1521" spans="1:36" x14ac:dyDescent="0.3">
      <c r="A1521" t="s">
        <v>1555</v>
      </c>
      <c r="B1521" s="2">
        <v>45524</v>
      </c>
      <c r="C1521" t="s">
        <v>1645</v>
      </c>
      <c r="D1521" t="s">
        <v>1936</v>
      </c>
      <c r="E1521" t="s">
        <v>2095</v>
      </c>
      <c r="F1521" t="s">
        <v>1761</v>
      </c>
      <c r="G1521" t="s">
        <v>2244</v>
      </c>
      <c r="H1521" t="s">
        <v>2257</v>
      </c>
      <c r="I1521" t="s">
        <v>2262</v>
      </c>
      <c r="J1521" t="s">
        <v>2266</v>
      </c>
      <c r="K1521">
        <v>2</v>
      </c>
      <c r="L1521">
        <v>130</v>
      </c>
      <c r="M1521">
        <v>0.05</v>
      </c>
      <c r="N1521">
        <v>260</v>
      </c>
      <c r="O1521">
        <v>247</v>
      </c>
      <c r="Q1521" t="s">
        <v>2270</v>
      </c>
      <c r="R1521" t="s">
        <v>2273</v>
      </c>
      <c r="S1521" t="s">
        <v>2284</v>
      </c>
      <c r="T1521" t="s">
        <v>2288</v>
      </c>
      <c r="U1521">
        <v>2</v>
      </c>
      <c r="X1521">
        <v>60.01</v>
      </c>
      <c r="Y1521">
        <v>126.98</v>
      </c>
      <c r="Z1521" t="s">
        <v>2293</v>
      </c>
      <c r="AA1521" t="s">
        <v>2296</v>
      </c>
      <c r="AB1521">
        <v>260</v>
      </c>
      <c r="AC1521">
        <v>13</v>
      </c>
      <c r="AD1521">
        <v>247</v>
      </c>
      <c r="AE1521">
        <v>120.02</v>
      </c>
      <c r="AF1521">
        <v>126.98</v>
      </c>
      <c r="AG1521">
        <v>2024</v>
      </c>
      <c r="AH1521">
        <v>8</v>
      </c>
      <c r="AI1521" t="s">
        <v>2301</v>
      </c>
      <c r="AJ1521" t="s">
        <v>2313</v>
      </c>
    </row>
    <row r="1522" spans="1:36" x14ac:dyDescent="0.3">
      <c r="A1522" t="s">
        <v>1556</v>
      </c>
      <c r="B1522" s="2">
        <v>45582</v>
      </c>
      <c r="C1522" t="s">
        <v>1727</v>
      </c>
      <c r="D1522" t="s">
        <v>1801</v>
      </c>
      <c r="E1522" t="s">
        <v>2203</v>
      </c>
      <c r="F1522" t="s">
        <v>2240</v>
      </c>
      <c r="G1522" t="s">
        <v>2247</v>
      </c>
      <c r="H1522" t="s">
        <v>2257</v>
      </c>
      <c r="I1522" t="s">
        <v>2262</v>
      </c>
      <c r="J1522" t="s">
        <v>2265</v>
      </c>
      <c r="K1522">
        <v>1</v>
      </c>
      <c r="L1522">
        <v>95</v>
      </c>
      <c r="M1522">
        <v>0.1</v>
      </c>
      <c r="N1522">
        <v>95</v>
      </c>
      <c r="O1522">
        <v>85.5</v>
      </c>
      <c r="P1522" t="s">
        <v>2267</v>
      </c>
      <c r="Q1522" t="s">
        <v>2271</v>
      </c>
      <c r="R1522" t="s">
        <v>2273</v>
      </c>
      <c r="S1522" t="s">
        <v>2286</v>
      </c>
      <c r="T1522" t="s">
        <v>2288</v>
      </c>
      <c r="U1522">
        <v>4</v>
      </c>
      <c r="V1522">
        <v>80</v>
      </c>
      <c r="X1522">
        <v>40.14</v>
      </c>
      <c r="Y1522">
        <v>45.36</v>
      </c>
      <c r="Z1522" t="s">
        <v>2293</v>
      </c>
      <c r="AA1522" t="s">
        <v>2298</v>
      </c>
      <c r="AB1522">
        <v>95</v>
      </c>
      <c r="AC1522">
        <v>9.5</v>
      </c>
      <c r="AD1522">
        <v>85.5</v>
      </c>
      <c r="AE1522">
        <v>40.14</v>
      </c>
      <c r="AF1522">
        <v>45.36</v>
      </c>
      <c r="AG1522">
        <v>2024</v>
      </c>
      <c r="AH1522">
        <v>10</v>
      </c>
      <c r="AI1522" t="s">
        <v>2310</v>
      </c>
      <c r="AJ1522" t="s">
        <v>2316</v>
      </c>
    </row>
    <row r="1523" spans="1:36" x14ac:dyDescent="0.3">
      <c r="A1523" t="s">
        <v>1557</v>
      </c>
      <c r="B1523" s="2">
        <v>45398</v>
      </c>
      <c r="C1523" t="s">
        <v>1731</v>
      </c>
      <c r="D1523" t="s">
        <v>1761</v>
      </c>
      <c r="E1523" t="s">
        <v>2202</v>
      </c>
      <c r="F1523" t="s">
        <v>2240</v>
      </c>
      <c r="G1523" t="s">
        <v>2249</v>
      </c>
      <c r="H1523" t="s">
        <v>2257</v>
      </c>
      <c r="I1523" t="s">
        <v>2263</v>
      </c>
      <c r="J1523" t="s">
        <v>2266</v>
      </c>
      <c r="K1523">
        <v>1</v>
      </c>
      <c r="L1523">
        <v>160</v>
      </c>
      <c r="M1523">
        <v>0.05</v>
      </c>
      <c r="N1523">
        <v>160</v>
      </c>
      <c r="O1523">
        <v>152</v>
      </c>
      <c r="P1523" t="s">
        <v>2269</v>
      </c>
      <c r="Q1523" t="s">
        <v>2272</v>
      </c>
      <c r="R1523" t="s">
        <v>2276</v>
      </c>
      <c r="S1523" t="s">
        <v>2285</v>
      </c>
      <c r="T1523" t="s">
        <v>2290</v>
      </c>
      <c r="V1523">
        <v>433</v>
      </c>
      <c r="W1523">
        <v>25</v>
      </c>
      <c r="X1523">
        <v>68.099999999999994</v>
      </c>
      <c r="Y1523">
        <v>83.9</v>
      </c>
      <c r="Z1523" t="s">
        <v>1761</v>
      </c>
      <c r="AA1523" t="s">
        <v>2298</v>
      </c>
      <c r="AB1523">
        <v>160</v>
      </c>
      <c r="AC1523">
        <v>8</v>
      </c>
      <c r="AD1523">
        <v>152</v>
      </c>
      <c r="AE1523">
        <v>68.099999999999994</v>
      </c>
      <c r="AF1523">
        <v>83.9</v>
      </c>
      <c r="AG1523">
        <v>2024</v>
      </c>
      <c r="AH1523">
        <v>4</v>
      </c>
      <c r="AI1523" t="s">
        <v>2308</v>
      </c>
      <c r="AJ1523" t="s">
        <v>2313</v>
      </c>
    </row>
    <row r="1524" spans="1:36" x14ac:dyDescent="0.3">
      <c r="A1524" t="s">
        <v>1558</v>
      </c>
      <c r="B1524" s="2">
        <v>45656</v>
      </c>
      <c r="C1524" t="s">
        <v>1640</v>
      </c>
      <c r="D1524" t="s">
        <v>1890</v>
      </c>
      <c r="E1524" t="s">
        <v>1761</v>
      </c>
      <c r="F1524" t="s">
        <v>2239</v>
      </c>
      <c r="G1524" t="s">
        <v>2245</v>
      </c>
      <c r="H1524" t="s">
        <v>2257</v>
      </c>
      <c r="I1524" t="s">
        <v>2263</v>
      </c>
      <c r="J1524" t="s">
        <v>2264</v>
      </c>
      <c r="K1524">
        <v>1</v>
      </c>
      <c r="L1524">
        <v>145</v>
      </c>
      <c r="M1524">
        <v>0.1</v>
      </c>
      <c r="N1524">
        <v>145</v>
      </c>
      <c r="O1524">
        <v>130.5</v>
      </c>
      <c r="P1524" t="s">
        <v>2268</v>
      </c>
      <c r="R1524" t="s">
        <v>2279</v>
      </c>
      <c r="S1524" t="s">
        <v>2286</v>
      </c>
      <c r="T1524" t="s">
        <v>2288</v>
      </c>
      <c r="U1524">
        <v>4</v>
      </c>
      <c r="V1524">
        <v>204</v>
      </c>
      <c r="W1524">
        <v>50</v>
      </c>
      <c r="X1524">
        <v>53.19</v>
      </c>
      <c r="Y1524">
        <v>77.31</v>
      </c>
      <c r="Z1524" t="s">
        <v>1761</v>
      </c>
      <c r="AA1524" t="s">
        <v>2296</v>
      </c>
      <c r="AB1524">
        <v>145</v>
      </c>
      <c r="AC1524">
        <v>14.5</v>
      </c>
      <c r="AD1524">
        <v>130.5</v>
      </c>
      <c r="AE1524">
        <v>53.19</v>
      </c>
      <c r="AF1524">
        <v>77.31</v>
      </c>
      <c r="AG1524">
        <v>2024</v>
      </c>
      <c r="AH1524">
        <v>12</v>
      </c>
      <c r="AI1524" t="s">
        <v>2309</v>
      </c>
      <c r="AJ1524" t="s">
        <v>2314</v>
      </c>
    </row>
    <row r="1525" spans="1:36" x14ac:dyDescent="0.3">
      <c r="A1525" t="s">
        <v>1559</v>
      </c>
      <c r="B1525" s="2">
        <v>45352</v>
      </c>
      <c r="C1525" t="s">
        <v>1675</v>
      </c>
      <c r="D1525" t="s">
        <v>1917</v>
      </c>
      <c r="E1525" t="s">
        <v>2111</v>
      </c>
      <c r="F1525" t="s">
        <v>2239</v>
      </c>
      <c r="G1525" t="s">
        <v>2242</v>
      </c>
      <c r="H1525" t="s">
        <v>2258</v>
      </c>
      <c r="I1525" t="s">
        <v>2260</v>
      </c>
      <c r="J1525" t="s">
        <v>2265</v>
      </c>
      <c r="K1525">
        <v>1</v>
      </c>
      <c r="L1525">
        <v>120</v>
      </c>
      <c r="M1525">
        <v>0.1</v>
      </c>
      <c r="N1525">
        <v>120</v>
      </c>
      <c r="O1525">
        <v>108</v>
      </c>
      <c r="P1525" t="s">
        <v>2269</v>
      </c>
      <c r="Q1525" t="s">
        <v>2272</v>
      </c>
      <c r="R1525" t="s">
        <v>2273</v>
      </c>
      <c r="S1525" t="s">
        <v>2286</v>
      </c>
      <c r="T1525" t="s">
        <v>2290</v>
      </c>
      <c r="V1525">
        <v>368</v>
      </c>
      <c r="X1525">
        <v>70.11</v>
      </c>
      <c r="Y1525">
        <v>37.89</v>
      </c>
      <c r="Z1525" t="s">
        <v>1761</v>
      </c>
      <c r="AA1525" t="s">
        <v>2298</v>
      </c>
      <c r="AB1525">
        <v>120</v>
      </c>
      <c r="AC1525">
        <v>12</v>
      </c>
      <c r="AD1525">
        <v>108</v>
      </c>
      <c r="AE1525">
        <v>70.11</v>
      </c>
      <c r="AF1525">
        <v>37.89</v>
      </c>
      <c r="AG1525">
        <v>2024</v>
      </c>
      <c r="AH1525">
        <v>3</v>
      </c>
      <c r="AI1525" t="s">
        <v>2305</v>
      </c>
      <c r="AJ1525" t="s">
        <v>2315</v>
      </c>
    </row>
    <row r="1526" spans="1:36" x14ac:dyDescent="0.3">
      <c r="A1526" t="s">
        <v>1560</v>
      </c>
      <c r="B1526" s="2">
        <v>45608</v>
      </c>
      <c r="C1526" t="s">
        <v>1669</v>
      </c>
      <c r="D1526" t="s">
        <v>1863</v>
      </c>
      <c r="E1526" t="s">
        <v>2192</v>
      </c>
      <c r="F1526" t="s">
        <v>2239</v>
      </c>
      <c r="G1526" t="s">
        <v>2245</v>
      </c>
      <c r="H1526" t="s">
        <v>2257</v>
      </c>
      <c r="I1526" t="s">
        <v>2263</v>
      </c>
      <c r="K1526">
        <v>1</v>
      </c>
      <c r="L1526">
        <v>150</v>
      </c>
      <c r="M1526">
        <v>0.05</v>
      </c>
      <c r="N1526">
        <v>150</v>
      </c>
      <c r="O1526">
        <v>142.5</v>
      </c>
      <c r="P1526" t="s">
        <v>2268</v>
      </c>
      <c r="Q1526" t="s">
        <v>2272</v>
      </c>
      <c r="R1526" t="s">
        <v>2275</v>
      </c>
      <c r="S1526" t="s">
        <v>2286</v>
      </c>
      <c r="T1526" t="s">
        <v>2289</v>
      </c>
      <c r="U1526">
        <v>4</v>
      </c>
      <c r="V1526">
        <v>329</v>
      </c>
      <c r="X1526">
        <v>67</v>
      </c>
      <c r="Y1526">
        <v>75.5</v>
      </c>
      <c r="Z1526" t="s">
        <v>2291</v>
      </c>
      <c r="AA1526" t="s">
        <v>2296</v>
      </c>
      <c r="AB1526">
        <v>150</v>
      </c>
      <c r="AC1526">
        <v>7.5</v>
      </c>
      <c r="AD1526">
        <v>142.5</v>
      </c>
      <c r="AE1526">
        <v>67</v>
      </c>
      <c r="AF1526">
        <v>75.5</v>
      </c>
      <c r="AG1526">
        <v>2024</v>
      </c>
      <c r="AH1526">
        <v>11</v>
      </c>
      <c r="AI1526" t="s">
        <v>2311</v>
      </c>
      <c r="AJ1526" t="s">
        <v>2313</v>
      </c>
    </row>
    <row r="1527" spans="1:36" x14ac:dyDescent="0.3">
      <c r="A1527" t="s">
        <v>1561</v>
      </c>
      <c r="B1527" s="2">
        <v>45404</v>
      </c>
      <c r="C1527" t="s">
        <v>1682</v>
      </c>
      <c r="D1527" t="s">
        <v>1899</v>
      </c>
      <c r="E1527" t="s">
        <v>2081</v>
      </c>
      <c r="F1527" t="s">
        <v>2240</v>
      </c>
      <c r="G1527" t="s">
        <v>2249</v>
      </c>
      <c r="H1527" t="s">
        <v>2257</v>
      </c>
      <c r="I1527" t="s">
        <v>2263</v>
      </c>
      <c r="J1527" t="s">
        <v>2266</v>
      </c>
      <c r="K1527">
        <v>1</v>
      </c>
      <c r="L1527">
        <v>160</v>
      </c>
      <c r="M1527">
        <v>0.05</v>
      </c>
      <c r="N1527">
        <v>160</v>
      </c>
      <c r="O1527">
        <v>152</v>
      </c>
      <c r="P1527" t="s">
        <v>2269</v>
      </c>
      <c r="Q1527" t="s">
        <v>2271</v>
      </c>
      <c r="R1527" t="s">
        <v>2279</v>
      </c>
      <c r="S1527" t="s">
        <v>2283</v>
      </c>
      <c r="T1527" t="s">
        <v>2288</v>
      </c>
      <c r="U1527">
        <v>5</v>
      </c>
      <c r="V1527">
        <v>28</v>
      </c>
      <c r="W1527">
        <v>22</v>
      </c>
      <c r="X1527">
        <v>91.82</v>
      </c>
      <c r="Y1527">
        <v>60.18</v>
      </c>
      <c r="Z1527" t="s">
        <v>2292</v>
      </c>
      <c r="AA1527" t="s">
        <v>2296</v>
      </c>
      <c r="AB1527">
        <v>160</v>
      </c>
      <c r="AC1527">
        <v>8</v>
      </c>
      <c r="AD1527">
        <v>152</v>
      </c>
      <c r="AE1527">
        <v>91.82</v>
      </c>
      <c r="AF1527">
        <v>60.180000000000007</v>
      </c>
      <c r="AG1527">
        <v>2024</v>
      </c>
      <c r="AH1527">
        <v>4</v>
      </c>
      <c r="AI1527" t="s">
        <v>2308</v>
      </c>
      <c r="AJ1527" t="s">
        <v>2314</v>
      </c>
    </row>
    <row r="1528" spans="1:36" x14ac:dyDescent="0.3">
      <c r="A1528" t="s">
        <v>1562</v>
      </c>
      <c r="B1528" s="2">
        <v>45341</v>
      </c>
      <c r="C1528" t="s">
        <v>1686</v>
      </c>
      <c r="D1528" t="s">
        <v>1881</v>
      </c>
      <c r="E1528" t="s">
        <v>2156</v>
      </c>
      <c r="F1528" t="s">
        <v>2240</v>
      </c>
      <c r="G1528" t="s">
        <v>2251</v>
      </c>
      <c r="H1528" t="s">
        <v>2258</v>
      </c>
      <c r="I1528" t="s">
        <v>2260</v>
      </c>
      <c r="J1528" t="s">
        <v>2265</v>
      </c>
      <c r="K1528">
        <v>3</v>
      </c>
      <c r="L1528">
        <v>105</v>
      </c>
      <c r="N1528">
        <v>315</v>
      </c>
      <c r="P1528" t="s">
        <v>2269</v>
      </c>
      <c r="Q1528" t="s">
        <v>2270</v>
      </c>
      <c r="R1528" t="s">
        <v>2278</v>
      </c>
      <c r="S1528" t="s">
        <v>2283</v>
      </c>
      <c r="T1528" t="s">
        <v>2288</v>
      </c>
      <c r="U1528">
        <v>2</v>
      </c>
      <c r="W1528">
        <v>33</v>
      </c>
      <c r="X1528">
        <v>52.91</v>
      </c>
      <c r="Z1528" t="s">
        <v>1761</v>
      </c>
      <c r="AA1528" t="s">
        <v>2297</v>
      </c>
      <c r="AB1528">
        <v>315</v>
      </c>
      <c r="AC1528">
        <v>0</v>
      </c>
      <c r="AD1528">
        <v>315</v>
      </c>
      <c r="AE1528">
        <v>158.72999999999999</v>
      </c>
      <c r="AF1528">
        <v>156.27000000000001</v>
      </c>
      <c r="AG1528">
        <v>2024</v>
      </c>
      <c r="AH1528">
        <v>2</v>
      </c>
      <c r="AI1528" t="s">
        <v>2303</v>
      </c>
      <c r="AJ1528" t="s">
        <v>2314</v>
      </c>
    </row>
    <row r="1529" spans="1:36" x14ac:dyDescent="0.3">
      <c r="A1529" t="s">
        <v>1563</v>
      </c>
      <c r="B1529" s="2">
        <v>45297</v>
      </c>
      <c r="C1529" t="s">
        <v>1698</v>
      </c>
      <c r="D1529" t="s">
        <v>1896</v>
      </c>
      <c r="E1529" t="s">
        <v>2129</v>
      </c>
      <c r="F1529" t="s">
        <v>2240</v>
      </c>
      <c r="G1529" t="s">
        <v>2252</v>
      </c>
      <c r="H1529" t="s">
        <v>2257</v>
      </c>
      <c r="I1529" t="s">
        <v>2262</v>
      </c>
      <c r="J1529" t="s">
        <v>2265</v>
      </c>
      <c r="L1529">
        <v>85</v>
      </c>
      <c r="M1529">
        <v>0.05</v>
      </c>
      <c r="N1529">
        <v>170</v>
      </c>
      <c r="O1529">
        <v>161.5</v>
      </c>
      <c r="P1529" t="s">
        <v>2268</v>
      </c>
      <c r="R1529" t="s">
        <v>2279</v>
      </c>
      <c r="S1529" t="s">
        <v>2281</v>
      </c>
      <c r="T1529" t="s">
        <v>2290</v>
      </c>
      <c r="U1529">
        <v>5</v>
      </c>
      <c r="V1529">
        <v>71</v>
      </c>
      <c r="X1529">
        <v>33.26</v>
      </c>
      <c r="Y1529">
        <v>94.98</v>
      </c>
      <c r="Z1529" t="s">
        <v>2294</v>
      </c>
      <c r="AA1529" t="s">
        <v>2296</v>
      </c>
      <c r="AG1529">
        <v>2024</v>
      </c>
      <c r="AH1529">
        <v>1</v>
      </c>
      <c r="AI1529" t="s">
        <v>2302</v>
      </c>
      <c r="AJ1529" t="s">
        <v>2317</v>
      </c>
    </row>
    <row r="1530" spans="1:36" x14ac:dyDescent="0.3">
      <c r="A1530" t="s">
        <v>1564</v>
      </c>
      <c r="B1530" s="2">
        <v>45577</v>
      </c>
      <c r="C1530" t="s">
        <v>1653</v>
      </c>
      <c r="D1530" t="s">
        <v>1822</v>
      </c>
      <c r="E1530" t="s">
        <v>2155</v>
      </c>
      <c r="F1530" t="s">
        <v>1761</v>
      </c>
      <c r="G1530" t="s">
        <v>2243</v>
      </c>
      <c r="H1530" t="s">
        <v>2258</v>
      </c>
      <c r="I1530" t="s">
        <v>2260</v>
      </c>
      <c r="J1530" t="s">
        <v>2266</v>
      </c>
      <c r="K1530">
        <v>1</v>
      </c>
      <c r="L1530">
        <v>80</v>
      </c>
      <c r="M1530">
        <v>0</v>
      </c>
      <c r="N1530">
        <v>80</v>
      </c>
      <c r="O1530">
        <v>80</v>
      </c>
      <c r="P1530" t="s">
        <v>2267</v>
      </c>
      <c r="R1530" t="s">
        <v>2275</v>
      </c>
      <c r="S1530" t="s">
        <v>2281</v>
      </c>
      <c r="T1530" t="s">
        <v>2288</v>
      </c>
      <c r="V1530">
        <v>345</v>
      </c>
      <c r="W1530">
        <v>32</v>
      </c>
      <c r="X1530">
        <v>30.27</v>
      </c>
      <c r="Y1530">
        <v>49.73</v>
      </c>
      <c r="Z1530" t="s">
        <v>2293</v>
      </c>
      <c r="AA1530" t="s">
        <v>2299</v>
      </c>
      <c r="AB1530">
        <v>80</v>
      </c>
      <c r="AC1530">
        <v>0</v>
      </c>
      <c r="AD1530">
        <v>80</v>
      </c>
      <c r="AE1530">
        <v>30.27</v>
      </c>
      <c r="AF1530">
        <v>49.73</v>
      </c>
      <c r="AG1530">
        <v>2024</v>
      </c>
      <c r="AH1530">
        <v>10</v>
      </c>
      <c r="AI1530" t="s">
        <v>2310</v>
      </c>
      <c r="AJ1530" t="s">
        <v>2317</v>
      </c>
    </row>
    <row r="1531" spans="1:36" x14ac:dyDescent="0.3">
      <c r="A1531" t="s">
        <v>1565</v>
      </c>
      <c r="B1531" s="2">
        <v>45554</v>
      </c>
      <c r="C1531" t="s">
        <v>1690</v>
      </c>
      <c r="D1531" t="s">
        <v>1755</v>
      </c>
      <c r="E1531" t="s">
        <v>2191</v>
      </c>
      <c r="F1531" t="s">
        <v>2238</v>
      </c>
      <c r="G1531" t="s">
        <v>2241</v>
      </c>
      <c r="H1531" t="s">
        <v>2257</v>
      </c>
      <c r="I1531" t="s">
        <v>2262</v>
      </c>
      <c r="J1531" t="s">
        <v>2264</v>
      </c>
      <c r="K1531">
        <v>1</v>
      </c>
      <c r="L1531">
        <v>130</v>
      </c>
      <c r="M1531">
        <v>0.05</v>
      </c>
      <c r="O1531">
        <v>123.5</v>
      </c>
      <c r="P1531" t="s">
        <v>2268</v>
      </c>
      <c r="Q1531" t="s">
        <v>2270</v>
      </c>
      <c r="R1531" t="s">
        <v>2276</v>
      </c>
      <c r="S1531" t="s">
        <v>2286</v>
      </c>
      <c r="T1531" t="s">
        <v>2290</v>
      </c>
      <c r="U1531">
        <v>4</v>
      </c>
      <c r="V1531">
        <v>159</v>
      </c>
      <c r="W1531">
        <v>23</v>
      </c>
      <c r="X1531">
        <v>46.65</v>
      </c>
      <c r="Y1531">
        <v>76.849999999999994</v>
      </c>
      <c r="Z1531" t="s">
        <v>1761</v>
      </c>
      <c r="AA1531" t="s">
        <v>2299</v>
      </c>
      <c r="AB1531">
        <v>130</v>
      </c>
      <c r="AC1531">
        <v>6.5</v>
      </c>
      <c r="AD1531">
        <v>123.5</v>
      </c>
      <c r="AE1531">
        <v>46.65</v>
      </c>
      <c r="AF1531">
        <v>76.849999999999994</v>
      </c>
      <c r="AG1531">
        <v>2024</v>
      </c>
      <c r="AH1531">
        <v>9</v>
      </c>
      <c r="AI1531" t="s">
        <v>2300</v>
      </c>
      <c r="AJ1531" t="s">
        <v>2316</v>
      </c>
    </row>
    <row r="1532" spans="1:36" x14ac:dyDescent="0.3">
      <c r="A1532" t="s">
        <v>1566</v>
      </c>
      <c r="B1532" s="2">
        <v>45366</v>
      </c>
      <c r="C1532" t="s">
        <v>1711</v>
      </c>
      <c r="D1532" t="s">
        <v>1825</v>
      </c>
      <c r="E1532" t="s">
        <v>2163</v>
      </c>
      <c r="F1532" t="s">
        <v>1761</v>
      </c>
      <c r="G1532" t="s">
        <v>2245</v>
      </c>
      <c r="H1532" t="s">
        <v>2257</v>
      </c>
      <c r="I1532" t="s">
        <v>2263</v>
      </c>
      <c r="K1532">
        <v>2</v>
      </c>
      <c r="L1532">
        <v>150</v>
      </c>
      <c r="M1532">
        <v>0</v>
      </c>
      <c r="N1532">
        <v>300</v>
      </c>
      <c r="O1532">
        <v>300</v>
      </c>
      <c r="P1532" t="s">
        <v>2268</v>
      </c>
      <c r="R1532" t="s">
        <v>2278</v>
      </c>
      <c r="S1532" t="s">
        <v>2282</v>
      </c>
      <c r="T1532" t="s">
        <v>2288</v>
      </c>
      <c r="U1532">
        <v>3</v>
      </c>
      <c r="V1532">
        <v>76</v>
      </c>
      <c r="X1532">
        <v>64.739999999999995</v>
      </c>
      <c r="Y1532">
        <v>170.52</v>
      </c>
      <c r="Z1532" t="s">
        <v>1761</v>
      </c>
      <c r="AA1532" t="s">
        <v>2296</v>
      </c>
      <c r="AB1532">
        <v>300</v>
      </c>
      <c r="AC1532">
        <v>0</v>
      </c>
      <c r="AD1532">
        <v>300</v>
      </c>
      <c r="AE1532">
        <v>129.47999999999999</v>
      </c>
      <c r="AF1532">
        <v>170.52</v>
      </c>
      <c r="AG1532">
        <v>2024</v>
      </c>
      <c r="AH1532">
        <v>3</v>
      </c>
      <c r="AI1532" t="s">
        <v>2305</v>
      </c>
      <c r="AJ1532" t="s">
        <v>2315</v>
      </c>
    </row>
    <row r="1533" spans="1:36" x14ac:dyDescent="0.3">
      <c r="A1533" t="s">
        <v>1567</v>
      </c>
      <c r="B1533" s="2">
        <v>45589</v>
      </c>
      <c r="C1533" t="s">
        <v>1695</v>
      </c>
      <c r="D1533" t="s">
        <v>1932</v>
      </c>
      <c r="E1533" t="s">
        <v>1761</v>
      </c>
      <c r="F1533" t="s">
        <v>2239</v>
      </c>
      <c r="G1533" t="s">
        <v>2251</v>
      </c>
      <c r="H1533" t="s">
        <v>2258</v>
      </c>
      <c r="I1533" t="s">
        <v>2260</v>
      </c>
      <c r="J1533" t="s">
        <v>2266</v>
      </c>
      <c r="K1533">
        <v>1</v>
      </c>
      <c r="L1533">
        <v>100</v>
      </c>
      <c r="M1533">
        <v>0</v>
      </c>
      <c r="N1533">
        <v>100</v>
      </c>
      <c r="O1533">
        <v>100</v>
      </c>
      <c r="P1533" t="s">
        <v>2268</v>
      </c>
      <c r="R1533" t="s">
        <v>2274</v>
      </c>
      <c r="S1533" t="s">
        <v>2283</v>
      </c>
      <c r="T1533" t="s">
        <v>2290</v>
      </c>
      <c r="U1533">
        <v>2</v>
      </c>
      <c r="V1533">
        <v>138</v>
      </c>
      <c r="W1533">
        <v>43</v>
      </c>
      <c r="X1533">
        <v>51.33</v>
      </c>
      <c r="Y1533">
        <v>48.67</v>
      </c>
      <c r="Z1533" t="s">
        <v>2292</v>
      </c>
      <c r="AA1533" t="s">
        <v>2296</v>
      </c>
      <c r="AB1533">
        <v>100</v>
      </c>
      <c r="AC1533">
        <v>0</v>
      </c>
      <c r="AD1533">
        <v>100</v>
      </c>
      <c r="AE1533">
        <v>51.33</v>
      </c>
      <c r="AF1533">
        <v>48.67</v>
      </c>
      <c r="AG1533">
        <v>2024</v>
      </c>
      <c r="AH1533">
        <v>10</v>
      </c>
      <c r="AI1533" t="s">
        <v>2310</v>
      </c>
      <c r="AJ1533" t="s">
        <v>2316</v>
      </c>
    </row>
    <row r="1534" spans="1:36" x14ac:dyDescent="0.3">
      <c r="A1534" t="s">
        <v>1568</v>
      </c>
      <c r="B1534" s="2">
        <v>45585</v>
      </c>
      <c r="C1534" t="s">
        <v>1723</v>
      </c>
      <c r="D1534" t="s">
        <v>1829</v>
      </c>
      <c r="E1534" t="s">
        <v>2110</v>
      </c>
      <c r="F1534" t="s">
        <v>2239</v>
      </c>
      <c r="G1534" t="s">
        <v>2254</v>
      </c>
      <c r="H1534" t="s">
        <v>2259</v>
      </c>
      <c r="I1534" t="s">
        <v>2263</v>
      </c>
      <c r="J1534" t="s">
        <v>2264</v>
      </c>
      <c r="K1534">
        <v>1</v>
      </c>
      <c r="L1534">
        <v>110</v>
      </c>
      <c r="M1534">
        <v>0</v>
      </c>
      <c r="N1534">
        <v>110</v>
      </c>
      <c r="O1534">
        <v>110</v>
      </c>
      <c r="P1534" t="s">
        <v>2268</v>
      </c>
      <c r="Q1534" t="s">
        <v>2272</v>
      </c>
      <c r="R1534" t="s">
        <v>2278</v>
      </c>
      <c r="S1534" t="s">
        <v>2286</v>
      </c>
      <c r="T1534" t="s">
        <v>2289</v>
      </c>
      <c r="U1534">
        <v>1</v>
      </c>
      <c r="V1534">
        <v>378</v>
      </c>
      <c r="X1534">
        <v>48.86</v>
      </c>
      <c r="Y1534">
        <v>61.14</v>
      </c>
      <c r="Z1534" t="s">
        <v>2292</v>
      </c>
      <c r="AA1534" t="s">
        <v>2296</v>
      </c>
      <c r="AB1534">
        <v>110</v>
      </c>
      <c r="AC1534">
        <v>0</v>
      </c>
      <c r="AD1534">
        <v>110</v>
      </c>
      <c r="AE1534">
        <v>48.86</v>
      </c>
      <c r="AF1534">
        <v>61.14</v>
      </c>
      <c r="AG1534">
        <v>2024</v>
      </c>
      <c r="AH1534">
        <v>10</v>
      </c>
      <c r="AI1534" t="s">
        <v>2310</v>
      </c>
      <c r="AJ1534" t="s">
        <v>2318</v>
      </c>
    </row>
    <row r="1535" spans="1:36" x14ac:dyDescent="0.3">
      <c r="A1535" t="s">
        <v>1569</v>
      </c>
      <c r="B1535" s="2">
        <v>45494</v>
      </c>
      <c r="C1535" t="s">
        <v>1730</v>
      </c>
      <c r="D1535" t="s">
        <v>1770</v>
      </c>
      <c r="E1535" t="s">
        <v>2108</v>
      </c>
      <c r="F1535" t="s">
        <v>2238</v>
      </c>
      <c r="G1535" t="s">
        <v>2250</v>
      </c>
      <c r="H1535" t="s">
        <v>2259</v>
      </c>
      <c r="I1535" t="s">
        <v>2262</v>
      </c>
      <c r="J1535" t="s">
        <v>2264</v>
      </c>
      <c r="K1535">
        <v>1</v>
      </c>
      <c r="L1535">
        <v>80</v>
      </c>
      <c r="M1535">
        <v>0</v>
      </c>
      <c r="N1535">
        <v>80</v>
      </c>
      <c r="O1535">
        <v>80</v>
      </c>
      <c r="P1535" t="s">
        <v>2269</v>
      </c>
      <c r="Q1535" t="s">
        <v>2271</v>
      </c>
      <c r="R1535" t="s">
        <v>2277</v>
      </c>
      <c r="S1535" t="s">
        <v>2282</v>
      </c>
      <c r="T1535" t="s">
        <v>2288</v>
      </c>
      <c r="U1535">
        <v>4</v>
      </c>
      <c r="V1535">
        <v>434</v>
      </c>
      <c r="W1535">
        <v>39</v>
      </c>
      <c r="X1535">
        <v>32.51</v>
      </c>
      <c r="Y1535">
        <v>47.49</v>
      </c>
      <c r="Z1535" t="s">
        <v>1761</v>
      </c>
      <c r="AA1535" t="s">
        <v>2298</v>
      </c>
      <c r="AB1535">
        <v>80</v>
      </c>
      <c r="AC1535">
        <v>0</v>
      </c>
      <c r="AD1535">
        <v>80</v>
      </c>
      <c r="AE1535">
        <v>32.51</v>
      </c>
      <c r="AF1535">
        <v>47.49</v>
      </c>
      <c r="AG1535">
        <v>2024</v>
      </c>
      <c r="AH1535">
        <v>7</v>
      </c>
      <c r="AI1535" t="s">
        <v>2307</v>
      </c>
      <c r="AJ1535" t="s">
        <v>2318</v>
      </c>
    </row>
    <row r="1536" spans="1:36" x14ac:dyDescent="0.3">
      <c r="A1536" t="s">
        <v>1570</v>
      </c>
      <c r="B1536" s="2">
        <v>45626</v>
      </c>
      <c r="C1536" t="s">
        <v>1732</v>
      </c>
      <c r="D1536" t="s">
        <v>1843</v>
      </c>
      <c r="E1536" t="s">
        <v>2035</v>
      </c>
      <c r="F1536" t="s">
        <v>2239</v>
      </c>
      <c r="G1536" t="s">
        <v>2249</v>
      </c>
      <c r="H1536" t="s">
        <v>2257</v>
      </c>
      <c r="I1536" t="s">
        <v>2263</v>
      </c>
      <c r="J1536" t="s">
        <v>2266</v>
      </c>
      <c r="K1536">
        <v>1</v>
      </c>
      <c r="L1536">
        <v>170</v>
      </c>
      <c r="M1536">
        <v>0</v>
      </c>
      <c r="N1536">
        <v>170</v>
      </c>
      <c r="O1536">
        <v>170</v>
      </c>
      <c r="P1536" t="s">
        <v>2267</v>
      </c>
      <c r="Q1536" t="s">
        <v>2272</v>
      </c>
      <c r="R1536" t="s">
        <v>2273</v>
      </c>
      <c r="S1536" t="s">
        <v>2283</v>
      </c>
      <c r="T1536" t="s">
        <v>2288</v>
      </c>
      <c r="V1536">
        <v>124</v>
      </c>
      <c r="W1536">
        <v>32</v>
      </c>
      <c r="X1536">
        <v>69.72</v>
      </c>
      <c r="Y1536">
        <v>100.28</v>
      </c>
      <c r="Z1536" t="s">
        <v>2292</v>
      </c>
      <c r="AA1536" t="s">
        <v>1761</v>
      </c>
      <c r="AB1536">
        <v>170</v>
      </c>
      <c r="AC1536">
        <v>0</v>
      </c>
      <c r="AD1536">
        <v>170</v>
      </c>
      <c r="AE1536">
        <v>69.72</v>
      </c>
      <c r="AF1536">
        <v>100.28</v>
      </c>
      <c r="AG1536">
        <v>2024</v>
      </c>
      <c r="AH1536">
        <v>11</v>
      </c>
      <c r="AI1536" t="s">
        <v>2311</v>
      </c>
      <c r="AJ1536" t="s">
        <v>2317</v>
      </c>
    </row>
    <row r="1537" spans="1:36" x14ac:dyDescent="0.3">
      <c r="A1537" t="s">
        <v>1571</v>
      </c>
      <c r="B1537" s="2">
        <v>45498</v>
      </c>
      <c r="C1537" t="s">
        <v>1674</v>
      </c>
      <c r="D1537" t="s">
        <v>1888</v>
      </c>
      <c r="E1537" t="s">
        <v>2087</v>
      </c>
      <c r="F1537" t="s">
        <v>1761</v>
      </c>
      <c r="G1537" t="s">
        <v>2243</v>
      </c>
      <c r="H1537" t="s">
        <v>2258</v>
      </c>
      <c r="I1537" t="s">
        <v>2260</v>
      </c>
      <c r="J1537" t="s">
        <v>2265</v>
      </c>
      <c r="K1537">
        <v>2</v>
      </c>
      <c r="L1537">
        <v>75</v>
      </c>
      <c r="M1537">
        <v>0.1</v>
      </c>
      <c r="N1537">
        <v>150</v>
      </c>
      <c r="O1537">
        <v>135</v>
      </c>
      <c r="P1537" t="s">
        <v>2267</v>
      </c>
      <c r="Q1537" t="s">
        <v>2270</v>
      </c>
      <c r="R1537" t="s">
        <v>2276</v>
      </c>
      <c r="S1537" t="s">
        <v>2284</v>
      </c>
      <c r="T1537" t="s">
        <v>2289</v>
      </c>
      <c r="U1537">
        <v>4</v>
      </c>
      <c r="V1537">
        <v>237</v>
      </c>
      <c r="W1537">
        <v>19</v>
      </c>
      <c r="X1537">
        <v>40.71</v>
      </c>
      <c r="Y1537">
        <v>53.58</v>
      </c>
      <c r="Z1537" t="s">
        <v>2292</v>
      </c>
      <c r="AA1537" t="s">
        <v>1761</v>
      </c>
      <c r="AB1537">
        <v>150</v>
      </c>
      <c r="AC1537">
        <v>15</v>
      </c>
      <c r="AD1537">
        <v>135</v>
      </c>
      <c r="AE1537">
        <v>81.42</v>
      </c>
      <c r="AF1537">
        <v>53.58</v>
      </c>
      <c r="AG1537">
        <v>2024</v>
      </c>
      <c r="AH1537">
        <v>7</v>
      </c>
      <c r="AI1537" t="s">
        <v>2307</v>
      </c>
      <c r="AJ1537" t="s">
        <v>2316</v>
      </c>
    </row>
    <row r="1538" spans="1:36" x14ac:dyDescent="0.3">
      <c r="A1538" t="s">
        <v>1572</v>
      </c>
      <c r="B1538" s="2">
        <v>45359</v>
      </c>
      <c r="C1538" t="s">
        <v>1659</v>
      </c>
      <c r="D1538" t="s">
        <v>1920</v>
      </c>
      <c r="E1538" t="s">
        <v>2055</v>
      </c>
      <c r="F1538" t="s">
        <v>2240</v>
      </c>
      <c r="G1538" t="s">
        <v>2246</v>
      </c>
      <c r="H1538" t="s">
        <v>2259</v>
      </c>
      <c r="I1538" t="s">
        <v>2262</v>
      </c>
      <c r="J1538" t="s">
        <v>2265</v>
      </c>
      <c r="K1538">
        <v>1</v>
      </c>
      <c r="L1538">
        <v>100</v>
      </c>
      <c r="M1538">
        <v>0.15</v>
      </c>
      <c r="N1538">
        <v>100</v>
      </c>
      <c r="O1538">
        <v>85</v>
      </c>
      <c r="P1538" t="s">
        <v>2267</v>
      </c>
      <c r="R1538" t="s">
        <v>2279</v>
      </c>
      <c r="S1538" t="s">
        <v>2286</v>
      </c>
      <c r="T1538" t="s">
        <v>2288</v>
      </c>
      <c r="U1538">
        <v>1</v>
      </c>
      <c r="V1538">
        <v>38</v>
      </c>
      <c r="X1538">
        <v>38.020000000000003</v>
      </c>
      <c r="Y1538">
        <v>46.98</v>
      </c>
      <c r="Z1538" t="s">
        <v>2293</v>
      </c>
      <c r="AA1538" t="s">
        <v>2296</v>
      </c>
      <c r="AB1538">
        <v>100</v>
      </c>
      <c r="AC1538">
        <v>15</v>
      </c>
      <c r="AD1538">
        <v>85</v>
      </c>
      <c r="AE1538">
        <v>38.020000000000003</v>
      </c>
      <c r="AF1538">
        <v>46.98</v>
      </c>
      <c r="AG1538">
        <v>2024</v>
      </c>
      <c r="AH1538">
        <v>3</v>
      </c>
      <c r="AI1538" t="s">
        <v>2305</v>
      </c>
      <c r="AJ1538" t="s">
        <v>2315</v>
      </c>
    </row>
    <row r="1539" spans="1:36" x14ac:dyDescent="0.3">
      <c r="A1539" t="s">
        <v>1573</v>
      </c>
      <c r="B1539" s="2">
        <v>45419</v>
      </c>
      <c r="C1539" t="s">
        <v>1647</v>
      </c>
      <c r="D1539" t="s">
        <v>1783</v>
      </c>
      <c r="E1539" t="s">
        <v>1761</v>
      </c>
      <c r="F1539" t="s">
        <v>1761</v>
      </c>
      <c r="G1539" t="s">
        <v>2245</v>
      </c>
      <c r="H1539" t="s">
        <v>2257</v>
      </c>
      <c r="I1539" t="s">
        <v>2263</v>
      </c>
      <c r="J1539" t="s">
        <v>2264</v>
      </c>
      <c r="K1539">
        <v>2</v>
      </c>
      <c r="L1539">
        <v>160</v>
      </c>
      <c r="M1539">
        <v>0.1</v>
      </c>
      <c r="N1539">
        <v>320</v>
      </c>
      <c r="O1539">
        <v>288</v>
      </c>
      <c r="P1539" t="s">
        <v>2267</v>
      </c>
      <c r="Q1539" t="s">
        <v>2270</v>
      </c>
      <c r="R1539" t="s">
        <v>2273</v>
      </c>
      <c r="S1539" t="s">
        <v>2282</v>
      </c>
      <c r="T1539" t="s">
        <v>2288</v>
      </c>
      <c r="U1539">
        <v>5</v>
      </c>
      <c r="W1539">
        <v>10</v>
      </c>
      <c r="X1539">
        <v>74.47</v>
      </c>
      <c r="Y1539">
        <v>139.06</v>
      </c>
      <c r="Z1539" t="s">
        <v>2294</v>
      </c>
      <c r="AA1539" t="s">
        <v>1761</v>
      </c>
      <c r="AB1539">
        <v>320</v>
      </c>
      <c r="AC1539">
        <v>32</v>
      </c>
      <c r="AD1539">
        <v>288</v>
      </c>
      <c r="AE1539">
        <v>148.94</v>
      </c>
      <c r="AF1539">
        <v>139.06</v>
      </c>
      <c r="AG1539">
        <v>2024</v>
      </c>
      <c r="AH1539">
        <v>5</v>
      </c>
      <c r="AI1539" t="s">
        <v>2306</v>
      </c>
      <c r="AJ1539" t="s">
        <v>2313</v>
      </c>
    </row>
    <row r="1540" spans="1:36" x14ac:dyDescent="0.3">
      <c r="A1540" t="s">
        <v>1574</v>
      </c>
      <c r="B1540" s="2">
        <v>45315</v>
      </c>
      <c r="C1540" t="s">
        <v>1740</v>
      </c>
      <c r="D1540" t="s">
        <v>1862</v>
      </c>
      <c r="E1540" t="s">
        <v>1761</v>
      </c>
      <c r="F1540" t="s">
        <v>2239</v>
      </c>
      <c r="G1540" t="s">
        <v>2247</v>
      </c>
      <c r="H1540" t="s">
        <v>2257</v>
      </c>
      <c r="I1540" t="s">
        <v>2262</v>
      </c>
      <c r="J1540" t="s">
        <v>2266</v>
      </c>
      <c r="K1540">
        <v>2</v>
      </c>
      <c r="L1540">
        <v>110</v>
      </c>
      <c r="N1540">
        <v>220</v>
      </c>
      <c r="P1540" t="s">
        <v>2269</v>
      </c>
      <c r="R1540" t="s">
        <v>2273</v>
      </c>
      <c r="S1540" t="s">
        <v>2283</v>
      </c>
      <c r="T1540" t="s">
        <v>2288</v>
      </c>
      <c r="U1540">
        <v>1</v>
      </c>
      <c r="V1540">
        <v>426</v>
      </c>
      <c r="X1540">
        <v>58.84</v>
      </c>
      <c r="Z1540" t="s">
        <v>1761</v>
      </c>
      <c r="AA1540" t="s">
        <v>1761</v>
      </c>
      <c r="AB1540">
        <v>220</v>
      </c>
      <c r="AC1540">
        <v>0</v>
      </c>
      <c r="AD1540">
        <v>220</v>
      </c>
      <c r="AE1540">
        <v>117.68</v>
      </c>
      <c r="AF1540">
        <v>102.32</v>
      </c>
      <c r="AG1540">
        <v>2024</v>
      </c>
      <c r="AH1540">
        <v>1</v>
      </c>
      <c r="AI1540" t="s">
        <v>2302</v>
      </c>
      <c r="AJ1540" t="s">
        <v>2312</v>
      </c>
    </row>
    <row r="1541" spans="1:36" x14ac:dyDescent="0.3">
      <c r="A1541" t="s">
        <v>1575</v>
      </c>
      <c r="B1541" s="2">
        <v>45458</v>
      </c>
      <c r="C1541" t="s">
        <v>1646</v>
      </c>
      <c r="D1541" t="s">
        <v>1910</v>
      </c>
      <c r="E1541" t="s">
        <v>2233</v>
      </c>
      <c r="F1541" t="s">
        <v>2238</v>
      </c>
      <c r="G1541" t="s">
        <v>2247</v>
      </c>
      <c r="H1541" t="s">
        <v>2257</v>
      </c>
      <c r="I1541" t="s">
        <v>2262</v>
      </c>
      <c r="J1541" t="s">
        <v>2265</v>
      </c>
      <c r="K1541">
        <v>3</v>
      </c>
      <c r="L1541">
        <v>100</v>
      </c>
      <c r="M1541">
        <v>0</v>
      </c>
      <c r="N1541">
        <v>300</v>
      </c>
      <c r="O1541">
        <v>300</v>
      </c>
      <c r="P1541" t="s">
        <v>2267</v>
      </c>
      <c r="Q1541" t="s">
        <v>2270</v>
      </c>
      <c r="R1541" t="s">
        <v>2276</v>
      </c>
      <c r="S1541" t="s">
        <v>2284</v>
      </c>
      <c r="T1541" t="s">
        <v>2288</v>
      </c>
      <c r="U1541">
        <v>4</v>
      </c>
      <c r="V1541">
        <v>0</v>
      </c>
      <c r="W1541">
        <v>29</v>
      </c>
      <c r="X1541">
        <v>41.08</v>
      </c>
      <c r="Y1541">
        <v>176.76</v>
      </c>
      <c r="Z1541" t="s">
        <v>1761</v>
      </c>
      <c r="AA1541" t="s">
        <v>2297</v>
      </c>
      <c r="AB1541">
        <v>300</v>
      </c>
      <c r="AC1541">
        <v>0</v>
      </c>
      <c r="AD1541">
        <v>300</v>
      </c>
      <c r="AE1541">
        <v>123.24</v>
      </c>
      <c r="AF1541">
        <v>176.76</v>
      </c>
      <c r="AG1541">
        <v>2024</v>
      </c>
      <c r="AH1541">
        <v>6</v>
      </c>
      <c r="AI1541" t="s">
        <v>2304</v>
      </c>
      <c r="AJ1541" t="s">
        <v>2317</v>
      </c>
    </row>
    <row r="1542" spans="1:36" x14ac:dyDescent="0.3">
      <c r="A1542" t="s">
        <v>1576</v>
      </c>
      <c r="B1542" s="2">
        <v>45468</v>
      </c>
      <c r="C1542" t="s">
        <v>1644</v>
      </c>
      <c r="D1542" t="s">
        <v>1751</v>
      </c>
      <c r="E1542" t="s">
        <v>2154</v>
      </c>
      <c r="F1542" t="s">
        <v>2240</v>
      </c>
      <c r="G1542" t="s">
        <v>2243</v>
      </c>
      <c r="H1542" t="s">
        <v>2258</v>
      </c>
      <c r="I1542" t="s">
        <v>2260</v>
      </c>
      <c r="K1542">
        <v>2</v>
      </c>
      <c r="L1542">
        <v>80</v>
      </c>
      <c r="M1542">
        <v>0.1</v>
      </c>
      <c r="N1542">
        <v>160</v>
      </c>
      <c r="O1542">
        <v>144</v>
      </c>
      <c r="P1542" t="s">
        <v>2269</v>
      </c>
      <c r="Q1542" t="s">
        <v>2271</v>
      </c>
      <c r="R1542" t="s">
        <v>2278</v>
      </c>
      <c r="S1542" t="s">
        <v>2281</v>
      </c>
      <c r="T1542" t="s">
        <v>2288</v>
      </c>
      <c r="U1542">
        <v>1</v>
      </c>
      <c r="V1542">
        <v>92</v>
      </c>
      <c r="X1542">
        <v>37.94</v>
      </c>
      <c r="Y1542">
        <v>68.12</v>
      </c>
      <c r="Z1542" t="s">
        <v>2293</v>
      </c>
      <c r="AA1542" t="s">
        <v>2296</v>
      </c>
      <c r="AB1542">
        <v>160</v>
      </c>
      <c r="AC1542">
        <v>16</v>
      </c>
      <c r="AD1542">
        <v>144</v>
      </c>
      <c r="AE1542">
        <v>75.88</v>
      </c>
      <c r="AF1542">
        <v>68.12</v>
      </c>
      <c r="AG1542">
        <v>2024</v>
      </c>
      <c r="AH1542">
        <v>6</v>
      </c>
      <c r="AI1542" t="s">
        <v>2304</v>
      </c>
      <c r="AJ1542" t="s">
        <v>2313</v>
      </c>
    </row>
    <row r="1543" spans="1:36" x14ac:dyDescent="0.3">
      <c r="A1543" t="s">
        <v>1577</v>
      </c>
      <c r="B1543" s="2">
        <v>45308</v>
      </c>
      <c r="C1543" t="s">
        <v>1705</v>
      </c>
      <c r="D1543" t="s">
        <v>1822</v>
      </c>
      <c r="E1543" t="s">
        <v>1963</v>
      </c>
      <c r="F1543" t="s">
        <v>2239</v>
      </c>
      <c r="G1543" t="s">
        <v>2246</v>
      </c>
      <c r="H1543" t="s">
        <v>2259</v>
      </c>
      <c r="I1543" t="s">
        <v>2262</v>
      </c>
      <c r="J1543" t="s">
        <v>2264</v>
      </c>
      <c r="K1543">
        <v>1</v>
      </c>
      <c r="L1543">
        <v>105</v>
      </c>
      <c r="M1543">
        <v>0.15</v>
      </c>
      <c r="N1543">
        <v>105</v>
      </c>
      <c r="O1543">
        <v>89.25</v>
      </c>
      <c r="P1543" t="s">
        <v>2267</v>
      </c>
      <c r="Q1543" t="s">
        <v>2272</v>
      </c>
      <c r="R1543" t="s">
        <v>2275</v>
      </c>
      <c r="S1543" t="s">
        <v>2286</v>
      </c>
      <c r="T1543" t="s">
        <v>2288</v>
      </c>
      <c r="U1543">
        <v>4</v>
      </c>
      <c r="V1543">
        <v>0</v>
      </c>
      <c r="W1543">
        <v>30</v>
      </c>
      <c r="X1543">
        <v>40.9</v>
      </c>
      <c r="Y1543">
        <v>48.35</v>
      </c>
      <c r="Z1543" t="s">
        <v>2293</v>
      </c>
      <c r="AA1543" t="s">
        <v>2299</v>
      </c>
      <c r="AB1543">
        <v>105</v>
      </c>
      <c r="AC1543">
        <v>15.75</v>
      </c>
      <c r="AD1543">
        <v>89.25</v>
      </c>
      <c r="AE1543">
        <v>40.9</v>
      </c>
      <c r="AF1543">
        <v>48.35</v>
      </c>
      <c r="AG1543">
        <v>2024</v>
      </c>
      <c r="AH1543">
        <v>1</v>
      </c>
      <c r="AI1543" t="s">
        <v>2302</v>
      </c>
      <c r="AJ1543" t="s">
        <v>2312</v>
      </c>
    </row>
    <row r="1544" spans="1:36" x14ac:dyDescent="0.3">
      <c r="A1544" t="s">
        <v>1578</v>
      </c>
      <c r="B1544" s="2">
        <v>45352</v>
      </c>
      <c r="C1544" t="s">
        <v>1668</v>
      </c>
      <c r="D1544" t="s">
        <v>1927</v>
      </c>
      <c r="E1544" t="s">
        <v>2123</v>
      </c>
      <c r="F1544" t="s">
        <v>2239</v>
      </c>
      <c r="G1544" t="s">
        <v>2243</v>
      </c>
      <c r="H1544" t="s">
        <v>2258</v>
      </c>
      <c r="I1544" t="s">
        <v>2260</v>
      </c>
      <c r="K1544">
        <v>1</v>
      </c>
      <c r="L1544">
        <v>80</v>
      </c>
      <c r="M1544">
        <v>0.1</v>
      </c>
      <c r="N1544">
        <v>80</v>
      </c>
      <c r="O1544">
        <v>72</v>
      </c>
      <c r="P1544" t="s">
        <v>2267</v>
      </c>
      <c r="Q1544" t="s">
        <v>2270</v>
      </c>
      <c r="R1544" t="s">
        <v>2275</v>
      </c>
      <c r="S1544" t="s">
        <v>2282</v>
      </c>
      <c r="T1544" t="s">
        <v>2288</v>
      </c>
      <c r="V1544">
        <v>225</v>
      </c>
      <c r="W1544">
        <v>14</v>
      </c>
      <c r="X1544">
        <v>39.979999999999997</v>
      </c>
      <c r="Y1544">
        <v>32.020000000000003</v>
      </c>
      <c r="Z1544" t="s">
        <v>2293</v>
      </c>
      <c r="AA1544" t="s">
        <v>2296</v>
      </c>
      <c r="AB1544">
        <v>80</v>
      </c>
      <c r="AC1544">
        <v>8</v>
      </c>
      <c r="AD1544">
        <v>72</v>
      </c>
      <c r="AE1544">
        <v>39.979999999999997</v>
      </c>
      <c r="AF1544">
        <v>32.020000000000003</v>
      </c>
      <c r="AG1544">
        <v>2024</v>
      </c>
      <c r="AH1544">
        <v>3</v>
      </c>
      <c r="AI1544" t="s">
        <v>2305</v>
      </c>
      <c r="AJ1544" t="s">
        <v>2315</v>
      </c>
    </row>
    <row r="1545" spans="1:36" x14ac:dyDescent="0.3">
      <c r="A1545" t="s">
        <v>1579</v>
      </c>
      <c r="B1545" s="2">
        <v>45303</v>
      </c>
      <c r="C1545" t="s">
        <v>1678</v>
      </c>
      <c r="D1545" t="s">
        <v>1864</v>
      </c>
      <c r="E1545" t="s">
        <v>2152</v>
      </c>
      <c r="F1545" t="s">
        <v>2240</v>
      </c>
      <c r="G1545" t="s">
        <v>2250</v>
      </c>
      <c r="H1545" t="s">
        <v>2259</v>
      </c>
      <c r="I1545" t="s">
        <v>2262</v>
      </c>
      <c r="J1545" t="s">
        <v>2266</v>
      </c>
      <c r="K1545">
        <v>2</v>
      </c>
      <c r="L1545">
        <v>80</v>
      </c>
      <c r="N1545">
        <v>160</v>
      </c>
      <c r="P1545" t="s">
        <v>2267</v>
      </c>
      <c r="Q1545" t="s">
        <v>2272</v>
      </c>
      <c r="R1545" t="s">
        <v>2274</v>
      </c>
      <c r="S1545" t="s">
        <v>2286</v>
      </c>
      <c r="T1545" t="s">
        <v>2288</v>
      </c>
      <c r="U1545">
        <v>5</v>
      </c>
      <c r="V1545">
        <v>440</v>
      </c>
      <c r="W1545">
        <v>45</v>
      </c>
      <c r="X1545">
        <v>44.31</v>
      </c>
      <c r="Z1545" t="s">
        <v>1761</v>
      </c>
      <c r="AA1545" t="s">
        <v>2298</v>
      </c>
      <c r="AB1545">
        <v>160</v>
      </c>
      <c r="AC1545">
        <v>0</v>
      </c>
      <c r="AD1545">
        <v>160</v>
      </c>
      <c r="AE1545">
        <v>88.62</v>
      </c>
      <c r="AF1545">
        <v>71.38</v>
      </c>
      <c r="AG1545">
        <v>2024</v>
      </c>
      <c r="AH1545">
        <v>1</v>
      </c>
      <c r="AI1545" t="s">
        <v>2302</v>
      </c>
      <c r="AJ1545" t="s">
        <v>2315</v>
      </c>
    </row>
    <row r="1546" spans="1:36" x14ac:dyDescent="0.3">
      <c r="A1546" t="s">
        <v>1580</v>
      </c>
      <c r="B1546" s="2">
        <v>45322</v>
      </c>
      <c r="C1546" t="s">
        <v>1729</v>
      </c>
      <c r="D1546" t="s">
        <v>1873</v>
      </c>
      <c r="E1546" t="s">
        <v>2117</v>
      </c>
      <c r="F1546" t="s">
        <v>2238</v>
      </c>
      <c r="G1546" t="s">
        <v>2254</v>
      </c>
      <c r="H1546" t="s">
        <v>2259</v>
      </c>
      <c r="I1546" t="s">
        <v>2263</v>
      </c>
      <c r="J1546" t="s">
        <v>2265</v>
      </c>
      <c r="K1546">
        <v>2</v>
      </c>
      <c r="L1546">
        <v>105</v>
      </c>
      <c r="M1546">
        <v>0</v>
      </c>
      <c r="N1546">
        <v>210</v>
      </c>
      <c r="O1546">
        <v>210</v>
      </c>
      <c r="P1546" t="s">
        <v>2269</v>
      </c>
      <c r="R1546" t="s">
        <v>2277</v>
      </c>
      <c r="S1546" t="s">
        <v>2282</v>
      </c>
      <c r="T1546" t="s">
        <v>2289</v>
      </c>
      <c r="U1546">
        <v>4</v>
      </c>
      <c r="V1546">
        <v>335</v>
      </c>
      <c r="X1546">
        <v>60.44</v>
      </c>
      <c r="Y1546">
        <v>89.12</v>
      </c>
      <c r="Z1546" t="s">
        <v>2293</v>
      </c>
      <c r="AA1546" t="s">
        <v>2297</v>
      </c>
      <c r="AB1546">
        <v>210</v>
      </c>
      <c r="AC1546">
        <v>0</v>
      </c>
      <c r="AD1546">
        <v>210</v>
      </c>
      <c r="AE1546">
        <v>120.88</v>
      </c>
      <c r="AF1546">
        <v>89.12</v>
      </c>
      <c r="AG1546">
        <v>2024</v>
      </c>
      <c r="AH1546">
        <v>1</v>
      </c>
      <c r="AI1546" t="s">
        <v>2302</v>
      </c>
      <c r="AJ1546" t="s">
        <v>2312</v>
      </c>
    </row>
    <row r="1547" spans="1:36" x14ac:dyDescent="0.3">
      <c r="A1547" t="s">
        <v>1581</v>
      </c>
      <c r="B1547" s="2">
        <v>45632</v>
      </c>
      <c r="C1547" t="s">
        <v>1694</v>
      </c>
      <c r="D1547" t="s">
        <v>1856</v>
      </c>
      <c r="E1547" t="s">
        <v>2033</v>
      </c>
      <c r="F1547" t="s">
        <v>2240</v>
      </c>
      <c r="G1547" t="s">
        <v>2245</v>
      </c>
      <c r="H1547" t="s">
        <v>2257</v>
      </c>
      <c r="I1547" t="s">
        <v>2263</v>
      </c>
      <c r="K1547">
        <v>2</v>
      </c>
      <c r="L1547">
        <v>160</v>
      </c>
      <c r="M1547">
        <v>0.15</v>
      </c>
      <c r="N1547">
        <v>320</v>
      </c>
      <c r="O1547">
        <v>272</v>
      </c>
      <c r="P1547" t="s">
        <v>2269</v>
      </c>
      <c r="Q1547" t="s">
        <v>2272</v>
      </c>
      <c r="R1547" t="s">
        <v>2273</v>
      </c>
      <c r="S1547" t="s">
        <v>2286</v>
      </c>
      <c r="T1547" t="s">
        <v>2288</v>
      </c>
      <c r="U1547">
        <v>1</v>
      </c>
      <c r="V1547">
        <v>305</v>
      </c>
      <c r="W1547">
        <v>11</v>
      </c>
      <c r="X1547">
        <v>87.28</v>
      </c>
      <c r="Y1547">
        <v>97.44</v>
      </c>
      <c r="Z1547" t="s">
        <v>2294</v>
      </c>
      <c r="AA1547" t="s">
        <v>2298</v>
      </c>
      <c r="AB1547">
        <v>320</v>
      </c>
      <c r="AC1547">
        <v>48</v>
      </c>
      <c r="AD1547">
        <v>272</v>
      </c>
      <c r="AE1547">
        <v>174.56</v>
      </c>
      <c r="AF1547">
        <v>97.44</v>
      </c>
      <c r="AG1547">
        <v>2024</v>
      </c>
      <c r="AH1547">
        <v>12</v>
      </c>
      <c r="AI1547" t="s">
        <v>2309</v>
      </c>
      <c r="AJ1547" t="s">
        <v>2315</v>
      </c>
    </row>
    <row r="1548" spans="1:36" x14ac:dyDescent="0.3">
      <c r="A1548" t="s">
        <v>1582</v>
      </c>
      <c r="B1548" s="2">
        <v>45292</v>
      </c>
      <c r="C1548" t="s">
        <v>1659</v>
      </c>
      <c r="D1548" t="s">
        <v>1925</v>
      </c>
      <c r="E1548" t="s">
        <v>2128</v>
      </c>
      <c r="F1548" t="s">
        <v>2239</v>
      </c>
      <c r="G1548" t="s">
        <v>2247</v>
      </c>
      <c r="H1548" t="s">
        <v>2257</v>
      </c>
      <c r="I1548" t="s">
        <v>2262</v>
      </c>
      <c r="J1548" t="s">
        <v>2266</v>
      </c>
      <c r="K1548">
        <v>4</v>
      </c>
      <c r="L1548">
        <v>95</v>
      </c>
      <c r="M1548">
        <v>0.1</v>
      </c>
      <c r="N1548">
        <v>380</v>
      </c>
      <c r="O1548">
        <v>342</v>
      </c>
      <c r="P1548" t="s">
        <v>2267</v>
      </c>
      <c r="Q1548" t="s">
        <v>2272</v>
      </c>
      <c r="R1548" t="s">
        <v>2277</v>
      </c>
      <c r="S1548" t="s">
        <v>2282</v>
      </c>
      <c r="T1548" t="s">
        <v>2289</v>
      </c>
      <c r="U1548">
        <v>3</v>
      </c>
      <c r="V1548">
        <v>232</v>
      </c>
      <c r="W1548">
        <v>43</v>
      </c>
      <c r="X1548">
        <v>43.04</v>
      </c>
      <c r="Y1548">
        <v>169.84</v>
      </c>
      <c r="Z1548" t="s">
        <v>2293</v>
      </c>
      <c r="AA1548" t="s">
        <v>2298</v>
      </c>
      <c r="AB1548">
        <v>380</v>
      </c>
      <c r="AC1548">
        <v>38</v>
      </c>
      <c r="AD1548">
        <v>342</v>
      </c>
      <c r="AE1548">
        <v>172.16</v>
      </c>
      <c r="AF1548">
        <v>169.84</v>
      </c>
      <c r="AG1548">
        <v>2024</v>
      </c>
      <c r="AH1548">
        <v>1</v>
      </c>
      <c r="AI1548" t="s">
        <v>2302</v>
      </c>
      <c r="AJ1548" t="s">
        <v>2314</v>
      </c>
    </row>
    <row r="1549" spans="1:36" x14ac:dyDescent="0.3">
      <c r="A1549" t="s">
        <v>1583</v>
      </c>
      <c r="B1549" s="2">
        <v>45296</v>
      </c>
      <c r="C1549" t="s">
        <v>1739</v>
      </c>
      <c r="D1549" t="s">
        <v>1845</v>
      </c>
      <c r="E1549" t="s">
        <v>2185</v>
      </c>
      <c r="F1549" t="s">
        <v>1761</v>
      </c>
      <c r="G1549" t="s">
        <v>2245</v>
      </c>
      <c r="H1549" t="s">
        <v>2257</v>
      </c>
      <c r="I1549" t="s">
        <v>2263</v>
      </c>
      <c r="J1549" t="s">
        <v>2266</v>
      </c>
      <c r="K1549">
        <v>1</v>
      </c>
      <c r="L1549">
        <v>150</v>
      </c>
      <c r="M1549">
        <v>0</v>
      </c>
      <c r="N1549">
        <v>150</v>
      </c>
      <c r="O1549">
        <v>150</v>
      </c>
      <c r="P1549" t="s">
        <v>2267</v>
      </c>
      <c r="Q1549" t="s">
        <v>2272</v>
      </c>
      <c r="R1549" t="s">
        <v>2275</v>
      </c>
      <c r="S1549" t="s">
        <v>2287</v>
      </c>
      <c r="T1549" t="s">
        <v>2288</v>
      </c>
      <c r="U1549">
        <v>5</v>
      </c>
      <c r="W1549">
        <v>29</v>
      </c>
      <c r="X1549">
        <v>82.03</v>
      </c>
      <c r="Y1549">
        <v>67.97</v>
      </c>
      <c r="Z1549" t="s">
        <v>2292</v>
      </c>
      <c r="AA1549" t="s">
        <v>2296</v>
      </c>
      <c r="AB1549">
        <v>150</v>
      </c>
      <c r="AC1549">
        <v>0</v>
      </c>
      <c r="AD1549">
        <v>150</v>
      </c>
      <c r="AE1549">
        <v>82.03</v>
      </c>
      <c r="AF1549">
        <v>67.97</v>
      </c>
      <c r="AG1549">
        <v>2024</v>
      </c>
      <c r="AH1549">
        <v>1</v>
      </c>
      <c r="AI1549" t="s">
        <v>2302</v>
      </c>
      <c r="AJ1549" t="s">
        <v>2315</v>
      </c>
    </row>
    <row r="1550" spans="1:36" x14ac:dyDescent="0.3">
      <c r="A1550" t="s">
        <v>1584</v>
      </c>
      <c r="B1550" s="2">
        <v>45368</v>
      </c>
      <c r="C1550" t="s">
        <v>1644</v>
      </c>
      <c r="D1550" t="s">
        <v>1913</v>
      </c>
      <c r="E1550" t="s">
        <v>2152</v>
      </c>
      <c r="F1550" t="s">
        <v>2238</v>
      </c>
      <c r="G1550" t="s">
        <v>2255</v>
      </c>
      <c r="H1550" t="s">
        <v>2260</v>
      </c>
      <c r="I1550" t="s">
        <v>2260</v>
      </c>
      <c r="J1550" t="s">
        <v>2265</v>
      </c>
      <c r="K1550">
        <v>1</v>
      </c>
      <c r="L1550">
        <v>180</v>
      </c>
      <c r="M1550">
        <v>0.05</v>
      </c>
      <c r="N1550">
        <v>180</v>
      </c>
      <c r="O1550">
        <v>171</v>
      </c>
      <c r="R1550" t="s">
        <v>2277</v>
      </c>
      <c r="S1550" t="s">
        <v>2282</v>
      </c>
      <c r="T1550" t="s">
        <v>2288</v>
      </c>
      <c r="U1550">
        <v>5</v>
      </c>
      <c r="V1550">
        <v>204</v>
      </c>
      <c r="X1550">
        <v>100.02</v>
      </c>
      <c r="Y1550">
        <v>70.98</v>
      </c>
      <c r="Z1550" t="s">
        <v>2293</v>
      </c>
      <c r="AA1550" t="s">
        <v>2299</v>
      </c>
      <c r="AB1550">
        <v>180</v>
      </c>
      <c r="AC1550">
        <v>9</v>
      </c>
      <c r="AD1550">
        <v>171</v>
      </c>
      <c r="AE1550">
        <v>100.02</v>
      </c>
      <c r="AF1550">
        <v>70.98</v>
      </c>
      <c r="AG1550">
        <v>2024</v>
      </c>
      <c r="AH1550">
        <v>3</v>
      </c>
      <c r="AI1550" t="s">
        <v>2305</v>
      </c>
      <c r="AJ1550" t="s">
        <v>2318</v>
      </c>
    </row>
    <row r="1551" spans="1:36" x14ac:dyDescent="0.3">
      <c r="A1551" t="s">
        <v>1585</v>
      </c>
      <c r="B1551" s="2">
        <v>45341</v>
      </c>
      <c r="C1551" t="s">
        <v>1704</v>
      </c>
      <c r="D1551" t="s">
        <v>1784</v>
      </c>
      <c r="E1551" t="s">
        <v>2129</v>
      </c>
      <c r="F1551" t="s">
        <v>2239</v>
      </c>
      <c r="G1551" t="s">
        <v>2249</v>
      </c>
      <c r="H1551" t="s">
        <v>2257</v>
      </c>
      <c r="I1551" t="s">
        <v>2263</v>
      </c>
      <c r="J1551" t="s">
        <v>2266</v>
      </c>
      <c r="K1551">
        <v>2</v>
      </c>
      <c r="L1551">
        <v>165</v>
      </c>
      <c r="M1551">
        <v>0.15</v>
      </c>
      <c r="N1551">
        <v>330</v>
      </c>
      <c r="O1551">
        <v>280.5</v>
      </c>
      <c r="P1551" t="s">
        <v>2267</v>
      </c>
      <c r="Q1551" t="s">
        <v>2272</v>
      </c>
      <c r="R1551" t="s">
        <v>2278</v>
      </c>
      <c r="S1551" t="s">
        <v>2285</v>
      </c>
      <c r="T1551" t="s">
        <v>2288</v>
      </c>
      <c r="U1551">
        <v>4</v>
      </c>
      <c r="V1551">
        <v>10</v>
      </c>
      <c r="W1551">
        <v>39</v>
      </c>
      <c r="X1551">
        <v>66.14</v>
      </c>
      <c r="Y1551">
        <v>148.22</v>
      </c>
      <c r="Z1551" t="s">
        <v>2293</v>
      </c>
      <c r="AA1551" t="s">
        <v>2298</v>
      </c>
      <c r="AB1551">
        <v>330</v>
      </c>
      <c r="AC1551">
        <v>49.5</v>
      </c>
      <c r="AD1551">
        <v>280.5</v>
      </c>
      <c r="AE1551">
        <v>132.28</v>
      </c>
      <c r="AF1551">
        <v>148.22</v>
      </c>
      <c r="AG1551">
        <v>2024</v>
      </c>
      <c r="AH1551">
        <v>2</v>
      </c>
      <c r="AI1551" t="s">
        <v>2303</v>
      </c>
      <c r="AJ1551" t="s">
        <v>2314</v>
      </c>
    </row>
    <row r="1552" spans="1:36" x14ac:dyDescent="0.3">
      <c r="A1552" t="s">
        <v>1586</v>
      </c>
      <c r="C1552" t="s">
        <v>1710</v>
      </c>
      <c r="D1552" t="s">
        <v>1830</v>
      </c>
      <c r="E1552" t="s">
        <v>2197</v>
      </c>
      <c r="F1552" t="s">
        <v>2239</v>
      </c>
      <c r="G1552" t="s">
        <v>2252</v>
      </c>
      <c r="H1552" t="s">
        <v>2257</v>
      </c>
      <c r="I1552" t="s">
        <v>2262</v>
      </c>
      <c r="J1552" t="s">
        <v>2264</v>
      </c>
      <c r="K1552">
        <v>1</v>
      </c>
      <c r="L1552">
        <v>90</v>
      </c>
      <c r="M1552">
        <v>0</v>
      </c>
      <c r="N1552">
        <v>90</v>
      </c>
      <c r="O1552">
        <v>90</v>
      </c>
      <c r="R1552" t="s">
        <v>2273</v>
      </c>
      <c r="S1552" t="s">
        <v>2286</v>
      </c>
      <c r="T1552" t="s">
        <v>2288</v>
      </c>
      <c r="V1552">
        <v>363</v>
      </c>
      <c r="W1552">
        <v>12</v>
      </c>
      <c r="X1552">
        <v>50.35</v>
      </c>
      <c r="Y1552">
        <v>39.65</v>
      </c>
      <c r="Z1552" t="s">
        <v>2293</v>
      </c>
      <c r="AA1552" t="s">
        <v>2296</v>
      </c>
      <c r="AB1552">
        <v>90</v>
      </c>
      <c r="AC1552">
        <v>0</v>
      </c>
      <c r="AD1552">
        <v>90</v>
      </c>
      <c r="AE1552">
        <v>50.35</v>
      </c>
      <c r="AF1552">
        <v>39.65</v>
      </c>
    </row>
    <row r="1553" spans="1:36" x14ac:dyDescent="0.3">
      <c r="A1553" t="s">
        <v>1587</v>
      </c>
      <c r="B1553" s="2">
        <v>45507</v>
      </c>
      <c r="C1553" t="s">
        <v>1700</v>
      </c>
      <c r="D1553" t="s">
        <v>1907</v>
      </c>
      <c r="E1553" t="s">
        <v>2060</v>
      </c>
      <c r="F1553" t="s">
        <v>2240</v>
      </c>
      <c r="G1553" t="s">
        <v>2246</v>
      </c>
      <c r="H1553" t="s">
        <v>2259</v>
      </c>
      <c r="I1553" t="s">
        <v>2262</v>
      </c>
      <c r="J1553" t="s">
        <v>2265</v>
      </c>
      <c r="K1553">
        <v>2</v>
      </c>
      <c r="L1553">
        <v>100</v>
      </c>
      <c r="M1553">
        <v>0.05</v>
      </c>
      <c r="N1553">
        <v>200</v>
      </c>
      <c r="O1553">
        <v>190</v>
      </c>
      <c r="P1553" t="s">
        <v>2267</v>
      </c>
      <c r="Q1553" t="s">
        <v>2272</v>
      </c>
      <c r="R1553" t="s">
        <v>2276</v>
      </c>
      <c r="S1553" t="s">
        <v>2281</v>
      </c>
      <c r="T1553" t="s">
        <v>2288</v>
      </c>
      <c r="U1553">
        <v>4</v>
      </c>
      <c r="V1553">
        <v>18</v>
      </c>
      <c r="X1553">
        <v>44.15</v>
      </c>
      <c r="Y1553">
        <v>101.7</v>
      </c>
      <c r="Z1553" t="s">
        <v>2291</v>
      </c>
      <c r="AA1553" t="s">
        <v>1761</v>
      </c>
      <c r="AB1553">
        <v>200</v>
      </c>
      <c r="AC1553">
        <v>10</v>
      </c>
      <c r="AD1553">
        <v>190</v>
      </c>
      <c r="AE1553">
        <v>88.3</v>
      </c>
      <c r="AF1553">
        <v>101.7</v>
      </c>
      <c r="AG1553">
        <v>2024</v>
      </c>
      <c r="AH1553">
        <v>8</v>
      </c>
      <c r="AI1553" t="s">
        <v>2301</v>
      </c>
      <c r="AJ1553" t="s">
        <v>2317</v>
      </c>
    </row>
    <row r="1554" spans="1:36" x14ac:dyDescent="0.3">
      <c r="A1554" t="s">
        <v>1588</v>
      </c>
      <c r="B1554" s="2">
        <v>45385</v>
      </c>
      <c r="C1554" t="s">
        <v>1679</v>
      </c>
      <c r="D1554" t="s">
        <v>1885</v>
      </c>
      <c r="E1554" t="s">
        <v>2102</v>
      </c>
      <c r="F1554" t="s">
        <v>2240</v>
      </c>
      <c r="G1554" t="s">
        <v>2244</v>
      </c>
      <c r="H1554" t="s">
        <v>2257</v>
      </c>
      <c r="I1554" t="s">
        <v>2262</v>
      </c>
      <c r="J1554" t="s">
        <v>2266</v>
      </c>
      <c r="K1554">
        <v>3</v>
      </c>
      <c r="L1554">
        <v>120</v>
      </c>
      <c r="N1554">
        <v>360</v>
      </c>
      <c r="P1554" t="s">
        <v>2269</v>
      </c>
      <c r="Q1554" t="s">
        <v>2272</v>
      </c>
      <c r="R1554" t="s">
        <v>2276</v>
      </c>
      <c r="S1554" t="s">
        <v>2282</v>
      </c>
      <c r="T1554" t="s">
        <v>2288</v>
      </c>
      <c r="U1554">
        <v>2</v>
      </c>
      <c r="V1554">
        <v>202</v>
      </c>
      <c r="W1554">
        <v>46</v>
      </c>
      <c r="X1554">
        <v>54.57</v>
      </c>
      <c r="Z1554" t="s">
        <v>2293</v>
      </c>
      <c r="AA1554" t="s">
        <v>1761</v>
      </c>
      <c r="AB1554">
        <v>360</v>
      </c>
      <c r="AC1554">
        <v>0</v>
      </c>
      <c r="AD1554">
        <v>360</v>
      </c>
      <c r="AE1554">
        <v>163.71</v>
      </c>
      <c r="AF1554">
        <v>196.29</v>
      </c>
      <c r="AG1554">
        <v>2024</v>
      </c>
      <c r="AH1554">
        <v>4</v>
      </c>
      <c r="AI1554" t="s">
        <v>2308</v>
      </c>
      <c r="AJ1554" t="s">
        <v>2312</v>
      </c>
    </row>
    <row r="1555" spans="1:36" x14ac:dyDescent="0.3">
      <c r="A1555" t="s">
        <v>1589</v>
      </c>
      <c r="B1555" s="2">
        <v>45570</v>
      </c>
      <c r="C1555" t="s">
        <v>1698</v>
      </c>
      <c r="D1555" t="s">
        <v>1785</v>
      </c>
      <c r="E1555" t="s">
        <v>1761</v>
      </c>
      <c r="F1555" t="s">
        <v>2240</v>
      </c>
      <c r="G1555" t="s">
        <v>2250</v>
      </c>
      <c r="H1555" t="s">
        <v>2259</v>
      </c>
      <c r="I1555" t="s">
        <v>2262</v>
      </c>
      <c r="J1555" t="s">
        <v>2264</v>
      </c>
      <c r="L1555">
        <v>90</v>
      </c>
      <c r="M1555">
        <v>0</v>
      </c>
      <c r="N1555">
        <v>270</v>
      </c>
      <c r="O1555">
        <v>270</v>
      </c>
      <c r="P1555" t="s">
        <v>2269</v>
      </c>
      <c r="R1555" t="s">
        <v>2275</v>
      </c>
      <c r="S1555" t="s">
        <v>2282</v>
      </c>
      <c r="T1555" t="s">
        <v>2288</v>
      </c>
      <c r="U1555">
        <v>5</v>
      </c>
      <c r="V1555">
        <v>456</v>
      </c>
      <c r="W1555">
        <v>43</v>
      </c>
      <c r="X1555">
        <v>43</v>
      </c>
      <c r="Y1555">
        <v>141</v>
      </c>
      <c r="Z1555" t="s">
        <v>2292</v>
      </c>
      <c r="AA1555" t="s">
        <v>2297</v>
      </c>
      <c r="AG1555">
        <v>2024</v>
      </c>
      <c r="AH1555">
        <v>10</v>
      </c>
      <c r="AI1555" t="s">
        <v>2310</v>
      </c>
      <c r="AJ1555" t="s">
        <v>2317</v>
      </c>
    </row>
    <row r="1556" spans="1:36" x14ac:dyDescent="0.3">
      <c r="A1556" t="s">
        <v>1590</v>
      </c>
      <c r="B1556" s="2">
        <v>45295</v>
      </c>
      <c r="C1556" t="s">
        <v>1732</v>
      </c>
      <c r="D1556" t="s">
        <v>1745</v>
      </c>
      <c r="E1556" t="s">
        <v>2074</v>
      </c>
      <c r="F1556" t="s">
        <v>2240</v>
      </c>
      <c r="G1556" t="s">
        <v>2253</v>
      </c>
      <c r="H1556" t="s">
        <v>2258</v>
      </c>
      <c r="I1556" t="s">
        <v>2260</v>
      </c>
      <c r="J1556" t="s">
        <v>2264</v>
      </c>
      <c r="K1556">
        <v>3</v>
      </c>
      <c r="L1556">
        <v>90</v>
      </c>
      <c r="M1556">
        <v>0.05</v>
      </c>
      <c r="N1556">
        <v>270</v>
      </c>
      <c r="O1556">
        <v>256.5</v>
      </c>
      <c r="P1556" t="s">
        <v>2268</v>
      </c>
      <c r="R1556" t="s">
        <v>2276</v>
      </c>
      <c r="S1556" t="s">
        <v>2286</v>
      </c>
      <c r="T1556" t="s">
        <v>2288</v>
      </c>
      <c r="V1556">
        <v>212</v>
      </c>
      <c r="W1556">
        <v>52</v>
      </c>
      <c r="X1556">
        <v>46.65</v>
      </c>
      <c r="Y1556">
        <v>116.55</v>
      </c>
      <c r="Z1556" t="s">
        <v>2291</v>
      </c>
      <c r="AA1556" t="s">
        <v>2299</v>
      </c>
      <c r="AB1556">
        <v>270</v>
      </c>
      <c r="AC1556">
        <v>13.5</v>
      </c>
      <c r="AD1556">
        <v>256.5</v>
      </c>
      <c r="AE1556">
        <v>139.94999999999999</v>
      </c>
      <c r="AF1556">
        <v>116.55</v>
      </c>
      <c r="AG1556">
        <v>2024</v>
      </c>
      <c r="AH1556">
        <v>1</v>
      </c>
      <c r="AI1556" t="s">
        <v>2302</v>
      </c>
      <c r="AJ1556" t="s">
        <v>2316</v>
      </c>
    </row>
    <row r="1557" spans="1:36" x14ac:dyDescent="0.3">
      <c r="A1557" t="s">
        <v>1591</v>
      </c>
      <c r="B1557" s="2">
        <v>45645</v>
      </c>
      <c r="C1557" t="s">
        <v>1688</v>
      </c>
      <c r="D1557" t="s">
        <v>1744</v>
      </c>
      <c r="E1557" t="s">
        <v>2013</v>
      </c>
      <c r="F1557" t="s">
        <v>2239</v>
      </c>
      <c r="G1557" t="s">
        <v>2252</v>
      </c>
      <c r="H1557" t="s">
        <v>2257</v>
      </c>
      <c r="I1557" t="s">
        <v>2262</v>
      </c>
      <c r="J1557" t="s">
        <v>2266</v>
      </c>
      <c r="K1557">
        <v>1</v>
      </c>
      <c r="L1557">
        <v>90</v>
      </c>
      <c r="M1557">
        <v>0.1</v>
      </c>
      <c r="N1557">
        <v>90</v>
      </c>
      <c r="O1557">
        <v>81</v>
      </c>
      <c r="P1557" t="s">
        <v>2267</v>
      </c>
      <c r="Q1557" t="s">
        <v>2271</v>
      </c>
      <c r="R1557" t="s">
        <v>2274</v>
      </c>
      <c r="S1557" t="s">
        <v>2282</v>
      </c>
      <c r="T1557" t="s">
        <v>2288</v>
      </c>
      <c r="U1557">
        <v>5</v>
      </c>
      <c r="V1557">
        <v>210</v>
      </c>
      <c r="W1557">
        <v>46</v>
      </c>
      <c r="X1557">
        <v>33.25</v>
      </c>
      <c r="Y1557">
        <v>47.75</v>
      </c>
      <c r="Z1557" t="s">
        <v>1761</v>
      </c>
      <c r="AA1557" t="s">
        <v>1761</v>
      </c>
      <c r="AB1557">
        <v>90</v>
      </c>
      <c r="AC1557">
        <v>9</v>
      </c>
      <c r="AD1557">
        <v>81</v>
      </c>
      <c r="AE1557">
        <v>33.25</v>
      </c>
      <c r="AF1557">
        <v>47.75</v>
      </c>
      <c r="AG1557">
        <v>2024</v>
      </c>
      <c r="AH1557">
        <v>12</v>
      </c>
      <c r="AI1557" t="s">
        <v>2309</v>
      </c>
      <c r="AJ1557" t="s">
        <v>2316</v>
      </c>
    </row>
    <row r="1558" spans="1:36" x14ac:dyDescent="0.3">
      <c r="A1558" t="s">
        <v>1592</v>
      </c>
      <c r="B1558" s="2">
        <v>45389</v>
      </c>
      <c r="C1558" t="s">
        <v>1686</v>
      </c>
      <c r="D1558" t="s">
        <v>1766</v>
      </c>
      <c r="E1558" t="s">
        <v>2186</v>
      </c>
      <c r="F1558" t="s">
        <v>2239</v>
      </c>
      <c r="G1558" t="s">
        <v>2252</v>
      </c>
      <c r="H1558" t="s">
        <v>2257</v>
      </c>
      <c r="I1558" t="s">
        <v>2262</v>
      </c>
      <c r="J1558" t="s">
        <v>2266</v>
      </c>
      <c r="K1558">
        <v>1</v>
      </c>
      <c r="L1558">
        <v>90</v>
      </c>
      <c r="N1558">
        <v>90</v>
      </c>
      <c r="P1558" t="s">
        <v>2269</v>
      </c>
      <c r="Q1558" t="s">
        <v>2272</v>
      </c>
      <c r="R1558" t="s">
        <v>2273</v>
      </c>
      <c r="S1558" t="s">
        <v>2280</v>
      </c>
      <c r="T1558" t="s">
        <v>2288</v>
      </c>
      <c r="U1558">
        <v>1</v>
      </c>
      <c r="V1558">
        <v>224</v>
      </c>
      <c r="W1558">
        <v>55</v>
      </c>
      <c r="X1558">
        <v>35.590000000000003</v>
      </c>
      <c r="Z1558" t="s">
        <v>1761</v>
      </c>
      <c r="AA1558" t="s">
        <v>2296</v>
      </c>
      <c r="AB1558">
        <v>90</v>
      </c>
      <c r="AC1558">
        <v>0</v>
      </c>
      <c r="AD1558">
        <v>90</v>
      </c>
      <c r="AE1558">
        <v>35.590000000000003</v>
      </c>
      <c r="AF1558">
        <v>54.41</v>
      </c>
      <c r="AG1558">
        <v>2024</v>
      </c>
      <c r="AH1558">
        <v>4</v>
      </c>
      <c r="AI1558" t="s">
        <v>2308</v>
      </c>
      <c r="AJ1558" t="s">
        <v>2318</v>
      </c>
    </row>
    <row r="1559" spans="1:36" x14ac:dyDescent="0.3">
      <c r="A1559" t="s">
        <v>1593</v>
      </c>
      <c r="B1559" s="2">
        <v>45305</v>
      </c>
      <c r="C1559" t="s">
        <v>1643</v>
      </c>
      <c r="D1559" t="s">
        <v>1755</v>
      </c>
      <c r="E1559" t="s">
        <v>2127</v>
      </c>
      <c r="F1559" t="s">
        <v>1761</v>
      </c>
      <c r="G1559" t="s">
        <v>2247</v>
      </c>
      <c r="H1559" t="s">
        <v>2257</v>
      </c>
      <c r="I1559" t="s">
        <v>2262</v>
      </c>
      <c r="J1559" t="s">
        <v>2266</v>
      </c>
      <c r="K1559">
        <v>1</v>
      </c>
      <c r="L1559">
        <v>110</v>
      </c>
      <c r="M1559">
        <v>0.1</v>
      </c>
      <c r="N1559">
        <v>110</v>
      </c>
      <c r="O1559">
        <v>99</v>
      </c>
      <c r="P1559" t="s">
        <v>2269</v>
      </c>
      <c r="Q1559" t="s">
        <v>2272</v>
      </c>
      <c r="R1559" t="s">
        <v>2276</v>
      </c>
      <c r="S1559" t="s">
        <v>2285</v>
      </c>
      <c r="T1559" t="s">
        <v>2288</v>
      </c>
      <c r="U1559">
        <v>5</v>
      </c>
      <c r="V1559">
        <v>4</v>
      </c>
      <c r="W1559">
        <v>48</v>
      </c>
      <c r="X1559">
        <v>38.07</v>
      </c>
      <c r="Y1559">
        <v>60.93</v>
      </c>
      <c r="Z1559" t="s">
        <v>2291</v>
      </c>
      <c r="AA1559" t="s">
        <v>2298</v>
      </c>
      <c r="AB1559">
        <v>110</v>
      </c>
      <c r="AC1559">
        <v>11</v>
      </c>
      <c r="AD1559">
        <v>99</v>
      </c>
      <c r="AE1559">
        <v>38.07</v>
      </c>
      <c r="AF1559">
        <v>60.93</v>
      </c>
      <c r="AG1559">
        <v>2024</v>
      </c>
      <c r="AH1559">
        <v>1</v>
      </c>
      <c r="AI1559" t="s">
        <v>2302</v>
      </c>
      <c r="AJ1559" t="s">
        <v>2318</v>
      </c>
    </row>
    <row r="1560" spans="1:36" x14ac:dyDescent="0.3">
      <c r="A1560" t="s">
        <v>1594</v>
      </c>
      <c r="B1560" s="2">
        <v>45353</v>
      </c>
      <c r="C1560" t="s">
        <v>1736</v>
      </c>
      <c r="D1560" t="s">
        <v>1785</v>
      </c>
      <c r="E1560" t="s">
        <v>2114</v>
      </c>
      <c r="F1560" t="s">
        <v>2238</v>
      </c>
      <c r="G1560" t="s">
        <v>2254</v>
      </c>
      <c r="H1560" t="s">
        <v>2259</v>
      </c>
      <c r="I1560" t="s">
        <v>2263</v>
      </c>
      <c r="J1560" t="s">
        <v>2265</v>
      </c>
      <c r="K1560">
        <v>1</v>
      </c>
      <c r="L1560">
        <v>110</v>
      </c>
      <c r="M1560">
        <v>0.1</v>
      </c>
      <c r="N1560">
        <v>110</v>
      </c>
      <c r="O1560">
        <v>99</v>
      </c>
      <c r="P1560" t="s">
        <v>2269</v>
      </c>
      <c r="Q1560" t="s">
        <v>2272</v>
      </c>
      <c r="R1560" t="s">
        <v>2274</v>
      </c>
      <c r="S1560" t="s">
        <v>2284</v>
      </c>
      <c r="T1560" t="s">
        <v>2288</v>
      </c>
      <c r="U1560">
        <v>5</v>
      </c>
      <c r="V1560">
        <v>73</v>
      </c>
      <c r="W1560">
        <v>37</v>
      </c>
      <c r="X1560">
        <v>48.03</v>
      </c>
      <c r="Y1560">
        <v>50.97</v>
      </c>
      <c r="Z1560" t="s">
        <v>2295</v>
      </c>
      <c r="AA1560" t="s">
        <v>2297</v>
      </c>
      <c r="AB1560">
        <v>110</v>
      </c>
      <c r="AC1560">
        <v>11</v>
      </c>
      <c r="AD1560">
        <v>99</v>
      </c>
      <c r="AE1560">
        <v>48.03</v>
      </c>
      <c r="AF1560">
        <v>50.97</v>
      </c>
      <c r="AG1560">
        <v>2024</v>
      </c>
      <c r="AH1560">
        <v>3</v>
      </c>
      <c r="AI1560" t="s">
        <v>2305</v>
      </c>
      <c r="AJ1560" t="s">
        <v>2317</v>
      </c>
    </row>
    <row r="1561" spans="1:36" x14ac:dyDescent="0.3">
      <c r="A1561" t="s">
        <v>1595</v>
      </c>
      <c r="B1561" s="2">
        <v>45555</v>
      </c>
      <c r="C1561" t="s">
        <v>1723</v>
      </c>
      <c r="D1561" t="s">
        <v>1930</v>
      </c>
      <c r="E1561" t="s">
        <v>2161</v>
      </c>
      <c r="F1561" t="s">
        <v>1761</v>
      </c>
      <c r="G1561" t="s">
        <v>2254</v>
      </c>
      <c r="H1561" t="s">
        <v>2259</v>
      </c>
      <c r="I1561" t="s">
        <v>2263</v>
      </c>
      <c r="J1561" t="s">
        <v>2266</v>
      </c>
      <c r="K1561">
        <v>1</v>
      </c>
      <c r="L1561">
        <v>110</v>
      </c>
      <c r="M1561">
        <v>0.1</v>
      </c>
      <c r="N1561">
        <v>110</v>
      </c>
      <c r="O1561">
        <v>99</v>
      </c>
      <c r="P1561" t="s">
        <v>2269</v>
      </c>
      <c r="Q1561" t="s">
        <v>2272</v>
      </c>
      <c r="R1561" t="s">
        <v>2277</v>
      </c>
      <c r="S1561" t="s">
        <v>2285</v>
      </c>
      <c r="T1561" t="s">
        <v>2288</v>
      </c>
      <c r="U1561">
        <v>5</v>
      </c>
      <c r="V1561">
        <v>168</v>
      </c>
      <c r="X1561">
        <v>52.72</v>
      </c>
      <c r="Y1561">
        <v>46.28</v>
      </c>
      <c r="Z1561" t="s">
        <v>2292</v>
      </c>
      <c r="AA1561" t="s">
        <v>2299</v>
      </c>
      <c r="AB1561">
        <v>110</v>
      </c>
      <c r="AC1561">
        <v>11</v>
      </c>
      <c r="AD1561">
        <v>99</v>
      </c>
      <c r="AE1561">
        <v>52.72</v>
      </c>
      <c r="AF1561">
        <v>46.28</v>
      </c>
      <c r="AG1561">
        <v>2024</v>
      </c>
      <c r="AH1561">
        <v>9</v>
      </c>
      <c r="AI1561" t="s">
        <v>2300</v>
      </c>
      <c r="AJ1561" t="s">
        <v>2315</v>
      </c>
    </row>
    <row r="1562" spans="1:36" x14ac:dyDescent="0.3">
      <c r="A1562" t="s">
        <v>1596</v>
      </c>
      <c r="B1562" s="2">
        <v>45584</v>
      </c>
      <c r="C1562" t="s">
        <v>1700</v>
      </c>
      <c r="D1562" t="s">
        <v>1872</v>
      </c>
      <c r="E1562" t="s">
        <v>2186</v>
      </c>
      <c r="F1562" t="s">
        <v>1761</v>
      </c>
      <c r="G1562" t="s">
        <v>2247</v>
      </c>
      <c r="H1562" t="s">
        <v>2257</v>
      </c>
      <c r="I1562" t="s">
        <v>2262</v>
      </c>
      <c r="J1562" t="s">
        <v>2264</v>
      </c>
      <c r="K1562">
        <v>1</v>
      </c>
      <c r="L1562">
        <v>105</v>
      </c>
      <c r="M1562">
        <v>0</v>
      </c>
      <c r="N1562">
        <v>105</v>
      </c>
      <c r="O1562">
        <v>105</v>
      </c>
      <c r="P1562" t="s">
        <v>2268</v>
      </c>
      <c r="Q1562" t="s">
        <v>2272</v>
      </c>
      <c r="R1562" t="s">
        <v>2279</v>
      </c>
      <c r="S1562" t="s">
        <v>2284</v>
      </c>
      <c r="T1562" t="s">
        <v>2288</v>
      </c>
      <c r="U1562">
        <v>3</v>
      </c>
      <c r="V1562">
        <v>353</v>
      </c>
      <c r="W1562">
        <v>13</v>
      </c>
      <c r="X1562">
        <v>51.87</v>
      </c>
      <c r="Y1562">
        <v>53.13</v>
      </c>
      <c r="Z1562" t="s">
        <v>2293</v>
      </c>
      <c r="AA1562" t="s">
        <v>2298</v>
      </c>
      <c r="AB1562">
        <v>105</v>
      </c>
      <c r="AC1562">
        <v>0</v>
      </c>
      <c r="AD1562">
        <v>105</v>
      </c>
      <c r="AE1562">
        <v>51.87</v>
      </c>
      <c r="AF1562">
        <v>53.13</v>
      </c>
      <c r="AG1562">
        <v>2024</v>
      </c>
      <c r="AH1562">
        <v>10</v>
      </c>
      <c r="AI1562" t="s">
        <v>2310</v>
      </c>
      <c r="AJ1562" t="s">
        <v>2317</v>
      </c>
    </row>
    <row r="1563" spans="1:36" x14ac:dyDescent="0.3">
      <c r="A1563" t="s">
        <v>1597</v>
      </c>
      <c r="B1563" s="2">
        <v>45652</v>
      </c>
      <c r="C1563" t="s">
        <v>1671</v>
      </c>
      <c r="D1563" t="s">
        <v>1763</v>
      </c>
      <c r="E1563" t="s">
        <v>2209</v>
      </c>
      <c r="F1563" t="s">
        <v>1761</v>
      </c>
      <c r="G1563" t="s">
        <v>2255</v>
      </c>
      <c r="H1563" t="s">
        <v>2260</v>
      </c>
      <c r="I1563" t="s">
        <v>2260</v>
      </c>
      <c r="J1563" t="s">
        <v>2264</v>
      </c>
      <c r="K1563">
        <v>1</v>
      </c>
      <c r="L1563">
        <v>185</v>
      </c>
      <c r="M1563">
        <v>0.05</v>
      </c>
      <c r="N1563">
        <v>185</v>
      </c>
      <c r="O1563">
        <v>175.75</v>
      </c>
      <c r="Q1563" t="s">
        <v>2272</v>
      </c>
      <c r="R1563" t="s">
        <v>2277</v>
      </c>
      <c r="S1563" t="s">
        <v>2284</v>
      </c>
      <c r="T1563" t="s">
        <v>2288</v>
      </c>
      <c r="U1563">
        <v>3</v>
      </c>
      <c r="V1563">
        <v>182</v>
      </c>
      <c r="X1563">
        <v>83.88</v>
      </c>
      <c r="Y1563">
        <v>91.87</v>
      </c>
      <c r="Z1563" t="s">
        <v>2292</v>
      </c>
      <c r="AA1563" t="s">
        <v>2298</v>
      </c>
      <c r="AB1563">
        <v>185</v>
      </c>
      <c r="AC1563">
        <v>9.25</v>
      </c>
      <c r="AD1563">
        <v>175.75</v>
      </c>
      <c r="AE1563">
        <v>83.88</v>
      </c>
      <c r="AF1563">
        <v>91.87</v>
      </c>
      <c r="AG1563">
        <v>2024</v>
      </c>
      <c r="AH1563">
        <v>12</v>
      </c>
      <c r="AI1563" t="s">
        <v>2309</v>
      </c>
      <c r="AJ1563" t="s">
        <v>2316</v>
      </c>
    </row>
    <row r="1564" spans="1:36" x14ac:dyDescent="0.3">
      <c r="A1564" t="s">
        <v>1598</v>
      </c>
      <c r="B1564" s="2">
        <v>45555</v>
      </c>
      <c r="C1564" t="s">
        <v>1720</v>
      </c>
      <c r="D1564" t="s">
        <v>1853</v>
      </c>
      <c r="E1564" t="s">
        <v>1957</v>
      </c>
      <c r="F1564" t="s">
        <v>2239</v>
      </c>
      <c r="G1564" t="s">
        <v>2243</v>
      </c>
      <c r="H1564" t="s">
        <v>2258</v>
      </c>
      <c r="I1564" t="s">
        <v>2260</v>
      </c>
      <c r="J1564" t="s">
        <v>2266</v>
      </c>
      <c r="K1564">
        <v>1</v>
      </c>
      <c r="L1564">
        <v>70</v>
      </c>
      <c r="M1564">
        <v>0</v>
      </c>
      <c r="N1564">
        <v>70</v>
      </c>
      <c r="O1564">
        <v>70</v>
      </c>
      <c r="Q1564" t="s">
        <v>2270</v>
      </c>
      <c r="R1564" t="s">
        <v>2274</v>
      </c>
      <c r="S1564" t="s">
        <v>2286</v>
      </c>
      <c r="T1564" t="s">
        <v>2289</v>
      </c>
      <c r="U1564">
        <v>5</v>
      </c>
      <c r="V1564">
        <v>56</v>
      </c>
      <c r="X1564">
        <v>24.61</v>
      </c>
      <c r="Y1564">
        <v>45.39</v>
      </c>
      <c r="Z1564" t="s">
        <v>2293</v>
      </c>
      <c r="AA1564" t="s">
        <v>2299</v>
      </c>
      <c r="AB1564">
        <v>70</v>
      </c>
      <c r="AC1564">
        <v>0</v>
      </c>
      <c r="AD1564">
        <v>70</v>
      </c>
      <c r="AE1564">
        <v>24.61</v>
      </c>
      <c r="AF1564">
        <v>45.39</v>
      </c>
      <c r="AG1564">
        <v>2024</v>
      </c>
      <c r="AH1564">
        <v>9</v>
      </c>
      <c r="AI1564" t="s">
        <v>2300</v>
      </c>
      <c r="AJ1564" t="s">
        <v>2315</v>
      </c>
    </row>
    <row r="1565" spans="1:36" x14ac:dyDescent="0.3">
      <c r="A1565" t="s">
        <v>1599</v>
      </c>
      <c r="B1565" s="2">
        <v>45521</v>
      </c>
      <c r="C1565" t="s">
        <v>1648</v>
      </c>
      <c r="D1565" t="s">
        <v>1856</v>
      </c>
      <c r="E1565" t="s">
        <v>2052</v>
      </c>
      <c r="F1565" t="s">
        <v>2240</v>
      </c>
      <c r="G1565" t="s">
        <v>2242</v>
      </c>
      <c r="H1565" t="s">
        <v>2258</v>
      </c>
      <c r="I1565" t="s">
        <v>2260</v>
      </c>
      <c r="J1565" t="s">
        <v>2266</v>
      </c>
      <c r="K1565">
        <v>1</v>
      </c>
      <c r="L1565">
        <v>115</v>
      </c>
      <c r="M1565">
        <v>0.1</v>
      </c>
      <c r="N1565">
        <v>115</v>
      </c>
      <c r="O1565">
        <v>103.5</v>
      </c>
      <c r="P1565" t="s">
        <v>2267</v>
      </c>
      <c r="Q1565" t="s">
        <v>2272</v>
      </c>
      <c r="R1565" t="s">
        <v>2274</v>
      </c>
      <c r="S1565" t="s">
        <v>2282</v>
      </c>
      <c r="T1565" t="s">
        <v>2288</v>
      </c>
      <c r="U1565">
        <v>5</v>
      </c>
      <c r="V1565">
        <v>282</v>
      </c>
      <c r="W1565">
        <v>23</v>
      </c>
      <c r="X1565">
        <v>42.81</v>
      </c>
      <c r="Y1565">
        <v>60.69</v>
      </c>
      <c r="Z1565" t="s">
        <v>2293</v>
      </c>
      <c r="AA1565" t="s">
        <v>2296</v>
      </c>
      <c r="AB1565">
        <v>115</v>
      </c>
      <c r="AC1565">
        <v>11.5</v>
      </c>
      <c r="AD1565">
        <v>103.5</v>
      </c>
      <c r="AE1565">
        <v>42.81</v>
      </c>
      <c r="AF1565">
        <v>60.69</v>
      </c>
      <c r="AG1565">
        <v>2024</v>
      </c>
      <c r="AH1565">
        <v>8</v>
      </c>
      <c r="AI1565" t="s">
        <v>2301</v>
      </c>
      <c r="AJ1565" t="s">
        <v>2317</v>
      </c>
    </row>
    <row r="1566" spans="1:36" x14ac:dyDescent="0.3">
      <c r="A1566" t="s">
        <v>1600</v>
      </c>
      <c r="B1566" s="2">
        <v>45292</v>
      </c>
      <c r="C1566" t="s">
        <v>1686</v>
      </c>
      <c r="D1566" t="s">
        <v>1746</v>
      </c>
      <c r="E1566" t="s">
        <v>2016</v>
      </c>
      <c r="F1566" t="s">
        <v>2238</v>
      </c>
      <c r="G1566" t="s">
        <v>2251</v>
      </c>
      <c r="H1566" t="s">
        <v>2258</v>
      </c>
      <c r="I1566" t="s">
        <v>2260</v>
      </c>
      <c r="J1566" t="s">
        <v>2264</v>
      </c>
      <c r="K1566">
        <v>1</v>
      </c>
      <c r="L1566">
        <v>110</v>
      </c>
      <c r="N1566">
        <v>110</v>
      </c>
      <c r="P1566" t="s">
        <v>2268</v>
      </c>
      <c r="R1566" t="s">
        <v>2279</v>
      </c>
      <c r="S1566" t="s">
        <v>2286</v>
      </c>
      <c r="T1566" t="s">
        <v>2288</v>
      </c>
      <c r="U1566">
        <v>1</v>
      </c>
      <c r="V1566">
        <v>405</v>
      </c>
      <c r="W1566">
        <v>58</v>
      </c>
      <c r="X1566">
        <v>42.59</v>
      </c>
      <c r="Z1566" t="s">
        <v>2292</v>
      </c>
      <c r="AA1566" t="s">
        <v>2298</v>
      </c>
      <c r="AB1566">
        <v>110</v>
      </c>
      <c r="AC1566">
        <v>0</v>
      </c>
      <c r="AD1566">
        <v>110</v>
      </c>
      <c r="AE1566">
        <v>42.59</v>
      </c>
      <c r="AF1566">
        <v>67.41</v>
      </c>
      <c r="AG1566">
        <v>2024</v>
      </c>
      <c r="AH1566">
        <v>1</v>
      </c>
      <c r="AI1566" t="s">
        <v>2302</v>
      </c>
      <c r="AJ1566" t="s">
        <v>2314</v>
      </c>
    </row>
    <row r="1567" spans="1:36" x14ac:dyDescent="0.3">
      <c r="A1567" t="s">
        <v>1601</v>
      </c>
      <c r="C1567" t="s">
        <v>1666</v>
      </c>
      <c r="D1567" t="s">
        <v>1870</v>
      </c>
      <c r="E1567" t="s">
        <v>2004</v>
      </c>
      <c r="F1567" t="s">
        <v>2238</v>
      </c>
      <c r="G1567" t="s">
        <v>2244</v>
      </c>
      <c r="H1567" t="s">
        <v>2257</v>
      </c>
      <c r="I1567" t="s">
        <v>2262</v>
      </c>
      <c r="J1567" t="s">
        <v>2264</v>
      </c>
      <c r="K1567">
        <v>1</v>
      </c>
      <c r="L1567">
        <v>120</v>
      </c>
      <c r="M1567">
        <v>0</v>
      </c>
      <c r="N1567">
        <v>120</v>
      </c>
      <c r="O1567">
        <v>120</v>
      </c>
      <c r="P1567" t="s">
        <v>2269</v>
      </c>
      <c r="Q1567" t="s">
        <v>2270</v>
      </c>
      <c r="R1567" t="s">
        <v>2275</v>
      </c>
      <c r="S1567" t="s">
        <v>2284</v>
      </c>
      <c r="T1567" t="s">
        <v>2288</v>
      </c>
      <c r="U1567">
        <v>4</v>
      </c>
      <c r="V1567">
        <v>160</v>
      </c>
      <c r="W1567">
        <v>32</v>
      </c>
      <c r="X1567">
        <v>54.13</v>
      </c>
      <c r="Y1567">
        <v>65.87</v>
      </c>
      <c r="Z1567" t="s">
        <v>2291</v>
      </c>
      <c r="AA1567" t="s">
        <v>2297</v>
      </c>
      <c r="AB1567">
        <v>120</v>
      </c>
      <c r="AC1567">
        <v>0</v>
      </c>
      <c r="AD1567">
        <v>120</v>
      </c>
      <c r="AE1567">
        <v>54.13</v>
      </c>
      <c r="AF1567">
        <v>65.87</v>
      </c>
    </row>
    <row r="1568" spans="1:36" x14ac:dyDescent="0.3">
      <c r="A1568" t="s">
        <v>1602</v>
      </c>
      <c r="B1568" s="2">
        <v>45343</v>
      </c>
      <c r="C1568" t="s">
        <v>1696</v>
      </c>
      <c r="D1568" t="s">
        <v>1804</v>
      </c>
      <c r="E1568" t="s">
        <v>2116</v>
      </c>
      <c r="F1568" t="s">
        <v>1761</v>
      </c>
      <c r="G1568" t="s">
        <v>2242</v>
      </c>
      <c r="H1568" t="s">
        <v>2258</v>
      </c>
      <c r="I1568" t="s">
        <v>2260</v>
      </c>
      <c r="J1568" t="s">
        <v>2264</v>
      </c>
      <c r="K1568">
        <v>2</v>
      </c>
      <c r="L1568">
        <v>130</v>
      </c>
      <c r="M1568">
        <v>0.1</v>
      </c>
      <c r="N1568">
        <v>260</v>
      </c>
      <c r="O1568">
        <v>234</v>
      </c>
      <c r="P1568" t="s">
        <v>2268</v>
      </c>
      <c r="Q1568" t="s">
        <v>2272</v>
      </c>
      <c r="R1568" t="s">
        <v>2275</v>
      </c>
      <c r="S1568" t="s">
        <v>2283</v>
      </c>
      <c r="T1568" t="s">
        <v>2290</v>
      </c>
      <c r="U1568">
        <v>4</v>
      </c>
      <c r="V1568">
        <v>91</v>
      </c>
      <c r="W1568">
        <v>36</v>
      </c>
      <c r="X1568">
        <v>52.59</v>
      </c>
      <c r="Y1568">
        <v>128.82</v>
      </c>
      <c r="Z1568" t="s">
        <v>1761</v>
      </c>
      <c r="AA1568" t="s">
        <v>2297</v>
      </c>
      <c r="AB1568">
        <v>260</v>
      </c>
      <c r="AC1568">
        <v>26</v>
      </c>
      <c r="AD1568">
        <v>234</v>
      </c>
      <c r="AE1568">
        <v>105.18</v>
      </c>
      <c r="AF1568">
        <v>128.82</v>
      </c>
      <c r="AG1568">
        <v>2024</v>
      </c>
      <c r="AH1568">
        <v>2</v>
      </c>
      <c r="AI1568" t="s">
        <v>2303</v>
      </c>
      <c r="AJ1568" t="s">
        <v>2312</v>
      </c>
    </row>
    <row r="1569" spans="1:36" x14ac:dyDescent="0.3">
      <c r="A1569" t="s">
        <v>1603</v>
      </c>
      <c r="B1569" s="2">
        <v>45632</v>
      </c>
      <c r="C1569" t="s">
        <v>1661</v>
      </c>
      <c r="D1569" t="s">
        <v>1871</v>
      </c>
      <c r="E1569" t="s">
        <v>2212</v>
      </c>
      <c r="F1569" t="s">
        <v>2238</v>
      </c>
      <c r="G1569" t="s">
        <v>2254</v>
      </c>
      <c r="H1569" t="s">
        <v>2259</v>
      </c>
      <c r="I1569" t="s">
        <v>2263</v>
      </c>
      <c r="J1569" t="s">
        <v>2265</v>
      </c>
      <c r="K1569">
        <v>1</v>
      </c>
      <c r="L1569">
        <v>120</v>
      </c>
      <c r="M1569">
        <v>0.05</v>
      </c>
      <c r="N1569">
        <v>120</v>
      </c>
      <c r="O1569">
        <v>114</v>
      </c>
      <c r="P1569" t="s">
        <v>2267</v>
      </c>
      <c r="Q1569" t="s">
        <v>2270</v>
      </c>
      <c r="R1569" t="s">
        <v>2275</v>
      </c>
      <c r="S1569" t="s">
        <v>2283</v>
      </c>
      <c r="T1569" t="s">
        <v>2290</v>
      </c>
      <c r="U1569">
        <v>5</v>
      </c>
      <c r="V1569">
        <v>361</v>
      </c>
      <c r="X1569">
        <v>41.67</v>
      </c>
      <c r="Y1569">
        <v>72.33</v>
      </c>
      <c r="Z1569" t="s">
        <v>2293</v>
      </c>
      <c r="AA1569" t="s">
        <v>1761</v>
      </c>
      <c r="AB1569">
        <v>120</v>
      </c>
      <c r="AC1569">
        <v>6</v>
      </c>
      <c r="AD1569">
        <v>114</v>
      </c>
      <c r="AE1569">
        <v>41.67</v>
      </c>
      <c r="AF1569">
        <v>72.33</v>
      </c>
      <c r="AG1569">
        <v>2024</v>
      </c>
      <c r="AH1569">
        <v>12</v>
      </c>
      <c r="AI1569" t="s">
        <v>2309</v>
      </c>
      <c r="AJ1569" t="s">
        <v>2315</v>
      </c>
    </row>
    <row r="1570" spans="1:36" x14ac:dyDescent="0.3">
      <c r="A1570" t="s">
        <v>1604</v>
      </c>
      <c r="B1570" s="2">
        <v>45443</v>
      </c>
      <c r="C1570" t="s">
        <v>1686</v>
      </c>
      <c r="D1570" t="s">
        <v>1805</v>
      </c>
      <c r="E1570" t="s">
        <v>2211</v>
      </c>
      <c r="F1570" t="s">
        <v>2238</v>
      </c>
      <c r="G1570" t="s">
        <v>2248</v>
      </c>
      <c r="H1570" t="s">
        <v>2257</v>
      </c>
      <c r="I1570" t="s">
        <v>2262</v>
      </c>
      <c r="J1570" t="s">
        <v>2264</v>
      </c>
      <c r="K1570">
        <v>1</v>
      </c>
      <c r="L1570">
        <v>145</v>
      </c>
      <c r="M1570">
        <v>0.1</v>
      </c>
      <c r="N1570">
        <v>145</v>
      </c>
      <c r="O1570">
        <v>130.5</v>
      </c>
      <c r="P1570" t="s">
        <v>2267</v>
      </c>
      <c r="Q1570" t="s">
        <v>2271</v>
      </c>
      <c r="R1570" t="s">
        <v>2274</v>
      </c>
      <c r="S1570" t="s">
        <v>2286</v>
      </c>
      <c r="T1570" t="s">
        <v>2290</v>
      </c>
      <c r="U1570">
        <v>5</v>
      </c>
      <c r="W1570">
        <v>46</v>
      </c>
      <c r="X1570">
        <v>55.68</v>
      </c>
      <c r="Y1570">
        <v>74.819999999999993</v>
      </c>
      <c r="Z1570" t="s">
        <v>1761</v>
      </c>
      <c r="AA1570" t="s">
        <v>2297</v>
      </c>
      <c r="AB1570">
        <v>145</v>
      </c>
      <c r="AC1570">
        <v>14.5</v>
      </c>
      <c r="AD1570">
        <v>130.5</v>
      </c>
      <c r="AE1570">
        <v>55.68</v>
      </c>
      <c r="AF1570">
        <v>74.819999999999993</v>
      </c>
      <c r="AG1570">
        <v>2024</v>
      </c>
      <c r="AH1570">
        <v>5</v>
      </c>
      <c r="AI1570" t="s">
        <v>2306</v>
      </c>
      <c r="AJ1570" t="s">
        <v>2315</v>
      </c>
    </row>
    <row r="1571" spans="1:36" x14ac:dyDescent="0.3">
      <c r="A1571" t="s">
        <v>1605</v>
      </c>
      <c r="B1571" s="2">
        <v>45569</v>
      </c>
      <c r="C1571" t="s">
        <v>1695</v>
      </c>
      <c r="D1571" t="s">
        <v>1786</v>
      </c>
      <c r="E1571" t="s">
        <v>2130</v>
      </c>
      <c r="F1571" t="s">
        <v>2240</v>
      </c>
      <c r="G1571" t="s">
        <v>2242</v>
      </c>
      <c r="H1571" t="s">
        <v>2258</v>
      </c>
      <c r="I1571" t="s">
        <v>2260</v>
      </c>
      <c r="J1571" t="s">
        <v>2265</v>
      </c>
      <c r="K1571">
        <v>1</v>
      </c>
      <c r="L1571">
        <v>120</v>
      </c>
      <c r="M1571">
        <v>0.05</v>
      </c>
      <c r="N1571">
        <v>120</v>
      </c>
      <c r="O1571">
        <v>114</v>
      </c>
      <c r="P1571" t="s">
        <v>2269</v>
      </c>
      <c r="Q1571" t="s">
        <v>2271</v>
      </c>
      <c r="R1571" t="s">
        <v>2276</v>
      </c>
      <c r="S1571" t="s">
        <v>2281</v>
      </c>
      <c r="T1571" t="s">
        <v>2288</v>
      </c>
      <c r="U1571">
        <v>5</v>
      </c>
      <c r="V1571">
        <v>229</v>
      </c>
      <c r="W1571">
        <v>30</v>
      </c>
      <c r="X1571">
        <v>54.62</v>
      </c>
      <c r="Y1571">
        <v>59.38</v>
      </c>
      <c r="Z1571" t="s">
        <v>2293</v>
      </c>
      <c r="AA1571" t="s">
        <v>2296</v>
      </c>
      <c r="AB1571">
        <v>120</v>
      </c>
      <c r="AC1571">
        <v>6</v>
      </c>
      <c r="AD1571">
        <v>114</v>
      </c>
      <c r="AE1571">
        <v>54.62</v>
      </c>
      <c r="AF1571">
        <v>59.38</v>
      </c>
      <c r="AG1571">
        <v>2024</v>
      </c>
      <c r="AH1571">
        <v>10</v>
      </c>
      <c r="AI1571" t="s">
        <v>2310</v>
      </c>
      <c r="AJ1571" t="s">
        <v>2315</v>
      </c>
    </row>
    <row r="1572" spans="1:36" x14ac:dyDescent="0.3">
      <c r="A1572" t="s">
        <v>1606</v>
      </c>
      <c r="B1572" s="2">
        <v>45599</v>
      </c>
      <c r="C1572" t="s">
        <v>1699</v>
      </c>
      <c r="D1572" t="s">
        <v>1877</v>
      </c>
      <c r="E1572" t="s">
        <v>1761</v>
      </c>
      <c r="F1572" t="s">
        <v>2240</v>
      </c>
      <c r="G1572" t="s">
        <v>2250</v>
      </c>
      <c r="H1572" t="s">
        <v>2259</v>
      </c>
      <c r="I1572" t="s">
        <v>2262</v>
      </c>
      <c r="J1572" t="s">
        <v>2264</v>
      </c>
      <c r="K1572">
        <v>2</v>
      </c>
      <c r="L1572">
        <v>80</v>
      </c>
      <c r="N1572">
        <v>160</v>
      </c>
      <c r="P1572" t="s">
        <v>2267</v>
      </c>
      <c r="Q1572" t="s">
        <v>2270</v>
      </c>
      <c r="R1572" t="s">
        <v>2279</v>
      </c>
      <c r="S1572" t="s">
        <v>2282</v>
      </c>
      <c r="T1572" t="s">
        <v>2288</v>
      </c>
      <c r="U1572">
        <v>5</v>
      </c>
      <c r="V1572">
        <v>100</v>
      </c>
      <c r="W1572">
        <v>20</v>
      </c>
      <c r="X1572">
        <v>32.950000000000003</v>
      </c>
      <c r="Z1572" t="s">
        <v>2293</v>
      </c>
      <c r="AA1572" t="s">
        <v>2298</v>
      </c>
      <c r="AB1572">
        <v>160</v>
      </c>
      <c r="AC1572">
        <v>0</v>
      </c>
      <c r="AD1572">
        <v>160</v>
      </c>
      <c r="AE1572">
        <v>65.900000000000006</v>
      </c>
      <c r="AF1572">
        <v>94.1</v>
      </c>
      <c r="AG1572">
        <v>2024</v>
      </c>
      <c r="AH1572">
        <v>11</v>
      </c>
      <c r="AI1572" t="s">
        <v>2311</v>
      </c>
      <c r="AJ1572" t="s">
        <v>2318</v>
      </c>
    </row>
    <row r="1573" spans="1:36" x14ac:dyDescent="0.3">
      <c r="A1573" t="s">
        <v>1607</v>
      </c>
      <c r="B1573" s="2">
        <v>45318</v>
      </c>
      <c r="C1573" t="s">
        <v>1680</v>
      </c>
      <c r="D1573" t="s">
        <v>1862</v>
      </c>
      <c r="E1573" t="s">
        <v>2097</v>
      </c>
      <c r="F1573" t="s">
        <v>2240</v>
      </c>
      <c r="G1573" t="s">
        <v>2248</v>
      </c>
      <c r="H1573" t="s">
        <v>2257</v>
      </c>
      <c r="I1573" t="s">
        <v>2262</v>
      </c>
      <c r="J1573" t="s">
        <v>2266</v>
      </c>
      <c r="K1573">
        <v>1</v>
      </c>
      <c r="L1573">
        <v>145</v>
      </c>
      <c r="M1573">
        <v>0.05</v>
      </c>
      <c r="N1573">
        <v>145</v>
      </c>
      <c r="O1573">
        <v>137.75</v>
      </c>
      <c r="P1573" t="s">
        <v>2267</v>
      </c>
      <c r="Q1573" t="s">
        <v>2272</v>
      </c>
      <c r="R1573" t="s">
        <v>2275</v>
      </c>
      <c r="S1573" t="s">
        <v>2287</v>
      </c>
      <c r="T1573" t="s">
        <v>2288</v>
      </c>
      <c r="U1573">
        <v>1</v>
      </c>
      <c r="X1573">
        <v>80.75</v>
      </c>
      <c r="Y1573">
        <v>57</v>
      </c>
      <c r="Z1573" t="s">
        <v>2294</v>
      </c>
      <c r="AA1573" t="s">
        <v>2296</v>
      </c>
      <c r="AB1573">
        <v>145</v>
      </c>
      <c r="AC1573">
        <v>7.25</v>
      </c>
      <c r="AD1573">
        <v>137.75</v>
      </c>
      <c r="AE1573">
        <v>80.75</v>
      </c>
      <c r="AF1573">
        <v>57</v>
      </c>
      <c r="AG1573">
        <v>2024</v>
      </c>
      <c r="AH1573">
        <v>1</v>
      </c>
      <c r="AI1573" t="s">
        <v>2302</v>
      </c>
      <c r="AJ1573" t="s">
        <v>2317</v>
      </c>
    </row>
    <row r="1574" spans="1:36" x14ac:dyDescent="0.3">
      <c r="A1574" t="s">
        <v>1608</v>
      </c>
      <c r="B1574" s="2">
        <v>45532</v>
      </c>
      <c r="C1574" t="s">
        <v>1700</v>
      </c>
      <c r="D1574" t="s">
        <v>1910</v>
      </c>
      <c r="E1574" t="s">
        <v>2209</v>
      </c>
      <c r="F1574" t="s">
        <v>2240</v>
      </c>
      <c r="G1574" t="s">
        <v>2251</v>
      </c>
      <c r="H1574" t="s">
        <v>2258</v>
      </c>
      <c r="I1574" t="s">
        <v>2260</v>
      </c>
      <c r="J1574" t="s">
        <v>2265</v>
      </c>
      <c r="K1574">
        <v>1</v>
      </c>
      <c r="L1574">
        <v>100</v>
      </c>
      <c r="M1574">
        <v>0</v>
      </c>
      <c r="N1574">
        <v>100</v>
      </c>
      <c r="O1574">
        <v>100</v>
      </c>
      <c r="P1574" t="s">
        <v>2269</v>
      </c>
      <c r="Q1574" t="s">
        <v>2270</v>
      </c>
      <c r="R1574" t="s">
        <v>2279</v>
      </c>
      <c r="S1574" t="s">
        <v>2286</v>
      </c>
      <c r="T1574" t="s">
        <v>2288</v>
      </c>
      <c r="U1574">
        <v>3</v>
      </c>
      <c r="V1574">
        <v>244</v>
      </c>
      <c r="X1574">
        <v>47.71</v>
      </c>
      <c r="Y1574">
        <v>52.29</v>
      </c>
      <c r="Z1574" t="s">
        <v>2293</v>
      </c>
      <c r="AA1574" t="s">
        <v>2298</v>
      </c>
      <c r="AB1574">
        <v>100</v>
      </c>
      <c r="AC1574">
        <v>0</v>
      </c>
      <c r="AD1574">
        <v>100</v>
      </c>
      <c r="AE1574">
        <v>47.71</v>
      </c>
      <c r="AF1574">
        <v>52.29</v>
      </c>
      <c r="AG1574">
        <v>2024</v>
      </c>
      <c r="AH1574">
        <v>8</v>
      </c>
      <c r="AI1574" t="s">
        <v>2301</v>
      </c>
      <c r="AJ1574" t="s">
        <v>2312</v>
      </c>
    </row>
    <row r="1575" spans="1:36" x14ac:dyDescent="0.3">
      <c r="A1575" t="s">
        <v>1609</v>
      </c>
      <c r="B1575" s="2">
        <v>45335</v>
      </c>
      <c r="C1575" t="s">
        <v>1733</v>
      </c>
      <c r="D1575" t="s">
        <v>1822</v>
      </c>
      <c r="E1575" t="s">
        <v>1984</v>
      </c>
      <c r="F1575" t="s">
        <v>2239</v>
      </c>
      <c r="G1575" t="s">
        <v>2243</v>
      </c>
      <c r="H1575" t="s">
        <v>2258</v>
      </c>
      <c r="I1575" t="s">
        <v>2260</v>
      </c>
      <c r="J1575" t="s">
        <v>2265</v>
      </c>
      <c r="K1575">
        <v>2</v>
      </c>
      <c r="L1575">
        <v>80</v>
      </c>
      <c r="M1575">
        <v>0.1</v>
      </c>
      <c r="N1575">
        <v>160</v>
      </c>
      <c r="O1575">
        <v>144</v>
      </c>
      <c r="P1575" t="s">
        <v>2269</v>
      </c>
      <c r="Q1575" t="s">
        <v>2272</v>
      </c>
      <c r="R1575" t="s">
        <v>2278</v>
      </c>
      <c r="S1575" t="s">
        <v>2283</v>
      </c>
      <c r="T1575" t="s">
        <v>2288</v>
      </c>
      <c r="U1575">
        <v>2</v>
      </c>
      <c r="V1575">
        <v>127</v>
      </c>
      <c r="W1575">
        <v>54</v>
      </c>
      <c r="X1575">
        <v>37.83</v>
      </c>
      <c r="Y1575">
        <v>68.34</v>
      </c>
      <c r="Z1575" t="s">
        <v>2293</v>
      </c>
      <c r="AA1575" t="s">
        <v>2299</v>
      </c>
      <c r="AB1575">
        <v>160</v>
      </c>
      <c r="AC1575">
        <v>16</v>
      </c>
      <c r="AD1575">
        <v>144</v>
      </c>
      <c r="AE1575">
        <v>75.66</v>
      </c>
      <c r="AF1575">
        <v>68.34</v>
      </c>
      <c r="AG1575">
        <v>2024</v>
      </c>
      <c r="AH1575">
        <v>2</v>
      </c>
      <c r="AI1575" t="s">
        <v>2303</v>
      </c>
      <c r="AJ1575" t="s">
        <v>2313</v>
      </c>
    </row>
    <row r="1576" spans="1:36" x14ac:dyDescent="0.3">
      <c r="A1576" t="s">
        <v>1610</v>
      </c>
      <c r="B1576" s="2">
        <v>45490</v>
      </c>
      <c r="C1576" t="s">
        <v>1733</v>
      </c>
      <c r="D1576" t="s">
        <v>1774</v>
      </c>
      <c r="E1576" t="s">
        <v>2189</v>
      </c>
      <c r="F1576" t="s">
        <v>2239</v>
      </c>
      <c r="G1576" t="s">
        <v>2251</v>
      </c>
      <c r="H1576" t="s">
        <v>2258</v>
      </c>
      <c r="I1576" t="s">
        <v>2260</v>
      </c>
      <c r="K1576">
        <v>1</v>
      </c>
      <c r="L1576">
        <v>100</v>
      </c>
      <c r="M1576">
        <v>0.15</v>
      </c>
      <c r="O1576">
        <v>85</v>
      </c>
      <c r="P1576" t="s">
        <v>2269</v>
      </c>
      <c r="R1576" t="s">
        <v>2275</v>
      </c>
      <c r="S1576" t="s">
        <v>2286</v>
      </c>
      <c r="T1576" t="s">
        <v>2288</v>
      </c>
      <c r="U1576">
        <v>5</v>
      </c>
      <c r="V1576">
        <v>376</v>
      </c>
      <c r="W1576">
        <v>51</v>
      </c>
      <c r="X1576">
        <v>43.11</v>
      </c>
      <c r="Y1576">
        <v>41.89</v>
      </c>
      <c r="Z1576" t="s">
        <v>2293</v>
      </c>
      <c r="AA1576" t="s">
        <v>2296</v>
      </c>
      <c r="AB1576">
        <v>100</v>
      </c>
      <c r="AC1576">
        <v>15</v>
      </c>
      <c r="AD1576">
        <v>85</v>
      </c>
      <c r="AE1576">
        <v>43.11</v>
      </c>
      <c r="AF1576">
        <v>41.89</v>
      </c>
      <c r="AG1576">
        <v>2024</v>
      </c>
      <c r="AH1576">
        <v>7</v>
      </c>
      <c r="AI1576" t="s">
        <v>2307</v>
      </c>
      <c r="AJ1576" t="s">
        <v>2312</v>
      </c>
    </row>
    <row r="1577" spans="1:36" x14ac:dyDescent="0.3">
      <c r="A1577" t="s">
        <v>1611</v>
      </c>
      <c r="B1577" s="2">
        <v>45435</v>
      </c>
      <c r="C1577" t="s">
        <v>1669</v>
      </c>
      <c r="D1577" t="s">
        <v>1889</v>
      </c>
      <c r="E1577" t="s">
        <v>2222</v>
      </c>
      <c r="F1577" t="s">
        <v>2239</v>
      </c>
      <c r="G1577" t="s">
        <v>2242</v>
      </c>
      <c r="H1577" t="s">
        <v>2258</v>
      </c>
      <c r="I1577" t="s">
        <v>2260</v>
      </c>
      <c r="J1577" t="s">
        <v>2266</v>
      </c>
      <c r="K1577">
        <v>1</v>
      </c>
      <c r="L1577">
        <v>120</v>
      </c>
      <c r="M1577">
        <v>0.05</v>
      </c>
      <c r="N1577">
        <v>120</v>
      </c>
      <c r="O1577">
        <v>114</v>
      </c>
      <c r="P1577" t="s">
        <v>2268</v>
      </c>
      <c r="Q1577" t="s">
        <v>2272</v>
      </c>
      <c r="R1577" t="s">
        <v>2274</v>
      </c>
      <c r="S1577" t="s">
        <v>2284</v>
      </c>
      <c r="T1577" t="s">
        <v>2290</v>
      </c>
      <c r="U1577">
        <v>1</v>
      </c>
      <c r="V1577">
        <v>107</v>
      </c>
      <c r="W1577">
        <v>15</v>
      </c>
      <c r="X1577">
        <v>66.72</v>
      </c>
      <c r="Y1577">
        <v>47.28</v>
      </c>
      <c r="Z1577" t="s">
        <v>1761</v>
      </c>
      <c r="AA1577" t="s">
        <v>2298</v>
      </c>
      <c r="AB1577">
        <v>120</v>
      </c>
      <c r="AC1577">
        <v>6</v>
      </c>
      <c r="AD1577">
        <v>114</v>
      </c>
      <c r="AE1577">
        <v>66.72</v>
      </c>
      <c r="AF1577">
        <v>47.28</v>
      </c>
      <c r="AG1577">
        <v>2024</v>
      </c>
      <c r="AH1577">
        <v>5</v>
      </c>
      <c r="AI1577" t="s">
        <v>2306</v>
      </c>
      <c r="AJ1577" t="s">
        <v>2316</v>
      </c>
    </row>
    <row r="1578" spans="1:36" x14ac:dyDescent="0.3">
      <c r="A1578" t="s">
        <v>1612</v>
      </c>
      <c r="B1578" s="2">
        <v>45544</v>
      </c>
      <c r="C1578" t="s">
        <v>1713</v>
      </c>
      <c r="D1578" t="s">
        <v>1791</v>
      </c>
      <c r="E1578" t="s">
        <v>1983</v>
      </c>
      <c r="F1578" t="s">
        <v>1761</v>
      </c>
      <c r="G1578" t="s">
        <v>2249</v>
      </c>
      <c r="H1578" t="s">
        <v>2257</v>
      </c>
      <c r="I1578" t="s">
        <v>2263</v>
      </c>
      <c r="J1578" t="s">
        <v>2266</v>
      </c>
      <c r="K1578">
        <v>2</v>
      </c>
      <c r="L1578">
        <v>155</v>
      </c>
      <c r="M1578">
        <v>0</v>
      </c>
      <c r="N1578">
        <v>310</v>
      </c>
      <c r="O1578">
        <v>310</v>
      </c>
      <c r="P1578" t="s">
        <v>2268</v>
      </c>
      <c r="Q1578" t="s">
        <v>2272</v>
      </c>
      <c r="R1578" t="s">
        <v>2276</v>
      </c>
      <c r="S1578" t="s">
        <v>2282</v>
      </c>
      <c r="T1578" t="s">
        <v>2288</v>
      </c>
      <c r="U1578">
        <v>4</v>
      </c>
      <c r="V1578">
        <v>224</v>
      </c>
      <c r="W1578">
        <v>43</v>
      </c>
      <c r="X1578">
        <v>90.57</v>
      </c>
      <c r="Y1578">
        <v>128.86000000000001</v>
      </c>
      <c r="Z1578" t="s">
        <v>1761</v>
      </c>
      <c r="AA1578" t="s">
        <v>2296</v>
      </c>
      <c r="AB1578">
        <v>310</v>
      </c>
      <c r="AC1578">
        <v>0</v>
      </c>
      <c r="AD1578">
        <v>310</v>
      </c>
      <c r="AE1578">
        <v>181.14</v>
      </c>
      <c r="AF1578">
        <v>128.86000000000001</v>
      </c>
      <c r="AG1578">
        <v>2024</v>
      </c>
      <c r="AH1578">
        <v>9</v>
      </c>
      <c r="AI1578" t="s">
        <v>2300</v>
      </c>
      <c r="AJ1578" t="s">
        <v>2314</v>
      </c>
    </row>
    <row r="1579" spans="1:36" x14ac:dyDescent="0.3">
      <c r="A1579" t="s">
        <v>1613</v>
      </c>
      <c r="C1579" t="s">
        <v>1692</v>
      </c>
      <c r="D1579" t="s">
        <v>1771</v>
      </c>
      <c r="E1579" t="s">
        <v>2226</v>
      </c>
      <c r="F1579" t="s">
        <v>2239</v>
      </c>
      <c r="G1579" t="s">
        <v>2252</v>
      </c>
      <c r="H1579" t="s">
        <v>2257</v>
      </c>
      <c r="I1579" t="s">
        <v>2262</v>
      </c>
      <c r="K1579">
        <v>3</v>
      </c>
      <c r="L1579">
        <v>100</v>
      </c>
      <c r="M1579">
        <v>0.15</v>
      </c>
      <c r="N1579">
        <v>300</v>
      </c>
      <c r="O1579">
        <v>255</v>
      </c>
      <c r="P1579" t="s">
        <v>2269</v>
      </c>
      <c r="Q1579" t="s">
        <v>2272</v>
      </c>
      <c r="R1579" t="s">
        <v>2274</v>
      </c>
      <c r="S1579" t="s">
        <v>2285</v>
      </c>
      <c r="T1579" t="s">
        <v>2288</v>
      </c>
      <c r="U1579">
        <v>4</v>
      </c>
      <c r="W1579">
        <v>23</v>
      </c>
      <c r="X1579">
        <v>44.47</v>
      </c>
      <c r="Y1579">
        <v>121.59</v>
      </c>
      <c r="Z1579" t="s">
        <v>2292</v>
      </c>
      <c r="AA1579" t="s">
        <v>2298</v>
      </c>
      <c r="AB1579">
        <v>300</v>
      </c>
      <c r="AC1579">
        <v>45</v>
      </c>
      <c r="AD1579">
        <v>255</v>
      </c>
      <c r="AE1579">
        <v>133.41</v>
      </c>
      <c r="AF1579">
        <v>121.59</v>
      </c>
    </row>
    <row r="1580" spans="1:36" x14ac:dyDescent="0.3">
      <c r="A1580" t="s">
        <v>1614</v>
      </c>
      <c r="B1580" s="2">
        <v>45601</v>
      </c>
      <c r="C1580" t="s">
        <v>1680</v>
      </c>
      <c r="D1580" t="s">
        <v>1807</v>
      </c>
      <c r="E1580" t="s">
        <v>2089</v>
      </c>
      <c r="F1580" t="s">
        <v>2239</v>
      </c>
      <c r="G1580" t="s">
        <v>2248</v>
      </c>
      <c r="H1580" t="s">
        <v>2257</v>
      </c>
      <c r="I1580" t="s">
        <v>2262</v>
      </c>
      <c r="J1580" t="s">
        <v>2265</v>
      </c>
      <c r="K1580">
        <v>1</v>
      </c>
      <c r="L1580">
        <v>150</v>
      </c>
      <c r="M1580">
        <v>0.15</v>
      </c>
      <c r="N1580">
        <v>150</v>
      </c>
      <c r="O1580">
        <v>127.5</v>
      </c>
      <c r="P1580" t="s">
        <v>2267</v>
      </c>
      <c r="Q1580" t="s">
        <v>2271</v>
      </c>
      <c r="R1580" t="s">
        <v>2273</v>
      </c>
      <c r="S1580" t="s">
        <v>2285</v>
      </c>
      <c r="T1580" t="s">
        <v>2288</v>
      </c>
      <c r="U1580">
        <v>1</v>
      </c>
      <c r="V1580">
        <v>466</v>
      </c>
      <c r="W1580">
        <v>49</v>
      </c>
      <c r="X1580">
        <v>73.58</v>
      </c>
      <c r="Y1580">
        <v>53.92</v>
      </c>
      <c r="Z1580" t="s">
        <v>1761</v>
      </c>
      <c r="AA1580" t="s">
        <v>1761</v>
      </c>
      <c r="AB1580">
        <v>150</v>
      </c>
      <c r="AC1580">
        <v>22.5</v>
      </c>
      <c r="AD1580">
        <v>127.5</v>
      </c>
      <c r="AE1580">
        <v>73.58</v>
      </c>
      <c r="AF1580">
        <v>53.92</v>
      </c>
      <c r="AG1580">
        <v>2024</v>
      </c>
      <c r="AH1580">
        <v>11</v>
      </c>
      <c r="AI1580" t="s">
        <v>2311</v>
      </c>
      <c r="AJ1580" t="s">
        <v>2313</v>
      </c>
    </row>
    <row r="1581" spans="1:36" x14ac:dyDescent="0.3">
      <c r="A1581" t="s">
        <v>1615</v>
      </c>
      <c r="B1581" s="2">
        <v>45472</v>
      </c>
      <c r="C1581" t="s">
        <v>1733</v>
      </c>
      <c r="D1581" t="s">
        <v>1895</v>
      </c>
      <c r="E1581" t="s">
        <v>1761</v>
      </c>
      <c r="F1581" t="s">
        <v>2240</v>
      </c>
      <c r="G1581" t="s">
        <v>2248</v>
      </c>
      <c r="H1581" t="s">
        <v>2257</v>
      </c>
      <c r="I1581" t="s">
        <v>2262</v>
      </c>
      <c r="J1581" t="s">
        <v>2266</v>
      </c>
      <c r="K1581">
        <v>3</v>
      </c>
      <c r="L1581">
        <v>140</v>
      </c>
      <c r="M1581">
        <v>0</v>
      </c>
      <c r="N1581">
        <v>420</v>
      </c>
      <c r="O1581">
        <v>420</v>
      </c>
      <c r="P1581" t="s">
        <v>2267</v>
      </c>
      <c r="Q1581" t="s">
        <v>2272</v>
      </c>
      <c r="R1581" t="s">
        <v>2278</v>
      </c>
      <c r="S1581" t="s">
        <v>2281</v>
      </c>
      <c r="T1581" t="s">
        <v>2288</v>
      </c>
      <c r="U1581">
        <v>2</v>
      </c>
      <c r="V1581">
        <v>254</v>
      </c>
      <c r="W1581">
        <v>55</v>
      </c>
      <c r="X1581">
        <v>73.31</v>
      </c>
      <c r="Y1581">
        <v>200.07</v>
      </c>
      <c r="Z1581" t="s">
        <v>2291</v>
      </c>
      <c r="AA1581" t="s">
        <v>2297</v>
      </c>
      <c r="AB1581">
        <v>420</v>
      </c>
      <c r="AC1581">
        <v>0</v>
      </c>
      <c r="AD1581">
        <v>420</v>
      </c>
      <c r="AE1581">
        <v>219.93</v>
      </c>
      <c r="AF1581">
        <v>200.07</v>
      </c>
      <c r="AG1581">
        <v>2024</v>
      </c>
      <c r="AH1581">
        <v>6</v>
      </c>
      <c r="AI1581" t="s">
        <v>2304</v>
      </c>
      <c r="AJ1581" t="s">
        <v>2317</v>
      </c>
    </row>
    <row r="1582" spans="1:36" x14ac:dyDescent="0.3">
      <c r="A1582" t="s">
        <v>1616</v>
      </c>
      <c r="B1582" s="2">
        <v>45588</v>
      </c>
      <c r="C1582" t="s">
        <v>1653</v>
      </c>
      <c r="D1582" t="s">
        <v>1853</v>
      </c>
      <c r="E1582" t="s">
        <v>2161</v>
      </c>
      <c r="F1582" t="s">
        <v>2240</v>
      </c>
      <c r="G1582" t="s">
        <v>2242</v>
      </c>
      <c r="H1582" t="s">
        <v>2258</v>
      </c>
      <c r="I1582" t="s">
        <v>2260</v>
      </c>
      <c r="J1582" t="s">
        <v>2264</v>
      </c>
      <c r="K1582">
        <v>1</v>
      </c>
      <c r="L1582">
        <v>125</v>
      </c>
      <c r="M1582">
        <v>0.05</v>
      </c>
      <c r="N1582">
        <v>125</v>
      </c>
      <c r="O1582">
        <v>118.75</v>
      </c>
      <c r="P1582" t="s">
        <v>2267</v>
      </c>
      <c r="Q1582" t="s">
        <v>2270</v>
      </c>
      <c r="R1582" t="s">
        <v>2278</v>
      </c>
      <c r="S1582" t="s">
        <v>2281</v>
      </c>
      <c r="T1582" t="s">
        <v>2288</v>
      </c>
      <c r="U1582">
        <v>2</v>
      </c>
      <c r="V1582">
        <v>341</v>
      </c>
      <c r="W1582">
        <v>58</v>
      </c>
      <c r="X1582">
        <v>60.4</v>
      </c>
      <c r="Y1582">
        <v>58.35</v>
      </c>
      <c r="Z1582" t="s">
        <v>2294</v>
      </c>
      <c r="AA1582" t="s">
        <v>2296</v>
      </c>
      <c r="AB1582">
        <v>125</v>
      </c>
      <c r="AC1582">
        <v>6.25</v>
      </c>
      <c r="AD1582">
        <v>118.75</v>
      </c>
      <c r="AE1582">
        <v>60.4</v>
      </c>
      <c r="AF1582">
        <v>58.35</v>
      </c>
      <c r="AG1582">
        <v>2024</v>
      </c>
      <c r="AH1582">
        <v>10</v>
      </c>
      <c r="AI1582" t="s">
        <v>2310</v>
      </c>
      <c r="AJ1582" t="s">
        <v>2312</v>
      </c>
    </row>
    <row r="1583" spans="1:36" x14ac:dyDescent="0.3">
      <c r="A1583" t="s">
        <v>1617</v>
      </c>
      <c r="B1583" s="2">
        <v>45598</v>
      </c>
      <c r="C1583" t="s">
        <v>1656</v>
      </c>
      <c r="D1583" t="s">
        <v>1877</v>
      </c>
      <c r="E1583" t="s">
        <v>2047</v>
      </c>
      <c r="F1583" t="s">
        <v>1761</v>
      </c>
      <c r="G1583" t="s">
        <v>2241</v>
      </c>
      <c r="H1583" t="s">
        <v>2257</v>
      </c>
      <c r="I1583" t="s">
        <v>2262</v>
      </c>
      <c r="K1583">
        <v>2</v>
      </c>
      <c r="L1583">
        <v>130</v>
      </c>
      <c r="M1583">
        <v>0.05</v>
      </c>
      <c r="N1583">
        <v>260</v>
      </c>
      <c r="O1583">
        <v>247</v>
      </c>
      <c r="P1583" t="s">
        <v>2267</v>
      </c>
      <c r="Q1583" t="s">
        <v>2272</v>
      </c>
      <c r="R1583" t="s">
        <v>2275</v>
      </c>
      <c r="S1583" t="s">
        <v>2285</v>
      </c>
      <c r="T1583" t="s">
        <v>2290</v>
      </c>
      <c r="U1583">
        <v>4</v>
      </c>
      <c r="V1583">
        <v>298</v>
      </c>
      <c r="W1583">
        <v>12</v>
      </c>
      <c r="X1583">
        <v>75.73</v>
      </c>
      <c r="Y1583">
        <v>95.54</v>
      </c>
      <c r="Z1583" t="s">
        <v>2291</v>
      </c>
      <c r="AA1583" t="s">
        <v>2297</v>
      </c>
      <c r="AB1583">
        <v>260</v>
      </c>
      <c r="AC1583">
        <v>13</v>
      </c>
      <c r="AD1583">
        <v>247</v>
      </c>
      <c r="AE1583">
        <v>151.46</v>
      </c>
      <c r="AF1583">
        <v>95.539999999999992</v>
      </c>
      <c r="AG1583">
        <v>2024</v>
      </c>
      <c r="AH1583">
        <v>11</v>
      </c>
      <c r="AI1583" t="s">
        <v>2311</v>
      </c>
      <c r="AJ1583" t="s">
        <v>2317</v>
      </c>
    </row>
    <row r="1584" spans="1:36" x14ac:dyDescent="0.3">
      <c r="A1584" t="s">
        <v>1618</v>
      </c>
      <c r="B1584" s="2">
        <v>45528</v>
      </c>
      <c r="C1584" t="s">
        <v>1703</v>
      </c>
      <c r="D1584" t="s">
        <v>1904</v>
      </c>
      <c r="E1584" t="s">
        <v>2109</v>
      </c>
      <c r="F1584" t="s">
        <v>1761</v>
      </c>
      <c r="G1584" t="s">
        <v>2255</v>
      </c>
      <c r="H1584" t="s">
        <v>2260</v>
      </c>
      <c r="I1584" t="s">
        <v>2260</v>
      </c>
      <c r="J1584" t="s">
        <v>2264</v>
      </c>
      <c r="K1584">
        <v>1</v>
      </c>
      <c r="L1584">
        <v>190</v>
      </c>
      <c r="M1584">
        <v>0.05</v>
      </c>
      <c r="N1584">
        <v>190</v>
      </c>
      <c r="O1584">
        <v>180.5</v>
      </c>
      <c r="P1584" t="s">
        <v>2269</v>
      </c>
      <c r="Q1584" t="s">
        <v>2270</v>
      </c>
      <c r="R1584" t="s">
        <v>2275</v>
      </c>
      <c r="S1584" t="s">
        <v>2282</v>
      </c>
      <c r="T1584" t="s">
        <v>2289</v>
      </c>
      <c r="U1584">
        <v>1</v>
      </c>
      <c r="V1584">
        <v>34</v>
      </c>
      <c r="X1584">
        <v>89.69</v>
      </c>
      <c r="Y1584">
        <v>90.81</v>
      </c>
      <c r="Z1584" t="s">
        <v>2293</v>
      </c>
      <c r="AA1584" t="s">
        <v>2296</v>
      </c>
      <c r="AB1584">
        <v>190</v>
      </c>
      <c r="AC1584">
        <v>9.5</v>
      </c>
      <c r="AD1584">
        <v>180.5</v>
      </c>
      <c r="AE1584">
        <v>89.69</v>
      </c>
      <c r="AF1584">
        <v>90.81</v>
      </c>
      <c r="AG1584">
        <v>2024</v>
      </c>
      <c r="AH1584">
        <v>8</v>
      </c>
      <c r="AI1584" t="s">
        <v>2301</v>
      </c>
      <c r="AJ1584" t="s">
        <v>2317</v>
      </c>
    </row>
    <row r="1585" spans="1:36" x14ac:dyDescent="0.3">
      <c r="A1585" t="s">
        <v>1619</v>
      </c>
      <c r="B1585" s="2">
        <v>45349</v>
      </c>
      <c r="C1585" t="s">
        <v>1732</v>
      </c>
      <c r="D1585" t="s">
        <v>1935</v>
      </c>
      <c r="E1585" t="s">
        <v>2233</v>
      </c>
      <c r="F1585" t="s">
        <v>1761</v>
      </c>
      <c r="G1585" t="s">
        <v>2244</v>
      </c>
      <c r="H1585" t="s">
        <v>2257</v>
      </c>
      <c r="I1585" t="s">
        <v>2262</v>
      </c>
      <c r="J1585" t="s">
        <v>2266</v>
      </c>
      <c r="K1585">
        <v>3</v>
      </c>
      <c r="L1585">
        <v>115</v>
      </c>
      <c r="M1585">
        <v>0.05</v>
      </c>
      <c r="O1585">
        <v>327.75</v>
      </c>
      <c r="P1585" t="s">
        <v>2269</v>
      </c>
      <c r="Q1585" t="s">
        <v>2272</v>
      </c>
      <c r="R1585" t="s">
        <v>2276</v>
      </c>
      <c r="S1585" t="s">
        <v>2287</v>
      </c>
      <c r="T1585" t="s">
        <v>2290</v>
      </c>
      <c r="U1585">
        <v>1</v>
      </c>
      <c r="V1585">
        <v>427</v>
      </c>
      <c r="X1585">
        <v>55.51</v>
      </c>
      <c r="Y1585">
        <v>161.22</v>
      </c>
      <c r="Z1585" t="s">
        <v>1761</v>
      </c>
      <c r="AA1585" t="s">
        <v>2299</v>
      </c>
      <c r="AB1585">
        <v>345</v>
      </c>
      <c r="AC1585">
        <v>17.25</v>
      </c>
      <c r="AD1585">
        <v>327.75</v>
      </c>
      <c r="AE1585">
        <v>166.53</v>
      </c>
      <c r="AF1585">
        <v>161.22</v>
      </c>
      <c r="AG1585">
        <v>2024</v>
      </c>
      <c r="AH1585">
        <v>2</v>
      </c>
      <c r="AI1585" t="s">
        <v>2303</v>
      </c>
      <c r="AJ1585" t="s">
        <v>2313</v>
      </c>
    </row>
    <row r="1586" spans="1:36" x14ac:dyDescent="0.3">
      <c r="A1586" t="s">
        <v>1620</v>
      </c>
      <c r="B1586" s="2">
        <v>45556</v>
      </c>
      <c r="C1586" t="s">
        <v>1690</v>
      </c>
      <c r="D1586" t="s">
        <v>1800</v>
      </c>
      <c r="E1586" t="s">
        <v>2157</v>
      </c>
      <c r="F1586" t="s">
        <v>2238</v>
      </c>
      <c r="G1586" t="s">
        <v>2256</v>
      </c>
      <c r="H1586" t="s">
        <v>2261</v>
      </c>
      <c r="I1586" t="s">
        <v>2260</v>
      </c>
      <c r="J1586" t="s">
        <v>2265</v>
      </c>
      <c r="K1586">
        <v>4</v>
      </c>
      <c r="L1586">
        <v>190</v>
      </c>
      <c r="M1586">
        <v>0</v>
      </c>
      <c r="N1586">
        <v>760</v>
      </c>
      <c r="O1586">
        <v>760</v>
      </c>
      <c r="P1586" t="s">
        <v>2269</v>
      </c>
      <c r="Q1586" t="s">
        <v>2270</v>
      </c>
      <c r="R1586" t="s">
        <v>2276</v>
      </c>
      <c r="S1586" t="s">
        <v>2282</v>
      </c>
      <c r="T1586" t="s">
        <v>2289</v>
      </c>
      <c r="U1586">
        <v>5</v>
      </c>
      <c r="V1586">
        <v>314</v>
      </c>
      <c r="X1586">
        <v>95.54</v>
      </c>
      <c r="Y1586">
        <v>377.84</v>
      </c>
      <c r="Z1586" t="s">
        <v>2291</v>
      </c>
      <c r="AA1586" t="s">
        <v>2296</v>
      </c>
      <c r="AB1586">
        <v>760</v>
      </c>
      <c r="AC1586">
        <v>0</v>
      </c>
      <c r="AD1586">
        <v>760</v>
      </c>
      <c r="AE1586">
        <v>382.16</v>
      </c>
      <c r="AF1586">
        <v>377.84</v>
      </c>
      <c r="AG1586">
        <v>2024</v>
      </c>
      <c r="AH1586">
        <v>9</v>
      </c>
      <c r="AI1586" t="s">
        <v>2300</v>
      </c>
      <c r="AJ1586" t="s">
        <v>2317</v>
      </c>
    </row>
    <row r="1587" spans="1:36" x14ac:dyDescent="0.3">
      <c r="A1587" t="s">
        <v>1621</v>
      </c>
      <c r="B1587" s="2">
        <v>45314</v>
      </c>
      <c r="C1587" t="s">
        <v>1690</v>
      </c>
      <c r="D1587" t="s">
        <v>1879</v>
      </c>
      <c r="E1587" t="s">
        <v>2187</v>
      </c>
      <c r="F1587" t="s">
        <v>2240</v>
      </c>
      <c r="G1587" t="s">
        <v>2249</v>
      </c>
      <c r="H1587" t="s">
        <v>2257</v>
      </c>
      <c r="I1587" t="s">
        <v>2263</v>
      </c>
      <c r="J1587" t="s">
        <v>2266</v>
      </c>
      <c r="K1587">
        <v>1</v>
      </c>
      <c r="L1587">
        <v>170</v>
      </c>
      <c r="M1587">
        <v>0</v>
      </c>
      <c r="N1587">
        <v>170</v>
      </c>
      <c r="O1587">
        <v>170</v>
      </c>
      <c r="P1587" t="s">
        <v>2268</v>
      </c>
      <c r="Q1587" t="s">
        <v>2270</v>
      </c>
      <c r="R1587" t="s">
        <v>2278</v>
      </c>
      <c r="S1587" t="s">
        <v>2285</v>
      </c>
      <c r="T1587" t="s">
        <v>2288</v>
      </c>
      <c r="U1587">
        <v>3</v>
      </c>
      <c r="V1587">
        <v>435</v>
      </c>
      <c r="X1587">
        <v>93.11</v>
      </c>
      <c r="Y1587">
        <v>76.89</v>
      </c>
      <c r="Z1587" t="s">
        <v>1761</v>
      </c>
      <c r="AA1587" t="s">
        <v>2298</v>
      </c>
      <c r="AB1587">
        <v>170</v>
      </c>
      <c r="AC1587">
        <v>0</v>
      </c>
      <c r="AD1587">
        <v>170</v>
      </c>
      <c r="AE1587">
        <v>93.11</v>
      </c>
      <c r="AF1587">
        <v>76.89</v>
      </c>
      <c r="AG1587">
        <v>2024</v>
      </c>
      <c r="AH1587">
        <v>1</v>
      </c>
      <c r="AI1587" t="s">
        <v>2302</v>
      </c>
      <c r="AJ1587" t="s">
        <v>2313</v>
      </c>
    </row>
    <row r="1588" spans="1:36" x14ac:dyDescent="0.3">
      <c r="A1588" t="s">
        <v>1622</v>
      </c>
      <c r="B1588" s="2">
        <v>45372</v>
      </c>
      <c r="C1588" t="s">
        <v>1652</v>
      </c>
      <c r="D1588" t="s">
        <v>1757</v>
      </c>
      <c r="E1588" t="s">
        <v>2091</v>
      </c>
      <c r="F1588" t="s">
        <v>2240</v>
      </c>
      <c r="G1588" t="s">
        <v>2253</v>
      </c>
      <c r="H1588" t="s">
        <v>2258</v>
      </c>
      <c r="I1588" t="s">
        <v>2260</v>
      </c>
      <c r="K1588">
        <v>1</v>
      </c>
      <c r="L1588">
        <v>90</v>
      </c>
      <c r="M1588">
        <v>0</v>
      </c>
      <c r="N1588">
        <v>90</v>
      </c>
      <c r="O1588">
        <v>90</v>
      </c>
      <c r="P1588" t="s">
        <v>2269</v>
      </c>
      <c r="Q1588" t="s">
        <v>2272</v>
      </c>
      <c r="R1588" t="s">
        <v>2273</v>
      </c>
      <c r="S1588" t="s">
        <v>2285</v>
      </c>
      <c r="T1588" t="s">
        <v>2288</v>
      </c>
      <c r="U1588">
        <v>5</v>
      </c>
      <c r="V1588">
        <v>261</v>
      </c>
      <c r="X1588">
        <v>38.22</v>
      </c>
      <c r="Y1588">
        <v>51.78</v>
      </c>
      <c r="Z1588" t="s">
        <v>2294</v>
      </c>
      <c r="AA1588" t="s">
        <v>1761</v>
      </c>
      <c r="AB1588">
        <v>90</v>
      </c>
      <c r="AC1588">
        <v>0</v>
      </c>
      <c r="AD1588">
        <v>90</v>
      </c>
      <c r="AE1588">
        <v>38.22</v>
      </c>
      <c r="AF1588">
        <v>51.78</v>
      </c>
      <c r="AG1588">
        <v>2024</v>
      </c>
      <c r="AH1588">
        <v>3</v>
      </c>
      <c r="AI1588" t="s">
        <v>2305</v>
      </c>
      <c r="AJ1588" t="s">
        <v>2316</v>
      </c>
    </row>
    <row r="1589" spans="1:36" x14ac:dyDescent="0.3">
      <c r="A1589" t="s">
        <v>1623</v>
      </c>
      <c r="B1589" s="2">
        <v>45380</v>
      </c>
      <c r="C1589" t="s">
        <v>1716</v>
      </c>
      <c r="D1589" t="s">
        <v>1898</v>
      </c>
      <c r="E1589" t="s">
        <v>2096</v>
      </c>
      <c r="F1589" t="s">
        <v>2240</v>
      </c>
      <c r="G1589" t="s">
        <v>2242</v>
      </c>
      <c r="H1589" t="s">
        <v>2258</v>
      </c>
      <c r="I1589" t="s">
        <v>2260</v>
      </c>
      <c r="J1589" t="s">
        <v>2264</v>
      </c>
      <c r="K1589">
        <v>2</v>
      </c>
      <c r="L1589">
        <v>130</v>
      </c>
      <c r="M1589">
        <v>0.05</v>
      </c>
      <c r="N1589">
        <v>260</v>
      </c>
      <c r="O1589">
        <v>247</v>
      </c>
      <c r="P1589" t="s">
        <v>2269</v>
      </c>
      <c r="Q1589" t="s">
        <v>2270</v>
      </c>
      <c r="R1589" t="s">
        <v>2279</v>
      </c>
      <c r="S1589" t="s">
        <v>2286</v>
      </c>
      <c r="T1589" t="s">
        <v>2288</v>
      </c>
      <c r="U1589">
        <v>4</v>
      </c>
      <c r="V1589">
        <v>85</v>
      </c>
      <c r="W1589">
        <v>36</v>
      </c>
      <c r="X1589">
        <v>54.49</v>
      </c>
      <c r="Y1589">
        <v>138.02000000000001</v>
      </c>
      <c r="Z1589" t="s">
        <v>2292</v>
      </c>
      <c r="AA1589" t="s">
        <v>2298</v>
      </c>
      <c r="AB1589">
        <v>260</v>
      </c>
      <c r="AC1589">
        <v>13</v>
      </c>
      <c r="AD1589">
        <v>247</v>
      </c>
      <c r="AE1589">
        <v>108.98</v>
      </c>
      <c r="AF1589">
        <v>138.02000000000001</v>
      </c>
      <c r="AG1589">
        <v>2024</v>
      </c>
      <c r="AH1589">
        <v>3</v>
      </c>
      <c r="AI1589" t="s">
        <v>2305</v>
      </c>
      <c r="AJ1589" t="s">
        <v>2315</v>
      </c>
    </row>
    <row r="1590" spans="1:36" x14ac:dyDescent="0.3">
      <c r="A1590" t="s">
        <v>1624</v>
      </c>
      <c r="B1590" s="2">
        <v>45494</v>
      </c>
      <c r="C1590" t="s">
        <v>1724</v>
      </c>
      <c r="D1590" t="s">
        <v>1778</v>
      </c>
      <c r="E1590" t="s">
        <v>1963</v>
      </c>
      <c r="F1590" t="s">
        <v>2238</v>
      </c>
      <c r="G1590" t="s">
        <v>2252</v>
      </c>
      <c r="H1590" t="s">
        <v>2257</v>
      </c>
      <c r="I1590" t="s">
        <v>2262</v>
      </c>
      <c r="K1590">
        <v>1</v>
      </c>
      <c r="L1590">
        <v>90</v>
      </c>
      <c r="M1590">
        <v>0</v>
      </c>
      <c r="N1590">
        <v>90</v>
      </c>
      <c r="O1590">
        <v>90</v>
      </c>
      <c r="P1590" t="s">
        <v>2267</v>
      </c>
      <c r="R1590" t="s">
        <v>2277</v>
      </c>
      <c r="S1590" t="s">
        <v>2285</v>
      </c>
      <c r="T1590" t="s">
        <v>2288</v>
      </c>
      <c r="V1590">
        <v>118</v>
      </c>
      <c r="W1590">
        <v>10</v>
      </c>
      <c r="X1590">
        <v>37.72</v>
      </c>
      <c r="Y1590">
        <v>52.28</v>
      </c>
      <c r="Z1590" t="s">
        <v>1761</v>
      </c>
      <c r="AA1590" t="s">
        <v>2297</v>
      </c>
      <c r="AB1590">
        <v>90</v>
      </c>
      <c r="AC1590">
        <v>0</v>
      </c>
      <c r="AD1590">
        <v>90</v>
      </c>
      <c r="AE1590">
        <v>37.72</v>
      </c>
      <c r="AF1590">
        <v>52.28</v>
      </c>
      <c r="AG1590">
        <v>2024</v>
      </c>
      <c r="AH1590">
        <v>7</v>
      </c>
      <c r="AI1590" t="s">
        <v>2307</v>
      </c>
      <c r="AJ1590" t="s">
        <v>2318</v>
      </c>
    </row>
    <row r="1591" spans="1:36" x14ac:dyDescent="0.3">
      <c r="A1591" t="s">
        <v>1625</v>
      </c>
      <c r="B1591" s="2">
        <v>45635</v>
      </c>
      <c r="C1591" t="s">
        <v>1665</v>
      </c>
      <c r="D1591" t="s">
        <v>1916</v>
      </c>
      <c r="E1591" t="s">
        <v>2015</v>
      </c>
      <c r="F1591" t="s">
        <v>1761</v>
      </c>
      <c r="G1591" t="s">
        <v>2242</v>
      </c>
      <c r="H1591" t="s">
        <v>2258</v>
      </c>
      <c r="I1591" t="s">
        <v>2260</v>
      </c>
      <c r="J1591" t="s">
        <v>2265</v>
      </c>
      <c r="K1591">
        <v>1</v>
      </c>
      <c r="L1591">
        <v>120</v>
      </c>
      <c r="M1591">
        <v>0.05</v>
      </c>
      <c r="N1591">
        <v>120</v>
      </c>
      <c r="O1591">
        <v>114</v>
      </c>
      <c r="P1591" t="s">
        <v>2269</v>
      </c>
      <c r="R1591" t="s">
        <v>2279</v>
      </c>
      <c r="S1591" t="s">
        <v>2287</v>
      </c>
      <c r="T1591" t="s">
        <v>2288</v>
      </c>
      <c r="U1591">
        <v>3</v>
      </c>
      <c r="W1591">
        <v>37</v>
      </c>
      <c r="X1591">
        <v>55.9</v>
      </c>
      <c r="Y1591">
        <v>58.1</v>
      </c>
      <c r="Z1591" t="s">
        <v>1761</v>
      </c>
      <c r="AA1591" t="s">
        <v>1761</v>
      </c>
      <c r="AB1591">
        <v>120</v>
      </c>
      <c r="AC1591">
        <v>6</v>
      </c>
      <c r="AD1591">
        <v>114</v>
      </c>
      <c r="AE1591">
        <v>55.9</v>
      </c>
      <c r="AF1591">
        <v>58.1</v>
      </c>
      <c r="AG1591">
        <v>2024</v>
      </c>
      <c r="AH1591">
        <v>12</v>
      </c>
      <c r="AI1591" t="s">
        <v>2309</v>
      </c>
      <c r="AJ1591" t="s">
        <v>2314</v>
      </c>
    </row>
    <row r="1592" spans="1:36" x14ac:dyDescent="0.3">
      <c r="A1592" t="s">
        <v>1626</v>
      </c>
      <c r="B1592" s="2">
        <v>45477</v>
      </c>
      <c r="C1592" t="s">
        <v>1643</v>
      </c>
      <c r="D1592" t="s">
        <v>1897</v>
      </c>
      <c r="E1592" t="s">
        <v>1761</v>
      </c>
      <c r="F1592" t="s">
        <v>2238</v>
      </c>
      <c r="G1592" t="s">
        <v>2247</v>
      </c>
      <c r="H1592" t="s">
        <v>2257</v>
      </c>
      <c r="I1592" t="s">
        <v>2262</v>
      </c>
      <c r="J1592" t="s">
        <v>2265</v>
      </c>
      <c r="K1592">
        <v>2</v>
      </c>
      <c r="L1592">
        <v>110</v>
      </c>
      <c r="M1592">
        <v>0</v>
      </c>
      <c r="N1592">
        <v>220</v>
      </c>
      <c r="O1592">
        <v>220</v>
      </c>
      <c r="P1592" t="s">
        <v>2267</v>
      </c>
      <c r="Q1592" t="s">
        <v>2270</v>
      </c>
      <c r="R1592" t="s">
        <v>2276</v>
      </c>
      <c r="S1592" t="s">
        <v>2284</v>
      </c>
      <c r="T1592" t="s">
        <v>2288</v>
      </c>
      <c r="U1592">
        <v>3</v>
      </c>
      <c r="V1592">
        <v>33</v>
      </c>
      <c r="W1592">
        <v>19</v>
      </c>
      <c r="X1592">
        <v>49.53</v>
      </c>
      <c r="Y1592">
        <v>120.94</v>
      </c>
      <c r="Z1592" t="s">
        <v>2294</v>
      </c>
      <c r="AA1592" t="s">
        <v>2296</v>
      </c>
      <c r="AB1592">
        <v>220</v>
      </c>
      <c r="AC1592">
        <v>0</v>
      </c>
      <c r="AD1592">
        <v>220</v>
      </c>
      <c r="AE1592">
        <v>99.06</v>
      </c>
      <c r="AF1592">
        <v>120.94</v>
      </c>
      <c r="AG1592">
        <v>2024</v>
      </c>
      <c r="AH1592">
        <v>7</v>
      </c>
      <c r="AI1592" t="s">
        <v>2307</v>
      </c>
      <c r="AJ1592" t="s">
        <v>2316</v>
      </c>
    </row>
    <row r="1593" spans="1:36" x14ac:dyDescent="0.3">
      <c r="A1593" t="s">
        <v>1627</v>
      </c>
      <c r="B1593" s="2">
        <v>45463</v>
      </c>
      <c r="C1593" t="s">
        <v>1692</v>
      </c>
      <c r="D1593" t="s">
        <v>1755</v>
      </c>
      <c r="E1593" t="s">
        <v>2216</v>
      </c>
      <c r="F1593" t="s">
        <v>2240</v>
      </c>
      <c r="G1593" t="s">
        <v>2248</v>
      </c>
      <c r="H1593" t="s">
        <v>2257</v>
      </c>
      <c r="I1593" t="s">
        <v>2262</v>
      </c>
      <c r="J1593" t="s">
        <v>2264</v>
      </c>
      <c r="K1593">
        <v>1</v>
      </c>
      <c r="L1593">
        <v>145</v>
      </c>
      <c r="M1593">
        <v>0.05</v>
      </c>
      <c r="N1593">
        <v>145</v>
      </c>
      <c r="O1593">
        <v>137.75</v>
      </c>
      <c r="P1593" t="s">
        <v>2269</v>
      </c>
      <c r="Q1593" t="s">
        <v>2271</v>
      </c>
      <c r="R1593" t="s">
        <v>2274</v>
      </c>
      <c r="S1593" t="s">
        <v>2282</v>
      </c>
      <c r="T1593" t="s">
        <v>2288</v>
      </c>
      <c r="U1593">
        <v>4</v>
      </c>
      <c r="W1593">
        <v>52</v>
      </c>
      <c r="X1593">
        <v>72.760000000000005</v>
      </c>
      <c r="Y1593">
        <v>64.989999999999995</v>
      </c>
      <c r="Z1593" t="s">
        <v>1761</v>
      </c>
      <c r="AA1593" t="s">
        <v>2297</v>
      </c>
      <c r="AB1593">
        <v>145</v>
      </c>
      <c r="AC1593">
        <v>7.25</v>
      </c>
      <c r="AD1593">
        <v>137.75</v>
      </c>
      <c r="AE1593">
        <v>72.760000000000005</v>
      </c>
      <c r="AF1593">
        <v>64.989999999999995</v>
      </c>
      <c r="AG1593">
        <v>2024</v>
      </c>
      <c r="AH1593">
        <v>6</v>
      </c>
      <c r="AI1593" t="s">
        <v>2304</v>
      </c>
      <c r="AJ1593" t="s">
        <v>2316</v>
      </c>
    </row>
    <row r="1594" spans="1:36" x14ac:dyDescent="0.3">
      <c r="A1594" t="s">
        <v>1628</v>
      </c>
      <c r="C1594" t="s">
        <v>1647</v>
      </c>
      <c r="D1594" t="s">
        <v>1936</v>
      </c>
      <c r="E1594" t="s">
        <v>1761</v>
      </c>
      <c r="F1594" t="s">
        <v>2239</v>
      </c>
      <c r="G1594" t="s">
        <v>2244</v>
      </c>
      <c r="H1594" t="s">
        <v>2257</v>
      </c>
      <c r="I1594" t="s">
        <v>2262</v>
      </c>
      <c r="J1594" t="s">
        <v>2265</v>
      </c>
      <c r="L1594">
        <v>115</v>
      </c>
      <c r="M1594">
        <v>0</v>
      </c>
      <c r="N1594">
        <v>115</v>
      </c>
      <c r="O1594">
        <v>115</v>
      </c>
      <c r="P1594" t="s">
        <v>2269</v>
      </c>
      <c r="R1594" t="s">
        <v>2277</v>
      </c>
      <c r="S1594" t="s">
        <v>2280</v>
      </c>
      <c r="T1594" t="s">
        <v>2290</v>
      </c>
      <c r="U1594">
        <v>5</v>
      </c>
      <c r="V1594">
        <v>173</v>
      </c>
      <c r="W1594">
        <v>58</v>
      </c>
      <c r="X1594">
        <v>60.59</v>
      </c>
      <c r="Y1594">
        <v>54.41</v>
      </c>
      <c r="Z1594" t="s">
        <v>1761</v>
      </c>
      <c r="AA1594" t="s">
        <v>2299</v>
      </c>
    </row>
    <row r="1595" spans="1:36" x14ac:dyDescent="0.3">
      <c r="A1595" t="s">
        <v>1629</v>
      </c>
      <c r="B1595" s="2">
        <v>45497</v>
      </c>
      <c r="C1595" t="s">
        <v>1737</v>
      </c>
      <c r="D1595" t="s">
        <v>1838</v>
      </c>
      <c r="E1595" t="s">
        <v>2021</v>
      </c>
      <c r="F1595" t="s">
        <v>2239</v>
      </c>
      <c r="G1595" t="s">
        <v>2248</v>
      </c>
      <c r="H1595" t="s">
        <v>2257</v>
      </c>
      <c r="I1595" t="s">
        <v>2262</v>
      </c>
      <c r="J1595" t="s">
        <v>2266</v>
      </c>
      <c r="K1595">
        <v>3</v>
      </c>
      <c r="L1595">
        <v>145</v>
      </c>
      <c r="M1595">
        <v>0</v>
      </c>
      <c r="N1595">
        <v>435</v>
      </c>
      <c r="O1595">
        <v>435</v>
      </c>
      <c r="Q1595" t="s">
        <v>2270</v>
      </c>
      <c r="R1595" t="s">
        <v>2278</v>
      </c>
      <c r="S1595" t="s">
        <v>2284</v>
      </c>
      <c r="T1595" t="s">
        <v>2288</v>
      </c>
      <c r="U1595">
        <v>3</v>
      </c>
      <c r="V1595">
        <v>1</v>
      </c>
      <c r="W1595">
        <v>46</v>
      </c>
      <c r="X1595">
        <v>59.85</v>
      </c>
      <c r="Y1595">
        <v>255.45</v>
      </c>
      <c r="Z1595" t="s">
        <v>2292</v>
      </c>
      <c r="AA1595" t="s">
        <v>2296</v>
      </c>
      <c r="AB1595">
        <v>435</v>
      </c>
      <c r="AC1595">
        <v>0</v>
      </c>
      <c r="AD1595">
        <v>435</v>
      </c>
      <c r="AE1595">
        <v>179.55</v>
      </c>
      <c r="AF1595">
        <v>255.45</v>
      </c>
      <c r="AG1595">
        <v>2024</v>
      </c>
      <c r="AH1595">
        <v>7</v>
      </c>
      <c r="AI1595" t="s">
        <v>2307</v>
      </c>
      <c r="AJ1595" t="s">
        <v>2312</v>
      </c>
    </row>
    <row r="1596" spans="1:36" x14ac:dyDescent="0.3">
      <c r="A1596" t="s">
        <v>1630</v>
      </c>
      <c r="B1596" s="2">
        <v>45403</v>
      </c>
      <c r="C1596" t="s">
        <v>1718</v>
      </c>
      <c r="D1596" t="s">
        <v>1749</v>
      </c>
      <c r="E1596" t="s">
        <v>2218</v>
      </c>
      <c r="F1596" t="s">
        <v>1761</v>
      </c>
      <c r="G1596" t="s">
        <v>2246</v>
      </c>
      <c r="H1596" t="s">
        <v>2259</v>
      </c>
      <c r="I1596" t="s">
        <v>2262</v>
      </c>
      <c r="K1596">
        <v>3</v>
      </c>
      <c r="L1596">
        <v>95</v>
      </c>
      <c r="N1596">
        <v>285</v>
      </c>
      <c r="P1596" t="s">
        <v>2267</v>
      </c>
      <c r="Q1596" t="s">
        <v>2270</v>
      </c>
      <c r="R1596" t="s">
        <v>2279</v>
      </c>
      <c r="S1596" t="s">
        <v>2286</v>
      </c>
      <c r="T1596" t="s">
        <v>2288</v>
      </c>
      <c r="U1596">
        <v>3</v>
      </c>
      <c r="V1596">
        <v>300</v>
      </c>
      <c r="W1596">
        <v>23</v>
      </c>
      <c r="X1596">
        <v>44.09</v>
      </c>
      <c r="Z1596" t="s">
        <v>2294</v>
      </c>
      <c r="AA1596" t="s">
        <v>2298</v>
      </c>
      <c r="AB1596">
        <v>285</v>
      </c>
      <c r="AC1596">
        <v>0</v>
      </c>
      <c r="AD1596">
        <v>285</v>
      </c>
      <c r="AE1596">
        <v>132.27000000000001</v>
      </c>
      <c r="AF1596">
        <v>152.72999999999999</v>
      </c>
      <c r="AG1596">
        <v>2024</v>
      </c>
      <c r="AH1596">
        <v>4</v>
      </c>
      <c r="AI1596" t="s">
        <v>2308</v>
      </c>
      <c r="AJ1596" t="s">
        <v>2318</v>
      </c>
    </row>
    <row r="1597" spans="1:36" x14ac:dyDescent="0.3">
      <c r="A1597" t="s">
        <v>1631</v>
      </c>
      <c r="B1597" s="2">
        <v>45564</v>
      </c>
      <c r="C1597" t="s">
        <v>1725</v>
      </c>
      <c r="D1597" t="s">
        <v>1906</v>
      </c>
      <c r="E1597" t="s">
        <v>1761</v>
      </c>
      <c r="F1597" t="s">
        <v>2240</v>
      </c>
      <c r="G1597" t="s">
        <v>2252</v>
      </c>
      <c r="H1597" t="s">
        <v>2257</v>
      </c>
      <c r="I1597" t="s">
        <v>2262</v>
      </c>
      <c r="J1597" t="s">
        <v>2264</v>
      </c>
      <c r="K1597">
        <v>1</v>
      </c>
      <c r="L1597">
        <v>95</v>
      </c>
      <c r="M1597">
        <v>0</v>
      </c>
      <c r="N1597">
        <v>95</v>
      </c>
      <c r="O1597">
        <v>95</v>
      </c>
      <c r="P1597" t="s">
        <v>2267</v>
      </c>
      <c r="Q1597" t="s">
        <v>2270</v>
      </c>
      <c r="R1597" t="s">
        <v>2278</v>
      </c>
      <c r="S1597" t="s">
        <v>2284</v>
      </c>
      <c r="T1597" t="s">
        <v>2288</v>
      </c>
      <c r="U1597">
        <v>5</v>
      </c>
      <c r="V1597">
        <v>119</v>
      </c>
      <c r="W1597">
        <v>35</v>
      </c>
      <c r="X1597">
        <v>31.97</v>
      </c>
      <c r="Y1597">
        <v>63.03</v>
      </c>
      <c r="Z1597" t="s">
        <v>1761</v>
      </c>
      <c r="AA1597" t="s">
        <v>2296</v>
      </c>
      <c r="AB1597">
        <v>95</v>
      </c>
      <c r="AC1597">
        <v>0</v>
      </c>
      <c r="AD1597">
        <v>95</v>
      </c>
      <c r="AE1597">
        <v>31.97</v>
      </c>
      <c r="AF1597">
        <v>63.03</v>
      </c>
      <c r="AG1597">
        <v>2024</v>
      </c>
      <c r="AH1597">
        <v>9</v>
      </c>
      <c r="AI1597" t="s">
        <v>2300</v>
      </c>
      <c r="AJ1597" t="s">
        <v>2318</v>
      </c>
    </row>
    <row r="1598" spans="1:36" x14ac:dyDescent="0.3">
      <c r="A1598" t="s">
        <v>1632</v>
      </c>
      <c r="B1598" s="2">
        <v>45589</v>
      </c>
      <c r="C1598" t="s">
        <v>1707</v>
      </c>
      <c r="D1598" t="s">
        <v>1784</v>
      </c>
      <c r="E1598" t="s">
        <v>2093</v>
      </c>
      <c r="F1598" t="s">
        <v>2239</v>
      </c>
      <c r="G1598" t="s">
        <v>2244</v>
      </c>
      <c r="H1598" t="s">
        <v>2257</v>
      </c>
      <c r="I1598" t="s">
        <v>2262</v>
      </c>
      <c r="J1598" t="s">
        <v>2266</v>
      </c>
      <c r="K1598">
        <v>1</v>
      </c>
      <c r="L1598">
        <v>120</v>
      </c>
      <c r="M1598">
        <v>0.1</v>
      </c>
      <c r="N1598">
        <v>120</v>
      </c>
      <c r="O1598">
        <v>108</v>
      </c>
      <c r="P1598" t="s">
        <v>2268</v>
      </c>
      <c r="Q1598" t="s">
        <v>2270</v>
      </c>
      <c r="R1598" t="s">
        <v>2276</v>
      </c>
      <c r="S1598" t="s">
        <v>2281</v>
      </c>
      <c r="T1598" t="s">
        <v>2290</v>
      </c>
      <c r="W1598">
        <v>31</v>
      </c>
      <c r="X1598">
        <v>48.07</v>
      </c>
      <c r="Y1598">
        <v>59.93</v>
      </c>
      <c r="Z1598" t="s">
        <v>2293</v>
      </c>
      <c r="AA1598" t="s">
        <v>1761</v>
      </c>
      <c r="AB1598">
        <v>120</v>
      </c>
      <c r="AC1598">
        <v>12</v>
      </c>
      <c r="AD1598">
        <v>108</v>
      </c>
      <c r="AE1598">
        <v>48.07</v>
      </c>
      <c r="AF1598">
        <v>59.93</v>
      </c>
      <c r="AG1598">
        <v>2024</v>
      </c>
      <c r="AH1598">
        <v>10</v>
      </c>
      <c r="AI1598" t="s">
        <v>2310</v>
      </c>
      <c r="AJ1598" t="s">
        <v>2316</v>
      </c>
    </row>
    <row r="1599" spans="1:36" x14ac:dyDescent="0.3">
      <c r="A1599" t="s">
        <v>1633</v>
      </c>
      <c r="B1599" s="2">
        <v>45622</v>
      </c>
      <c r="C1599" t="s">
        <v>1690</v>
      </c>
      <c r="D1599" t="s">
        <v>1898</v>
      </c>
      <c r="E1599" t="s">
        <v>2013</v>
      </c>
      <c r="F1599" t="s">
        <v>2239</v>
      </c>
      <c r="G1599" t="s">
        <v>2242</v>
      </c>
      <c r="H1599" t="s">
        <v>2258</v>
      </c>
      <c r="I1599" t="s">
        <v>2260</v>
      </c>
      <c r="J1599" t="s">
        <v>2264</v>
      </c>
      <c r="K1599">
        <v>2</v>
      </c>
      <c r="L1599">
        <v>125</v>
      </c>
      <c r="M1599">
        <v>0.05</v>
      </c>
      <c r="O1599">
        <v>237.5</v>
      </c>
      <c r="P1599" t="s">
        <v>2267</v>
      </c>
      <c r="Q1599" t="s">
        <v>2272</v>
      </c>
      <c r="R1599" t="s">
        <v>2275</v>
      </c>
      <c r="S1599" t="s">
        <v>2286</v>
      </c>
      <c r="T1599" t="s">
        <v>2288</v>
      </c>
      <c r="U1599">
        <v>4</v>
      </c>
      <c r="V1599">
        <v>170</v>
      </c>
      <c r="W1599">
        <v>38</v>
      </c>
      <c r="X1599">
        <v>44</v>
      </c>
      <c r="Y1599">
        <v>149.5</v>
      </c>
      <c r="Z1599" t="s">
        <v>2293</v>
      </c>
      <c r="AA1599" t="s">
        <v>2298</v>
      </c>
      <c r="AB1599">
        <v>250</v>
      </c>
      <c r="AC1599">
        <v>12.5</v>
      </c>
      <c r="AD1599">
        <v>237.5</v>
      </c>
      <c r="AE1599">
        <v>88</v>
      </c>
      <c r="AF1599">
        <v>149.5</v>
      </c>
      <c r="AG1599">
        <v>2024</v>
      </c>
      <c r="AH1599">
        <v>11</v>
      </c>
      <c r="AI1599" t="s">
        <v>2311</v>
      </c>
      <c r="AJ1599" t="s">
        <v>2313</v>
      </c>
    </row>
    <row r="1600" spans="1:36" x14ac:dyDescent="0.3">
      <c r="A1600" t="s">
        <v>1634</v>
      </c>
      <c r="B1600" s="2">
        <v>45325</v>
      </c>
      <c r="C1600" t="s">
        <v>1664</v>
      </c>
      <c r="D1600" t="s">
        <v>1916</v>
      </c>
      <c r="E1600" t="s">
        <v>2126</v>
      </c>
      <c r="F1600" t="s">
        <v>1761</v>
      </c>
      <c r="G1600" t="s">
        <v>2243</v>
      </c>
      <c r="H1600" t="s">
        <v>2258</v>
      </c>
      <c r="I1600" t="s">
        <v>2260</v>
      </c>
      <c r="J1600" t="s">
        <v>2265</v>
      </c>
      <c r="K1600">
        <v>1</v>
      </c>
      <c r="L1600">
        <v>70</v>
      </c>
      <c r="M1600">
        <v>0</v>
      </c>
      <c r="O1600">
        <v>70</v>
      </c>
      <c r="P1600" t="s">
        <v>2267</v>
      </c>
      <c r="R1600" t="s">
        <v>2275</v>
      </c>
      <c r="S1600" t="s">
        <v>2281</v>
      </c>
      <c r="T1600" t="s">
        <v>2288</v>
      </c>
      <c r="U1600">
        <v>3</v>
      </c>
      <c r="V1600">
        <v>320</v>
      </c>
      <c r="W1600">
        <v>56</v>
      </c>
      <c r="X1600">
        <v>38.14</v>
      </c>
      <c r="Y1600">
        <v>31.86</v>
      </c>
      <c r="Z1600" t="s">
        <v>2292</v>
      </c>
      <c r="AA1600" t="s">
        <v>2296</v>
      </c>
      <c r="AB1600">
        <v>70</v>
      </c>
      <c r="AC1600">
        <v>0</v>
      </c>
      <c r="AD1600">
        <v>70</v>
      </c>
      <c r="AE1600">
        <v>38.14</v>
      </c>
      <c r="AF1600">
        <v>31.86</v>
      </c>
      <c r="AG1600">
        <v>2024</v>
      </c>
      <c r="AH1600">
        <v>2</v>
      </c>
      <c r="AI1600" t="s">
        <v>2303</v>
      </c>
      <c r="AJ1600" t="s">
        <v>2317</v>
      </c>
    </row>
    <row r="1601" spans="1:36" x14ac:dyDescent="0.3">
      <c r="A1601" t="s">
        <v>1635</v>
      </c>
      <c r="B1601" s="2">
        <v>45322</v>
      </c>
      <c r="C1601" t="s">
        <v>1713</v>
      </c>
      <c r="D1601" t="s">
        <v>1905</v>
      </c>
      <c r="E1601" t="s">
        <v>1966</v>
      </c>
      <c r="F1601" t="s">
        <v>1761</v>
      </c>
      <c r="G1601" t="s">
        <v>2244</v>
      </c>
      <c r="H1601" t="s">
        <v>2257</v>
      </c>
      <c r="I1601" t="s">
        <v>2262</v>
      </c>
      <c r="J1601" t="s">
        <v>2265</v>
      </c>
      <c r="L1601">
        <v>120</v>
      </c>
      <c r="M1601">
        <v>0</v>
      </c>
      <c r="N1601">
        <v>120</v>
      </c>
      <c r="O1601">
        <v>120</v>
      </c>
      <c r="P1601" t="s">
        <v>2267</v>
      </c>
      <c r="Q1601" t="s">
        <v>2270</v>
      </c>
      <c r="R1601" t="s">
        <v>2276</v>
      </c>
      <c r="S1601" t="s">
        <v>2287</v>
      </c>
      <c r="T1601" t="s">
        <v>2288</v>
      </c>
      <c r="V1601">
        <v>498</v>
      </c>
      <c r="W1601">
        <v>29</v>
      </c>
      <c r="X1601">
        <v>60.22</v>
      </c>
      <c r="Y1601">
        <v>59.78</v>
      </c>
      <c r="Z1601" t="s">
        <v>2292</v>
      </c>
      <c r="AA1601" t="s">
        <v>2299</v>
      </c>
      <c r="AG1601">
        <v>2024</v>
      </c>
      <c r="AH1601">
        <v>1</v>
      </c>
      <c r="AI1601" t="s">
        <v>2302</v>
      </c>
      <c r="AJ1601" t="s">
        <v>2312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EC13-6455-484F-8ED0-69A85B130792}">
  <dimension ref="A1:B31"/>
  <sheetViews>
    <sheetView zoomScale="75" workbookViewId="0">
      <selection sqref="A1:B1"/>
    </sheetView>
  </sheetViews>
  <sheetFormatPr defaultRowHeight="14.4" x14ac:dyDescent="0.3"/>
  <cols>
    <col min="1" max="1" width="35.21875" customWidth="1"/>
    <col min="2" max="2" width="57.44140625" customWidth="1"/>
  </cols>
  <sheetData>
    <row r="1" spans="1:2" ht="21" x14ac:dyDescent="0.3">
      <c r="A1" s="25" t="s">
        <v>2341</v>
      </c>
      <c r="B1" s="25"/>
    </row>
    <row r="2" spans="1:2" x14ac:dyDescent="0.3">
      <c r="A2" s="13" t="s">
        <v>2342</v>
      </c>
      <c r="B2" s="13" t="s">
        <v>2343</v>
      </c>
    </row>
    <row r="3" spans="1:2" x14ac:dyDescent="0.3">
      <c r="A3" s="13" t="s">
        <v>2344</v>
      </c>
      <c r="B3" s="13">
        <v>1600</v>
      </c>
    </row>
    <row r="4" spans="1:2" x14ac:dyDescent="0.3">
      <c r="A4" s="13" t="s">
        <v>2345</v>
      </c>
      <c r="B4" s="13">
        <v>1600</v>
      </c>
    </row>
    <row r="5" spans="1:2" x14ac:dyDescent="0.3">
      <c r="A5" s="13" t="s">
        <v>2346</v>
      </c>
      <c r="B5" s="13">
        <v>0</v>
      </c>
    </row>
    <row r="6" spans="1:2" x14ac:dyDescent="0.3">
      <c r="A6" s="13" t="s">
        <v>2347</v>
      </c>
      <c r="B6" s="13">
        <v>0</v>
      </c>
    </row>
    <row r="7" spans="1:2" x14ac:dyDescent="0.3">
      <c r="A7" s="13" t="s">
        <v>2348</v>
      </c>
      <c r="B7" s="13">
        <v>54</v>
      </c>
    </row>
    <row r="8" spans="1:2" x14ac:dyDescent="0.3">
      <c r="A8" s="13" t="s">
        <v>2349</v>
      </c>
      <c r="B8" s="13">
        <v>50</v>
      </c>
    </row>
    <row r="9" spans="1:2" x14ac:dyDescent="0.3">
      <c r="A9" s="13" t="s">
        <v>2350</v>
      </c>
      <c r="B9" s="13">
        <v>689</v>
      </c>
    </row>
    <row r="10" spans="1:2" x14ac:dyDescent="0.3">
      <c r="A10" s="16" t="s">
        <v>2351</v>
      </c>
      <c r="B10" s="16">
        <v>8</v>
      </c>
    </row>
    <row r="11" spans="1:2" x14ac:dyDescent="0.3">
      <c r="A11" s="13" t="s">
        <v>2352</v>
      </c>
      <c r="B11" s="13">
        <v>4</v>
      </c>
    </row>
    <row r="12" spans="1:2" x14ac:dyDescent="0.3">
      <c r="A12" s="13"/>
      <c r="B12" s="13"/>
    </row>
    <row r="13" spans="1:2" x14ac:dyDescent="0.3">
      <c r="A13" s="14" t="s">
        <v>2353</v>
      </c>
      <c r="B13" s="14" t="s">
        <v>2354</v>
      </c>
    </row>
    <row r="14" spans="1:2" x14ac:dyDescent="0.3">
      <c r="A14" s="13" t="s">
        <v>2355</v>
      </c>
      <c r="B14" s="15" t="s">
        <v>2356</v>
      </c>
    </row>
    <row r="15" spans="1:2" x14ac:dyDescent="0.3">
      <c r="A15" s="13" t="s">
        <v>2357</v>
      </c>
      <c r="B15" s="15" t="s">
        <v>2358</v>
      </c>
    </row>
    <row r="16" spans="1:2" x14ac:dyDescent="0.3">
      <c r="A16" s="13" t="s">
        <v>2359</v>
      </c>
      <c r="B16" s="15" t="s">
        <v>2360</v>
      </c>
    </row>
    <row r="17" spans="1:2" x14ac:dyDescent="0.3">
      <c r="A17" s="13" t="s">
        <v>2361</v>
      </c>
      <c r="B17" s="15" t="s">
        <v>2362</v>
      </c>
    </row>
    <row r="18" spans="1:2" ht="28.8" x14ac:dyDescent="0.3">
      <c r="A18" s="13" t="s">
        <v>10</v>
      </c>
      <c r="B18" s="15" t="s">
        <v>2363</v>
      </c>
    </row>
    <row r="19" spans="1:2" x14ac:dyDescent="0.3">
      <c r="A19" s="13" t="s">
        <v>2364</v>
      </c>
      <c r="B19" s="15" t="s">
        <v>2365</v>
      </c>
    </row>
    <row r="20" spans="1:2" x14ac:dyDescent="0.3">
      <c r="A20" s="13" t="s">
        <v>2366</v>
      </c>
      <c r="B20" s="15" t="s">
        <v>2367</v>
      </c>
    </row>
    <row r="21" spans="1:2" x14ac:dyDescent="0.3">
      <c r="A21" s="13" t="s">
        <v>2368</v>
      </c>
      <c r="B21" s="15" t="s">
        <v>2369</v>
      </c>
    </row>
    <row r="23" spans="1:2" x14ac:dyDescent="0.3">
      <c r="A23" s="26" t="s">
        <v>2370</v>
      </c>
      <c r="B23" s="26"/>
    </row>
    <row r="24" spans="1:2" x14ac:dyDescent="0.3">
      <c r="A24" s="12" t="s">
        <v>2371</v>
      </c>
      <c r="B24" s="12" t="s">
        <v>2372</v>
      </c>
    </row>
    <row r="25" spans="1:2" x14ac:dyDescent="0.3">
      <c r="A25" t="s">
        <v>1</v>
      </c>
      <c r="B25" s="17" t="s">
        <v>2374</v>
      </c>
    </row>
    <row r="26" spans="1:2" ht="28.8" x14ac:dyDescent="0.3">
      <c r="A26" t="s">
        <v>10</v>
      </c>
      <c r="B26" s="17" t="s">
        <v>2379</v>
      </c>
    </row>
    <row r="27" spans="1:2" x14ac:dyDescent="0.3">
      <c r="A27" t="s">
        <v>2331</v>
      </c>
      <c r="B27" s="17" t="s">
        <v>2375</v>
      </c>
    </row>
    <row r="28" spans="1:2" x14ac:dyDescent="0.3">
      <c r="A28" t="s">
        <v>2332</v>
      </c>
      <c r="B28" s="17" t="s">
        <v>2376</v>
      </c>
    </row>
    <row r="29" spans="1:2" ht="28.8" x14ac:dyDescent="0.3">
      <c r="A29" t="s">
        <v>2333</v>
      </c>
      <c r="B29" s="17" t="s">
        <v>2377</v>
      </c>
    </row>
    <row r="30" spans="1:2" ht="28.8" x14ac:dyDescent="0.3">
      <c r="A30" t="s">
        <v>2373</v>
      </c>
      <c r="B30" s="17" t="s">
        <v>2380</v>
      </c>
    </row>
    <row r="31" spans="1:2" ht="28.8" x14ac:dyDescent="0.3">
      <c r="A31" t="s">
        <v>2378</v>
      </c>
      <c r="B31" s="17" t="s">
        <v>2381</v>
      </c>
    </row>
  </sheetData>
  <mergeCells count="2">
    <mergeCell ref="A1:B1"/>
    <mergeCell ref="A23:B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7DA3-F397-41DC-B6A8-E5A1B89D06C3}">
  <dimension ref="A1:AJ1601"/>
  <sheetViews>
    <sheetView topLeftCell="M1" zoomScale="72" zoomScaleNormal="100" workbookViewId="0">
      <pane ySplit="1" topLeftCell="A55" activePane="bottomLeft" state="frozen"/>
      <selection pane="bottomLeft" activeCell="J75" sqref="J75"/>
    </sheetView>
  </sheetViews>
  <sheetFormatPr defaultRowHeight="14.4" x14ac:dyDescent="0.3"/>
  <cols>
    <col min="1" max="1" width="19" style="11" customWidth="1"/>
    <col min="2" max="2" width="17.6640625" style="11" customWidth="1"/>
    <col min="3" max="3" width="11.5546875" style="11" customWidth="1"/>
    <col min="4" max="4" width="22.21875" style="11" customWidth="1"/>
    <col min="5" max="5" width="17.5546875" style="11" customWidth="1"/>
    <col min="6" max="6" width="19.44140625" style="11" customWidth="1"/>
    <col min="7" max="7" width="17.5546875" style="11" customWidth="1"/>
    <col min="8" max="8" width="14.44140625" style="11" customWidth="1"/>
    <col min="9" max="9" width="17" style="11" customWidth="1"/>
    <col min="10" max="10" width="11.21875" style="11" customWidth="1"/>
    <col min="11" max="11" width="10.6640625" style="11" customWidth="1"/>
    <col min="12" max="12" width="11.5546875" style="11" customWidth="1"/>
    <col min="13" max="13" width="11.109375" style="11" customWidth="1"/>
    <col min="14" max="14" width="13.33203125" style="11" customWidth="1"/>
    <col min="15" max="15" width="11.21875" style="11" customWidth="1"/>
    <col min="16" max="16" width="17.5546875" style="11" customWidth="1"/>
    <col min="17" max="17" width="19.44140625" style="11" customWidth="1"/>
    <col min="18" max="18" width="18.5546875" style="11" customWidth="1"/>
    <col min="19" max="20" width="17.5546875" style="11" customWidth="1"/>
    <col min="21" max="21" width="17.77734375" style="11" customWidth="1"/>
    <col min="22" max="22" width="15.33203125" style="11" customWidth="1"/>
    <col min="23" max="23" width="17.5546875" style="11" customWidth="1"/>
    <col min="24" max="24" width="14.6640625" style="11" customWidth="1"/>
    <col min="25" max="25" width="8" style="11" customWidth="1"/>
    <col min="26" max="26" width="17.5546875" style="11" customWidth="1"/>
    <col min="27" max="27" width="16.6640625" style="11" customWidth="1"/>
    <col min="28" max="28" width="23.21875" style="11" customWidth="1"/>
    <col min="29" max="29" width="18.44140625" style="11" customWidth="1"/>
    <col min="30" max="30" width="21.109375" style="11" customWidth="1"/>
    <col min="31" max="31" width="12" style="11" customWidth="1"/>
    <col min="32" max="32" width="17.77734375" style="11" customWidth="1"/>
    <col min="33" max="33" width="7" style="11" customWidth="1"/>
    <col min="34" max="34" width="16.109375" style="11" customWidth="1"/>
    <col min="35" max="35" width="8.77734375" style="11" customWidth="1"/>
    <col min="36" max="36" width="10.6640625" style="11" customWidth="1"/>
  </cols>
  <sheetData>
    <row r="1" spans="1:36" x14ac:dyDescent="0.3">
      <c r="A1" s="4" t="s">
        <v>2319</v>
      </c>
      <c r="B1" s="4" t="s">
        <v>1</v>
      </c>
      <c r="C1" s="4" t="s">
        <v>2</v>
      </c>
      <c r="D1" s="4" t="s">
        <v>2320</v>
      </c>
      <c r="E1" s="4" t="s">
        <v>2321</v>
      </c>
      <c r="F1" s="4" t="s">
        <v>2322</v>
      </c>
      <c r="G1" s="4" t="s">
        <v>6</v>
      </c>
      <c r="H1" s="4" t="s">
        <v>7</v>
      </c>
      <c r="I1" s="4" t="s">
        <v>8</v>
      </c>
      <c r="J1" s="4" t="s">
        <v>9</v>
      </c>
      <c r="K1" s="4" t="s">
        <v>10</v>
      </c>
      <c r="L1" s="4" t="s">
        <v>2323</v>
      </c>
      <c r="M1" s="4" t="s">
        <v>12</v>
      </c>
      <c r="N1" s="4" t="s">
        <v>2324</v>
      </c>
      <c r="O1" s="4" t="s">
        <v>2325</v>
      </c>
      <c r="P1" s="4" t="s">
        <v>2326</v>
      </c>
      <c r="Q1" s="4" t="s">
        <v>2327</v>
      </c>
      <c r="R1" s="4" t="s">
        <v>2328</v>
      </c>
      <c r="S1" s="4" t="s">
        <v>2329</v>
      </c>
      <c r="T1" s="4" t="s">
        <v>2330</v>
      </c>
      <c r="U1" s="4" t="s">
        <v>2331</v>
      </c>
      <c r="V1" s="4" t="s">
        <v>2332</v>
      </c>
      <c r="W1" s="4" t="s">
        <v>2333</v>
      </c>
      <c r="X1" s="4" t="s">
        <v>2334</v>
      </c>
      <c r="Y1" s="4" t="s">
        <v>24</v>
      </c>
      <c r="Z1" s="4" t="s">
        <v>25</v>
      </c>
      <c r="AA1" s="4" t="s">
        <v>26</v>
      </c>
      <c r="AB1" s="4" t="s">
        <v>2335</v>
      </c>
      <c r="AC1" s="4" t="s">
        <v>2336</v>
      </c>
      <c r="AD1" s="4" t="s">
        <v>2337</v>
      </c>
      <c r="AE1" s="4" t="s">
        <v>2338</v>
      </c>
      <c r="AF1" s="4" t="s">
        <v>2339</v>
      </c>
      <c r="AG1" s="4" t="s">
        <v>32</v>
      </c>
      <c r="AH1" s="4" t="s">
        <v>2340</v>
      </c>
      <c r="AI1" s="4" t="s">
        <v>34</v>
      </c>
      <c r="AJ1" s="4" t="s">
        <v>35</v>
      </c>
    </row>
    <row r="2" spans="1:36" x14ac:dyDescent="0.3">
      <c r="A2" s="5" t="s">
        <v>36</v>
      </c>
      <c r="B2" s="6">
        <v>45553</v>
      </c>
      <c r="C2" s="7">
        <v>0.43055555555555558</v>
      </c>
      <c r="D2" s="5" t="s">
        <v>1741</v>
      </c>
      <c r="E2" s="5" t="s">
        <v>1942</v>
      </c>
      <c r="F2" s="5" t="s">
        <v>2238</v>
      </c>
      <c r="G2" s="5" t="s">
        <v>2241</v>
      </c>
      <c r="H2" s="5" t="s">
        <v>2257</v>
      </c>
      <c r="I2" s="5" t="s">
        <v>2262</v>
      </c>
      <c r="J2" s="5" t="s">
        <v>1761</v>
      </c>
      <c r="K2" s="8">
        <v>2</v>
      </c>
      <c r="L2" s="9">
        <v>130</v>
      </c>
      <c r="M2" s="10">
        <v>0</v>
      </c>
      <c r="N2" s="9">
        <f>IFERROR(K2*L2,"")</f>
        <v>260</v>
      </c>
      <c r="O2" s="9">
        <f t="shared" ref="O2:O65" si="0">IF(N2="","",N2*(1-IF(M2="",0,M2)))</f>
        <v>260</v>
      </c>
      <c r="P2" s="5" t="s">
        <v>2267</v>
      </c>
      <c r="Q2" s="5" t="s">
        <v>2270</v>
      </c>
      <c r="R2" s="5" t="s">
        <v>2273</v>
      </c>
      <c r="S2" s="5" t="s">
        <v>2280</v>
      </c>
      <c r="T2" s="5" t="s">
        <v>2288</v>
      </c>
      <c r="U2" s="8">
        <v>2</v>
      </c>
      <c r="V2" s="8">
        <v>233</v>
      </c>
      <c r="W2" s="8">
        <v>56</v>
      </c>
      <c r="X2" s="9">
        <v>56.78</v>
      </c>
      <c r="Y2" s="9">
        <f t="shared" ref="Y2:Y65" si="1">IF(OR(O2="",K2="",X2=""),"",O2-K2*X2)</f>
        <v>146.44</v>
      </c>
      <c r="Z2" s="5" t="s">
        <v>1761</v>
      </c>
      <c r="AA2" s="5" t="s">
        <v>2296</v>
      </c>
      <c r="AB2" s="9">
        <f t="shared" ref="AB2:AB65" si="2">N2</f>
        <v>260</v>
      </c>
      <c r="AC2" s="9">
        <f t="shared" ref="AC2:AC65" si="3">IF(N2="","",N2*IF(M2="",0,M2))</f>
        <v>0</v>
      </c>
      <c r="AD2" s="9">
        <f t="shared" ref="AD2:AD65" si="4">O2</f>
        <v>260</v>
      </c>
      <c r="AE2" s="9">
        <f t="shared" ref="AE2:AE65" si="5">IF(OR(K2="",X2=""),"",K2*X2)</f>
        <v>113.56</v>
      </c>
      <c r="AF2" s="9">
        <f>Y2</f>
        <v>146.44</v>
      </c>
      <c r="AG2" s="8">
        <f t="shared" ref="AG2:AG65" si="6">IF(B2="","",YEAR(B2))</f>
        <v>2024</v>
      </c>
      <c r="AH2" s="8">
        <f t="shared" ref="AH2:AH65" si="7">IF(B2="","",MONTH(B2))</f>
        <v>9</v>
      </c>
      <c r="AI2" s="5" t="str">
        <f t="shared" ref="AI2:AI65" si="8">IF(B2="","",TEXT(B2,"mmm"))</f>
        <v>Sep</v>
      </c>
      <c r="AJ2" s="5" t="str">
        <f t="shared" ref="AJ2:AJ65" si="9">IF(B2="","",TEXT(B2,"dddd"))</f>
        <v>Wednesday</v>
      </c>
    </row>
    <row r="3" spans="1:36" x14ac:dyDescent="0.3">
      <c r="A3" s="5" t="s">
        <v>37</v>
      </c>
      <c r="B3" s="6">
        <v>45517</v>
      </c>
      <c r="C3" s="7">
        <v>0.71875</v>
      </c>
      <c r="D3" s="5" t="s">
        <v>1742</v>
      </c>
      <c r="E3" s="5" t="s">
        <v>1943</v>
      </c>
      <c r="F3" s="5" t="s">
        <v>1761</v>
      </c>
      <c r="G3" s="5" t="s">
        <v>2242</v>
      </c>
      <c r="H3" s="5" t="s">
        <v>2258</v>
      </c>
      <c r="I3" s="5" t="s">
        <v>2260</v>
      </c>
      <c r="J3" s="5" t="s">
        <v>2264</v>
      </c>
      <c r="K3" s="8">
        <v>1</v>
      </c>
      <c r="L3" s="9">
        <v>115</v>
      </c>
      <c r="M3" s="10">
        <v>0.05</v>
      </c>
      <c r="N3" s="9">
        <f t="shared" ref="N3:N66" si="10">IFERROR(K3*L3,"")</f>
        <v>115</v>
      </c>
      <c r="O3" s="9">
        <f t="shared" si="0"/>
        <v>109.25</v>
      </c>
      <c r="P3" s="5" t="s">
        <v>2267</v>
      </c>
      <c r="Q3" s="5" t="s">
        <v>2270</v>
      </c>
      <c r="R3" s="5" t="s">
        <v>2273</v>
      </c>
      <c r="S3" s="5" t="s">
        <v>2281</v>
      </c>
      <c r="T3" s="5" t="s">
        <v>2288</v>
      </c>
      <c r="U3" s="8">
        <v>4</v>
      </c>
      <c r="V3" s="8">
        <v>304</v>
      </c>
      <c r="W3" s="19">
        <v>34</v>
      </c>
      <c r="X3" s="9">
        <v>59.12</v>
      </c>
      <c r="Y3" s="9">
        <f t="shared" si="1"/>
        <v>50.13</v>
      </c>
      <c r="Z3" s="5" t="s">
        <v>2291</v>
      </c>
      <c r="AA3" s="5" t="s">
        <v>1761</v>
      </c>
      <c r="AB3" s="9">
        <f t="shared" si="2"/>
        <v>115</v>
      </c>
      <c r="AC3" s="9">
        <f t="shared" si="3"/>
        <v>5.75</v>
      </c>
      <c r="AD3" s="9">
        <f t="shared" si="4"/>
        <v>109.25</v>
      </c>
      <c r="AE3" s="9">
        <f t="shared" si="5"/>
        <v>59.12</v>
      </c>
      <c r="AF3" s="9">
        <f t="shared" ref="AF3:AF66" si="11">Y3</f>
        <v>50.13</v>
      </c>
      <c r="AG3" s="8">
        <f t="shared" si="6"/>
        <v>2024</v>
      </c>
      <c r="AH3" s="8">
        <f t="shared" si="7"/>
        <v>8</v>
      </c>
      <c r="AI3" s="5" t="str">
        <f t="shared" si="8"/>
        <v>Aug</v>
      </c>
      <c r="AJ3" s="5" t="str">
        <f t="shared" si="9"/>
        <v>Tuesday</v>
      </c>
    </row>
    <row r="4" spans="1:36" x14ac:dyDescent="0.3">
      <c r="A4" s="5" t="s">
        <v>38</v>
      </c>
      <c r="B4" s="6">
        <v>45293</v>
      </c>
      <c r="C4" s="7">
        <v>0.41666666666666669</v>
      </c>
      <c r="D4" s="5" t="s">
        <v>1743</v>
      </c>
      <c r="E4" s="5" t="s">
        <v>1944</v>
      </c>
      <c r="F4" s="5" t="s">
        <v>2239</v>
      </c>
      <c r="G4" s="5" t="s">
        <v>2243</v>
      </c>
      <c r="H4" s="5" t="s">
        <v>2258</v>
      </c>
      <c r="I4" s="5" t="s">
        <v>2260</v>
      </c>
      <c r="J4" s="5" t="s">
        <v>2264</v>
      </c>
      <c r="K4" s="8">
        <v>1</v>
      </c>
      <c r="L4" s="9">
        <v>70</v>
      </c>
      <c r="M4" s="10">
        <v>0</v>
      </c>
      <c r="N4" s="9">
        <f t="shared" si="10"/>
        <v>70</v>
      </c>
      <c r="O4" s="9">
        <f t="shared" si="0"/>
        <v>70</v>
      </c>
      <c r="P4" s="5" t="s">
        <v>2268</v>
      </c>
      <c r="Q4" s="5" t="s">
        <v>2270</v>
      </c>
      <c r="R4" s="5" t="s">
        <v>2274</v>
      </c>
      <c r="S4" s="5" t="s">
        <v>2282</v>
      </c>
      <c r="T4" s="5" t="s">
        <v>2288</v>
      </c>
      <c r="U4" s="19">
        <v>3</v>
      </c>
      <c r="V4" s="8">
        <v>237</v>
      </c>
      <c r="W4" s="19">
        <v>34</v>
      </c>
      <c r="X4" s="9">
        <v>24.95</v>
      </c>
      <c r="Y4" s="9">
        <f t="shared" si="1"/>
        <v>45.05</v>
      </c>
      <c r="Z4" s="5" t="s">
        <v>2292</v>
      </c>
      <c r="AA4" s="5" t="s">
        <v>2297</v>
      </c>
      <c r="AB4" s="9">
        <f t="shared" si="2"/>
        <v>70</v>
      </c>
      <c r="AC4" s="9">
        <f t="shared" si="3"/>
        <v>0</v>
      </c>
      <c r="AD4" s="9">
        <f t="shared" si="4"/>
        <v>70</v>
      </c>
      <c r="AE4" s="9">
        <f t="shared" si="5"/>
        <v>24.95</v>
      </c>
      <c r="AF4" s="9">
        <f t="shared" si="11"/>
        <v>45.05</v>
      </c>
      <c r="AG4" s="8">
        <f t="shared" si="6"/>
        <v>2024</v>
      </c>
      <c r="AH4" s="8">
        <f t="shared" si="7"/>
        <v>1</v>
      </c>
      <c r="AI4" s="5" t="str">
        <f t="shared" si="8"/>
        <v>Jan</v>
      </c>
      <c r="AJ4" s="5" t="str">
        <f t="shared" si="9"/>
        <v>Tuesday</v>
      </c>
    </row>
    <row r="5" spans="1:36" x14ac:dyDescent="0.3">
      <c r="A5" s="5" t="s">
        <v>39</v>
      </c>
      <c r="B5" s="6">
        <v>45335</v>
      </c>
      <c r="C5" s="7">
        <v>0.38194444444444442</v>
      </c>
      <c r="D5" s="5" t="s">
        <v>1744</v>
      </c>
      <c r="E5" s="5" t="s">
        <v>1945</v>
      </c>
      <c r="F5" s="5" t="s">
        <v>2239</v>
      </c>
      <c r="G5" s="5" t="s">
        <v>2244</v>
      </c>
      <c r="H5" s="5" t="s">
        <v>2257</v>
      </c>
      <c r="I5" s="5" t="s">
        <v>2262</v>
      </c>
      <c r="J5" s="5" t="s">
        <v>2265</v>
      </c>
      <c r="K5" s="8">
        <v>1</v>
      </c>
      <c r="L5" s="9">
        <v>120</v>
      </c>
      <c r="M5" s="10">
        <v>0.1</v>
      </c>
      <c r="N5" s="9">
        <f t="shared" si="10"/>
        <v>120</v>
      </c>
      <c r="O5" s="9">
        <f t="shared" si="0"/>
        <v>108</v>
      </c>
      <c r="P5" s="5" t="s">
        <v>2267</v>
      </c>
      <c r="Q5" s="5" t="s">
        <v>1761</v>
      </c>
      <c r="R5" s="5" t="s">
        <v>2275</v>
      </c>
      <c r="S5" s="5" t="s">
        <v>2283</v>
      </c>
      <c r="T5" s="5" t="s">
        <v>2288</v>
      </c>
      <c r="U5" s="8">
        <v>2</v>
      </c>
      <c r="V5" s="8">
        <v>162</v>
      </c>
      <c r="W5" s="19">
        <v>36</v>
      </c>
      <c r="X5" s="9">
        <v>54.9</v>
      </c>
      <c r="Y5" s="9">
        <f t="shared" si="1"/>
        <v>53.1</v>
      </c>
      <c r="Z5" s="5" t="s">
        <v>1761</v>
      </c>
      <c r="AA5" s="5" t="s">
        <v>2298</v>
      </c>
      <c r="AB5" s="9">
        <f t="shared" si="2"/>
        <v>120</v>
      </c>
      <c r="AC5" s="9">
        <f t="shared" si="3"/>
        <v>12</v>
      </c>
      <c r="AD5" s="9">
        <f t="shared" si="4"/>
        <v>108</v>
      </c>
      <c r="AE5" s="9">
        <f t="shared" si="5"/>
        <v>54.9</v>
      </c>
      <c r="AF5" s="9">
        <f t="shared" si="11"/>
        <v>53.1</v>
      </c>
      <c r="AG5" s="8">
        <f t="shared" si="6"/>
        <v>2024</v>
      </c>
      <c r="AH5" s="8">
        <f t="shared" si="7"/>
        <v>2</v>
      </c>
      <c r="AI5" s="5" t="str">
        <f t="shared" si="8"/>
        <v>Feb</v>
      </c>
      <c r="AJ5" s="5" t="str">
        <f t="shared" si="9"/>
        <v>Tuesday</v>
      </c>
    </row>
    <row r="6" spans="1:36" x14ac:dyDescent="0.3">
      <c r="A6" s="5" t="s">
        <v>40</v>
      </c>
      <c r="B6" s="6">
        <v>45530</v>
      </c>
      <c r="C6" s="7">
        <v>0.8125</v>
      </c>
      <c r="D6" s="5" t="s">
        <v>1745</v>
      </c>
      <c r="E6" s="5" t="s">
        <v>1946</v>
      </c>
      <c r="F6" s="5" t="s">
        <v>1761</v>
      </c>
      <c r="G6" s="5" t="s">
        <v>2245</v>
      </c>
      <c r="H6" s="5" t="s">
        <v>2257</v>
      </c>
      <c r="I6" s="5" t="s">
        <v>2263</v>
      </c>
      <c r="J6" s="5" t="s">
        <v>2264</v>
      </c>
      <c r="K6" s="8">
        <v>1</v>
      </c>
      <c r="L6" s="9">
        <v>160</v>
      </c>
      <c r="M6" s="10">
        <v>0.1</v>
      </c>
      <c r="N6" s="9">
        <f t="shared" si="10"/>
        <v>160</v>
      </c>
      <c r="O6" s="9">
        <f t="shared" si="0"/>
        <v>144</v>
      </c>
      <c r="P6" s="5" t="s">
        <v>2269</v>
      </c>
      <c r="Q6" s="5" t="s">
        <v>2270</v>
      </c>
      <c r="R6" s="5" t="s">
        <v>2275</v>
      </c>
      <c r="S6" s="5" t="s">
        <v>2280</v>
      </c>
      <c r="T6" s="5" t="s">
        <v>2288</v>
      </c>
      <c r="U6" s="8">
        <v>1</v>
      </c>
      <c r="V6" s="8">
        <v>476</v>
      </c>
      <c r="W6" s="19">
        <v>34</v>
      </c>
      <c r="X6" s="9">
        <v>57.6</v>
      </c>
      <c r="Y6" s="9">
        <f t="shared" si="1"/>
        <v>86.4</v>
      </c>
      <c r="Z6" s="5" t="s">
        <v>2292</v>
      </c>
      <c r="AA6" s="5" t="s">
        <v>2296</v>
      </c>
      <c r="AB6" s="9">
        <f t="shared" si="2"/>
        <v>160</v>
      </c>
      <c r="AC6" s="9">
        <f t="shared" si="3"/>
        <v>16</v>
      </c>
      <c r="AD6" s="9">
        <f t="shared" si="4"/>
        <v>144</v>
      </c>
      <c r="AE6" s="9">
        <f t="shared" si="5"/>
        <v>57.6</v>
      </c>
      <c r="AF6" s="9">
        <f t="shared" si="11"/>
        <v>86.4</v>
      </c>
      <c r="AG6" s="8">
        <f t="shared" si="6"/>
        <v>2024</v>
      </c>
      <c r="AH6" s="8">
        <f t="shared" si="7"/>
        <v>8</v>
      </c>
      <c r="AI6" s="5" t="str">
        <f t="shared" si="8"/>
        <v>Aug</v>
      </c>
      <c r="AJ6" s="5" t="str">
        <f t="shared" si="9"/>
        <v>Monday</v>
      </c>
    </row>
    <row r="7" spans="1:36" x14ac:dyDescent="0.3">
      <c r="A7" s="5" t="s">
        <v>41</v>
      </c>
      <c r="B7" s="6">
        <v>45460</v>
      </c>
      <c r="C7" s="7">
        <v>0.50694444444444442</v>
      </c>
      <c r="D7" s="5" t="s">
        <v>1746</v>
      </c>
      <c r="E7" s="5" t="s">
        <v>1947</v>
      </c>
      <c r="F7" s="5" t="s">
        <v>2238</v>
      </c>
      <c r="G7" s="5" t="s">
        <v>2246</v>
      </c>
      <c r="H7" s="5" t="s">
        <v>2259</v>
      </c>
      <c r="I7" s="5" t="s">
        <v>2262</v>
      </c>
      <c r="J7" s="5" t="s">
        <v>2266</v>
      </c>
      <c r="K7" s="8">
        <v>2</v>
      </c>
      <c r="L7" s="9">
        <v>100</v>
      </c>
      <c r="M7" s="10">
        <v>0.05</v>
      </c>
      <c r="N7" s="9">
        <f t="shared" si="10"/>
        <v>200</v>
      </c>
      <c r="O7" s="9">
        <f t="shared" si="0"/>
        <v>190</v>
      </c>
      <c r="P7" s="5" t="s">
        <v>2268</v>
      </c>
      <c r="Q7" s="5" t="s">
        <v>2270</v>
      </c>
      <c r="R7" s="5" t="s">
        <v>2276</v>
      </c>
      <c r="S7" s="5" t="s">
        <v>2282</v>
      </c>
      <c r="T7" s="5" t="s">
        <v>2288</v>
      </c>
      <c r="U7" s="8">
        <v>1</v>
      </c>
      <c r="V7" s="8">
        <v>200</v>
      </c>
      <c r="W7" s="19">
        <v>34</v>
      </c>
      <c r="X7" s="9">
        <v>43.82</v>
      </c>
      <c r="Y7" s="9">
        <f t="shared" si="1"/>
        <v>102.36</v>
      </c>
      <c r="Z7" s="5" t="s">
        <v>2293</v>
      </c>
      <c r="AA7" s="5" t="s">
        <v>2299</v>
      </c>
      <c r="AB7" s="9">
        <f t="shared" si="2"/>
        <v>200</v>
      </c>
      <c r="AC7" s="9">
        <f t="shared" si="3"/>
        <v>10</v>
      </c>
      <c r="AD7" s="9">
        <f t="shared" si="4"/>
        <v>190</v>
      </c>
      <c r="AE7" s="9">
        <f t="shared" si="5"/>
        <v>87.64</v>
      </c>
      <c r="AF7" s="9">
        <f t="shared" si="11"/>
        <v>102.36</v>
      </c>
      <c r="AG7" s="8">
        <f t="shared" si="6"/>
        <v>2024</v>
      </c>
      <c r="AH7" s="8">
        <f t="shared" si="7"/>
        <v>6</v>
      </c>
      <c r="AI7" s="5" t="str">
        <f t="shared" si="8"/>
        <v>Jun</v>
      </c>
      <c r="AJ7" s="5" t="str">
        <f t="shared" si="9"/>
        <v>Monday</v>
      </c>
    </row>
    <row r="8" spans="1:36" x14ac:dyDescent="0.3">
      <c r="A8" s="5" t="s">
        <v>42</v>
      </c>
      <c r="B8" s="18">
        <v>45468</v>
      </c>
      <c r="C8" s="7">
        <v>0.6875</v>
      </c>
      <c r="D8" s="5" t="s">
        <v>1747</v>
      </c>
      <c r="E8" s="5" t="s">
        <v>1948</v>
      </c>
      <c r="F8" s="5" t="s">
        <v>1761</v>
      </c>
      <c r="G8" s="5" t="s">
        <v>2243</v>
      </c>
      <c r="H8" s="5" t="s">
        <v>2258</v>
      </c>
      <c r="I8" s="5" t="s">
        <v>2260</v>
      </c>
      <c r="J8" s="5" t="s">
        <v>2266</v>
      </c>
      <c r="K8" s="8">
        <v>2</v>
      </c>
      <c r="L8" s="9">
        <v>70</v>
      </c>
      <c r="M8" s="10">
        <v>0</v>
      </c>
      <c r="N8" s="9">
        <f t="shared" si="10"/>
        <v>140</v>
      </c>
      <c r="O8" s="9">
        <f t="shared" si="0"/>
        <v>140</v>
      </c>
      <c r="P8" s="5" t="s">
        <v>2267</v>
      </c>
      <c r="Q8" s="5" t="s">
        <v>2270</v>
      </c>
      <c r="R8" s="5" t="s">
        <v>2273</v>
      </c>
      <c r="S8" s="5" t="s">
        <v>2281</v>
      </c>
      <c r="T8" s="5" t="s">
        <v>2288</v>
      </c>
      <c r="U8" s="8">
        <v>1</v>
      </c>
      <c r="V8" s="8">
        <v>159</v>
      </c>
      <c r="W8" s="8">
        <v>47</v>
      </c>
      <c r="X8" s="9">
        <v>26.09</v>
      </c>
      <c r="Y8" s="9">
        <f t="shared" si="1"/>
        <v>87.82</v>
      </c>
      <c r="Z8" s="5" t="s">
        <v>2293</v>
      </c>
      <c r="AA8" s="5" t="s">
        <v>2298</v>
      </c>
      <c r="AB8" s="9">
        <f t="shared" si="2"/>
        <v>140</v>
      </c>
      <c r="AC8" s="9">
        <f t="shared" si="3"/>
        <v>0</v>
      </c>
      <c r="AD8" s="9">
        <f t="shared" si="4"/>
        <v>140</v>
      </c>
      <c r="AE8" s="9">
        <f t="shared" si="5"/>
        <v>52.18</v>
      </c>
      <c r="AF8" s="9">
        <f t="shared" si="11"/>
        <v>87.82</v>
      </c>
      <c r="AG8" s="8">
        <f t="shared" si="6"/>
        <v>2024</v>
      </c>
      <c r="AH8" s="8">
        <f t="shared" si="7"/>
        <v>6</v>
      </c>
      <c r="AI8" s="5" t="str">
        <f t="shared" si="8"/>
        <v>Jun</v>
      </c>
      <c r="AJ8" s="5" t="str">
        <f t="shared" si="9"/>
        <v>Tuesday</v>
      </c>
    </row>
    <row r="9" spans="1:36" x14ac:dyDescent="0.3">
      <c r="A9" s="5" t="s">
        <v>43</v>
      </c>
      <c r="B9" s="6">
        <v>45469</v>
      </c>
      <c r="C9" s="7">
        <v>0.60416666666666663</v>
      </c>
      <c r="D9" s="5" t="s">
        <v>1748</v>
      </c>
      <c r="E9" s="5" t="s">
        <v>1949</v>
      </c>
      <c r="F9" s="5" t="s">
        <v>2240</v>
      </c>
      <c r="G9" s="5" t="s">
        <v>2247</v>
      </c>
      <c r="H9" s="5" t="s">
        <v>2257</v>
      </c>
      <c r="I9" s="5" t="s">
        <v>2262</v>
      </c>
      <c r="J9" s="5" t="s">
        <v>2264</v>
      </c>
      <c r="K9" s="8">
        <v>2</v>
      </c>
      <c r="L9" s="9">
        <v>100</v>
      </c>
      <c r="M9" s="10">
        <v>0.1</v>
      </c>
      <c r="N9" s="9">
        <f t="shared" si="10"/>
        <v>200</v>
      </c>
      <c r="O9" s="9">
        <f t="shared" si="0"/>
        <v>180</v>
      </c>
      <c r="P9" s="5" t="s">
        <v>2268</v>
      </c>
      <c r="Q9" s="5" t="s">
        <v>2270</v>
      </c>
      <c r="R9" s="5" t="s">
        <v>2275</v>
      </c>
      <c r="S9" s="5" t="s">
        <v>2284</v>
      </c>
      <c r="T9" s="5" t="s">
        <v>2288</v>
      </c>
      <c r="U9" s="8">
        <v>5</v>
      </c>
      <c r="V9" s="8">
        <v>158</v>
      </c>
      <c r="W9" s="8">
        <v>16</v>
      </c>
      <c r="X9" s="9">
        <v>40.53</v>
      </c>
      <c r="Y9" s="9">
        <f t="shared" si="1"/>
        <v>98.94</v>
      </c>
      <c r="Z9" s="5" t="s">
        <v>1761</v>
      </c>
      <c r="AA9" s="5" t="s">
        <v>2297</v>
      </c>
      <c r="AB9" s="9">
        <f t="shared" si="2"/>
        <v>200</v>
      </c>
      <c r="AC9" s="9">
        <f t="shared" si="3"/>
        <v>20</v>
      </c>
      <c r="AD9" s="9">
        <f t="shared" si="4"/>
        <v>180</v>
      </c>
      <c r="AE9" s="9">
        <f t="shared" si="5"/>
        <v>81.06</v>
      </c>
      <c r="AF9" s="9">
        <f t="shared" si="11"/>
        <v>98.94</v>
      </c>
      <c r="AG9" s="8">
        <f t="shared" si="6"/>
        <v>2024</v>
      </c>
      <c r="AH9" s="8">
        <f t="shared" si="7"/>
        <v>6</v>
      </c>
      <c r="AI9" s="5" t="str">
        <f t="shared" si="8"/>
        <v>Jun</v>
      </c>
      <c r="AJ9" s="5" t="str">
        <f t="shared" si="9"/>
        <v>Wednesday</v>
      </c>
    </row>
    <row r="10" spans="1:36" x14ac:dyDescent="0.3">
      <c r="A10" s="5" t="s">
        <v>44</v>
      </c>
      <c r="B10" s="6">
        <v>45371</v>
      </c>
      <c r="C10" s="7">
        <v>0.59027777777777779</v>
      </c>
      <c r="D10" s="5" t="s">
        <v>1749</v>
      </c>
      <c r="E10" s="5" t="s">
        <v>1943</v>
      </c>
      <c r="F10" s="5" t="s">
        <v>1761</v>
      </c>
      <c r="G10" s="5" t="s">
        <v>2242</v>
      </c>
      <c r="H10" s="5" t="s">
        <v>2258</v>
      </c>
      <c r="I10" s="5" t="s">
        <v>2260</v>
      </c>
      <c r="J10" s="5" t="s">
        <v>2266</v>
      </c>
      <c r="K10" s="8">
        <v>2</v>
      </c>
      <c r="L10" s="9">
        <v>120</v>
      </c>
      <c r="M10" s="10">
        <v>0</v>
      </c>
      <c r="N10" s="9">
        <f t="shared" si="10"/>
        <v>240</v>
      </c>
      <c r="O10" s="9">
        <f t="shared" si="0"/>
        <v>240</v>
      </c>
      <c r="P10" s="5" t="s">
        <v>2267</v>
      </c>
      <c r="Q10" s="5" t="s">
        <v>2271</v>
      </c>
      <c r="R10" s="5" t="s">
        <v>2274</v>
      </c>
      <c r="S10" s="5" t="s">
        <v>2281</v>
      </c>
      <c r="T10" s="5" t="s">
        <v>2288</v>
      </c>
      <c r="U10" s="8">
        <v>5</v>
      </c>
      <c r="V10" s="8">
        <v>134</v>
      </c>
      <c r="W10" s="8">
        <v>37</v>
      </c>
      <c r="X10" s="9">
        <v>63.46</v>
      </c>
      <c r="Y10" s="9">
        <f t="shared" si="1"/>
        <v>113.08</v>
      </c>
      <c r="Z10" s="5" t="s">
        <v>1761</v>
      </c>
      <c r="AA10" s="5" t="s">
        <v>2296</v>
      </c>
      <c r="AB10" s="9">
        <f t="shared" si="2"/>
        <v>240</v>
      </c>
      <c r="AC10" s="9">
        <f t="shared" si="3"/>
        <v>0</v>
      </c>
      <c r="AD10" s="9">
        <f t="shared" si="4"/>
        <v>240</v>
      </c>
      <c r="AE10" s="9">
        <f t="shared" si="5"/>
        <v>126.92</v>
      </c>
      <c r="AF10" s="9">
        <f t="shared" si="11"/>
        <v>113.08</v>
      </c>
      <c r="AG10" s="8">
        <f t="shared" si="6"/>
        <v>2024</v>
      </c>
      <c r="AH10" s="8">
        <f t="shared" si="7"/>
        <v>3</v>
      </c>
      <c r="AI10" s="5" t="str">
        <f t="shared" si="8"/>
        <v>Mar</v>
      </c>
      <c r="AJ10" s="5" t="str">
        <f t="shared" si="9"/>
        <v>Wednesday</v>
      </c>
    </row>
    <row r="11" spans="1:36" x14ac:dyDescent="0.3">
      <c r="A11" s="5" t="s">
        <v>45</v>
      </c>
      <c r="B11" s="6">
        <v>45429</v>
      </c>
      <c r="C11" s="7">
        <v>0.70138888888888884</v>
      </c>
      <c r="D11" s="5" t="s">
        <v>1750</v>
      </c>
      <c r="E11" s="5" t="s">
        <v>1950</v>
      </c>
      <c r="F11" s="5" t="s">
        <v>2240</v>
      </c>
      <c r="G11" s="5" t="s">
        <v>2248</v>
      </c>
      <c r="H11" s="5" t="s">
        <v>2257</v>
      </c>
      <c r="I11" s="5" t="s">
        <v>2262</v>
      </c>
      <c r="J11" s="5" t="s">
        <v>2266</v>
      </c>
      <c r="K11" s="8">
        <v>1</v>
      </c>
      <c r="L11" s="9">
        <v>145</v>
      </c>
      <c r="M11" s="10">
        <v>0.05</v>
      </c>
      <c r="N11" s="9">
        <f t="shared" si="10"/>
        <v>145</v>
      </c>
      <c r="O11" s="9">
        <f t="shared" si="0"/>
        <v>137.75</v>
      </c>
      <c r="P11" s="5" t="s">
        <v>2267</v>
      </c>
      <c r="Q11" s="5" t="s">
        <v>2272</v>
      </c>
      <c r="R11" s="5" t="s">
        <v>2277</v>
      </c>
      <c r="S11" s="5" t="s">
        <v>2285</v>
      </c>
      <c r="T11" s="5" t="s">
        <v>2288</v>
      </c>
      <c r="U11" s="8">
        <v>1</v>
      </c>
      <c r="V11" s="8">
        <v>352</v>
      </c>
      <c r="W11" s="8">
        <v>33</v>
      </c>
      <c r="X11" s="9">
        <v>86.8</v>
      </c>
      <c r="Y11" s="9">
        <f t="shared" si="1"/>
        <v>50.95</v>
      </c>
      <c r="Z11" s="5" t="s">
        <v>2294</v>
      </c>
      <c r="AA11" s="5" t="s">
        <v>2298</v>
      </c>
      <c r="AB11" s="9">
        <f t="shared" si="2"/>
        <v>145</v>
      </c>
      <c r="AC11" s="9">
        <f t="shared" si="3"/>
        <v>7.25</v>
      </c>
      <c r="AD11" s="9">
        <f t="shared" si="4"/>
        <v>137.75</v>
      </c>
      <c r="AE11" s="9">
        <f t="shared" si="5"/>
        <v>86.8</v>
      </c>
      <c r="AF11" s="9">
        <f t="shared" si="11"/>
        <v>50.95</v>
      </c>
      <c r="AG11" s="8">
        <f t="shared" si="6"/>
        <v>2024</v>
      </c>
      <c r="AH11" s="8">
        <f t="shared" si="7"/>
        <v>5</v>
      </c>
      <c r="AI11" s="5" t="str">
        <f t="shared" si="8"/>
        <v>May</v>
      </c>
      <c r="AJ11" s="5" t="str">
        <f t="shared" si="9"/>
        <v>Friday</v>
      </c>
    </row>
    <row r="12" spans="1:36" x14ac:dyDescent="0.3">
      <c r="A12" s="5" t="s">
        <v>46</v>
      </c>
      <c r="B12" s="6">
        <v>45477</v>
      </c>
      <c r="C12" s="7">
        <v>0.88194444444444442</v>
      </c>
      <c r="D12" s="5" t="s">
        <v>1751</v>
      </c>
      <c r="E12" s="5" t="s">
        <v>1951</v>
      </c>
      <c r="F12" s="5" t="s">
        <v>2240</v>
      </c>
      <c r="G12" s="5" t="s">
        <v>2248</v>
      </c>
      <c r="H12" s="5" t="s">
        <v>2257</v>
      </c>
      <c r="I12" s="5" t="s">
        <v>2262</v>
      </c>
      <c r="J12" s="5" t="s">
        <v>2264</v>
      </c>
      <c r="K12" s="8">
        <v>1</v>
      </c>
      <c r="L12" s="9">
        <v>145</v>
      </c>
      <c r="M12" s="10">
        <v>0</v>
      </c>
      <c r="N12" s="9">
        <f t="shared" si="10"/>
        <v>145</v>
      </c>
      <c r="O12" s="9">
        <f t="shared" si="0"/>
        <v>145</v>
      </c>
      <c r="P12" s="5" t="s">
        <v>2268</v>
      </c>
      <c r="Q12" s="5" t="s">
        <v>2270</v>
      </c>
      <c r="R12" s="5" t="s">
        <v>2274</v>
      </c>
      <c r="S12" s="5" t="s">
        <v>2281</v>
      </c>
      <c r="T12" s="5" t="s">
        <v>2288</v>
      </c>
      <c r="U12" s="8">
        <v>1</v>
      </c>
      <c r="V12" s="8">
        <v>403</v>
      </c>
      <c r="W12" s="8">
        <v>52</v>
      </c>
      <c r="X12" s="9">
        <v>54.97</v>
      </c>
      <c r="Y12" s="9">
        <f t="shared" si="1"/>
        <v>90.03</v>
      </c>
      <c r="Z12" s="5" t="s">
        <v>2292</v>
      </c>
      <c r="AA12" s="5" t="s">
        <v>2299</v>
      </c>
      <c r="AB12" s="9">
        <f t="shared" si="2"/>
        <v>145</v>
      </c>
      <c r="AC12" s="9">
        <f t="shared" si="3"/>
        <v>0</v>
      </c>
      <c r="AD12" s="9">
        <f t="shared" si="4"/>
        <v>145</v>
      </c>
      <c r="AE12" s="9">
        <f t="shared" si="5"/>
        <v>54.97</v>
      </c>
      <c r="AF12" s="9">
        <f t="shared" si="11"/>
        <v>90.03</v>
      </c>
      <c r="AG12" s="8">
        <f t="shared" si="6"/>
        <v>2024</v>
      </c>
      <c r="AH12" s="8">
        <f t="shared" si="7"/>
        <v>7</v>
      </c>
      <c r="AI12" s="5" t="str">
        <f t="shared" si="8"/>
        <v>Jul</v>
      </c>
      <c r="AJ12" s="5" t="str">
        <f t="shared" si="9"/>
        <v>Thursday</v>
      </c>
    </row>
    <row r="13" spans="1:36" x14ac:dyDescent="0.3">
      <c r="A13" s="5" t="s">
        <v>47</v>
      </c>
      <c r="B13" s="6">
        <v>45565</v>
      </c>
      <c r="C13" s="7">
        <v>0.36805555555555558</v>
      </c>
      <c r="D13" s="5" t="s">
        <v>1752</v>
      </c>
      <c r="E13" s="5" t="s">
        <v>1952</v>
      </c>
      <c r="F13" s="5" t="s">
        <v>2240</v>
      </c>
      <c r="G13" s="5" t="s">
        <v>2249</v>
      </c>
      <c r="H13" s="5" t="s">
        <v>2257</v>
      </c>
      <c r="I13" s="5" t="s">
        <v>2263</v>
      </c>
      <c r="J13" s="5" t="s">
        <v>2264</v>
      </c>
      <c r="K13" s="8">
        <v>1</v>
      </c>
      <c r="L13" s="9">
        <v>160</v>
      </c>
      <c r="M13" s="10">
        <v>0.05</v>
      </c>
      <c r="N13" s="9">
        <f t="shared" si="10"/>
        <v>160</v>
      </c>
      <c r="O13" s="9">
        <f t="shared" si="0"/>
        <v>152</v>
      </c>
      <c r="P13" s="5" t="s">
        <v>2269</v>
      </c>
      <c r="Q13" s="5" t="s">
        <v>2271</v>
      </c>
      <c r="R13" s="5" t="s">
        <v>2273</v>
      </c>
      <c r="S13" s="5" t="s">
        <v>2286</v>
      </c>
      <c r="T13" s="5" t="s">
        <v>2288</v>
      </c>
      <c r="U13" s="8">
        <v>5</v>
      </c>
      <c r="V13" s="8">
        <v>99</v>
      </c>
      <c r="W13" s="8">
        <v>12</v>
      </c>
      <c r="X13" s="9">
        <v>93.45</v>
      </c>
      <c r="Y13" s="9">
        <f t="shared" si="1"/>
        <v>58.55</v>
      </c>
      <c r="Z13" s="5" t="s">
        <v>2293</v>
      </c>
      <c r="AA13" s="5" t="s">
        <v>2298</v>
      </c>
      <c r="AB13" s="9">
        <f t="shared" si="2"/>
        <v>160</v>
      </c>
      <c r="AC13" s="9">
        <f t="shared" si="3"/>
        <v>8</v>
      </c>
      <c r="AD13" s="9">
        <f t="shared" si="4"/>
        <v>152</v>
      </c>
      <c r="AE13" s="9">
        <f t="shared" si="5"/>
        <v>93.45</v>
      </c>
      <c r="AF13" s="9">
        <f t="shared" si="11"/>
        <v>58.55</v>
      </c>
      <c r="AG13" s="8">
        <f t="shared" si="6"/>
        <v>2024</v>
      </c>
      <c r="AH13" s="8">
        <f t="shared" si="7"/>
        <v>9</v>
      </c>
      <c r="AI13" s="5" t="str">
        <f t="shared" si="8"/>
        <v>Sep</v>
      </c>
      <c r="AJ13" s="5" t="str">
        <f t="shared" si="9"/>
        <v>Monday</v>
      </c>
    </row>
    <row r="14" spans="1:36" x14ac:dyDescent="0.3">
      <c r="A14" s="5" t="s">
        <v>48</v>
      </c>
      <c r="B14" s="6">
        <v>45387</v>
      </c>
      <c r="C14" s="7">
        <v>0.78125</v>
      </c>
      <c r="D14" s="5" t="s">
        <v>1753</v>
      </c>
      <c r="E14" s="5" t="s">
        <v>1953</v>
      </c>
      <c r="F14" s="5" t="s">
        <v>2240</v>
      </c>
      <c r="G14" s="5" t="s">
        <v>2250</v>
      </c>
      <c r="H14" s="5" t="s">
        <v>2259</v>
      </c>
      <c r="I14" s="5" t="s">
        <v>2262</v>
      </c>
      <c r="J14" s="5" t="s">
        <v>2265</v>
      </c>
      <c r="K14" s="8">
        <v>3</v>
      </c>
      <c r="L14" s="9">
        <v>75</v>
      </c>
      <c r="M14" s="10">
        <v>0.05</v>
      </c>
      <c r="N14" s="9">
        <f t="shared" si="10"/>
        <v>225</v>
      </c>
      <c r="O14" s="9">
        <f t="shared" si="0"/>
        <v>213.75</v>
      </c>
      <c r="P14" s="5" t="s">
        <v>2267</v>
      </c>
      <c r="Q14" s="5" t="s">
        <v>2270</v>
      </c>
      <c r="R14" s="5" t="s">
        <v>2278</v>
      </c>
      <c r="S14" s="5" t="s">
        <v>2283</v>
      </c>
      <c r="T14" s="5" t="s">
        <v>2288</v>
      </c>
      <c r="U14" s="8">
        <v>4</v>
      </c>
      <c r="V14" s="8">
        <v>435</v>
      </c>
      <c r="W14" s="8">
        <v>44</v>
      </c>
      <c r="X14" s="9">
        <v>45.93</v>
      </c>
      <c r="Y14" s="9">
        <f t="shared" si="1"/>
        <v>75.960000000000008</v>
      </c>
      <c r="Z14" s="5" t="s">
        <v>2291</v>
      </c>
      <c r="AA14" s="5" t="s">
        <v>2299</v>
      </c>
      <c r="AB14" s="9">
        <f t="shared" si="2"/>
        <v>225</v>
      </c>
      <c r="AC14" s="9">
        <f t="shared" si="3"/>
        <v>11.25</v>
      </c>
      <c r="AD14" s="9">
        <f t="shared" si="4"/>
        <v>213.75</v>
      </c>
      <c r="AE14" s="9">
        <f t="shared" si="5"/>
        <v>137.79</v>
      </c>
      <c r="AF14" s="9">
        <f t="shared" si="11"/>
        <v>75.960000000000008</v>
      </c>
      <c r="AG14" s="8">
        <f t="shared" si="6"/>
        <v>2024</v>
      </c>
      <c r="AH14" s="8">
        <f t="shared" si="7"/>
        <v>4</v>
      </c>
      <c r="AI14" s="5" t="str">
        <f t="shared" si="8"/>
        <v>Apr</v>
      </c>
      <c r="AJ14" s="5" t="str">
        <f t="shared" si="9"/>
        <v>Friday</v>
      </c>
    </row>
    <row r="15" spans="1:36" x14ac:dyDescent="0.3">
      <c r="A15" s="5" t="s">
        <v>49</v>
      </c>
      <c r="B15" s="6">
        <v>45402</v>
      </c>
      <c r="C15" s="7">
        <v>0.4513888888888889</v>
      </c>
      <c r="D15" s="5" t="s">
        <v>1754</v>
      </c>
      <c r="E15" s="5" t="s">
        <v>1954</v>
      </c>
      <c r="F15" s="5" t="s">
        <v>2240</v>
      </c>
      <c r="G15" s="5" t="s">
        <v>2241</v>
      </c>
      <c r="H15" s="5" t="s">
        <v>2257</v>
      </c>
      <c r="I15" s="5" t="s">
        <v>2262</v>
      </c>
      <c r="J15" s="5" t="s">
        <v>2266</v>
      </c>
      <c r="K15" s="8">
        <v>2</v>
      </c>
      <c r="L15" s="9">
        <v>140</v>
      </c>
      <c r="M15" s="10">
        <v>0.05</v>
      </c>
      <c r="N15" s="9">
        <f t="shared" si="10"/>
        <v>280</v>
      </c>
      <c r="O15" s="9">
        <f t="shared" si="0"/>
        <v>266</v>
      </c>
      <c r="P15" s="5" t="s">
        <v>2268</v>
      </c>
      <c r="Q15" s="5" t="s">
        <v>1761</v>
      </c>
      <c r="R15" s="5" t="s">
        <v>2277</v>
      </c>
      <c r="S15" s="5" t="s">
        <v>2286</v>
      </c>
      <c r="T15" s="5" t="s">
        <v>2288</v>
      </c>
      <c r="U15" s="8">
        <v>4</v>
      </c>
      <c r="V15" s="8">
        <v>77</v>
      </c>
      <c r="W15" s="8">
        <v>18</v>
      </c>
      <c r="X15" s="9">
        <v>48.6</v>
      </c>
      <c r="Y15" s="9">
        <f t="shared" si="1"/>
        <v>168.8</v>
      </c>
      <c r="Z15" s="5" t="s">
        <v>1761</v>
      </c>
      <c r="AA15" s="5" t="s">
        <v>2298</v>
      </c>
      <c r="AB15" s="9">
        <f t="shared" si="2"/>
        <v>280</v>
      </c>
      <c r="AC15" s="9">
        <f t="shared" si="3"/>
        <v>14</v>
      </c>
      <c r="AD15" s="9">
        <f t="shared" si="4"/>
        <v>266</v>
      </c>
      <c r="AE15" s="9">
        <f t="shared" si="5"/>
        <v>97.2</v>
      </c>
      <c r="AF15" s="9">
        <f t="shared" si="11"/>
        <v>168.8</v>
      </c>
      <c r="AG15" s="8">
        <f t="shared" si="6"/>
        <v>2024</v>
      </c>
      <c r="AH15" s="8">
        <f t="shared" si="7"/>
        <v>4</v>
      </c>
      <c r="AI15" s="5" t="str">
        <f t="shared" si="8"/>
        <v>Apr</v>
      </c>
      <c r="AJ15" s="5" t="str">
        <f t="shared" si="9"/>
        <v>Saturday</v>
      </c>
    </row>
    <row r="16" spans="1:36" x14ac:dyDescent="0.3">
      <c r="A16" s="5" t="s">
        <v>50</v>
      </c>
      <c r="B16" s="6">
        <v>45441</v>
      </c>
      <c r="C16" s="7">
        <v>0.68055555555555558</v>
      </c>
      <c r="D16" s="5" t="s">
        <v>1755</v>
      </c>
      <c r="E16" s="5" t="s">
        <v>1949</v>
      </c>
      <c r="F16" s="5" t="s">
        <v>2239</v>
      </c>
      <c r="G16" s="5" t="s">
        <v>2251</v>
      </c>
      <c r="H16" s="5" t="s">
        <v>2258</v>
      </c>
      <c r="I16" s="5" t="s">
        <v>2260</v>
      </c>
      <c r="J16" s="5" t="s">
        <v>2265</v>
      </c>
      <c r="K16" s="8">
        <v>1</v>
      </c>
      <c r="L16" s="9">
        <v>95</v>
      </c>
      <c r="M16" s="10">
        <v>0.1</v>
      </c>
      <c r="N16" s="9">
        <f t="shared" si="10"/>
        <v>95</v>
      </c>
      <c r="O16" s="9">
        <f t="shared" si="0"/>
        <v>85.5</v>
      </c>
      <c r="P16" s="5" t="s">
        <v>2267</v>
      </c>
      <c r="Q16" s="5" t="s">
        <v>2271</v>
      </c>
      <c r="R16" s="5" t="s">
        <v>2273</v>
      </c>
      <c r="S16" s="5" t="s">
        <v>2283</v>
      </c>
      <c r="T16" s="5" t="s">
        <v>2289</v>
      </c>
      <c r="U16" s="8">
        <v>5</v>
      </c>
      <c r="V16" s="8">
        <v>206</v>
      </c>
      <c r="W16" s="8">
        <v>40</v>
      </c>
      <c r="X16" s="9">
        <v>58.59</v>
      </c>
      <c r="Y16" s="9">
        <f t="shared" si="1"/>
        <v>26.909999999999997</v>
      </c>
      <c r="Z16" s="5" t="s">
        <v>1761</v>
      </c>
      <c r="AA16" s="5" t="s">
        <v>2296</v>
      </c>
      <c r="AB16" s="9">
        <f t="shared" si="2"/>
        <v>95</v>
      </c>
      <c r="AC16" s="9">
        <f t="shared" si="3"/>
        <v>9.5</v>
      </c>
      <c r="AD16" s="9">
        <f t="shared" si="4"/>
        <v>85.5</v>
      </c>
      <c r="AE16" s="9">
        <f t="shared" si="5"/>
        <v>58.59</v>
      </c>
      <c r="AF16" s="9">
        <f t="shared" si="11"/>
        <v>26.909999999999997</v>
      </c>
      <c r="AG16" s="8">
        <f t="shared" si="6"/>
        <v>2024</v>
      </c>
      <c r="AH16" s="8">
        <f t="shared" si="7"/>
        <v>5</v>
      </c>
      <c r="AI16" s="5" t="str">
        <f t="shared" si="8"/>
        <v>May</v>
      </c>
      <c r="AJ16" s="5" t="str">
        <f t="shared" si="9"/>
        <v>Wednesday</v>
      </c>
    </row>
    <row r="17" spans="1:36" x14ac:dyDescent="0.3">
      <c r="A17" s="5" t="s">
        <v>51</v>
      </c>
      <c r="B17" s="6">
        <v>45371</v>
      </c>
      <c r="C17" s="7">
        <v>0.42708333333333331</v>
      </c>
      <c r="D17" s="5" t="s">
        <v>1756</v>
      </c>
      <c r="E17" s="5" t="s">
        <v>1955</v>
      </c>
      <c r="F17" s="5" t="s">
        <v>2238</v>
      </c>
      <c r="G17" s="5" t="s">
        <v>2252</v>
      </c>
      <c r="H17" s="5" t="s">
        <v>2257</v>
      </c>
      <c r="I17" s="5" t="s">
        <v>2262</v>
      </c>
      <c r="J17" s="5" t="s">
        <v>2264</v>
      </c>
      <c r="K17" s="8">
        <v>2</v>
      </c>
      <c r="L17" s="9">
        <v>95</v>
      </c>
      <c r="M17" s="10">
        <v>0.15</v>
      </c>
      <c r="N17" s="9">
        <f t="shared" si="10"/>
        <v>190</v>
      </c>
      <c r="O17" s="9">
        <f t="shared" si="0"/>
        <v>161.5</v>
      </c>
      <c r="P17" s="5" t="s">
        <v>2267</v>
      </c>
      <c r="Q17" s="5" t="s">
        <v>1761</v>
      </c>
      <c r="R17" s="5" t="s">
        <v>2273</v>
      </c>
      <c r="S17" s="5" t="s">
        <v>2285</v>
      </c>
      <c r="T17" s="5" t="s">
        <v>2289</v>
      </c>
      <c r="U17" s="8">
        <v>1</v>
      </c>
      <c r="V17" s="8">
        <v>17</v>
      </c>
      <c r="W17" s="8">
        <v>49</v>
      </c>
      <c r="X17" s="9">
        <v>34.9</v>
      </c>
      <c r="Y17" s="9">
        <f t="shared" si="1"/>
        <v>91.7</v>
      </c>
      <c r="Z17" s="5" t="s">
        <v>2292</v>
      </c>
      <c r="AA17" s="5" t="s">
        <v>2299</v>
      </c>
      <c r="AB17" s="9">
        <f t="shared" si="2"/>
        <v>190</v>
      </c>
      <c r="AC17" s="9">
        <f t="shared" si="3"/>
        <v>28.5</v>
      </c>
      <c r="AD17" s="9">
        <f t="shared" si="4"/>
        <v>161.5</v>
      </c>
      <c r="AE17" s="9">
        <f t="shared" si="5"/>
        <v>69.8</v>
      </c>
      <c r="AF17" s="9">
        <f t="shared" si="11"/>
        <v>91.7</v>
      </c>
      <c r="AG17" s="8">
        <f t="shared" si="6"/>
        <v>2024</v>
      </c>
      <c r="AH17" s="8">
        <f t="shared" si="7"/>
        <v>3</v>
      </c>
      <c r="AI17" s="5" t="str">
        <f t="shared" si="8"/>
        <v>Mar</v>
      </c>
      <c r="AJ17" s="5" t="str">
        <f t="shared" si="9"/>
        <v>Wednesday</v>
      </c>
    </row>
    <row r="18" spans="1:36" x14ac:dyDescent="0.3">
      <c r="A18" s="5" t="s">
        <v>52</v>
      </c>
      <c r="B18" s="6">
        <v>45426</v>
      </c>
      <c r="C18" s="7">
        <v>0.86805555555555558</v>
      </c>
      <c r="D18" s="5" t="s">
        <v>1755</v>
      </c>
      <c r="E18" s="5" t="s">
        <v>1956</v>
      </c>
      <c r="F18" s="5" t="s">
        <v>2240</v>
      </c>
      <c r="G18" s="5" t="s">
        <v>2253</v>
      </c>
      <c r="H18" s="5" t="s">
        <v>2258</v>
      </c>
      <c r="I18" s="5" t="s">
        <v>2260</v>
      </c>
      <c r="J18" s="5" t="s">
        <v>2265</v>
      </c>
      <c r="K18" s="8">
        <v>1</v>
      </c>
      <c r="L18" s="9">
        <v>85</v>
      </c>
      <c r="M18" s="10">
        <v>0.05</v>
      </c>
      <c r="N18" s="9">
        <f t="shared" si="10"/>
        <v>85</v>
      </c>
      <c r="O18" s="9">
        <f t="shared" si="0"/>
        <v>80.75</v>
      </c>
      <c r="P18" s="5" t="s">
        <v>2268</v>
      </c>
      <c r="Q18" s="5" t="s">
        <v>2271</v>
      </c>
      <c r="R18" s="5" t="s">
        <v>2278</v>
      </c>
      <c r="S18" s="5" t="s">
        <v>2282</v>
      </c>
      <c r="T18" s="5" t="s">
        <v>2288</v>
      </c>
      <c r="U18" s="8">
        <v>3</v>
      </c>
      <c r="V18" s="8">
        <v>162</v>
      </c>
      <c r="W18" s="8">
        <v>43</v>
      </c>
      <c r="X18" s="9">
        <v>46.65</v>
      </c>
      <c r="Y18" s="9">
        <f t="shared" si="1"/>
        <v>34.1</v>
      </c>
      <c r="Z18" s="5" t="s">
        <v>2293</v>
      </c>
      <c r="AA18" s="5" t="s">
        <v>2296</v>
      </c>
      <c r="AB18" s="9">
        <f t="shared" si="2"/>
        <v>85</v>
      </c>
      <c r="AC18" s="9">
        <f t="shared" si="3"/>
        <v>4.25</v>
      </c>
      <c r="AD18" s="9">
        <f t="shared" si="4"/>
        <v>80.75</v>
      </c>
      <c r="AE18" s="9">
        <f t="shared" si="5"/>
        <v>46.65</v>
      </c>
      <c r="AF18" s="9">
        <f t="shared" si="11"/>
        <v>34.1</v>
      </c>
      <c r="AG18" s="8">
        <f t="shared" si="6"/>
        <v>2024</v>
      </c>
      <c r="AH18" s="8">
        <f t="shared" si="7"/>
        <v>5</v>
      </c>
      <c r="AI18" s="5" t="str">
        <f t="shared" si="8"/>
        <v>May</v>
      </c>
      <c r="AJ18" s="5" t="str">
        <f t="shared" si="9"/>
        <v>Tuesday</v>
      </c>
    </row>
    <row r="19" spans="1:36" x14ac:dyDescent="0.3">
      <c r="A19" s="5" t="s">
        <v>53</v>
      </c>
      <c r="B19" s="6">
        <v>45309</v>
      </c>
      <c r="C19" s="7">
        <v>0.46875</v>
      </c>
      <c r="D19" s="5" t="s">
        <v>1743</v>
      </c>
      <c r="E19" s="5" t="s">
        <v>1957</v>
      </c>
      <c r="F19" s="5" t="s">
        <v>2240</v>
      </c>
      <c r="G19" s="5" t="s">
        <v>2249</v>
      </c>
      <c r="H19" s="5" t="s">
        <v>2257</v>
      </c>
      <c r="I19" s="5" t="s">
        <v>2263</v>
      </c>
      <c r="J19" s="5" t="s">
        <v>1761</v>
      </c>
      <c r="K19" s="19">
        <v>3</v>
      </c>
      <c r="L19" s="9">
        <v>155</v>
      </c>
      <c r="M19" s="10">
        <v>0</v>
      </c>
      <c r="N19" s="9">
        <f t="shared" si="10"/>
        <v>465</v>
      </c>
      <c r="O19" s="9">
        <f t="shared" si="0"/>
        <v>465</v>
      </c>
      <c r="P19" s="5" t="s">
        <v>2267</v>
      </c>
      <c r="Q19" s="5" t="s">
        <v>2271</v>
      </c>
      <c r="R19" s="5" t="s">
        <v>2277</v>
      </c>
      <c r="S19" s="5" t="s">
        <v>2286</v>
      </c>
      <c r="T19" s="5" t="s">
        <v>2289</v>
      </c>
      <c r="U19" s="8">
        <v>4</v>
      </c>
      <c r="V19" s="8">
        <v>255</v>
      </c>
      <c r="W19" s="8">
        <v>43</v>
      </c>
      <c r="X19" s="9">
        <v>66.17</v>
      </c>
      <c r="Y19" s="9">
        <f t="shared" si="1"/>
        <v>266.49</v>
      </c>
      <c r="Z19" s="5" t="s">
        <v>1761</v>
      </c>
      <c r="AA19" s="5" t="s">
        <v>2299</v>
      </c>
      <c r="AB19" s="9">
        <f t="shared" si="2"/>
        <v>465</v>
      </c>
      <c r="AC19" s="9">
        <f t="shared" si="3"/>
        <v>0</v>
      </c>
      <c r="AD19" s="9">
        <f t="shared" si="4"/>
        <v>465</v>
      </c>
      <c r="AE19" s="9">
        <f t="shared" si="5"/>
        <v>198.51</v>
      </c>
      <c r="AF19" s="9">
        <f t="shared" si="11"/>
        <v>266.49</v>
      </c>
      <c r="AG19" s="8">
        <f t="shared" si="6"/>
        <v>2024</v>
      </c>
      <c r="AH19" s="8">
        <f t="shared" si="7"/>
        <v>1</v>
      </c>
      <c r="AI19" s="5" t="str">
        <f t="shared" si="8"/>
        <v>Jan</v>
      </c>
      <c r="AJ19" s="5" t="str">
        <f t="shared" si="9"/>
        <v>Thursday</v>
      </c>
    </row>
    <row r="20" spans="1:36" x14ac:dyDescent="0.3">
      <c r="A20" s="5" t="s">
        <v>54</v>
      </c>
      <c r="B20" s="6">
        <v>45643</v>
      </c>
      <c r="C20" s="7">
        <v>0.43055555555555558</v>
      </c>
      <c r="D20" s="5" t="s">
        <v>1757</v>
      </c>
      <c r="E20" s="5" t="s">
        <v>1958</v>
      </c>
      <c r="F20" s="5" t="s">
        <v>2239</v>
      </c>
      <c r="G20" s="5" t="s">
        <v>2253</v>
      </c>
      <c r="H20" s="5" t="s">
        <v>2258</v>
      </c>
      <c r="I20" s="5" t="s">
        <v>2260</v>
      </c>
      <c r="J20" s="5" t="s">
        <v>2265</v>
      </c>
      <c r="K20" s="8">
        <v>1</v>
      </c>
      <c r="L20" s="9">
        <v>90</v>
      </c>
      <c r="M20" s="10">
        <v>0.1</v>
      </c>
      <c r="N20" s="9">
        <f t="shared" si="10"/>
        <v>90</v>
      </c>
      <c r="O20" s="9">
        <f t="shared" si="0"/>
        <v>81</v>
      </c>
      <c r="P20" s="5" t="s">
        <v>2267</v>
      </c>
      <c r="Q20" s="5" t="s">
        <v>2270</v>
      </c>
      <c r="R20" s="5" t="s">
        <v>2276</v>
      </c>
      <c r="S20" s="5" t="s">
        <v>2285</v>
      </c>
      <c r="T20" s="5" t="s">
        <v>2288</v>
      </c>
      <c r="U20" s="19">
        <v>3</v>
      </c>
      <c r="V20" s="8">
        <v>269</v>
      </c>
      <c r="W20" s="19">
        <v>34</v>
      </c>
      <c r="X20" s="9">
        <v>41.86</v>
      </c>
      <c r="Y20" s="9">
        <f t="shared" si="1"/>
        <v>39.14</v>
      </c>
      <c r="Z20" s="5" t="s">
        <v>1761</v>
      </c>
      <c r="AA20" s="5" t="s">
        <v>2296</v>
      </c>
      <c r="AB20" s="9">
        <f t="shared" si="2"/>
        <v>90</v>
      </c>
      <c r="AC20" s="9">
        <f t="shared" si="3"/>
        <v>9</v>
      </c>
      <c r="AD20" s="9">
        <f t="shared" si="4"/>
        <v>81</v>
      </c>
      <c r="AE20" s="9">
        <f t="shared" si="5"/>
        <v>41.86</v>
      </c>
      <c r="AF20" s="9">
        <f t="shared" si="11"/>
        <v>39.14</v>
      </c>
      <c r="AG20" s="8">
        <f t="shared" si="6"/>
        <v>2024</v>
      </c>
      <c r="AH20" s="8">
        <f t="shared" si="7"/>
        <v>12</v>
      </c>
      <c r="AI20" s="5" t="str">
        <f t="shared" si="8"/>
        <v>Dec</v>
      </c>
      <c r="AJ20" s="5" t="str">
        <f t="shared" si="9"/>
        <v>Tuesday</v>
      </c>
    </row>
    <row r="21" spans="1:36" x14ac:dyDescent="0.3">
      <c r="A21" s="5" t="s">
        <v>55</v>
      </c>
      <c r="B21" s="6">
        <v>45544</v>
      </c>
      <c r="C21" s="7">
        <v>0.46875</v>
      </c>
      <c r="D21" s="5" t="s">
        <v>1758</v>
      </c>
      <c r="E21" s="5" t="s">
        <v>1959</v>
      </c>
      <c r="F21" s="5" t="s">
        <v>2240</v>
      </c>
      <c r="G21" s="5" t="s">
        <v>2248</v>
      </c>
      <c r="H21" s="5" t="s">
        <v>2257</v>
      </c>
      <c r="I21" s="5" t="s">
        <v>2262</v>
      </c>
      <c r="J21" s="5" t="s">
        <v>2264</v>
      </c>
      <c r="K21" s="8">
        <v>2</v>
      </c>
      <c r="L21" s="9">
        <v>155</v>
      </c>
      <c r="M21" s="10">
        <v>0.05</v>
      </c>
      <c r="N21" s="9">
        <f t="shared" si="10"/>
        <v>310</v>
      </c>
      <c r="O21" s="9">
        <f t="shared" si="0"/>
        <v>294.5</v>
      </c>
      <c r="P21" s="5" t="s">
        <v>2269</v>
      </c>
      <c r="Q21" s="5" t="s">
        <v>1761</v>
      </c>
      <c r="R21" s="5" t="s">
        <v>2278</v>
      </c>
      <c r="S21" s="5" t="s">
        <v>2284</v>
      </c>
      <c r="T21" s="5" t="s">
        <v>2290</v>
      </c>
      <c r="U21" s="8">
        <v>1</v>
      </c>
      <c r="V21" s="8">
        <v>468</v>
      </c>
      <c r="W21" s="19">
        <v>36</v>
      </c>
      <c r="X21" s="9">
        <v>78.33</v>
      </c>
      <c r="Y21" s="9">
        <f t="shared" si="1"/>
        <v>137.84</v>
      </c>
      <c r="Z21" s="5" t="s">
        <v>2292</v>
      </c>
      <c r="AA21" s="5" t="s">
        <v>2296</v>
      </c>
      <c r="AB21" s="9">
        <f t="shared" si="2"/>
        <v>310</v>
      </c>
      <c r="AC21" s="9">
        <f t="shared" si="3"/>
        <v>15.5</v>
      </c>
      <c r="AD21" s="9">
        <f t="shared" si="4"/>
        <v>294.5</v>
      </c>
      <c r="AE21" s="9">
        <f t="shared" si="5"/>
        <v>156.66</v>
      </c>
      <c r="AF21" s="9">
        <f t="shared" si="11"/>
        <v>137.84</v>
      </c>
      <c r="AG21" s="8">
        <f t="shared" si="6"/>
        <v>2024</v>
      </c>
      <c r="AH21" s="8">
        <f t="shared" si="7"/>
        <v>9</v>
      </c>
      <c r="AI21" s="5" t="str">
        <f t="shared" si="8"/>
        <v>Sep</v>
      </c>
      <c r="AJ21" s="5" t="str">
        <f t="shared" si="9"/>
        <v>Monday</v>
      </c>
    </row>
    <row r="22" spans="1:36" x14ac:dyDescent="0.3">
      <c r="A22" s="5" t="s">
        <v>56</v>
      </c>
      <c r="B22" s="6">
        <v>45460</v>
      </c>
      <c r="C22" s="7">
        <v>0.77083333333333337</v>
      </c>
      <c r="D22" s="5" t="s">
        <v>1759</v>
      </c>
      <c r="E22" s="5" t="s">
        <v>1960</v>
      </c>
      <c r="F22" s="5" t="s">
        <v>2240</v>
      </c>
      <c r="G22" s="5" t="s">
        <v>2245</v>
      </c>
      <c r="H22" s="5" t="s">
        <v>2257</v>
      </c>
      <c r="I22" s="5" t="s">
        <v>2263</v>
      </c>
      <c r="J22" s="5" t="s">
        <v>1761</v>
      </c>
      <c r="K22" s="8">
        <v>4</v>
      </c>
      <c r="L22" s="9">
        <v>160</v>
      </c>
      <c r="M22" s="10">
        <v>0</v>
      </c>
      <c r="N22" s="9">
        <f t="shared" si="10"/>
        <v>640</v>
      </c>
      <c r="O22" s="9">
        <f t="shared" si="0"/>
        <v>640</v>
      </c>
      <c r="P22" s="5" t="s">
        <v>2267</v>
      </c>
      <c r="Q22" s="5" t="s">
        <v>2270</v>
      </c>
      <c r="R22" s="5" t="s">
        <v>2277</v>
      </c>
      <c r="S22" s="5" t="s">
        <v>2280</v>
      </c>
      <c r="T22" s="5" t="s">
        <v>2288</v>
      </c>
      <c r="U22" s="8">
        <v>4</v>
      </c>
      <c r="V22" s="8">
        <v>13</v>
      </c>
      <c r="W22" s="8">
        <v>51</v>
      </c>
      <c r="X22" s="9">
        <v>82.51</v>
      </c>
      <c r="Y22" s="9">
        <f t="shared" si="1"/>
        <v>309.95999999999998</v>
      </c>
      <c r="Z22" s="5" t="s">
        <v>2293</v>
      </c>
      <c r="AA22" s="5" t="s">
        <v>1761</v>
      </c>
      <c r="AB22" s="9">
        <f t="shared" si="2"/>
        <v>640</v>
      </c>
      <c r="AC22" s="9">
        <f t="shared" si="3"/>
        <v>0</v>
      </c>
      <c r="AD22" s="9">
        <f t="shared" si="4"/>
        <v>640</v>
      </c>
      <c r="AE22" s="9">
        <f t="shared" si="5"/>
        <v>330.04</v>
      </c>
      <c r="AF22" s="9">
        <f t="shared" si="11"/>
        <v>309.95999999999998</v>
      </c>
      <c r="AG22" s="8">
        <f t="shared" si="6"/>
        <v>2024</v>
      </c>
      <c r="AH22" s="8">
        <f t="shared" si="7"/>
        <v>6</v>
      </c>
      <c r="AI22" s="5" t="str">
        <f t="shared" si="8"/>
        <v>Jun</v>
      </c>
      <c r="AJ22" s="5" t="str">
        <f t="shared" si="9"/>
        <v>Monday</v>
      </c>
    </row>
    <row r="23" spans="1:36" x14ac:dyDescent="0.3">
      <c r="A23" s="5" t="s">
        <v>57</v>
      </c>
      <c r="B23" s="6">
        <v>45475</v>
      </c>
      <c r="C23" s="7">
        <v>0.30555555555555558</v>
      </c>
      <c r="D23" s="5" t="s">
        <v>1760</v>
      </c>
      <c r="E23" s="5" t="s">
        <v>1961</v>
      </c>
      <c r="F23" s="5" t="s">
        <v>2239</v>
      </c>
      <c r="G23" s="5" t="s">
        <v>2248</v>
      </c>
      <c r="H23" s="5" t="s">
        <v>2257</v>
      </c>
      <c r="I23" s="5" t="s">
        <v>2262</v>
      </c>
      <c r="J23" s="5" t="s">
        <v>2264</v>
      </c>
      <c r="K23" s="8">
        <v>2</v>
      </c>
      <c r="L23" s="9">
        <v>150</v>
      </c>
      <c r="M23" s="10">
        <v>0.15</v>
      </c>
      <c r="N23" s="9">
        <f t="shared" si="10"/>
        <v>300</v>
      </c>
      <c r="O23" s="9">
        <f t="shared" si="0"/>
        <v>255</v>
      </c>
      <c r="P23" s="5" t="s">
        <v>1761</v>
      </c>
      <c r="Q23" s="5" t="s">
        <v>2272</v>
      </c>
      <c r="R23" s="5" t="s">
        <v>2277</v>
      </c>
      <c r="S23" s="5" t="s">
        <v>2283</v>
      </c>
      <c r="T23" s="5" t="s">
        <v>2288</v>
      </c>
      <c r="U23" s="8">
        <v>3</v>
      </c>
      <c r="V23" s="8">
        <v>271</v>
      </c>
      <c r="W23" s="8">
        <v>49</v>
      </c>
      <c r="X23" s="9">
        <v>61.6</v>
      </c>
      <c r="Y23" s="9">
        <f t="shared" si="1"/>
        <v>131.80000000000001</v>
      </c>
      <c r="Z23" s="5" t="s">
        <v>2291</v>
      </c>
      <c r="AA23" s="5" t="s">
        <v>2299</v>
      </c>
      <c r="AB23" s="9">
        <f t="shared" si="2"/>
        <v>300</v>
      </c>
      <c r="AC23" s="9">
        <f t="shared" si="3"/>
        <v>45</v>
      </c>
      <c r="AD23" s="9">
        <f t="shared" si="4"/>
        <v>255</v>
      </c>
      <c r="AE23" s="9">
        <f t="shared" si="5"/>
        <v>123.2</v>
      </c>
      <c r="AF23" s="9">
        <f t="shared" si="11"/>
        <v>131.80000000000001</v>
      </c>
      <c r="AG23" s="8">
        <f t="shared" si="6"/>
        <v>2024</v>
      </c>
      <c r="AH23" s="8">
        <f t="shared" si="7"/>
        <v>7</v>
      </c>
      <c r="AI23" s="5" t="str">
        <f t="shared" si="8"/>
        <v>Jul</v>
      </c>
      <c r="AJ23" s="5" t="str">
        <f t="shared" si="9"/>
        <v>Tuesday</v>
      </c>
    </row>
    <row r="24" spans="1:36" x14ac:dyDescent="0.3">
      <c r="A24" s="5" t="s">
        <v>58</v>
      </c>
      <c r="B24" s="6">
        <v>45585</v>
      </c>
      <c r="C24" s="7">
        <v>0.41666666666666669</v>
      </c>
      <c r="D24" s="5" t="s">
        <v>1761</v>
      </c>
      <c r="E24" s="5" t="s">
        <v>1962</v>
      </c>
      <c r="F24" s="5" t="s">
        <v>2238</v>
      </c>
      <c r="G24" s="5" t="s">
        <v>2243</v>
      </c>
      <c r="H24" s="5" t="s">
        <v>2258</v>
      </c>
      <c r="I24" s="5" t="s">
        <v>2260</v>
      </c>
      <c r="J24" s="5" t="s">
        <v>2264</v>
      </c>
      <c r="K24" s="8">
        <v>1</v>
      </c>
      <c r="L24" s="9">
        <v>70</v>
      </c>
      <c r="M24" s="10">
        <v>0</v>
      </c>
      <c r="N24" s="9">
        <f t="shared" si="10"/>
        <v>70</v>
      </c>
      <c r="O24" s="9">
        <f t="shared" si="0"/>
        <v>70</v>
      </c>
      <c r="P24" s="5" t="s">
        <v>2268</v>
      </c>
      <c r="Q24" s="5" t="s">
        <v>2272</v>
      </c>
      <c r="R24" s="5" t="s">
        <v>2278</v>
      </c>
      <c r="S24" s="5" t="s">
        <v>2285</v>
      </c>
      <c r="T24" s="5" t="s">
        <v>2288</v>
      </c>
      <c r="U24" s="8">
        <v>2</v>
      </c>
      <c r="V24" s="8">
        <v>436</v>
      </c>
      <c r="W24" s="8">
        <v>11</v>
      </c>
      <c r="X24" s="9">
        <v>38.36</v>
      </c>
      <c r="Y24" s="9">
        <f t="shared" si="1"/>
        <v>31.64</v>
      </c>
      <c r="Z24" s="5" t="s">
        <v>2293</v>
      </c>
      <c r="AA24" s="5" t="s">
        <v>2297</v>
      </c>
      <c r="AB24" s="9">
        <f t="shared" si="2"/>
        <v>70</v>
      </c>
      <c r="AC24" s="9">
        <f t="shared" si="3"/>
        <v>0</v>
      </c>
      <c r="AD24" s="9">
        <f t="shared" si="4"/>
        <v>70</v>
      </c>
      <c r="AE24" s="9">
        <f t="shared" si="5"/>
        <v>38.36</v>
      </c>
      <c r="AF24" s="9">
        <f t="shared" si="11"/>
        <v>31.64</v>
      </c>
      <c r="AG24" s="8">
        <f t="shared" si="6"/>
        <v>2024</v>
      </c>
      <c r="AH24" s="8">
        <f t="shared" si="7"/>
        <v>10</v>
      </c>
      <c r="AI24" s="5" t="str">
        <f t="shared" si="8"/>
        <v>Oct</v>
      </c>
      <c r="AJ24" s="5" t="str">
        <f t="shared" si="9"/>
        <v>Sunday</v>
      </c>
    </row>
    <row r="25" spans="1:36" x14ac:dyDescent="0.3">
      <c r="A25" s="5" t="s">
        <v>59</v>
      </c>
      <c r="B25" s="6">
        <v>45446</v>
      </c>
      <c r="C25" s="7">
        <v>0.375</v>
      </c>
      <c r="D25" s="5" t="s">
        <v>1746</v>
      </c>
      <c r="E25" s="5" t="s">
        <v>1963</v>
      </c>
      <c r="F25" s="5" t="s">
        <v>2238</v>
      </c>
      <c r="G25" s="5" t="s">
        <v>2246</v>
      </c>
      <c r="H25" s="5" t="s">
        <v>2259</v>
      </c>
      <c r="I25" s="5" t="s">
        <v>2262</v>
      </c>
      <c r="J25" s="5" t="s">
        <v>2265</v>
      </c>
      <c r="K25" s="8">
        <v>1</v>
      </c>
      <c r="L25" s="9">
        <v>100</v>
      </c>
      <c r="M25" s="10">
        <v>0</v>
      </c>
      <c r="N25" s="9">
        <f t="shared" si="10"/>
        <v>100</v>
      </c>
      <c r="O25" s="9">
        <f t="shared" si="0"/>
        <v>100</v>
      </c>
      <c r="P25" s="5" t="s">
        <v>2267</v>
      </c>
      <c r="Q25" s="5" t="s">
        <v>2270</v>
      </c>
      <c r="R25" s="5" t="s">
        <v>2275</v>
      </c>
      <c r="S25" s="5" t="s">
        <v>2282</v>
      </c>
      <c r="T25" s="5" t="s">
        <v>2288</v>
      </c>
      <c r="U25" s="8">
        <v>2</v>
      </c>
      <c r="V25" s="8">
        <v>397</v>
      </c>
      <c r="W25" s="8">
        <v>50</v>
      </c>
      <c r="X25" s="9">
        <v>39.28</v>
      </c>
      <c r="Y25" s="9">
        <f t="shared" si="1"/>
        <v>60.72</v>
      </c>
      <c r="Z25" s="5" t="s">
        <v>2294</v>
      </c>
      <c r="AA25" s="5" t="s">
        <v>2297</v>
      </c>
      <c r="AB25" s="9">
        <f t="shared" si="2"/>
        <v>100</v>
      </c>
      <c r="AC25" s="9">
        <f t="shared" si="3"/>
        <v>0</v>
      </c>
      <c r="AD25" s="9">
        <f t="shared" si="4"/>
        <v>100</v>
      </c>
      <c r="AE25" s="9">
        <f t="shared" si="5"/>
        <v>39.28</v>
      </c>
      <c r="AF25" s="9">
        <f t="shared" si="11"/>
        <v>60.72</v>
      </c>
      <c r="AG25" s="8">
        <f t="shared" si="6"/>
        <v>2024</v>
      </c>
      <c r="AH25" s="8">
        <f t="shared" si="7"/>
        <v>6</v>
      </c>
      <c r="AI25" s="5" t="str">
        <f t="shared" si="8"/>
        <v>Jun</v>
      </c>
      <c r="AJ25" s="5" t="str">
        <f t="shared" si="9"/>
        <v>Monday</v>
      </c>
    </row>
    <row r="26" spans="1:36" x14ac:dyDescent="0.3">
      <c r="A26" s="5" t="s">
        <v>60</v>
      </c>
      <c r="B26" s="6">
        <v>45299</v>
      </c>
      <c r="C26" s="7">
        <v>0.4375</v>
      </c>
      <c r="D26" s="5" t="s">
        <v>1762</v>
      </c>
      <c r="E26" s="5" t="s">
        <v>1964</v>
      </c>
      <c r="F26" s="5" t="s">
        <v>2238</v>
      </c>
      <c r="G26" s="5" t="s">
        <v>2243</v>
      </c>
      <c r="H26" s="5" t="s">
        <v>2258</v>
      </c>
      <c r="I26" s="5" t="s">
        <v>2260</v>
      </c>
      <c r="J26" s="5" t="s">
        <v>2266</v>
      </c>
      <c r="K26" s="8">
        <v>2</v>
      </c>
      <c r="L26" s="9">
        <v>70</v>
      </c>
      <c r="M26" s="10">
        <v>0</v>
      </c>
      <c r="N26" s="9">
        <f t="shared" si="10"/>
        <v>140</v>
      </c>
      <c r="O26" s="9">
        <f t="shared" si="0"/>
        <v>140</v>
      </c>
      <c r="P26" s="5" t="s">
        <v>2269</v>
      </c>
      <c r="Q26" s="5" t="s">
        <v>1761</v>
      </c>
      <c r="R26" s="5" t="s">
        <v>2274</v>
      </c>
      <c r="S26" s="5" t="s">
        <v>2285</v>
      </c>
      <c r="T26" s="5" t="s">
        <v>2288</v>
      </c>
      <c r="U26" s="8">
        <v>5</v>
      </c>
      <c r="V26" s="8">
        <v>99</v>
      </c>
      <c r="W26" s="8">
        <v>17</v>
      </c>
      <c r="X26" s="9">
        <v>34.99</v>
      </c>
      <c r="Y26" s="9">
        <f t="shared" si="1"/>
        <v>70.02</v>
      </c>
      <c r="Z26" s="5" t="s">
        <v>2292</v>
      </c>
      <c r="AA26" s="5" t="s">
        <v>2298</v>
      </c>
      <c r="AB26" s="9">
        <f t="shared" si="2"/>
        <v>140</v>
      </c>
      <c r="AC26" s="9">
        <f t="shared" si="3"/>
        <v>0</v>
      </c>
      <c r="AD26" s="9">
        <f t="shared" si="4"/>
        <v>140</v>
      </c>
      <c r="AE26" s="9">
        <f t="shared" si="5"/>
        <v>69.98</v>
      </c>
      <c r="AF26" s="9">
        <f t="shared" si="11"/>
        <v>70.02</v>
      </c>
      <c r="AG26" s="8">
        <f t="shared" si="6"/>
        <v>2024</v>
      </c>
      <c r="AH26" s="8">
        <f t="shared" si="7"/>
        <v>1</v>
      </c>
      <c r="AI26" s="5" t="str">
        <f t="shared" si="8"/>
        <v>Jan</v>
      </c>
      <c r="AJ26" s="5" t="str">
        <f t="shared" si="9"/>
        <v>Monday</v>
      </c>
    </row>
    <row r="27" spans="1:36" x14ac:dyDescent="0.3">
      <c r="A27" s="5" t="s">
        <v>61</v>
      </c>
      <c r="B27" s="6">
        <v>45446</v>
      </c>
      <c r="C27" s="7">
        <v>0.375</v>
      </c>
      <c r="D27" s="5" t="s">
        <v>1763</v>
      </c>
      <c r="E27" s="5" t="s">
        <v>1965</v>
      </c>
      <c r="F27" s="5" t="s">
        <v>2240</v>
      </c>
      <c r="G27" s="5" t="s">
        <v>2244</v>
      </c>
      <c r="H27" s="5" t="s">
        <v>2257</v>
      </c>
      <c r="I27" s="5" t="s">
        <v>2262</v>
      </c>
      <c r="J27" s="5" t="s">
        <v>2266</v>
      </c>
      <c r="K27" s="8">
        <v>1</v>
      </c>
      <c r="L27" s="9">
        <v>130</v>
      </c>
      <c r="M27" s="10">
        <v>0</v>
      </c>
      <c r="N27" s="9">
        <f t="shared" si="10"/>
        <v>130</v>
      </c>
      <c r="O27" s="9">
        <f t="shared" si="0"/>
        <v>130</v>
      </c>
      <c r="P27" s="5" t="s">
        <v>2267</v>
      </c>
      <c r="Q27" s="5" t="s">
        <v>2271</v>
      </c>
      <c r="R27" s="5" t="s">
        <v>2279</v>
      </c>
      <c r="S27" s="5" t="s">
        <v>2283</v>
      </c>
      <c r="T27" s="5" t="s">
        <v>2288</v>
      </c>
      <c r="U27" s="8">
        <v>5</v>
      </c>
      <c r="V27" s="8">
        <v>113</v>
      </c>
      <c r="W27" s="8">
        <v>50</v>
      </c>
      <c r="X27" s="9">
        <v>68.91</v>
      </c>
      <c r="Y27" s="9">
        <f t="shared" si="1"/>
        <v>61.09</v>
      </c>
      <c r="Z27" s="5" t="s">
        <v>1761</v>
      </c>
      <c r="AA27" s="5" t="s">
        <v>2297</v>
      </c>
      <c r="AB27" s="9">
        <f t="shared" si="2"/>
        <v>130</v>
      </c>
      <c r="AC27" s="9">
        <f t="shared" si="3"/>
        <v>0</v>
      </c>
      <c r="AD27" s="9">
        <f t="shared" si="4"/>
        <v>130</v>
      </c>
      <c r="AE27" s="9">
        <f t="shared" si="5"/>
        <v>68.91</v>
      </c>
      <c r="AF27" s="9">
        <f t="shared" si="11"/>
        <v>61.09</v>
      </c>
      <c r="AG27" s="8">
        <f t="shared" si="6"/>
        <v>2024</v>
      </c>
      <c r="AH27" s="8">
        <f t="shared" si="7"/>
        <v>6</v>
      </c>
      <c r="AI27" s="5" t="str">
        <f t="shared" si="8"/>
        <v>Jun</v>
      </c>
      <c r="AJ27" s="5" t="str">
        <f t="shared" si="9"/>
        <v>Monday</v>
      </c>
    </row>
    <row r="28" spans="1:36" x14ac:dyDescent="0.3">
      <c r="A28" s="5" t="s">
        <v>62</v>
      </c>
      <c r="B28" s="6">
        <v>45457</v>
      </c>
      <c r="C28" s="7">
        <v>0.86458333333333337</v>
      </c>
      <c r="D28" s="5" t="s">
        <v>1764</v>
      </c>
      <c r="E28" s="5" t="s">
        <v>1966</v>
      </c>
      <c r="F28" s="5" t="s">
        <v>2240</v>
      </c>
      <c r="G28" s="5" t="s">
        <v>2254</v>
      </c>
      <c r="H28" s="5" t="s">
        <v>2259</v>
      </c>
      <c r="I28" s="5" t="s">
        <v>2263</v>
      </c>
      <c r="J28" s="5" t="s">
        <v>2265</v>
      </c>
      <c r="K28" s="8">
        <v>2</v>
      </c>
      <c r="L28" s="9">
        <v>110</v>
      </c>
      <c r="M28" s="10">
        <v>0.15</v>
      </c>
      <c r="N28" s="9">
        <f t="shared" si="10"/>
        <v>220</v>
      </c>
      <c r="O28" s="9">
        <f t="shared" si="0"/>
        <v>187</v>
      </c>
      <c r="P28" s="5" t="s">
        <v>2269</v>
      </c>
      <c r="Q28" s="5" t="s">
        <v>2270</v>
      </c>
      <c r="R28" s="5" t="s">
        <v>2273</v>
      </c>
      <c r="S28" s="5" t="s">
        <v>2280</v>
      </c>
      <c r="T28" s="5" t="s">
        <v>2288</v>
      </c>
      <c r="U28" s="8">
        <v>5</v>
      </c>
      <c r="V28" s="8">
        <v>353</v>
      </c>
      <c r="W28" s="8">
        <v>23</v>
      </c>
      <c r="X28" s="9">
        <v>48.74</v>
      </c>
      <c r="Y28" s="9">
        <f t="shared" si="1"/>
        <v>89.52</v>
      </c>
      <c r="Z28" s="5" t="s">
        <v>1761</v>
      </c>
      <c r="AA28" s="5" t="s">
        <v>1761</v>
      </c>
      <c r="AB28" s="9">
        <f t="shared" si="2"/>
        <v>220</v>
      </c>
      <c r="AC28" s="9">
        <f t="shared" si="3"/>
        <v>33</v>
      </c>
      <c r="AD28" s="9">
        <f t="shared" si="4"/>
        <v>187</v>
      </c>
      <c r="AE28" s="9">
        <f t="shared" si="5"/>
        <v>97.48</v>
      </c>
      <c r="AF28" s="9">
        <f t="shared" si="11"/>
        <v>89.52</v>
      </c>
      <c r="AG28" s="8">
        <f t="shared" si="6"/>
        <v>2024</v>
      </c>
      <c r="AH28" s="8">
        <f t="shared" si="7"/>
        <v>6</v>
      </c>
      <c r="AI28" s="5" t="str">
        <f t="shared" si="8"/>
        <v>Jun</v>
      </c>
      <c r="AJ28" s="5" t="str">
        <f t="shared" si="9"/>
        <v>Friday</v>
      </c>
    </row>
    <row r="29" spans="1:36" x14ac:dyDescent="0.3">
      <c r="A29" s="5" t="s">
        <v>63</v>
      </c>
      <c r="B29" s="6">
        <v>45567</v>
      </c>
      <c r="C29" s="7">
        <v>0.89583333333333337</v>
      </c>
      <c r="D29" s="5" t="s">
        <v>1765</v>
      </c>
      <c r="E29" s="5" t="s">
        <v>1967</v>
      </c>
      <c r="F29" s="5" t="s">
        <v>2239</v>
      </c>
      <c r="G29" s="5" t="s">
        <v>2251</v>
      </c>
      <c r="H29" s="5" t="s">
        <v>2258</v>
      </c>
      <c r="I29" s="5" t="s">
        <v>2260</v>
      </c>
      <c r="J29" s="5" t="s">
        <v>2266</v>
      </c>
      <c r="K29" s="8">
        <v>1</v>
      </c>
      <c r="L29" s="9">
        <v>105</v>
      </c>
      <c r="M29" s="10">
        <v>0</v>
      </c>
      <c r="N29" s="9">
        <f t="shared" si="10"/>
        <v>105</v>
      </c>
      <c r="O29" s="9">
        <f t="shared" si="0"/>
        <v>105</v>
      </c>
      <c r="P29" s="5" t="s">
        <v>2268</v>
      </c>
      <c r="Q29" s="5" t="s">
        <v>1761</v>
      </c>
      <c r="R29" s="5" t="s">
        <v>2274</v>
      </c>
      <c r="S29" s="5" t="s">
        <v>2282</v>
      </c>
      <c r="T29" s="5" t="s">
        <v>2288</v>
      </c>
      <c r="U29" s="8">
        <v>4</v>
      </c>
      <c r="V29" s="8">
        <v>177</v>
      </c>
      <c r="W29" s="8">
        <v>18</v>
      </c>
      <c r="X29" s="9">
        <v>55.43</v>
      </c>
      <c r="Y29" s="9">
        <f t="shared" si="1"/>
        <v>49.57</v>
      </c>
      <c r="Z29" s="5" t="s">
        <v>1761</v>
      </c>
      <c r="AA29" s="5" t="s">
        <v>2297</v>
      </c>
      <c r="AB29" s="9">
        <f t="shared" si="2"/>
        <v>105</v>
      </c>
      <c r="AC29" s="9">
        <f t="shared" si="3"/>
        <v>0</v>
      </c>
      <c r="AD29" s="9">
        <f t="shared" si="4"/>
        <v>105</v>
      </c>
      <c r="AE29" s="9">
        <f t="shared" si="5"/>
        <v>55.43</v>
      </c>
      <c r="AF29" s="9">
        <f t="shared" si="11"/>
        <v>49.57</v>
      </c>
      <c r="AG29" s="8">
        <f t="shared" si="6"/>
        <v>2024</v>
      </c>
      <c r="AH29" s="8">
        <f t="shared" si="7"/>
        <v>10</v>
      </c>
      <c r="AI29" s="5" t="str">
        <f t="shared" si="8"/>
        <v>Oct</v>
      </c>
      <c r="AJ29" s="5" t="str">
        <f t="shared" si="9"/>
        <v>Wednesday</v>
      </c>
    </row>
    <row r="30" spans="1:36" x14ac:dyDescent="0.3">
      <c r="A30" s="5" t="s">
        <v>64</v>
      </c>
      <c r="B30" s="6">
        <v>45598</v>
      </c>
      <c r="C30" s="7">
        <v>0.76041666666666663</v>
      </c>
      <c r="D30" s="5" t="s">
        <v>1766</v>
      </c>
      <c r="E30" s="5" t="s">
        <v>1968</v>
      </c>
      <c r="F30" s="5" t="s">
        <v>2240</v>
      </c>
      <c r="G30" s="5" t="s">
        <v>2242</v>
      </c>
      <c r="H30" s="5" t="s">
        <v>2258</v>
      </c>
      <c r="I30" s="5" t="s">
        <v>2260</v>
      </c>
      <c r="J30" s="5" t="s">
        <v>2265</v>
      </c>
      <c r="K30" s="8">
        <v>1</v>
      </c>
      <c r="L30" s="9">
        <v>130</v>
      </c>
      <c r="M30" s="10">
        <v>0.1</v>
      </c>
      <c r="N30" s="9">
        <f t="shared" si="10"/>
        <v>130</v>
      </c>
      <c r="O30" s="9">
        <f t="shared" si="0"/>
        <v>117</v>
      </c>
      <c r="P30" s="5" t="s">
        <v>2269</v>
      </c>
      <c r="Q30" s="5" t="s">
        <v>2272</v>
      </c>
      <c r="R30" s="5" t="s">
        <v>2276</v>
      </c>
      <c r="S30" s="5" t="s">
        <v>2284</v>
      </c>
      <c r="T30" s="5" t="s">
        <v>2290</v>
      </c>
      <c r="U30" s="8">
        <v>5</v>
      </c>
      <c r="V30" s="8">
        <v>174</v>
      </c>
      <c r="W30" s="8">
        <v>14</v>
      </c>
      <c r="X30" s="9">
        <v>57.9</v>
      </c>
      <c r="Y30" s="9">
        <f t="shared" si="1"/>
        <v>59.1</v>
      </c>
      <c r="Z30" s="5" t="s">
        <v>2293</v>
      </c>
      <c r="AA30" s="5" t="s">
        <v>2296</v>
      </c>
      <c r="AB30" s="9">
        <f t="shared" si="2"/>
        <v>130</v>
      </c>
      <c r="AC30" s="9">
        <f t="shared" si="3"/>
        <v>13</v>
      </c>
      <c r="AD30" s="9">
        <f t="shared" si="4"/>
        <v>117</v>
      </c>
      <c r="AE30" s="9">
        <f t="shared" si="5"/>
        <v>57.9</v>
      </c>
      <c r="AF30" s="9">
        <f t="shared" si="11"/>
        <v>59.1</v>
      </c>
      <c r="AG30" s="8">
        <f t="shared" si="6"/>
        <v>2024</v>
      </c>
      <c r="AH30" s="8">
        <f t="shared" si="7"/>
        <v>11</v>
      </c>
      <c r="AI30" s="5" t="str">
        <f t="shared" si="8"/>
        <v>Nov</v>
      </c>
      <c r="AJ30" s="5" t="str">
        <f t="shared" si="9"/>
        <v>Saturday</v>
      </c>
    </row>
    <row r="31" spans="1:36" x14ac:dyDescent="0.3">
      <c r="A31" s="5" t="s">
        <v>65</v>
      </c>
      <c r="B31" s="6">
        <v>45636</v>
      </c>
      <c r="C31" s="7">
        <v>0.43055555555555558</v>
      </c>
      <c r="D31" s="5" t="s">
        <v>1767</v>
      </c>
      <c r="E31" s="5" t="s">
        <v>1969</v>
      </c>
      <c r="F31" s="5" t="s">
        <v>1761</v>
      </c>
      <c r="G31" s="5" t="s">
        <v>2252</v>
      </c>
      <c r="H31" s="5" t="s">
        <v>2257</v>
      </c>
      <c r="I31" s="5" t="s">
        <v>2262</v>
      </c>
      <c r="J31" s="5" t="s">
        <v>2264</v>
      </c>
      <c r="K31" s="8">
        <v>1</v>
      </c>
      <c r="L31" s="9">
        <v>100</v>
      </c>
      <c r="M31" s="10">
        <v>0.1</v>
      </c>
      <c r="N31" s="9">
        <f t="shared" si="10"/>
        <v>100</v>
      </c>
      <c r="O31" s="9">
        <f t="shared" si="0"/>
        <v>90</v>
      </c>
      <c r="P31" s="5" t="s">
        <v>2267</v>
      </c>
      <c r="Q31" s="5" t="s">
        <v>2272</v>
      </c>
      <c r="R31" s="5" t="s">
        <v>2274</v>
      </c>
      <c r="S31" s="5" t="s">
        <v>2280</v>
      </c>
      <c r="T31" s="5" t="s">
        <v>2288</v>
      </c>
      <c r="U31" s="8">
        <v>3</v>
      </c>
      <c r="V31" s="8">
        <v>138</v>
      </c>
      <c r="W31" s="8">
        <v>18</v>
      </c>
      <c r="X31" s="9">
        <v>52.33</v>
      </c>
      <c r="Y31" s="9">
        <f t="shared" si="1"/>
        <v>37.67</v>
      </c>
      <c r="Z31" s="5" t="s">
        <v>2291</v>
      </c>
      <c r="AA31" s="5" t="s">
        <v>2298</v>
      </c>
      <c r="AB31" s="9">
        <f t="shared" si="2"/>
        <v>100</v>
      </c>
      <c r="AC31" s="9">
        <f t="shared" si="3"/>
        <v>10</v>
      </c>
      <c r="AD31" s="9">
        <f t="shared" si="4"/>
        <v>90</v>
      </c>
      <c r="AE31" s="9">
        <f t="shared" si="5"/>
        <v>52.33</v>
      </c>
      <c r="AF31" s="9">
        <f t="shared" si="11"/>
        <v>37.67</v>
      </c>
      <c r="AG31" s="8">
        <f t="shared" si="6"/>
        <v>2024</v>
      </c>
      <c r="AH31" s="8">
        <f t="shared" si="7"/>
        <v>12</v>
      </c>
      <c r="AI31" s="5" t="str">
        <f t="shared" si="8"/>
        <v>Dec</v>
      </c>
      <c r="AJ31" s="5" t="str">
        <f t="shared" si="9"/>
        <v>Tuesday</v>
      </c>
    </row>
    <row r="32" spans="1:36" x14ac:dyDescent="0.3">
      <c r="A32" s="5" t="s">
        <v>66</v>
      </c>
      <c r="B32" s="6">
        <v>45554</v>
      </c>
      <c r="C32" s="7">
        <v>0.51388888888888884</v>
      </c>
      <c r="D32" s="5" t="s">
        <v>1768</v>
      </c>
      <c r="E32" s="5" t="s">
        <v>1970</v>
      </c>
      <c r="F32" s="5" t="s">
        <v>2240</v>
      </c>
      <c r="G32" s="5" t="s">
        <v>2252</v>
      </c>
      <c r="H32" s="5" t="s">
        <v>2257</v>
      </c>
      <c r="I32" s="5" t="s">
        <v>2262</v>
      </c>
      <c r="J32" s="5" t="s">
        <v>1761</v>
      </c>
      <c r="K32" s="8">
        <v>2</v>
      </c>
      <c r="L32" s="9">
        <v>85</v>
      </c>
      <c r="M32" s="10">
        <v>0.1</v>
      </c>
      <c r="N32" s="9">
        <f t="shared" si="10"/>
        <v>170</v>
      </c>
      <c r="O32" s="9">
        <f t="shared" si="0"/>
        <v>153</v>
      </c>
      <c r="P32" s="5" t="s">
        <v>2269</v>
      </c>
      <c r="Q32" s="5" t="s">
        <v>2272</v>
      </c>
      <c r="R32" s="5" t="s">
        <v>2279</v>
      </c>
      <c r="S32" s="5" t="s">
        <v>2286</v>
      </c>
      <c r="T32" s="5" t="s">
        <v>2288</v>
      </c>
      <c r="U32" s="8">
        <v>2</v>
      </c>
      <c r="V32" s="8">
        <v>349</v>
      </c>
      <c r="W32" s="8">
        <v>27</v>
      </c>
      <c r="X32" s="9">
        <v>49.46</v>
      </c>
      <c r="Y32" s="9">
        <f t="shared" si="1"/>
        <v>54.08</v>
      </c>
      <c r="Z32" s="5" t="s">
        <v>2293</v>
      </c>
      <c r="AA32" s="5" t="s">
        <v>2298</v>
      </c>
      <c r="AB32" s="9">
        <f t="shared" si="2"/>
        <v>170</v>
      </c>
      <c r="AC32" s="9">
        <f t="shared" si="3"/>
        <v>17</v>
      </c>
      <c r="AD32" s="9">
        <f t="shared" si="4"/>
        <v>153</v>
      </c>
      <c r="AE32" s="9">
        <f t="shared" si="5"/>
        <v>98.92</v>
      </c>
      <c r="AF32" s="9">
        <f t="shared" si="11"/>
        <v>54.08</v>
      </c>
      <c r="AG32" s="8">
        <f t="shared" si="6"/>
        <v>2024</v>
      </c>
      <c r="AH32" s="8">
        <f t="shared" si="7"/>
        <v>9</v>
      </c>
      <c r="AI32" s="5" t="str">
        <f t="shared" si="8"/>
        <v>Sep</v>
      </c>
      <c r="AJ32" s="5" t="str">
        <f t="shared" si="9"/>
        <v>Thursday</v>
      </c>
    </row>
    <row r="33" spans="1:36" x14ac:dyDescent="0.3">
      <c r="A33" s="5" t="s">
        <v>67</v>
      </c>
      <c r="B33" s="6">
        <v>45516</v>
      </c>
      <c r="C33" s="7">
        <v>0.38194444444444442</v>
      </c>
      <c r="D33" s="5" t="s">
        <v>1769</v>
      </c>
      <c r="E33" s="5" t="s">
        <v>1971</v>
      </c>
      <c r="F33" s="5" t="s">
        <v>2240</v>
      </c>
      <c r="G33" s="5" t="s">
        <v>2250</v>
      </c>
      <c r="H33" s="5" t="s">
        <v>2259</v>
      </c>
      <c r="I33" s="5" t="s">
        <v>2262</v>
      </c>
      <c r="J33" s="5" t="s">
        <v>2265</v>
      </c>
      <c r="K33" s="8">
        <v>1</v>
      </c>
      <c r="L33" s="9">
        <v>75</v>
      </c>
      <c r="M33" s="10">
        <v>0.15</v>
      </c>
      <c r="N33" s="9">
        <f t="shared" si="10"/>
        <v>75</v>
      </c>
      <c r="O33" s="9">
        <f t="shared" si="0"/>
        <v>63.75</v>
      </c>
      <c r="P33" s="5" t="s">
        <v>2269</v>
      </c>
      <c r="Q33" s="5" t="s">
        <v>1761</v>
      </c>
      <c r="R33" s="5" t="s">
        <v>2275</v>
      </c>
      <c r="S33" s="5" t="s">
        <v>2287</v>
      </c>
      <c r="T33" s="5" t="s">
        <v>2288</v>
      </c>
      <c r="U33" s="8">
        <v>4</v>
      </c>
      <c r="V33" s="8">
        <v>400</v>
      </c>
      <c r="W33" s="8">
        <v>12</v>
      </c>
      <c r="X33" s="9">
        <v>42.47</v>
      </c>
      <c r="Y33" s="9">
        <f t="shared" si="1"/>
        <v>21.28</v>
      </c>
      <c r="Z33" s="5" t="s">
        <v>2293</v>
      </c>
      <c r="AA33" s="5" t="s">
        <v>2298</v>
      </c>
      <c r="AB33" s="9">
        <f t="shared" si="2"/>
        <v>75</v>
      </c>
      <c r="AC33" s="9">
        <f t="shared" si="3"/>
        <v>11.25</v>
      </c>
      <c r="AD33" s="9">
        <f t="shared" si="4"/>
        <v>63.75</v>
      </c>
      <c r="AE33" s="9">
        <f t="shared" si="5"/>
        <v>42.47</v>
      </c>
      <c r="AF33" s="9">
        <f t="shared" si="11"/>
        <v>21.28</v>
      </c>
      <c r="AG33" s="8">
        <f t="shared" si="6"/>
        <v>2024</v>
      </c>
      <c r="AH33" s="8">
        <f t="shared" si="7"/>
        <v>8</v>
      </c>
      <c r="AI33" s="5" t="str">
        <f t="shared" si="8"/>
        <v>Aug</v>
      </c>
      <c r="AJ33" s="5" t="str">
        <f t="shared" si="9"/>
        <v>Monday</v>
      </c>
    </row>
    <row r="34" spans="1:36" x14ac:dyDescent="0.3">
      <c r="A34" s="5" t="s">
        <v>68</v>
      </c>
      <c r="B34" s="6">
        <v>45512</v>
      </c>
      <c r="C34" s="7">
        <v>0.53125</v>
      </c>
      <c r="D34" s="5" t="s">
        <v>1761</v>
      </c>
      <c r="E34" s="5" t="s">
        <v>1972</v>
      </c>
      <c r="F34" s="5" t="s">
        <v>2238</v>
      </c>
      <c r="G34" s="5" t="s">
        <v>2242</v>
      </c>
      <c r="H34" s="5" t="s">
        <v>2258</v>
      </c>
      <c r="I34" s="5" t="s">
        <v>2260</v>
      </c>
      <c r="J34" s="5" t="s">
        <v>2265</v>
      </c>
      <c r="K34" s="8">
        <v>1</v>
      </c>
      <c r="L34" s="9">
        <v>115</v>
      </c>
      <c r="M34" s="10">
        <v>0</v>
      </c>
      <c r="N34" s="9">
        <f t="shared" si="10"/>
        <v>115</v>
      </c>
      <c r="O34" s="9">
        <f t="shared" si="0"/>
        <v>115</v>
      </c>
      <c r="P34" s="5" t="s">
        <v>2267</v>
      </c>
      <c r="Q34" s="5" t="s">
        <v>2270</v>
      </c>
      <c r="R34" s="5" t="s">
        <v>2274</v>
      </c>
      <c r="S34" s="5" t="s">
        <v>2286</v>
      </c>
      <c r="T34" s="5" t="s">
        <v>2288</v>
      </c>
      <c r="U34" s="8">
        <v>1</v>
      </c>
      <c r="V34" s="8">
        <v>115</v>
      </c>
      <c r="W34" s="8">
        <v>23</v>
      </c>
      <c r="X34" s="9">
        <v>57.83</v>
      </c>
      <c r="Y34" s="9">
        <f t="shared" si="1"/>
        <v>57.17</v>
      </c>
      <c r="Z34" s="5" t="s">
        <v>2291</v>
      </c>
      <c r="AA34" s="5" t="s">
        <v>2296</v>
      </c>
      <c r="AB34" s="9">
        <f t="shared" si="2"/>
        <v>115</v>
      </c>
      <c r="AC34" s="9">
        <f t="shared" si="3"/>
        <v>0</v>
      </c>
      <c r="AD34" s="9">
        <f t="shared" si="4"/>
        <v>115</v>
      </c>
      <c r="AE34" s="9">
        <f t="shared" si="5"/>
        <v>57.83</v>
      </c>
      <c r="AF34" s="9">
        <f t="shared" si="11"/>
        <v>57.17</v>
      </c>
      <c r="AG34" s="8">
        <f t="shared" si="6"/>
        <v>2024</v>
      </c>
      <c r="AH34" s="8">
        <f t="shared" si="7"/>
        <v>8</v>
      </c>
      <c r="AI34" s="5" t="str">
        <f t="shared" si="8"/>
        <v>Aug</v>
      </c>
      <c r="AJ34" s="5" t="str">
        <f t="shared" si="9"/>
        <v>Thursday</v>
      </c>
    </row>
    <row r="35" spans="1:36" x14ac:dyDescent="0.3">
      <c r="A35" s="5" t="s">
        <v>69</v>
      </c>
      <c r="B35" s="6">
        <v>45485</v>
      </c>
      <c r="C35" s="7">
        <v>0.33333333333333331</v>
      </c>
      <c r="D35" s="5" t="s">
        <v>1770</v>
      </c>
      <c r="E35" s="5" t="s">
        <v>1950</v>
      </c>
      <c r="F35" s="5" t="s">
        <v>2238</v>
      </c>
      <c r="G35" s="5" t="s">
        <v>2244</v>
      </c>
      <c r="H35" s="5" t="s">
        <v>2257</v>
      </c>
      <c r="I35" s="5" t="s">
        <v>2262</v>
      </c>
      <c r="J35" s="5" t="s">
        <v>2265</v>
      </c>
      <c r="K35" s="8">
        <v>1</v>
      </c>
      <c r="L35" s="9">
        <v>115</v>
      </c>
      <c r="M35" s="10">
        <v>0.1</v>
      </c>
      <c r="N35" s="9">
        <f t="shared" si="10"/>
        <v>115</v>
      </c>
      <c r="O35" s="9">
        <f t="shared" si="0"/>
        <v>103.5</v>
      </c>
      <c r="P35" s="5" t="s">
        <v>2269</v>
      </c>
      <c r="Q35" s="5" t="s">
        <v>2272</v>
      </c>
      <c r="R35" s="5" t="s">
        <v>2278</v>
      </c>
      <c r="S35" s="5" t="s">
        <v>2281</v>
      </c>
      <c r="T35" s="5" t="s">
        <v>2288</v>
      </c>
      <c r="U35" s="8">
        <v>2</v>
      </c>
      <c r="V35" s="8">
        <v>472</v>
      </c>
      <c r="W35" s="8">
        <v>51</v>
      </c>
      <c r="X35" s="9">
        <v>50</v>
      </c>
      <c r="Y35" s="9">
        <f t="shared" si="1"/>
        <v>53.5</v>
      </c>
      <c r="Z35" s="5" t="s">
        <v>2293</v>
      </c>
      <c r="AA35" s="5" t="s">
        <v>2296</v>
      </c>
      <c r="AB35" s="9">
        <f t="shared" si="2"/>
        <v>115</v>
      </c>
      <c r="AC35" s="9">
        <f t="shared" si="3"/>
        <v>11.5</v>
      </c>
      <c r="AD35" s="9">
        <f t="shared" si="4"/>
        <v>103.5</v>
      </c>
      <c r="AE35" s="9">
        <f t="shared" si="5"/>
        <v>50</v>
      </c>
      <c r="AF35" s="9">
        <f t="shared" si="11"/>
        <v>53.5</v>
      </c>
      <c r="AG35" s="8">
        <f t="shared" si="6"/>
        <v>2024</v>
      </c>
      <c r="AH35" s="8">
        <f t="shared" si="7"/>
        <v>7</v>
      </c>
      <c r="AI35" s="5" t="str">
        <f t="shared" si="8"/>
        <v>Jul</v>
      </c>
      <c r="AJ35" s="5" t="str">
        <f t="shared" si="9"/>
        <v>Friday</v>
      </c>
    </row>
    <row r="36" spans="1:36" x14ac:dyDescent="0.3">
      <c r="A36" s="5" t="s">
        <v>70</v>
      </c>
      <c r="B36" s="6">
        <v>45440</v>
      </c>
      <c r="C36" s="7">
        <v>0.67708333333333337</v>
      </c>
      <c r="D36" s="5" t="s">
        <v>1771</v>
      </c>
      <c r="E36" s="5" t="s">
        <v>1973</v>
      </c>
      <c r="F36" s="5" t="s">
        <v>2240</v>
      </c>
      <c r="G36" s="5" t="s">
        <v>2253</v>
      </c>
      <c r="H36" s="5" t="s">
        <v>2258</v>
      </c>
      <c r="I36" s="5" t="s">
        <v>2260</v>
      </c>
      <c r="J36" s="5" t="s">
        <v>2264</v>
      </c>
      <c r="K36" s="8">
        <v>1</v>
      </c>
      <c r="L36" s="9">
        <v>85</v>
      </c>
      <c r="M36" s="10">
        <v>0.1</v>
      </c>
      <c r="N36" s="9">
        <f t="shared" si="10"/>
        <v>85</v>
      </c>
      <c r="O36" s="9">
        <f t="shared" si="0"/>
        <v>76.5</v>
      </c>
      <c r="P36" s="5" t="s">
        <v>2268</v>
      </c>
      <c r="Q36" s="5" t="s">
        <v>2270</v>
      </c>
      <c r="R36" s="5" t="s">
        <v>2277</v>
      </c>
      <c r="S36" s="5" t="s">
        <v>2281</v>
      </c>
      <c r="T36" s="5" t="s">
        <v>2288</v>
      </c>
      <c r="U36" s="8">
        <v>2</v>
      </c>
      <c r="V36" s="8">
        <v>316</v>
      </c>
      <c r="W36" s="8">
        <v>15</v>
      </c>
      <c r="X36" s="9">
        <v>51.81</v>
      </c>
      <c r="Y36" s="9">
        <f t="shared" si="1"/>
        <v>24.689999999999998</v>
      </c>
      <c r="Z36" s="5" t="s">
        <v>2292</v>
      </c>
      <c r="AA36" s="5" t="s">
        <v>2296</v>
      </c>
      <c r="AB36" s="9">
        <f t="shared" si="2"/>
        <v>85</v>
      </c>
      <c r="AC36" s="9">
        <f t="shared" si="3"/>
        <v>8.5</v>
      </c>
      <c r="AD36" s="9">
        <f t="shared" si="4"/>
        <v>76.5</v>
      </c>
      <c r="AE36" s="9">
        <f t="shared" si="5"/>
        <v>51.81</v>
      </c>
      <c r="AF36" s="9">
        <f t="shared" si="11"/>
        <v>24.689999999999998</v>
      </c>
      <c r="AG36" s="8">
        <f t="shared" si="6"/>
        <v>2024</v>
      </c>
      <c r="AH36" s="8">
        <f t="shared" si="7"/>
        <v>5</v>
      </c>
      <c r="AI36" s="5" t="str">
        <f t="shared" si="8"/>
        <v>May</v>
      </c>
      <c r="AJ36" s="5" t="str">
        <f t="shared" si="9"/>
        <v>Tuesday</v>
      </c>
    </row>
    <row r="37" spans="1:36" x14ac:dyDescent="0.3">
      <c r="A37" s="5" t="s">
        <v>71</v>
      </c>
      <c r="B37" s="6">
        <v>45482</v>
      </c>
      <c r="C37" s="7">
        <v>0.64583333333333337</v>
      </c>
      <c r="D37" s="5" t="s">
        <v>1772</v>
      </c>
      <c r="E37" s="5" t="s">
        <v>1974</v>
      </c>
      <c r="F37" s="5" t="s">
        <v>2238</v>
      </c>
      <c r="G37" s="5" t="s">
        <v>2241</v>
      </c>
      <c r="H37" s="5" t="s">
        <v>2257</v>
      </c>
      <c r="I37" s="5" t="s">
        <v>2262</v>
      </c>
      <c r="J37" s="5" t="s">
        <v>2265</v>
      </c>
      <c r="K37" s="8">
        <v>3</v>
      </c>
      <c r="L37" s="9">
        <v>130</v>
      </c>
      <c r="M37" s="10">
        <v>0.1</v>
      </c>
      <c r="N37" s="9">
        <f t="shared" si="10"/>
        <v>390</v>
      </c>
      <c r="O37" s="9">
        <f t="shared" si="0"/>
        <v>351</v>
      </c>
      <c r="P37" s="5" t="s">
        <v>2269</v>
      </c>
      <c r="Q37" s="5" t="s">
        <v>2271</v>
      </c>
      <c r="R37" s="5" t="s">
        <v>2276</v>
      </c>
      <c r="S37" s="5" t="s">
        <v>2286</v>
      </c>
      <c r="T37" s="5" t="s">
        <v>2288</v>
      </c>
      <c r="U37" s="8">
        <v>4</v>
      </c>
      <c r="V37" s="8">
        <v>257</v>
      </c>
      <c r="W37" s="8">
        <v>24</v>
      </c>
      <c r="X37" s="9">
        <v>46.02</v>
      </c>
      <c r="Y37" s="9">
        <f t="shared" si="1"/>
        <v>212.94</v>
      </c>
      <c r="Z37" s="5" t="s">
        <v>1761</v>
      </c>
      <c r="AA37" s="5" t="s">
        <v>2298</v>
      </c>
      <c r="AB37" s="9">
        <f t="shared" si="2"/>
        <v>390</v>
      </c>
      <c r="AC37" s="9">
        <f t="shared" si="3"/>
        <v>39</v>
      </c>
      <c r="AD37" s="9">
        <f t="shared" si="4"/>
        <v>351</v>
      </c>
      <c r="AE37" s="9">
        <f t="shared" si="5"/>
        <v>138.06</v>
      </c>
      <c r="AF37" s="9">
        <f t="shared" si="11"/>
        <v>212.94</v>
      </c>
      <c r="AG37" s="8">
        <f t="shared" si="6"/>
        <v>2024</v>
      </c>
      <c r="AH37" s="8">
        <f t="shared" si="7"/>
        <v>7</v>
      </c>
      <c r="AI37" s="5" t="str">
        <f t="shared" si="8"/>
        <v>Jul</v>
      </c>
      <c r="AJ37" s="5" t="str">
        <f t="shared" si="9"/>
        <v>Tuesday</v>
      </c>
    </row>
    <row r="38" spans="1:36" x14ac:dyDescent="0.3">
      <c r="A38" s="5" t="s">
        <v>72</v>
      </c>
      <c r="B38" s="6">
        <v>45438</v>
      </c>
      <c r="C38" s="7">
        <v>0.30555555555555558</v>
      </c>
      <c r="D38" s="5" t="s">
        <v>1773</v>
      </c>
      <c r="E38" s="5" t="s">
        <v>1975</v>
      </c>
      <c r="F38" s="5" t="s">
        <v>2238</v>
      </c>
      <c r="G38" s="5" t="s">
        <v>2244</v>
      </c>
      <c r="H38" s="5" t="s">
        <v>2257</v>
      </c>
      <c r="I38" s="5" t="s">
        <v>2262</v>
      </c>
      <c r="J38" s="5" t="s">
        <v>2264</v>
      </c>
      <c r="K38" s="8">
        <v>1</v>
      </c>
      <c r="L38" s="9">
        <v>120</v>
      </c>
      <c r="M38" s="10">
        <v>0.1</v>
      </c>
      <c r="N38" s="9">
        <f t="shared" si="10"/>
        <v>120</v>
      </c>
      <c r="O38" s="9">
        <f t="shared" si="0"/>
        <v>108</v>
      </c>
      <c r="P38" s="5" t="s">
        <v>2268</v>
      </c>
      <c r="Q38" s="5" t="s">
        <v>2270</v>
      </c>
      <c r="R38" s="5" t="s">
        <v>2277</v>
      </c>
      <c r="S38" s="5" t="s">
        <v>2287</v>
      </c>
      <c r="T38" s="5" t="s">
        <v>2289</v>
      </c>
      <c r="U38" s="8">
        <v>5</v>
      </c>
      <c r="V38" s="8">
        <v>385</v>
      </c>
      <c r="W38" s="19">
        <v>34</v>
      </c>
      <c r="X38" s="9">
        <v>55.9</v>
      </c>
      <c r="Y38" s="9">
        <f t="shared" si="1"/>
        <v>52.1</v>
      </c>
      <c r="Z38" s="5" t="s">
        <v>2293</v>
      </c>
      <c r="AA38" s="5" t="s">
        <v>2296</v>
      </c>
      <c r="AB38" s="9">
        <f t="shared" si="2"/>
        <v>120</v>
      </c>
      <c r="AC38" s="9">
        <f t="shared" si="3"/>
        <v>12</v>
      </c>
      <c r="AD38" s="9">
        <f t="shared" si="4"/>
        <v>108</v>
      </c>
      <c r="AE38" s="9">
        <f t="shared" si="5"/>
        <v>55.9</v>
      </c>
      <c r="AF38" s="9">
        <f t="shared" si="11"/>
        <v>52.1</v>
      </c>
      <c r="AG38" s="8">
        <f t="shared" si="6"/>
        <v>2024</v>
      </c>
      <c r="AH38" s="8">
        <f t="shared" si="7"/>
        <v>5</v>
      </c>
      <c r="AI38" s="5" t="str">
        <f t="shared" si="8"/>
        <v>May</v>
      </c>
      <c r="AJ38" s="5" t="str">
        <f t="shared" si="9"/>
        <v>Sunday</v>
      </c>
    </row>
    <row r="39" spans="1:36" x14ac:dyDescent="0.3">
      <c r="A39" s="5" t="s">
        <v>73</v>
      </c>
      <c r="B39" s="6">
        <v>45587</v>
      </c>
      <c r="C39" s="7">
        <v>0.71527777777777779</v>
      </c>
      <c r="D39" s="5" t="s">
        <v>1774</v>
      </c>
      <c r="E39" s="5" t="s">
        <v>1976</v>
      </c>
      <c r="F39" s="5" t="s">
        <v>1761</v>
      </c>
      <c r="G39" s="5" t="s">
        <v>2241</v>
      </c>
      <c r="H39" s="5" t="s">
        <v>2257</v>
      </c>
      <c r="I39" s="5" t="s">
        <v>2262</v>
      </c>
      <c r="J39" s="5" t="s">
        <v>2264</v>
      </c>
      <c r="K39" s="8">
        <v>5</v>
      </c>
      <c r="L39" s="9">
        <v>125</v>
      </c>
      <c r="M39" s="10">
        <v>0</v>
      </c>
      <c r="N39" s="9">
        <f t="shared" si="10"/>
        <v>625</v>
      </c>
      <c r="O39" s="9">
        <f t="shared" si="0"/>
        <v>625</v>
      </c>
      <c r="P39" s="5" t="s">
        <v>2269</v>
      </c>
      <c r="Q39" s="5" t="s">
        <v>2270</v>
      </c>
      <c r="R39" s="5" t="s">
        <v>2276</v>
      </c>
      <c r="S39" s="5" t="s">
        <v>2281</v>
      </c>
      <c r="T39" s="5" t="s">
        <v>2288</v>
      </c>
      <c r="U39" s="8">
        <v>2</v>
      </c>
      <c r="V39" s="8">
        <v>271</v>
      </c>
      <c r="W39" s="19">
        <v>34</v>
      </c>
      <c r="X39" s="9">
        <v>65.650000000000006</v>
      </c>
      <c r="Y39" s="9">
        <f t="shared" si="1"/>
        <v>296.75</v>
      </c>
      <c r="Z39" s="5" t="s">
        <v>1761</v>
      </c>
      <c r="AA39" s="5" t="s">
        <v>1761</v>
      </c>
      <c r="AB39" s="9">
        <f t="shared" si="2"/>
        <v>625</v>
      </c>
      <c r="AC39" s="9">
        <f t="shared" si="3"/>
        <v>0</v>
      </c>
      <c r="AD39" s="9">
        <f t="shared" si="4"/>
        <v>625</v>
      </c>
      <c r="AE39" s="9">
        <f t="shared" si="5"/>
        <v>328.25</v>
      </c>
      <c r="AF39" s="9">
        <f t="shared" si="11"/>
        <v>296.75</v>
      </c>
      <c r="AG39" s="8">
        <f t="shared" si="6"/>
        <v>2024</v>
      </c>
      <c r="AH39" s="8">
        <f t="shared" si="7"/>
        <v>10</v>
      </c>
      <c r="AI39" s="5" t="str">
        <f t="shared" si="8"/>
        <v>Oct</v>
      </c>
      <c r="AJ39" s="5" t="str">
        <f t="shared" si="9"/>
        <v>Tuesday</v>
      </c>
    </row>
    <row r="40" spans="1:36" x14ac:dyDescent="0.3">
      <c r="A40" s="5" t="s">
        <v>74</v>
      </c>
      <c r="B40" s="6">
        <v>45378</v>
      </c>
      <c r="C40" s="7">
        <v>0.84027777777777779</v>
      </c>
      <c r="D40" s="5" t="s">
        <v>1775</v>
      </c>
      <c r="E40" s="5" t="s">
        <v>1977</v>
      </c>
      <c r="F40" s="5" t="s">
        <v>2240</v>
      </c>
      <c r="G40" s="5" t="s">
        <v>2243</v>
      </c>
      <c r="H40" s="5" t="s">
        <v>2258</v>
      </c>
      <c r="I40" s="5" t="s">
        <v>2260</v>
      </c>
      <c r="J40" s="5" t="s">
        <v>1761</v>
      </c>
      <c r="K40" s="8">
        <v>1</v>
      </c>
      <c r="L40" s="9">
        <v>70</v>
      </c>
      <c r="M40" s="10">
        <v>0.1</v>
      </c>
      <c r="N40" s="9">
        <f t="shared" si="10"/>
        <v>70</v>
      </c>
      <c r="O40" s="9">
        <f t="shared" si="0"/>
        <v>63</v>
      </c>
      <c r="P40" s="5" t="s">
        <v>2269</v>
      </c>
      <c r="Q40" s="5" t="s">
        <v>2271</v>
      </c>
      <c r="R40" s="5" t="s">
        <v>2277</v>
      </c>
      <c r="S40" s="5" t="s">
        <v>2283</v>
      </c>
      <c r="T40" s="5" t="s">
        <v>2288</v>
      </c>
      <c r="U40" s="8">
        <v>5</v>
      </c>
      <c r="V40" s="8">
        <v>112</v>
      </c>
      <c r="W40" s="8">
        <v>52</v>
      </c>
      <c r="X40" s="9">
        <v>29.02</v>
      </c>
      <c r="Y40" s="9">
        <f t="shared" si="1"/>
        <v>33.980000000000004</v>
      </c>
      <c r="Z40" s="5" t="s">
        <v>2292</v>
      </c>
      <c r="AA40" s="5" t="s">
        <v>2298</v>
      </c>
      <c r="AB40" s="9">
        <f t="shared" si="2"/>
        <v>70</v>
      </c>
      <c r="AC40" s="9">
        <f t="shared" si="3"/>
        <v>7</v>
      </c>
      <c r="AD40" s="9">
        <f t="shared" si="4"/>
        <v>63</v>
      </c>
      <c r="AE40" s="9">
        <f t="shared" si="5"/>
        <v>29.02</v>
      </c>
      <c r="AF40" s="9">
        <f t="shared" si="11"/>
        <v>33.980000000000004</v>
      </c>
      <c r="AG40" s="8">
        <f t="shared" si="6"/>
        <v>2024</v>
      </c>
      <c r="AH40" s="8">
        <f t="shared" si="7"/>
        <v>3</v>
      </c>
      <c r="AI40" s="5" t="str">
        <f t="shared" si="8"/>
        <v>Mar</v>
      </c>
      <c r="AJ40" s="5" t="str">
        <f t="shared" si="9"/>
        <v>Wednesday</v>
      </c>
    </row>
    <row r="41" spans="1:36" x14ac:dyDescent="0.3">
      <c r="A41" s="5" t="s">
        <v>75</v>
      </c>
      <c r="B41" s="6">
        <v>45631</v>
      </c>
      <c r="C41" s="7">
        <v>0.54166666666666663</v>
      </c>
      <c r="D41" s="5" t="s">
        <v>1776</v>
      </c>
      <c r="E41" s="5" t="s">
        <v>1978</v>
      </c>
      <c r="F41" s="5" t="s">
        <v>2240</v>
      </c>
      <c r="G41" s="5" t="s">
        <v>2255</v>
      </c>
      <c r="H41" s="5" t="s">
        <v>2260</v>
      </c>
      <c r="I41" s="5" t="s">
        <v>2260</v>
      </c>
      <c r="J41" s="5" t="s">
        <v>2265</v>
      </c>
      <c r="K41" s="8">
        <v>2</v>
      </c>
      <c r="L41" s="9">
        <v>180</v>
      </c>
      <c r="M41" s="10">
        <v>0.05</v>
      </c>
      <c r="N41" s="9">
        <f t="shared" si="10"/>
        <v>360</v>
      </c>
      <c r="O41" s="9">
        <f t="shared" si="0"/>
        <v>342</v>
      </c>
      <c r="P41" s="5" t="s">
        <v>2267</v>
      </c>
      <c r="Q41" s="5" t="s">
        <v>2272</v>
      </c>
      <c r="R41" s="5" t="s">
        <v>2273</v>
      </c>
      <c r="S41" s="5" t="s">
        <v>2281</v>
      </c>
      <c r="T41" s="5" t="s">
        <v>2288</v>
      </c>
      <c r="U41" s="8">
        <v>2</v>
      </c>
      <c r="V41" s="8">
        <v>268</v>
      </c>
      <c r="W41" s="19">
        <v>35</v>
      </c>
      <c r="X41" s="9">
        <v>106.83</v>
      </c>
      <c r="Y41" s="9">
        <f t="shared" si="1"/>
        <v>128.34</v>
      </c>
      <c r="Z41" s="5" t="s">
        <v>2293</v>
      </c>
      <c r="AA41" s="5" t="s">
        <v>2296</v>
      </c>
      <c r="AB41" s="9">
        <f t="shared" si="2"/>
        <v>360</v>
      </c>
      <c r="AC41" s="9">
        <f t="shared" si="3"/>
        <v>18</v>
      </c>
      <c r="AD41" s="9">
        <f t="shared" si="4"/>
        <v>342</v>
      </c>
      <c r="AE41" s="9">
        <f t="shared" si="5"/>
        <v>213.66</v>
      </c>
      <c r="AF41" s="9">
        <f t="shared" si="11"/>
        <v>128.34</v>
      </c>
      <c r="AG41" s="8">
        <f t="shared" si="6"/>
        <v>2024</v>
      </c>
      <c r="AH41" s="8">
        <f t="shared" si="7"/>
        <v>12</v>
      </c>
      <c r="AI41" s="5" t="str">
        <f t="shared" si="8"/>
        <v>Dec</v>
      </c>
      <c r="AJ41" s="5" t="str">
        <f t="shared" si="9"/>
        <v>Thursday</v>
      </c>
    </row>
    <row r="42" spans="1:36" x14ac:dyDescent="0.3">
      <c r="A42" s="5" t="s">
        <v>76</v>
      </c>
      <c r="B42" s="6">
        <v>45424</v>
      </c>
      <c r="C42" s="7">
        <v>0.8125</v>
      </c>
      <c r="D42" s="5" t="s">
        <v>1777</v>
      </c>
      <c r="E42" s="5" t="s">
        <v>1979</v>
      </c>
      <c r="F42" s="5" t="s">
        <v>2238</v>
      </c>
      <c r="G42" s="5" t="s">
        <v>2246</v>
      </c>
      <c r="H42" s="5" t="s">
        <v>2259</v>
      </c>
      <c r="I42" s="5" t="s">
        <v>2262</v>
      </c>
      <c r="J42" s="5" t="s">
        <v>2266</v>
      </c>
      <c r="K42" s="8">
        <v>1</v>
      </c>
      <c r="L42" s="9">
        <v>105</v>
      </c>
      <c r="M42" s="10">
        <v>0.15</v>
      </c>
      <c r="N42" s="9">
        <f t="shared" si="10"/>
        <v>105</v>
      </c>
      <c r="O42" s="9">
        <f t="shared" si="0"/>
        <v>89.25</v>
      </c>
      <c r="P42" s="5" t="s">
        <v>2267</v>
      </c>
      <c r="Q42" s="5" t="s">
        <v>2272</v>
      </c>
      <c r="R42" s="5" t="s">
        <v>2273</v>
      </c>
      <c r="S42" s="5" t="s">
        <v>2282</v>
      </c>
      <c r="T42" s="5" t="s">
        <v>2289</v>
      </c>
      <c r="U42" s="19">
        <v>3</v>
      </c>
      <c r="V42" s="8">
        <v>153</v>
      </c>
      <c r="W42" s="8">
        <v>55</v>
      </c>
      <c r="X42" s="9">
        <v>51.74</v>
      </c>
      <c r="Y42" s="9">
        <f t="shared" si="1"/>
        <v>37.51</v>
      </c>
      <c r="Z42" s="5" t="s">
        <v>2291</v>
      </c>
      <c r="AA42" s="5" t="s">
        <v>2297</v>
      </c>
      <c r="AB42" s="9">
        <f t="shared" si="2"/>
        <v>105</v>
      </c>
      <c r="AC42" s="9">
        <f t="shared" si="3"/>
        <v>15.75</v>
      </c>
      <c r="AD42" s="9">
        <f t="shared" si="4"/>
        <v>89.25</v>
      </c>
      <c r="AE42" s="9">
        <f t="shared" si="5"/>
        <v>51.74</v>
      </c>
      <c r="AF42" s="9">
        <f t="shared" si="11"/>
        <v>37.51</v>
      </c>
      <c r="AG42" s="8">
        <f t="shared" si="6"/>
        <v>2024</v>
      </c>
      <c r="AH42" s="8">
        <f t="shared" si="7"/>
        <v>5</v>
      </c>
      <c r="AI42" s="5" t="str">
        <f t="shared" si="8"/>
        <v>May</v>
      </c>
      <c r="AJ42" s="5" t="str">
        <f t="shared" si="9"/>
        <v>Sunday</v>
      </c>
    </row>
    <row r="43" spans="1:36" x14ac:dyDescent="0.3">
      <c r="A43" s="5" t="s">
        <v>77</v>
      </c>
      <c r="B43" s="6">
        <v>45292</v>
      </c>
      <c r="C43" s="7">
        <v>0.4375</v>
      </c>
      <c r="D43" s="5" t="s">
        <v>1751</v>
      </c>
      <c r="E43" s="5" t="s">
        <v>1965</v>
      </c>
      <c r="F43" s="5" t="s">
        <v>2240</v>
      </c>
      <c r="G43" s="5" t="s">
        <v>2249</v>
      </c>
      <c r="H43" s="5" t="s">
        <v>2257</v>
      </c>
      <c r="I43" s="5" t="s">
        <v>2263</v>
      </c>
      <c r="J43" s="5" t="s">
        <v>2265</v>
      </c>
      <c r="K43" s="8">
        <v>1</v>
      </c>
      <c r="L43" s="9">
        <v>170</v>
      </c>
      <c r="M43" s="10">
        <v>0</v>
      </c>
      <c r="N43" s="9">
        <f t="shared" si="10"/>
        <v>170</v>
      </c>
      <c r="O43" s="9">
        <f t="shared" si="0"/>
        <v>170</v>
      </c>
      <c r="P43" s="5" t="s">
        <v>2269</v>
      </c>
      <c r="Q43" s="5" t="s">
        <v>2272</v>
      </c>
      <c r="R43" s="5" t="s">
        <v>2279</v>
      </c>
      <c r="S43" s="5" t="s">
        <v>2283</v>
      </c>
      <c r="T43" s="5" t="s">
        <v>2289</v>
      </c>
      <c r="U43" s="8">
        <v>1</v>
      </c>
      <c r="V43" s="8">
        <v>482</v>
      </c>
      <c r="W43" s="8">
        <v>27</v>
      </c>
      <c r="X43" s="9">
        <v>95</v>
      </c>
      <c r="Y43" s="9">
        <f t="shared" si="1"/>
        <v>75</v>
      </c>
      <c r="Z43" s="5" t="s">
        <v>2294</v>
      </c>
      <c r="AA43" s="5" t="s">
        <v>2299</v>
      </c>
      <c r="AB43" s="9">
        <f t="shared" si="2"/>
        <v>170</v>
      </c>
      <c r="AC43" s="9">
        <f t="shared" si="3"/>
        <v>0</v>
      </c>
      <c r="AD43" s="9">
        <f t="shared" si="4"/>
        <v>170</v>
      </c>
      <c r="AE43" s="9">
        <f t="shared" si="5"/>
        <v>95</v>
      </c>
      <c r="AF43" s="9">
        <f t="shared" si="11"/>
        <v>75</v>
      </c>
      <c r="AG43" s="8">
        <f t="shared" si="6"/>
        <v>2024</v>
      </c>
      <c r="AH43" s="8">
        <f t="shared" si="7"/>
        <v>1</v>
      </c>
      <c r="AI43" s="5" t="str">
        <f t="shared" si="8"/>
        <v>Jan</v>
      </c>
      <c r="AJ43" s="5" t="str">
        <f t="shared" si="9"/>
        <v>Monday</v>
      </c>
    </row>
    <row r="44" spans="1:36" x14ac:dyDescent="0.3">
      <c r="A44" s="5" t="s">
        <v>78</v>
      </c>
      <c r="B44" s="6">
        <v>45426</v>
      </c>
      <c r="C44" s="7">
        <v>0.5625</v>
      </c>
      <c r="D44" s="5" t="s">
        <v>1778</v>
      </c>
      <c r="E44" s="5" t="s">
        <v>1980</v>
      </c>
      <c r="F44" s="5" t="s">
        <v>2239</v>
      </c>
      <c r="G44" s="5" t="s">
        <v>2251</v>
      </c>
      <c r="H44" s="5" t="s">
        <v>2258</v>
      </c>
      <c r="I44" s="5" t="s">
        <v>2260</v>
      </c>
      <c r="J44" s="5" t="s">
        <v>2265</v>
      </c>
      <c r="K44" s="8">
        <v>2</v>
      </c>
      <c r="L44" s="9">
        <v>95</v>
      </c>
      <c r="M44" s="10">
        <v>0</v>
      </c>
      <c r="N44" s="9">
        <f t="shared" si="10"/>
        <v>190</v>
      </c>
      <c r="O44" s="9">
        <f t="shared" si="0"/>
        <v>190</v>
      </c>
      <c r="P44" s="5" t="s">
        <v>2269</v>
      </c>
      <c r="Q44" s="5" t="s">
        <v>2272</v>
      </c>
      <c r="R44" s="5" t="s">
        <v>2273</v>
      </c>
      <c r="S44" s="5" t="s">
        <v>2287</v>
      </c>
      <c r="T44" s="5" t="s">
        <v>2289</v>
      </c>
      <c r="U44" s="8">
        <v>4</v>
      </c>
      <c r="V44" s="8">
        <v>109</v>
      </c>
      <c r="W44" s="8">
        <v>49</v>
      </c>
      <c r="X44" s="9">
        <v>49.11</v>
      </c>
      <c r="Y44" s="9">
        <f t="shared" si="1"/>
        <v>91.78</v>
      </c>
      <c r="Z44" s="5" t="s">
        <v>2294</v>
      </c>
      <c r="AA44" s="5" t="s">
        <v>2296</v>
      </c>
      <c r="AB44" s="9">
        <f t="shared" si="2"/>
        <v>190</v>
      </c>
      <c r="AC44" s="9">
        <f t="shared" si="3"/>
        <v>0</v>
      </c>
      <c r="AD44" s="9">
        <f t="shared" si="4"/>
        <v>190</v>
      </c>
      <c r="AE44" s="9">
        <f t="shared" si="5"/>
        <v>98.22</v>
      </c>
      <c r="AF44" s="9">
        <f t="shared" si="11"/>
        <v>91.78</v>
      </c>
      <c r="AG44" s="8">
        <f t="shared" si="6"/>
        <v>2024</v>
      </c>
      <c r="AH44" s="8">
        <f t="shared" si="7"/>
        <v>5</v>
      </c>
      <c r="AI44" s="5" t="str">
        <f t="shared" si="8"/>
        <v>May</v>
      </c>
      <c r="AJ44" s="5" t="str">
        <f t="shared" si="9"/>
        <v>Tuesday</v>
      </c>
    </row>
    <row r="45" spans="1:36" x14ac:dyDescent="0.3">
      <c r="A45" s="5" t="s">
        <v>79</v>
      </c>
      <c r="B45" s="6">
        <v>45624</v>
      </c>
      <c r="C45" s="7">
        <v>0.46527777777777779</v>
      </c>
      <c r="D45" s="5" t="s">
        <v>1748</v>
      </c>
      <c r="E45" s="5" t="s">
        <v>1981</v>
      </c>
      <c r="F45" s="5" t="s">
        <v>2240</v>
      </c>
      <c r="G45" s="5" t="s">
        <v>2249</v>
      </c>
      <c r="H45" s="5" t="s">
        <v>2257</v>
      </c>
      <c r="I45" s="5" t="s">
        <v>2263</v>
      </c>
      <c r="J45" s="5" t="s">
        <v>2264</v>
      </c>
      <c r="K45" s="8">
        <v>1</v>
      </c>
      <c r="L45" s="9">
        <v>155</v>
      </c>
      <c r="M45" s="10">
        <v>0</v>
      </c>
      <c r="N45" s="9">
        <f t="shared" si="10"/>
        <v>155</v>
      </c>
      <c r="O45" s="9">
        <f t="shared" si="0"/>
        <v>155</v>
      </c>
      <c r="P45" s="5" t="s">
        <v>2268</v>
      </c>
      <c r="Q45" s="5" t="s">
        <v>2271</v>
      </c>
      <c r="R45" s="5" t="s">
        <v>2278</v>
      </c>
      <c r="S45" s="5" t="s">
        <v>2281</v>
      </c>
      <c r="T45" s="5" t="s">
        <v>2288</v>
      </c>
      <c r="U45" s="19">
        <v>3</v>
      </c>
      <c r="V45" s="8">
        <v>324</v>
      </c>
      <c r="W45" s="8">
        <v>24</v>
      </c>
      <c r="X45" s="9">
        <v>61.87</v>
      </c>
      <c r="Y45" s="9">
        <f t="shared" si="1"/>
        <v>93.13</v>
      </c>
      <c r="Z45" s="5" t="s">
        <v>2293</v>
      </c>
      <c r="AA45" s="5" t="s">
        <v>1761</v>
      </c>
      <c r="AB45" s="9">
        <f t="shared" si="2"/>
        <v>155</v>
      </c>
      <c r="AC45" s="9">
        <f t="shared" si="3"/>
        <v>0</v>
      </c>
      <c r="AD45" s="9">
        <f t="shared" si="4"/>
        <v>155</v>
      </c>
      <c r="AE45" s="9">
        <f t="shared" si="5"/>
        <v>61.87</v>
      </c>
      <c r="AF45" s="9">
        <f t="shared" si="11"/>
        <v>93.13</v>
      </c>
      <c r="AG45" s="8">
        <f t="shared" si="6"/>
        <v>2024</v>
      </c>
      <c r="AH45" s="8">
        <f t="shared" si="7"/>
        <v>11</v>
      </c>
      <c r="AI45" s="5" t="str">
        <f t="shared" si="8"/>
        <v>Nov</v>
      </c>
      <c r="AJ45" s="5" t="str">
        <f t="shared" si="9"/>
        <v>Thursday</v>
      </c>
    </row>
    <row r="46" spans="1:36" x14ac:dyDescent="0.3">
      <c r="A46" s="5" t="s">
        <v>80</v>
      </c>
      <c r="B46" s="18">
        <v>45468</v>
      </c>
      <c r="C46" s="7">
        <v>0.72222222222222221</v>
      </c>
      <c r="D46" s="5" t="s">
        <v>1779</v>
      </c>
      <c r="E46" s="5" t="s">
        <v>1982</v>
      </c>
      <c r="F46" s="5" t="s">
        <v>1761</v>
      </c>
      <c r="G46" s="5" t="s">
        <v>2250</v>
      </c>
      <c r="H46" s="5" t="s">
        <v>2259</v>
      </c>
      <c r="I46" s="5" t="s">
        <v>2262</v>
      </c>
      <c r="J46" s="5" t="s">
        <v>2265</v>
      </c>
      <c r="K46" s="8">
        <v>2</v>
      </c>
      <c r="L46" s="9">
        <v>90</v>
      </c>
      <c r="M46" s="10">
        <v>0.05</v>
      </c>
      <c r="N46" s="9">
        <f t="shared" si="10"/>
        <v>180</v>
      </c>
      <c r="O46" s="9">
        <f t="shared" si="0"/>
        <v>171</v>
      </c>
      <c r="P46" s="5" t="s">
        <v>2269</v>
      </c>
      <c r="Q46" s="5" t="s">
        <v>2270</v>
      </c>
      <c r="R46" s="5" t="s">
        <v>2279</v>
      </c>
      <c r="S46" s="5" t="s">
        <v>2284</v>
      </c>
      <c r="T46" s="5" t="s">
        <v>2288</v>
      </c>
      <c r="U46" s="8">
        <v>2</v>
      </c>
      <c r="V46" s="8">
        <v>7</v>
      </c>
      <c r="W46" s="19">
        <v>34</v>
      </c>
      <c r="X46" s="9">
        <v>30.56</v>
      </c>
      <c r="Y46" s="9">
        <f t="shared" si="1"/>
        <v>109.88</v>
      </c>
      <c r="Z46" s="5" t="s">
        <v>1761</v>
      </c>
      <c r="AA46" s="5" t="s">
        <v>2297</v>
      </c>
      <c r="AB46" s="9">
        <f t="shared" si="2"/>
        <v>180</v>
      </c>
      <c r="AC46" s="9">
        <f t="shared" si="3"/>
        <v>9</v>
      </c>
      <c r="AD46" s="9">
        <f t="shared" si="4"/>
        <v>171</v>
      </c>
      <c r="AE46" s="9">
        <f t="shared" si="5"/>
        <v>61.12</v>
      </c>
      <c r="AF46" s="9">
        <f t="shared" si="11"/>
        <v>109.88</v>
      </c>
      <c r="AG46" s="8">
        <f t="shared" si="6"/>
        <v>2024</v>
      </c>
      <c r="AH46" s="8">
        <f t="shared" si="7"/>
        <v>6</v>
      </c>
      <c r="AI46" s="5" t="str">
        <f t="shared" si="8"/>
        <v>Jun</v>
      </c>
      <c r="AJ46" s="5" t="str">
        <f t="shared" si="9"/>
        <v>Tuesday</v>
      </c>
    </row>
    <row r="47" spans="1:36" x14ac:dyDescent="0.3">
      <c r="A47" s="5" t="s">
        <v>81</v>
      </c>
      <c r="B47" s="6">
        <v>45573</v>
      </c>
      <c r="C47" s="7">
        <v>0.84027777777777779</v>
      </c>
      <c r="D47" s="5" t="s">
        <v>1780</v>
      </c>
      <c r="E47" s="5" t="s">
        <v>1983</v>
      </c>
      <c r="F47" s="5" t="s">
        <v>2240</v>
      </c>
      <c r="G47" s="5" t="s">
        <v>2248</v>
      </c>
      <c r="H47" s="5" t="s">
        <v>2257</v>
      </c>
      <c r="I47" s="5" t="s">
        <v>2262</v>
      </c>
      <c r="J47" s="5" t="s">
        <v>2265</v>
      </c>
      <c r="K47" s="8">
        <v>2</v>
      </c>
      <c r="L47" s="9">
        <v>140</v>
      </c>
      <c r="M47" s="10">
        <v>0</v>
      </c>
      <c r="N47" s="9">
        <f t="shared" si="10"/>
        <v>280</v>
      </c>
      <c r="O47" s="9">
        <f t="shared" si="0"/>
        <v>280</v>
      </c>
      <c r="P47" s="5" t="s">
        <v>2269</v>
      </c>
      <c r="Q47" s="5" t="s">
        <v>2272</v>
      </c>
      <c r="R47" s="5" t="s">
        <v>2277</v>
      </c>
      <c r="S47" s="5" t="s">
        <v>2281</v>
      </c>
      <c r="T47" s="5" t="s">
        <v>2288</v>
      </c>
      <c r="U47" s="19">
        <v>3</v>
      </c>
      <c r="V47" s="8">
        <v>495</v>
      </c>
      <c r="W47" s="19">
        <v>35</v>
      </c>
      <c r="X47" s="9">
        <v>72.13</v>
      </c>
      <c r="Y47" s="9">
        <f t="shared" si="1"/>
        <v>135.74</v>
      </c>
      <c r="Z47" s="5" t="s">
        <v>2291</v>
      </c>
      <c r="AA47" s="5" t="s">
        <v>2296</v>
      </c>
      <c r="AB47" s="9">
        <f t="shared" si="2"/>
        <v>280</v>
      </c>
      <c r="AC47" s="9">
        <f t="shared" si="3"/>
        <v>0</v>
      </c>
      <c r="AD47" s="9">
        <f t="shared" si="4"/>
        <v>280</v>
      </c>
      <c r="AE47" s="9">
        <f t="shared" si="5"/>
        <v>144.26</v>
      </c>
      <c r="AF47" s="9">
        <f t="shared" si="11"/>
        <v>135.74</v>
      </c>
      <c r="AG47" s="8">
        <f t="shared" si="6"/>
        <v>2024</v>
      </c>
      <c r="AH47" s="8">
        <f t="shared" si="7"/>
        <v>10</v>
      </c>
      <c r="AI47" s="5" t="str">
        <f t="shared" si="8"/>
        <v>Oct</v>
      </c>
      <c r="AJ47" s="5" t="str">
        <f t="shared" si="9"/>
        <v>Tuesday</v>
      </c>
    </row>
    <row r="48" spans="1:36" x14ac:dyDescent="0.3">
      <c r="A48" s="5" t="s">
        <v>82</v>
      </c>
      <c r="B48" s="6">
        <v>45510</v>
      </c>
      <c r="C48" s="7">
        <v>0.64583333333333337</v>
      </c>
      <c r="D48" s="5" t="s">
        <v>1781</v>
      </c>
      <c r="E48" s="5" t="s">
        <v>1984</v>
      </c>
      <c r="F48" s="5" t="s">
        <v>2240</v>
      </c>
      <c r="G48" s="5" t="s">
        <v>2243</v>
      </c>
      <c r="H48" s="5" t="s">
        <v>2258</v>
      </c>
      <c r="I48" s="5" t="s">
        <v>2260</v>
      </c>
      <c r="J48" s="5" t="s">
        <v>1761</v>
      </c>
      <c r="K48" s="8">
        <v>1</v>
      </c>
      <c r="L48" s="9">
        <v>70</v>
      </c>
      <c r="M48" s="10">
        <v>0.15</v>
      </c>
      <c r="N48" s="9">
        <f t="shared" si="10"/>
        <v>70</v>
      </c>
      <c r="O48" s="9">
        <f t="shared" si="0"/>
        <v>59.5</v>
      </c>
      <c r="P48" s="5" t="s">
        <v>2268</v>
      </c>
      <c r="Q48" s="5" t="s">
        <v>2270</v>
      </c>
      <c r="R48" s="5" t="s">
        <v>2279</v>
      </c>
      <c r="S48" s="5" t="s">
        <v>2286</v>
      </c>
      <c r="T48" s="5" t="s">
        <v>2288</v>
      </c>
      <c r="U48" s="8">
        <v>4</v>
      </c>
      <c r="V48" s="8">
        <v>292</v>
      </c>
      <c r="W48" s="19">
        <v>34</v>
      </c>
      <c r="X48" s="9">
        <v>34.54</v>
      </c>
      <c r="Y48" s="9">
        <f t="shared" si="1"/>
        <v>24.96</v>
      </c>
      <c r="Z48" s="5" t="s">
        <v>1761</v>
      </c>
      <c r="AA48" s="5" t="s">
        <v>2296</v>
      </c>
      <c r="AB48" s="9">
        <f t="shared" si="2"/>
        <v>70</v>
      </c>
      <c r="AC48" s="9">
        <f t="shared" si="3"/>
        <v>10.5</v>
      </c>
      <c r="AD48" s="9">
        <f t="shared" si="4"/>
        <v>59.5</v>
      </c>
      <c r="AE48" s="9">
        <f t="shared" si="5"/>
        <v>34.54</v>
      </c>
      <c r="AF48" s="9">
        <f t="shared" si="11"/>
        <v>24.96</v>
      </c>
      <c r="AG48" s="8">
        <f t="shared" si="6"/>
        <v>2024</v>
      </c>
      <c r="AH48" s="8">
        <f t="shared" si="7"/>
        <v>8</v>
      </c>
      <c r="AI48" s="5" t="str">
        <f t="shared" si="8"/>
        <v>Aug</v>
      </c>
      <c r="AJ48" s="5" t="str">
        <f t="shared" si="9"/>
        <v>Tuesday</v>
      </c>
    </row>
    <row r="49" spans="1:36" x14ac:dyDescent="0.3">
      <c r="A49" s="5" t="s">
        <v>83</v>
      </c>
      <c r="B49" s="6">
        <v>45352</v>
      </c>
      <c r="C49" s="7">
        <v>0.88541666666666663</v>
      </c>
      <c r="D49" s="5" t="s">
        <v>1782</v>
      </c>
      <c r="E49" s="5" t="s">
        <v>1985</v>
      </c>
      <c r="F49" s="5" t="s">
        <v>2240</v>
      </c>
      <c r="G49" s="5" t="s">
        <v>2248</v>
      </c>
      <c r="H49" s="5" t="s">
        <v>2257</v>
      </c>
      <c r="I49" s="5" t="s">
        <v>2262</v>
      </c>
      <c r="J49" s="5" t="s">
        <v>2265</v>
      </c>
      <c r="K49" s="8">
        <v>2</v>
      </c>
      <c r="L49" s="9">
        <v>145</v>
      </c>
      <c r="M49" s="10">
        <v>0.1</v>
      </c>
      <c r="N49" s="9">
        <f t="shared" si="10"/>
        <v>290</v>
      </c>
      <c r="O49" s="9">
        <f t="shared" si="0"/>
        <v>261</v>
      </c>
      <c r="P49" s="5" t="s">
        <v>2269</v>
      </c>
      <c r="Q49" s="5" t="s">
        <v>2271</v>
      </c>
      <c r="R49" s="5" t="s">
        <v>2275</v>
      </c>
      <c r="S49" s="5" t="s">
        <v>2283</v>
      </c>
      <c r="T49" s="5" t="s">
        <v>2290</v>
      </c>
      <c r="U49" s="8">
        <v>3</v>
      </c>
      <c r="V49" s="8">
        <v>101</v>
      </c>
      <c r="W49" s="8">
        <v>37</v>
      </c>
      <c r="X49" s="9">
        <v>71.42</v>
      </c>
      <c r="Y49" s="9">
        <f t="shared" si="1"/>
        <v>118.16</v>
      </c>
      <c r="Z49" s="5" t="s">
        <v>1761</v>
      </c>
      <c r="AA49" s="5" t="s">
        <v>1761</v>
      </c>
      <c r="AB49" s="9">
        <f t="shared" si="2"/>
        <v>290</v>
      </c>
      <c r="AC49" s="9">
        <f t="shared" si="3"/>
        <v>29</v>
      </c>
      <c r="AD49" s="9">
        <f t="shared" si="4"/>
        <v>261</v>
      </c>
      <c r="AE49" s="9">
        <f t="shared" si="5"/>
        <v>142.84</v>
      </c>
      <c r="AF49" s="9">
        <f t="shared" si="11"/>
        <v>118.16</v>
      </c>
      <c r="AG49" s="8">
        <f t="shared" si="6"/>
        <v>2024</v>
      </c>
      <c r="AH49" s="8">
        <f t="shared" si="7"/>
        <v>3</v>
      </c>
      <c r="AI49" s="5" t="str">
        <f t="shared" si="8"/>
        <v>Mar</v>
      </c>
      <c r="AJ49" s="5" t="str">
        <f t="shared" si="9"/>
        <v>Friday</v>
      </c>
    </row>
    <row r="50" spans="1:36" x14ac:dyDescent="0.3">
      <c r="A50" s="5" t="s">
        <v>84</v>
      </c>
      <c r="B50" s="6">
        <v>45507</v>
      </c>
      <c r="C50" s="7">
        <v>0.82291666666666663</v>
      </c>
      <c r="D50" s="5" t="s">
        <v>1783</v>
      </c>
      <c r="E50" s="5" t="s">
        <v>1761</v>
      </c>
      <c r="F50" s="5" t="s">
        <v>2238</v>
      </c>
      <c r="G50" s="5" t="s">
        <v>2244</v>
      </c>
      <c r="H50" s="5" t="s">
        <v>2257</v>
      </c>
      <c r="I50" s="5" t="s">
        <v>2262</v>
      </c>
      <c r="J50" s="5" t="s">
        <v>2266</v>
      </c>
      <c r="K50" s="8">
        <v>2</v>
      </c>
      <c r="L50" s="9">
        <v>120</v>
      </c>
      <c r="M50" s="10">
        <v>0.1</v>
      </c>
      <c r="N50" s="9">
        <f t="shared" si="10"/>
        <v>240</v>
      </c>
      <c r="O50" s="9">
        <f t="shared" si="0"/>
        <v>216</v>
      </c>
      <c r="P50" s="5" t="s">
        <v>2269</v>
      </c>
      <c r="Q50" s="5" t="s">
        <v>2271</v>
      </c>
      <c r="R50" s="5" t="s">
        <v>2278</v>
      </c>
      <c r="S50" s="5" t="s">
        <v>2280</v>
      </c>
      <c r="T50" s="5" t="s">
        <v>2289</v>
      </c>
      <c r="U50" s="8">
        <v>3</v>
      </c>
      <c r="V50" s="19">
        <v>244</v>
      </c>
      <c r="W50" s="8">
        <v>20</v>
      </c>
      <c r="X50" s="9">
        <v>53.75</v>
      </c>
      <c r="Y50" s="9">
        <f t="shared" si="1"/>
        <v>108.5</v>
      </c>
      <c r="Z50" s="5" t="s">
        <v>2292</v>
      </c>
      <c r="AA50" s="5" t="s">
        <v>2296</v>
      </c>
      <c r="AB50" s="9">
        <f t="shared" si="2"/>
        <v>240</v>
      </c>
      <c r="AC50" s="9">
        <f t="shared" si="3"/>
        <v>24</v>
      </c>
      <c r="AD50" s="9">
        <f t="shared" si="4"/>
        <v>216</v>
      </c>
      <c r="AE50" s="9">
        <f t="shared" si="5"/>
        <v>107.5</v>
      </c>
      <c r="AF50" s="9">
        <f t="shared" si="11"/>
        <v>108.5</v>
      </c>
      <c r="AG50" s="8">
        <f t="shared" si="6"/>
        <v>2024</v>
      </c>
      <c r="AH50" s="8">
        <f t="shared" si="7"/>
        <v>8</v>
      </c>
      <c r="AI50" s="5" t="str">
        <f t="shared" si="8"/>
        <v>Aug</v>
      </c>
      <c r="AJ50" s="5" t="str">
        <f t="shared" si="9"/>
        <v>Saturday</v>
      </c>
    </row>
    <row r="51" spans="1:36" x14ac:dyDescent="0.3">
      <c r="A51" s="5" t="s">
        <v>85</v>
      </c>
      <c r="B51" s="6">
        <v>45377</v>
      </c>
      <c r="C51" s="7">
        <v>0.53125</v>
      </c>
      <c r="D51" s="5" t="s">
        <v>1784</v>
      </c>
      <c r="E51" s="5" t="s">
        <v>1986</v>
      </c>
      <c r="F51" s="5" t="s">
        <v>2239</v>
      </c>
      <c r="G51" s="5" t="s">
        <v>2241</v>
      </c>
      <c r="H51" s="5" t="s">
        <v>2257</v>
      </c>
      <c r="I51" s="5" t="s">
        <v>2262</v>
      </c>
      <c r="J51" s="5" t="s">
        <v>2265</v>
      </c>
      <c r="K51" s="8">
        <v>2</v>
      </c>
      <c r="L51" s="9">
        <v>125</v>
      </c>
      <c r="M51" s="10">
        <v>0</v>
      </c>
      <c r="N51" s="9">
        <f t="shared" si="10"/>
        <v>250</v>
      </c>
      <c r="O51" s="9">
        <f t="shared" si="0"/>
        <v>250</v>
      </c>
      <c r="P51" s="5" t="s">
        <v>2269</v>
      </c>
      <c r="Q51" s="5" t="s">
        <v>1761</v>
      </c>
      <c r="R51" s="5" t="s">
        <v>2277</v>
      </c>
      <c r="S51" s="5" t="s">
        <v>2281</v>
      </c>
      <c r="T51" s="5" t="s">
        <v>2289</v>
      </c>
      <c r="U51" s="8">
        <v>1</v>
      </c>
      <c r="V51" s="8">
        <v>397</v>
      </c>
      <c r="W51" s="8">
        <v>28</v>
      </c>
      <c r="X51" s="9">
        <v>62.11</v>
      </c>
      <c r="Y51" s="9">
        <f t="shared" si="1"/>
        <v>125.78</v>
      </c>
      <c r="Z51" s="5" t="s">
        <v>2293</v>
      </c>
      <c r="AA51" s="5" t="s">
        <v>2296</v>
      </c>
      <c r="AB51" s="9">
        <f t="shared" si="2"/>
        <v>250</v>
      </c>
      <c r="AC51" s="9">
        <f t="shared" si="3"/>
        <v>0</v>
      </c>
      <c r="AD51" s="9">
        <f t="shared" si="4"/>
        <v>250</v>
      </c>
      <c r="AE51" s="9">
        <f t="shared" si="5"/>
        <v>124.22</v>
      </c>
      <c r="AF51" s="9">
        <f t="shared" si="11"/>
        <v>125.78</v>
      </c>
      <c r="AG51" s="8">
        <f t="shared" si="6"/>
        <v>2024</v>
      </c>
      <c r="AH51" s="8">
        <f t="shared" si="7"/>
        <v>3</v>
      </c>
      <c r="AI51" s="5" t="str">
        <f t="shared" si="8"/>
        <v>Mar</v>
      </c>
      <c r="AJ51" s="5" t="str">
        <f t="shared" si="9"/>
        <v>Tuesday</v>
      </c>
    </row>
    <row r="52" spans="1:36" x14ac:dyDescent="0.3">
      <c r="A52" s="5" t="s">
        <v>86</v>
      </c>
      <c r="B52" s="6">
        <v>45309</v>
      </c>
      <c r="C52" s="7">
        <v>0.78472222222222221</v>
      </c>
      <c r="D52" s="5" t="s">
        <v>1777</v>
      </c>
      <c r="E52" s="5" t="s">
        <v>1987</v>
      </c>
      <c r="F52" s="5" t="s">
        <v>2239</v>
      </c>
      <c r="G52" s="5" t="s">
        <v>2246</v>
      </c>
      <c r="H52" s="5" t="s">
        <v>2259</v>
      </c>
      <c r="I52" s="5" t="s">
        <v>2262</v>
      </c>
      <c r="J52" s="5" t="s">
        <v>2266</v>
      </c>
      <c r="K52" s="8">
        <v>2</v>
      </c>
      <c r="L52" s="9">
        <v>105</v>
      </c>
      <c r="M52" s="10">
        <v>0.05</v>
      </c>
      <c r="N52" s="9">
        <f t="shared" si="10"/>
        <v>210</v>
      </c>
      <c r="O52" s="9">
        <f t="shared" si="0"/>
        <v>199.5</v>
      </c>
      <c r="P52" s="5" t="s">
        <v>2268</v>
      </c>
      <c r="Q52" s="5" t="s">
        <v>2270</v>
      </c>
      <c r="R52" s="5" t="s">
        <v>2278</v>
      </c>
      <c r="S52" s="5" t="s">
        <v>2284</v>
      </c>
      <c r="T52" s="5" t="s">
        <v>2288</v>
      </c>
      <c r="U52" s="19">
        <v>3</v>
      </c>
      <c r="V52" s="8">
        <v>207</v>
      </c>
      <c r="W52" s="8">
        <v>11</v>
      </c>
      <c r="X52" s="9">
        <v>47.93</v>
      </c>
      <c r="Y52" s="9">
        <f t="shared" si="1"/>
        <v>103.64</v>
      </c>
      <c r="Z52" s="5" t="s">
        <v>1761</v>
      </c>
      <c r="AA52" s="5" t="s">
        <v>1761</v>
      </c>
      <c r="AB52" s="9">
        <f t="shared" si="2"/>
        <v>210</v>
      </c>
      <c r="AC52" s="9">
        <f t="shared" si="3"/>
        <v>10.5</v>
      </c>
      <c r="AD52" s="9">
        <f t="shared" si="4"/>
        <v>199.5</v>
      </c>
      <c r="AE52" s="9">
        <f t="shared" si="5"/>
        <v>95.86</v>
      </c>
      <c r="AF52" s="9">
        <f t="shared" si="11"/>
        <v>103.64</v>
      </c>
      <c r="AG52" s="8">
        <f t="shared" si="6"/>
        <v>2024</v>
      </c>
      <c r="AH52" s="8">
        <f t="shared" si="7"/>
        <v>1</v>
      </c>
      <c r="AI52" s="5" t="str">
        <f t="shared" si="8"/>
        <v>Jan</v>
      </c>
      <c r="AJ52" s="5" t="str">
        <f t="shared" si="9"/>
        <v>Thursday</v>
      </c>
    </row>
    <row r="53" spans="1:36" x14ac:dyDescent="0.3">
      <c r="A53" s="5" t="s">
        <v>87</v>
      </c>
      <c r="B53" s="6">
        <v>45644</v>
      </c>
      <c r="C53" s="7">
        <v>0.70833333333333337</v>
      </c>
      <c r="D53" s="5" t="s">
        <v>1751</v>
      </c>
      <c r="E53" s="5" t="s">
        <v>1953</v>
      </c>
      <c r="F53" s="5" t="s">
        <v>2239</v>
      </c>
      <c r="G53" s="5" t="s">
        <v>2252</v>
      </c>
      <c r="H53" s="5" t="s">
        <v>2257</v>
      </c>
      <c r="I53" s="5" t="s">
        <v>2262</v>
      </c>
      <c r="J53" s="5" t="s">
        <v>2264</v>
      </c>
      <c r="K53" s="8">
        <v>1</v>
      </c>
      <c r="L53" s="9">
        <v>100</v>
      </c>
      <c r="M53" s="10">
        <v>0</v>
      </c>
      <c r="N53" s="9">
        <f t="shared" si="10"/>
        <v>100</v>
      </c>
      <c r="O53" s="9">
        <f t="shared" si="0"/>
        <v>100</v>
      </c>
      <c r="P53" s="5" t="s">
        <v>2269</v>
      </c>
      <c r="Q53" s="5" t="s">
        <v>2270</v>
      </c>
      <c r="R53" s="5" t="s">
        <v>2276</v>
      </c>
      <c r="S53" s="5" t="s">
        <v>2283</v>
      </c>
      <c r="T53" s="5" t="s">
        <v>2289</v>
      </c>
      <c r="U53" s="19">
        <v>3</v>
      </c>
      <c r="V53" s="8">
        <v>381</v>
      </c>
      <c r="W53" s="19">
        <v>34</v>
      </c>
      <c r="X53" s="9">
        <v>45.72</v>
      </c>
      <c r="Y53" s="9">
        <f t="shared" si="1"/>
        <v>54.28</v>
      </c>
      <c r="Z53" s="5" t="s">
        <v>2291</v>
      </c>
      <c r="AA53" s="5" t="s">
        <v>2299</v>
      </c>
      <c r="AB53" s="9">
        <f t="shared" si="2"/>
        <v>100</v>
      </c>
      <c r="AC53" s="9">
        <f t="shared" si="3"/>
        <v>0</v>
      </c>
      <c r="AD53" s="9">
        <f t="shared" si="4"/>
        <v>100</v>
      </c>
      <c r="AE53" s="9">
        <f t="shared" si="5"/>
        <v>45.72</v>
      </c>
      <c r="AF53" s="9">
        <f t="shared" si="11"/>
        <v>54.28</v>
      </c>
      <c r="AG53" s="8">
        <f t="shared" si="6"/>
        <v>2024</v>
      </c>
      <c r="AH53" s="8">
        <f t="shared" si="7"/>
        <v>12</v>
      </c>
      <c r="AI53" s="5" t="str">
        <f t="shared" si="8"/>
        <v>Dec</v>
      </c>
      <c r="AJ53" s="5" t="str">
        <f t="shared" si="9"/>
        <v>Wednesday</v>
      </c>
    </row>
    <row r="54" spans="1:36" x14ac:dyDescent="0.3">
      <c r="A54" s="5" t="s">
        <v>88</v>
      </c>
      <c r="B54" s="6">
        <v>45541</v>
      </c>
      <c r="C54" s="7">
        <v>0.36805555555555558</v>
      </c>
      <c r="D54" s="5" t="s">
        <v>1758</v>
      </c>
      <c r="E54" s="5" t="s">
        <v>1988</v>
      </c>
      <c r="F54" s="5" t="s">
        <v>2240</v>
      </c>
      <c r="G54" s="5" t="s">
        <v>2248</v>
      </c>
      <c r="H54" s="5" t="s">
        <v>2257</v>
      </c>
      <c r="I54" s="5" t="s">
        <v>2262</v>
      </c>
      <c r="J54" s="5" t="s">
        <v>2264</v>
      </c>
      <c r="K54" s="8">
        <v>3</v>
      </c>
      <c r="L54" s="9">
        <v>150</v>
      </c>
      <c r="M54" s="10">
        <v>0</v>
      </c>
      <c r="N54" s="9">
        <f t="shared" si="10"/>
        <v>450</v>
      </c>
      <c r="O54" s="9">
        <f t="shared" si="0"/>
        <v>450</v>
      </c>
      <c r="P54" s="5" t="s">
        <v>2269</v>
      </c>
      <c r="Q54" s="5" t="s">
        <v>2270</v>
      </c>
      <c r="R54" s="5" t="s">
        <v>2275</v>
      </c>
      <c r="S54" s="5" t="s">
        <v>2286</v>
      </c>
      <c r="T54" s="5" t="s">
        <v>2288</v>
      </c>
      <c r="U54" s="19">
        <v>3</v>
      </c>
      <c r="V54" s="8">
        <v>490</v>
      </c>
      <c r="W54" s="8">
        <v>29</v>
      </c>
      <c r="X54" s="9">
        <v>67.63</v>
      </c>
      <c r="Y54" s="9">
        <f t="shared" si="1"/>
        <v>247.11</v>
      </c>
      <c r="Z54" s="5" t="s">
        <v>2293</v>
      </c>
      <c r="AA54" s="5" t="s">
        <v>2299</v>
      </c>
      <c r="AB54" s="9">
        <f t="shared" si="2"/>
        <v>450</v>
      </c>
      <c r="AC54" s="9">
        <f t="shared" si="3"/>
        <v>0</v>
      </c>
      <c r="AD54" s="9">
        <f t="shared" si="4"/>
        <v>450</v>
      </c>
      <c r="AE54" s="9">
        <f t="shared" si="5"/>
        <v>202.89</v>
      </c>
      <c r="AF54" s="9">
        <f t="shared" si="11"/>
        <v>247.11</v>
      </c>
      <c r="AG54" s="8">
        <f t="shared" si="6"/>
        <v>2024</v>
      </c>
      <c r="AH54" s="8">
        <f t="shared" si="7"/>
        <v>9</v>
      </c>
      <c r="AI54" s="5" t="str">
        <f t="shared" si="8"/>
        <v>Sep</v>
      </c>
      <c r="AJ54" s="5" t="str">
        <f t="shared" si="9"/>
        <v>Friday</v>
      </c>
    </row>
    <row r="55" spans="1:36" x14ac:dyDescent="0.3">
      <c r="A55" s="5" t="s">
        <v>89</v>
      </c>
      <c r="B55" s="6">
        <v>45348</v>
      </c>
      <c r="C55" s="7">
        <v>0.82291666666666663</v>
      </c>
      <c r="D55" s="5" t="s">
        <v>1785</v>
      </c>
      <c r="E55" s="5" t="s">
        <v>1975</v>
      </c>
      <c r="F55" s="5" t="s">
        <v>2238</v>
      </c>
      <c r="G55" s="5" t="s">
        <v>2241</v>
      </c>
      <c r="H55" s="5" t="s">
        <v>2257</v>
      </c>
      <c r="I55" s="5" t="s">
        <v>2262</v>
      </c>
      <c r="J55" s="5" t="s">
        <v>1761</v>
      </c>
      <c r="K55" s="8">
        <v>3</v>
      </c>
      <c r="L55" s="9">
        <v>140</v>
      </c>
      <c r="M55" s="10">
        <v>0.1</v>
      </c>
      <c r="N55" s="9">
        <f t="shared" si="10"/>
        <v>420</v>
      </c>
      <c r="O55" s="9">
        <f t="shared" si="0"/>
        <v>378</v>
      </c>
      <c r="P55" s="5" t="s">
        <v>2269</v>
      </c>
      <c r="Q55" s="5" t="s">
        <v>2270</v>
      </c>
      <c r="R55" s="5" t="s">
        <v>2278</v>
      </c>
      <c r="S55" s="5" t="s">
        <v>2285</v>
      </c>
      <c r="T55" s="5" t="s">
        <v>2288</v>
      </c>
      <c r="U55" s="8">
        <v>2</v>
      </c>
      <c r="V55" s="8">
        <v>385</v>
      </c>
      <c r="W55" s="8">
        <v>54</v>
      </c>
      <c r="X55" s="9">
        <v>68.28</v>
      </c>
      <c r="Y55" s="9">
        <f t="shared" si="1"/>
        <v>173.16</v>
      </c>
      <c r="Z55" s="5" t="s">
        <v>1761</v>
      </c>
      <c r="AA55" s="5" t="s">
        <v>2299</v>
      </c>
      <c r="AB55" s="9">
        <f t="shared" si="2"/>
        <v>420</v>
      </c>
      <c r="AC55" s="9">
        <f t="shared" si="3"/>
        <v>42</v>
      </c>
      <c r="AD55" s="9">
        <f t="shared" si="4"/>
        <v>378</v>
      </c>
      <c r="AE55" s="9">
        <f t="shared" si="5"/>
        <v>204.84</v>
      </c>
      <c r="AF55" s="9">
        <f t="shared" si="11"/>
        <v>173.16</v>
      </c>
      <c r="AG55" s="8">
        <f t="shared" si="6"/>
        <v>2024</v>
      </c>
      <c r="AH55" s="8">
        <f t="shared" si="7"/>
        <v>2</v>
      </c>
      <c r="AI55" s="5" t="str">
        <f t="shared" si="8"/>
        <v>Feb</v>
      </c>
      <c r="AJ55" s="5" t="str">
        <f t="shared" si="9"/>
        <v>Monday</v>
      </c>
    </row>
    <row r="56" spans="1:36" x14ac:dyDescent="0.3">
      <c r="A56" s="5" t="s">
        <v>90</v>
      </c>
      <c r="B56" s="6">
        <v>45388</v>
      </c>
      <c r="C56" s="7">
        <v>0.34375</v>
      </c>
      <c r="D56" s="5" t="s">
        <v>1786</v>
      </c>
      <c r="E56" s="5" t="s">
        <v>1989</v>
      </c>
      <c r="F56" s="5" t="s">
        <v>1761</v>
      </c>
      <c r="G56" s="5" t="s">
        <v>2256</v>
      </c>
      <c r="H56" s="5" t="s">
        <v>2261</v>
      </c>
      <c r="I56" s="5" t="s">
        <v>2260</v>
      </c>
      <c r="J56" s="5" t="s">
        <v>2265</v>
      </c>
      <c r="K56" s="8">
        <v>1</v>
      </c>
      <c r="L56" s="9">
        <v>190</v>
      </c>
      <c r="M56" s="10">
        <v>0.1</v>
      </c>
      <c r="N56" s="9">
        <f t="shared" si="10"/>
        <v>190</v>
      </c>
      <c r="O56" s="9">
        <f t="shared" si="0"/>
        <v>171</v>
      </c>
      <c r="P56" s="5" t="s">
        <v>2268</v>
      </c>
      <c r="Q56" s="5" t="s">
        <v>2272</v>
      </c>
      <c r="R56" s="5" t="s">
        <v>2279</v>
      </c>
      <c r="S56" s="5" t="s">
        <v>2286</v>
      </c>
      <c r="T56" s="5" t="s">
        <v>2288</v>
      </c>
      <c r="U56" s="8">
        <v>5</v>
      </c>
      <c r="V56" s="8">
        <v>379</v>
      </c>
      <c r="W56" s="8">
        <v>43</v>
      </c>
      <c r="X56" s="9">
        <v>72.86</v>
      </c>
      <c r="Y56" s="9">
        <f t="shared" si="1"/>
        <v>98.14</v>
      </c>
      <c r="Z56" s="5" t="s">
        <v>1761</v>
      </c>
      <c r="AA56" s="5" t="s">
        <v>2297</v>
      </c>
      <c r="AB56" s="9">
        <f t="shared" si="2"/>
        <v>190</v>
      </c>
      <c r="AC56" s="9">
        <f t="shared" si="3"/>
        <v>19</v>
      </c>
      <c r="AD56" s="9">
        <f t="shared" si="4"/>
        <v>171</v>
      </c>
      <c r="AE56" s="9">
        <f t="shared" si="5"/>
        <v>72.86</v>
      </c>
      <c r="AF56" s="9">
        <f t="shared" si="11"/>
        <v>98.14</v>
      </c>
      <c r="AG56" s="8">
        <f t="shared" si="6"/>
        <v>2024</v>
      </c>
      <c r="AH56" s="8">
        <f t="shared" si="7"/>
        <v>4</v>
      </c>
      <c r="AI56" s="5" t="str">
        <f t="shared" si="8"/>
        <v>Apr</v>
      </c>
      <c r="AJ56" s="5" t="str">
        <f t="shared" si="9"/>
        <v>Saturday</v>
      </c>
    </row>
    <row r="57" spans="1:36" x14ac:dyDescent="0.3">
      <c r="A57" s="5" t="s">
        <v>91</v>
      </c>
      <c r="B57" s="6">
        <v>45407</v>
      </c>
      <c r="C57" s="7">
        <v>0.33333333333333331</v>
      </c>
      <c r="D57" s="5" t="s">
        <v>1747</v>
      </c>
      <c r="E57" s="5" t="s">
        <v>1990</v>
      </c>
      <c r="F57" s="5" t="s">
        <v>1761</v>
      </c>
      <c r="G57" s="5" t="s">
        <v>2256</v>
      </c>
      <c r="H57" s="5" t="s">
        <v>2261</v>
      </c>
      <c r="I57" s="5" t="s">
        <v>2260</v>
      </c>
      <c r="J57" s="5" t="s">
        <v>1761</v>
      </c>
      <c r="K57" s="8">
        <v>1</v>
      </c>
      <c r="L57" s="9">
        <v>190</v>
      </c>
      <c r="M57" s="10">
        <v>0</v>
      </c>
      <c r="N57" s="9">
        <f t="shared" si="10"/>
        <v>190</v>
      </c>
      <c r="O57" s="9">
        <f t="shared" si="0"/>
        <v>190</v>
      </c>
      <c r="P57" s="5" t="s">
        <v>2269</v>
      </c>
      <c r="Q57" s="5" t="s">
        <v>2271</v>
      </c>
      <c r="R57" s="5" t="s">
        <v>2279</v>
      </c>
      <c r="S57" s="5" t="s">
        <v>2284</v>
      </c>
      <c r="T57" s="5" t="s">
        <v>2288</v>
      </c>
      <c r="U57" s="8">
        <v>2</v>
      </c>
      <c r="V57" s="8">
        <v>114</v>
      </c>
      <c r="W57" s="8">
        <v>52</v>
      </c>
      <c r="X57" s="9">
        <v>69.97</v>
      </c>
      <c r="Y57" s="9">
        <f t="shared" si="1"/>
        <v>120.03</v>
      </c>
      <c r="Z57" s="5" t="s">
        <v>2293</v>
      </c>
      <c r="AA57" s="5" t="s">
        <v>2299</v>
      </c>
      <c r="AB57" s="9">
        <f t="shared" si="2"/>
        <v>190</v>
      </c>
      <c r="AC57" s="9">
        <f t="shared" si="3"/>
        <v>0</v>
      </c>
      <c r="AD57" s="9">
        <f t="shared" si="4"/>
        <v>190</v>
      </c>
      <c r="AE57" s="9">
        <f t="shared" si="5"/>
        <v>69.97</v>
      </c>
      <c r="AF57" s="9">
        <f t="shared" si="11"/>
        <v>120.03</v>
      </c>
      <c r="AG57" s="8">
        <f t="shared" si="6"/>
        <v>2024</v>
      </c>
      <c r="AH57" s="8">
        <f t="shared" si="7"/>
        <v>4</v>
      </c>
      <c r="AI57" s="5" t="str">
        <f t="shared" si="8"/>
        <v>Apr</v>
      </c>
      <c r="AJ57" s="5" t="str">
        <f t="shared" si="9"/>
        <v>Thursday</v>
      </c>
    </row>
    <row r="58" spans="1:36" x14ac:dyDescent="0.3">
      <c r="A58" s="5" t="s">
        <v>92</v>
      </c>
      <c r="B58" s="6">
        <v>45337</v>
      </c>
      <c r="C58" s="7">
        <v>0.88888888888888884</v>
      </c>
      <c r="D58" s="5" t="s">
        <v>1749</v>
      </c>
      <c r="E58" s="5" t="s">
        <v>1991</v>
      </c>
      <c r="F58" s="5" t="s">
        <v>1761</v>
      </c>
      <c r="G58" s="5" t="s">
        <v>2252</v>
      </c>
      <c r="H58" s="5" t="s">
        <v>2257</v>
      </c>
      <c r="I58" s="5" t="s">
        <v>2262</v>
      </c>
      <c r="J58" s="5" t="s">
        <v>2266</v>
      </c>
      <c r="K58" s="8">
        <v>1</v>
      </c>
      <c r="L58" s="9">
        <v>85</v>
      </c>
      <c r="M58" s="10">
        <v>0</v>
      </c>
      <c r="N58" s="9">
        <f t="shared" si="10"/>
        <v>85</v>
      </c>
      <c r="O58" s="9">
        <f t="shared" si="0"/>
        <v>85</v>
      </c>
      <c r="P58" s="5" t="s">
        <v>2269</v>
      </c>
      <c r="Q58" s="5" t="s">
        <v>2272</v>
      </c>
      <c r="R58" s="5" t="s">
        <v>2274</v>
      </c>
      <c r="S58" s="5" t="s">
        <v>2283</v>
      </c>
      <c r="T58" s="5" t="s">
        <v>2289</v>
      </c>
      <c r="U58" s="8">
        <v>3</v>
      </c>
      <c r="V58" s="8">
        <v>382</v>
      </c>
      <c r="W58" s="8">
        <v>12</v>
      </c>
      <c r="X58" s="9">
        <v>39.6</v>
      </c>
      <c r="Y58" s="9">
        <f t="shared" si="1"/>
        <v>45.4</v>
      </c>
      <c r="Z58" s="5" t="s">
        <v>2293</v>
      </c>
      <c r="AA58" s="5" t="s">
        <v>2299</v>
      </c>
      <c r="AB58" s="9">
        <f t="shared" si="2"/>
        <v>85</v>
      </c>
      <c r="AC58" s="9">
        <f t="shared" si="3"/>
        <v>0</v>
      </c>
      <c r="AD58" s="9">
        <f t="shared" si="4"/>
        <v>85</v>
      </c>
      <c r="AE58" s="9">
        <f t="shared" si="5"/>
        <v>39.6</v>
      </c>
      <c r="AF58" s="9">
        <f t="shared" si="11"/>
        <v>45.4</v>
      </c>
      <c r="AG58" s="8">
        <f t="shared" si="6"/>
        <v>2024</v>
      </c>
      <c r="AH58" s="8">
        <f t="shared" si="7"/>
        <v>2</v>
      </c>
      <c r="AI58" s="5" t="str">
        <f t="shared" si="8"/>
        <v>Feb</v>
      </c>
      <c r="AJ58" s="5" t="str">
        <f t="shared" si="9"/>
        <v>Thursday</v>
      </c>
    </row>
    <row r="59" spans="1:36" x14ac:dyDescent="0.3">
      <c r="A59" s="5" t="s">
        <v>93</v>
      </c>
      <c r="B59" s="6">
        <v>45372</v>
      </c>
      <c r="C59" s="7">
        <v>0.74305555555555558</v>
      </c>
      <c r="D59" s="5" t="s">
        <v>1787</v>
      </c>
      <c r="E59" s="5" t="s">
        <v>1992</v>
      </c>
      <c r="F59" s="5" t="s">
        <v>1761</v>
      </c>
      <c r="G59" s="5" t="s">
        <v>2252</v>
      </c>
      <c r="H59" s="5" t="s">
        <v>2257</v>
      </c>
      <c r="I59" s="5" t="s">
        <v>2262</v>
      </c>
      <c r="J59" s="5" t="s">
        <v>2264</v>
      </c>
      <c r="K59" s="8">
        <v>1</v>
      </c>
      <c r="L59" s="9">
        <v>100</v>
      </c>
      <c r="M59" s="10">
        <v>0.1</v>
      </c>
      <c r="N59" s="9">
        <f t="shared" si="10"/>
        <v>100</v>
      </c>
      <c r="O59" s="9">
        <f t="shared" si="0"/>
        <v>90</v>
      </c>
      <c r="P59" s="5" t="s">
        <v>2269</v>
      </c>
      <c r="Q59" s="5" t="s">
        <v>2270</v>
      </c>
      <c r="R59" s="5" t="s">
        <v>2274</v>
      </c>
      <c r="S59" s="5" t="s">
        <v>2285</v>
      </c>
      <c r="T59" s="5" t="s">
        <v>2288</v>
      </c>
      <c r="U59" s="8">
        <v>2</v>
      </c>
      <c r="V59" s="8">
        <v>477</v>
      </c>
      <c r="W59" s="8">
        <v>37</v>
      </c>
      <c r="X59" s="9">
        <v>43.61</v>
      </c>
      <c r="Y59" s="9">
        <f t="shared" si="1"/>
        <v>46.39</v>
      </c>
      <c r="Z59" s="5" t="s">
        <v>1761</v>
      </c>
      <c r="AA59" s="5" t="s">
        <v>2298</v>
      </c>
      <c r="AB59" s="9">
        <f t="shared" si="2"/>
        <v>100</v>
      </c>
      <c r="AC59" s="9">
        <f t="shared" si="3"/>
        <v>10</v>
      </c>
      <c r="AD59" s="9">
        <f t="shared" si="4"/>
        <v>90</v>
      </c>
      <c r="AE59" s="9">
        <f t="shared" si="5"/>
        <v>43.61</v>
      </c>
      <c r="AF59" s="9">
        <f t="shared" si="11"/>
        <v>46.39</v>
      </c>
      <c r="AG59" s="8">
        <f t="shared" si="6"/>
        <v>2024</v>
      </c>
      <c r="AH59" s="8">
        <f t="shared" si="7"/>
        <v>3</v>
      </c>
      <c r="AI59" s="5" t="str">
        <f t="shared" si="8"/>
        <v>Mar</v>
      </c>
      <c r="AJ59" s="5" t="str">
        <f t="shared" si="9"/>
        <v>Thursday</v>
      </c>
    </row>
    <row r="60" spans="1:36" x14ac:dyDescent="0.3">
      <c r="A60" s="5" t="s">
        <v>94</v>
      </c>
      <c r="B60" s="6">
        <v>45428</v>
      </c>
      <c r="C60" s="7">
        <v>0.41666666666666669</v>
      </c>
      <c r="D60" s="5" t="s">
        <v>1788</v>
      </c>
      <c r="E60" s="5" t="s">
        <v>1993</v>
      </c>
      <c r="F60" s="5" t="s">
        <v>2238</v>
      </c>
      <c r="G60" s="5" t="s">
        <v>2244</v>
      </c>
      <c r="H60" s="5" t="s">
        <v>2257</v>
      </c>
      <c r="I60" s="5" t="s">
        <v>2262</v>
      </c>
      <c r="J60" s="5" t="s">
        <v>2265</v>
      </c>
      <c r="K60" s="8">
        <v>3</v>
      </c>
      <c r="L60" s="9">
        <v>125</v>
      </c>
      <c r="M60" s="10">
        <v>0</v>
      </c>
      <c r="N60" s="9">
        <f t="shared" si="10"/>
        <v>375</v>
      </c>
      <c r="O60" s="9">
        <f t="shared" si="0"/>
        <v>375</v>
      </c>
      <c r="P60" s="5" t="s">
        <v>2267</v>
      </c>
      <c r="Q60" s="5" t="s">
        <v>2272</v>
      </c>
      <c r="R60" s="5" t="s">
        <v>2278</v>
      </c>
      <c r="S60" s="5" t="s">
        <v>2287</v>
      </c>
      <c r="T60" s="5" t="s">
        <v>2290</v>
      </c>
      <c r="U60" s="19">
        <v>3</v>
      </c>
      <c r="V60" s="8">
        <v>42</v>
      </c>
      <c r="W60" s="19">
        <v>35</v>
      </c>
      <c r="X60" s="9">
        <v>66.66</v>
      </c>
      <c r="Y60" s="9">
        <f t="shared" si="1"/>
        <v>175.02</v>
      </c>
      <c r="Z60" s="5" t="s">
        <v>1761</v>
      </c>
      <c r="AA60" s="5" t="s">
        <v>1761</v>
      </c>
      <c r="AB60" s="9">
        <f t="shared" si="2"/>
        <v>375</v>
      </c>
      <c r="AC60" s="9">
        <f t="shared" si="3"/>
        <v>0</v>
      </c>
      <c r="AD60" s="9">
        <f t="shared" si="4"/>
        <v>375</v>
      </c>
      <c r="AE60" s="9">
        <f t="shared" si="5"/>
        <v>199.98</v>
      </c>
      <c r="AF60" s="9">
        <f t="shared" si="11"/>
        <v>175.02</v>
      </c>
      <c r="AG60" s="8">
        <f t="shared" si="6"/>
        <v>2024</v>
      </c>
      <c r="AH60" s="8">
        <f t="shared" si="7"/>
        <v>5</v>
      </c>
      <c r="AI60" s="5" t="str">
        <f t="shared" si="8"/>
        <v>May</v>
      </c>
      <c r="AJ60" s="5" t="str">
        <f t="shared" si="9"/>
        <v>Thursday</v>
      </c>
    </row>
    <row r="61" spans="1:36" x14ac:dyDescent="0.3">
      <c r="A61" s="5" t="s">
        <v>95</v>
      </c>
      <c r="B61" s="6">
        <v>45462</v>
      </c>
      <c r="C61" s="7">
        <v>0.35416666666666669</v>
      </c>
      <c r="D61" s="5" t="s">
        <v>1789</v>
      </c>
      <c r="E61" s="5" t="s">
        <v>1994</v>
      </c>
      <c r="F61" s="5" t="s">
        <v>2239</v>
      </c>
      <c r="G61" s="5" t="s">
        <v>2249</v>
      </c>
      <c r="H61" s="5" t="s">
        <v>2257</v>
      </c>
      <c r="I61" s="5" t="s">
        <v>2263</v>
      </c>
      <c r="J61" s="5" t="s">
        <v>2264</v>
      </c>
      <c r="K61" s="8">
        <v>2</v>
      </c>
      <c r="L61" s="9">
        <v>155</v>
      </c>
      <c r="M61" s="10">
        <v>0.05</v>
      </c>
      <c r="N61" s="9">
        <f t="shared" si="10"/>
        <v>310</v>
      </c>
      <c r="O61" s="9">
        <f t="shared" si="0"/>
        <v>294.5</v>
      </c>
      <c r="P61" s="5" t="s">
        <v>2267</v>
      </c>
      <c r="Q61" s="5" t="s">
        <v>1761</v>
      </c>
      <c r="R61" s="5" t="s">
        <v>2277</v>
      </c>
      <c r="S61" s="5" t="s">
        <v>2285</v>
      </c>
      <c r="T61" s="5" t="s">
        <v>2289</v>
      </c>
      <c r="U61" s="8">
        <v>4</v>
      </c>
      <c r="V61" s="8">
        <v>295</v>
      </c>
      <c r="W61" s="8">
        <v>46</v>
      </c>
      <c r="X61" s="9">
        <v>89.18</v>
      </c>
      <c r="Y61" s="9">
        <f t="shared" si="1"/>
        <v>116.13999999999999</v>
      </c>
      <c r="Z61" s="5" t="s">
        <v>2294</v>
      </c>
      <c r="AA61" s="5" t="s">
        <v>2299</v>
      </c>
      <c r="AB61" s="9">
        <f t="shared" si="2"/>
        <v>310</v>
      </c>
      <c r="AC61" s="9">
        <f t="shared" si="3"/>
        <v>15.5</v>
      </c>
      <c r="AD61" s="9">
        <f t="shared" si="4"/>
        <v>294.5</v>
      </c>
      <c r="AE61" s="9">
        <f t="shared" si="5"/>
        <v>178.36</v>
      </c>
      <c r="AF61" s="9">
        <f t="shared" si="11"/>
        <v>116.13999999999999</v>
      </c>
      <c r="AG61" s="8">
        <f t="shared" si="6"/>
        <v>2024</v>
      </c>
      <c r="AH61" s="8">
        <f t="shared" si="7"/>
        <v>6</v>
      </c>
      <c r="AI61" s="5" t="str">
        <f t="shared" si="8"/>
        <v>Jun</v>
      </c>
      <c r="AJ61" s="5" t="str">
        <f t="shared" si="9"/>
        <v>Wednesday</v>
      </c>
    </row>
    <row r="62" spans="1:36" x14ac:dyDescent="0.3">
      <c r="A62" s="5" t="s">
        <v>96</v>
      </c>
      <c r="B62" s="6">
        <v>45438</v>
      </c>
      <c r="C62" s="7">
        <v>0.36458333333333331</v>
      </c>
      <c r="D62" s="5" t="s">
        <v>1743</v>
      </c>
      <c r="E62" s="5" t="s">
        <v>1995</v>
      </c>
      <c r="F62" s="5" t="s">
        <v>2240</v>
      </c>
      <c r="G62" s="5" t="s">
        <v>2254</v>
      </c>
      <c r="H62" s="5" t="s">
        <v>2259</v>
      </c>
      <c r="I62" s="5" t="s">
        <v>2263</v>
      </c>
      <c r="J62" s="5" t="s">
        <v>2265</v>
      </c>
      <c r="K62" s="8">
        <v>1</v>
      </c>
      <c r="L62" s="9">
        <v>110</v>
      </c>
      <c r="M62" s="10">
        <v>0.1</v>
      </c>
      <c r="N62" s="9">
        <f t="shared" si="10"/>
        <v>110</v>
      </c>
      <c r="O62" s="9">
        <f t="shared" si="0"/>
        <v>99</v>
      </c>
      <c r="P62" s="5" t="s">
        <v>2269</v>
      </c>
      <c r="Q62" s="5" t="s">
        <v>1761</v>
      </c>
      <c r="R62" s="5" t="s">
        <v>2274</v>
      </c>
      <c r="S62" s="5" t="s">
        <v>2284</v>
      </c>
      <c r="T62" s="5" t="s">
        <v>2288</v>
      </c>
      <c r="U62" s="8">
        <v>2</v>
      </c>
      <c r="V62" s="8">
        <v>54</v>
      </c>
      <c r="W62" s="8">
        <v>39</v>
      </c>
      <c r="X62" s="9">
        <v>38.840000000000003</v>
      </c>
      <c r="Y62" s="9">
        <f t="shared" si="1"/>
        <v>60.16</v>
      </c>
      <c r="Z62" s="5" t="s">
        <v>2293</v>
      </c>
      <c r="AA62" s="5" t="s">
        <v>2297</v>
      </c>
      <c r="AB62" s="9">
        <f t="shared" si="2"/>
        <v>110</v>
      </c>
      <c r="AC62" s="9">
        <f t="shared" si="3"/>
        <v>11</v>
      </c>
      <c r="AD62" s="9">
        <f t="shared" si="4"/>
        <v>99</v>
      </c>
      <c r="AE62" s="9">
        <f t="shared" si="5"/>
        <v>38.840000000000003</v>
      </c>
      <c r="AF62" s="9">
        <f t="shared" si="11"/>
        <v>60.16</v>
      </c>
      <c r="AG62" s="8">
        <f t="shared" si="6"/>
        <v>2024</v>
      </c>
      <c r="AH62" s="8">
        <f t="shared" si="7"/>
        <v>5</v>
      </c>
      <c r="AI62" s="5" t="str">
        <f t="shared" si="8"/>
        <v>May</v>
      </c>
      <c r="AJ62" s="5" t="str">
        <f t="shared" si="9"/>
        <v>Sunday</v>
      </c>
    </row>
    <row r="63" spans="1:36" x14ac:dyDescent="0.3">
      <c r="A63" s="5" t="s">
        <v>97</v>
      </c>
      <c r="B63" s="6">
        <v>45564</v>
      </c>
      <c r="C63" s="7">
        <v>0.38194444444444442</v>
      </c>
      <c r="D63" s="5" t="s">
        <v>1790</v>
      </c>
      <c r="E63" s="5" t="s">
        <v>1996</v>
      </c>
      <c r="F63" s="5" t="s">
        <v>2239</v>
      </c>
      <c r="G63" s="5" t="s">
        <v>2255</v>
      </c>
      <c r="H63" s="5" t="s">
        <v>2260</v>
      </c>
      <c r="I63" s="5" t="s">
        <v>2260</v>
      </c>
      <c r="J63" s="5" t="s">
        <v>2264</v>
      </c>
      <c r="K63" s="8">
        <v>2</v>
      </c>
      <c r="L63" s="9">
        <v>175</v>
      </c>
      <c r="M63" s="10">
        <v>0</v>
      </c>
      <c r="N63" s="9">
        <f t="shared" si="10"/>
        <v>350</v>
      </c>
      <c r="O63" s="9">
        <f t="shared" si="0"/>
        <v>350</v>
      </c>
      <c r="P63" s="5" t="s">
        <v>2268</v>
      </c>
      <c r="Q63" s="5" t="s">
        <v>1761</v>
      </c>
      <c r="R63" s="5" t="s">
        <v>2279</v>
      </c>
      <c r="S63" s="5" t="s">
        <v>2280</v>
      </c>
      <c r="T63" s="5" t="s">
        <v>2289</v>
      </c>
      <c r="U63" s="19">
        <v>3</v>
      </c>
      <c r="V63" s="8">
        <v>155</v>
      </c>
      <c r="W63" s="8">
        <v>25</v>
      </c>
      <c r="X63" s="9">
        <v>85.63</v>
      </c>
      <c r="Y63" s="9">
        <f t="shared" si="1"/>
        <v>178.74</v>
      </c>
      <c r="Z63" s="5" t="s">
        <v>1761</v>
      </c>
      <c r="AA63" s="5" t="s">
        <v>1761</v>
      </c>
      <c r="AB63" s="9">
        <f t="shared" si="2"/>
        <v>350</v>
      </c>
      <c r="AC63" s="9">
        <f t="shared" si="3"/>
        <v>0</v>
      </c>
      <c r="AD63" s="9">
        <f t="shared" si="4"/>
        <v>350</v>
      </c>
      <c r="AE63" s="9">
        <f t="shared" si="5"/>
        <v>171.26</v>
      </c>
      <c r="AF63" s="9">
        <f t="shared" si="11"/>
        <v>178.74</v>
      </c>
      <c r="AG63" s="8">
        <f t="shared" si="6"/>
        <v>2024</v>
      </c>
      <c r="AH63" s="8">
        <f t="shared" si="7"/>
        <v>9</v>
      </c>
      <c r="AI63" s="5" t="str">
        <f t="shared" si="8"/>
        <v>Sep</v>
      </c>
      <c r="AJ63" s="5" t="str">
        <f t="shared" si="9"/>
        <v>Sunday</v>
      </c>
    </row>
    <row r="64" spans="1:36" x14ac:dyDescent="0.3">
      <c r="A64" s="5" t="s">
        <v>98</v>
      </c>
      <c r="B64" s="6">
        <v>45574</v>
      </c>
      <c r="C64" s="7">
        <v>0.71875</v>
      </c>
      <c r="D64" s="5" t="s">
        <v>1791</v>
      </c>
      <c r="E64" s="5" t="s">
        <v>1761</v>
      </c>
      <c r="F64" s="5" t="s">
        <v>2240</v>
      </c>
      <c r="G64" s="5" t="s">
        <v>2246</v>
      </c>
      <c r="H64" s="5" t="s">
        <v>2259</v>
      </c>
      <c r="I64" s="5" t="s">
        <v>2262</v>
      </c>
      <c r="J64" s="5" t="s">
        <v>2264</v>
      </c>
      <c r="K64" s="8">
        <v>1</v>
      </c>
      <c r="L64" s="9">
        <v>90</v>
      </c>
      <c r="M64" s="10">
        <v>0.05</v>
      </c>
      <c r="N64" s="9">
        <f t="shared" si="10"/>
        <v>90</v>
      </c>
      <c r="O64" s="9">
        <f t="shared" si="0"/>
        <v>85.5</v>
      </c>
      <c r="P64" s="5" t="s">
        <v>2267</v>
      </c>
      <c r="Q64" s="5" t="s">
        <v>2270</v>
      </c>
      <c r="R64" s="5" t="s">
        <v>2279</v>
      </c>
      <c r="S64" s="5" t="s">
        <v>2284</v>
      </c>
      <c r="T64" s="5" t="s">
        <v>2288</v>
      </c>
      <c r="U64" s="19">
        <v>3</v>
      </c>
      <c r="V64" s="8">
        <v>54</v>
      </c>
      <c r="W64" s="19">
        <v>34</v>
      </c>
      <c r="X64" s="9">
        <v>36.869999999999997</v>
      </c>
      <c r="Y64" s="9">
        <f t="shared" si="1"/>
        <v>48.63</v>
      </c>
      <c r="Z64" s="5" t="s">
        <v>2291</v>
      </c>
      <c r="AA64" s="5" t="s">
        <v>2296</v>
      </c>
      <c r="AB64" s="9">
        <f t="shared" si="2"/>
        <v>90</v>
      </c>
      <c r="AC64" s="9">
        <f t="shared" si="3"/>
        <v>4.5</v>
      </c>
      <c r="AD64" s="9">
        <f t="shared" si="4"/>
        <v>85.5</v>
      </c>
      <c r="AE64" s="9">
        <f t="shared" si="5"/>
        <v>36.869999999999997</v>
      </c>
      <c r="AF64" s="9">
        <f t="shared" si="11"/>
        <v>48.63</v>
      </c>
      <c r="AG64" s="8">
        <f t="shared" si="6"/>
        <v>2024</v>
      </c>
      <c r="AH64" s="8">
        <f t="shared" si="7"/>
        <v>10</v>
      </c>
      <c r="AI64" s="5" t="str">
        <f t="shared" si="8"/>
        <v>Oct</v>
      </c>
      <c r="AJ64" s="5" t="str">
        <f t="shared" si="9"/>
        <v>Wednesday</v>
      </c>
    </row>
    <row r="65" spans="1:36" x14ac:dyDescent="0.3">
      <c r="A65" s="5" t="s">
        <v>99</v>
      </c>
      <c r="B65" s="6">
        <v>45510</v>
      </c>
      <c r="C65" s="7">
        <v>0.90625</v>
      </c>
      <c r="D65" s="5" t="s">
        <v>1792</v>
      </c>
      <c r="E65" s="5" t="s">
        <v>1997</v>
      </c>
      <c r="F65" s="5" t="s">
        <v>2238</v>
      </c>
      <c r="G65" s="5" t="s">
        <v>2252</v>
      </c>
      <c r="H65" s="5" t="s">
        <v>2257</v>
      </c>
      <c r="I65" s="5" t="s">
        <v>2262</v>
      </c>
      <c r="J65" s="5" t="s">
        <v>2264</v>
      </c>
      <c r="K65" s="8">
        <v>1</v>
      </c>
      <c r="L65" s="9">
        <v>90</v>
      </c>
      <c r="M65" s="10">
        <v>0</v>
      </c>
      <c r="N65" s="9">
        <f t="shared" si="10"/>
        <v>90</v>
      </c>
      <c r="O65" s="9">
        <f t="shared" si="0"/>
        <v>90</v>
      </c>
      <c r="P65" s="5" t="s">
        <v>2269</v>
      </c>
      <c r="Q65" s="5" t="s">
        <v>2271</v>
      </c>
      <c r="R65" s="5" t="s">
        <v>2278</v>
      </c>
      <c r="S65" s="5" t="s">
        <v>2286</v>
      </c>
      <c r="T65" s="5" t="s">
        <v>2288</v>
      </c>
      <c r="U65" s="8">
        <v>3</v>
      </c>
      <c r="V65" s="8">
        <v>133</v>
      </c>
      <c r="W65" s="19">
        <v>37</v>
      </c>
      <c r="X65" s="9">
        <v>44.61</v>
      </c>
      <c r="Y65" s="9">
        <f t="shared" si="1"/>
        <v>45.39</v>
      </c>
      <c r="Z65" s="5" t="s">
        <v>2293</v>
      </c>
      <c r="AA65" s="5" t="s">
        <v>2298</v>
      </c>
      <c r="AB65" s="9">
        <f t="shared" si="2"/>
        <v>90</v>
      </c>
      <c r="AC65" s="9">
        <f t="shared" si="3"/>
        <v>0</v>
      </c>
      <c r="AD65" s="9">
        <f t="shared" si="4"/>
        <v>90</v>
      </c>
      <c r="AE65" s="9">
        <f t="shared" si="5"/>
        <v>44.61</v>
      </c>
      <c r="AF65" s="9">
        <f t="shared" si="11"/>
        <v>45.39</v>
      </c>
      <c r="AG65" s="8">
        <f t="shared" si="6"/>
        <v>2024</v>
      </c>
      <c r="AH65" s="8">
        <f t="shared" si="7"/>
        <v>8</v>
      </c>
      <c r="AI65" s="5" t="str">
        <f t="shared" si="8"/>
        <v>Aug</v>
      </c>
      <c r="AJ65" s="5" t="str">
        <f t="shared" si="9"/>
        <v>Tuesday</v>
      </c>
    </row>
    <row r="66" spans="1:36" x14ac:dyDescent="0.3">
      <c r="A66" s="5" t="s">
        <v>100</v>
      </c>
      <c r="B66" s="6">
        <v>45339</v>
      </c>
      <c r="C66" s="7">
        <v>0.65972222222222221</v>
      </c>
      <c r="D66" s="5" t="s">
        <v>1793</v>
      </c>
      <c r="E66" s="5" t="s">
        <v>1998</v>
      </c>
      <c r="F66" s="5" t="s">
        <v>2240</v>
      </c>
      <c r="G66" s="5" t="s">
        <v>2251</v>
      </c>
      <c r="H66" s="5" t="s">
        <v>2258</v>
      </c>
      <c r="I66" s="5" t="s">
        <v>2260</v>
      </c>
      <c r="J66" s="5" t="s">
        <v>2265</v>
      </c>
      <c r="K66" s="8">
        <v>1</v>
      </c>
      <c r="L66" s="9">
        <v>100</v>
      </c>
      <c r="M66" s="10">
        <v>0.05</v>
      </c>
      <c r="N66" s="9">
        <f t="shared" si="10"/>
        <v>100</v>
      </c>
      <c r="O66" s="9">
        <f t="shared" ref="O66:O129" si="12">IF(N66="","",N66*(1-IF(M66="",0,M66)))</f>
        <v>95</v>
      </c>
      <c r="P66" s="5" t="s">
        <v>2269</v>
      </c>
      <c r="Q66" s="5" t="s">
        <v>2271</v>
      </c>
      <c r="R66" s="5" t="s">
        <v>2279</v>
      </c>
      <c r="S66" s="5" t="s">
        <v>2287</v>
      </c>
      <c r="T66" s="5" t="s">
        <v>2288</v>
      </c>
      <c r="U66" s="8">
        <v>5</v>
      </c>
      <c r="V66" s="8">
        <v>100</v>
      </c>
      <c r="W66" s="19">
        <v>37</v>
      </c>
      <c r="X66" s="9">
        <v>48.18</v>
      </c>
      <c r="Y66" s="9">
        <f t="shared" ref="Y66:Y129" si="13">IF(OR(O66="",K66="",X66=""),"",O66-K66*X66)</f>
        <v>46.82</v>
      </c>
      <c r="Z66" s="5" t="s">
        <v>2293</v>
      </c>
      <c r="AA66" s="5" t="s">
        <v>2298</v>
      </c>
      <c r="AB66" s="9">
        <f t="shared" ref="AB66:AB129" si="14">N66</f>
        <v>100</v>
      </c>
      <c r="AC66" s="9">
        <f t="shared" ref="AC66:AC129" si="15">IF(N66="","",N66*IF(M66="",0,M66))</f>
        <v>5</v>
      </c>
      <c r="AD66" s="9">
        <f t="shared" ref="AD66:AD129" si="16">O66</f>
        <v>95</v>
      </c>
      <c r="AE66" s="9">
        <f t="shared" ref="AE66:AE129" si="17">IF(OR(K66="",X66=""),"",K66*X66)</f>
        <v>48.18</v>
      </c>
      <c r="AF66" s="9">
        <f t="shared" si="11"/>
        <v>46.82</v>
      </c>
      <c r="AG66" s="8">
        <f t="shared" ref="AG66:AG129" si="18">IF(B66="","",YEAR(B66))</f>
        <v>2024</v>
      </c>
      <c r="AH66" s="8">
        <f t="shared" ref="AH66:AH129" si="19">IF(B66="","",MONTH(B66))</f>
        <v>2</v>
      </c>
      <c r="AI66" s="5" t="str">
        <f t="shared" ref="AI66:AI129" si="20">IF(B66="","",TEXT(B66,"mmm"))</f>
        <v>Feb</v>
      </c>
      <c r="AJ66" s="5" t="str">
        <f t="shared" ref="AJ66:AJ129" si="21">IF(B66="","",TEXT(B66,"dddd"))</f>
        <v>Saturday</v>
      </c>
    </row>
    <row r="67" spans="1:36" x14ac:dyDescent="0.3">
      <c r="A67" s="5" t="s">
        <v>101</v>
      </c>
      <c r="B67" s="6">
        <v>45421</v>
      </c>
      <c r="C67" s="7">
        <v>0.47222222222222221</v>
      </c>
      <c r="D67" s="5" t="s">
        <v>1794</v>
      </c>
      <c r="E67" s="5" t="s">
        <v>1974</v>
      </c>
      <c r="F67" s="5" t="s">
        <v>2240</v>
      </c>
      <c r="G67" s="5" t="s">
        <v>2245</v>
      </c>
      <c r="H67" s="5" t="s">
        <v>2257</v>
      </c>
      <c r="I67" s="5" t="s">
        <v>2263</v>
      </c>
      <c r="J67" s="5" t="s">
        <v>2266</v>
      </c>
      <c r="K67" s="8">
        <v>3</v>
      </c>
      <c r="L67" s="9">
        <v>155</v>
      </c>
      <c r="M67" s="10">
        <v>0</v>
      </c>
      <c r="N67" s="9">
        <f t="shared" ref="N67:N130" si="22">IFERROR(K67*L67,"")</f>
        <v>465</v>
      </c>
      <c r="O67" s="9">
        <f t="shared" si="12"/>
        <v>465</v>
      </c>
      <c r="P67" s="5" t="s">
        <v>2269</v>
      </c>
      <c r="Q67" s="5" t="s">
        <v>2271</v>
      </c>
      <c r="R67" s="5" t="s">
        <v>2276</v>
      </c>
      <c r="S67" s="5" t="s">
        <v>2287</v>
      </c>
      <c r="T67" s="5" t="s">
        <v>2289</v>
      </c>
      <c r="U67" s="8">
        <v>3</v>
      </c>
      <c r="V67" s="8">
        <v>497</v>
      </c>
      <c r="W67" s="8">
        <v>53</v>
      </c>
      <c r="X67" s="9">
        <v>81.260000000000005</v>
      </c>
      <c r="Y67" s="9">
        <f t="shared" si="13"/>
        <v>221.21999999999997</v>
      </c>
      <c r="Z67" s="5" t="s">
        <v>2294</v>
      </c>
      <c r="AA67" s="5" t="s">
        <v>2298</v>
      </c>
      <c r="AB67" s="9">
        <f t="shared" si="14"/>
        <v>465</v>
      </c>
      <c r="AC67" s="9">
        <f t="shared" si="15"/>
        <v>0</v>
      </c>
      <c r="AD67" s="9">
        <f t="shared" si="16"/>
        <v>465</v>
      </c>
      <c r="AE67" s="9">
        <f t="shared" si="17"/>
        <v>243.78000000000003</v>
      </c>
      <c r="AF67" s="9">
        <f t="shared" ref="AF67:AF130" si="23">Y67</f>
        <v>221.21999999999997</v>
      </c>
      <c r="AG67" s="8">
        <f t="shared" si="18"/>
        <v>2024</v>
      </c>
      <c r="AH67" s="8">
        <f t="shared" si="19"/>
        <v>5</v>
      </c>
      <c r="AI67" s="5" t="str">
        <f t="shared" si="20"/>
        <v>May</v>
      </c>
      <c r="AJ67" s="5" t="str">
        <f t="shared" si="21"/>
        <v>Thursday</v>
      </c>
    </row>
    <row r="68" spans="1:36" x14ac:dyDescent="0.3">
      <c r="A68" s="5" t="s">
        <v>102</v>
      </c>
      <c r="B68" s="6">
        <v>45413</v>
      </c>
      <c r="C68" s="7">
        <v>0.39583333333333331</v>
      </c>
      <c r="D68" s="5" t="s">
        <v>1771</v>
      </c>
      <c r="E68" s="5" t="s">
        <v>1963</v>
      </c>
      <c r="F68" s="5" t="s">
        <v>2238</v>
      </c>
      <c r="G68" s="5" t="s">
        <v>2242</v>
      </c>
      <c r="H68" s="5" t="s">
        <v>2258</v>
      </c>
      <c r="I68" s="5" t="s">
        <v>2260</v>
      </c>
      <c r="J68" s="5" t="s">
        <v>2265</v>
      </c>
      <c r="K68" s="8">
        <v>1</v>
      </c>
      <c r="L68" s="9">
        <v>120</v>
      </c>
      <c r="M68" s="10">
        <v>0.15</v>
      </c>
      <c r="N68" s="9">
        <f t="shared" si="22"/>
        <v>120</v>
      </c>
      <c r="O68" s="9">
        <f t="shared" si="12"/>
        <v>102</v>
      </c>
      <c r="P68" s="5" t="s">
        <v>1761</v>
      </c>
      <c r="Q68" s="5" t="s">
        <v>2271</v>
      </c>
      <c r="R68" s="5" t="s">
        <v>2273</v>
      </c>
      <c r="S68" s="5" t="s">
        <v>2284</v>
      </c>
      <c r="T68" s="5" t="s">
        <v>2289</v>
      </c>
      <c r="U68" s="8">
        <v>4</v>
      </c>
      <c r="V68" s="19">
        <v>244</v>
      </c>
      <c r="W68" s="8">
        <v>17</v>
      </c>
      <c r="X68" s="9">
        <v>52.2</v>
      </c>
      <c r="Y68" s="9">
        <f t="shared" si="13"/>
        <v>49.8</v>
      </c>
      <c r="Z68" s="5" t="s">
        <v>1761</v>
      </c>
      <c r="AA68" s="5" t="s">
        <v>2297</v>
      </c>
      <c r="AB68" s="9">
        <f t="shared" si="14"/>
        <v>120</v>
      </c>
      <c r="AC68" s="9">
        <f t="shared" si="15"/>
        <v>18</v>
      </c>
      <c r="AD68" s="9">
        <f t="shared" si="16"/>
        <v>102</v>
      </c>
      <c r="AE68" s="9">
        <f t="shared" si="17"/>
        <v>52.2</v>
      </c>
      <c r="AF68" s="9">
        <f t="shared" si="23"/>
        <v>49.8</v>
      </c>
      <c r="AG68" s="8">
        <f t="shared" si="18"/>
        <v>2024</v>
      </c>
      <c r="AH68" s="8">
        <f t="shared" si="19"/>
        <v>5</v>
      </c>
      <c r="AI68" s="5" t="str">
        <f t="shared" si="20"/>
        <v>May</v>
      </c>
      <c r="AJ68" s="5" t="str">
        <f t="shared" si="21"/>
        <v>Wednesday</v>
      </c>
    </row>
    <row r="69" spans="1:36" x14ac:dyDescent="0.3">
      <c r="A69" s="5" t="s">
        <v>103</v>
      </c>
      <c r="B69" s="6">
        <v>45308</v>
      </c>
      <c r="C69" s="7">
        <v>0.83333333333333337</v>
      </c>
      <c r="D69" s="5" t="s">
        <v>1795</v>
      </c>
      <c r="E69" s="5" t="s">
        <v>1999</v>
      </c>
      <c r="F69" s="5" t="s">
        <v>2240</v>
      </c>
      <c r="G69" s="5" t="s">
        <v>2246</v>
      </c>
      <c r="H69" s="5" t="s">
        <v>2259</v>
      </c>
      <c r="I69" s="5" t="s">
        <v>2262</v>
      </c>
      <c r="J69" s="5" t="s">
        <v>1761</v>
      </c>
      <c r="K69" s="8">
        <v>1</v>
      </c>
      <c r="L69" s="9">
        <v>95</v>
      </c>
      <c r="M69" s="10">
        <v>0</v>
      </c>
      <c r="N69" s="9">
        <f t="shared" si="22"/>
        <v>95</v>
      </c>
      <c r="O69" s="9">
        <f t="shared" si="12"/>
        <v>95</v>
      </c>
      <c r="P69" s="5" t="s">
        <v>2267</v>
      </c>
      <c r="Q69" s="5" t="s">
        <v>2272</v>
      </c>
      <c r="R69" s="5" t="s">
        <v>2279</v>
      </c>
      <c r="S69" s="5" t="s">
        <v>2281</v>
      </c>
      <c r="T69" s="5" t="s">
        <v>2290</v>
      </c>
      <c r="U69" s="19">
        <v>3</v>
      </c>
      <c r="V69" s="8">
        <v>499</v>
      </c>
      <c r="W69" s="19">
        <v>35</v>
      </c>
      <c r="X69" s="9">
        <v>43.29</v>
      </c>
      <c r="Y69" s="9">
        <f t="shared" si="13"/>
        <v>51.71</v>
      </c>
      <c r="Z69" s="5" t="s">
        <v>2294</v>
      </c>
      <c r="AA69" s="5" t="s">
        <v>2298</v>
      </c>
      <c r="AB69" s="9">
        <f t="shared" si="14"/>
        <v>95</v>
      </c>
      <c r="AC69" s="9">
        <f t="shared" si="15"/>
        <v>0</v>
      </c>
      <c r="AD69" s="9">
        <f t="shared" si="16"/>
        <v>95</v>
      </c>
      <c r="AE69" s="9">
        <f t="shared" si="17"/>
        <v>43.29</v>
      </c>
      <c r="AF69" s="9">
        <f t="shared" si="23"/>
        <v>51.71</v>
      </c>
      <c r="AG69" s="8">
        <f t="shared" si="18"/>
        <v>2024</v>
      </c>
      <c r="AH69" s="8">
        <f t="shared" si="19"/>
        <v>1</v>
      </c>
      <c r="AI69" s="5" t="str">
        <f t="shared" si="20"/>
        <v>Jan</v>
      </c>
      <c r="AJ69" s="5" t="str">
        <f t="shared" si="21"/>
        <v>Wednesday</v>
      </c>
    </row>
    <row r="70" spans="1:36" x14ac:dyDescent="0.3">
      <c r="A70" s="5" t="s">
        <v>104</v>
      </c>
      <c r="B70" s="6">
        <v>45395</v>
      </c>
      <c r="C70" s="7">
        <v>0.30208333333333331</v>
      </c>
      <c r="D70" s="5" t="s">
        <v>1796</v>
      </c>
      <c r="E70" s="5" t="s">
        <v>2000</v>
      </c>
      <c r="F70" s="5" t="s">
        <v>2238</v>
      </c>
      <c r="G70" s="5" t="s">
        <v>2255</v>
      </c>
      <c r="H70" s="5" t="s">
        <v>2260</v>
      </c>
      <c r="I70" s="5" t="s">
        <v>2260</v>
      </c>
      <c r="J70" s="5" t="s">
        <v>2265</v>
      </c>
      <c r="K70" s="8">
        <v>2</v>
      </c>
      <c r="L70" s="9">
        <v>190</v>
      </c>
      <c r="M70" s="10">
        <v>0</v>
      </c>
      <c r="N70" s="9">
        <f t="shared" si="22"/>
        <v>380</v>
      </c>
      <c r="O70" s="9">
        <f t="shared" si="12"/>
        <v>380</v>
      </c>
      <c r="P70" s="5" t="s">
        <v>2269</v>
      </c>
      <c r="Q70" s="5" t="s">
        <v>2272</v>
      </c>
      <c r="R70" s="5" t="s">
        <v>2276</v>
      </c>
      <c r="S70" s="5" t="s">
        <v>2281</v>
      </c>
      <c r="T70" s="5" t="s">
        <v>2290</v>
      </c>
      <c r="U70" s="8">
        <v>2</v>
      </c>
      <c r="V70" s="8">
        <v>264</v>
      </c>
      <c r="W70" s="8">
        <v>36</v>
      </c>
      <c r="X70" s="9">
        <v>102.32</v>
      </c>
      <c r="Y70" s="9">
        <f t="shared" si="13"/>
        <v>175.36</v>
      </c>
      <c r="Z70" s="5" t="s">
        <v>2293</v>
      </c>
      <c r="AA70" s="5" t="s">
        <v>2296</v>
      </c>
      <c r="AB70" s="9">
        <f t="shared" si="14"/>
        <v>380</v>
      </c>
      <c r="AC70" s="9">
        <f t="shared" si="15"/>
        <v>0</v>
      </c>
      <c r="AD70" s="9">
        <f t="shared" si="16"/>
        <v>380</v>
      </c>
      <c r="AE70" s="9">
        <f t="shared" si="17"/>
        <v>204.64</v>
      </c>
      <c r="AF70" s="9">
        <f t="shared" si="23"/>
        <v>175.36</v>
      </c>
      <c r="AG70" s="8">
        <f t="shared" si="18"/>
        <v>2024</v>
      </c>
      <c r="AH70" s="8">
        <f t="shared" si="19"/>
        <v>4</v>
      </c>
      <c r="AI70" s="5" t="str">
        <f t="shared" si="20"/>
        <v>Apr</v>
      </c>
      <c r="AJ70" s="5" t="str">
        <f t="shared" si="21"/>
        <v>Saturday</v>
      </c>
    </row>
    <row r="71" spans="1:36" x14ac:dyDescent="0.3">
      <c r="A71" s="5" t="s">
        <v>105</v>
      </c>
      <c r="B71" s="6">
        <v>45439</v>
      </c>
      <c r="C71" s="7">
        <v>0.52083333333333337</v>
      </c>
      <c r="D71" s="5" t="s">
        <v>1797</v>
      </c>
      <c r="E71" s="5" t="s">
        <v>2001</v>
      </c>
      <c r="F71" s="5" t="s">
        <v>2239</v>
      </c>
      <c r="G71" s="5" t="s">
        <v>2256</v>
      </c>
      <c r="H71" s="5" t="s">
        <v>2261</v>
      </c>
      <c r="I71" s="5" t="s">
        <v>2260</v>
      </c>
      <c r="J71" s="5" t="s">
        <v>2264</v>
      </c>
      <c r="K71" s="8">
        <v>1</v>
      </c>
      <c r="L71" s="9">
        <v>200</v>
      </c>
      <c r="M71" s="10">
        <v>0</v>
      </c>
      <c r="N71" s="9">
        <f t="shared" si="22"/>
        <v>200</v>
      </c>
      <c r="O71" s="9">
        <f t="shared" si="12"/>
        <v>200</v>
      </c>
      <c r="P71" s="5" t="s">
        <v>2269</v>
      </c>
      <c r="Q71" s="5" t="s">
        <v>1761</v>
      </c>
      <c r="R71" s="5" t="s">
        <v>2273</v>
      </c>
      <c r="S71" s="5" t="s">
        <v>2281</v>
      </c>
      <c r="T71" s="5" t="s">
        <v>2288</v>
      </c>
      <c r="U71" s="8">
        <v>4</v>
      </c>
      <c r="V71" s="8">
        <v>144</v>
      </c>
      <c r="W71" s="8">
        <v>14</v>
      </c>
      <c r="X71" s="9">
        <v>103.06</v>
      </c>
      <c r="Y71" s="9">
        <f t="shared" si="13"/>
        <v>96.94</v>
      </c>
      <c r="Z71" s="5" t="s">
        <v>2293</v>
      </c>
      <c r="AA71" s="5" t="s">
        <v>2296</v>
      </c>
      <c r="AB71" s="9">
        <f t="shared" si="14"/>
        <v>200</v>
      </c>
      <c r="AC71" s="9">
        <f t="shared" si="15"/>
        <v>0</v>
      </c>
      <c r="AD71" s="9">
        <f t="shared" si="16"/>
        <v>200</v>
      </c>
      <c r="AE71" s="9">
        <f t="shared" si="17"/>
        <v>103.06</v>
      </c>
      <c r="AF71" s="9">
        <f t="shared" si="23"/>
        <v>96.94</v>
      </c>
      <c r="AG71" s="8">
        <f t="shared" si="18"/>
        <v>2024</v>
      </c>
      <c r="AH71" s="8">
        <f t="shared" si="19"/>
        <v>5</v>
      </c>
      <c r="AI71" s="5" t="str">
        <f t="shared" si="20"/>
        <v>May</v>
      </c>
      <c r="AJ71" s="5" t="str">
        <f t="shared" si="21"/>
        <v>Monday</v>
      </c>
    </row>
    <row r="72" spans="1:36" x14ac:dyDescent="0.3">
      <c r="A72" s="5" t="s">
        <v>106</v>
      </c>
      <c r="B72" s="6">
        <v>45597</v>
      </c>
      <c r="C72" s="7">
        <v>0.66666666666666663</v>
      </c>
      <c r="D72" s="5" t="s">
        <v>1798</v>
      </c>
      <c r="E72" s="5" t="s">
        <v>2002</v>
      </c>
      <c r="F72" s="5" t="s">
        <v>2240</v>
      </c>
      <c r="G72" s="5" t="s">
        <v>2245</v>
      </c>
      <c r="H72" s="5" t="s">
        <v>2257</v>
      </c>
      <c r="I72" s="5" t="s">
        <v>2263</v>
      </c>
      <c r="J72" s="5" t="s">
        <v>2266</v>
      </c>
      <c r="K72" s="8">
        <v>1</v>
      </c>
      <c r="L72" s="9">
        <v>160</v>
      </c>
      <c r="M72" s="10">
        <v>0.1</v>
      </c>
      <c r="N72" s="9">
        <f t="shared" si="22"/>
        <v>160</v>
      </c>
      <c r="O72" s="9">
        <f t="shared" si="12"/>
        <v>144</v>
      </c>
      <c r="P72" s="5" t="s">
        <v>2269</v>
      </c>
      <c r="Q72" s="5" t="s">
        <v>2272</v>
      </c>
      <c r="R72" s="5" t="s">
        <v>2277</v>
      </c>
      <c r="S72" s="5" t="s">
        <v>2282</v>
      </c>
      <c r="T72" s="5" t="s">
        <v>2288</v>
      </c>
      <c r="U72" s="8">
        <v>2</v>
      </c>
      <c r="V72" s="8">
        <v>111</v>
      </c>
      <c r="W72" s="8">
        <v>12</v>
      </c>
      <c r="X72" s="9">
        <v>71.25</v>
      </c>
      <c r="Y72" s="9">
        <f t="shared" si="13"/>
        <v>72.75</v>
      </c>
      <c r="Z72" s="5" t="s">
        <v>2293</v>
      </c>
      <c r="AA72" s="5" t="s">
        <v>2296</v>
      </c>
      <c r="AB72" s="9">
        <f t="shared" si="14"/>
        <v>160</v>
      </c>
      <c r="AC72" s="9">
        <f t="shared" si="15"/>
        <v>16</v>
      </c>
      <c r="AD72" s="9">
        <f t="shared" si="16"/>
        <v>144</v>
      </c>
      <c r="AE72" s="9">
        <f t="shared" si="17"/>
        <v>71.25</v>
      </c>
      <c r="AF72" s="9">
        <f t="shared" si="23"/>
        <v>72.75</v>
      </c>
      <c r="AG72" s="8">
        <f t="shared" si="18"/>
        <v>2024</v>
      </c>
      <c r="AH72" s="8">
        <f t="shared" si="19"/>
        <v>11</v>
      </c>
      <c r="AI72" s="5" t="str">
        <f t="shared" si="20"/>
        <v>Nov</v>
      </c>
      <c r="AJ72" s="5" t="str">
        <f t="shared" si="21"/>
        <v>Friday</v>
      </c>
    </row>
    <row r="73" spans="1:36" x14ac:dyDescent="0.3">
      <c r="A73" s="5" t="s">
        <v>107</v>
      </c>
      <c r="B73" s="6">
        <v>45438</v>
      </c>
      <c r="C73" s="7">
        <v>0.51041666666666663</v>
      </c>
      <c r="D73" s="5" t="s">
        <v>1799</v>
      </c>
      <c r="E73" s="5" t="s">
        <v>2003</v>
      </c>
      <c r="F73" s="5" t="s">
        <v>2240</v>
      </c>
      <c r="G73" s="5" t="s">
        <v>2242</v>
      </c>
      <c r="H73" s="5" t="s">
        <v>2258</v>
      </c>
      <c r="I73" s="5" t="s">
        <v>2260</v>
      </c>
      <c r="J73" s="5" t="s">
        <v>2265</v>
      </c>
      <c r="K73" s="8">
        <v>1</v>
      </c>
      <c r="L73" s="9">
        <v>120</v>
      </c>
      <c r="M73" s="10">
        <v>0</v>
      </c>
      <c r="N73" s="9">
        <f t="shared" si="22"/>
        <v>120</v>
      </c>
      <c r="O73" s="9">
        <f t="shared" si="12"/>
        <v>120</v>
      </c>
      <c r="P73" s="5" t="s">
        <v>2269</v>
      </c>
      <c r="Q73" s="5" t="s">
        <v>2270</v>
      </c>
      <c r="R73" s="5" t="s">
        <v>2274</v>
      </c>
      <c r="S73" s="5" t="s">
        <v>2286</v>
      </c>
      <c r="T73" s="5" t="s">
        <v>2290</v>
      </c>
      <c r="U73" s="8">
        <v>2</v>
      </c>
      <c r="V73" s="8">
        <v>216</v>
      </c>
      <c r="W73" s="19">
        <v>34</v>
      </c>
      <c r="X73" s="9">
        <v>67.81</v>
      </c>
      <c r="Y73" s="9">
        <f t="shared" si="13"/>
        <v>52.19</v>
      </c>
      <c r="Z73" s="5" t="s">
        <v>2293</v>
      </c>
      <c r="AA73" s="5" t="s">
        <v>1761</v>
      </c>
      <c r="AB73" s="9">
        <f t="shared" si="14"/>
        <v>120</v>
      </c>
      <c r="AC73" s="9">
        <f t="shared" si="15"/>
        <v>0</v>
      </c>
      <c r="AD73" s="9">
        <f t="shared" si="16"/>
        <v>120</v>
      </c>
      <c r="AE73" s="9">
        <f t="shared" si="17"/>
        <v>67.81</v>
      </c>
      <c r="AF73" s="9">
        <f t="shared" si="23"/>
        <v>52.19</v>
      </c>
      <c r="AG73" s="8">
        <f t="shared" si="18"/>
        <v>2024</v>
      </c>
      <c r="AH73" s="8">
        <f t="shared" si="19"/>
        <v>5</v>
      </c>
      <c r="AI73" s="5" t="str">
        <f t="shared" si="20"/>
        <v>May</v>
      </c>
      <c r="AJ73" s="5" t="str">
        <f t="shared" si="21"/>
        <v>Sunday</v>
      </c>
    </row>
    <row r="74" spans="1:36" x14ac:dyDescent="0.3">
      <c r="A74" s="5" t="s">
        <v>108</v>
      </c>
      <c r="B74" s="6">
        <v>45308</v>
      </c>
      <c r="C74" s="7">
        <v>0.46875</v>
      </c>
      <c r="D74" s="5" t="s">
        <v>1800</v>
      </c>
      <c r="E74" s="5" t="s">
        <v>2004</v>
      </c>
      <c r="F74" s="5" t="s">
        <v>2239</v>
      </c>
      <c r="G74" s="5" t="s">
        <v>2256</v>
      </c>
      <c r="H74" s="5" t="s">
        <v>2261</v>
      </c>
      <c r="I74" s="5" t="s">
        <v>2260</v>
      </c>
      <c r="J74" s="5" t="s">
        <v>1761</v>
      </c>
      <c r="K74" s="8">
        <v>1</v>
      </c>
      <c r="L74" s="9">
        <v>190</v>
      </c>
      <c r="M74" s="10">
        <v>0.1</v>
      </c>
      <c r="N74" s="9">
        <f t="shared" si="22"/>
        <v>190</v>
      </c>
      <c r="O74" s="9">
        <f t="shared" si="12"/>
        <v>171</v>
      </c>
      <c r="P74" s="5" t="s">
        <v>2268</v>
      </c>
      <c r="Q74" s="5" t="s">
        <v>1761</v>
      </c>
      <c r="R74" s="5" t="s">
        <v>2276</v>
      </c>
      <c r="S74" s="5" t="s">
        <v>2281</v>
      </c>
      <c r="T74" s="5" t="s">
        <v>2288</v>
      </c>
      <c r="U74" s="8">
        <v>5</v>
      </c>
      <c r="V74" s="8">
        <v>166</v>
      </c>
      <c r="W74" s="8">
        <v>21</v>
      </c>
      <c r="X74" s="9">
        <v>84.73</v>
      </c>
      <c r="Y74" s="9">
        <f t="shared" si="13"/>
        <v>86.27</v>
      </c>
      <c r="Z74" s="5" t="s">
        <v>2291</v>
      </c>
      <c r="AA74" s="5" t="s">
        <v>2298</v>
      </c>
      <c r="AB74" s="9">
        <f t="shared" si="14"/>
        <v>190</v>
      </c>
      <c r="AC74" s="9">
        <f t="shared" si="15"/>
        <v>19</v>
      </c>
      <c r="AD74" s="9">
        <f t="shared" si="16"/>
        <v>171</v>
      </c>
      <c r="AE74" s="9">
        <f t="shared" si="17"/>
        <v>84.73</v>
      </c>
      <c r="AF74" s="9">
        <f t="shared" si="23"/>
        <v>86.27</v>
      </c>
      <c r="AG74" s="8">
        <f t="shared" si="18"/>
        <v>2024</v>
      </c>
      <c r="AH74" s="8">
        <f t="shared" si="19"/>
        <v>1</v>
      </c>
      <c r="AI74" s="5" t="str">
        <f t="shared" si="20"/>
        <v>Jan</v>
      </c>
      <c r="AJ74" s="5" t="str">
        <f t="shared" si="21"/>
        <v>Wednesday</v>
      </c>
    </row>
    <row r="75" spans="1:36" x14ac:dyDescent="0.3">
      <c r="A75" s="5" t="s">
        <v>109</v>
      </c>
      <c r="B75" s="6">
        <v>45504</v>
      </c>
      <c r="C75" s="7">
        <v>0.64583333333333337</v>
      </c>
      <c r="D75" s="5" t="s">
        <v>1801</v>
      </c>
      <c r="E75" s="5" t="s">
        <v>2005</v>
      </c>
      <c r="F75" s="5" t="s">
        <v>1761</v>
      </c>
      <c r="G75" s="5" t="s">
        <v>2252</v>
      </c>
      <c r="H75" s="5" t="s">
        <v>2257</v>
      </c>
      <c r="I75" s="5" t="s">
        <v>2262</v>
      </c>
      <c r="J75" s="5" t="s">
        <v>2265</v>
      </c>
      <c r="K75" s="8">
        <v>3</v>
      </c>
      <c r="L75" s="9">
        <v>90</v>
      </c>
      <c r="M75" s="10">
        <v>0.1</v>
      </c>
      <c r="N75" s="9">
        <f t="shared" si="22"/>
        <v>270</v>
      </c>
      <c r="O75" s="9">
        <f t="shared" si="12"/>
        <v>243</v>
      </c>
      <c r="P75" s="5" t="s">
        <v>2268</v>
      </c>
      <c r="Q75" s="5" t="s">
        <v>1761</v>
      </c>
      <c r="R75" s="5" t="s">
        <v>2275</v>
      </c>
      <c r="S75" s="5" t="s">
        <v>2285</v>
      </c>
      <c r="T75" s="5" t="s">
        <v>2288</v>
      </c>
      <c r="U75" s="8">
        <v>5</v>
      </c>
      <c r="V75" s="8">
        <v>25</v>
      </c>
      <c r="W75" s="8">
        <v>42</v>
      </c>
      <c r="X75" s="9">
        <v>47.31</v>
      </c>
      <c r="Y75" s="9">
        <f t="shared" si="13"/>
        <v>101.07</v>
      </c>
      <c r="Z75" s="5" t="s">
        <v>1761</v>
      </c>
      <c r="AA75" s="5" t="s">
        <v>2296</v>
      </c>
      <c r="AB75" s="9">
        <f t="shared" si="14"/>
        <v>270</v>
      </c>
      <c r="AC75" s="9">
        <f t="shared" si="15"/>
        <v>27</v>
      </c>
      <c r="AD75" s="9">
        <f t="shared" si="16"/>
        <v>243</v>
      </c>
      <c r="AE75" s="9">
        <f t="shared" si="17"/>
        <v>141.93</v>
      </c>
      <c r="AF75" s="9">
        <f t="shared" si="23"/>
        <v>101.07</v>
      </c>
      <c r="AG75" s="8">
        <f t="shared" si="18"/>
        <v>2024</v>
      </c>
      <c r="AH75" s="8">
        <f t="shared" si="19"/>
        <v>7</v>
      </c>
      <c r="AI75" s="5" t="str">
        <f t="shared" si="20"/>
        <v>Jul</v>
      </c>
      <c r="AJ75" s="5" t="str">
        <f t="shared" si="21"/>
        <v>Wednesday</v>
      </c>
    </row>
    <row r="76" spans="1:36" x14ac:dyDescent="0.3">
      <c r="A76" s="5" t="s">
        <v>110</v>
      </c>
      <c r="B76" s="6">
        <v>45372</v>
      </c>
      <c r="C76" s="7">
        <v>0.67361111111111116</v>
      </c>
      <c r="D76" s="5" t="s">
        <v>1802</v>
      </c>
      <c r="E76" s="5" t="s">
        <v>1973</v>
      </c>
      <c r="F76" s="5" t="s">
        <v>2238</v>
      </c>
      <c r="G76" s="5" t="s">
        <v>2253</v>
      </c>
      <c r="H76" s="5" t="s">
        <v>2258</v>
      </c>
      <c r="I76" s="5" t="s">
        <v>2260</v>
      </c>
      <c r="J76" s="5" t="s">
        <v>2265</v>
      </c>
      <c r="K76" s="8">
        <v>1</v>
      </c>
      <c r="L76" s="9">
        <v>95</v>
      </c>
      <c r="M76" s="10">
        <v>0.05</v>
      </c>
      <c r="N76" s="9">
        <f t="shared" si="22"/>
        <v>95</v>
      </c>
      <c r="O76" s="9">
        <f t="shared" si="12"/>
        <v>90.25</v>
      </c>
      <c r="P76" s="5" t="s">
        <v>1761</v>
      </c>
      <c r="Q76" s="5" t="s">
        <v>2270</v>
      </c>
      <c r="R76" s="5" t="s">
        <v>2276</v>
      </c>
      <c r="S76" s="5" t="s">
        <v>2285</v>
      </c>
      <c r="T76" s="5" t="s">
        <v>2290</v>
      </c>
      <c r="U76" s="8">
        <v>2</v>
      </c>
      <c r="V76" s="8">
        <v>333</v>
      </c>
      <c r="W76" s="19">
        <v>34</v>
      </c>
      <c r="X76" s="9">
        <v>44.76</v>
      </c>
      <c r="Y76" s="9">
        <f t="shared" si="13"/>
        <v>45.49</v>
      </c>
      <c r="Z76" s="5" t="s">
        <v>2294</v>
      </c>
      <c r="AA76" s="5" t="s">
        <v>2298</v>
      </c>
      <c r="AB76" s="9">
        <f t="shared" si="14"/>
        <v>95</v>
      </c>
      <c r="AC76" s="9">
        <f t="shared" si="15"/>
        <v>4.75</v>
      </c>
      <c r="AD76" s="9">
        <f t="shared" si="16"/>
        <v>90.25</v>
      </c>
      <c r="AE76" s="9">
        <f t="shared" si="17"/>
        <v>44.76</v>
      </c>
      <c r="AF76" s="9">
        <f t="shared" si="23"/>
        <v>45.49</v>
      </c>
      <c r="AG76" s="8">
        <f t="shared" si="18"/>
        <v>2024</v>
      </c>
      <c r="AH76" s="8">
        <f t="shared" si="19"/>
        <v>3</v>
      </c>
      <c r="AI76" s="5" t="str">
        <f t="shared" si="20"/>
        <v>Mar</v>
      </c>
      <c r="AJ76" s="5" t="str">
        <f t="shared" si="21"/>
        <v>Thursday</v>
      </c>
    </row>
    <row r="77" spans="1:36" x14ac:dyDescent="0.3">
      <c r="A77" s="5" t="s">
        <v>111</v>
      </c>
      <c r="B77" s="6">
        <v>45499</v>
      </c>
      <c r="C77" s="7">
        <v>0.78125</v>
      </c>
      <c r="D77" s="5" t="s">
        <v>1803</v>
      </c>
      <c r="E77" s="5" t="s">
        <v>2006</v>
      </c>
      <c r="F77" s="5" t="s">
        <v>2239</v>
      </c>
      <c r="G77" s="5" t="s">
        <v>2243</v>
      </c>
      <c r="H77" s="5" t="s">
        <v>2258</v>
      </c>
      <c r="I77" s="5" t="s">
        <v>2260</v>
      </c>
      <c r="J77" s="5" t="s">
        <v>2265</v>
      </c>
      <c r="K77" s="8">
        <v>1</v>
      </c>
      <c r="L77" s="9">
        <v>70</v>
      </c>
      <c r="M77" s="10">
        <v>0.05</v>
      </c>
      <c r="N77" s="9">
        <f t="shared" si="22"/>
        <v>70</v>
      </c>
      <c r="O77" s="9">
        <f t="shared" si="12"/>
        <v>66.5</v>
      </c>
      <c r="P77" s="5" t="s">
        <v>2268</v>
      </c>
      <c r="Q77" s="5" t="s">
        <v>2272</v>
      </c>
      <c r="R77" s="5" t="s">
        <v>2275</v>
      </c>
      <c r="S77" s="5" t="s">
        <v>2286</v>
      </c>
      <c r="T77" s="5" t="s">
        <v>2288</v>
      </c>
      <c r="U77" s="8">
        <v>5</v>
      </c>
      <c r="V77" s="8">
        <v>75</v>
      </c>
      <c r="W77" s="8">
        <v>21</v>
      </c>
      <c r="X77" s="9">
        <v>27.34</v>
      </c>
      <c r="Y77" s="9">
        <f t="shared" si="13"/>
        <v>39.159999999999997</v>
      </c>
      <c r="Z77" s="5" t="s">
        <v>2293</v>
      </c>
      <c r="AA77" s="5" t="s">
        <v>1761</v>
      </c>
      <c r="AB77" s="9">
        <f t="shared" si="14"/>
        <v>70</v>
      </c>
      <c r="AC77" s="9">
        <f t="shared" si="15"/>
        <v>3.5</v>
      </c>
      <c r="AD77" s="9">
        <f t="shared" si="16"/>
        <v>66.5</v>
      </c>
      <c r="AE77" s="9">
        <f t="shared" si="17"/>
        <v>27.34</v>
      </c>
      <c r="AF77" s="9">
        <f t="shared" si="23"/>
        <v>39.159999999999997</v>
      </c>
      <c r="AG77" s="8">
        <f t="shared" si="18"/>
        <v>2024</v>
      </c>
      <c r="AH77" s="8">
        <f t="shared" si="19"/>
        <v>7</v>
      </c>
      <c r="AI77" s="5" t="str">
        <f t="shared" si="20"/>
        <v>Jul</v>
      </c>
      <c r="AJ77" s="5" t="str">
        <f t="shared" si="21"/>
        <v>Friday</v>
      </c>
    </row>
    <row r="78" spans="1:36" x14ac:dyDescent="0.3">
      <c r="A78" s="5" t="s">
        <v>112</v>
      </c>
      <c r="B78" s="6">
        <v>45401</v>
      </c>
      <c r="C78" s="7">
        <v>0.53472222222222221</v>
      </c>
      <c r="D78" s="5" t="s">
        <v>1804</v>
      </c>
      <c r="E78" s="5" t="s">
        <v>2007</v>
      </c>
      <c r="F78" s="5" t="s">
        <v>2240</v>
      </c>
      <c r="G78" s="5" t="s">
        <v>2243</v>
      </c>
      <c r="H78" s="5" t="s">
        <v>2258</v>
      </c>
      <c r="I78" s="5" t="s">
        <v>2260</v>
      </c>
      <c r="J78" s="5" t="s">
        <v>2266</v>
      </c>
      <c r="K78" s="8">
        <v>1</v>
      </c>
      <c r="L78" s="9">
        <v>75</v>
      </c>
      <c r="M78" s="10">
        <v>0.15</v>
      </c>
      <c r="N78" s="9">
        <f t="shared" si="22"/>
        <v>75</v>
      </c>
      <c r="O78" s="9">
        <f t="shared" si="12"/>
        <v>63.75</v>
      </c>
      <c r="P78" s="5" t="s">
        <v>2269</v>
      </c>
      <c r="Q78" s="5" t="s">
        <v>2272</v>
      </c>
      <c r="R78" s="5" t="s">
        <v>2278</v>
      </c>
      <c r="S78" s="5" t="s">
        <v>2284</v>
      </c>
      <c r="T78" s="5" t="s">
        <v>2288</v>
      </c>
      <c r="U78" s="8">
        <v>5</v>
      </c>
      <c r="V78" s="8">
        <v>144</v>
      </c>
      <c r="W78" s="8">
        <v>60</v>
      </c>
      <c r="X78" s="9">
        <v>24.64</v>
      </c>
      <c r="Y78" s="9">
        <f t="shared" si="13"/>
        <v>39.11</v>
      </c>
      <c r="Z78" s="5" t="s">
        <v>2294</v>
      </c>
      <c r="AA78" s="5" t="s">
        <v>2298</v>
      </c>
      <c r="AB78" s="9">
        <f t="shared" si="14"/>
        <v>75</v>
      </c>
      <c r="AC78" s="9">
        <f t="shared" si="15"/>
        <v>11.25</v>
      </c>
      <c r="AD78" s="9">
        <f t="shared" si="16"/>
        <v>63.75</v>
      </c>
      <c r="AE78" s="9">
        <f t="shared" si="17"/>
        <v>24.64</v>
      </c>
      <c r="AF78" s="9">
        <f t="shared" si="23"/>
        <v>39.11</v>
      </c>
      <c r="AG78" s="8">
        <f t="shared" si="18"/>
        <v>2024</v>
      </c>
      <c r="AH78" s="8">
        <f t="shared" si="19"/>
        <v>4</v>
      </c>
      <c r="AI78" s="5" t="str">
        <f t="shared" si="20"/>
        <v>Apr</v>
      </c>
      <c r="AJ78" s="5" t="str">
        <f t="shared" si="21"/>
        <v>Friday</v>
      </c>
    </row>
    <row r="79" spans="1:36" x14ac:dyDescent="0.3">
      <c r="A79" s="5" t="s">
        <v>113</v>
      </c>
      <c r="B79" s="6">
        <v>45569</v>
      </c>
      <c r="C79" s="7">
        <v>0.84722222222222221</v>
      </c>
      <c r="D79" s="5" t="s">
        <v>1805</v>
      </c>
      <c r="E79" s="5" t="s">
        <v>1988</v>
      </c>
      <c r="F79" s="5" t="s">
        <v>2238</v>
      </c>
      <c r="G79" s="5" t="s">
        <v>2252</v>
      </c>
      <c r="H79" s="5" t="s">
        <v>2257</v>
      </c>
      <c r="I79" s="5" t="s">
        <v>2262</v>
      </c>
      <c r="J79" s="5" t="s">
        <v>2264</v>
      </c>
      <c r="K79" s="8">
        <v>1</v>
      </c>
      <c r="L79" s="9">
        <v>100</v>
      </c>
      <c r="M79" s="10">
        <v>0.05</v>
      </c>
      <c r="N79" s="9">
        <f t="shared" si="22"/>
        <v>100</v>
      </c>
      <c r="O79" s="9">
        <f t="shared" si="12"/>
        <v>95</v>
      </c>
      <c r="P79" s="5" t="s">
        <v>1761</v>
      </c>
      <c r="Q79" s="5" t="s">
        <v>2270</v>
      </c>
      <c r="R79" s="5" t="s">
        <v>2276</v>
      </c>
      <c r="S79" s="5" t="s">
        <v>2286</v>
      </c>
      <c r="T79" s="5" t="s">
        <v>2288</v>
      </c>
      <c r="U79" s="8">
        <v>3</v>
      </c>
      <c r="V79" s="8">
        <v>166</v>
      </c>
      <c r="W79" s="8">
        <v>55</v>
      </c>
      <c r="X79" s="9">
        <v>51.54</v>
      </c>
      <c r="Y79" s="9">
        <f t="shared" si="13"/>
        <v>43.46</v>
      </c>
      <c r="Z79" s="5" t="s">
        <v>1761</v>
      </c>
      <c r="AA79" s="5" t="s">
        <v>2297</v>
      </c>
      <c r="AB79" s="9">
        <f t="shared" si="14"/>
        <v>100</v>
      </c>
      <c r="AC79" s="9">
        <f t="shared" si="15"/>
        <v>5</v>
      </c>
      <c r="AD79" s="9">
        <f t="shared" si="16"/>
        <v>95</v>
      </c>
      <c r="AE79" s="9">
        <f t="shared" si="17"/>
        <v>51.54</v>
      </c>
      <c r="AF79" s="9">
        <f t="shared" si="23"/>
        <v>43.46</v>
      </c>
      <c r="AG79" s="8">
        <f t="shared" si="18"/>
        <v>2024</v>
      </c>
      <c r="AH79" s="8">
        <f t="shared" si="19"/>
        <v>10</v>
      </c>
      <c r="AI79" s="5" t="str">
        <f t="shared" si="20"/>
        <v>Oct</v>
      </c>
      <c r="AJ79" s="5" t="str">
        <f t="shared" si="21"/>
        <v>Friday</v>
      </c>
    </row>
    <row r="80" spans="1:36" x14ac:dyDescent="0.3">
      <c r="A80" s="5" t="s">
        <v>114</v>
      </c>
      <c r="B80" s="6">
        <v>45499</v>
      </c>
      <c r="C80" s="7">
        <v>0.54861111111111116</v>
      </c>
      <c r="D80" s="5" t="s">
        <v>1806</v>
      </c>
      <c r="E80" s="5" t="s">
        <v>1950</v>
      </c>
      <c r="F80" s="5" t="s">
        <v>2240</v>
      </c>
      <c r="G80" s="5" t="s">
        <v>2246</v>
      </c>
      <c r="H80" s="5" t="s">
        <v>2259</v>
      </c>
      <c r="I80" s="5" t="s">
        <v>2262</v>
      </c>
      <c r="J80" s="5" t="s">
        <v>2264</v>
      </c>
      <c r="K80" s="8">
        <v>1</v>
      </c>
      <c r="L80" s="9">
        <v>95</v>
      </c>
      <c r="M80" s="10">
        <v>0.15</v>
      </c>
      <c r="N80" s="9">
        <f t="shared" si="22"/>
        <v>95</v>
      </c>
      <c r="O80" s="9">
        <f t="shared" si="12"/>
        <v>80.75</v>
      </c>
      <c r="P80" s="5" t="s">
        <v>2269</v>
      </c>
      <c r="Q80" s="5" t="s">
        <v>2271</v>
      </c>
      <c r="R80" s="5" t="s">
        <v>2277</v>
      </c>
      <c r="S80" s="5" t="s">
        <v>2283</v>
      </c>
      <c r="T80" s="5" t="s">
        <v>2288</v>
      </c>
      <c r="U80" s="8">
        <v>3</v>
      </c>
      <c r="V80" s="8">
        <v>123</v>
      </c>
      <c r="W80" s="8">
        <v>22</v>
      </c>
      <c r="X80" s="9">
        <v>49.66</v>
      </c>
      <c r="Y80" s="9">
        <f t="shared" si="13"/>
        <v>31.090000000000003</v>
      </c>
      <c r="Z80" s="5" t="s">
        <v>2293</v>
      </c>
      <c r="AA80" s="5" t="s">
        <v>2296</v>
      </c>
      <c r="AB80" s="9">
        <f t="shared" si="14"/>
        <v>95</v>
      </c>
      <c r="AC80" s="9">
        <f t="shared" si="15"/>
        <v>14.25</v>
      </c>
      <c r="AD80" s="9">
        <f t="shared" si="16"/>
        <v>80.75</v>
      </c>
      <c r="AE80" s="9">
        <f t="shared" si="17"/>
        <v>49.66</v>
      </c>
      <c r="AF80" s="9">
        <f t="shared" si="23"/>
        <v>31.090000000000003</v>
      </c>
      <c r="AG80" s="8">
        <f t="shared" si="18"/>
        <v>2024</v>
      </c>
      <c r="AH80" s="8">
        <f t="shared" si="19"/>
        <v>7</v>
      </c>
      <c r="AI80" s="5" t="str">
        <f t="shared" si="20"/>
        <v>Jul</v>
      </c>
      <c r="AJ80" s="5" t="str">
        <f t="shared" si="21"/>
        <v>Friday</v>
      </c>
    </row>
    <row r="81" spans="1:36" x14ac:dyDescent="0.3">
      <c r="A81" s="5" t="s">
        <v>115</v>
      </c>
      <c r="B81" s="6">
        <v>45576</v>
      </c>
      <c r="C81" s="7">
        <v>0.5</v>
      </c>
      <c r="D81" s="5" t="s">
        <v>1807</v>
      </c>
      <c r="E81" s="5" t="s">
        <v>1761</v>
      </c>
      <c r="F81" s="5" t="s">
        <v>1761</v>
      </c>
      <c r="G81" s="5" t="s">
        <v>2247</v>
      </c>
      <c r="H81" s="5" t="s">
        <v>2257</v>
      </c>
      <c r="I81" s="5" t="s">
        <v>2262</v>
      </c>
      <c r="J81" s="5" t="s">
        <v>2266</v>
      </c>
      <c r="K81" s="8">
        <v>5</v>
      </c>
      <c r="L81" s="9">
        <v>100</v>
      </c>
      <c r="M81" s="10">
        <v>0.05</v>
      </c>
      <c r="N81" s="9">
        <f t="shared" si="22"/>
        <v>500</v>
      </c>
      <c r="O81" s="9">
        <f t="shared" si="12"/>
        <v>475</v>
      </c>
      <c r="P81" s="5" t="s">
        <v>2268</v>
      </c>
      <c r="Q81" s="5" t="s">
        <v>2270</v>
      </c>
      <c r="R81" s="5" t="s">
        <v>2276</v>
      </c>
      <c r="S81" s="5" t="s">
        <v>2281</v>
      </c>
      <c r="T81" s="5" t="s">
        <v>2289</v>
      </c>
      <c r="U81" s="8">
        <v>5</v>
      </c>
      <c r="V81" s="8">
        <v>237</v>
      </c>
      <c r="W81" s="19">
        <v>34</v>
      </c>
      <c r="X81" s="9">
        <v>40.9</v>
      </c>
      <c r="Y81" s="9">
        <f t="shared" si="13"/>
        <v>270.5</v>
      </c>
      <c r="Z81" s="5" t="s">
        <v>2292</v>
      </c>
      <c r="AA81" s="5" t="s">
        <v>2296</v>
      </c>
      <c r="AB81" s="9">
        <f t="shared" si="14"/>
        <v>500</v>
      </c>
      <c r="AC81" s="9">
        <f t="shared" si="15"/>
        <v>25</v>
      </c>
      <c r="AD81" s="9">
        <f t="shared" si="16"/>
        <v>475</v>
      </c>
      <c r="AE81" s="9">
        <f t="shared" si="17"/>
        <v>204.5</v>
      </c>
      <c r="AF81" s="9">
        <f t="shared" si="23"/>
        <v>270.5</v>
      </c>
      <c r="AG81" s="8">
        <f t="shared" si="18"/>
        <v>2024</v>
      </c>
      <c r="AH81" s="8">
        <f t="shared" si="19"/>
        <v>10</v>
      </c>
      <c r="AI81" s="5" t="str">
        <f t="shared" si="20"/>
        <v>Oct</v>
      </c>
      <c r="AJ81" s="5" t="str">
        <f t="shared" si="21"/>
        <v>Friday</v>
      </c>
    </row>
    <row r="82" spans="1:36" x14ac:dyDescent="0.3">
      <c r="A82" s="5" t="s">
        <v>116</v>
      </c>
      <c r="B82" s="6">
        <v>45589</v>
      </c>
      <c r="C82" s="7">
        <v>0.79861111111111116</v>
      </c>
      <c r="D82" s="5" t="s">
        <v>1780</v>
      </c>
      <c r="E82" s="5" t="s">
        <v>2008</v>
      </c>
      <c r="F82" s="5" t="s">
        <v>2240</v>
      </c>
      <c r="G82" s="5" t="s">
        <v>2249</v>
      </c>
      <c r="H82" s="5" t="s">
        <v>2257</v>
      </c>
      <c r="I82" s="5" t="s">
        <v>2263</v>
      </c>
      <c r="J82" s="5" t="s">
        <v>2266</v>
      </c>
      <c r="K82" s="8">
        <v>1</v>
      </c>
      <c r="L82" s="9">
        <v>160</v>
      </c>
      <c r="M82" s="10">
        <v>0.05</v>
      </c>
      <c r="N82" s="9">
        <f t="shared" si="22"/>
        <v>160</v>
      </c>
      <c r="O82" s="9">
        <f t="shared" si="12"/>
        <v>152</v>
      </c>
      <c r="P82" s="5" t="s">
        <v>2269</v>
      </c>
      <c r="Q82" s="5" t="s">
        <v>2270</v>
      </c>
      <c r="R82" s="5" t="s">
        <v>2279</v>
      </c>
      <c r="S82" s="5" t="s">
        <v>2285</v>
      </c>
      <c r="T82" s="5" t="s">
        <v>2288</v>
      </c>
      <c r="U82" s="8">
        <v>5</v>
      </c>
      <c r="V82" s="8">
        <v>436</v>
      </c>
      <c r="W82" s="8">
        <v>17</v>
      </c>
      <c r="X82" s="9">
        <v>75.8</v>
      </c>
      <c r="Y82" s="9">
        <f t="shared" si="13"/>
        <v>76.2</v>
      </c>
      <c r="Z82" s="5" t="s">
        <v>2291</v>
      </c>
      <c r="AA82" s="5" t="s">
        <v>1761</v>
      </c>
      <c r="AB82" s="9">
        <f t="shared" si="14"/>
        <v>160</v>
      </c>
      <c r="AC82" s="9">
        <f t="shared" si="15"/>
        <v>8</v>
      </c>
      <c r="AD82" s="9">
        <f t="shared" si="16"/>
        <v>152</v>
      </c>
      <c r="AE82" s="9">
        <f t="shared" si="17"/>
        <v>75.8</v>
      </c>
      <c r="AF82" s="9">
        <f t="shared" si="23"/>
        <v>76.2</v>
      </c>
      <c r="AG82" s="8">
        <f t="shared" si="18"/>
        <v>2024</v>
      </c>
      <c r="AH82" s="8">
        <f t="shared" si="19"/>
        <v>10</v>
      </c>
      <c r="AI82" s="5" t="str">
        <f t="shared" si="20"/>
        <v>Oct</v>
      </c>
      <c r="AJ82" s="5" t="str">
        <f t="shared" si="21"/>
        <v>Thursday</v>
      </c>
    </row>
    <row r="83" spans="1:36" x14ac:dyDescent="0.3">
      <c r="A83" s="5" t="s">
        <v>117</v>
      </c>
      <c r="B83" s="6">
        <v>45553</v>
      </c>
      <c r="C83" s="7">
        <v>0.30555555555555558</v>
      </c>
      <c r="D83" s="5" t="s">
        <v>1808</v>
      </c>
      <c r="E83" s="5" t="s">
        <v>2009</v>
      </c>
      <c r="F83" s="5" t="s">
        <v>2239</v>
      </c>
      <c r="G83" s="5" t="s">
        <v>2244</v>
      </c>
      <c r="H83" s="5" t="s">
        <v>2257</v>
      </c>
      <c r="I83" s="5" t="s">
        <v>2262</v>
      </c>
      <c r="J83" s="5" t="s">
        <v>2264</v>
      </c>
      <c r="K83" s="8">
        <v>2</v>
      </c>
      <c r="L83" s="9">
        <v>120</v>
      </c>
      <c r="M83" s="10">
        <v>0</v>
      </c>
      <c r="N83" s="9">
        <f t="shared" si="22"/>
        <v>240</v>
      </c>
      <c r="O83" s="9">
        <f t="shared" si="12"/>
        <v>240</v>
      </c>
      <c r="P83" s="5" t="s">
        <v>2269</v>
      </c>
      <c r="Q83" s="5" t="s">
        <v>1761</v>
      </c>
      <c r="R83" s="5" t="s">
        <v>2275</v>
      </c>
      <c r="S83" s="5" t="s">
        <v>2282</v>
      </c>
      <c r="T83" s="5" t="s">
        <v>2289</v>
      </c>
      <c r="U83" s="8">
        <v>3</v>
      </c>
      <c r="V83" s="8">
        <v>379</v>
      </c>
      <c r="W83" s="8">
        <v>16</v>
      </c>
      <c r="X83" s="9">
        <v>42.74</v>
      </c>
      <c r="Y83" s="9">
        <f t="shared" si="13"/>
        <v>154.51999999999998</v>
      </c>
      <c r="Z83" s="5" t="s">
        <v>2293</v>
      </c>
      <c r="AA83" s="5" t="s">
        <v>2296</v>
      </c>
      <c r="AB83" s="9">
        <f t="shared" si="14"/>
        <v>240</v>
      </c>
      <c r="AC83" s="9">
        <f t="shared" si="15"/>
        <v>0</v>
      </c>
      <c r="AD83" s="9">
        <f t="shared" si="16"/>
        <v>240</v>
      </c>
      <c r="AE83" s="9">
        <f t="shared" si="17"/>
        <v>85.48</v>
      </c>
      <c r="AF83" s="9">
        <f t="shared" si="23"/>
        <v>154.51999999999998</v>
      </c>
      <c r="AG83" s="8">
        <f t="shared" si="18"/>
        <v>2024</v>
      </c>
      <c r="AH83" s="8">
        <f t="shared" si="19"/>
        <v>9</v>
      </c>
      <c r="AI83" s="5" t="str">
        <f t="shared" si="20"/>
        <v>Sep</v>
      </c>
      <c r="AJ83" s="5" t="str">
        <f t="shared" si="21"/>
        <v>Wednesday</v>
      </c>
    </row>
    <row r="84" spans="1:36" x14ac:dyDescent="0.3">
      <c r="A84" s="5" t="s">
        <v>118</v>
      </c>
      <c r="B84" s="6">
        <v>45337</v>
      </c>
      <c r="C84" s="7">
        <v>0.32291666666666669</v>
      </c>
      <c r="D84" s="5" t="s">
        <v>1761</v>
      </c>
      <c r="E84" s="5" t="s">
        <v>2010</v>
      </c>
      <c r="F84" s="5" t="s">
        <v>2239</v>
      </c>
      <c r="G84" s="5" t="s">
        <v>2243</v>
      </c>
      <c r="H84" s="5" t="s">
        <v>2258</v>
      </c>
      <c r="I84" s="5" t="s">
        <v>2260</v>
      </c>
      <c r="J84" s="5" t="s">
        <v>2264</v>
      </c>
      <c r="K84" s="8">
        <v>1</v>
      </c>
      <c r="L84" s="9">
        <v>65</v>
      </c>
      <c r="M84" s="10">
        <v>0</v>
      </c>
      <c r="N84" s="9">
        <f t="shared" si="22"/>
        <v>65</v>
      </c>
      <c r="O84" s="9">
        <f t="shared" si="12"/>
        <v>65</v>
      </c>
      <c r="P84" s="5" t="s">
        <v>2267</v>
      </c>
      <c r="Q84" s="5" t="s">
        <v>1761</v>
      </c>
      <c r="R84" s="5" t="s">
        <v>2276</v>
      </c>
      <c r="S84" s="5" t="s">
        <v>2286</v>
      </c>
      <c r="T84" s="5" t="s">
        <v>2288</v>
      </c>
      <c r="U84" s="8">
        <v>3</v>
      </c>
      <c r="V84" s="8">
        <v>484</v>
      </c>
      <c r="W84" s="8">
        <v>21</v>
      </c>
      <c r="X84" s="9">
        <v>31.78</v>
      </c>
      <c r="Y84" s="9">
        <f t="shared" si="13"/>
        <v>33.22</v>
      </c>
      <c r="Z84" s="5" t="s">
        <v>2291</v>
      </c>
      <c r="AA84" s="5" t="s">
        <v>2296</v>
      </c>
      <c r="AB84" s="9">
        <f t="shared" si="14"/>
        <v>65</v>
      </c>
      <c r="AC84" s="9">
        <f t="shared" si="15"/>
        <v>0</v>
      </c>
      <c r="AD84" s="9">
        <f t="shared" si="16"/>
        <v>65</v>
      </c>
      <c r="AE84" s="9">
        <f t="shared" si="17"/>
        <v>31.78</v>
      </c>
      <c r="AF84" s="9">
        <f t="shared" si="23"/>
        <v>33.22</v>
      </c>
      <c r="AG84" s="8">
        <f t="shared" si="18"/>
        <v>2024</v>
      </c>
      <c r="AH84" s="8">
        <f t="shared" si="19"/>
        <v>2</v>
      </c>
      <c r="AI84" s="5" t="str">
        <f t="shared" si="20"/>
        <v>Feb</v>
      </c>
      <c r="AJ84" s="5" t="str">
        <f t="shared" si="21"/>
        <v>Thursday</v>
      </c>
    </row>
    <row r="85" spans="1:36" x14ac:dyDescent="0.3">
      <c r="A85" s="5" t="s">
        <v>119</v>
      </c>
      <c r="B85" s="6">
        <v>45652</v>
      </c>
      <c r="C85" s="7">
        <v>0.83333333333333337</v>
      </c>
      <c r="D85" s="5" t="s">
        <v>1795</v>
      </c>
      <c r="E85" s="5" t="s">
        <v>1761</v>
      </c>
      <c r="F85" s="5" t="s">
        <v>2239</v>
      </c>
      <c r="G85" s="5" t="s">
        <v>2252</v>
      </c>
      <c r="H85" s="5" t="s">
        <v>2257</v>
      </c>
      <c r="I85" s="5" t="s">
        <v>2262</v>
      </c>
      <c r="J85" s="5" t="s">
        <v>2265</v>
      </c>
      <c r="K85" s="8">
        <v>1</v>
      </c>
      <c r="L85" s="9">
        <v>85</v>
      </c>
      <c r="M85" s="10">
        <v>0</v>
      </c>
      <c r="N85" s="9">
        <f t="shared" si="22"/>
        <v>85</v>
      </c>
      <c r="O85" s="9">
        <f t="shared" si="12"/>
        <v>85</v>
      </c>
      <c r="P85" s="5" t="s">
        <v>2268</v>
      </c>
      <c r="Q85" s="5" t="s">
        <v>2272</v>
      </c>
      <c r="R85" s="5" t="s">
        <v>2276</v>
      </c>
      <c r="S85" s="5" t="s">
        <v>2282</v>
      </c>
      <c r="T85" s="5" t="s">
        <v>2288</v>
      </c>
      <c r="U85" s="8">
        <v>5</v>
      </c>
      <c r="V85" s="19">
        <v>244</v>
      </c>
      <c r="W85" s="8">
        <v>55</v>
      </c>
      <c r="X85" s="9">
        <v>36.479999999999997</v>
      </c>
      <c r="Y85" s="9">
        <f t="shared" si="13"/>
        <v>48.52</v>
      </c>
      <c r="Z85" s="5" t="s">
        <v>2292</v>
      </c>
      <c r="AA85" s="5" t="s">
        <v>2297</v>
      </c>
      <c r="AB85" s="9">
        <f t="shared" si="14"/>
        <v>85</v>
      </c>
      <c r="AC85" s="9">
        <f t="shared" si="15"/>
        <v>0</v>
      </c>
      <c r="AD85" s="9">
        <f t="shared" si="16"/>
        <v>85</v>
      </c>
      <c r="AE85" s="9">
        <f t="shared" si="17"/>
        <v>36.479999999999997</v>
      </c>
      <c r="AF85" s="9">
        <f t="shared" si="23"/>
        <v>48.52</v>
      </c>
      <c r="AG85" s="8">
        <f t="shared" si="18"/>
        <v>2024</v>
      </c>
      <c r="AH85" s="8">
        <f t="shared" si="19"/>
        <v>12</v>
      </c>
      <c r="AI85" s="5" t="str">
        <f t="shared" si="20"/>
        <v>Dec</v>
      </c>
      <c r="AJ85" s="5" t="str">
        <f t="shared" si="21"/>
        <v>Thursday</v>
      </c>
    </row>
    <row r="86" spans="1:36" x14ac:dyDescent="0.3">
      <c r="A86" s="5" t="s">
        <v>120</v>
      </c>
      <c r="B86" s="18">
        <v>45468</v>
      </c>
      <c r="C86" s="7">
        <v>0.86458333333333337</v>
      </c>
      <c r="D86" s="5" t="s">
        <v>1809</v>
      </c>
      <c r="E86" s="5" t="s">
        <v>2004</v>
      </c>
      <c r="F86" s="5" t="s">
        <v>2240</v>
      </c>
      <c r="G86" s="5" t="s">
        <v>2253</v>
      </c>
      <c r="H86" s="5" t="s">
        <v>2258</v>
      </c>
      <c r="I86" s="5" t="s">
        <v>2260</v>
      </c>
      <c r="J86" s="5" t="s">
        <v>2266</v>
      </c>
      <c r="K86" s="8">
        <v>3</v>
      </c>
      <c r="L86" s="9">
        <v>85</v>
      </c>
      <c r="M86" s="10">
        <v>0.1</v>
      </c>
      <c r="N86" s="9">
        <f t="shared" si="22"/>
        <v>255</v>
      </c>
      <c r="O86" s="9">
        <f t="shared" si="12"/>
        <v>229.5</v>
      </c>
      <c r="P86" s="5" t="s">
        <v>2267</v>
      </c>
      <c r="Q86" s="5" t="s">
        <v>2272</v>
      </c>
      <c r="R86" s="5" t="s">
        <v>2275</v>
      </c>
      <c r="S86" s="5" t="s">
        <v>2280</v>
      </c>
      <c r="T86" s="5" t="s">
        <v>2288</v>
      </c>
      <c r="U86" s="8">
        <v>3</v>
      </c>
      <c r="V86" s="8">
        <v>52</v>
      </c>
      <c r="W86" s="19">
        <v>35</v>
      </c>
      <c r="X86" s="9">
        <v>36.799999999999997</v>
      </c>
      <c r="Y86" s="9">
        <f t="shared" si="13"/>
        <v>119.10000000000001</v>
      </c>
      <c r="Z86" s="5" t="s">
        <v>2291</v>
      </c>
      <c r="AA86" s="5" t="s">
        <v>2297</v>
      </c>
      <c r="AB86" s="9">
        <f t="shared" si="14"/>
        <v>255</v>
      </c>
      <c r="AC86" s="9">
        <f t="shared" si="15"/>
        <v>25.5</v>
      </c>
      <c r="AD86" s="9">
        <f t="shared" si="16"/>
        <v>229.5</v>
      </c>
      <c r="AE86" s="9">
        <f t="shared" si="17"/>
        <v>110.39999999999999</v>
      </c>
      <c r="AF86" s="9">
        <f t="shared" si="23"/>
        <v>119.10000000000001</v>
      </c>
      <c r="AG86" s="8">
        <f t="shared" si="18"/>
        <v>2024</v>
      </c>
      <c r="AH86" s="8">
        <f t="shared" si="19"/>
        <v>6</v>
      </c>
      <c r="AI86" s="5" t="str">
        <f t="shared" si="20"/>
        <v>Jun</v>
      </c>
      <c r="AJ86" s="5" t="str">
        <f t="shared" si="21"/>
        <v>Tuesday</v>
      </c>
    </row>
    <row r="87" spans="1:36" x14ac:dyDescent="0.3">
      <c r="A87" s="5" t="s">
        <v>121</v>
      </c>
      <c r="B87" s="6">
        <v>45314</v>
      </c>
      <c r="C87" s="7">
        <v>0.88541666666666663</v>
      </c>
      <c r="D87" s="5" t="s">
        <v>1810</v>
      </c>
      <c r="E87" s="5" t="s">
        <v>2011</v>
      </c>
      <c r="F87" s="5" t="s">
        <v>2239</v>
      </c>
      <c r="G87" s="5" t="s">
        <v>2249</v>
      </c>
      <c r="H87" s="5" t="s">
        <v>2257</v>
      </c>
      <c r="I87" s="5" t="s">
        <v>2263</v>
      </c>
      <c r="J87" s="5" t="s">
        <v>2266</v>
      </c>
      <c r="K87" s="8">
        <v>1</v>
      </c>
      <c r="L87" s="9">
        <v>165</v>
      </c>
      <c r="M87" s="10">
        <v>0.05</v>
      </c>
      <c r="N87" s="9">
        <f t="shared" si="22"/>
        <v>165</v>
      </c>
      <c r="O87" s="9">
        <f t="shared" si="12"/>
        <v>156.75</v>
      </c>
      <c r="P87" s="5" t="s">
        <v>2267</v>
      </c>
      <c r="Q87" s="5" t="s">
        <v>2272</v>
      </c>
      <c r="R87" s="5" t="s">
        <v>2279</v>
      </c>
      <c r="S87" s="5" t="s">
        <v>2285</v>
      </c>
      <c r="T87" s="5" t="s">
        <v>2288</v>
      </c>
      <c r="U87" s="8">
        <v>4</v>
      </c>
      <c r="V87" s="8">
        <v>258</v>
      </c>
      <c r="W87" s="8">
        <v>45</v>
      </c>
      <c r="X87" s="9">
        <v>62.6</v>
      </c>
      <c r="Y87" s="9">
        <f t="shared" si="13"/>
        <v>94.15</v>
      </c>
      <c r="Z87" s="5" t="s">
        <v>1761</v>
      </c>
      <c r="AA87" s="5" t="s">
        <v>2296</v>
      </c>
      <c r="AB87" s="9">
        <f t="shared" si="14"/>
        <v>165</v>
      </c>
      <c r="AC87" s="9">
        <f t="shared" si="15"/>
        <v>8.25</v>
      </c>
      <c r="AD87" s="9">
        <f t="shared" si="16"/>
        <v>156.75</v>
      </c>
      <c r="AE87" s="9">
        <f t="shared" si="17"/>
        <v>62.6</v>
      </c>
      <c r="AF87" s="9">
        <f t="shared" si="23"/>
        <v>94.15</v>
      </c>
      <c r="AG87" s="8">
        <f t="shared" si="18"/>
        <v>2024</v>
      </c>
      <c r="AH87" s="8">
        <f t="shared" si="19"/>
        <v>1</v>
      </c>
      <c r="AI87" s="5" t="str">
        <f t="shared" si="20"/>
        <v>Jan</v>
      </c>
      <c r="AJ87" s="5" t="str">
        <f t="shared" si="21"/>
        <v>Tuesday</v>
      </c>
    </row>
    <row r="88" spans="1:36" x14ac:dyDescent="0.3">
      <c r="A88" s="5" t="s">
        <v>122</v>
      </c>
      <c r="B88" s="6">
        <v>45462</v>
      </c>
      <c r="C88" s="7">
        <v>0.84375</v>
      </c>
      <c r="D88" s="5" t="s">
        <v>1811</v>
      </c>
      <c r="E88" s="5" t="s">
        <v>2012</v>
      </c>
      <c r="F88" s="5" t="s">
        <v>2240</v>
      </c>
      <c r="G88" s="5" t="s">
        <v>2252</v>
      </c>
      <c r="H88" s="5" t="s">
        <v>2257</v>
      </c>
      <c r="I88" s="5" t="s">
        <v>2262</v>
      </c>
      <c r="J88" s="5" t="s">
        <v>2266</v>
      </c>
      <c r="K88" s="8">
        <v>2</v>
      </c>
      <c r="L88" s="9">
        <v>90</v>
      </c>
      <c r="M88" s="10">
        <v>0.05</v>
      </c>
      <c r="N88" s="9">
        <f t="shared" si="22"/>
        <v>180</v>
      </c>
      <c r="O88" s="9">
        <f t="shared" si="12"/>
        <v>171</v>
      </c>
      <c r="P88" s="5" t="s">
        <v>2267</v>
      </c>
      <c r="Q88" s="5" t="s">
        <v>2270</v>
      </c>
      <c r="R88" s="5" t="s">
        <v>2275</v>
      </c>
      <c r="S88" s="5" t="s">
        <v>2282</v>
      </c>
      <c r="T88" s="5" t="s">
        <v>2288</v>
      </c>
      <c r="U88" s="8">
        <v>4</v>
      </c>
      <c r="V88" s="8">
        <v>460</v>
      </c>
      <c r="W88" s="8">
        <v>58</v>
      </c>
      <c r="X88" s="9">
        <v>33.369999999999997</v>
      </c>
      <c r="Y88" s="9">
        <f t="shared" si="13"/>
        <v>104.26</v>
      </c>
      <c r="Z88" s="5" t="s">
        <v>2294</v>
      </c>
      <c r="AA88" s="5" t="s">
        <v>1761</v>
      </c>
      <c r="AB88" s="9">
        <f t="shared" si="14"/>
        <v>180</v>
      </c>
      <c r="AC88" s="9">
        <f t="shared" si="15"/>
        <v>9</v>
      </c>
      <c r="AD88" s="9">
        <f t="shared" si="16"/>
        <v>171</v>
      </c>
      <c r="AE88" s="9">
        <f t="shared" si="17"/>
        <v>66.739999999999995</v>
      </c>
      <c r="AF88" s="9">
        <f t="shared" si="23"/>
        <v>104.26</v>
      </c>
      <c r="AG88" s="8">
        <f t="shared" si="18"/>
        <v>2024</v>
      </c>
      <c r="AH88" s="8">
        <f t="shared" si="19"/>
        <v>6</v>
      </c>
      <c r="AI88" s="5" t="str">
        <f t="shared" si="20"/>
        <v>Jun</v>
      </c>
      <c r="AJ88" s="5" t="str">
        <f t="shared" si="21"/>
        <v>Wednesday</v>
      </c>
    </row>
    <row r="89" spans="1:36" x14ac:dyDescent="0.3">
      <c r="A89" s="5" t="s">
        <v>123</v>
      </c>
      <c r="B89" s="6">
        <v>45332</v>
      </c>
      <c r="C89" s="7">
        <v>0.70138888888888884</v>
      </c>
      <c r="D89" s="5" t="s">
        <v>1812</v>
      </c>
      <c r="E89" s="5" t="s">
        <v>1761</v>
      </c>
      <c r="F89" s="5" t="s">
        <v>2240</v>
      </c>
      <c r="G89" s="5" t="s">
        <v>2247</v>
      </c>
      <c r="H89" s="5" t="s">
        <v>2257</v>
      </c>
      <c r="I89" s="5" t="s">
        <v>2262</v>
      </c>
      <c r="J89" s="5" t="s">
        <v>2266</v>
      </c>
      <c r="K89" s="8">
        <v>1</v>
      </c>
      <c r="L89" s="9">
        <v>105</v>
      </c>
      <c r="M89" s="10">
        <v>0.05</v>
      </c>
      <c r="N89" s="9">
        <f t="shared" si="22"/>
        <v>105</v>
      </c>
      <c r="O89" s="9">
        <f t="shared" si="12"/>
        <v>99.75</v>
      </c>
      <c r="P89" s="5" t="s">
        <v>1761</v>
      </c>
      <c r="Q89" s="5" t="s">
        <v>1761</v>
      </c>
      <c r="R89" s="5" t="s">
        <v>2278</v>
      </c>
      <c r="S89" s="5" t="s">
        <v>2285</v>
      </c>
      <c r="T89" s="5" t="s">
        <v>2288</v>
      </c>
      <c r="U89" s="8">
        <v>5</v>
      </c>
      <c r="V89" s="8">
        <v>112</v>
      </c>
      <c r="W89" s="8">
        <v>21</v>
      </c>
      <c r="X89" s="9">
        <v>37.81</v>
      </c>
      <c r="Y89" s="9">
        <f t="shared" si="13"/>
        <v>61.94</v>
      </c>
      <c r="Z89" s="5" t="s">
        <v>2294</v>
      </c>
      <c r="AA89" s="5" t="s">
        <v>2297</v>
      </c>
      <c r="AB89" s="9">
        <f t="shared" si="14"/>
        <v>105</v>
      </c>
      <c r="AC89" s="9">
        <f t="shared" si="15"/>
        <v>5.25</v>
      </c>
      <c r="AD89" s="9">
        <f t="shared" si="16"/>
        <v>99.75</v>
      </c>
      <c r="AE89" s="9">
        <f t="shared" si="17"/>
        <v>37.81</v>
      </c>
      <c r="AF89" s="9">
        <f t="shared" si="23"/>
        <v>61.94</v>
      </c>
      <c r="AG89" s="8">
        <f t="shared" si="18"/>
        <v>2024</v>
      </c>
      <c r="AH89" s="8">
        <f t="shared" si="19"/>
        <v>2</v>
      </c>
      <c r="AI89" s="5" t="str">
        <f t="shared" si="20"/>
        <v>Feb</v>
      </c>
      <c r="AJ89" s="5" t="str">
        <f t="shared" si="21"/>
        <v>Saturday</v>
      </c>
    </row>
    <row r="90" spans="1:36" x14ac:dyDescent="0.3">
      <c r="A90" s="5" t="s">
        <v>124</v>
      </c>
      <c r="B90" s="6">
        <v>45653</v>
      </c>
      <c r="C90" s="7">
        <v>0.79166666666666663</v>
      </c>
      <c r="D90" s="5" t="s">
        <v>1803</v>
      </c>
      <c r="E90" s="5" t="s">
        <v>2013</v>
      </c>
      <c r="F90" s="5" t="s">
        <v>2240</v>
      </c>
      <c r="G90" s="5" t="s">
        <v>2246</v>
      </c>
      <c r="H90" s="5" t="s">
        <v>2259</v>
      </c>
      <c r="I90" s="5" t="s">
        <v>2262</v>
      </c>
      <c r="J90" s="5" t="s">
        <v>2265</v>
      </c>
      <c r="K90" s="8">
        <v>1</v>
      </c>
      <c r="L90" s="9">
        <v>95</v>
      </c>
      <c r="M90" s="10">
        <v>0</v>
      </c>
      <c r="N90" s="9">
        <f t="shared" si="22"/>
        <v>95</v>
      </c>
      <c r="O90" s="9">
        <f t="shared" si="12"/>
        <v>95</v>
      </c>
      <c r="P90" s="5" t="s">
        <v>2268</v>
      </c>
      <c r="Q90" s="5" t="s">
        <v>2271</v>
      </c>
      <c r="R90" s="5" t="s">
        <v>2279</v>
      </c>
      <c r="S90" s="5" t="s">
        <v>2283</v>
      </c>
      <c r="T90" s="5" t="s">
        <v>2288</v>
      </c>
      <c r="U90" s="8">
        <v>5</v>
      </c>
      <c r="V90" s="8">
        <v>133</v>
      </c>
      <c r="W90" s="8">
        <v>55</v>
      </c>
      <c r="X90" s="9">
        <v>40.81</v>
      </c>
      <c r="Y90" s="9">
        <f t="shared" si="13"/>
        <v>54.19</v>
      </c>
      <c r="Z90" s="5" t="s">
        <v>1761</v>
      </c>
      <c r="AA90" s="5" t="s">
        <v>2299</v>
      </c>
      <c r="AB90" s="9">
        <f t="shared" si="14"/>
        <v>95</v>
      </c>
      <c r="AC90" s="9">
        <f t="shared" si="15"/>
        <v>0</v>
      </c>
      <c r="AD90" s="9">
        <f t="shared" si="16"/>
        <v>95</v>
      </c>
      <c r="AE90" s="9">
        <f t="shared" si="17"/>
        <v>40.81</v>
      </c>
      <c r="AF90" s="9">
        <f t="shared" si="23"/>
        <v>54.19</v>
      </c>
      <c r="AG90" s="8">
        <f t="shared" si="18"/>
        <v>2024</v>
      </c>
      <c r="AH90" s="8">
        <f t="shared" si="19"/>
        <v>12</v>
      </c>
      <c r="AI90" s="5" t="str">
        <f t="shared" si="20"/>
        <v>Dec</v>
      </c>
      <c r="AJ90" s="5" t="str">
        <f t="shared" si="21"/>
        <v>Friday</v>
      </c>
    </row>
    <row r="91" spans="1:36" x14ac:dyDescent="0.3">
      <c r="A91" s="5" t="s">
        <v>125</v>
      </c>
      <c r="B91" s="6">
        <v>45432</v>
      </c>
      <c r="C91" s="7">
        <v>0.86805555555555558</v>
      </c>
      <c r="D91" s="5" t="s">
        <v>1813</v>
      </c>
      <c r="E91" s="5" t="s">
        <v>1953</v>
      </c>
      <c r="F91" s="5" t="s">
        <v>2239</v>
      </c>
      <c r="G91" s="5" t="s">
        <v>2254</v>
      </c>
      <c r="H91" s="5" t="s">
        <v>2259</v>
      </c>
      <c r="I91" s="5" t="s">
        <v>2263</v>
      </c>
      <c r="J91" s="5" t="s">
        <v>2264</v>
      </c>
      <c r="K91" s="8">
        <v>2</v>
      </c>
      <c r="L91" s="9">
        <v>115</v>
      </c>
      <c r="M91" s="10">
        <v>0</v>
      </c>
      <c r="N91" s="9">
        <f t="shared" si="22"/>
        <v>230</v>
      </c>
      <c r="O91" s="9">
        <f t="shared" si="12"/>
        <v>230</v>
      </c>
      <c r="P91" s="5" t="s">
        <v>2269</v>
      </c>
      <c r="Q91" s="5" t="s">
        <v>2270</v>
      </c>
      <c r="R91" s="5" t="s">
        <v>2274</v>
      </c>
      <c r="S91" s="5" t="s">
        <v>2285</v>
      </c>
      <c r="T91" s="5" t="s">
        <v>2288</v>
      </c>
      <c r="U91" s="19">
        <v>3</v>
      </c>
      <c r="V91" s="8">
        <v>300</v>
      </c>
      <c r="W91" s="19">
        <v>34</v>
      </c>
      <c r="X91" s="9">
        <v>48.1</v>
      </c>
      <c r="Y91" s="9">
        <f t="shared" si="13"/>
        <v>133.80000000000001</v>
      </c>
      <c r="Z91" s="5" t="s">
        <v>2293</v>
      </c>
      <c r="AA91" s="5" t="s">
        <v>1761</v>
      </c>
      <c r="AB91" s="9">
        <f t="shared" si="14"/>
        <v>230</v>
      </c>
      <c r="AC91" s="9">
        <f t="shared" si="15"/>
        <v>0</v>
      </c>
      <c r="AD91" s="9">
        <f t="shared" si="16"/>
        <v>230</v>
      </c>
      <c r="AE91" s="9">
        <f t="shared" si="17"/>
        <v>96.2</v>
      </c>
      <c r="AF91" s="9">
        <f t="shared" si="23"/>
        <v>133.80000000000001</v>
      </c>
      <c r="AG91" s="8">
        <f t="shared" si="18"/>
        <v>2024</v>
      </c>
      <c r="AH91" s="8">
        <f t="shared" si="19"/>
        <v>5</v>
      </c>
      <c r="AI91" s="5" t="str">
        <f t="shared" si="20"/>
        <v>May</v>
      </c>
      <c r="AJ91" s="5" t="str">
        <f t="shared" si="21"/>
        <v>Monday</v>
      </c>
    </row>
    <row r="92" spans="1:36" x14ac:dyDescent="0.3">
      <c r="A92" s="5" t="s">
        <v>126</v>
      </c>
      <c r="B92" s="6">
        <v>45324</v>
      </c>
      <c r="C92" s="7">
        <v>0.38194444444444442</v>
      </c>
      <c r="D92" s="5" t="s">
        <v>1814</v>
      </c>
      <c r="E92" s="5" t="s">
        <v>2014</v>
      </c>
      <c r="F92" s="5" t="s">
        <v>1761</v>
      </c>
      <c r="G92" s="5" t="s">
        <v>2244</v>
      </c>
      <c r="H92" s="5" t="s">
        <v>2257</v>
      </c>
      <c r="I92" s="5" t="s">
        <v>2262</v>
      </c>
      <c r="J92" s="5" t="s">
        <v>2265</v>
      </c>
      <c r="K92" s="8">
        <v>1</v>
      </c>
      <c r="L92" s="9">
        <v>130</v>
      </c>
      <c r="M92" s="10">
        <v>0.05</v>
      </c>
      <c r="N92" s="9">
        <f t="shared" si="22"/>
        <v>130</v>
      </c>
      <c r="O92" s="9">
        <f t="shared" si="12"/>
        <v>123.5</v>
      </c>
      <c r="P92" s="5" t="s">
        <v>2268</v>
      </c>
      <c r="Q92" s="5" t="s">
        <v>2272</v>
      </c>
      <c r="R92" s="5" t="s">
        <v>2274</v>
      </c>
      <c r="S92" s="5" t="s">
        <v>2282</v>
      </c>
      <c r="T92" s="5" t="s">
        <v>2288</v>
      </c>
      <c r="U92" s="8">
        <v>3</v>
      </c>
      <c r="V92" s="8">
        <v>275</v>
      </c>
      <c r="W92" s="8">
        <v>54</v>
      </c>
      <c r="X92" s="9">
        <v>51.33</v>
      </c>
      <c r="Y92" s="9">
        <f t="shared" si="13"/>
        <v>72.17</v>
      </c>
      <c r="Z92" s="5" t="s">
        <v>2292</v>
      </c>
      <c r="AA92" s="5" t="s">
        <v>1761</v>
      </c>
      <c r="AB92" s="9">
        <f t="shared" si="14"/>
        <v>130</v>
      </c>
      <c r="AC92" s="9">
        <f t="shared" si="15"/>
        <v>6.5</v>
      </c>
      <c r="AD92" s="9">
        <f t="shared" si="16"/>
        <v>123.5</v>
      </c>
      <c r="AE92" s="9">
        <f t="shared" si="17"/>
        <v>51.33</v>
      </c>
      <c r="AF92" s="9">
        <f t="shared" si="23"/>
        <v>72.17</v>
      </c>
      <c r="AG92" s="8">
        <f t="shared" si="18"/>
        <v>2024</v>
      </c>
      <c r="AH92" s="8">
        <f t="shared" si="19"/>
        <v>2</v>
      </c>
      <c r="AI92" s="5" t="str">
        <f t="shared" si="20"/>
        <v>Feb</v>
      </c>
      <c r="AJ92" s="5" t="str">
        <f t="shared" si="21"/>
        <v>Friday</v>
      </c>
    </row>
    <row r="93" spans="1:36" x14ac:dyDescent="0.3">
      <c r="A93" s="5" t="s">
        <v>127</v>
      </c>
      <c r="B93" s="6">
        <v>45612</v>
      </c>
      <c r="C93" s="7">
        <v>0.88888888888888884</v>
      </c>
      <c r="D93" s="5" t="s">
        <v>1815</v>
      </c>
      <c r="E93" s="5" t="s">
        <v>2015</v>
      </c>
      <c r="F93" s="5" t="s">
        <v>2238</v>
      </c>
      <c r="G93" s="5" t="s">
        <v>2250</v>
      </c>
      <c r="H93" s="5" t="s">
        <v>2259</v>
      </c>
      <c r="I93" s="5" t="s">
        <v>2262</v>
      </c>
      <c r="J93" s="5" t="s">
        <v>2264</v>
      </c>
      <c r="K93" s="8">
        <v>1</v>
      </c>
      <c r="L93" s="9">
        <v>75</v>
      </c>
      <c r="M93" s="10">
        <v>0</v>
      </c>
      <c r="N93" s="9">
        <f t="shared" si="22"/>
        <v>75</v>
      </c>
      <c r="O93" s="9">
        <f t="shared" si="12"/>
        <v>75</v>
      </c>
      <c r="P93" s="5" t="s">
        <v>1761</v>
      </c>
      <c r="Q93" s="5" t="s">
        <v>2271</v>
      </c>
      <c r="R93" s="5" t="s">
        <v>2278</v>
      </c>
      <c r="S93" s="5" t="s">
        <v>2286</v>
      </c>
      <c r="T93" s="5" t="s">
        <v>2289</v>
      </c>
      <c r="U93" s="8">
        <v>3</v>
      </c>
      <c r="V93" s="19">
        <v>244</v>
      </c>
      <c r="W93" s="8">
        <v>17</v>
      </c>
      <c r="X93" s="9">
        <v>45.27</v>
      </c>
      <c r="Y93" s="9">
        <f t="shared" si="13"/>
        <v>29.729999999999997</v>
      </c>
      <c r="Z93" s="5" t="s">
        <v>2294</v>
      </c>
      <c r="AA93" s="5" t="s">
        <v>2299</v>
      </c>
      <c r="AB93" s="9">
        <f t="shared" si="14"/>
        <v>75</v>
      </c>
      <c r="AC93" s="9">
        <f t="shared" si="15"/>
        <v>0</v>
      </c>
      <c r="AD93" s="9">
        <f t="shared" si="16"/>
        <v>75</v>
      </c>
      <c r="AE93" s="9">
        <f t="shared" si="17"/>
        <v>45.27</v>
      </c>
      <c r="AF93" s="9">
        <f t="shared" si="23"/>
        <v>29.729999999999997</v>
      </c>
      <c r="AG93" s="8">
        <f t="shared" si="18"/>
        <v>2024</v>
      </c>
      <c r="AH93" s="8">
        <f t="shared" si="19"/>
        <v>11</v>
      </c>
      <c r="AI93" s="5" t="str">
        <f t="shared" si="20"/>
        <v>Nov</v>
      </c>
      <c r="AJ93" s="5" t="str">
        <f t="shared" si="21"/>
        <v>Saturday</v>
      </c>
    </row>
    <row r="94" spans="1:36" x14ac:dyDescent="0.3">
      <c r="A94" s="5" t="s">
        <v>128</v>
      </c>
      <c r="B94" s="6">
        <v>45405</v>
      </c>
      <c r="C94" s="7">
        <v>0.38541666666666669</v>
      </c>
      <c r="D94" s="5" t="s">
        <v>1816</v>
      </c>
      <c r="E94" s="5" t="s">
        <v>2016</v>
      </c>
      <c r="F94" s="5" t="s">
        <v>1761</v>
      </c>
      <c r="G94" s="5" t="s">
        <v>2247</v>
      </c>
      <c r="H94" s="5" t="s">
        <v>2257</v>
      </c>
      <c r="I94" s="5" t="s">
        <v>2262</v>
      </c>
      <c r="J94" s="5" t="s">
        <v>1761</v>
      </c>
      <c r="K94" s="8">
        <v>1</v>
      </c>
      <c r="L94" s="9">
        <v>95</v>
      </c>
      <c r="M94" s="10">
        <v>0</v>
      </c>
      <c r="N94" s="9">
        <f t="shared" si="22"/>
        <v>95</v>
      </c>
      <c r="O94" s="9">
        <f t="shared" si="12"/>
        <v>95</v>
      </c>
      <c r="P94" s="5" t="s">
        <v>2267</v>
      </c>
      <c r="Q94" s="5" t="s">
        <v>2272</v>
      </c>
      <c r="R94" s="5" t="s">
        <v>2278</v>
      </c>
      <c r="S94" s="5" t="s">
        <v>2286</v>
      </c>
      <c r="T94" s="5" t="s">
        <v>2288</v>
      </c>
      <c r="U94" s="8">
        <v>1</v>
      </c>
      <c r="V94" s="8">
        <v>336</v>
      </c>
      <c r="W94" s="8">
        <v>22</v>
      </c>
      <c r="X94" s="9">
        <v>52.39</v>
      </c>
      <c r="Y94" s="9">
        <f t="shared" si="13"/>
        <v>42.61</v>
      </c>
      <c r="Z94" s="5" t="s">
        <v>2294</v>
      </c>
      <c r="AA94" s="5" t="s">
        <v>2296</v>
      </c>
      <c r="AB94" s="9">
        <f t="shared" si="14"/>
        <v>95</v>
      </c>
      <c r="AC94" s="9">
        <f t="shared" si="15"/>
        <v>0</v>
      </c>
      <c r="AD94" s="9">
        <f t="shared" si="16"/>
        <v>95</v>
      </c>
      <c r="AE94" s="9">
        <f t="shared" si="17"/>
        <v>52.39</v>
      </c>
      <c r="AF94" s="9">
        <f t="shared" si="23"/>
        <v>42.61</v>
      </c>
      <c r="AG94" s="8">
        <f t="shared" si="18"/>
        <v>2024</v>
      </c>
      <c r="AH94" s="8">
        <f t="shared" si="19"/>
        <v>4</v>
      </c>
      <c r="AI94" s="5" t="str">
        <f t="shared" si="20"/>
        <v>Apr</v>
      </c>
      <c r="AJ94" s="5" t="str">
        <f t="shared" si="21"/>
        <v>Tuesday</v>
      </c>
    </row>
    <row r="95" spans="1:36" x14ac:dyDescent="0.3">
      <c r="A95" s="5" t="s">
        <v>129</v>
      </c>
      <c r="B95" s="6">
        <v>45398</v>
      </c>
      <c r="C95" s="7">
        <v>0.85416666666666663</v>
      </c>
      <c r="D95" s="5" t="s">
        <v>1817</v>
      </c>
      <c r="E95" s="5" t="s">
        <v>2017</v>
      </c>
      <c r="F95" s="5" t="s">
        <v>1761</v>
      </c>
      <c r="G95" s="5" t="s">
        <v>2243</v>
      </c>
      <c r="H95" s="5" t="s">
        <v>2258</v>
      </c>
      <c r="I95" s="5" t="s">
        <v>2260</v>
      </c>
      <c r="J95" s="5" t="s">
        <v>2266</v>
      </c>
      <c r="K95" s="8">
        <v>1</v>
      </c>
      <c r="L95" s="9">
        <v>70</v>
      </c>
      <c r="M95" s="10">
        <v>0.15</v>
      </c>
      <c r="N95" s="9">
        <f t="shared" si="22"/>
        <v>70</v>
      </c>
      <c r="O95" s="9">
        <f t="shared" si="12"/>
        <v>59.5</v>
      </c>
      <c r="P95" s="5" t="s">
        <v>2269</v>
      </c>
      <c r="Q95" s="5" t="s">
        <v>2272</v>
      </c>
      <c r="R95" s="5" t="s">
        <v>2278</v>
      </c>
      <c r="S95" s="5" t="s">
        <v>2286</v>
      </c>
      <c r="T95" s="5" t="s">
        <v>2288</v>
      </c>
      <c r="U95" s="8">
        <v>5</v>
      </c>
      <c r="V95" s="8">
        <v>247</v>
      </c>
      <c r="W95" s="8">
        <v>38</v>
      </c>
      <c r="X95" s="9">
        <v>36.840000000000003</v>
      </c>
      <c r="Y95" s="9">
        <f t="shared" si="13"/>
        <v>22.659999999999997</v>
      </c>
      <c r="Z95" s="5" t="s">
        <v>2294</v>
      </c>
      <c r="AA95" s="5" t="s">
        <v>2296</v>
      </c>
      <c r="AB95" s="9">
        <f t="shared" si="14"/>
        <v>70</v>
      </c>
      <c r="AC95" s="9">
        <f t="shared" si="15"/>
        <v>10.5</v>
      </c>
      <c r="AD95" s="9">
        <f t="shared" si="16"/>
        <v>59.5</v>
      </c>
      <c r="AE95" s="9">
        <f t="shared" si="17"/>
        <v>36.840000000000003</v>
      </c>
      <c r="AF95" s="9">
        <f t="shared" si="23"/>
        <v>22.659999999999997</v>
      </c>
      <c r="AG95" s="8">
        <f t="shared" si="18"/>
        <v>2024</v>
      </c>
      <c r="AH95" s="8">
        <f t="shared" si="19"/>
        <v>4</v>
      </c>
      <c r="AI95" s="5" t="str">
        <f t="shared" si="20"/>
        <v>Apr</v>
      </c>
      <c r="AJ95" s="5" t="str">
        <f t="shared" si="21"/>
        <v>Tuesday</v>
      </c>
    </row>
    <row r="96" spans="1:36" x14ac:dyDescent="0.3">
      <c r="A96" s="5" t="s">
        <v>130</v>
      </c>
      <c r="B96" s="6">
        <v>45629</v>
      </c>
      <c r="C96" s="7">
        <v>0.52083333333333337</v>
      </c>
      <c r="D96" s="5" t="s">
        <v>1818</v>
      </c>
      <c r="E96" s="5" t="s">
        <v>2018</v>
      </c>
      <c r="F96" s="5" t="s">
        <v>1761</v>
      </c>
      <c r="G96" s="5" t="s">
        <v>2256</v>
      </c>
      <c r="H96" s="5" t="s">
        <v>2261</v>
      </c>
      <c r="I96" s="5" t="s">
        <v>2260</v>
      </c>
      <c r="J96" s="5" t="s">
        <v>2266</v>
      </c>
      <c r="K96" s="8">
        <v>1</v>
      </c>
      <c r="L96" s="9">
        <v>185</v>
      </c>
      <c r="M96" s="10">
        <v>0</v>
      </c>
      <c r="N96" s="9">
        <f t="shared" si="22"/>
        <v>185</v>
      </c>
      <c r="O96" s="9">
        <f t="shared" si="12"/>
        <v>185</v>
      </c>
      <c r="P96" s="5" t="s">
        <v>2267</v>
      </c>
      <c r="Q96" s="5" t="s">
        <v>2270</v>
      </c>
      <c r="R96" s="5" t="s">
        <v>2273</v>
      </c>
      <c r="S96" s="5" t="s">
        <v>2280</v>
      </c>
      <c r="T96" s="5" t="s">
        <v>2290</v>
      </c>
      <c r="U96" s="8">
        <v>5</v>
      </c>
      <c r="V96" s="19">
        <v>244</v>
      </c>
      <c r="W96" s="8">
        <v>33</v>
      </c>
      <c r="X96" s="9">
        <v>101.49</v>
      </c>
      <c r="Y96" s="9">
        <f t="shared" si="13"/>
        <v>83.51</v>
      </c>
      <c r="Z96" s="5" t="s">
        <v>2291</v>
      </c>
      <c r="AA96" s="5" t="s">
        <v>2298</v>
      </c>
      <c r="AB96" s="9">
        <f t="shared" si="14"/>
        <v>185</v>
      </c>
      <c r="AC96" s="9">
        <f t="shared" si="15"/>
        <v>0</v>
      </c>
      <c r="AD96" s="9">
        <f t="shared" si="16"/>
        <v>185</v>
      </c>
      <c r="AE96" s="9">
        <f t="shared" si="17"/>
        <v>101.49</v>
      </c>
      <c r="AF96" s="9">
        <f t="shared" si="23"/>
        <v>83.51</v>
      </c>
      <c r="AG96" s="8">
        <f t="shared" si="18"/>
        <v>2024</v>
      </c>
      <c r="AH96" s="8">
        <f t="shared" si="19"/>
        <v>12</v>
      </c>
      <c r="AI96" s="5" t="str">
        <f t="shared" si="20"/>
        <v>Dec</v>
      </c>
      <c r="AJ96" s="5" t="str">
        <f t="shared" si="21"/>
        <v>Tuesday</v>
      </c>
    </row>
    <row r="97" spans="1:36" x14ac:dyDescent="0.3">
      <c r="A97" s="5" t="s">
        <v>131</v>
      </c>
      <c r="B97" s="6">
        <v>45440</v>
      </c>
      <c r="C97" s="7">
        <v>0.68055555555555558</v>
      </c>
      <c r="D97" s="5" t="s">
        <v>1819</v>
      </c>
      <c r="E97" s="5" t="s">
        <v>1946</v>
      </c>
      <c r="F97" s="5" t="s">
        <v>2240</v>
      </c>
      <c r="G97" s="5" t="s">
        <v>2247</v>
      </c>
      <c r="H97" s="5" t="s">
        <v>2257</v>
      </c>
      <c r="I97" s="5" t="s">
        <v>2262</v>
      </c>
      <c r="J97" s="5" t="s">
        <v>2266</v>
      </c>
      <c r="K97" s="8">
        <v>1</v>
      </c>
      <c r="L97" s="9">
        <v>110</v>
      </c>
      <c r="M97" s="10">
        <v>0.15</v>
      </c>
      <c r="N97" s="9">
        <f t="shared" si="22"/>
        <v>110</v>
      </c>
      <c r="O97" s="9">
        <f t="shared" si="12"/>
        <v>93.5</v>
      </c>
      <c r="P97" s="5" t="s">
        <v>2269</v>
      </c>
      <c r="Q97" s="5" t="s">
        <v>2272</v>
      </c>
      <c r="R97" s="5" t="s">
        <v>2279</v>
      </c>
      <c r="S97" s="5" t="s">
        <v>2284</v>
      </c>
      <c r="T97" s="5" t="s">
        <v>2288</v>
      </c>
      <c r="U97" s="8">
        <v>5</v>
      </c>
      <c r="V97" s="19">
        <v>244</v>
      </c>
      <c r="W97" s="8">
        <v>51</v>
      </c>
      <c r="X97" s="9">
        <v>53.46</v>
      </c>
      <c r="Y97" s="9">
        <f t="shared" si="13"/>
        <v>40.04</v>
      </c>
      <c r="Z97" s="5" t="s">
        <v>1761</v>
      </c>
      <c r="AA97" s="5" t="s">
        <v>2296</v>
      </c>
      <c r="AB97" s="9">
        <f t="shared" si="14"/>
        <v>110</v>
      </c>
      <c r="AC97" s="9">
        <f t="shared" si="15"/>
        <v>16.5</v>
      </c>
      <c r="AD97" s="9">
        <f t="shared" si="16"/>
        <v>93.5</v>
      </c>
      <c r="AE97" s="9">
        <f t="shared" si="17"/>
        <v>53.46</v>
      </c>
      <c r="AF97" s="9">
        <f t="shared" si="23"/>
        <v>40.04</v>
      </c>
      <c r="AG97" s="8">
        <f t="shared" si="18"/>
        <v>2024</v>
      </c>
      <c r="AH97" s="8">
        <f t="shared" si="19"/>
        <v>5</v>
      </c>
      <c r="AI97" s="5" t="str">
        <f t="shared" si="20"/>
        <v>May</v>
      </c>
      <c r="AJ97" s="5" t="str">
        <f t="shared" si="21"/>
        <v>Tuesday</v>
      </c>
    </row>
    <row r="98" spans="1:36" x14ac:dyDescent="0.3">
      <c r="A98" s="5" t="s">
        <v>132</v>
      </c>
      <c r="B98" s="6">
        <v>45460</v>
      </c>
      <c r="C98" s="7">
        <v>0.36458333333333331</v>
      </c>
      <c r="D98" s="5" t="s">
        <v>1820</v>
      </c>
      <c r="E98" s="5" t="s">
        <v>2019</v>
      </c>
      <c r="F98" s="5" t="s">
        <v>2240</v>
      </c>
      <c r="G98" s="5" t="s">
        <v>2254</v>
      </c>
      <c r="H98" s="5" t="s">
        <v>2259</v>
      </c>
      <c r="I98" s="5" t="s">
        <v>2263</v>
      </c>
      <c r="J98" s="5" t="s">
        <v>2266</v>
      </c>
      <c r="K98" s="8">
        <v>2</v>
      </c>
      <c r="L98" s="9">
        <v>110</v>
      </c>
      <c r="M98" s="10">
        <v>0</v>
      </c>
      <c r="N98" s="9">
        <f t="shared" si="22"/>
        <v>220</v>
      </c>
      <c r="O98" s="9">
        <f t="shared" si="12"/>
        <v>220</v>
      </c>
      <c r="P98" s="5" t="s">
        <v>2269</v>
      </c>
      <c r="Q98" s="5" t="s">
        <v>2272</v>
      </c>
      <c r="R98" s="5" t="s">
        <v>2275</v>
      </c>
      <c r="S98" s="5" t="s">
        <v>2283</v>
      </c>
      <c r="T98" s="5" t="s">
        <v>2288</v>
      </c>
      <c r="U98" s="19">
        <v>3</v>
      </c>
      <c r="V98" s="8">
        <v>168</v>
      </c>
      <c r="W98" s="8">
        <v>50</v>
      </c>
      <c r="X98" s="9">
        <v>44.91</v>
      </c>
      <c r="Y98" s="9">
        <f t="shared" si="13"/>
        <v>130.18</v>
      </c>
      <c r="Z98" s="5" t="s">
        <v>2293</v>
      </c>
      <c r="AA98" s="5" t="s">
        <v>2299</v>
      </c>
      <c r="AB98" s="9">
        <f t="shared" si="14"/>
        <v>220</v>
      </c>
      <c r="AC98" s="9">
        <f t="shared" si="15"/>
        <v>0</v>
      </c>
      <c r="AD98" s="9">
        <f t="shared" si="16"/>
        <v>220</v>
      </c>
      <c r="AE98" s="9">
        <f t="shared" si="17"/>
        <v>89.82</v>
      </c>
      <c r="AF98" s="9">
        <f t="shared" si="23"/>
        <v>130.18</v>
      </c>
      <c r="AG98" s="8">
        <f t="shared" si="18"/>
        <v>2024</v>
      </c>
      <c r="AH98" s="8">
        <f t="shared" si="19"/>
        <v>6</v>
      </c>
      <c r="AI98" s="5" t="str">
        <f t="shared" si="20"/>
        <v>Jun</v>
      </c>
      <c r="AJ98" s="5" t="str">
        <f t="shared" si="21"/>
        <v>Monday</v>
      </c>
    </row>
    <row r="99" spans="1:36" x14ac:dyDescent="0.3">
      <c r="A99" s="5" t="s">
        <v>133</v>
      </c>
      <c r="B99" s="18">
        <v>45468</v>
      </c>
      <c r="C99" s="7">
        <v>0.59027777777777779</v>
      </c>
      <c r="D99" s="5" t="s">
        <v>1787</v>
      </c>
      <c r="E99" s="5" t="s">
        <v>2020</v>
      </c>
      <c r="F99" s="5" t="s">
        <v>2239</v>
      </c>
      <c r="G99" s="5" t="s">
        <v>2248</v>
      </c>
      <c r="H99" s="5" t="s">
        <v>2257</v>
      </c>
      <c r="I99" s="5" t="s">
        <v>2262</v>
      </c>
      <c r="J99" s="5" t="s">
        <v>2265</v>
      </c>
      <c r="K99" s="8">
        <v>2</v>
      </c>
      <c r="L99" s="9">
        <v>155</v>
      </c>
      <c r="M99" s="10">
        <v>0</v>
      </c>
      <c r="N99" s="9">
        <f t="shared" si="22"/>
        <v>310</v>
      </c>
      <c r="O99" s="9">
        <f t="shared" si="12"/>
        <v>310</v>
      </c>
      <c r="P99" s="5" t="s">
        <v>2267</v>
      </c>
      <c r="Q99" s="5" t="s">
        <v>2271</v>
      </c>
      <c r="R99" s="5" t="s">
        <v>2276</v>
      </c>
      <c r="S99" s="5" t="s">
        <v>2282</v>
      </c>
      <c r="T99" s="5" t="s">
        <v>2290</v>
      </c>
      <c r="U99" s="19">
        <v>3</v>
      </c>
      <c r="V99" s="8">
        <v>131</v>
      </c>
      <c r="W99" s="8">
        <v>19</v>
      </c>
      <c r="X99" s="9">
        <v>64.28</v>
      </c>
      <c r="Y99" s="9">
        <f t="shared" si="13"/>
        <v>181.44</v>
      </c>
      <c r="Z99" s="5" t="s">
        <v>1761</v>
      </c>
      <c r="AA99" s="5" t="s">
        <v>2297</v>
      </c>
      <c r="AB99" s="9">
        <f t="shared" si="14"/>
        <v>310</v>
      </c>
      <c r="AC99" s="9">
        <f t="shared" si="15"/>
        <v>0</v>
      </c>
      <c r="AD99" s="9">
        <f t="shared" si="16"/>
        <v>310</v>
      </c>
      <c r="AE99" s="9">
        <f t="shared" si="17"/>
        <v>128.56</v>
      </c>
      <c r="AF99" s="9">
        <f t="shared" si="23"/>
        <v>181.44</v>
      </c>
      <c r="AG99" s="8">
        <f t="shared" si="18"/>
        <v>2024</v>
      </c>
      <c r="AH99" s="8">
        <f t="shared" si="19"/>
        <v>6</v>
      </c>
      <c r="AI99" s="5" t="str">
        <f t="shared" si="20"/>
        <v>Jun</v>
      </c>
      <c r="AJ99" s="5" t="str">
        <f t="shared" si="21"/>
        <v>Tuesday</v>
      </c>
    </row>
    <row r="100" spans="1:36" x14ac:dyDescent="0.3">
      <c r="A100" s="5" t="s">
        <v>134</v>
      </c>
      <c r="B100" s="6">
        <v>45603</v>
      </c>
      <c r="C100" s="7">
        <v>0.39583333333333331</v>
      </c>
      <c r="D100" s="5" t="s">
        <v>1821</v>
      </c>
      <c r="E100" s="5" t="s">
        <v>2021</v>
      </c>
      <c r="F100" s="5" t="s">
        <v>2239</v>
      </c>
      <c r="G100" s="5" t="s">
        <v>2243</v>
      </c>
      <c r="H100" s="5" t="s">
        <v>2258</v>
      </c>
      <c r="I100" s="5" t="s">
        <v>2260</v>
      </c>
      <c r="J100" s="5" t="s">
        <v>2264</v>
      </c>
      <c r="K100" s="8">
        <v>2</v>
      </c>
      <c r="L100" s="9">
        <v>65</v>
      </c>
      <c r="M100" s="10">
        <v>0.1</v>
      </c>
      <c r="N100" s="9">
        <f t="shared" si="22"/>
        <v>130</v>
      </c>
      <c r="O100" s="9">
        <f t="shared" si="12"/>
        <v>117</v>
      </c>
      <c r="P100" s="5" t="s">
        <v>1761</v>
      </c>
      <c r="Q100" s="5" t="s">
        <v>2270</v>
      </c>
      <c r="R100" s="5" t="s">
        <v>2279</v>
      </c>
      <c r="S100" s="5" t="s">
        <v>2286</v>
      </c>
      <c r="T100" s="5" t="s">
        <v>2289</v>
      </c>
      <c r="U100" s="8">
        <v>4</v>
      </c>
      <c r="V100" s="8">
        <v>31</v>
      </c>
      <c r="W100" s="19">
        <v>34</v>
      </c>
      <c r="X100" s="9">
        <v>34.28</v>
      </c>
      <c r="Y100" s="9">
        <f t="shared" si="13"/>
        <v>48.44</v>
      </c>
      <c r="Z100" s="5" t="s">
        <v>2293</v>
      </c>
      <c r="AA100" s="5" t="s">
        <v>2297</v>
      </c>
      <c r="AB100" s="9">
        <f t="shared" si="14"/>
        <v>130</v>
      </c>
      <c r="AC100" s="9">
        <f t="shared" si="15"/>
        <v>13</v>
      </c>
      <c r="AD100" s="9">
        <f t="shared" si="16"/>
        <v>117</v>
      </c>
      <c r="AE100" s="9">
        <f t="shared" si="17"/>
        <v>68.56</v>
      </c>
      <c r="AF100" s="9">
        <f t="shared" si="23"/>
        <v>48.44</v>
      </c>
      <c r="AG100" s="8">
        <f t="shared" si="18"/>
        <v>2024</v>
      </c>
      <c r="AH100" s="8">
        <f t="shared" si="19"/>
        <v>11</v>
      </c>
      <c r="AI100" s="5" t="str">
        <f t="shared" si="20"/>
        <v>Nov</v>
      </c>
      <c r="AJ100" s="5" t="str">
        <f t="shared" si="21"/>
        <v>Thursday</v>
      </c>
    </row>
    <row r="101" spans="1:36" x14ac:dyDescent="0.3">
      <c r="A101" s="5" t="s">
        <v>135</v>
      </c>
      <c r="B101" s="6">
        <v>45343</v>
      </c>
      <c r="C101" s="7">
        <v>0.76041666666666663</v>
      </c>
      <c r="D101" s="5" t="s">
        <v>1822</v>
      </c>
      <c r="E101" s="5" t="s">
        <v>2022</v>
      </c>
      <c r="F101" s="5" t="s">
        <v>2239</v>
      </c>
      <c r="G101" s="5" t="s">
        <v>2244</v>
      </c>
      <c r="H101" s="5" t="s">
        <v>2257</v>
      </c>
      <c r="I101" s="5" t="s">
        <v>2262</v>
      </c>
      <c r="J101" s="5" t="s">
        <v>2265</v>
      </c>
      <c r="K101" s="8">
        <v>3</v>
      </c>
      <c r="L101" s="9">
        <v>120</v>
      </c>
      <c r="M101" s="10">
        <v>0.15</v>
      </c>
      <c r="N101" s="9">
        <f t="shared" si="22"/>
        <v>360</v>
      </c>
      <c r="O101" s="9">
        <f t="shared" si="12"/>
        <v>306</v>
      </c>
      <c r="P101" s="5" t="s">
        <v>2269</v>
      </c>
      <c r="Q101" s="5" t="s">
        <v>2270</v>
      </c>
      <c r="R101" s="5" t="s">
        <v>2278</v>
      </c>
      <c r="S101" s="5" t="s">
        <v>2286</v>
      </c>
      <c r="T101" s="5" t="s">
        <v>2288</v>
      </c>
      <c r="U101" s="8">
        <v>5</v>
      </c>
      <c r="V101" s="19">
        <v>244</v>
      </c>
      <c r="W101" s="8">
        <v>43</v>
      </c>
      <c r="X101" s="9">
        <v>52.5</v>
      </c>
      <c r="Y101" s="9">
        <f t="shared" si="13"/>
        <v>148.5</v>
      </c>
      <c r="Z101" s="5" t="s">
        <v>1761</v>
      </c>
      <c r="AA101" s="5" t="s">
        <v>1761</v>
      </c>
      <c r="AB101" s="9">
        <f t="shared" si="14"/>
        <v>360</v>
      </c>
      <c r="AC101" s="9">
        <f t="shared" si="15"/>
        <v>54</v>
      </c>
      <c r="AD101" s="9">
        <f t="shared" si="16"/>
        <v>306</v>
      </c>
      <c r="AE101" s="9">
        <f t="shared" si="17"/>
        <v>157.5</v>
      </c>
      <c r="AF101" s="9">
        <f t="shared" si="23"/>
        <v>148.5</v>
      </c>
      <c r="AG101" s="8">
        <f t="shared" si="18"/>
        <v>2024</v>
      </c>
      <c r="AH101" s="8">
        <f t="shared" si="19"/>
        <v>2</v>
      </c>
      <c r="AI101" s="5" t="str">
        <f t="shared" si="20"/>
        <v>Feb</v>
      </c>
      <c r="AJ101" s="5" t="str">
        <f t="shared" si="21"/>
        <v>Wednesday</v>
      </c>
    </row>
    <row r="102" spans="1:36" x14ac:dyDescent="0.3">
      <c r="A102" s="5" t="s">
        <v>136</v>
      </c>
      <c r="B102" s="6">
        <v>45329</v>
      </c>
      <c r="C102" s="7">
        <v>0.36458333333333331</v>
      </c>
      <c r="D102" s="5" t="s">
        <v>1823</v>
      </c>
      <c r="E102" s="5" t="s">
        <v>2023</v>
      </c>
      <c r="F102" s="5" t="s">
        <v>1761</v>
      </c>
      <c r="G102" s="5" t="s">
        <v>2250</v>
      </c>
      <c r="H102" s="5" t="s">
        <v>2259</v>
      </c>
      <c r="I102" s="5" t="s">
        <v>2262</v>
      </c>
      <c r="J102" s="5" t="s">
        <v>2265</v>
      </c>
      <c r="K102" s="8">
        <v>1</v>
      </c>
      <c r="L102" s="9">
        <v>80</v>
      </c>
      <c r="M102" s="10">
        <v>0.15</v>
      </c>
      <c r="N102" s="9">
        <f t="shared" si="22"/>
        <v>80</v>
      </c>
      <c r="O102" s="9">
        <f t="shared" si="12"/>
        <v>68</v>
      </c>
      <c r="P102" s="5" t="s">
        <v>2268</v>
      </c>
      <c r="Q102" s="5" t="s">
        <v>2272</v>
      </c>
      <c r="R102" s="5" t="s">
        <v>2273</v>
      </c>
      <c r="S102" s="5" t="s">
        <v>2282</v>
      </c>
      <c r="T102" s="5" t="s">
        <v>2288</v>
      </c>
      <c r="U102" s="8">
        <v>5</v>
      </c>
      <c r="V102" s="8">
        <v>128</v>
      </c>
      <c r="W102" s="8">
        <v>44</v>
      </c>
      <c r="X102" s="9">
        <v>36.08</v>
      </c>
      <c r="Y102" s="9">
        <f t="shared" si="13"/>
        <v>31.92</v>
      </c>
      <c r="Z102" s="5" t="s">
        <v>2291</v>
      </c>
      <c r="AA102" s="5" t="s">
        <v>2298</v>
      </c>
      <c r="AB102" s="9">
        <f t="shared" si="14"/>
        <v>80</v>
      </c>
      <c r="AC102" s="9">
        <f t="shared" si="15"/>
        <v>12</v>
      </c>
      <c r="AD102" s="9">
        <f t="shared" si="16"/>
        <v>68</v>
      </c>
      <c r="AE102" s="9">
        <f t="shared" si="17"/>
        <v>36.08</v>
      </c>
      <c r="AF102" s="9">
        <f t="shared" si="23"/>
        <v>31.92</v>
      </c>
      <c r="AG102" s="8">
        <f t="shared" si="18"/>
        <v>2024</v>
      </c>
      <c r="AH102" s="8">
        <f t="shared" si="19"/>
        <v>2</v>
      </c>
      <c r="AI102" s="5" t="str">
        <f t="shared" si="20"/>
        <v>Feb</v>
      </c>
      <c r="AJ102" s="5" t="str">
        <f t="shared" si="21"/>
        <v>Wednesday</v>
      </c>
    </row>
    <row r="103" spans="1:36" x14ac:dyDescent="0.3">
      <c r="A103" s="5" t="s">
        <v>137</v>
      </c>
      <c r="B103" s="6">
        <v>45456</v>
      </c>
      <c r="C103" s="7">
        <v>0.75</v>
      </c>
      <c r="D103" s="5" t="s">
        <v>1824</v>
      </c>
      <c r="E103" s="5" t="s">
        <v>2024</v>
      </c>
      <c r="F103" s="5" t="s">
        <v>2240</v>
      </c>
      <c r="G103" s="5" t="s">
        <v>2252</v>
      </c>
      <c r="H103" s="5" t="s">
        <v>2257</v>
      </c>
      <c r="I103" s="5" t="s">
        <v>2262</v>
      </c>
      <c r="J103" s="5" t="s">
        <v>2264</v>
      </c>
      <c r="K103" s="8">
        <v>1</v>
      </c>
      <c r="L103" s="9">
        <v>90</v>
      </c>
      <c r="M103" s="10">
        <v>0.05</v>
      </c>
      <c r="N103" s="9">
        <f t="shared" si="22"/>
        <v>90</v>
      </c>
      <c r="O103" s="9">
        <f t="shared" si="12"/>
        <v>85.5</v>
      </c>
      <c r="P103" s="5" t="s">
        <v>2269</v>
      </c>
      <c r="Q103" s="5" t="s">
        <v>2272</v>
      </c>
      <c r="R103" s="5" t="s">
        <v>2278</v>
      </c>
      <c r="S103" s="5" t="s">
        <v>2285</v>
      </c>
      <c r="T103" s="5" t="s">
        <v>2288</v>
      </c>
      <c r="U103" s="8">
        <v>2</v>
      </c>
      <c r="V103" s="8">
        <v>341</v>
      </c>
      <c r="W103" s="8">
        <v>35</v>
      </c>
      <c r="X103" s="9">
        <v>32.01</v>
      </c>
      <c r="Y103" s="9">
        <f t="shared" si="13"/>
        <v>53.49</v>
      </c>
      <c r="Z103" s="5" t="s">
        <v>2294</v>
      </c>
      <c r="AA103" s="5" t="s">
        <v>2297</v>
      </c>
      <c r="AB103" s="9">
        <f t="shared" si="14"/>
        <v>90</v>
      </c>
      <c r="AC103" s="9">
        <f t="shared" si="15"/>
        <v>4.5</v>
      </c>
      <c r="AD103" s="9">
        <f t="shared" si="16"/>
        <v>85.5</v>
      </c>
      <c r="AE103" s="9">
        <f t="shared" si="17"/>
        <v>32.01</v>
      </c>
      <c r="AF103" s="9">
        <f t="shared" si="23"/>
        <v>53.49</v>
      </c>
      <c r="AG103" s="8">
        <f t="shared" si="18"/>
        <v>2024</v>
      </c>
      <c r="AH103" s="8">
        <f t="shared" si="19"/>
        <v>6</v>
      </c>
      <c r="AI103" s="5" t="str">
        <f t="shared" si="20"/>
        <v>Jun</v>
      </c>
      <c r="AJ103" s="5" t="str">
        <f t="shared" si="21"/>
        <v>Thursday</v>
      </c>
    </row>
    <row r="104" spans="1:36" x14ac:dyDescent="0.3">
      <c r="A104" s="5" t="s">
        <v>138</v>
      </c>
      <c r="B104" s="6">
        <v>45516</v>
      </c>
      <c r="C104" s="7">
        <v>0.46875</v>
      </c>
      <c r="D104" s="5" t="s">
        <v>1825</v>
      </c>
      <c r="E104" s="5" t="s">
        <v>1952</v>
      </c>
      <c r="F104" s="5" t="s">
        <v>2239</v>
      </c>
      <c r="G104" s="5" t="s">
        <v>2252</v>
      </c>
      <c r="H104" s="5" t="s">
        <v>2257</v>
      </c>
      <c r="I104" s="5" t="s">
        <v>2262</v>
      </c>
      <c r="J104" s="5" t="s">
        <v>2264</v>
      </c>
      <c r="K104" s="8">
        <v>4</v>
      </c>
      <c r="L104" s="9">
        <v>90</v>
      </c>
      <c r="M104" s="10">
        <v>0</v>
      </c>
      <c r="N104" s="9">
        <f t="shared" si="22"/>
        <v>360</v>
      </c>
      <c r="O104" s="9">
        <f t="shared" si="12"/>
        <v>360</v>
      </c>
      <c r="P104" s="5" t="s">
        <v>2269</v>
      </c>
      <c r="Q104" s="5" t="s">
        <v>2272</v>
      </c>
      <c r="R104" s="5" t="s">
        <v>2276</v>
      </c>
      <c r="S104" s="5" t="s">
        <v>2282</v>
      </c>
      <c r="T104" s="5" t="s">
        <v>2288</v>
      </c>
      <c r="U104" s="19">
        <v>3</v>
      </c>
      <c r="V104" s="8">
        <v>459</v>
      </c>
      <c r="W104" s="19">
        <v>35</v>
      </c>
      <c r="X104" s="9">
        <v>35.14</v>
      </c>
      <c r="Y104" s="9">
        <f t="shared" si="13"/>
        <v>219.44</v>
      </c>
      <c r="Z104" s="5" t="s">
        <v>2291</v>
      </c>
      <c r="AA104" s="5" t="s">
        <v>2299</v>
      </c>
      <c r="AB104" s="9">
        <f t="shared" si="14"/>
        <v>360</v>
      </c>
      <c r="AC104" s="9">
        <f t="shared" si="15"/>
        <v>0</v>
      </c>
      <c r="AD104" s="9">
        <f t="shared" si="16"/>
        <v>360</v>
      </c>
      <c r="AE104" s="9">
        <f t="shared" si="17"/>
        <v>140.56</v>
      </c>
      <c r="AF104" s="9">
        <f t="shared" si="23"/>
        <v>219.44</v>
      </c>
      <c r="AG104" s="8">
        <f t="shared" si="18"/>
        <v>2024</v>
      </c>
      <c r="AH104" s="8">
        <f t="shared" si="19"/>
        <v>8</v>
      </c>
      <c r="AI104" s="5" t="str">
        <f t="shared" si="20"/>
        <v>Aug</v>
      </c>
      <c r="AJ104" s="5" t="str">
        <f t="shared" si="21"/>
        <v>Monday</v>
      </c>
    </row>
    <row r="105" spans="1:36" x14ac:dyDescent="0.3">
      <c r="A105" s="5" t="s">
        <v>139</v>
      </c>
      <c r="B105" s="6">
        <v>45425</v>
      </c>
      <c r="C105" s="7">
        <v>0.86805555555555558</v>
      </c>
      <c r="D105" s="5" t="s">
        <v>1761</v>
      </c>
      <c r="E105" s="5" t="s">
        <v>1997</v>
      </c>
      <c r="F105" s="5" t="s">
        <v>1761</v>
      </c>
      <c r="G105" s="5" t="s">
        <v>2252</v>
      </c>
      <c r="H105" s="5" t="s">
        <v>2257</v>
      </c>
      <c r="I105" s="5" t="s">
        <v>2262</v>
      </c>
      <c r="J105" s="5" t="s">
        <v>2265</v>
      </c>
      <c r="K105" s="8">
        <v>2</v>
      </c>
      <c r="L105" s="9">
        <v>90</v>
      </c>
      <c r="M105" s="10">
        <v>0</v>
      </c>
      <c r="N105" s="9">
        <f t="shared" si="22"/>
        <v>180</v>
      </c>
      <c r="O105" s="9">
        <f t="shared" si="12"/>
        <v>180</v>
      </c>
      <c r="P105" s="5" t="s">
        <v>2267</v>
      </c>
      <c r="Q105" s="5" t="s">
        <v>2271</v>
      </c>
      <c r="R105" s="5" t="s">
        <v>2274</v>
      </c>
      <c r="S105" s="5" t="s">
        <v>2280</v>
      </c>
      <c r="T105" s="5" t="s">
        <v>2289</v>
      </c>
      <c r="U105" s="8">
        <v>2</v>
      </c>
      <c r="V105" s="8">
        <v>194</v>
      </c>
      <c r="W105" s="8">
        <v>58</v>
      </c>
      <c r="X105" s="9">
        <v>37.6</v>
      </c>
      <c r="Y105" s="9">
        <f t="shared" si="13"/>
        <v>104.8</v>
      </c>
      <c r="Z105" s="5" t="s">
        <v>2293</v>
      </c>
      <c r="AA105" s="5" t="s">
        <v>2299</v>
      </c>
      <c r="AB105" s="9">
        <f t="shared" si="14"/>
        <v>180</v>
      </c>
      <c r="AC105" s="9">
        <f t="shared" si="15"/>
        <v>0</v>
      </c>
      <c r="AD105" s="9">
        <f t="shared" si="16"/>
        <v>180</v>
      </c>
      <c r="AE105" s="9">
        <f t="shared" si="17"/>
        <v>75.2</v>
      </c>
      <c r="AF105" s="9">
        <f t="shared" si="23"/>
        <v>104.8</v>
      </c>
      <c r="AG105" s="8">
        <f t="shared" si="18"/>
        <v>2024</v>
      </c>
      <c r="AH105" s="8">
        <f t="shared" si="19"/>
        <v>5</v>
      </c>
      <c r="AI105" s="5" t="str">
        <f t="shared" si="20"/>
        <v>May</v>
      </c>
      <c r="AJ105" s="5" t="str">
        <f t="shared" si="21"/>
        <v>Monday</v>
      </c>
    </row>
    <row r="106" spans="1:36" x14ac:dyDescent="0.3">
      <c r="A106" s="5" t="s">
        <v>140</v>
      </c>
      <c r="B106" s="6">
        <v>45509</v>
      </c>
      <c r="C106" s="7">
        <v>0.72916666666666663</v>
      </c>
      <c r="D106" s="5" t="s">
        <v>1826</v>
      </c>
      <c r="E106" s="5" t="s">
        <v>2025</v>
      </c>
      <c r="F106" s="5" t="s">
        <v>2238</v>
      </c>
      <c r="G106" s="5" t="s">
        <v>2253</v>
      </c>
      <c r="H106" s="5" t="s">
        <v>2258</v>
      </c>
      <c r="I106" s="5" t="s">
        <v>2260</v>
      </c>
      <c r="J106" s="5" t="s">
        <v>1761</v>
      </c>
      <c r="K106" s="8">
        <v>2</v>
      </c>
      <c r="L106" s="9">
        <v>90</v>
      </c>
      <c r="M106" s="10">
        <v>0.05</v>
      </c>
      <c r="N106" s="9">
        <f t="shared" si="22"/>
        <v>180</v>
      </c>
      <c r="O106" s="9">
        <f t="shared" si="12"/>
        <v>171</v>
      </c>
      <c r="P106" s="5" t="s">
        <v>2268</v>
      </c>
      <c r="Q106" s="5" t="s">
        <v>2270</v>
      </c>
      <c r="R106" s="5" t="s">
        <v>2279</v>
      </c>
      <c r="S106" s="5" t="s">
        <v>2284</v>
      </c>
      <c r="T106" s="5" t="s">
        <v>2288</v>
      </c>
      <c r="U106" s="8">
        <v>5</v>
      </c>
      <c r="V106" s="8">
        <v>2</v>
      </c>
      <c r="W106" s="8">
        <v>15</v>
      </c>
      <c r="X106" s="9">
        <v>39.36</v>
      </c>
      <c r="Y106" s="9">
        <f t="shared" si="13"/>
        <v>92.28</v>
      </c>
      <c r="Z106" s="5" t="s">
        <v>1761</v>
      </c>
      <c r="AA106" s="5" t="s">
        <v>2299</v>
      </c>
      <c r="AB106" s="9">
        <f t="shared" si="14"/>
        <v>180</v>
      </c>
      <c r="AC106" s="9">
        <f t="shared" si="15"/>
        <v>9</v>
      </c>
      <c r="AD106" s="9">
        <f t="shared" si="16"/>
        <v>171</v>
      </c>
      <c r="AE106" s="9">
        <f t="shared" si="17"/>
        <v>78.72</v>
      </c>
      <c r="AF106" s="9">
        <f t="shared" si="23"/>
        <v>92.28</v>
      </c>
      <c r="AG106" s="8">
        <f t="shared" si="18"/>
        <v>2024</v>
      </c>
      <c r="AH106" s="8">
        <f t="shared" si="19"/>
        <v>8</v>
      </c>
      <c r="AI106" s="5" t="str">
        <f t="shared" si="20"/>
        <v>Aug</v>
      </c>
      <c r="AJ106" s="5" t="str">
        <f t="shared" si="21"/>
        <v>Monday</v>
      </c>
    </row>
    <row r="107" spans="1:36" x14ac:dyDescent="0.3">
      <c r="A107" s="5" t="s">
        <v>141</v>
      </c>
      <c r="B107" s="6">
        <v>45304</v>
      </c>
      <c r="C107" s="7">
        <v>0.84722222222222221</v>
      </c>
      <c r="D107" s="5" t="s">
        <v>1827</v>
      </c>
      <c r="E107" s="5" t="s">
        <v>2026</v>
      </c>
      <c r="F107" s="5" t="s">
        <v>2240</v>
      </c>
      <c r="G107" s="5" t="s">
        <v>2250</v>
      </c>
      <c r="H107" s="5" t="s">
        <v>2259</v>
      </c>
      <c r="I107" s="5" t="s">
        <v>2262</v>
      </c>
      <c r="J107" s="5" t="s">
        <v>2266</v>
      </c>
      <c r="K107" s="8">
        <v>3</v>
      </c>
      <c r="L107" s="9">
        <v>80</v>
      </c>
      <c r="M107" s="10">
        <v>0.1</v>
      </c>
      <c r="N107" s="9">
        <f t="shared" si="22"/>
        <v>240</v>
      </c>
      <c r="O107" s="9">
        <f t="shared" si="12"/>
        <v>216</v>
      </c>
      <c r="P107" s="5" t="s">
        <v>2268</v>
      </c>
      <c r="Q107" s="5" t="s">
        <v>2270</v>
      </c>
      <c r="R107" s="5" t="s">
        <v>2273</v>
      </c>
      <c r="S107" s="5" t="s">
        <v>2283</v>
      </c>
      <c r="T107" s="5" t="s">
        <v>2290</v>
      </c>
      <c r="U107" s="8">
        <v>2</v>
      </c>
      <c r="V107" s="8">
        <v>435</v>
      </c>
      <c r="W107" s="8">
        <v>14</v>
      </c>
      <c r="X107" s="9">
        <v>31.45</v>
      </c>
      <c r="Y107" s="9">
        <f t="shared" si="13"/>
        <v>121.65</v>
      </c>
      <c r="Z107" s="5" t="s">
        <v>2294</v>
      </c>
      <c r="AA107" s="5" t="s">
        <v>1761</v>
      </c>
      <c r="AB107" s="9">
        <f t="shared" si="14"/>
        <v>240</v>
      </c>
      <c r="AC107" s="9">
        <f t="shared" si="15"/>
        <v>24</v>
      </c>
      <c r="AD107" s="9">
        <f t="shared" si="16"/>
        <v>216</v>
      </c>
      <c r="AE107" s="9">
        <f t="shared" si="17"/>
        <v>94.35</v>
      </c>
      <c r="AF107" s="9">
        <f t="shared" si="23"/>
        <v>121.65</v>
      </c>
      <c r="AG107" s="8">
        <f t="shared" si="18"/>
        <v>2024</v>
      </c>
      <c r="AH107" s="8">
        <f t="shared" si="19"/>
        <v>1</v>
      </c>
      <c r="AI107" s="5" t="str">
        <f t="shared" si="20"/>
        <v>Jan</v>
      </c>
      <c r="AJ107" s="5" t="str">
        <f t="shared" si="21"/>
        <v>Saturday</v>
      </c>
    </row>
    <row r="108" spans="1:36" x14ac:dyDescent="0.3">
      <c r="A108" s="5" t="s">
        <v>142</v>
      </c>
      <c r="B108" s="6">
        <v>45344</v>
      </c>
      <c r="C108" s="7">
        <v>0.53472222222222221</v>
      </c>
      <c r="D108" s="5" t="s">
        <v>1802</v>
      </c>
      <c r="E108" s="5" t="s">
        <v>2027</v>
      </c>
      <c r="F108" s="5" t="s">
        <v>1761</v>
      </c>
      <c r="G108" s="5" t="s">
        <v>2250</v>
      </c>
      <c r="H108" s="5" t="s">
        <v>2259</v>
      </c>
      <c r="I108" s="5" t="s">
        <v>2262</v>
      </c>
      <c r="J108" s="5" t="s">
        <v>2265</v>
      </c>
      <c r="K108" s="8">
        <v>4</v>
      </c>
      <c r="L108" s="9">
        <v>80</v>
      </c>
      <c r="M108" s="10">
        <v>0</v>
      </c>
      <c r="N108" s="9">
        <f t="shared" si="22"/>
        <v>320</v>
      </c>
      <c r="O108" s="9">
        <f t="shared" si="12"/>
        <v>320</v>
      </c>
      <c r="P108" s="5" t="s">
        <v>2269</v>
      </c>
      <c r="Q108" s="5" t="s">
        <v>1761</v>
      </c>
      <c r="R108" s="5" t="s">
        <v>2278</v>
      </c>
      <c r="S108" s="5" t="s">
        <v>2284</v>
      </c>
      <c r="T108" s="5" t="s">
        <v>2288</v>
      </c>
      <c r="U108" s="8">
        <v>5</v>
      </c>
      <c r="V108" s="8">
        <v>248</v>
      </c>
      <c r="W108" s="8">
        <v>46</v>
      </c>
      <c r="X108" s="9">
        <v>33.51</v>
      </c>
      <c r="Y108" s="9">
        <f t="shared" si="13"/>
        <v>185.96</v>
      </c>
      <c r="Z108" s="5" t="s">
        <v>1761</v>
      </c>
      <c r="AA108" s="5" t="s">
        <v>2297</v>
      </c>
      <c r="AB108" s="9">
        <f t="shared" si="14"/>
        <v>320</v>
      </c>
      <c r="AC108" s="9">
        <f t="shared" si="15"/>
        <v>0</v>
      </c>
      <c r="AD108" s="9">
        <f t="shared" si="16"/>
        <v>320</v>
      </c>
      <c r="AE108" s="9">
        <f t="shared" si="17"/>
        <v>134.04</v>
      </c>
      <c r="AF108" s="9">
        <f t="shared" si="23"/>
        <v>185.96</v>
      </c>
      <c r="AG108" s="8">
        <f t="shared" si="18"/>
        <v>2024</v>
      </c>
      <c r="AH108" s="8">
        <f t="shared" si="19"/>
        <v>2</v>
      </c>
      <c r="AI108" s="5" t="str">
        <f t="shared" si="20"/>
        <v>Feb</v>
      </c>
      <c r="AJ108" s="5" t="str">
        <f t="shared" si="21"/>
        <v>Thursday</v>
      </c>
    </row>
    <row r="109" spans="1:36" x14ac:dyDescent="0.3">
      <c r="A109" s="5" t="s">
        <v>143</v>
      </c>
      <c r="B109" s="6">
        <v>45382</v>
      </c>
      <c r="C109" s="7">
        <v>0.54861111111111116</v>
      </c>
      <c r="D109" s="5" t="s">
        <v>1777</v>
      </c>
      <c r="E109" s="5" t="s">
        <v>2004</v>
      </c>
      <c r="F109" s="5" t="s">
        <v>2239</v>
      </c>
      <c r="G109" s="5" t="s">
        <v>2244</v>
      </c>
      <c r="H109" s="5" t="s">
        <v>2257</v>
      </c>
      <c r="I109" s="5" t="s">
        <v>2262</v>
      </c>
      <c r="J109" s="5" t="s">
        <v>2265</v>
      </c>
      <c r="K109" s="8">
        <v>2</v>
      </c>
      <c r="L109" s="9">
        <v>125</v>
      </c>
      <c r="M109" s="10">
        <v>0.1</v>
      </c>
      <c r="N109" s="9">
        <f t="shared" si="22"/>
        <v>250</v>
      </c>
      <c r="O109" s="9">
        <f t="shared" si="12"/>
        <v>225</v>
      </c>
      <c r="P109" s="5" t="s">
        <v>2267</v>
      </c>
      <c r="Q109" s="5" t="s">
        <v>2270</v>
      </c>
      <c r="R109" s="5" t="s">
        <v>2275</v>
      </c>
      <c r="S109" s="5" t="s">
        <v>2285</v>
      </c>
      <c r="T109" s="5" t="s">
        <v>2288</v>
      </c>
      <c r="U109" s="8">
        <v>4</v>
      </c>
      <c r="V109" s="8">
        <v>82</v>
      </c>
      <c r="W109" s="8">
        <v>24</v>
      </c>
      <c r="X109" s="9">
        <v>45.31</v>
      </c>
      <c r="Y109" s="9">
        <f t="shared" si="13"/>
        <v>134.38</v>
      </c>
      <c r="Z109" s="5" t="s">
        <v>2293</v>
      </c>
      <c r="AA109" s="5" t="s">
        <v>2296</v>
      </c>
      <c r="AB109" s="9">
        <f t="shared" si="14"/>
        <v>250</v>
      </c>
      <c r="AC109" s="9">
        <f t="shared" si="15"/>
        <v>25</v>
      </c>
      <c r="AD109" s="9">
        <f t="shared" si="16"/>
        <v>225</v>
      </c>
      <c r="AE109" s="9">
        <f t="shared" si="17"/>
        <v>90.62</v>
      </c>
      <c r="AF109" s="9">
        <f t="shared" si="23"/>
        <v>134.38</v>
      </c>
      <c r="AG109" s="8">
        <f t="shared" si="18"/>
        <v>2024</v>
      </c>
      <c r="AH109" s="8">
        <f t="shared" si="19"/>
        <v>3</v>
      </c>
      <c r="AI109" s="5" t="str">
        <f t="shared" si="20"/>
        <v>Mar</v>
      </c>
      <c r="AJ109" s="5" t="str">
        <f t="shared" si="21"/>
        <v>Sunday</v>
      </c>
    </row>
    <row r="110" spans="1:36" x14ac:dyDescent="0.3">
      <c r="A110" s="5" t="s">
        <v>144</v>
      </c>
      <c r="B110" s="6">
        <v>45641</v>
      </c>
      <c r="C110" s="7">
        <v>0.72916666666666663</v>
      </c>
      <c r="D110" s="5" t="s">
        <v>1754</v>
      </c>
      <c r="E110" s="5" t="s">
        <v>2028</v>
      </c>
      <c r="F110" s="5" t="s">
        <v>2239</v>
      </c>
      <c r="G110" s="5" t="s">
        <v>2246</v>
      </c>
      <c r="H110" s="5" t="s">
        <v>2259</v>
      </c>
      <c r="I110" s="5" t="s">
        <v>2262</v>
      </c>
      <c r="J110" s="5" t="s">
        <v>2264</v>
      </c>
      <c r="K110" s="8">
        <v>1</v>
      </c>
      <c r="L110" s="9">
        <v>90</v>
      </c>
      <c r="M110" s="10">
        <v>0</v>
      </c>
      <c r="N110" s="9">
        <f t="shared" si="22"/>
        <v>90</v>
      </c>
      <c r="O110" s="9">
        <f t="shared" si="12"/>
        <v>90</v>
      </c>
      <c r="P110" s="5" t="s">
        <v>2269</v>
      </c>
      <c r="Q110" s="5" t="s">
        <v>2270</v>
      </c>
      <c r="R110" s="5" t="s">
        <v>2275</v>
      </c>
      <c r="S110" s="5" t="s">
        <v>2283</v>
      </c>
      <c r="T110" s="5" t="s">
        <v>2290</v>
      </c>
      <c r="U110" s="19">
        <v>3</v>
      </c>
      <c r="V110" s="8">
        <v>192</v>
      </c>
      <c r="W110" s="8">
        <v>24</v>
      </c>
      <c r="X110" s="9">
        <v>36.22</v>
      </c>
      <c r="Y110" s="9">
        <f t="shared" si="13"/>
        <v>53.78</v>
      </c>
      <c r="Z110" s="5" t="s">
        <v>2293</v>
      </c>
      <c r="AA110" s="5" t="s">
        <v>2296</v>
      </c>
      <c r="AB110" s="9">
        <f t="shared" si="14"/>
        <v>90</v>
      </c>
      <c r="AC110" s="9">
        <f t="shared" si="15"/>
        <v>0</v>
      </c>
      <c r="AD110" s="9">
        <f t="shared" si="16"/>
        <v>90</v>
      </c>
      <c r="AE110" s="9">
        <f t="shared" si="17"/>
        <v>36.22</v>
      </c>
      <c r="AF110" s="9">
        <f t="shared" si="23"/>
        <v>53.78</v>
      </c>
      <c r="AG110" s="8">
        <f t="shared" si="18"/>
        <v>2024</v>
      </c>
      <c r="AH110" s="8">
        <f t="shared" si="19"/>
        <v>12</v>
      </c>
      <c r="AI110" s="5" t="str">
        <f t="shared" si="20"/>
        <v>Dec</v>
      </c>
      <c r="AJ110" s="5" t="str">
        <f t="shared" si="21"/>
        <v>Sunday</v>
      </c>
    </row>
    <row r="111" spans="1:36" x14ac:dyDescent="0.3">
      <c r="A111" s="5" t="s">
        <v>145</v>
      </c>
      <c r="B111" s="6">
        <v>45300</v>
      </c>
      <c r="C111" s="7">
        <v>0.46527777777777779</v>
      </c>
      <c r="D111" s="5" t="s">
        <v>1821</v>
      </c>
      <c r="E111" s="5" t="s">
        <v>2025</v>
      </c>
      <c r="F111" s="5" t="s">
        <v>2239</v>
      </c>
      <c r="G111" s="5" t="s">
        <v>2255</v>
      </c>
      <c r="H111" s="5" t="s">
        <v>2260</v>
      </c>
      <c r="I111" s="5" t="s">
        <v>2260</v>
      </c>
      <c r="J111" s="5" t="s">
        <v>2265</v>
      </c>
      <c r="K111" s="8">
        <v>1</v>
      </c>
      <c r="L111" s="9">
        <v>180</v>
      </c>
      <c r="M111" s="10">
        <v>0</v>
      </c>
      <c r="N111" s="9">
        <f t="shared" si="22"/>
        <v>180</v>
      </c>
      <c r="O111" s="9">
        <f t="shared" si="12"/>
        <v>180</v>
      </c>
      <c r="P111" s="5" t="s">
        <v>2267</v>
      </c>
      <c r="Q111" s="5" t="s">
        <v>2272</v>
      </c>
      <c r="R111" s="5" t="s">
        <v>2273</v>
      </c>
      <c r="S111" s="5" t="s">
        <v>2285</v>
      </c>
      <c r="T111" s="5" t="s">
        <v>2288</v>
      </c>
      <c r="U111" s="19">
        <v>3</v>
      </c>
      <c r="V111" s="8">
        <v>79</v>
      </c>
      <c r="W111" s="8">
        <v>24</v>
      </c>
      <c r="X111" s="9">
        <v>98.7</v>
      </c>
      <c r="Y111" s="9">
        <f t="shared" si="13"/>
        <v>81.3</v>
      </c>
      <c r="Z111" s="5" t="s">
        <v>1761</v>
      </c>
      <c r="AA111" s="5" t="s">
        <v>2296</v>
      </c>
      <c r="AB111" s="9">
        <f t="shared" si="14"/>
        <v>180</v>
      </c>
      <c r="AC111" s="9">
        <f t="shared" si="15"/>
        <v>0</v>
      </c>
      <c r="AD111" s="9">
        <f t="shared" si="16"/>
        <v>180</v>
      </c>
      <c r="AE111" s="9">
        <f t="shared" si="17"/>
        <v>98.7</v>
      </c>
      <c r="AF111" s="9">
        <f t="shared" si="23"/>
        <v>81.3</v>
      </c>
      <c r="AG111" s="8">
        <f t="shared" si="18"/>
        <v>2024</v>
      </c>
      <c r="AH111" s="8">
        <f t="shared" si="19"/>
        <v>1</v>
      </c>
      <c r="AI111" s="5" t="str">
        <f t="shared" si="20"/>
        <v>Jan</v>
      </c>
      <c r="AJ111" s="5" t="str">
        <f t="shared" si="21"/>
        <v>Tuesday</v>
      </c>
    </row>
    <row r="112" spans="1:36" x14ac:dyDescent="0.3">
      <c r="A112" s="5" t="s">
        <v>146</v>
      </c>
      <c r="B112" s="6">
        <v>45545</v>
      </c>
      <c r="C112" s="7">
        <v>0.40625</v>
      </c>
      <c r="D112" s="5" t="s">
        <v>1828</v>
      </c>
      <c r="E112" s="5" t="s">
        <v>1761</v>
      </c>
      <c r="F112" s="5" t="s">
        <v>2239</v>
      </c>
      <c r="G112" s="5" t="s">
        <v>2249</v>
      </c>
      <c r="H112" s="5" t="s">
        <v>2257</v>
      </c>
      <c r="I112" s="5" t="s">
        <v>2263</v>
      </c>
      <c r="J112" s="5" t="s">
        <v>2264</v>
      </c>
      <c r="K112" s="8">
        <v>1</v>
      </c>
      <c r="L112" s="9">
        <v>155</v>
      </c>
      <c r="M112" s="10">
        <v>0.05</v>
      </c>
      <c r="N112" s="9">
        <f t="shared" si="22"/>
        <v>155</v>
      </c>
      <c r="O112" s="9">
        <f t="shared" si="12"/>
        <v>147.25</v>
      </c>
      <c r="P112" s="5" t="s">
        <v>2269</v>
      </c>
      <c r="Q112" s="5" t="s">
        <v>1761</v>
      </c>
      <c r="R112" s="5" t="s">
        <v>2279</v>
      </c>
      <c r="S112" s="5" t="s">
        <v>2283</v>
      </c>
      <c r="T112" s="5" t="s">
        <v>2288</v>
      </c>
      <c r="U112" s="8">
        <v>2</v>
      </c>
      <c r="V112" s="8">
        <v>185</v>
      </c>
      <c r="W112" s="8">
        <v>40</v>
      </c>
      <c r="X112" s="9">
        <v>57.67</v>
      </c>
      <c r="Y112" s="9">
        <f t="shared" si="13"/>
        <v>89.58</v>
      </c>
      <c r="Z112" s="5" t="s">
        <v>2292</v>
      </c>
      <c r="AA112" s="5" t="s">
        <v>2296</v>
      </c>
      <c r="AB112" s="9">
        <f t="shared" si="14"/>
        <v>155</v>
      </c>
      <c r="AC112" s="9">
        <f t="shared" si="15"/>
        <v>7.75</v>
      </c>
      <c r="AD112" s="9">
        <f t="shared" si="16"/>
        <v>147.25</v>
      </c>
      <c r="AE112" s="9">
        <f t="shared" si="17"/>
        <v>57.67</v>
      </c>
      <c r="AF112" s="9">
        <f t="shared" si="23"/>
        <v>89.58</v>
      </c>
      <c r="AG112" s="8">
        <f t="shared" si="18"/>
        <v>2024</v>
      </c>
      <c r="AH112" s="8">
        <f t="shared" si="19"/>
        <v>9</v>
      </c>
      <c r="AI112" s="5" t="str">
        <f t="shared" si="20"/>
        <v>Sep</v>
      </c>
      <c r="AJ112" s="5" t="str">
        <f t="shared" si="21"/>
        <v>Tuesday</v>
      </c>
    </row>
    <row r="113" spans="1:36" x14ac:dyDescent="0.3">
      <c r="A113" s="5" t="s">
        <v>147</v>
      </c>
      <c r="B113" s="6">
        <v>45351</v>
      </c>
      <c r="C113" s="7">
        <v>0.40625</v>
      </c>
      <c r="D113" s="5" t="s">
        <v>1829</v>
      </c>
      <c r="E113" s="5" t="s">
        <v>1761</v>
      </c>
      <c r="F113" s="5" t="s">
        <v>2238</v>
      </c>
      <c r="G113" s="5" t="s">
        <v>2245</v>
      </c>
      <c r="H113" s="5" t="s">
        <v>2257</v>
      </c>
      <c r="I113" s="5" t="s">
        <v>2263</v>
      </c>
      <c r="J113" s="5" t="s">
        <v>2266</v>
      </c>
      <c r="K113" s="8">
        <v>1</v>
      </c>
      <c r="L113" s="9">
        <v>150</v>
      </c>
      <c r="M113" s="10">
        <v>0.05</v>
      </c>
      <c r="N113" s="9">
        <f t="shared" si="22"/>
        <v>150</v>
      </c>
      <c r="O113" s="9">
        <f t="shared" si="12"/>
        <v>142.5</v>
      </c>
      <c r="P113" s="5" t="s">
        <v>2267</v>
      </c>
      <c r="Q113" s="5" t="s">
        <v>2270</v>
      </c>
      <c r="R113" s="5" t="s">
        <v>2278</v>
      </c>
      <c r="S113" s="5" t="s">
        <v>2283</v>
      </c>
      <c r="T113" s="5" t="s">
        <v>2288</v>
      </c>
      <c r="U113" s="19">
        <v>3</v>
      </c>
      <c r="V113" s="8">
        <v>32</v>
      </c>
      <c r="W113" s="8">
        <v>49</v>
      </c>
      <c r="X113" s="9">
        <v>68.59</v>
      </c>
      <c r="Y113" s="9">
        <f t="shared" si="13"/>
        <v>73.91</v>
      </c>
      <c r="Z113" s="5" t="s">
        <v>2293</v>
      </c>
      <c r="AA113" s="5" t="s">
        <v>2298</v>
      </c>
      <c r="AB113" s="9">
        <f t="shared" si="14"/>
        <v>150</v>
      </c>
      <c r="AC113" s="9">
        <f t="shared" si="15"/>
        <v>7.5</v>
      </c>
      <c r="AD113" s="9">
        <f t="shared" si="16"/>
        <v>142.5</v>
      </c>
      <c r="AE113" s="9">
        <f t="shared" si="17"/>
        <v>68.59</v>
      </c>
      <c r="AF113" s="9">
        <f t="shared" si="23"/>
        <v>73.91</v>
      </c>
      <c r="AG113" s="8">
        <f t="shared" si="18"/>
        <v>2024</v>
      </c>
      <c r="AH113" s="8">
        <f t="shared" si="19"/>
        <v>2</v>
      </c>
      <c r="AI113" s="5" t="str">
        <f t="shared" si="20"/>
        <v>Feb</v>
      </c>
      <c r="AJ113" s="5" t="str">
        <f t="shared" si="21"/>
        <v>Thursday</v>
      </c>
    </row>
    <row r="114" spans="1:36" x14ac:dyDescent="0.3">
      <c r="A114" s="5" t="s">
        <v>148</v>
      </c>
      <c r="B114" s="6">
        <v>45349</v>
      </c>
      <c r="C114" s="7">
        <v>0.63194444444444442</v>
      </c>
      <c r="D114" s="5" t="s">
        <v>1742</v>
      </c>
      <c r="E114" s="5" t="s">
        <v>2029</v>
      </c>
      <c r="F114" s="5" t="s">
        <v>2239</v>
      </c>
      <c r="G114" s="5" t="s">
        <v>2249</v>
      </c>
      <c r="H114" s="5" t="s">
        <v>2257</v>
      </c>
      <c r="I114" s="5" t="s">
        <v>2263</v>
      </c>
      <c r="J114" s="5" t="s">
        <v>2266</v>
      </c>
      <c r="K114" s="8">
        <v>1</v>
      </c>
      <c r="L114" s="9">
        <v>170</v>
      </c>
      <c r="M114" s="10">
        <v>0.1</v>
      </c>
      <c r="N114" s="9">
        <f t="shared" si="22"/>
        <v>170</v>
      </c>
      <c r="O114" s="9">
        <f t="shared" si="12"/>
        <v>153</v>
      </c>
      <c r="P114" s="5" t="s">
        <v>2267</v>
      </c>
      <c r="Q114" s="5" t="s">
        <v>2272</v>
      </c>
      <c r="R114" s="5" t="s">
        <v>2274</v>
      </c>
      <c r="S114" s="5" t="s">
        <v>2287</v>
      </c>
      <c r="T114" s="5" t="s">
        <v>2288</v>
      </c>
      <c r="U114" s="8">
        <v>4</v>
      </c>
      <c r="V114" s="8">
        <v>100</v>
      </c>
      <c r="W114" s="8">
        <v>53</v>
      </c>
      <c r="X114" s="9">
        <v>66.83</v>
      </c>
      <c r="Y114" s="9">
        <f t="shared" si="13"/>
        <v>86.17</v>
      </c>
      <c r="Z114" s="5" t="s">
        <v>1761</v>
      </c>
      <c r="AA114" s="5" t="s">
        <v>2296</v>
      </c>
      <c r="AB114" s="9">
        <f t="shared" si="14"/>
        <v>170</v>
      </c>
      <c r="AC114" s="9">
        <f t="shared" si="15"/>
        <v>17</v>
      </c>
      <c r="AD114" s="9">
        <f t="shared" si="16"/>
        <v>153</v>
      </c>
      <c r="AE114" s="9">
        <f t="shared" si="17"/>
        <v>66.83</v>
      </c>
      <c r="AF114" s="9">
        <f t="shared" si="23"/>
        <v>86.17</v>
      </c>
      <c r="AG114" s="8">
        <f t="shared" si="18"/>
        <v>2024</v>
      </c>
      <c r="AH114" s="8">
        <f t="shared" si="19"/>
        <v>2</v>
      </c>
      <c r="AI114" s="5" t="str">
        <f t="shared" si="20"/>
        <v>Feb</v>
      </c>
      <c r="AJ114" s="5" t="str">
        <f t="shared" si="21"/>
        <v>Tuesday</v>
      </c>
    </row>
    <row r="115" spans="1:36" x14ac:dyDescent="0.3">
      <c r="A115" s="5" t="s">
        <v>149</v>
      </c>
      <c r="B115" s="6">
        <v>45471</v>
      </c>
      <c r="C115" s="7">
        <v>0.75694444444444442</v>
      </c>
      <c r="D115" s="5" t="s">
        <v>1757</v>
      </c>
      <c r="E115" s="5" t="s">
        <v>2030</v>
      </c>
      <c r="F115" s="5" t="s">
        <v>2240</v>
      </c>
      <c r="G115" s="5" t="s">
        <v>2241</v>
      </c>
      <c r="H115" s="5" t="s">
        <v>2257</v>
      </c>
      <c r="I115" s="5" t="s">
        <v>2262</v>
      </c>
      <c r="J115" s="5" t="s">
        <v>2266</v>
      </c>
      <c r="K115" s="8">
        <v>4</v>
      </c>
      <c r="L115" s="9">
        <v>135</v>
      </c>
      <c r="M115" s="10">
        <v>0</v>
      </c>
      <c r="N115" s="9">
        <f t="shared" si="22"/>
        <v>540</v>
      </c>
      <c r="O115" s="9">
        <f t="shared" si="12"/>
        <v>540</v>
      </c>
      <c r="P115" s="5" t="s">
        <v>2269</v>
      </c>
      <c r="Q115" s="5" t="s">
        <v>2271</v>
      </c>
      <c r="R115" s="5" t="s">
        <v>2273</v>
      </c>
      <c r="S115" s="5" t="s">
        <v>2282</v>
      </c>
      <c r="T115" s="5" t="s">
        <v>2288</v>
      </c>
      <c r="U115" s="8">
        <v>5</v>
      </c>
      <c r="V115" s="19">
        <v>244</v>
      </c>
      <c r="W115" s="8">
        <v>28</v>
      </c>
      <c r="X115" s="9">
        <v>68.64</v>
      </c>
      <c r="Y115" s="9">
        <f t="shared" si="13"/>
        <v>265.44</v>
      </c>
      <c r="Z115" s="5" t="s">
        <v>1761</v>
      </c>
      <c r="AA115" s="5" t="s">
        <v>2297</v>
      </c>
      <c r="AB115" s="9">
        <f t="shared" si="14"/>
        <v>540</v>
      </c>
      <c r="AC115" s="9">
        <f t="shared" si="15"/>
        <v>0</v>
      </c>
      <c r="AD115" s="9">
        <f t="shared" si="16"/>
        <v>540</v>
      </c>
      <c r="AE115" s="9">
        <f t="shared" si="17"/>
        <v>274.56</v>
      </c>
      <c r="AF115" s="9">
        <f t="shared" si="23"/>
        <v>265.44</v>
      </c>
      <c r="AG115" s="8">
        <f t="shared" si="18"/>
        <v>2024</v>
      </c>
      <c r="AH115" s="8">
        <f t="shared" si="19"/>
        <v>6</v>
      </c>
      <c r="AI115" s="5" t="str">
        <f t="shared" si="20"/>
        <v>Jun</v>
      </c>
      <c r="AJ115" s="5" t="str">
        <f t="shared" si="21"/>
        <v>Friday</v>
      </c>
    </row>
    <row r="116" spans="1:36" x14ac:dyDescent="0.3">
      <c r="A116" s="5" t="s">
        <v>150</v>
      </c>
      <c r="B116" s="6">
        <v>45448</v>
      </c>
      <c r="C116" s="7">
        <v>0.2986111111111111</v>
      </c>
      <c r="D116" s="5" t="s">
        <v>1762</v>
      </c>
      <c r="E116" s="5" t="s">
        <v>1960</v>
      </c>
      <c r="F116" s="5" t="s">
        <v>2240</v>
      </c>
      <c r="G116" s="5" t="s">
        <v>2251</v>
      </c>
      <c r="H116" s="5" t="s">
        <v>2258</v>
      </c>
      <c r="I116" s="5" t="s">
        <v>2260</v>
      </c>
      <c r="J116" s="5" t="s">
        <v>2265</v>
      </c>
      <c r="K116" s="8">
        <v>2</v>
      </c>
      <c r="L116" s="9">
        <v>95</v>
      </c>
      <c r="M116" s="10">
        <v>0</v>
      </c>
      <c r="N116" s="9">
        <f t="shared" si="22"/>
        <v>190</v>
      </c>
      <c r="O116" s="9">
        <f t="shared" si="12"/>
        <v>190</v>
      </c>
      <c r="P116" s="5" t="s">
        <v>2269</v>
      </c>
      <c r="Q116" s="5" t="s">
        <v>2272</v>
      </c>
      <c r="R116" s="5" t="s">
        <v>2278</v>
      </c>
      <c r="S116" s="5" t="s">
        <v>2287</v>
      </c>
      <c r="T116" s="5" t="s">
        <v>2288</v>
      </c>
      <c r="U116" s="8">
        <v>3</v>
      </c>
      <c r="V116" s="8">
        <v>132</v>
      </c>
      <c r="W116" s="8">
        <v>49</v>
      </c>
      <c r="X116" s="9">
        <v>42.29</v>
      </c>
      <c r="Y116" s="9">
        <f t="shared" si="13"/>
        <v>105.42</v>
      </c>
      <c r="Z116" s="5" t="s">
        <v>2294</v>
      </c>
      <c r="AA116" s="5" t="s">
        <v>2296</v>
      </c>
      <c r="AB116" s="9">
        <f t="shared" si="14"/>
        <v>190</v>
      </c>
      <c r="AC116" s="9">
        <f t="shared" si="15"/>
        <v>0</v>
      </c>
      <c r="AD116" s="9">
        <f t="shared" si="16"/>
        <v>190</v>
      </c>
      <c r="AE116" s="9">
        <f t="shared" si="17"/>
        <v>84.58</v>
      </c>
      <c r="AF116" s="9">
        <f t="shared" si="23"/>
        <v>105.42</v>
      </c>
      <c r="AG116" s="8">
        <f t="shared" si="18"/>
        <v>2024</v>
      </c>
      <c r="AH116" s="8">
        <f t="shared" si="19"/>
        <v>6</v>
      </c>
      <c r="AI116" s="5" t="str">
        <f t="shared" si="20"/>
        <v>Jun</v>
      </c>
      <c r="AJ116" s="5" t="str">
        <f t="shared" si="21"/>
        <v>Wednesday</v>
      </c>
    </row>
    <row r="117" spans="1:36" x14ac:dyDescent="0.3">
      <c r="A117" s="5" t="s">
        <v>151</v>
      </c>
      <c r="B117" s="6">
        <v>45351</v>
      </c>
      <c r="C117" s="7">
        <v>0.33333333333333331</v>
      </c>
      <c r="D117" s="5" t="s">
        <v>1761</v>
      </c>
      <c r="E117" s="5" t="s">
        <v>2031</v>
      </c>
      <c r="F117" s="5" t="s">
        <v>2238</v>
      </c>
      <c r="G117" s="5" t="s">
        <v>2249</v>
      </c>
      <c r="H117" s="5" t="s">
        <v>2257</v>
      </c>
      <c r="I117" s="5" t="s">
        <v>2263</v>
      </c>
      <c r="J117" s="5" t="s">
        <v>2265</v>
      </c>
      <c r="K117" s="8">
        <v>1</v>
      </c>
      <c r="L117" s="9">
        <v>165</v>
      </c>
      <c r="M117" s="10">
        <v>0.1</v>
      </c>
      <c r="N117" s="9">
        <f t="shared" si="22"/>
        <v>165</v>
      </c>
      <c r="O117" s="9">
        <f t="shared" si="12"/>
        <v>148.5</v>
      </c>
      <c r="P117" s="5" t="s">
        <v>2268</v>
      </c>
      <c r="Q117" s="5" t="s">
        <v>2272</v>
      </c>
      <c r="R117" s="5" t="s">
        <v>2279</v>
      </c>
      <c r="S117" s="5" t="s">
        <v>2283</v>
      </c>
      <c r="T117" s="5" t="s">
        <v>2288</v>
      </c>
      <c r="U117" s="8">
        <v>1</v>
      </c>
      <c r="V117" s="8">
        <v>499</v>
      </c>
      <c r="W117" s="8">
        <v>29</v>
      </c>
      <c r="X117" s="9">
        <v>77.02</v>
      </c>
      <c r="Y117" s="9">
        <f t="shared" si="13"/>
        <v>71.48</v>
      </c>
      <c r="Z117" s="5" t="s">
        <v>2291</v>
      </c>
      <c r="AA117" s="5" t="s">
        <v>2299</v>
      </c>
      <c r="AB117" s="9">
        <f t="shared" si="14"/>
        <v>165</v>
      </c>
      <c r="AC117" s="9">
        <f t="shared" si="15"/>
        <v>16.5</v>
      </c>
      <c r="AD117" s="9">
        <f t="shared" si="16"/>
        <v>148.5</v>
      </c>
      <c r="AE117" s="9">
        <f t="shared" si="17"/>
        <v>77.02</v>
      </c>
      <c r="AF117" s="9">
        <f t="shared" si="23"/>
        <v>71.48</v>
      </c>
      <c r="AG117" s="8">
        <f t="shared" si="18"/>
        <v>2024</v>
      </c>
      <c r="AH117" s="8">
        <f t="shared" si="19"/>
        <v>2</v>
      </c>
      <c r="AI117" s="5" t="str">
        <f t="shared" si="20"/>
        <v>Feb</v>
      </c>
      <c r="AJ117" s="5" t="str">
        <f t="shared" si="21"/>
        <v>Thursday</v>
      </c>
    </row>
    <row r="118" spans="1:36" x14ac:dyDescent="0.3">
      <c r="A118" s="5" t="s">
        <v>152</v>
      </c>
      <c r="B118" s="6">
        <v>45656</v>
      </c>
      <c r="C118" s="7">
        <v>0.85416666666666663</v>
      </c>
      <c r="D118" s="5" t="s">
        <v>1784</v>
      </c>
      <c r="E118" s="5" t="s">
        <v>1761</v>
      </c>
      <c r="F118" s="5" t="s">
        <v>2239</v>
      </c>
      <c r="G118" s="5" t="s">
        <v>2253</v>
      </c>
      <c r="H118" s="5" t="s">
        <v>2258</v>
      </c>
      <c r="I118" s="5" t="s">
        <v>2260</v>
      </c>
      <c r="J118" s="5" t="s">
        <v>2266</v>
      </c>
      <c r="K118" s="8">
        <v>1</v>
      </c>
      <c r="L118" s="9">
        <v>90</v>
      </c>
      <c r="M118" s="10">
        <v>0</v>
      </c>
      <c r="N118" s="9">
        <f t="shared" si="22"/>
        <v>90</v>
      </c>
      <c r="O118" s="9">
        <f t="shared" si="12"/>
        <v>90</v>
      </c>
      <c r="P118" s="5" t="s">
        <v>2268</v>
      </c>
      <c r="Q118" s="5" t="s">
        <v>2270</v>
      </c>
      <c r="R118" s="5" t="s">
        <v>2276</v>
      </c>
      <c r="S118" s="5" t="s">
        <v>2281</v>
      </c>
      <c r="T118" s="5" t="s">
        <v>2288</v>
      </c>
      <c r="U118" s="8">
        <v>5</v>
      </c>
      <c r="V118" s="8">
        <v>170</v>
      </c>
      <c r="W118" s="8">
        <v>38</v>
      </c>
      <c r="X118" s="9">
        <v>50.91</v>
      </c>
      <c r="Y118" s="9">
        <f t="shared" si="13"/>
        <v>39.090000000000003</v>
      </c>
      <c r="Z118" s="5" t="s">
        <v>2291</v>
      </c>
      <c r="AA118" s="5" t="s">
        <v>2299</v>
      </c>
      <c r="AB118" s="9">
        <f t="shared" si="14"/>
        <v>90</v>
      </c>
      <c r="AC118" s="9">
        <f t="shared" si="15"/>
        <v>0</v>
      </c>
      <c r="AD118" s="9">
        <f t="shared" si="16"/>
        <v>90</v>
      </c>
      <c r="AE118" s="9">
        <f t="shared" si="17"/>
        <v>50.91</v>
      </c>
      <c r="AF118" s="9">
        <f t="shared" si="23"/>
        <v>39.090000000000003</v>
      </c>
      <c r="AG118" s="8">
        <f t="shared" si="18"/>
        <v>2024</v>
      </c>
      <c r="AH118" s="8">
        <f t="shared" si="19"/>
        <v>12</v>
      </c>
      <c r="AI118" s="5" t="str">
        <f t="shared" si="20"/>
        <v>Dec</v>
      </c>
      <c r="AJ118" s="5" t="str">
        <f t="shared" si="21"/>
        <v>Monday</v>
      </c>
    </row>
    <row r="119" spans="1:36" x14ac:dyDescent="0.3">
      <c r="A119" s="5" t="s">
        <v>153</v>
      </c>
      <c r="B119" s="6">
        <v>45297</v>
      </c>
      <c r="C119" s="7">
        <v>0.45833333333333331</v>
      </c>
      <c r="D119" s="5" t="s">
        <v>1830</v>
      </c>
      <c r="E119" s="5" t="s">
        <v>2032</v>
      </c>
      <c r="F119" s="5" t="s">
        <v>2239</v>
      </c>
      <c r="G119" s="5" t="s">
        <v>2246</v>
      </c>
      <c r="H119" s="5" t="s">
        <v>2259</v>
      </c>
      <c r="I119" s="5" t="s">
        <v>2262</v>
      </c>
      <c r="J119" s="5" t="s">
        <v>2265</v>
      </c>
      <c r="K119" s="8">
        <v>2</v>
      </c>
      <c r="L119" s="9">
        <v>100</v>
      </c>
      <c r="M119" s="10">
        <v>0</v>
      </c>
      <c r="N119" s="9">
        <f t="shared" si="22"/>
        <v>200</v>
      </c>
      <c r="O119" s="9">
        <f t="shared" si="12"/>
        <v>200</v>
      </c>
      <c r="P119" s="5" t="s">
        <v>2267</v>
      </c>
      <c r="Q119" s="5" t="s">
        <v>2270</v>
      </c>
      <c r="R119" s="5" t="s">
        <v>2273</v>
      </c>
      <c r="S119" s="5" t="s">
        <v>2287</v>
      </c>
      <c r="T119" s="5" t="s">
        <v>2288</v>
      </c>
      <c r="U119" s="19">
        <v>3</v>
      </c>
      <c r="V119" s="8">
        <v>66</v>
      </c>
      <c r="W119" s="8">
        <v>31</v>
      </c>
      <c r="X119" s="9">
        <v>47.12</v>
      </c>
      <c r="Y119" s="9">
        <f t="shared" si="13"/>
        <v>105.76</v>
      </c>
      <c r="Z119" s="5" t="s">
        <v>2293</v>
      </c>
      <c r="AA119" s="5" t="s">
        <v>2297</v>
      </c>
      <c r="AB119" s="9">
        <f t="shared" si="14"/>
        <v>200</v>
      </c>
      <c r="AC119" s="9">
        <f t="shared" si="15"/>
        <v>0</v>
      </c>
      <c r="AD119" s="9">
        <f t="shared" si="16"/>
        <v>200</v>
      </c>
      <c r="AE119" s="9">
        <f t="shared" si="17"/>
        <v>94.24</v>
      </c>
      <c r="AF119" s="9">
        <f t="shared" si="23"/>
        <v>105.76</v>
      </c>
      <c r="AG119" s="8">
        <f t="shared" si="18"/>
        <v>2024</v>
      </c>
      <c r="AH119" s="8">
        <f t="shared" si="19"/>
        <v>1</v>
      </c>
      <c r="AI119" s="5" t="str">
        <f t="shared" si="20"/>
        <v>Jan</v>
      </c>
      <c r="AJ119" s="5" t="str">
        <f t="shared" si="21"/>
        <v>Saturday</v>
      </c>
    </row>
    <row r="120" spans="1:36" x14ac:dyDescent="0.3">
      <c r="A120" s="5" t="s">
        <v>154</v>
      </c>
      <c r="B120" s="6">
        <v>45590</v>
      </c>
      <c r="C120" s="7">
        <v>0.79166666666666663</v>
      </c>
      <c r="D120" s="5" t="s">
        <v>1771</v>
      </c>
      <c r="E120" s="5" t="s">
        <v>2033</v>
      </c>
      <c r="F120" s="5" t="s">
        <v>2240</v>
      </c>
      <c r="G120" s="5" t="s">
        <v>2243</v>
      </c>
      <c r="H120" s="5" t="s">
        <v>2258</v>
      </c>
      <c r="I120" s="5" t="s">
        <v>2260</v>
      </c>
      <c r="J120" s="5" t="s">
        <v>2264</v>
      </c>
      <c r="K120" s="19">
        <v>2</v>
      </c>
      <c r="L120" s="9">
        <v>70</v>
      </c>
      <c r="M120" s="10">
        <v>0</v>
      </c>
      <c r="N120" s="9">
        <f t="shared" si="22"/>
        <v>140</v>
      </c>
      <c r="O120" s="9">
        <f t="shared" si="12"/>
        <v>140</v>
      </c>
      <c r="P120" s="5" t="s">
        <v>1761</v>
      </c>
      <c r="Q120" s="5" t="s">
        <v>2272</v>
      </c>
      <c r="R120" s="5" t="s">
        <v>2279</v>
      </c>
      <c r="S120" s="5" t="s">
        <v>2281</v>
      </c>
      <c r="T120" s="5" t="s">
        <v>2288</v>
      </c>
      <c r="U120" s="8">
        <v>1</v>
      </c>
      <c r="V120" s="8">
        <v>280</v>
      </c>
      <c r="W120" s="8">
        <v>50</v>
      </c>
      <c r="X120" s="9">
        <v>26.66</v>
      </c>
      <c r="Y120" s="9">
        <f t="shared" si="13"/>
        <v>86.68</v>
      </c>
      <c r="Z120" s="5" t="s">
        <v>1761</v>
      </c>
      <c r="AA120" s="5" t="s">
        <v>2298</v>
      </c>
      <c r="AB120" s="9">
        <f t="shared" si="14"/>
        <v>140</v>
      </c>
      <c r="AC120" s="9">
        <f t="shared" si="15"/>
        <v>0</v>
      </c>
      <c r="AD120" s="9">
        <f t="shared" si="16"/>
        <v>140</v>
      </c>
      <c r="AE120" s="9">
        <f t="shared" si="17"/>
        <v>53.32</v>
      </c>
      <c r="AF120" s="9">
        <f t="shared" si="23"/>
        <v>86.68</v>
      </c>
      <c r="AG120" s="8">
        <f t="shared" si="18"/>
        <v>2024</v>
      </c>
      <c r="AH120" s="8">
        <f t="shared" si="19"/>
        <v>10</v>
      </c>
      <c r="AI120" s="5" t="str">
        <f t="shared" si="20"/>
        <v>Oct</v>
      </c>
      <c r="AJ120" s="5" t="str">
        <f t="shared" si="21"/>
        <v>Friday</v>
      </c>
    </row>
    <row r="121" spans="1:36" x14ac:dyDescent="0.3">
      <c r="A121" s="5" t="s">
        <v>155</v>
      </c>
      <c r="B121" s="6">
        <v>45517</v>
      </c>
      <c r="C121" s="7">
        <v>0.34375</v>
      </c>
      <c r="D121" s="5" t="s">
        <v>1809</v>
      </c>
      <c r="E121" s="5" t="s">
        <v>2034</v>
      </c>
      <c r="F121" s="5" t="s">
        <v>1761</v>
      </c>
      <c r="G121" s="5" t="s">
        <v>2241</v>
      </c>
      <c r="H121" s="5" t="s">
        <v>2257</v>
      </c>
      <c r="I121" s="5" t="s">
        <v>2262</v>
      </c>
      <c r="J121" s="5" t="s">
        <v>2265</v>
      </c>
      <c r="K121" s="8">
        <v>2</v>
      </c>
      <c r="L121" s="9">
        <v>130</v>
      </c>
      <c r="M121" s="10">
        <v>0.15</v>
      </c>
      <c r="N121" s="9">
        <f t="shared" si="22"/>
        <v>260</v>
      </c>
      <c r="O121" s="9">
        <f t="shared" si="12"/>
        <v>221</v>
      </c>
      <c r="P121" s="5" t="s">
        <v>2269</v>
      </c>
      <c r="Q121" s="5" t="s">
        <v>2272</v>
      </c>
      <c r="R121" s="5" t="s">
        <v>2279</v>
      </c>
      <c r="S121" s="5" t="s">
        <v>2287</v>
      </c>
      <c r="T121" s="5" t="s">
        <v>2288</v>
      </c>
      <c r="U121" s="8">
        <v>2</v>
      </c>
      <c r="V121" s="8">
        <v>304</v>
      </c>
      <c r="W121" s="19">
        <v>35</v>
      </c>
      <c r="X121" s="9">
        <v>47.99</v>
      </c>
      <c r="Y121" s="9">
        <f t="shared" si="13"/>
        <v>125.02</v>
      </c>
      <c r="Z121" s="5" t="s">
        <v>2293</v>
      </c>
      <c r="AA121" s="5" t="s">
        <v>2296</v>
      </c>
      <c r="AB121" s="9">
        <f t="shared" si="14"/>
        <v>260</v>
      </c>
      <c r="AC121" s="9">
        <f t="shared" si="15"/>
        <v>39</v>
      </c>
      <c r="AD121" s="9">
        <f t="shared" si="16"/>
        <v>221</v>
      </c>
      <c r="AE121" s="9">
        <f t="shared" si="17"/>
        <v>95.98</v>
      </c>
      <c r="AF121" s="9">
        <f t="shared" si="23"/>
        <v>125.02</v>
      </c>
      <c r="AG121" s="8">
        <f t="shared" si="18"/>
        <v>2024</v>
      </c>
      <c r="AH121" s="8">
        <f t="shared" si="19"/>
        <v>8</v>
      </c>
      <c r="AI121" s="5" t="str">
        <f t="shared" si="20"/>
        <v>Aug</v>
      </c>
      <c r="AJ121" s="5" t="str">
        <f t="shared" si="21"/>
        <v>Tuesday</v>
      </c>
    </row>
    <row r="122" spans="1:36" x14ac:dyDescent="0.3">
      <c r="A122" s="5" t="s">
        <v>156</v>
      </c>
      <c r="B122" s="6">
        <v>45467</v>
      </c>
      <c r="C122" s="7">
        <v>0.65625</v>
      </c>
      <c r="D122" s="5" t="s">
        <v>1756</v>
      </c>
      <c r="E122" s="5" t="s">
        <v>2035</v>
      </c>
      <c r="F122" s="5" t="s">
        <v>2239</v>
      </c>
      <c r="G122" s="5" t="s">
        <v>2253</v>
      </c>
      <c r="H122" s="5" t="s">
        <v>2258</v>
      </c>
      <c r="I122" s="5" t="s">
        <v>2260</v>
      </c>
      <c r="J122" s="5" t="s">
        <v>2265</v>
      </c>
      <c r="K122" s="8">
        <v>1</v>
      </c>
      <c r="L122" s="9">
        <v>90</v>
      </c>
      <c r="M122" s="10">
        <v>0.15</v>
      </c>
      <c r="N122" s="9">
        <f t="shared" si="22"/>
        <v>90</v>
      </c>
      <c r="O122" s="9">
        <f t="shared" si="12"/>
        <v>76.5</v>
      </c>
      <c r="P122" s="5" t="s">
        <v>2269</v>
      </c>
      <c r="Q122" s="5" t="s">
        <v>2270</v>
      </c>
      <c r="R122" s="5" t="s">
        <v>2278</v>
      </c>
      <c r="S122" s="5" t="s">
        <v>2280</v>
      </c>
      <c r="T122" s="5" t="s">
        <v>2289</v>
      </c>
      <c r="U122" s="8">
        <v>5</v>
      </c>
      <c r="V122" s="8">
        <v>148</v>
      </c>
      <c r="W122" s="19">
        <v>34</v>
      </c>
      <c r="X122" s="9">
        <v>41.34</v>
      </c>
      <c r="Y122" s="9">
        <f t="shared" si="13"/>
        <v>35.159999999999997</v>
      </c>
      <c r="Z122" s="5" t="s">
        <v>2293</v>
      </c>
      <c r="AA122" s="5" t="s">
        <v>2299</v>
      </c>
      <c r="AB122" s="9">
        <f t="shared" si="14"/>
        <v>90</v>
      </c>
      <c r="AC122" s="9">
        <f t="shared" si="15"/>
        <v>13.5</v>
      </c>
      <c r="AD122" s="9">
        <f t="shared" si="16"/>
        <v>76.5</v>
      </c>
      <c r="AE122" s="9">
        <f t="shared" si="17"/>
        <v>41.34</v>
      </c>
      <c r="AF122" s="9">
        <f t="shared" si="23"/>
        <v>35.159999999999997</v>
      </c>
      <c r="AG122" s="8">
        <f t="shared" si="18"/>
        <v>2024</v>
      </c>
      <c r="AH122" s="8">
        <f t="shared" si="19"/>
        <v>6</v>
      </c>
      <c r="AI122" s="5" t="str">
        <f t="shared" si="20"/>
        <v>Jun</v>
      </c>
      <c r="AJ122" s="5" t="str">
        <f t="shared" si="21"/>
        <v>Monday</v>
      </c>
    </row>
    <row r="123" spans="1:36" x14ac:dyDescent="0.3">
      <c r="A123" s="5" t="s">
        <v>157</v>
      </c>
      <c r="B123" s="6">
        <v>45331</v>
      </c>
      <c r="C123" s="7">
        <v>0.64583333333333337</v>
      </c>
      <c r="D123" s="5" t="s">
        <v>1831</v>
      </c>
      <c r="E123" s="5" t="s">
        <v>2036</v>
      </c>
      <c r="F123" s="5" t="s">
        <v>2239</v>
      </c>
      <c r="G123" s="5" t="s">
        <v>2252</v>
      </c>
      <c r="H123" s="5" t="s">
        <v>2257</v>
      </c>
      <c r="I123" s="5" t="s">
        <v>2262</v>
      </c>
      <c r="J123" s="5" t="s">
        <v>2265</v>
      </c>
      <c r="K123" s="8">
        <v>1</v>
      </c>
      <c r="L123" s="9">
        <v>90</v>
      </c>
      <c r="M123" s="10">
        <v>0</v>
      </c>
      <c r="N123" s="9">
        <f t="shared" si="22"/>
        <v>90</v>
      </c>
      <c r="O123" s="9">
        <f t="shared" si="12"/>
        <v>90</v>
      </c>
      <c r="P123" s="5" t="s">
        <v>2267</v>
      </c>
      <c r="Q123" s="5" t="s">
        <v>2272</v>
      </c>
      <c r="R123" s="5" t="s">
        <v>2275</v>
      </c>
      <c r="S123" s="5" t="s">
        <v>2284</v>
      </c>
      <c r="T123" s="5" t="s">
        <v>2290</v>
      </c>
      <c r="U123" s="8">
        <v>3</v>
      </c>
      <c r="V123" s="8">
        <v>124</v>
      </c>
      <c r="W123" s="8">
        <v>59</v>
      </c>
      <c r="X123" s="9">
        <v>50.85</v>
      </c>
      <c r="Y123" s="9">
        <f t="shared" si="13"/>
        <v>39.15</v>
      </c>
      <c r="Z123" s="5" t="s">
        <v>2293</v>
      </c>
      <c r="AA123" s="5" t="s">
        <v>2296</v>
      </c>
      <c r="AB123" s="9">
        <f t="shared" si="14"/>
        <v>90</v>
      </c>
      <c r="AC123" s="9">
        <f t="shared" si="15"/>
        <v>0</v>
      </c>
      <c r="AD123" s="9">
        <f t="shared" si="16"/>
        <v>90</v>
      </c>
      <c r="AE123" s="9">
        <f t="shared" si="17"/>
        <v>50.85</v>
      </c>
      <c r="AF123" s="9">
        <f t="shared" si="23"/>
        <v>39.15</v>
      </c>
      <c r="AG123" s="8">
        <f t="shared" si="18"/>
        <v>2024</v>
      </c>
      <c r="AH123" s="8">
        <f t="shared" si="19"/>
        <v>2</v>
      </c>
      <c r="AI123" s="5" t="str">
        <f t="shared" si="20"/>
        <v>Feb</v>
      </c>
      <c r="AJ123" s="5" t="str">
        <f t="shared" si="21"/>
        <v>Friday</v>
      </c>
    </row>
    <row r="124" spans="1:36" x14ac:dyDescent="0.3">
      <c r="A124" s="5" t="s">
        <v>158</v>
      </c>
      <c r="B124" s="6">
        <v>45297</v>
      </c>
      <c r="C124" s="7">
        <v>0.41666666666666669</v>
      </c>
      <c r="D124" s="5" t="s">
        <v>1756</v>
      </c>
      <c r="E124" s="5" t="s">
        <v>2037</v>
      </c>
      <c r="F124" s="5" t="s">
        <v>2238</v>
      </c>
      <c r="G124" s="5" t="s">
        <v>2245</v>
      </c>
      <c r="H124" s="5" t="s">
        <v>2257</v>
      </c>
      <c r="I124" s="5" t="s">
        <v>2263</v>
      </c>
      <c r="J124" s="5" t="s">
        <v>2264</v>
      </c>
      <c r="K124" s="8">
        <v>1</v>
      </c>
      <c r="L124" s="9">
        <v>145</v>
      </c>
      <c r="M124" s="10">
        <v>0.1</v>
      </c>
      <c r="N124" s="9">
        <f t="shared" si="22"/>
        <v>145</v>
      </c>
      <c r="O124" s="9">
        <f t="shared" si="12"/>
        <v>130.5</v>
      </c>
      <c r="P124" s="5" t="s">
        <v>2267</v>
      </c>
      <c r="Q124" s="5" t="s">
        <v>2270</v>
      </c>
      <c r="R124" s="5" t="s">
        <v>2277</v>
      </c>
      <c r="S124" s="5" t="s">
        <v>2285</v>
      </c>
      <c r="T124" s="5" t="s">
        <v>2288</v>
      </c>
      <c r="U124" s="8">
        <v>5</v>
      </c>
      <c r="V124" s="8">
        <v>143</v>
      </c>
      <c r="W124" s="8">
        <v>51</v>
      </c>
      <c r="X124" s="9">
        <v>70.849999999999994</v>
      </c>
      <c r="Y124" s="9">
        <f t="shared" si="13"/>
        <v>59.650000000000006</v>
      </c>
      <c r="Z124" s="5" t="s">
        <v>2293</v>
      </c>
      <c r="AA124" s="5" t="s">
        <v>2296</v>
      </c>
      <c r="AB124" s="9">
        <f t="shared" si="14"/>
        <v>145</v>
      </c>
      <c r="AC124" s="9">
        <f t="shared" si="15"/>
        <v>14.5</v>
      </c>
      <c r="AD124" s="9">
        <f t="shared" si="16"/>
        <v>130.5</v>
      </c>
      <c r="AE124" s="9">
        <f t="shared" si="17"/>
        <v>70.849999999999994</v>
      </c>
      <c r="AF124" s="9">
        <f t="shared" si="23"/>
        <v>59.650000000000006</v>
      </c>
      <c r="AG124" s="8">
        <f t="shared" si="18"/>
        <v>2024</v>
      </c>
      <c r="AH124" s="8">
        <f t="shared" si="19"/>
        <v>1</v>
      </c>
      <c r="AI124" s="5" t="str">
        <f t="shared" si="20"/>
        <v>Jan</v>
      </c>
      <c r="AJ124" s="5" t="str">
        <f t="shared" si="21"/>
        <v>Saturday</v>
      </c>
    </row>
    <row r="125" spans="1:36" x14ac:dyDescent="0.3">
      <c r="A125" s="5" t="s">
        <v>159</v>
      </c>
      <c r="B125" s="6">
        <v>45546</v>
      </c>
      <c r="C125" s="7">
        <v>0.4375</v>
      </c>
      <c r="D125" s="5" t="s">
        <v>1775</v>
      </c>
      <c r="E125" s="5" t="s">
        <v>2038</v>
      </c>
      <c r="F125" s="5" t="s">
        <v>2238</v>
      </c>
      <c r="G125" s="5" t="s">
        <v>2244</v>
      </c>
      <c r="H125" s="5" t="s">
        <v>2257</v>
      </c>
      <c r="I125" s="5" t="s">
        <v>2262</v>
      </c>
      <c r="J125" s="5" t="s">
        <v>2265</v>
      </c>
      <c r="K125" s="8">
        <v>2</v>
      </c>
      <c r="L125" s="9">
        <v>115</v>
      </c>
      <c r="M125" s="10">
        <v>0.1</v>
      </c>
      <c r="N125" s="9">
        <f t="shared" si="22"/>
        <v>230</v>
      </c>
      <c r="O125" s="9">
        <f t="shared" si="12"/>
        <v>207</v>
      </c>
      <c r="P125" s="5" t="s">
        <v>2269</v>
      </c>
      <c r="Q125" s="5" t="s">
        <v>2272</v>
      </c>
      <c r="R125" s="5" t="s">
        <v>2274</v>
      </c>
      <c r="S125" s="5" t="s">
        <v>2281</v>
      </c>
      <c r="T125" s="5" t="s">
        <v>2290</v>
      </c>
      <c r="U125" s="19">
        <v>3</v>
      </c>
      <c r="V125" s="8">
        <v>241</v>
      </c>
      <c r="W125" s="19">
        <v>35</v>
      </c>
      <c r="X125" s="9">
        <v>60.85</v>
      </c>
      <c r="Y125" s="9">
        <f t="shared" si="13"/>
        <v>85.3</v>
      </c>
      <c r="Z125" s="5" t="s">
        <v>2291</v>
      </c>
      <c r="AA125" s="5" t="s">
        <v>2298</v>
      </c>
      <c r="AB125" s="9">
        <f t="shared" si="14"/>
        <v>230</v>
      </c>
      <c r="AC125" s="9">
        <f t="shared" si="15"/>
        <v>23</v>
      </c>
      <c r="AD125" s="9">
        <f t="shared" si="16"/>
        <v>207</v>
      </c>
      <c r="AE125" s="9">
        <f t="shared" si="17"/>
        <v>121.7</v>
      </c>
      <c r="AF125" s="9">
        <f t="shared" si="23"/>
        <v>85.3</v>
      </c>
      <c r="AG125" s="8">
        <f t="shared" si="18"/>
        <v>2024</v>
      </c>
      <c r="AH125" s="8">
        <f t="shared" si="19"/>
        <v>9</v>
      </c>
      <c r="AI125" s="5" t="str">
        <f t="shared" si="20"/>
        <v>Sep</v>
      </c>
      <c r="AJ125" s="5" t="str">
        <f t="shared" si="21"/>
        <v>Wednesday</v>
      </c>
    </row>
    <row r="126" spans="1:36" x14ac:dyDescent="0.3">
      <c r="A126" s="5" t="s">
        <v>160</v>
      </c>
      <c r="B126" s="6">
        <v>45401</v>
      </c>
      <c r="C126" s="7">
        <v>0.375</v>
      </c>
      <c r="D126" s="5" t="s">
        <v>1816</v>
      </c>
      <c r="E126" s="5" t="s">
        <v>1953</v>
      </c>
      <c r="F126" s="5" t="s">
        <v>2238</v>
      </c>
      <c r="G126" s="5" t="s">
        <v>2255</v>
      </c>
      <c r="H126" s="5" t="s">
        <v>2260</v>
      </c>
      <c r="I126" s="5" t="s">
        <v>2260</v>
      </c>
      <c r="J126" s="5" t="s">
        <v>2265</v>
      </c>
      <c r="K126" s="8">
        <v>3</v>
      </c>
      <c r="L126" s="9">
        <v>175</v>
      </c>
      <c r="M126" s="10">
        <v>0.1</v>
      </c>
      <c r="N126" s="9">
        <f t="shared" si="22"/>
        <v>525</v>
      </c>
      <c r="O126" s="9">
        <f t="shared" si="12"/>
        <v>472.5</v>
      </c>
      <c r="P126" s="5" t="s">
        <v>2269</v>
      </c>
      <c r="Q126" s="5" t="s">
        <v>2272</v>
      </c>
      <c r="R126" s="5" t="s">
        <v>2273</v>
      </c>
      <c r="S126" s="5" t="s">
        <v>2284</v>
      </c>
      <c r="T126" s="5" t="s">
        <v>2288</v>
      </c>
      <c r="U126" s="19">
        <v>3</v>
      </c>
      <c r="V126" s="8">
        <v>258</v>
      </c>
      <c r="W126" s="19">
        <v>35</v>
      </c>
      <c r="X126" s="9">
        <v>102.09</v>
      </c>
      <c r="Y126" s="9">
        <f t="shared" si="13"/>
        <v>166.23000000000002</v>
      </c>
      <c r="Z126" s="5" t="s">
        <v>2293</v>
      </c>
      <c r="AA126" s="5" t="s">
        <v>2296</v>
      </c>
      <c r="AB126" s="9">
        <f t="shared" si="14"/>
        <v>525</v>
      </c>
      <c r="AC126" s="9">
        <f t="shared" si="15"/>
        <v>52.5</v>
      </c>
      <c r="AD126" s="9">
        <f t="shared" si="16"/>
        <v>472.5</v>
      </c>
      <c r="AE126" s="9">
        <f t="shared" si="17"/>
        <v>306.27</v>
      </c>
      <c r="AF126" s="9">
        <f t="shared" si="23"/>
        <v>166.23000000000002</v>
      </c>
      <c r="AG126" s="8">
        <f t="shared" si="18"/>
        <v>2024</v>
      </c>
      <c r="AH126" s="8">
        <f t="shared" si="19"/>
        <v>4</v>
      </c>
      <c r="AI126" s="5" t="str">
        <f t="shared" si="20"/>
        <v>Apr</v>
      </c>
      <c r="AJ126" s="5" t="str">
        <f t="shared" si="21"/>
        <v>Friday</v>
      </c>
    </row>
    <row r="127" spans="1:36" x14ac:dyDescent="0.3">
      <c r="A127" s="5" t="s">
        <v>161</v>
      </c>
      <c r="B127" s="6">
        <v>45391</v>
      </c>
      <c r="C127" s="7">
        <v>0.75</v>
      </c>
      <c r="D127" s="5" t="s">
        <v>1832</v>
      </c>
      <c r="E127" s="5" t="s">
        <v>2016</v>
      </c>
      <c r="F127" s="5" t="s">
        <v>2239</v>
      </c>
      <c r="G127" s="5" t="s">
        <v>2241</v>
      </c>
      <c r="H127" s="5" t="s">
        <v>2257</v>
      </c>
      <c r="I127" s="5" t="s">
        <v>2262</v>
      </c>
      <c r="J127" s="5" t="s">
        <v>2266</v>
      </c>
      <c r="K127" s="8">
        <v>1</v>
      </c>
      <c r="L127" s="9">
        <v>135</v>
      </c>
      <c r="M127" s="10">
        <v>0</v>
      </c>
      <c r="N127" s="9">
        <f t="shared" si="22"/>
        <v>135</v>
      </c>
      <c r="O127" s="9">
        <f t="shared" si="12"/>
        <v>135</v>
      </c>
      <c r="P127" s="5" t="s">
        <v>2267</v>
      </c>
      <c r="Q127" s="5" t="s">
        <v>1761</v>
      </c>
      <c r="R127" s="5" t="s">
        <v>2275</v>
      </c>
      <c r="S127" s="5" t="s">
        <v>2282</v>
      </c>
      <c r="T127" s="5" t="s">
        <v>2290</v>
      </c>
      <c r="U127" s="8">
        <v>2</v>
      </c>
      <c r="V127" s="8">
        <v>364</v>
      </c>
      <c r="W127" s="8">
        <v>54</v>
      </c>
      <c r="X127" s="9">
        <v>75.58</v>
      </c>
      <c r="Y127" s="9">
        <f t="shared" si="13"/>
        <v>59.42</v>
      </c>
      <c r="Z127" s="5" t="s">
        <v>2293</v>
      </c>
      <c r="AA127" s="5" t="s">
        <v>2298</v>
      </c>
      <c r="AB127" s="9">
        <f t="shared" si="14"/>
        <v>135</v>
      </c>
      <c r="AC127" s="9">
        <f t="shared" si="15"/>
        <v>0</v>
      </c>
      <c r="AD127" s="9">
        <f t="shared" si="16"/>
        <v>135</v>
      </c>
      <c r="AE127" s="9">
        <f t="shared" si="17"/>
        <v>75.58</v>
      </c>
      <c r="AF127" s="9">
        <f t="shared" si="23"/>
        <v>59.42</v>
      </c>
      <c r="AG127" s="8">
        <f t="shared" si="18"/>
        <v>2024</v>
      </c>
      <c r="AH127" s="8">
        <f t="shared" si="19"/>
        <v>4</v>
      </c>
      <c r="AI127" s="5" t="str">
        <f t="shared" si="20"/>
        <v>Apr</v>
      </c>
      <c r="AJ127" s="5" t="str">
        <f t="shared" si="21"/>
        <v>Tuesday</v>
      </c>
    </row>
    <row r="128" spans="1:36" x14ac:dyDescent="0.3">
      <c r="A128" s="5" t="s">
        <v>162</v>
      </c>
      <c r="B128" s="6">
        <v>45473</v>
      </c>
      <c r="C128" s="7">
        <v>0.74305555555555558</v>
      </c>
      <c r="D128" s="5" t="s">
        <v>1790</v>
      </c>
      <c r="E128" s="5" t="s">
        <v>2039</v>
      </c>
      <c r="F128" s="5" t="s">
        <v>2239</v>
      </c>
      <c r="G128" s="5" t="s">
        <v>2242</v>
      </c>
      <c r="H128" s="5" t="s">
        <v>2258</v>
      </c>
      <c r="I128" s="5" t="s">
        <v>2260</v>
      </c>
      <c r="J128" s="5" t="s">
        <v>2266</v>
      </c>
      <c r="K128" s="8">
        <v>1</v>
      </c>
      <c r="L128" s="9">
        <v>130</v>
      </c>
      <c r="M128" s="10">
        <v>0.15</v>
      </c>
      <c r="N128" s="9">
        <f t="shared" si="22"/>
        <v>130</v>
      </c>
      <c r="O128" s="9">
        <f t="shared" si="12"/>
        <v>110.5</v>
      </c>
      <c r="P128" s="5" t="s">
        <v>2267</v>
      </c>
      <c r="Q128" s="5" t="s">
        <v>2270</v>
      </c>
      <c r="R128" s="5" t="s">
        <v>2276</v>
      </c>
      <c r="S128" s="5" t="s">
        <v>2285</v>
      </c>
      <c r="T128" s="5" t="s">
        <v>2289</v>
      </c>
      <c r="U128" s="8">
        <v>5</v>
      </c>
      <c r="V128" s="8">
        <v>150</v>
      </c>
      <c r="W128" s="8">
        <v>26</v>
      </c>
      <c r="X128" s="9">
        <v>51.98</v>
      </c>
      <c r="Y128" s="9">
        <f t="shared" si="13"/>
        <v>58.52</v>
      </c>
      <c r="Z128" s="5" t="s">
        <v>2293</v>
      </c>
      <c r="AA128" s="5" t="s">
        <v>2299</v>
      </c>
      <c r="AB128" s="9">
        <f t="shared" si="14"/>
        <v>130</v>
      </c>
      <c r="AC128" s="9">
        <f t="shared" si="15"/>
        <v>19.5</v>
      </c>
      <c r="AD128" s="9">
        <f t="shared" si="16"/>
        <v>110.5</v>
      </c>
      <c r="AE128" s="9">
        <f t="shared" si="17"/>
        <v>51.98</v>
      </c>
      <c r="AF128" s="9">
        <f t="shared" si="23"/>
        <v>58.52</v>
      </c>
      <c r="AG128" s="8">
        <f t="shared" si="18"/>
        <v>2024</v>
      </c>
      <c r="AH128" s="8">
        <f t="shared" si="19"/>
        <v>6</v>
      </c>
      <c r="AI128" s="5" t="str">
        <f t="shared" si="20"/>
        <v>Jun</v>
      </c>
      <c r="AJ128" s="5" t="str">
        <f t="shared" si="21"/>
        <v>Sunday</v>
      </c>
    </row>
    <row r="129" spans="1:36" x14ac:dyDescent="0.3">
      <c r="A129" s="5" t="s">
        <v>163</v>
      </c>
      <c r="B129" s="6">
        <v>45602</v>
      </c>
      <c r="C129" s="7">
        <v>0.4375</v>
      </c>
      <c r="D129" s="5" t="s">
        <v>1833</v>
      </c>
      <c r="E129" s="5" t="s">
        <v>2040</v>
      </c>
      <c r="F129" s="5" t="s">
        <v>2239</v>
      </c>
      <c r="G129" s="5" t="s">
        <v>2253</v>
      </c>
      <c r="H129" s="5" t="s">
        <v>2258</v>
      </c>
      <c r="I129" s="5" t="s">
        <v>2260</v>
      </c>
      <c r="J129" s="5" t="s">
        <v>2266</v>
      </c>
      <c r="K129" s="8">
        <v>1</v>
      </c>
      <c r="L129" s="9">
        <v>95</v>
      </c>
      <c r="M129" s="10">
        <v>0.05</v>
      </c>
      <c r="N129" s="9">
        <f t="shared" si="22"/>
        <v>95</v>
      </c>
      <c r="O129" s="9">
        <f t="shared" si="12"/>
        <v>90.25</v>
      </c>
      <c r="P129" s="5" t="s">
        <v>2269</v>
      </c>
      <c r="Q129" s="5" t="s">
        <v>2270</v>
      </c>
      <c r="R129" s="5" t="s">
        <v>2278</v>
      </c>
      <c r="S129" s="5" t="s">
        <v>2286</v>
      </c>
      <c r="T129" s="5" t="s">
        <v>2288</v>
      </c>
      <c r="U129" s="8">
        <v>4</v>
      </c>
      <c r="V129" s="8">
        <v>166</v>
      </c>
      <c r="W129" s="8">
        <v>36</v>
      </c>
      <c r="X129" s="9">
        <v>47.17</v>
      </c>
      <c r="Y129" s="9">
        <f t="shared" si="13"/>
        <v>43.08</v>
      </c>
      <c r="Z129" s="5" t="s">
        <v>2294</v>
      </c>
      <c r="AA129" s="5" t="s">
        <v>2299</v>
      </c>
      <c r="AB129" s="9">
        <f t="shared" si="14"/>
        <v>95</v>
      </c>
      <c r="AC129" s="9">
        <f t="shared" si="15"/>
        <v>4.75</v>
      </c>
      <c r="AD129" s="9">
        <f t="shared" si="16"/>
        <v>90.25</v>
      </c>
      <c r="AE129" s="9">
        <f t="shared" si="17"/>
        <v>47.17</v>
      </c>
      <c r="AF129" s="9">
        <f t="shared" si="23"/>
        <v>43.08</v>
      </c>
      <c r="AG129" s="8">
        <f t="shared" si="18"/>
        <v>2024</v>
      </c>
      <c r="AH129" s="8">
        <f t="shared" si="19"/>
        <v>11</v>
      </c>
      <c r="AI129" s="5" t="str">
        <f t="shared" si="20"/>
        <v>Nov</v>
      </c>
      <c r="AJ129" s="5" t="str">
        <f t="shared" si="21"/>
        <v>Wednesday</v>
      </c>
    </row>
    <row r="130" spans="1:36" x14ac:dyDescent="0.3">
      <c r="A130" s="5" t="s">
        <v>164</v>
      </c>
      <c r="B130" s="6">
        <v>45305</v>
      </c>
      <c r="C130" s="7">
        <v>0.35416666666666669</v>
      </c>
      <c r="D130" s="5" t="s">
        <v>1834</v>
      </c>
      <c r="E130" s="5" t="s">
        <v>2041</v>
      </c>
      <c r="F130" s="5" t="s">
        <v>2239</v>
      </c>
      <c r="G130" s="5" t="s">
        <v>2253</v>
      </c>
      <c r="H130" s="5" t="s">
        <v>2258</v>
      </c>
      <c r="I130" s="5" t="s">
        <v>2260</v>
      </c>
      <c r="J130" s="5" t="s">
        <v>2266</v>
      </c>
      <c r="K130" s="8">
        <v>2</v>
      </c>
      <c r="L130" s="9">
        <v>100</v>
      </c>
      <c r="M130" s="10">
        <v>0</v>
      </c>
      <c r="N130" s="9">
        <f t="shared" si="22"/>
        <v>200</v>
      </c>
      <c r="O130" s="9">
        <f t="shared" ref="O130:O193" si="24">IF(N130="","",N130*(1-IF(M130="",0,M130)))</f>
        <v>200</v>
      </c>
      <c r="P130" s="5" t="s">
        <v>2267</v>
      </c>
      <c r="Q130" s="5" t="s">
        <v>2270</v>
      </c>
      <c r="R130" s="5" t="s">
        <v>2279</v>
      </c>
      <c r="S130" s="5" t="s">
        <v>2284</v>
      </c>
      <c r="T130" s="5" t="s">
        <v>2290</v>
      </c>
      <c r="U130" s="8">
        <v>4</v>
      </c>
      <c r="V130" s="8">
        <v>6</v>
      </c>
      <c r="W130" s="8">
        <v>24</v>
      </c>
      <c r="X130" s="9">
        <v>49.06</v>
      </c>
      <c r="Y130" s="9">
        <f t="shared" ref="Y130:Y193" si="25">IF(OR(O130="",K130="",X130=""),"",O130-K130*X130)</f>
        <v>101.88</v>
      </c>
      <c r="Z130" s="5" t="s">
        <v>2291</v>
      </c>
      <c r="AA130" s="5" t="s">
        <v>2296</v>
      </c>
      <c r="AB130" s="9">
        <f t="shared" ref="AB130:AB193" si="26">N130</f>
        <v>200</v>
      </c>
      <c r="AC130" s="9">
        <f t="shared" ref="AC130:AC193" si="27">IF(N130="","",N130*IF(M130="",0,M130))</f>
        <v>0</v>
      </c>
      <c r="AD130" s="9">
        <f t="shared" ref="AD130:AD193" si="28">O130</f>
        <v>200</v>
      </c>
      <c r="AE130" s="9">
        <f t="shared" ref="AE130:AE193" si="29">IF(OR(K130="",X130=""),"",K130*X130)</f>
        <v>98.12</v>
      </c>
      <c r="AF130" s="9">
        <f t="shared" si="23"/>
        <v>101.88</v>
      </c>
      <c r="AG130" s="8">
        <f t="shared" ref="AG130:AG193" si="30">IF(B130="","",YEAR(B130))</f>
        <v>2024</v>
      </c>
      <c r="AH130" s="8">
        <f t="shared" ref="AH130:AH193" si="31">IF(B130="","",MONTH(B130))</f>
        <v>1</v>
      </c>
      <c r="AI130" s="5" t="str">
        <f t="shared" ref="AI130:AI193" si="32">IF(B130="","",TEXT(B130,"mmm"))</f>
        <v>Jan</v>
      </c>
      <c r="AJ130" s="5" t="str">
        <f t="shared" ref="AJ130:AJ193" si="33">IF(B130="","",TEXT(B130,"dddd"))</f>
        <v>Sunday</v>
      </c>
    </row>
    <row r="131" spans="1:36" x14ac:dyDescent="0.3">
      <c r="A131" s="5" t="s">
        <v>165</v>
      </c>
      <c r="B131" s="18">
        <v>45468</v>
      </c>
      <c r="C131" s="7">
        <v>0.4513888888888889</v>
      </c>
      <c r="D131" s="5" t="s">
        <v>1768</v>
      </c>
      <c r="E131" s="5" t="s">
        <v>2042</v>
      </c>
      <c r="F131" s="5" t="s">
        <v>2239</v>
      </c>
      <c r="G131" s="5" t="s">
        <v>2242</v>
      </c>
      <c r="H131" s="5" t="s">
        <v>2258</v>
      </c>
      <c r="I131" s="5" t="s">
        <v>2260</v>
      </c>
      <c r="J131" s="5" t="s">
        <v>2264</v>
      </c>
      <c r="K131" s="8">
        <v>3</v>
      </c>
      <c r="L131" s="9">
        <v>120</v>
      </c>
      <c r="M131" s="10">
        <v>0</v>
      </c>
      <c r="N131" s="9">
        <f t="shared" ref="N131:N194" si="34">IFERROR(K131*L131,"")</f>
        <v>360</v>
      </c>
      <c r="O131" s="9">
        <f t="shared" si="24"/>
        <v>360</v>
      </c>
      <c r="P131" s="5" t="s">
        <v>2267</v>
      </c>
      <c r="Q131" s="5" t="s">
        <v>2272</v>
      </c>
      <c r="R131" s="5" t="s">
        <v>2278</v>
      </c>
      <c r="S131" s="5" t="s">
        <v>2282</v>
      </c>
      <c r="T131" s="5" t="s">
        <v>2288</v>
      </c>
      <c r="U131" s="8">
        <v>3</v>
      </c>
      <c r="V131" s="8">
        <v>444</v>
      </c>
      <c r="W131" s="8">
        <v>20</v>
      </c>
      <c r="X131" s="9">
        <v>71.25</v>
      </c>
      <c r="Y131" s="9">
        <f t="shared" si="25"/>
        <v>146.25</v>
      </c>
      <c r="Z131" s="5" t="s">
        <v>2291</v>
      </c>
      <c r="AA131" s="5" t="s">
        <v>2297</v>
      </c>
      <c r="AB131" s="9">
        <f t="shared" si="26"/>
        <v>360</v>
      </c>
      <c r="AC131" s="9">
        <f t="shared" si="27"/>
        <v>0</v>
      </c>
      <c r="AD131" s="9">
        <f t="shared" si="28"/>
        <v>360</v>
      </c>
      <c r="AE131" s="9">
        <f t="shared" si="29"/>
        <v>213.75</v>
      </c>
      <c r="AF131" s="9">
        <f t="shared" ref="AF131:AF194" si="35">Y131</f>
        <v>146.25</v>
      </c>
      <c r="AG131" s="8">
        <f t="shared" si="30"/>
        <v>2024</v>
      </c>
      <c r="AH131" s="8">
        <f t="shared" si="31"/>
        <v>6</v>
      </c>
      <c r="AI131" s="5" t="str">
        <f t="shared" si="32"/>
        <v>Jun</v>
      </c>
      <c r="AJ131" s="5" t="str">
        <f t="shared" si="33"/>
        <v>Tuesday</v>
      </c>
    </row>
    <row r="132" spans="1:36" x14ac:dyDescent="0.3">
      <c r="A132" s="5" t="s">
        <v>166</v>
      </c>
      <c r="B132" s="6">
        <v>45493</v>
      </c>
      <c r="C132" s="7">
        <v>0.40972222222222221</v>
      </c>
      <c r="D132" s="5" t="s">
        <v>1835</v>
      </c>
      <c r="E132" s="5" t="s">
        <v>1961</v>
      </c>
      <c r="F132" s="5" t="s">
        <v>1761</v>
      </c>
      <c r="G132" s="5" t="s">
        <v>2246</v>
      </c>
      <c r="H132" s="5" t="s">
        <v>2259</v>
      </c>
      <c r="I132" s="5" t="s">
        <v>2262</v>
      </c>
      <c r="J132" s="5" t="s">
        <v>1761</v>
      </c>
      <c r="K132" s="8">
        <v>1</v>
      </c>
      <c r="L132" s="9">
        <v>95</v>
      </c>
      <c r="M132" s="10">
        <v>0.1</v>
      </c>
      <c r="N132" s="9">
        <f t="shared" si="34"/>
        <v>95</v>
      </c>
      <c r="O132" s="9">
        <f t="shared" si="24"/>
        <v>85.5</v>
      </c>
      <c r="P132" s="5" t="s">
        <v>2267</v>
      </c>
      <c r="Q132" s="5" t="s">
        <v>2270</v>
      </c>
      <c r="R132" s="5" t="s">
        <v>2277</v>
      </c>
      <c r="S132" s="5" t="s">
        <v>2283</v>
      </c>
      <c r="T132" s="5" t="s">
        <v>2290</v>
      </c>
      <c r="U132" s="8">
        <v>1</v>
      </c>
      <c r="V132" s="8">
        <v>487</v>
      </c>
      <c r="W132" s="8">
        <v>52</v>
      </c>
      <c r="X132" s="9">
        <v>42.28</v>
      </c>
      <c r="Y132" s="9">
        <f t="shared" si="25"/>
        <v>43.22</v>
      </c>
      <c r="Z132" s="5" t="s">
        <v>2293</v>
      </c>
      <c r="AA132" s="5" t="s">
        <v>2296</v>
      </c>
      <c r="AB132" s="9">
        <f t="shared" si="26"/>
        <v>95</v>
      </c>
      <c r="AC132" s="9">
        <f t="shared" si="27"/>
        <v>9.5</v>
      </c>
      <c r="AD132" s="9">
        <f t="shared" si="28"/>
        <v>85.5</v>
      </c>
      <c r="AE132" s="9">
        <f t="shared" si="29"/>
        <v>42.28</v>
      </c>
      <c r="AF132" s="9">
        <f t="shared" si="35"/>
        <v>43.22</v>
      </c>
      <c r="AG132" s="8">
        <f t="shared" si="30"/>
        <v>2024</v>
      </c>
      <c r="AH132" s="8">
        <f t="shared" si="31"/>
        <v>7</v>
      </c>
      <c r="AI132" s="5" t="str">
        <f t="shared" si="32"/>
        <v>Jul</v>
      </c>
      <c r="AJ132" s="5" t="str">
        <f t="shared" si="33"/>
        <v>Saturday</v>
      </c>
    </row>
    <row r="133" spans="1:36" x14ac:dyDescent="0.3">
      <c r="A133" s="5" t="s">
        <v>167</v>
      </c>
      <c r="B133" s="6">
        <v>45657</v>
      </c>
      <c r="C133" s="7">
        <v>0.36458333333333331</v>
      </c>
      <c r="D133" s="5" t="s">
        <v>1757</v>
      </c>
      <c r="E133" s="5" t="s">
        <v>1761</v>
      </c>
      <c r="F133" s="5" t="s">
        <v>2239</v>
      </c>
      <c r="G133" s="5" t="s">
        <v>2247</v>
      </c>
      <c r="H133" s="5" t="s">
        <v>2257</v>
      </c>
      <c r="I133" s="5" t="s">
        <v>2262</v>
      </c>
      <c r="J133" s="5" t="s">
        <v>2264</v>
      </c>
      <c r="K133" s="8">
        <v>1</v>
      </c>
      <c r="L133" s="9">
        <v>100</v>
      </c>
      <c r="M133" s="10">
        <v>0</v>
      </c>
      <c r="N133" s="9">
        <f t="shared" si="34"/>
        <v>100</v>
      </c>
      <c r="O133" s="9">
        <f t="shared" si="24"/>
        <v>100</v>
      </c>
      <c r="P133" s="5" t="s">
        <v>2268</v>
      </c>
      <c r="Q133" s="5" t="s">
        <v>2271</v>
      </c>
      <c r="R133" s="5" t="s">
        <v>2277</v>
      </c>
      <c r="S133" s="5" t="s">
        <v>2280</v>
      </c>
      <c r="T133" s="5" t="s">
        <v>2289</v>
      </c>
      <c r="U133" s="8">
        <v>2</v>
      </c>
      <c r="V133" s="8">
        <v>490</v>
      </c>
      <c r="W133" s="19">
        <v>37</v>
      </c>
      <c r="X133" s="9">
        <v>49.05</v>
      </c>
      <c r="Y133" s="9">
        <f t="shared" si="25"/>
        <v>50.95</v>
      </c>
      <c r="Z133" s="5" t="s">
        <v>1761</v>
      </c>
      <c r="AA133" s="5" t="s">
        <v>2296</v>
      </c>
      <c r="AB133" s="9">
        <f t="shared" si="26"/>
        <v>100</v>
      </c>
      <c r="AC133" s="9">
        <f t="shared" si="27"/>
        <v>0</v>
      </c>
      <c r="AD133" s="9">
        <f t="shared" si="28"/>
        <v>100</v>
      </c>
      <c r="AE133" s="9">
        <f t="shared" si="29"/>
        <v>49.05</v>
      </c>
      <c r="AF133" s="9">
        <f t="shared" si="35"/>
        <v>50.95</v>
      </c>
      <c r="AG133" s="8">
        <f t="shared" si="30"/>
        <v>2024</v>
      </c>
      <c r="AH133" s="8">
        <f t="shared" si="31"/>
        <v>12</v>
      </c>
      <c r="AI133" s="5" t="str">
        <f t="shared" si="32"/>
        <v>Dec</v>
      </c>
      <c r="AJ133" s="5" t="str">
        <f t="shared" si="33"/>
        <v>Tuesday</v>
      </c>
    </row>
    <row r="134" spans="1:36" x14ac:dyDescent="0.3">
      <c r="A134" s="5" t="s">
        <v>168</v>
      </c>
      <c r="B134" s="6">
        <v>45605</v>
      </c>
      <c r="C134" s="7">
        <v>0.33333333333333331</v>
      </c>
      <c r="D134" s="5" t="s">
        <v>1774</v>
      </c>
      <c r="E134" s="5" t="s">
        <v>2043</v>
      </c>
      <c r="F134" s="5" t="s">
        <v>2240</v>
      </c>
      <c r="G134" s="5" t="s">
        <v>2244</v>
      </c>
      <c r="H134" s="5" t="s">
        <v>2257</v>
      </c>
      <c r="I134" s="5" t="s">
        <v>2262</v>
      </c>
      <c r="J134" s="5" t="s">
        <v>2264</v>
      </c>
      <c r="K134" s="8">
        <v>1</v>
      </c>
      <c r="L134" s="9">
        <v>120</v>
      </c>
      <c r="M134" s="10">
        <v>0.1</v>
      </c>
      <c r="N134" s="9">
        <f t="shared" si="34"/>
        <v>120</v>
      </c>
      <c r="O134" s="9">
        <f t="shared" si="24"/>
        <v>108</v>
      </c>
      <c r="P134" s="5" t="s">
        <v>2267</v>
      </c>
      <c r="Q134" s="5" t="s">
        <v>1761</v>
      </c>
      <c r="R134" s="5" t="s">
        <v>2277</v>
      </c>
      <c r="S134" s="5" t="s">
        <v>2283</v>
      </c>
      <c r="T134" s="5" t="s">
        <v>2288</v>
      </c>
      <c r="U134" s="8">
        <v>5</v>
      </c>
      <c r="V134" s="8">
        <v>400</v>
      </c>
      <c r="W134" s="19">
        <v>36</v>
      </c>
      <c r="X134" s="9">
        <v>50.02</v>
      </c>
      <c r="Y134" s="9">
        <f t="shared" si="25"/>
        <v>57.98</v>
      </c>
      <c r="Z134" s="5" t="s">
        <v>2294</v>
      </c>
      <c r="AA134" s="5" t="s">
        <v>2299</v>
      </c>
      <c r="AB134" s="9">
        <f t="shared" si="26"/>
        <v>120</v>
      </c>
      <c r="AC134" s="9">
        <f t="shared" si="27"/>
        <v>12</v>
      </c>
      <c r="AD134" s="9">
        <f t="shared" si="28"/>
        <v>108</v>
      </c>
      <c r="AE134" s="9">
        <f t="shared" si="29"/>
        <v>50.02</v>
      </c>
      <c r="AF134" s="9">
        <f t="shared" si="35"/>
        <v>57.98</v>
      </c>
      <c r="AG134" s="8">
        <f t="shared" si="30"/>
        <v>2024</v>
      </c>
      <c r="AH134" s="8">
        <f t="shared" si="31"/>
        <v>11</v>
      </c>
      <c r="AI134" s="5" t="str">
        <f t="shared" si="32"/>
        <v>Nov</v>
      </c>
      <c r="AJ134" s="5" t="str">
        <f t="shared" si="33"/>
        <v>Saturday</v>
      </c>
    </row>
    <row r="135" spans="1:36" x14ac:dyDescent="0.3">
      <c r="A135" s="5" t="s">
        <v>169</v>
      </c>
      <c r="B135" s="6">
        <v>45486</v>
      </c>
      <c r="C135" s="7">
        <v>0.75694444444444442</v>
      </c>
      <c r="D135" s="5" t="s">
        <v>1800</v>
      </c>
      <c r="E135" s="5" t="s">
        <v>2044</v>
      </c>
      <c r="F135" s="5" t="s">
        <v>2240</v>
      </c>
      <c r="G135" s="5" t="s">
        <v>2245</v>
      </c>
      <c r="H135" s="5" t="s">
        <v>2257</v>
      </c>
      <c r="I135" s="5" t="s">
        <v>2263</v>
      </c>
      <c r="J135" s="5" t="s">
        <v>2266</v>
      </c>
      <c r="K135" s="8">
        <v>2</v>
      </c>
      <c r="L135" s="9">
        <v>150</v>
      </c>
      <c r="M135" s="10">
        <v>0</v>
      </c>
      <c r="N135" s="9">
        <f t="shared" si="34"/>
        <v>300</v>
      </c>
      <c r="O135" s="9">
        <f t="shared" si="24"/>
        <v>300</v>
      </c>
      <c r="P135" s="5" t="s">
        <v>2269</v>
      </c>
      <c r="Q135" s="5" t="s">
        <v>2271</v>
      </c>
      <c r="R135" s="5" t="s">
        <v>2278</v>
      </c>
      <c r="S135" s="5" t="s">
        <v>2282</v>
      </c>
      <c r="T135" s="5" t="s">
        <v>2288</v>
      </c>
      <c r="U135" s="8">
        <v>2</v>
      </c>
      <c r="V135" s="8">
        <v>334</v>
      </c>
      <c r="W135" s="8">
        <v>12</v>
      </c>
      <c r="X135" s="9">
        <v>67.12</v>
      </c>
      <c r="Y135" s="9">
        <f t="shared" si="25"/>
        <v>165.76</v>
      </c>
      <c r="Z135" s="5" t="s">
        <v>2292</v>
      </c>
      <c r="AA135" s="5" t="s">
        <v>2299</v>
      </c>
      <c r="AB135" s="9">
        <f t="shared" si="26"/>
        <v>300</v>
      </c>
      <c r="AC135" s="9">
        <f t="shared" si="27"/>
        <v>0</v>
      </c>
      <c r="AD135" s="9">
        <f t="shared" si="28"/>
        <v>300</v>
      </c>
      <c r="AE135" s="9">
        <f t="shared" si="29"/>
        <v>134.24</v>
      </c>
      <c r="AF135" s="9">
        <f t="shared" si="35"/>
        <v>165.76</v>
      </c>
      <c r="AG135" s="8">
        <f t="shared" si="30"/>
        <v>2024</v>
      </c>
      <c r="AH135" s="8">
        <f t="shared" si="31"/>
        <v>7</v>
      </c>
      <c r="AI135" s="5" t="str">
        <f t="shared" si="32"/>
        <v>Jul</v>
      </c>
      <c r="AJ135" s="5" t="str">
        <f t="shared" si="33"/>
        <v>Saturday</v>
      </c>
    </row>
    <row r="136" spans="1:36" x14ac:dyDescent="0.3">
      <c r="A136" s="5" t="s">
        <v>170</v>
      </c>
      <c r="B136" s="6">
        <v>45645</v>
      </c>
      <c r="C136" s="7">
        <v>0.70138888888888884</v>
      </c>
      <c r="D136" s="5" t="s">
        <v>1806</v>
      </c>
      <c r="E136" s="5" t="s">
        <v>1954</v>
      </c>
      <c r="F136" s="5" t="s">
        <v>2239</v>
      </c>
      <c r="G136" s="5" t="s">
        <v>2249</v>
      </c>
      <c r="H136" s="5" t="s">
        <v>2257</v>
      </c>
      <c r="I136" s="5" t="s">
        <v>2263</v>
      </c>
      <c r="J136" s="5" t="s">
        <v>2266</v>
      </c>
      <c r="K136" s="8">
        <v>3</v>
      </c>
      <c r="L136" s="9">
        <v>155</v>
      </c>
      <c r="M136" s="10">
        <v>0</v>
      </c>
      <c r="N136" s="9">
        <f t="shared" si="34"/>
        <v>465</v>
      </c>
      <c r="O136" s="9">
        <f t="shared" si="24"/>
        <v>465</v>
      </c>
      <c r="P136" s="5" t="s">
        <v>2268</v>
      </c>
      <c r="Q136" s="5" t="s">
        <v>2271</v>
      </c>
      <c r="R136" s="5" t="s">
        <v>2279</v>
      </c>
      <c r="S136" s="5" t="s">
        <v>2287</v>
      </c>
      <c r="T136" s="5" t="s">
        <v>2289</v>
      </c>
      <c r="U136" s="8">
        <v>2</v>
      </c>
      <c r="V136" s="8">
        <v>369</v>
      </c>
      <c r="W136" s="19">
        <v>37</v>
      </c>
      <c r="X136" s="9">
        <v>95.58</v>
      </c>
      <c r="Y136" s="9">
        <f t="shared" si="25"/>
        <v>178.26</v>
      </c>
      <c r="Z136" s="5" t="s">
        <v>2293</v>
      </c>
      <c r="AA136" s="5" t="s">
        <v>2296</v>
      </c>
      <c r="AB136" s="9">
        <f t="shared" si="26"/>
        <v>465</v>
      </c>
      <c r="AC136" s="9">
        <f t="shared" si="27"/>
        <v>0</v>
      </c>
      <c r="AD136" s="9">
        <f t="shared" si="28"/>
        <v>465</v>
      </c>
      <c r="AE136" s="9">
        <f t="shared" si="29"/>
        <v>286.74</v>
      </c>
      <c r="AF136" s="9">
        <f t="shared" si="35"/>
        <v>178.26</v>
      </c>
      <c r="AG136" s="8">
        <f t="shared" si="30"/>
        <v>2024</v>
      </c>
      <c r="AH136" s="8">
        <f t="shared" si="31"/>
        <v>12</v>
      </c>
      <c r="AI136" s="5" t="str">
        <f t="shared" si="32"/>
        <v>Dec</v>
      </c>
      <c r="AJ136" s="5" t="str">
        <f t="shared" si="33"/>
        <v>Thursday</v>
      </c>
    </row>
    <row r="137" spans="1:36" x14ac:dyDescent="0.3">
      <c r="A137" s="5" t="s">
        <v>171</v>
      </c>
      <c r="B137" s="6">
        <v>45384</v>
      </c>
      <c r="C137" s="7">
        <v>0.46875</v>
      </c>
      <c r="D137" s="5" t="s">
        <v>1799</v>
      </c>
      <c r="E137" s="5" t="s">
        <v>2045</v>
      </c>
      <c r="F137" s="5" t="s">
        <v>2238</v>
      </c>
      <c r="G137" s="5" t="s">
        <v>2251</v>
      </c>
      <c r="H137" s="5" t="s">
        <v>2258</v>
      </c>
      <c r="I137" s="5" t="s">
        <v>2260</v>
      </c>
      <c r="J137" s="5" t="s">
        <v>1761</v>
      </c>
      <c r="K137" s="8">
        <v>1</v>
      </c>
      <c r="L137" s="9">
        <v>100</v>
      </c>
      <c r="M137" s="10">
        <v>0.15</v>
      </c>
      <c r="N137" s="9">
        <f t="shared" si="34"/>
        <v>100</v>
      </c>
      <c r="O137" s="9">
        <f t="shared" si="24"/>
        <v>85</v>
      </c>
      <c r="P137" s="5" t="s">
        <v>2269</v>
      </c>
      <c r="Q137" s="5" t="s">
        <v>2272</v>
      </c>
      <c r="R137" s="5" t="s">
        <v>2273</v>
      </c>
      <c r="S137" s="5" t="s">
        <v>2284</v>
      </c>
      <c r="T137" s="5" t="s">
        <v>2290</v>
      </c>
      <c r="U137" s="8">
        <v>5</v>
      </c>
      <c r="V137" s="8">
        <v>16</v>
      </c>
      <c r="W137" s="8">
        <v>23</v>
      </c>
      <c r="X137" s="9">
        <v>50.16</v>
      </c>
      <c r="Y137" s="9">
        <f t="shared" si="25"/>
        <v>34.840000000000003</v>
      </c>
      <c r="Z137" s="5" t="s">
        <v>2293</v>
      </c>
      <c r="AA137" s="5" t="s">
        <v>2299</v>
      </c>
      <c r="AB137" s="9">
        <f t="shared" si="26"/>
        <v>100</v>
      </c>
      <c r="AC137" s="9">
        <f t="shared" si="27"/>
        <v>15</v>
      </c>
      <c r="AD137" s="9">
        <f t="shared" si="28"/>
        <v>85</v>
      </c>
      <c r="AE137" s="9">
        <f t="shared" si="29"/>
        <v>50.16</v>
      </c>
      <c r="AF137" s="9">
        <f t="shared" si="35"/>
        <v>34.840000000000003</v>
      </c>
      <c r="AG137" s="8">
        <f t="shared" si="30"/>
        <v>2024</v>
      </c>
      <c r="AH137" s="8">
        <f t="shared" si="31"/>
        <v>4</v>
      </c>
      <c r="AI137" s="5" t="str">
        <f t="shared" si="32"/>
        <v>Apr</v>
      </c>
      <c r="AJ137" s="5" t="str">
        <f t="shared" si="33"/>
        <v>Tuesday</v>
      </c>
    </row>
    <row r="138" spans="1:36" x14ac:dyDescent="0.3">
      <c r="A138" s="5" t="s">
        <v>172</v>
      </c>
      <c r="B138" s="6">
        <v>45453</v>
      </c>
      <c r="C138" s="7">
        <v>0.88194444444444442</v>
      </c>
      <c r="D138" s="5" t="s">
        <v>1798</v>
      </c>
      <c r="E138" s="5" t="s">
        <v>2046</v>
      </c>
      <c r="F138" s="5" t="s">
        <v>2239</v>
      </c>
      <c r="G138" s="5" t="s">
        <v>2241</v>
      </c>
      <c r="H138" s="5" t="s">
        <v>2257</v>
      </c>
      <c r="I138" s="5" t="s">
        <v>2262</v>
      </c>
      <c r="J138" s="5" t="s">
        <v>2265</v>
      </c>
      <c r="K138" s="19">
        <v>1</v>
      </c>
      <c r="L138" s="9">
        <v>140</v>
      </c>
      <c r="M138" s="10">
        <v>0</v>
      </c>
      <c r="N138" s="9">
        <f t="shared" si="34"/>
        <v>140</v>
      </c>
      <c r="O138" s="9">
        <f t="shared" si="24"/>
        <v>140</v>
      </c>
      <c r="P138" s="5" t="s">
        <v>2268</v>
      </c>
      <c r="Q138" s="5" t="s">
        <v>2272</v>
      </c>
      <c r="R138" s="5" t="s">
        <v>2277</v>
      </c>
      <c r="S138" s="5" t="s">
        <v>2286</v>
      </c>
      <c r="T138" s="5" t="s">
        <v>2289</v>
      </c>
      <c r="U138" s="8">
        <v>5</v>
      </c>
      <c r="V138" s="8">
        <v>434</v>
      </c>
      <c r="W138" s="8">
        <v>14</v>
      </c>
      <c r="X138" s="9">
        <v>53.11</v>
      </c>
      <c r="Y138" s="9">
        <f t="shared" si="25"/>
        <v>86.89</v>
      </c>
      <c r="Z138" s="5" t="s">
        <v>1761</v>
      </c>
      <c r="AA138" s="5" t="s">
        <v>2296</v>
      </c>
      <c r="AB138" s="9">
        <f t="shared" si="26"/>
        <v>140</v>
      </c>
      <c r="AC138" s="9">
        <f t="shared" si="27"/>
        <v>0</v>
      </c>
      <c r="AD138" s="9">
        <f t="shared" si="28"/>
        <v>140</v>
      </c>
      <c r="AE138" s="9">
        <f t="shared" si="29"/>
        <v>53.11</v>
      </c>
      <c r="AF138" s="9">
        <f t="shared" si="35"/>
        <v>86.89</v>
      </c>
      <c r="AG138" s="8">
        <f t="shared" si="30"/>
        <v>2024</v>
      </c>
      <c r="AH138" s="8">
        <f t="shared" si="31"/>
        <v>6</v>
      </c>
      <c r="AI138" s="5" t="str">
        <f t="shared" si="32"/>
        <v>Jun</v>
      </c>
      <c r="AJ138" s="5" t="str">
        <f t="shared" si="33"/>
        <v>Monday</v>
      </c>
    </row>
    <row r="139" spans="1:36" x14ac:dyDescent="0.3">
      <c r="A139" s="5" t="s">
        <v>173</v>
      </c>
      <c r="B139" s="6">
        <v>45408</v>
      </c>
      <c r="C139" s="7">
        <v>0.55555555555555558</v>
      </c>
      <c r="D139" s="5" t="s">
        <v>1823</v>
      </c>
      <c r="E139" s="5" t="s">
        <v>2043</v>
      </c>
      <c r="F139" s="5" t="s">
        <v>2240</v>
      </c>
      <c r="G139" s="5" t="s">
        <v>2254</v>
      </c>
      <c r="H139" s="5" t="s">
        <v>2259</v>
      </c>
      <c r="I139" s="5" t="s">
        <v>2263</v>
      </c>
      <c r="J139" s="5" t="s">
        <v>2264</v>
      </c>
      <c r="K139" s="8">
        <v>1</v>
      </c>
      <c r="L139" s="9">
        <v>110</v>
      </c>
      <c r="M139" s="10">
        <v>0.05</v>
      </c>
      <c r="N139" s="9">
        <f t="shared" si="34"/>
        <v>110</v>
      </c>
      <c r="O139" s="9">
        <f t="shared" si="24"/>
        <v>104.5</v>
      </c>
      <c r="P139" s="5" t="s">
        <v>2267</v>
      </c>
      <c r="Q139" s="5" t="s">
        <v>2271</v>
      </c>
      <c r="R139" s="5" t="s">
        <v>2279</v>
      </c>
      <c r="S139" s="5" t="s">
        <v>2285</v>
      </c>
      <c r="T139" s="5" t="s">
        <v>2290</v>
      </c>
      <c r="U139" s="8">
        <v>5</v>
      </c>
      <c r="V139" s="8">
        <v>285</v>
      </c>
      <c r="W139" s="8">
        <v>26</v>
      </c>
      <c r="X139" s="9">
        <v>57.62</v>
      </c>
      <c r="Y139" s="9">
        <f t="shared" si="25"/>
        <v>46.88</v>
      </c>
      <c r="Z139" s="5" t="s">
        <v>2293</v>
      </c>
      <c r="AA139" s="5" t="s">
        <v>2298</v>
      </c>
      <c r="AB139" s="9">
        <f t="shared" si="26"/>
        <v>110</v>
      </c>
      <c r="AC139" s="9">
        <f t="shared" si="27"/>
        <v>5.5</v>
      </c>
      <c r="AD139" s="9">
        <f t="shared" si="28"/>
        <v>104.5</v>
      </c>
      <c r="AE139" s="9">
        <f t="shared" si="29"/>
        <v>57.62</v>
      </c>
      <c r="AF139" s="9">
        <f t="shared" si="35"/>
        <v>46.88</v>
      </c>
      <c r="AG139" s="8">
        <f t="shared" si="30"/>
        <v>2024</v>
      </c>
      <c r="AH139" s="8">
        <f t="shared" si="31"/>
        <v>4</v>
      </c>
      <c r="AI139" s="5" t="str">
        <f t="shared" si="32"/>
        <v>Apr</v>
      </c>
      <c r="AJ139" s="5" t="str">
        <f t="shared" si="33"/>
        <v>Friday</v>
      </c>
    </row>
    <row r="140" spans="1:36" x14ac:dyDescent="0.3">
      <c r="A140" s="5" t="s">
        <v>174</v>
      </c>
      <c r="B140" s="6">
        <v>45484</v>
      </c>
      <c r="C140" s="7">
        <v>0.57291666666666663</v>
      </c>
      <c r="D140" s="5" t="s">
        <v>1836</v>
      </c>
      <c r="E140" s="5" t="s">
        <v>2047</v>
      </c>
      <c r="F140" s="5" t="s">
        <v>2240</v>
      </c>
      <c r="G140" s="5" t="s">
        <v>2251</v>
      </c>
      <c r="H140" s="5" t="s">
        <v>2258</v>
      </c>
      <c r="I140" s="5" t="s">
        <v>2260</v>
      </c>
      <c r="J140" s="5" t="s">
        <v>2265</v>
      </c>
      <c r="K140" s="8">
        <v>3</v>
      </c>
      <c r="L140" s="9">
        <v>100</v>
      </c>
      <c r="M140" s="10">
        <v>0</v>
      </c>
      <c r="N140" s="9">
        <f t="shared" si="34"/>
        <v>300</v>
      </c>
      <c r="O140" s="9">
        <f t="shared" si="24"/>
        <v>300</v>
      </c>
      <c r="P140" s="5" t="s">
        <v>2268</v>
      </c>
      <c r="Q140" s="5" t="s">
        <v>2271</v>
      </c>
      <c r="R140" s="5" t="s">
        <v>2273</v>
      </c>
      <c r="S140" s="5" t="s">
        <v>2285</v>
      </c>
      <c r="T140" s="5" t="s">
        <v>2288</v>
      </c>
      <c r="U140" s="8">
        <v>5</v>
      </c>
      <c r="V140" s="8">
        <v>65</v>
      </c>
      <c r="W140" s="8">
        <v>22</v>
      </c>
      <c r="X140" s="9">
        <v>55.19</v>
      </c>
      <c r="Y140" s="9">
        <f t="shared" si="25"/>
        <v>134.43</v>
      </c>
      <c r="Z140" s="5" t="s">
        <v>1761</v>
      </c>
      <c r="AA140" s="5" t="s">
        <v>2297</v>
      </c>
      <c r="AB140" s="9">
        <f t="shared" si="26"/>
        <v>300</v>
      </c>
      <c r="AC140" s="9">
        <f t="shared" si="27"/>
        <v>0</v>
      </c>
      <c r="AD140" s="9">
        <f t="shared" si="28"/>
        <v>300</v>
      </c>
      <c r="AE140" s="9">
        <f t="shared" si="29"/>
        <v>165.57</v>
      </c>
      <c r="AF140" s="9">
        <f t="shared" si="35"/>
        <v>134.43</v>
      </c>
      <c r="AG140" s="8">
        <f t="shared" si="30"/>
        <v>2024</v>
      </c>
      <c r="AH140" s="8">
        <f t="shared" si="31"/>
        <v>7</v>
      </c>
      <c r="AI140" s="5" t="str">
        <f t="shared" si="32"/>
        <v>Jul</v>
      </c>
      <c r="AJ140" s="5" t="str">
        <f t="shared" si="33"/>
        <v>Thursday</v>
      </c>
    </row>
    <row r="141" spans="1:36" x14ac:dyDescent="0.3">
      <c r="A141" s="5" t="s">
        <v>175</v>
      </c>
      <c r="B141" s="6">
        <v>45359</v>
      </c>
      <c r="C141" s="7">
        <v>0.69791666666666663</v>
      </c>
      <c r="D141" s="5" t="s">
        <v>1837</v>
      </c>
      <c r="E141" s="5" t="s">
        <v>1942</v>
      </c>
      <c r="F141" s="5" t="s">
        <v>2240</v>
      </c>
      <c r="G141" s="5" t="s">
        <v>2256</v>
      </c>
      <c r="H141" s="5" t="s">
        <v>2261</v>
      </c>
      <c r="I141" s="5" t="s">
        <v>2260</v>
      </c>
      <c r="J141" s="5" t="s">
        <v>2265</v>
      </c>
      <c r="K141" s="8">
        <v>3</v>
      </c>
      <c r="L141" s="9">
        <v>195</v>
      </c>
      <c r="M141" s="10">
        <v>0</v>
      </c>
      <c r="N141" s="9">
        <f t="shared" si="34"/>
        <v>585</v>
      </c>
      <c r="O141" s="9">
        <f t="shared" si="24"/>
        <v>585</v>
      </c>
      <c r="P141" s="5" t="s">
        <v>2267</v>
      </c>
      <c r="Q141" s="5" t="s">
        <v>2272</v>
      </c>
      <c r="R141" s="5" t="s">
        <v>2277</v>
      </c>
      <c r="S141" s="5" t="s">
        <v>2285</v>
      </c>
      <c r="T141" s="5" t="s">
        <v>2288</v>
      </c>
      <c r="U141" s="8">
        <v>5</v>
      </c>
      <c r="V141" s="8">
        <v>220</v>
      </c>
      <c r="W141" s="8">
        <v>29</v>
      </c>
      <c r="X141" s="9">
        <v>91.94</v>
      </c>
      <c r="Y141" s="9">
        <f t="shared" si="25"/>
        <v>309.18</v>
      </c>
      <c r="Z141" s="5" t="s">
        <v>1761</v>
      </c>
      <c r="AA141" s="5" t="s">
        <v>1761</v>
      </c>
      <c r="AB141" s="9">
        <f t="shared" si="26"/>
        <v>585</v>
      </c>
      <c r="AC141" s="9">
        <f t="shared" si="27"/>
        <v>0</v>
      </c>
      <c r="AD141" s="9">
        <f t="shared" si="28"/>
        <v>585</v>
      </c>
      <c r="AE141" s="9">
        <f t="shared" si="29"/>
        <v>275.82</v>
      </c>
      <c r="AF141" s="9">
        <f t="shared" si="35"/>
        <v>309.18</v>
      </c>
      <c r="AG141" s="8">
        <f t="shared" si="30"/>
        <v>2024</v>
      </c>
      <c r="AH141" s="8">
        <f t="shared" si="31"/>
        <v>3</v>
      </c>
      <c r="AI141" s="5" t="str">
        <f t="shared" si="32"/>
        <v>Mar</v>
      </c>
      <c r="AJ141" s="5" t="str">
        <f t="shared" si="33"/>
        <v>Friday</v>
      </c>
    </row>
    <row r="142" spans="1:36" x14ac:dyDescent="0.3">
      <c r="A142" s="5" t="s">
        <v>176</v>
      </c>
      <c r="B142" s="6">
        <v>45411</v>
      </c>
      <c r="C142" s="7">
        <v>0.35416666666666669</v>
      </c>
      <c r="D142" s="5" t="s">
        <v>1838</v>
      </c>
      <c r="E142" s="5" t="s">
        <v>2048</v>
      </c>
      <c r="F142" s="5" t="s">
        <v>2239</v>
      </c>
      <c r="G142" s="5" t="s">
        <v>2255</v>
      </c>
      <c r="H142" s="5" t="s">
        <v>2260</v>
      </c>
      <c r="I142" s="5" t="s">
        <v>2260</v>
      </c>
      <c r="J142" s="5" t="s">
        <v>2266</v>
      </c>
      <c r="K142" s="8">
        <v>1</v>
      </c>
      <c r="L142" s="9">
        <v>180</v>
      </c>
      <c r="M142" s="10">
        <v>0.1</v>
      </c>
      <c r="N142" s="9">
        <f t="shared" si="34"/>
        <v>180</v>
      </c>
      <c r="O142" s="9">
        <f t="shared" si="24"/>
        <v>162</v>
      </c>
      <c r="P142" s="5" t="s">
        <v>2269</v>
      </c>
      <c r="Q142" s="5" t="s">
        <v>2272</v>
      </c>
      <c r="R142" s="5" t="s">
        <v>2276</v>
      </c>
      <c r="S142" s="5" t="s">
        <v>2282</v>
      </c>
      <c r="T142" s="5" t="s">
        <v>2289</v>
      </c>
      <c r="U142" s="8">
        <v>1</v>
      </c>
      <c r="V142" s="8">
        <v>455</v>
      </c>
      <c r="W142" s="19">
        <v>35</v>
      </c>
      <c r="X142" s="9">
        <v>90.9</v>
      </c>
      <c r="Y142" s="9">
        <f t="shared" si="25"/>
        <v>71.099999999999994</v>
      </c>
      <c r="Z142" s="5" t="s">
        <v>2291</v>
      </c>
      <c r="AA142" s="5" t="s">
        <v>2297</v>
      </c>
      <c r="AB142" s="9">
        <f t="shared" si="26"/>
        <v>180</v>
      </c>
      <c r="AC142" s="9">
        <f t="shared" si="27"/>
        <v>18</v>
      </c>
      <c r="AD142" s="9">
        <f t="shared" si="28"/>
        <v>162</v>
      </c>
      <c r="AE142" s="9">
        <f t="shared" si="29"/>
        <v>90.9</v>
      </c>
      <c r="AF142" s="9">
        <f t="shared" si="35"/>
        <v>71.099999999999994</v>
      </c>
      <c r="AG142" s="8">
        <f t="shared" si="30"/>
        <v>2024</v>
      </c>
      <c r="AH142" s="8">
        <f t="shared" si="31"/>
        <v>4</v>
      </c>
      <c r="AI142" s="5" t="str">
        <f t="shared" si="32"/>
        <v>Apr</v>
      </c>
      <c r="AJ142" s="5" t="str">
        <f t="shared" si="33"/>
        <v>Monday</v>
      </c>
    </row>
    <row r="143" spans="1:36" x14ac:dyDescent="0.3">
      <c r="A143" s="5" t="s">
        <v>177</v>
      </c>
      <c r="B143" s="6">
        <v>45574</v>
      </c>
      <c r="C143" s="7">
        <v>0.73958333333333337</v>
      </c>
      <c r="D143" s="5" t="s">
        <v>1839</v>
      </c>
      <c r="E143" s="5" t="s">
        <v>1944</v>
      </c>
      <c r="F143" s="5" t="s">
        <v>2240</v>
      </c>
      <c r="G143" s="5" t="s">
        <v>2251</v>
      </c>
      <c r="H143" s="5" t="s">
        <v>2258</v>
      </c>
      <c r="I143" s="5" t="s">
        <v>2260</v>
      </c>
      <c r="J143" s="5" t="s">
        <v>2265</v>
      </c>
      <c r="K143" s="8">
        <v>1</v>
      </c>
      <c r="L143" s="9">
        <v>100</v>
      </c>
      <c r="M143" s="10">
        <v>0</v>
      </c>
      <c r="N143" s="9">
        <f t="shared" si="34"/>
        <v>100</v>
      </c>
      <c r="O143" s="9">
        <f t="shared" si="24"/>
        <v>100</v>
      </c>
      <c r="P143" s="5" t="s">
        <v>2269</v>
      </c>
      <c r="Q143" s="5" t="s">
        <v>2271</v>
      </c>
      <c r="R143" s="5" t="s">
        <v>2279</v>
      </c>
      <c r="S143" s="5" t="s">
        <v>2287</v>
      </c>
      <c r="T143" s="5" t="s">
        <v>2288</v>
      </c>
      <c r="U143" s="19">
        <v>3</v>
      </c>
      <c r="V143" s="8">
        <v>37</v>
      </c>
      <c r="W143" s="8">
        <v>32</v>
      </c>
      <c r="X143" s="9">
        <v>59.31</v>
      </c>
      <c r="Y143" s="9">
        <f t="shared" si="25"/>
        <v>40.69</v>
      </c>
      <c r="Z143" s="5" t="s">
        <v>1761</v>
      </c>
      <c r="AA143" s="5" t="s">
        <v>2298</v>
      </c>
      <c r="AB143" s="9">
        <f t="shared" si="26"/>
        <v>100</v>
      </c>
      <c r="AC143" s="9">
        <f t="shared" si="27"/>
        <v>0</v>
      </c>
      <c r="AD143" s="9">
        <f t="shared" si="28"/>
        <v>100</v>
      </c>
      <c r="AE143" s="9">
        <f t="shared" si="29"/>
        <v>59.31</v>
      </c>
      <c r="AF143" s="9">
        <f t="shared" si="35"/>
        <v>40.69</v>
      </c>
      <c r="AG143" s="8">
        <f t="shared" si="30"/>
        <v>2024</v>
      </c>
      <c r="AH143" s="8">
        <f t="shared" si="31"/>
        <v>10</v>
      </c>
      <c r="AI143" s="5" t="str">
        <f t="shared" si="32"/>
        <v>Oct</v>
      </c>
      <c r="AJ143" s="5" t="str">
        <f t="shared" si="33"/>
        <v>Wednesday</v>
      </c>
    </row>
    <row r="144" spans="1:36" x14ac:dyDescent="0.3">
      <c r="A144" s="5" t="s">
        <v>178</v>
      </c>
      <c r="B144" s="6">
        <v>45586</v>
      </c>
      <c r="C144" s="7">
        <v>0.35416666666666669</v>
      </c>
      <c r="D144" s="5" t="s">
        <v>1840</v>
      </c>
      <c r="E144" s="5" t="s">
        <v>2037</v>
      </c>
      <c r="F144" s="5" t="s">
        <v>2239</v>
      </c>
      <c r="G144" s="5" t="s">
        <v>2254</v>
      </c>
      <c r="H144" s="5" t="s">
        <v>2259</v>
      </c>
      <c r="I144" s="5" t="s">
        <v>2263</v>
      </c>
      <c r="J144" s="5" t="s">
        <v>1761</v>
      </c>
      <c r="K144" s="8">
        <v>1</v>
      </c>
      <c r="L144" s="9">
        <v>105</v>
      </c>
      <c r="M144" s="10">
        <v>0.05</v>
      </c>
      <c r="N144" s="9">
        <f t="shared" si="34"/>
        <v>105</v>
      </c>
      <c r="O144" s="9">
        <f t="shared" si="24"/>
        <v>99.75</v>
      </c>
      <c r="P144" s="5" t="s">
        <v>1761</v>
      </c>
      <c r="Q144" s="5" t="s">
        <v>2272</v>
      </c>
      <c r="R144" s="5" t="s">
        <v>2275</v>
      </c>
      <c r="S144" s="5" t="s">
        <v>2286</v>
      </c>
      <c r="T144" s="5" t="s">
        <v>2288</v>
      </c>
      <c r="U144" s="19">
        <v>3</v>
      </c>
      <c r="V144" s="8">
        <v>147</v>
      </c>
      <c r="W144" s="8">
        <v>39</v>
      </c>
      <c r="X144" s="9">
        <v>65.39</v>
      </c>
      <c r="Y144" s="9">
        <f t="shared" si="25"/>
        <v>34.36</v>
      </c>
      <c r="Z144" s="5" t="s">
        <v>2292</v>
      </c>
      <c r="AA144" s="5" t="s">
        <v>2298</v>
      </c>
      <c r="AB144" s="9">
        <f t="shared" si="26"/>
        <v>105</v>
      </c>
      <c r="AC144" s="9">
        <f t="shared" si="27"/>
        <v>5.25</v>
      </c>
      <c r="AD144" s="9">
        <f t="shared" si="28"/>
        <v>99.75</v>
      </c>
      <c r="AE144" s="9">
        <f t="shared" si="29"/>
        <v>65.39</v>
      </c>
      <c r="AF144" s="9">
        <f t="shared" si="35"/>
        <v>34.36</v>
      </c>
      <c r="AG144" s="8">
        <f t="shared" si="30"/>
        <v>2024</v>
      </c>
      <c r="AH144" s="8">
        <f t="shared" si="31"/>
        <v>10</v>
      </c>
      <c r="AI144" s="5" t="str">
        <f t="shared" si="32"/>
        <v>Oct</v>
      </c>
      <c r="AJ144" s="5" t="str">
        <f t="shared" si="33"/>
        <v>Monday</v>
      </c>
    </row>
    <row r="145" spans="1:36" x14ac:dyDescent="0.3">
      <c r="A145" s="5" t="s">
        <v>179</v>
      </c>
      <c r="B145" s="6">
        <v>45592</v>
      </c>
      <c r="C145" s="7">
        <v>0.47222222222222221</v>
      </c>
      <c r="D145" s="5" t="s">
        <v>1841</v>
      </c>
      <c r="E145" s="5" t="s">
        <v>1942</v>
      </c>
      <c r="F145" s="5" t="s">
        <v>2238</v>
      </c>
      <c r="G145" s="5" t="s">
        <v>2253</v>
      </c>
      <c r="H145" s="5" t="s">
        <v>2258</v>
      </c>
      <c r="I145" s="5" t="s">
        <v>2260</v>
      </c>
      <c r="J145" s="5" t="s">
        <v>2265</v>
      </c>
      <c r="K145" s="8">
        <v>1</v>
      </c>
      <c r="L145" s="9">
        <v>95</v>
      </c>
      <c r="M145" s="10">
        <v>0</v>
      </c>
      <c r="N145" s="9">
        <f t="shared" si="34"/>
        <v>95</v>
      </c>
      <c r="O145" s="9">
        <f t="shared" si="24"/>
        <v>95</v>
      </c>
      <c r="P145" s="5" t="s">
        <v>2267</v>
      </c>
      <c r="Q145" s="5" t="s">
        <v>2272</v>
      </c>
      <c r="R145" s="5" t="s">
        <v>2274</v>
      </c>
      <c r="S145" s="5" t="s">
        <v>2280</v>
      </c>
      <c r="T145" s="5" t="s">
        <v>2290</v>
      </c>
      <c r="U145" s="8">
        <v>4</v>
      </c>
      <c r="V145" s="8">
        <v>424</v>
      </c>
      <c r="W145" s="8">
        <v>45</v>
      </c>
      <c r="X145" s="9">
        <v>47.14</v>
      </c>
      <c r="Y145" s="9">
        <f t="shared" si="25"/>
        <v>47.86</v>
      </c>
      <c r="Z145" s="5" t="s">
        <v>2292</v>
      </c>
      <c r="AA145" s="5" t="s">
        <v>2296</v>
      </c>
      <c r="AB145" s="9">
        <f t="shared" si="26"/>
        <v>95</v>
      </c>
      <c r="AC145" s="9">
        <f t="shared" si="27"/>
        <v>0</v>
      </c>
      <c r="AD145" s="9">
        <f t="shared" si="28"/>
        <v>95</v>
      </c>
      <c r="AE145" s="9">
        <f t="shared" si="29"/>
        <v>47.14</v>
      </c>
      <c r="AF145" s="9">
        <f t="shared" si="35"/>
        <v>47.86</v>
      </c>
      <c r="AG145" s="8">
        <f t="shared" si="30"/>
        <v>2024</v>
      </c>
      <c r="AH145" s="8">
        <f t="shared" si="31"/>
        <v>10</v>
      </c>
      <c r="AI145" s="5" t="str">
        <f t="shared" si="32"/>
        <v>Oct</v>
      </c>
      <c r="AJ145" s="5" t="str">
        <f t="shared" si="33"/>
        <v>Sunday</v>
      </c>
    </row>
    <row r="146" spans="1:36" x14ac:dyDescent="0.3">
      <c r="A146" s="5" t="s">
        <v>180</v>
      </c>
      <c r="B146" s="6">
        <v>45447</v>
      </c>
      <c r="C146" s="7">
        <v>0.55208333333333337</v>
      </c>
      <c r="D146" s="5" t="s">
        <v>1761</v>
      </c>
      <c r="E146" s="5" t="s">
        <v>2049</v>
      </c>
      <c r="F146" s="5" t="s">
        <v>2240</v>
      </c>
      <c r="G146" s="5" t="s">
        <v>2254</v>
      </c>
      <c r="H146" s="5" t="s">
        <v>2259</v>
      </c>
      <c r="I146" s="5" t="s">
        <v>2263</v>
      </c>
      <c r="J146" s="5" t="s">
        <v>1761</v>
      </c>
      <c r="K146" s="8">
        <v>1</v>
      </c>
      <c r="L146" s="9">
        <v>110</v>
      </c>
      <c r="M146" s="10">
        <v>0.05</v>
      </c>
      <c r="N146" s="9">
        <f t="shared" si="34"/>
        <v>110</v>
      </c>
      <c r="O146" s="9">
        <f t="shared" si="24"/>
        <v>104.5</v>
      </c>
      <c r="P146" s="5" t="s">
        <v>2267</v>
      </c>
      <c r="Q146" s="5" t="s">
        <v>2270</v>
      </c>
      <c r="R146" s="5" t="s">
        <v>2277</v>
      </c>
      <c r="S146" s="5" t="s">
        <v>2287</v>
      </c>
      <c r="T146" s="5" t="s">
        <v>2288</v>
      </c>
      <c r="U146" s="19">
        <v>3</v>
      </c>
      <c r="V146" s="8">
        <v>269</v>
      </c>
      <c r="W146" s="8">
        <v>20</v>
      </c>
      <c r="X146" s="9">
        <v>54.23</v>
      </c>
      <c r="Y146" s="9">
        <f t="shared" si="25"/>
        <v>50.27</v>
      </c>
      <c r="Z146" s="5" t="s">
        <v>2292</v>
      </c>
      <c r="AA146" s="5" t="s">
        <v>1761</v>
      </c>
      <c r="AB146" s="9">
        <f t="shared" si="26"/>
        <v>110</v>
      </c>
      <c r="AC146" s="9">
        <f t="shared" si="27"/>
        <v>5.5</v>
      </c>
      <c r="AD146" s="9">
        <f t="shared" si="28"/>
        <v>104.5</v>
      </c>
      <c r="AE146" s="9">
        <f t="shared" si="29"/>
        <v>54.23</v>
      </c>
      <c r="AF146" s="9">
        <f t="shared" si="35"/>
        <v>50.27</v>
      </c>
      <c r="AG146" s="8">
        <f t="shared" si="30"/>
        <v>2024</v>
      </c>
      <c r="AH146" s="8">
        <f t="shared" si="31"/>
        <v>6</v>
      </c>
      <c r="AI146" s="5" t="str">
        <f t="shared" si="32"/>
        <v>Jun</v>
      </c>
      <c r="AJ146" s="5" t="str">
        <f t="shared" si="33"/>
        <v>Tuesday</v>
      </c>
    </row>
    <row r="147" spans="1:36" x14ac:dyDescent="0.3">
      <c r="A147" s="5" t="s">
        <v>181</v>
      </c>
      <c r="B147" s="6">
        <v>45338</v>
      </c>
      <c r="C147" s="7">
        <v>0.72916666666666663</v>
      </c>
      <c r="D147" s="5" t="s">
        <v>1789</v>
      </c>
      <c r="E147" s="5" t="s">
        <v>2050</v>
      </c>
      <c r="F147" s="5" t="s">
        <v>1761</v>
      </c>
      <c r="G147" s="5" t="s">
        <v>2249</v>
      </c>
      <c r="H147" s="5" t="s">
        <v>2257</v>
      </c>
      <c r="I147" s="5" t="s">
        <v>2263</v>
      </c>
      <c r="J147" s="5" t="s">
        <v>2266</v>
      </c>
      <c r="K147" s="8">
        <v>1</v>
      </c>
      <c r="L147" s="9">
        <v>160</v>
      </c>
      <c r="M147" s="10">
        <v>0.05</v>
      </c>
      <c r="N147" s="9">
        <f t="shared" si="34"/>
        <v>160</v>
      </c>
      <c r="O147" s="9">
        <f t="shared" si="24"/>
        <v>152</v>
      </c>
      <c r="P147" s="5" t="s">
        <v>1761</v>
      </c>
      <c r="Q147" s="5" t="s">
        <v>2272</v>
      </c>
      <c r="R147" s="5" t="s">
        <v>2278</v>
      </c>
      <c r="S147" s="5" t="s">
        <v>2287</v>
      </c>
      <c r="T147" s="5" t="s">
        <v>2288</v>
      </c>
      <c r="U147" s="19">
        <v>3</v>
      </c>
      <c r="V147" s="8">
        <v>202</v>
      </c>
      <c r="W147" s="8">
        <v>35</v>
      </c>
      <c r="X147" s="9">
        <v>79.209999999999994</v>
      </c>
      <c r="Y147" s="9">
        <f t="shared" si="25"/>
        <v>72.790000000000006</v>
      </c>
      <c r="Z147" s="5" t="s">
        <v>2293</v>
      </c>
      <c r="AA147" s="5" t="s">
        <v>2299</v>
      </c>
      <c r="AB147" s="9">
        <f t="shared" si="26"/>
        <v>160</v>
      </c>
      <c r="AC147" s="9">
        <f t="shared" si="27"/>
        <v>8</v>
      </c>
      <c r="AD147" s="9">
        <f t="shared" si="28"/>
        <v>152</v>
      </c>
      <c r="AE147" s="9">
        <f t="shared" si="29"/>
        <v>79.209999999999994</v>
      </c>
      <c r="AF147" s="9">
        <f t="shared" si="35"/>
        <v>72.790000000000006</v>
      </c>
      <c r="AG147" s="8">
        <f t="shared" si="30"/>
        <v>2024</v>
      </c>
      <c r="AH147" s="8">
        <f t="shared" si="31"/>
        <v>2</v>
      </c>
      <c r="AI147" s="5" t="str">
        <f t="shared" si="32"/>
        <v>Feb</v>
      </c>
      <c r="AJ147" s="5" t="str">
        <f t="shared" si="33"/>
        <v>Friday</v>
      </c>
    </row>
    <row r="148" spans="1:36" x14ac:dyDescent="0.3">
      <c r="A148" s="5" t="s">
        <v>182</v>
      </c>
      <c r="B148" s="6">
        <v>45486</v>
      </c>
      <c r="C148" s="7">
        <v>0.40625</v>
      </c>
      <c r="D148" s="5" t="s">
        <v>1779</v>
      </c>
      <c r="E148" s="5" t="s">
        <v>2051</v>
      </c>
      <c r="F148" s="5" t="s">
        <v>2240</v>
      </c>
      <c r="G148" s="5" t="s">
        <v>2253</v>
      </c>
      <c r="H148" s="5" t="s">
        <v>2258</v>
      </c>
      <c r="I148" s="5" t="s">
        <v>2260</v>
      </c>
      <c r="J148" s="5" t="s">
        <v>2264</v>
      </c>
      <c r="K148" s="8">
        <v>2</v>
      </c>
      <c r="L148" s="9">
        <v>90</v>
      </c>
      <c r="M148" s="10">
        <v>0.05</v>
      </c>
      <c r="N148" s="9">
        <f t="shared" si="34"/>
        <v>180</v>
      </c>
      <c r="O148" s="9">
        <f t="shared" si="24"/>
        <v>171</v>
      </c>
      <c r="P148" s="5" t="s">
        <v>2267</v>
      </c>
      <c r="Q148" s="5" t="s">
        <v>2270</v>
      </c>
      <c r="R148" s="5" t="s">
        <v>2276</v>
      </c>
      <c r="S148" s="5" t="s">
        <v>2286</v>
      </c>
      <c r="T148" s="5" t="s">
        <v>2288</v>
      </c>
      <c r="U148" s="8">
        <v>2</v>
      </c>
      <c r="V148" s="8">
        <v>276</v>
      </c>
      <c r="W148" s="19">
        <v>34</v>
      </c>
      <c r="X148" s="9">
        <v>53.95</v>
      </c>
      <c r="Y148" s="9">
        <f t="shared" si="25"/>
        <v>63.099999999999994</v>
      </c>
      <c r="Z148" s="5" t="s">
        <v>2293</v>
      </c>
      <c r="AA148" s="5" t="s">
        <v>1761</v>
      </c>
      <c r="AB148" s="9">
        <f t="shared" si="26"/>
        <v>180</v>
      </c>
      <c r="AC148" s="9">
        <f t="shared" si="27"/>
        <v>9</v>
      </c>
      <c r="AD148" s="9">
        <f t="shared" si="28"/>
        <v>171</v>
      </c>
      <c r="AE148" s="9">
        <f t="shared" si="29"/>
        <v>107.9</v>
      </c>
      <c r="AF148" s="9">
        <f t="shared" si="35"/>
        <v>63.099999999999994</v>
      </c>
      <c r="AG148" s="8">
        <f t="shared" si="30"/>
        <v>2024</v>
      </c>
      <c r="AH148" s="8">
        <f t="shared" si="31"/>
        <v>7</v>
      </c>
      <c r="AI148" s="5" t="str">
        <f t="shared" si="32"/>
        <v>Jul</v>
      </c>
      <c r="AJ148" s="5" t="str">
        <f t="shared" si="33"/>
        <v>Saturday</v>
      </c>
    </row>
    <row r="149" spans="1:36" x14ac:dyDescent="0.3">
      <c r="A149" s="5" t="s">
        <v>183</v>
      </c>
      <c r="B149" s="6">
        <v>45547</v>
      </c>
      <c r="C149" s="7">
        <v>0.55208333333333337</v>
      </c>
      <c r="D149" s="5" t="s">
        <v>1842</v>
      </c>
      <c r="E149" s="5" t="s">
        <v>2031</v>
      </c>
      <c r="F149" s="5" t="s">
        <v>2239</v>
      </c>
      <c r="G149" s="5" t="s">
        <v>2247</v>
      </c>
      <c r="H149" s="5" t="s">
        <v>2257</v>
      </c>
      <c r="I149" s="5" t="s">
        <v>2262</v>
      </c>
      <c r="J149" s="5" t="s">
        <v>2265</v>
      </c>
      <c r="K149" s="8">
        <v>1</v>
      </c>
      <c r="L149" s="9">
        <v>95</v>
      </c>
      <c r="M149" s="10">
        <v>0.1</v>
      </c>
      <c r="N149" s="9">
        <f t="shared" si="34"/>
        <v>95</v>
      </c>
      <c r="O149" s="9">
        <f t="shared" si="24"/>
        <v>85.5</v>
      </c>
      <c r="P149" s="5" t="s">
        <v>2269</v>
      </c>
      <c r="Q149" s="5" t="s">
        <v>2271</v>
      </c>
      <c r="R149" s="5" t="s">
        <v>2275</v>
      </c>
      <c r="S149" s="5" t="s">
        <v>2280</v>
      </c>
      <c r="T149" s="5" t="s">
        <v>2288</v>
      </c>
      <c r="U149" s="8">
        <v>4</v>
      </c>
      <c r="V149" s="8">
        <v>432</v>
      </c>
      <c r="W149" s="8">
        <v>60</v>
      </c>
      <c r="X149" s="9">
        <v>58.58</v>
      </c>
      <c r="Y149" s="9">
        <f t="shared" si="25"/>
        <v>26.92</v>
      </c>
      <c r="Z149" s="5" t="s">
        <v>1761</v>
      </c>
      <c r="AA149" s="5" t="s">
        <v>2299</v>
      </c>
      <c r="AB149" s="9">
        <f t="shared" si="26"/>
        <v>95</v>
      </c>
      <c r="AC149" s="9">
        <f t="shared" si="27"/>
        <v>9.5</v>
      </c>
      <c r="AD149" s="9">
        <f t="shared" si="28"/>
        <v>85.5</v>
      </c>
      <c r="AE149" s="9">
        <f t="shared" si="29"/>
        <v>58.58</v>
      </c>
      <c r="AF149" s="9">
        <f t="shared" si="35"/>
        <v>26.92</v>
      </c>
      <c r="AG149" s="8">
        <f t="shared" si="30"/>
        <v>2024</v>
      </c>
      <c r="AH149" s="8">
        <f t="shared" si="31"/>
        <v>9</v>
      </c>
      <c r="AI149" s="5" t="str">
        <f t="shared" si="32"/>
        <v>Sep</v>
      </c>
      <c r="AJ149" s="5" t="str">
        <f t="shared" si="33"/>
        <v>Thursday</v>
      </c>
    </row>
    <row r="150" spans="1:36" x14ac:dyDescent="0.3">
      <c r="A150" s="5" t="s">
        <v>184</v>
      </c>
      <c r="B150" s="6">
        <v>45499</v>
      </c>
      <c r="C150" s="7">
        <v>0.86458333333333337</v>
      </c>
      <c r="D150" s="5" t="s">
        <v>1843</v>
      </c>
      <c r="E150" s="5" t="s">
        <v>1942</v>
      </c>
      <c r="F150" s="5" t="s">
        <v>2239</v>
      </c>
      <c r="G150" s="5" t="s">
        <v>2247</v>
      </c>
      <c r="H150" s="5" t="s">
        <v>2257</v>
      </c>
      <c r="I150" s="5" t="s">
        <v>2262</v>
      </c>
      <c r="J150" s="5" t="s">
        <v>2265</v>
      </c>
      <c r="K150" s="8">
        <v>1</v>
      </c>
      <c r="L150" s="9">
        <v>110</v>
      </c>
      <c r="M150" s="10">
        <v>0.15</v>
      </c>
      <c r="N150" s="9">
        <f t="shared" si="34"/>
        <v>110</v>
      </c>
      <c r="O150" s="9">
        <f t="shared" si="24"/>
        <v>93.5</v>
      </c>
      <c r="P150" s="5" t="s">
        <v>2268</v>
      </c>
      <c r="Q150" s="5" t="s">
        <v>1761</v>
      </c>
      <c r="R150" s="5" t="s">
        <v>2275</v>
      </c>
      <c r="S150" s="5" t="s">
        <v>2280</v>
      </c>
      <c r="T150" s="5" t="s">
        <v>2289</v>
      </c>
      <c r="U150" s="8">
        <v>1</v>
      </c>
      <c r="V150" s="8">
        <v>493</v>
      </c>
      <c r="W150" s="8">
        <v>33</v>
      </c>
      <c r="X150" s="9">
        <v>43.93</v>
      </c>
      <c r="Y150" s="9">
        <f t="shared" si="25"/>
        <v>49.57</v>
      </c>
      <c r="Z150" s="5" t="s">
        <v>2291</v>
      </c>
      <c r="AA150" s="5" t="s">
        <v>1761</v>
      </c>
      <c r="AB150" s="9">
        <f t="shared" si="26"/>
        <v>110</v>
      </c>
      <c r="AC150" s="9">
        <f t="shared" si="27"/>
        <v>16.5</v>
      </c>
      <c r="AD150" s="9">
        <f t="shared" si="28"/>
        <v>93.5</v>
      </c>
      <c r="AE150" s="9">
        <f t="shared" si="29"/>
        <v>43.93</v>
      </c>
      <c r="AF150" s="9">
        <f t="shared" si="35"/>
        <v>49.57</v>
      </c>
      <c r="AG150" s="8">
        <f t="shared" si="30"/>
        <v>2024</v>
      </c>
      <c r="AH150" s="8">
        <f t="shared" si="31"/>
        <v>7</v>
      </c>
      <c r="AI150" s="5" t="str">
        <f t="shared" si="32"/>
        <v>Jul</v>
      </c>
      <c r="AJ150" s="5" t="str">
        <f t="shared" si="33"/>
        <v>Friday</v>
      </c>
    </row>
    <row r="151" spans="1:36" x14ac:dyDescent="0.3">
      <c r="A151" s="5" t="s">
        <v>185</v>
      </c>
      <c r="B151" s="6">
        <v>45490</v>
      </c>
      <c r="C151" s="7">
        <v>0.40972222222222221</v>
      </c>
      <c r="D151" s="5" t="s">
        <v>1763</v>
      </c>
      <c r="E151" s="5" t="s">
        <v>2052</v>
      </c>
      <c r="F151" s="5" t="s">
        <v>2239</v>
      </c>
      <c r="G151" s="5" t="s">
        <v>2249</v>
      </c>
      <c r="H151" s="5" t="s">
        <v>2257</v>
      </c>
      <c r="I151" s="5" t="s">
        <v>2263</v>
      </c>
      <c r="J151" s="5" t="s">
        <v>2266</v>
      </c>
      <c r="K151" s="19">
        <v>2</v>
      </c>
      <c r="L151" s="9">
        <v>155</v>
      </c>
      <c r="M151" s="10">
        <v>0.1</v>
      </c>
      <c r="N151" s="9">
        <f t="shared" si="34"/>
        <v>310</v>
      </c>
      <c r="O151" s="9">
        <f t="shared" si="24"/>
        <v>279</v>
      </c>
      <c r="P151" s="5" t="s">
        <v>2268</v>
      </c>
      <c r="Q151" s="5" t="s">
        <v>2271</v>
      </c>
      <c r="R151" s="5" t="s">
        <v>2273</v>
      </c>
      <c r="S151" s="5" t="s">
        <v>2285</v>
      </c>
      <c r="T151" s="5" t="s">
        <v>2290</v>
      </c>
      <c r="U151" s="8">
        <v>1</v>
      </c>
      <c r="V151" s="19">
        <v>244</v>
      </c>
      <c r="W151" s="8">
        <v>32</v>
      </c>
      <c r="X151" s="9">
        <v>59.37</v>
      </c>
      <c r="Y151" s="9">
        <f t="shared" si="25"/>
        <v>160.26</v>
      </c>
      <c r="Z151" s="5" t="s">
        <v>1761</v>
      </c>
      <c r="AA151" s="5" t="s">
        <v>1761</v>
      </c>
      <c r="AB151" s="9">
        <f t="shared" si="26"/>
        <v>310</v>
      </c>
      <c r="AC151" s="9">
        <f t="shared" si="27"/>
        <v>31</v>
      </c>
      <c r="AD151" s="9">
        <f t="shared" si="28"/>
        <v>279</v>
      </c>
      <c r="AE151" s="9">
        <f t="shared" si="29"/>
        <v>118.74</v>
      </c>
      <c r="AF151" s="9">
        <f t="shared" si="35"/>
        <v>160.26</v>
      </c>
      <c r="AG151" s="8">
        <f t="shared" si="30"/>
        <v>2024</v>
      </c>
      <c r="AH151" s="8">
        <f t="shared" si="31"/>
        <v>7</v>
      </c>
      <c r="AI151" s="5" t="str">
        <f t="shared" si="32"/>
        <v>Jul</v>
      </c>
      <c r="AJ151" s="5" t="str">
        <f t="shared" si="33"/>
        <v>Wednesday</v>
      </c>
    </row>
    <row r="152" spans="1:36" x14ac:dyDescent="0.3">
      <c r="A152" s="5" t="s">
        <v>186</v>
      </c>
      <c r="B152" s="6">
        <v>45495</v>
      </c>
      <c r="C152" s="7">
        <v>0.41666666666666669</v>
      </c>
      <c r="D152" s="5" t="s">
        <v>1829</v>
      </c>
      <c r="E152" s="5" t="s">
        <v>2053</v>
      </c>
      <c r="F152" s="5" t="s">
        <v>1761</v>
      </c>
      <c r="G152" s="5" t="s">
        <v>2250</v>
      </c>
      <c r="H152" s="5" t="s">
        <v>2259</v>
      </c>
      <c r="I152" s="5" t="s">
        <v>2262</v>
      </c>
      <c r="J152" s="5" t="s">
        <v>2265</v>
      </c>
      <c r="K152" s="8">
        <v>2</v>
      </c>
      <c r="L152" s="9">
        <v>80</v>
      </c>
      <c r="M152" s="10">
        <v>0.1</v>
      </c>
      <c r="N152" s="9">
        <f t="shared" si="34"/>
        <v>160</v>
      </c>
      <c r="O152" s="9">
        <f t="shared" si="24"/>
        <v>144</v>
      </c>
      <c r="P152" s="5" t="s">
        <v>1761</v>
      </c>
      <c r="Q152" s="5" t="s">
        <v>2271</v>
      </c>
      <c r="R152" s="5" t="s">
        <v>2275</v>
      </c>
      <c r="S152" s="5" t="s">
        <v>2286</v>
      </c>
      <c r="T152" s="5" t="s">
        <v>2288</v>
      </c>
      <c r="U152" s="8">
        <v>5</v>
      </c>
      <c r="V152" s="19">
        <v>244</v>
      </c>
      <c r="W152" s="8">
        <v>35</v>
      </c>
      <c r="X152" s="9">
        <v>32.14</v>
      </c>
      <c r="Y152" s="9">
        <f t="shared" si="25"/>
        <v>79.72</v>
      </c>
      <c r="Z152" s="5" t="s">
        <v>2292</v>
      </c>
      <c r="AA152" s="5" t="s">
        <v>2299</v>
      </c>
      <c r="AB152" s="9">
        <f t="shared" si="26"/>
        <v>160</v>
      </c>
      <c r="AC152" s="9">
        <f t="shared" si="27"/>
        <v>16</v>
      </c>
      <c r="AD152" s="9">
        <f t="shared" si="28"/>
        <v>144</v>
      </c>
      <c r="AE152" s="9">
        <f t="shared" si="29"/>
        <v>64.28</v>
      </c>
      <c r="AF152" s="9">
        <f t="shared" si="35"/>
        <v>79.72</v>
      </c>
      <c r="AG152" s="8">
        <f t="shared" si="30"/>
        <v>2024</v>
      </c>
      <c r="AH152" s="8">
        <f t="shared" si="31"/>
        <v>7</v>
      </c>
      <c r="AI152" s="5" t="str">
        <f t="shared" si="32"/>
        <v>Jul</v>
      </c>
      <c r="AJ152" s="5" t="str">
        <f t="shared" si="33"/>
        <v>Monday</v>
      </c>
    </row>
    <row r="153" spans="1:36" x14ac:dyDescent="0.3">
      <c r="A153" s="5" t="s">
        <v>187</v>
      </c>
      <c r="B153" s="6">
        <v>45459</v>
      </c>
      <c r="C153" s="7">
        <v>0.72916666666666663</v>
      </c>
      <c r="D153" s="5" t="s">
        <v>1807</v>
      </c>
      <c r="E153" s="5" t="s">
        <v>2054</v>
      </c>
      <c r="F153" s="5" t="s">
        <v>2238</v>
      </c>
      <c r="G153" s="5" t="s">
        <v>2253</v>
      </c>
      <c r="H153" s="5" t="s">
        <v>2258</v>
      </c>
      <c r="I153" s="5" t="s">
        <v>2260</v>
      </c>
      <c r="J153" s="5" t="s">
        <v>2265</v>
      </c>
      <c r="K153" s="8">
        <v>1</v>
      </c>
      <c r="L153" s="9">
        <v>85</v>
      </c>
      <c r="M153" s="10">
        <v>0</v>
      </c>
      <c r="N153" s="9">
        <f t="shared" si="34"/>
        <v>85</v>
      </c>
      <c r="O153" s="9">
        <f t="shared" si="24"/>
        <v>85</v>
      </c>
      <c r="P153" s="5" t="s">
        <v>1761</v>
      </c>
      <c r="Q153" s="5" t="s">
        <v>2272</v>
      </c>
      <c r="R153" s="5" t="s">
        <v>2274</v>
      </c>
      <c r="S153" s="5" t="s">
        <v>2282</v>
      </c>
      <c r="T153" s="5" t="s">
        <v>2288</v>
      </c>
      <c r="U153" s="8">
        <v>1</v>
      </c>
      <c r="V153" s="8">
        <v>13</v>
      </c>
      <c r="W153" s="19">
        <v>35</v>
      </c>
      <c r="X153" s="9">
        <v>46.01</v>
      </c>
      <c r="Y153" s="9">
        <f t="shared" si="25"/>
        <v>38.99</v>
      </c>
      <c r="Z153" s="5" t="s">
        <v>1761</v>
      </c>
      <c r="AA153" s="5" t="s">
        <v>2296</v>
      </c>
      <c r="AB153" s="9">
        <f t="shared" si="26"/>
        <v>85</v>
      </c>
      <c r="AC153" s="9">
        <f t="shared" si="27"/>
        <v>0</v>
      </c>
      <c r="AD153" s="9">
        <f t="shared" si="28"/>
        <v>85</v>
      </c>
      <c r="AE153" s="9">
        <f t="shared" si="29"/>
        <v>46.01</v>
      </c>
      <c r="AF153" s="9">
        <f t="shared" si="35"/>
        <v>38.99</v>
      </c>
      <c r="AG153" s="8">
        <f t="shared" si="30"/>
        <v>2024</v>
      </c>
      <c r="AH153" s="8">
        <f t="shared" si="31"/>
        <v>6</v>
      </c>
      <c r="AI153" s="5" t="str">
        <f t="shared" si="32"/>
        <v>Jun</v>
      </c>
      <c r="AJ153" s="5" t="str">
        <f t="shared" si="33"/>
        <v>Sunday</v>
      </c>
    </row>
    <row r="154" spans="1:36" x14ac:dyDescent="0.3">
      <c r="A154" s="5" t="s">
        <v>188</v>
      </c>
      <c r="B154" s="6">
        <v>45351</v>
      </c>
      <c r="C154" s="7">
        <v>0.625</v>
      </c>
      <c r="D154" s="5" t="s">
        <v>1844</v>
      </c>
      <c r="E154" s="5" t="s">
        <v>2055</v>
      </c>
      <c r="F154" s="5" t="s">
        <v>2239</v>
      </c>
      <c r="G154" s="5" t="s">
        <v>2255</v>
      </c>
      <c r="H154" s="5" t="s">
        <v>2260</v>
      </c>
      <c r="I154" s="5" t="s">
        <v>2260</v>
      </c>
      <c r="J154" s="5" t="s">
        <v>2264</v>
      </c>
      <c r="K154" s="8">
        <v>1</v>
      </c>
      <c r="L154" s="9">
        <v>180</v>
      </c>
      <c r="M154" s="10">
        <v>0.1</v>
      </c>
      <c r="N154" s="9">
        <f t="shared" si="34"/>
        <v>180</v>
      </c>
      <c r="O154" s="9">
        <f t="shared" si="24"/>
        <v>162</v>
      </c>
      <c r="P154" s="5" t="s">
        <v>1761</v>
      </c>
      <c r="Q154" s="5" t="s">
        <v>1761</v>
      </c>
      <c r="R154" s="5" t="s">
        <v>2274</v>
      </c>
      <c r="S154" s="5" t="s">
        <v>2281</v>
      </c>
      <c r="T154" s="5" t="s">
        <v>2289</v>
      </c>
      <c r="U154" s="8">
        <v>5</v>
      </c>
      <c r="V154" s="8">
        <v>418</v>
      </c>
      <c r="W154" s="8">
        <v>33</v>
      </c>
      <c r="X154" s="9">
        <v>91.57</v>
      </c>
      <c r="Y154" s="9">
        <f t="shared" si="25"/>
        <v>70.430000000000007</v>
      </c>
      <c r="Z154" s="5" t="s">
        <v>2293</v>
      </c>
      <c r="AA154" s="5" t="s">
        <v>2299</v>
      </c>
      <c r="AB154" s="9">
        <f t="shared" si="26"/>
        <v>180</v>
      </c>
      <c r="AC154" s="9">
        <f t="shared" si="27"/>
        <v>18</v>
      </c>
      <c r="AD154" s="9">
        <f t="shared" si="28"/>
        <v>162</v>
      </c>
      <c r="AE154" s="9">
        <f t="shared" si="29"/>
        <v>91.57</v>
      </c>
      <c r="AF154" s="9">
        <f t="shared" si="35"/>
        <v>70.430000000000007</v>
      </c>
      <c r="AG154" s="8">
        <f t="shared" si="30"/>
        <v>2024</v>
      </c>
      <c r="AH154" s="8">
        <f t="shared" si="31"/>
        <v>2</v>
      </c>
      <c r="AI154" s="5" t="str">
        <f t="shared" si="32"/>
        <v>Feb</v>
      </c>
      <c r="AJ154" s="5" t="str">
        <f t="shared" si="33"/>
        <v>Thursday</v>
      </c>
    </row>
    <row r="155" spans="1:36" x14ac:dyDescent="0.3">
      <c r="A155" s="5" t="s">
        <v>189</v>
      </c>
      <c r="B155" s="6">
        <v>45330</v>
      </c>
      <c r="C155" s="7">
        <v>0.82638888888888884</v>
      </c>
      <c r="D155" s="5" t="s">
        <v>1817</v>
      </c>
      <c r="E155" s="5" t="s">
        <v>1954</v>
      </c>
      <c r="F155" s="5" t="s">
        <v>2239</v>
      </c>
      <c r="G155" s="5" t="s">
        <v>2256</v>
      </c>
      <c r="H155" s="5" t="s">
        <v>2261</v>
      </c>
      <c r="I155" s="5" t="s">
        <v>2260</v>
      </c>
      <c r="J155" s="5" t="s">
        <v>1761</v>
      </c>
      <c r="K155" s="8">
        <v>2</v>
      </c>
      <c r="L155" s="9">
        <v>190</v>
      </c>
      <c r="M155" s="10">
        <v>0.1</v>
      </c>
      <c r="N155" s="9">
        <f t="shared" si="34"/>
        <v>380</v>
      </c>
      <c r="O155" s="9">
        <f t="shared" si="24"/>
        <v>342</v>
      </c>
      <c r="P155" s="5" t="s">
        <v>2269</v>
      </c>
      <c r="Q155" s="5" t="s">
        <v>2272</v>
      </c>
      <c r="R155" s="5" t="s">
        <v>2279</v>
      </c>
      <c r="S155" s="5" t="s">
        <v>2286</v>
      </c>
      <c r="T155" s="5" t="s">
        <v>2289</v>
      </c>
      <c r="U155" s="8">
        <v>1</v>
      </c>
      <c r="V155" s="8">
        <v>322</v>
      </c>
      <c r="W155" s="8">
        <v>29</v>
      </c>
      <c r="X155" s="9">
        <v>89.57</v>
      </c>
      <c r="Y155" s="9">
        <f t="shared" si="25"/>
        <v>162.86000000000001</v>
      </c>
      <c r="Z155" s="5" t="s">
        <v>2293</v>
      </c>
      <c r="AA155" s="5" t="s">
        <v>2298</v>
      </c>
      <c r="AB155" s="9">
        <f t="shared" si="26"/>
        <v>380</v>
      </c>
      <c r="AC155" s="9">
        <f t="shared" si="27"/>
        <v>38</v>
      </c>
      <c r="AD155" s="9">
        <f t="shared" si="28"/>
        <v>342</v>
      </c>
      <c r="AE155" s="9">
        <f t="shared" si="29"/>
        <v>179.14</v>
      </c>
      <c r="AF155" s="9">
        <f t="shared" si="35"/>
        <v>162.86000000000001</v>
      </c>
      <c r="AG155" s="8">
        <f t="shared" si="30"/>
        <v>2024</v>
      </c>
      <c r="AH155" s="8">
        <f t="shared" si="31"/>
        <v>2</v>
      </c>
      <c r="AI155" s="5" t="str">
        <f t="shared" si="32"/>
        <v>Feb</v>
      </c>
      <c r="AJ155" s="5" t="str">
        <f t="shared" si="33"/>
        <v>Thursday</v>
      </c>
    </row>
    <row r="156" spans="1:36" x14ac:dyDescent="0.3">
      <c r="A156" s="5" t="s">
        <v>190</v>
      </c>
      <c r="B156" s="6">
        <v>45652</v>
      </c>
      <c r="C156" s="7">
        <v>0.47916666666666669</v>
      </c>
      <c r="D156" s="5" t="s">
        <v>1758</v>
      </c>
      <c r="E156" s="5" t="s">
        <v>2050</v>
      </c>
      <c r="F156" s="5" t="s">
        <v>1761</v>
      </c>
      <c r="G156" s="5" t="s">
        <v>2249</v>
      </c>
      <c r="H156" s="5" t="s">
        <v>2257</v>
      </c>
      <c r="I156" s="5" t="s">
        <v>2263</v>
      </c>
      <c r="J156" s="5" t="s">
        <v>1761</v>
      </c>
      <c r="K156" s="8">
        <v>1</v>
      </c>
      <c r="L156" s="9">
        <v>160</v>
      </c>
      <c r="M156" s="10">
        <v>0.1</v>
      </c>
      <c r="N156" s="9">
        <f t="shared" si="34"/>
        <v>160</v>
      </c>
      <c r="O156" s="9">
        <f t="shared" si="24"/>
        <v>144</v>
      </c>
      <c r="P156" s="5" t="s">
        <v>2269</v>
      </c>
      <c r="Q156" s="5" t="s">
        <v>2272</v>
      </c>
      <c r="R156" s="5" t="s">
        <v>2278</v>
      </c>
      <c r="S156" s="5" t="s">
        <v>2285</v>
      </c>
      <c r="T156" s="5" t="s">
        <v>2288</v>
      </c>
      <c r="U156" s="8">
        <v>3</v>
      </c>
      <c r="V156" s="8">
        <v>150</v>
      </c>
      <c r="W156" s="8">
        <v>48</v>
      </c>
      <c r="X156" s="9">
        <v>71.900000000000006</v>
      </c>
      <c r="Y156" s="9">
        <f t="shared" si="25"/>
        <v>72.099999999999994</v>
      </c>
      <c r="Z156" s="5" t="s">
        <v>2293</v>
      </c>
      <c r="AA156" s="5" t="s">
        <v>2296</v>
      </c>
      <c r="AB156" s="9">
        <f t="shared" si="26"/>
        <v>160</v>
      </c>
      <c r="AC156" s="9">
        <f t="shared" si="27"/>
        <v>16</v>
      </c>
      <c r="AD156" s="9">
        <f t="shared" si="28"/>
        <v>144</v>
      </c>
      <c r="AE156" s="9">
        <f t="shared" si="29"/>
        <v>71.900000000000006</v>
      </c>
      <c r="AF156" s="9">
        <f t="shared" si="35"/>
        <v>72.099999999999994</v>
      </c>
      <c r="AG156" s="8">
        <f t="shared" si="30"/>
        <v>2024</v>
      </c>
      <c r="AH156" s="8">
        <f t="shared" si="31"/>
        <v>12</v>
      </c>
      <c r="AI156" s="5" t="str">
        <f t="shared" si="32"/>
        <v>Dec</v>
      </c>
      <c r="AJ156" s="5" t="str">
        <f t="shared" si="33"/>
        <v>Thursday</v>
      </c>
    </row>
    <row r="157" spans="1:36" x14ac:dyDescent="0.3">
      <c r="A157" s="5" t="s">
        <v>191</v>
      </c>
      <c r="B157" s="6">
        <v>45481</v>
      </c>
      <c r="C157" s="7">
        <v>0.74305555555555558</v>
      </c>
      <c r="D157" s="5" t="s">
        <v>1782</v>
      </c>
      <c r="E157" s="5" t="s">
        <v>2056</v>
      </c>
      <c r="F157" s="5" t="s">
        <v>2239</v>
      </c>
      <c r="G157" s="5" t="s">
        <v>2245</v>
      </c>
      <c r="H157" s="5" t="s">
        <v>2257</v>
      </c>
      <c r="I157" s="5" t="s">
        <v>2263</v>
      </c>
      <c r="J157" s="5" t="s">
        <v>2264</v>
      </c>
      <c r="K157" s="8">
        <v>1</v>
      </c>
      <c r="L157" s="9">
        <v>150</v>
      </c>
      <c r="M157" s="10">
        <v>0.15</v>
      </c>
      <c r="N157" s="9">
        <f t="shared" si="34"/>
        <v>150</v>
      </c>
      <c r="O157" s="9">
        <f t="shared" si="24"/>
        <v>127.5</v>
      </c>
      <c r="P157" s="5" t="s">
        <v>2269</v>
      </c>
      <c r="Q157" s="5" t="s">
        <v>2271</v>
      </c>
      <c r="R157" s="5" t="s">
        <v>2275</v>
      </c>
      <c r="S157" s="5" t="s">
        <v>2285</v>
      </c>
      <c r="T157" s="5" t="s">
        <v>2289</v>
      </c>
      <c r="U157" s="8">
        <v>4</v>
      </c>
      <c r="V157" s="8">
        <v>452</v>
      </c>
      <c r="W157" s="8">
        <v>31</v>
      </c>
      <c r="X157" s="9">
        <v>72.55</v>
      </c>
      <c r="Y157" s="9">
        <f t="shared" si="25"/>
        <v>54.95</v>
      </c>
      <c r="Z157" s="5" t="s">
        <v>2293</v>
      </c>
      <c r="AA157" s="5" t="s">
        <v>2299</v>
      </c>
      <c r="AB157" s="9">
        <f t="shared" si="26"/>
        <v>150</v>
      </c>
      <c r="AC157" s="9">
        <f t="shared" si="27"/>
        <v>22.5</v>
      </c>
      <c r="AD157" s="9">
        <f t="shared" si="28"/>
        <v>127.5</v>
      </c>
      <c r="AE157" s="9">
        <f t="shared" si="29"/>
        <v>72.55</v>
      </c>
      <c r="AF157" s="9">
        <f t="shared" si="35"/>
        <v>54.95</v>
      </c>
      <c r="AG157" s="8">
        <f t="shared" si="30"/>
        <v>2024</v>
      </c>
      <c r="AH157" s="8">
        <f t="shared" si="31"/>
        <v>7</v>
      </c>
      <c r="AI157" s="5" t="str">
        <f t="shared" si="32"/>
        <v>Jul</v>
      </c>
      <c r="AJ157" s="5" t="str">
        <f t="shared" si="33"/>
        <v>Monday</v>
      </c>
    </row>
    <row r="158" spans="1:36" x14ac:dyDescent="0.3">
      <c r="A158" s="5" t="s">
        <v>192</v>
      </c>
      <c r="B158" s="6">
        <v>45571</v>
      </c>
      <c r="C158" s="7">
        <v>0.83333333333333337</v>
      </c>
      <c r="D158" s="5" t="s">
        <v>1845</v>
      </c>
      <c r="E158" s="5" t="s">
        <v>2047</v>
      </c>
      <c r="F158" s="5" t="s">
        <v>2239</v>
      </c>
      <c r="G158" s="5" t="s">
        <v>2255</v>
      </c>
      <c r="H158" s="5" t="s">
        <v>2260</v>
      </c>
      <c r="I158" s="5" t="s">
        <v>2260</v>
      </c>
      <c r="J158" s="5" t="s">
        <v>2265</v>
      </c>
      <c r="K158" s="8">
        <v>1</v>
      </c>
      <c r="L158" s="9">
        <v>185</v>
      </c>
      <c r="M158" s="10">
        <v>0.1</v>
      </c>
      <c r="N158" s="9">
        <f t="shared" si="34"/>
        <v>185</v>
      </c>
      <c r="O158" s="9">
        <f t="shared" si="24"/>
        <v>166.5</v>
      </c>
      <c r="P158" s="5" t="s">
        <v>2268</v>
      </c>
      <c r="Q158" s="5" t="s">
        <v>2270</v>
      </c>
      <c r="R158" s="5" t="s">
        <v>2279</v>
      </c>
      <c r="S158" s="5" t="s">
        <v>2287</v>
      </c>
      <c r="T158" s="5" t="s">
        <v>2290</v>
      </c>
      <c r="U158" s="8">
        <v>5</v>
      </c>
      <c r="V158" s="8">
        <v>411</v>
      </c>
      <c r="W158" s="8">
        <v>20</v>
      </c>
      <c r="X158" s="9">
        <v>63.85</v>
      </c>
      <c r="Y158" s="9">
        <f t="shared" si="25"/>
        <v>102.65</v>
      </c>
      <c r="Z158" s="5" t="s">
        <v>2293</v>
      </c>
      <c r="AA158" s="5" t="s">
        <v>2298</v>
      </c>
      <c r="AB158" s="9">
        <f t="shared" si="26"/>
        <v>185</v>
      </c>
      <c r="AC158" s="9">
        <f t="shared" si="27"/>
        <v>18.5</v>
      </c>
      <c r="AD158" s="9">
        <f t="shared" si="28"/>
        <v>166.5</v>
      </c>
      <c r="AE158" s="9">
        <f t="shared" si="29"/>
        <v>63.85</v>
      </c>
      <c r="AF158" s="9">
        <f t="shared" si="35"/>
        <v>102.65</v>
      </c>
      <c r="AG158" s="8">
        <f t="shared" si="30"/>
        <v>2024</v>
      </c>
      <c r="AH158" s="8">
        <f t="shared" si="31"/>
        <v>10</v>
      </c>
      <c r="AI158" s="5" t="str">
        <f t="shared" si="32"/>
        <v>Oct</v>
      </c>
      <c r="AJ158" s="5" t="str">
        <f t="shared" si="33"/>
        <v>Sunday</v>
      </c>
    </row>
    <row r="159" spans="1:36" x14ac:dyDescent="0.3">
      <c r="A159" s="5" t="s">
        <v>193</v>
      </c>
      <c r="B159" s="6">
        <v>45477</v>
      </c>
      <c r="C159" s="7">
        <v>0.79166666666666663</v>
      </c>
      <c r="D159" s="5" t="s">
        <v>1846</v>
      </c>
      <c r="E159" s="5" t="s">
        <v>1976</v>
      </c>
      <c r="F159" s="5" t="s">
        <v>2240</v>
      </c>
      <c r="G159" s="5" t="s">
        <v>2249</v>
      </c>
      <c r="H159" s="5" t="s">
        <v>2257</v>
      </c>
      <c r="I159" s="5" t="s">
        <v>2263</v>
      </c>
      <c r="J159" s="5" t="s">
        <v>2264</v>
      </c>
      <c r="K159" s="8">
        <v>1</v>
      </c>
      <c r="L159" s="9">
        <v>155</v>
      </c>
      <c r="M159" s="10">
        <v>0.05</v>
      </c>
      <c r="N159" s="9">
        <f t="shared" si="34"/>
        <v>155</v>
      </c>
      <c r="O159" s="9">
        <f t="shared" si="24"/>
        <v>147.25</v>
      </c>
      <c r="P159" s="5" t="s">
        <v>2268</v>
      </c>
      <c r="Q159" s="5" t="s">
        <v>2270</v>
      </c>
      <c r="R159" s="5" t="s">
        <v>2273</v>
      </c>
      <c r="S159" s="5" t="s">
        <v>2285</v>
      </c>
      <c r="T159" s="5" t="s">
        <v>2288</v>
      </c>
      <c r="U159" s="8">
        <v>3</v>
      </c>
      <c r="V159" s="8">
        <v>303</v>
      </c>
      <c r="W159" s="19">
        <v>34</v>
      </c>
      <c r="X159" s="9">
        <v>93.01</v>
      </c>
      <c r="Y159" s="9">
        <f t="shared" si="25"/>
        <v>54.239999999999995</v>
      </c>
      <c r="Z159" s="5" t="s">
        <v>2293</v>
      </c>
      <c r="AA159" s="5" t="s">
        <v>1761</v>
      </c>
      <c r="AB159" s="9">
        <f t="shared" si="26"/>
        <v>155</v>
      </c>
      <c r="AC159" s="9">
        <f t="shared" si="27"/>
        <v>7.75</v>
      </c>
      <c r="AD159" s="9">
        <f t="shared" si="28"/>
        <v>147.25</v>
      </c>
      <c r="AE159" s="9">
        <f t="shared" si="29"/>
        <v>93.01</v>
      </c>
      <c r="AF159" s="9">
        <f t="shared" si="35"/>
        <v>54.239999999999995</v>
      </c>
      <c r="AG159" s="8">
        <f t="shared" si="30"/>
        <v>2024</v>
      </c>
      <c r="AH159" s="8">
        <f t="shared" si="31"/>
        <v>7</v>
      </c>
      <c r="AI159" s="5" t="str">
        <f t="shared" si="32"/>
        <v>Jul</v>
      </c>
      <c r="AJ159" s="5" t="str">
        <f t="shared" si="33"/>
        <v>Thursday</v>
      </c>
    </row>
    <row r="160" spans="1:36" x14ac:dyDescent="0.3">
      <c r="A160" s="5" t="s">
        <v>194</v>
      </c>
      <c r="B160" s="6">
        <v>45401</v>
      </c>
      <c r="C160" s="7">
        <v>0.40972222222222221</v>
      </c>
      <c r="D160" s="5" t="s">
        <v>1847</v>
      </c>
      <c r="E160" s="5" t="s">
        <v>1761</v>
      </c>
      <c r="F160" s="5" t="s">
        <v>2240</v>
      </c>
      <c r="G160" s="5" t="s">
        <v>2246</v>
      </c>
      <c r="H160" s="5" t="s">
        <v>2259</v>
      </c>
      <c r="I160" s="5" t="s">
        <v>2262</v>
      </c>
      <c r="J160" s="5" t="s">
        <v>1761</v>
      </c>
      <c r="K160" s="8">
        <v>1</v>
      </c>
      <c r="L160" s="9">
        <v>90</v>
      </c>
      <c r="M160" s="10">
        <v>0.15</v>
      </c>
      <c r="N160" s="9">
        <f t="shared" si="34"/>
        <v>90</v>
      </c>
      <c r="O160" s="9">
        <f t="shared" si="24"/>
        <v>76.5</v>
      </c>
      <c r="P160" s="5" t="s">
        <v>2267</v>
      </c>
      <c r="Q160" s="5" t="s">
        <v>1761</v>
      </c>
      <c r="R160" s="5" t="s">
        <v>2273</v>
      </c>
      <c r="S160" s="5" t="s">
        <v>2285</v>
      </c>
      <c r="T160" s="5" t="s">
        <v>2288</v>
      </c>
      <c r="U160" s="8">
        <v>1</v>
      </c>
      <c r="V160" s="8">
        <v>164</v>
      </c>
      <c r="W160" s="8">
        <v>44</v>
      </c>
      <c r="X160" s="9">
        <v>34.630000000000003</v>
      </c>
      <c r="Y160" s="9">
        <f t="shared" si="25"/>
        <v>41.87</v>
      </c>
      <c r="Z160" s="5" t="s">
        <v>2293</v>
      </c>
      <c r="AA160" s="5" t="s">
        <v>2297</v>
      </c>
      <c r="AB160" s="9">
        <f t="shared" si="26"/>
        <v>90</v>
      </c>
      <c r="AC160" s="9">
        <f t="shared" si="27"/>
        <v>13.5</v>
      </c>
      <c r="AD160" s="9">
        <f t="shared" si="28"/>
        <v>76.5</v>
      </c>
      <c r="AE160" s="9">
        <f t="shared" si="29"/>
        <v>34.630000000000003</v>
      </c>
      <c r="AF160" s="9">
        <f t="shared" si="35"/>
        <v>41.87</v>
      </c>
      <c r="AG160" s="8">
        <f t="shared" si="30"/>
        <v>2024</v>
      </c>
      <c r="AH160" s="8">
        <f t="shared" si="31"/>
        <v>4</v>
      </c>
      <c r="AI160" s="5" t="str">
        <f t="shared" si="32"/>
        <v>Apr</v>
      </c>
      <c r="AJ160" s="5" t="str">
        <f t="shared" si="33"/>
        <v>Friday</v>
      </c>
    </row>
    <row r="161" spans="1:36" x14ac:dyDescent="0.3">
      <c r="A161" s="5" t="s">
        <v>195</v>
      </c>
      <c r="B161" s="6">
        <v>45465</v>
      </c>
      <c r="C161" s="7">
        <v>0.4375</v>
      </c>
      <c r="D161" s="5" t="s">
        <v>1780</v>
      </c>
      <c r="E161" s="5" t="s">
        <v>2057</v>
      </c>
      <c r="F161" s="5" t="s">
        <v>2238</v>
      </c>
      <c r="G161" s="5" t="s">
        <v>2252</v>
      </c>
      <c r="H161" s="5" t="s">
        <v>2257</v>
      </c>
      <c r="I161" s="5" t="s">
        <v>2262</v>
      </c>
      <c r="J161" s="5" t="s">
        <v>2265</v>
      </c>
      <c r="K161" s="8">
        <v>2</v>
      </c>
      <c r="L161" s="9">
        <v>90</v>
      </c>
      <c r="M161" s="10">
        <v>0.05</v>
      </c>
      <c r="N161" s="9">
        <f t="shared" si="34"/>
        <v>180</v>
      </c>
      <c r="O161" s="9">
        <f t="shared" si="24"/>
        <v>171</v>
      </c>
      <c r="P161" s="5" t="s">
        <v>2269</v>
      </c>
      <c r="Q161" s="5" t="s">
        <v>2272</v>
      </c>
      <c r="R161" s="5" t="s">
        <v>2275</v>
      </c>
      <c r="S161" s="5" t="s">
        <v>2286</v>
      </c>
      <c r="T161" s="5" t="s">
        <v>2289</v>
      </c>
      <c r="U161" s="8">
        <v>2</v>
      </c>
      <c r="V161" s="8">
        <v>484</v>
      </c>
      <c r="W161" s="19">
        <v>35</v>
      </c>
      <c r="X161" s="9">
        <v>39.32</v>
      </c>
      <c r="Y161" s="9">
        <f t="shared" si="25"/>
        <v>92.36</v>
      </c>
      <c r="Z161" s="5" t="s">
        <v>2293</v>
      </c>
      <c r="AA161" s="5" t="s">
        <v>2299</v>
      </c>
      <c r="AB161" s="9">
        <f t="shared" si="26"/>
        <v>180</v>
      </c>
      <c r="AC161" s="9">
        <f t="shared" si="27"/>
        <v>9</v>
      </c>
      <c r="AD161" s="9">
        <f t="shared" si="28"/>
        <v>171</v>
      </c>
      <c r="AE161" s="9">
        <f t="shared" si="29"/>
        <v>78.64</v>
      </c>
      <c r="AF161" s="9">
        <f t="shared" si="35"/>
        <v>92.36</v>
      </c>
      <c r="AG161" s="8">
        <f t="shared" si="30"/>
        <v>2024</v>
      </c>
      <c r="AH161" s="8">
        <f t="shared" si="31"/>
        <v>6</v>
      </c>
      <c r="AI161" s="5" t="str">
        <f t="shared" si="32"/>
        <v>Jun</v>
      </c>
      <c r="AJ161" s="5" t="str">
        <f t="shared" si="33"/>
        <v>Saturday</v>
      </c>
    </row>
    <row r="162" spans="1:36" x14ac:dyDescent="0.3">
      <c r="A162" s="5" t="s">
        <v>196</v>
      </c>
      <c r="B162" s="6">
        <v>45460</v>
      </c>
      <c r="C162" s="7">
        <v>0.86805555555555558</v>
      </c>
      <c r="D162" s="5" t="s">
        <v>1848</v>
      </c>
      <c r="E162" s="5" t="s">
        <v>1761</v>
      </c>
      <c r="F162" s="5" t="s">
        <v>2240</v>
      </c>
      <c r="G162" s="5" t="s">
        <v>2256</v>
      </c>
      <c r="H162" s="5" t="s">
        <v>2261</v>
      </c>
      <c r="I162" s="5" t="s">
        <v>2260</v>
      </c>
      <c r="J162" s="5" t="s">
        <v>2265</v>
      </c>
      <c r="K162" s="8">
        <v>2</v>
      </c>
      <c r="L162" s="9">
        <v>185</v>
      </c>
      <c r="M162" s="10">
        <v>0.05</v>
      </c>
      <c r="N162" s="9">
        <f t="shared" si="34"/>
        <v>370</v>
      </c>
      <c r="O162" s="9">
        <f t="shared" si="24"/>
        <v>351.5</v>
      </c>
      <c r="P162" s="5" t="s">
        <v>2269</v>
      </c>
      <c r="Q162" s="5" t="s">
        <v>1761</v>
      </c>
      <c r="R162" s="5" t="s">
        <v>2273</v>
      </c>
      <c r="S162" s="5" t="s">
        <v>2282</v>
      </c>
      <c r="T162" s="5" t="s">
        <v>2290</v>
      </c>
      <c r="U162" s="19">
        <v>3</v>
      </c>
      <c r="V162" s="8">
        <v>121</v>
      </c>
      <c r="W162" s="8">
        <v>57</v>
      </c>
      <c r="X162" s="9">
        <v>113.89</v>
      </c>
      <c r="Y162" s="9">
        <f t="shared" si="25"/>
        <v>123.72</v>
      </c>
      <c r="Z162" s="5" t="s">
        <v>2294</v>
      </c>
      <c r="AA162" s="5" t="s">
        <v>2299</v>
      </c>
      <c r="AB162" s="9">
        <f t="shared" si="26"/>
        <v>370</v>
      </c>
      <c r="AC162" s="9">
        <f t="shared" si="27"/>
        <v>18.5</v>
      </c>
      <c r="AD162" s="9">
        <f t="shared" si="28"/>
        <v>351.5</v>
      </c>
      <c r="AE162" s="9">
        <f t="shared" si="29"/>
        <v>227.78</v>
      </c>
      <c r="AF162" s="9">
        <f t="shared" si="35"/>
        <v>123.72</v>
      </c>
      <c r="AG162" s="8">
        <f t="shared" si="30"/>
        <v>2024</v>
      </c>
      <c r="AH162" s="8">
        <f t="shared" si="31"/>
        <v>6</v>
      </c>
      <c r="AI162" s="5" t="str">
        <f t="shared" si="32"/>
        <v>Jun</v>
      </c>
      <c r="AJ162" s="5" t="str">
        <f t="shared" si="33"/>
        <v>Monday</v>
      </c>
    </row>
    <row r="163" spans="1:36" x14ac:dyDescent="0.3">
      <c r="A163" s="5" t="s">
        <v>197</v>
      </c>
      <c r="B163" s="6">
        <v>45312</v>
      </c>
      <c r="C163" s="7">
        <v>0.84722222222222221</v>
      </c>
      <c r="D163" s="5" t="s">
        <v>1849</v>
      </c>
      <c r="E163" s="5" t="s">
        <v>1995</v>
      </c>
      <c r="F163" s="5" t="s">
        <v>2240</v>
      </c>
      <c r="G163" s="5" t="s">
        <v>2242</v>
      </c>
      <c r="H163" s="5" t="s">
        <v>2258</v>
      </c>
      <c r="I163" s="5" t="s">
        <v>2260</v>
      </c>
      <c r="J163" s="5" t="s">
        <v>2266</v>
      </c>
      <c r="K163" s="8">
        <v>2</v>
      </c>
      <c r="L163" s="9">
        <v>115</v>
      </c>
      <c r="M163" s="10">
        <v>0.1</v>
      </c>
      <c r="N163" s="9">
        <f t="shared" si="34"/>
        <v>230</v>
      </c>
      <c r="O163" s="9">
        <f t="shared" si="24"/>
        <v>207</v>
      </c>
      <c r="P163" s="5" t="s">
        <v>2269</v>
      </c>
      <c r="Q163" s="5" t="s">
        <v>2270</v>
      </c>
      <c r="R163" s="5" t="s">
        <v>2279</v>
      </c>
      <c r="S163" s="5" t="s">
        <v>2284</v>
      </c>
      <c r="T163" s="5" t="s">
        <v>2288</v>
      </c>
      <c r="U163" s="8">
        <v>4</v>
      </c>
      <c r="V163" s="19">
        <v>244</v>
      </c>
      <c r="W163" s="8">
        <v>49</v>
      </c>
      <c r="X163" s="9">
        <v>60.51</v>
      </c>
      <c r="Y163" s="9">
        <f t="shared" si="25"/>
        <v>85.98</v>
      </c>
      <c r="Z163" s="5" t="s">
        <v>1761</v>
      </c>
      <c r="AA163" s="5" t="s">
        <v>2298</v>
      </c>
      <c r="AB163" s="9">
        <f t="shared" si="26"/>
        <v>230</v>
      </c>
      <c r="AC163" s="9">
        <f t="shared" si="27"/>
        <v>23</v>
      </c>
      <c r="AD163" s="9">
        <f t="shared" si="28"/>
        <v>207</v>
      </c>
      <c r="AE163" s="9">
        <f t="shared" si="29"/>
        <v>121.02</v>
      </c>
      <c r="AF163" s="9">
        <f t="shared" si="35"/>
        <v>85.98</v>
      </c>
      <c r="AG163" s="8">
        <f t="shared" si="30"/>
        <v>2024</v>
      </c>
      <c r="AH163" s="8">
        <f t="shared" si="31"/>
        <v>1</v>
      </c>
      <c r="AI163" s="5" t="str">
        <f t="shared" si="32"/>
        <v>Jan</v>
      </c>
      <c r="AJ163" s="5" t="str">
        <f t="shared" si="33"/>
        <v>Sunday</v>
      </c>
    </row>
    <row r="164" spans="1:36" x14ac:dyDescent="0.3">
      <c r="A164" s="5" t="s">
        <v>198</v>
      </c>
      <c r="B164" s="6">
        <v>45610</v>
      </c>
      <c r="C164" s="7">
        <v>0.41666666666666669</v>
      </c>
      <c r="D164" s="5" t="s">
        <v>1850</v>
      </c>
      <c r="E164" s="5" t="s">
        <v>2058</v>
      </c>
      <c r="F164" s="5" t="s">
        <v>2239</v>
      </c>
      <c r="G164" s="5" t="s">
        <v>2254</v>
      </c>
      <c r="H164" s="5" t="s">
        <v>2259</v>
      </c>
      <c r="I164" s="5" t="s">
        <v>2263</v>
      </c>
      <c r="J164" s="5" t="s">
        <v>2266</v>
      </c>
      <c r="K164" s="8">
        <v>5</v>
      </c>
      <c r="L164" s="9">
        <v>105</v>
      </c>
      <c r="M164" s="10">
        <v>0.1</v>
      </c>
      <c r="N164" s="9">
        <f t="shared" si="34"/>
        <v>525</v>
      </c>
      <c r="O164" s="9">
        <f t="shared" si="24"/>
        <v>472.5</v>
      </c>
      <c r="P164" s="5" t="s">
        <v>1761</v>
      </c>
      <c r="Q164" s="5" t="s">
        <v>2271</v>
      </c>
      <c r="R164" s="5" t="s">
        <v>2273</v>
      </c>
      <c r="S164" s="5" t="s">
        <v>2285</v>
      </c>
      <c r="T164" s="5" t="s">
        <v>2290</v>
      </c>
      <c r="U164" s="8">
        <v>5</v>
      </c>
      <c r="V164" s="8">
        <v>62</v>
      </c>
      <c r="W164" s="8">
        <v>33</v>
      </c>
      <c r="X164" s="9">
        <v>40.58</v>
      </c>
      <c r="Y164" s="9">
        <f t="shared" si="25"/>
        <v>269.60000000000002</v>
      </c>
      <c r="Z164" s="5" t="s">
        <v>2293</v>
      </c>
      <c r="AA164" s="5" t="s">
        <v>2299</v>
      </c>
      <c r="AB164" s="9">
        <f t="shared" si="26"/>
        <v>525</v>
      </c>
      <c r="AC164" s="9">
        <f t="shared" si="27"/>
        <v>52.5</v>
      </c>
      <c r="AD164" s="9">
        <f t="shared" si="28"/>
        <v>472.5</v>
      </c>
      <c r="AE164" s="9">
        <f t="shared" si="29"/>
        <v>202.89999999999998</v>
      </c>
      <c r="AF164" s="9">
        <f t="shared" si="35"/>
        <v>269.60000000000002</v>
      </c>
      <c r="AG164" s="8">
        <f t="shared" si="30"/>
        <v>2024</v>
      </c>
      <c r="AH164" s="8">
        <f t="shared" si="31"/>
        <v>11</v>
      </c>
      <c r="AI164" s="5" t="str">
        <f t="shared" si="32"/>
        <v>Nov</v>
      </c>
      <c r="AJ164" s="5" t="str">
        <f t="shared" si="33"/>
        <v>Thursday</v>
      </c>
    </row>
    <row r="165" spans="1:36" x14ac:dyDescent="0.3">
      <c r="A165" s="5" t="s">
        <v>199</v>
      </c>
      <c r="B165" s="6">
        <v>45555</v>
      </c>
      <c r="C165" s="7">
        <v>0.40625</v>
      </c>
      <c r="D165" s="5" t="s">
        <v>1774</v>
      </c>
      <c r="E165" s="5" t="s">
        <v>2059</v>
      </c>
      <c r="F165" s="5" t="s">
        <v>2239</v>
      </c>
      <c r="G165" s="5" t="s">
        <v>2242</v>
      </c>
      <c r="H165" s="5" t="s">
        <v>2258</v>
      </c>
      <c r="I165" s="5" t="s">
        <v>2260</v>
      </c>
      <c r="J165" s="5" t="s">
        <v>2265</v>
      </c>
      <c r="K165" s="8">
        <v>1</v>
      </c>
      <c r="L165" s="9">
        <v>125</v>
      </c>
      <c r="M165" s="10">
        <v>0</v>
      </c>
      <c r="N165" s="9">
        <f t="shared" si="34"/>
        <v>125</v>
      </c>
      <c r="O165" s="9">
        <f t="shared" si="24"/>
        <v>125</v>
      </c>
      <c r="P165" s="5" t="s">
        <v>1761</v>
      </c>
      <c r="Q165" s="5" t="s">
        <v>2272</v>
      </c>
      <c r="R165" s="5" t="s">
        <v>2274</v>
      </c>
      <c r="S165" s="5" t="s">
        <v>2285</v>
      </c>
      <c r="T165" s="5" t="s">
        <v>2290</v>
      </c>
      <c r="U165" s="19">
        <v>3</v>
      </c>
      <c r="V165" s="8">
        <v>171</v>
      </c>
      <c r="W165" s="19">
        <v>35</v>
      </c>
      <c r="X165" s="9">
        <v>49.29</v>
      </c>
      <c r="Y165" s="9">
        <f t="shared" si="25"/>
        <v>75.710000000000008</v>
      </c>
      <c r="Z165" s="5" t="s">
        <v>1761</v>
      </c>
      <c r="AA165" s="5" t="s">
        <v>1761</v>
      </c>
      <c r="AB165" s="9">
        <f t="shared" si="26"/>
        <v>125</v>
      </c>
      <c r="AC165" s="9">
        <f t="shared" si="27"/>
        <v>0</v>
      </c>
      <c r="AD165" s="9">
        <f t="shared" si="28"/>
        <v>125</v>
      </c>
      <c r="AE165" s="9">
        <f t="shared" si="29"/>
        <v>49.29</v>
      </c>
      <c r="AF165" s="9">
        <f t="shared" si="35"/>
        <v>75.710000000000008</v>
      </c>
      <c r="AG165" s="8">
        <f t="shared" si="30"/>
        <v>2024</v>
      </c>
      <c r="AH165" s="8">
        <f t="shared" si="31"/>
        <v>9</v>
      </c>
      <c r="AI165" s="5" t="str">
        <f t="shared" si="32"/>
        <v>Sep</v>
      </c>
      <c r="AJ165" s="5" t="str">
        <f t="shared" si="33"/>
        <v>Friday</v>
      </c>
    </row>
    <row r="166" spans="1:36" x14ac:dyDescent="0.3">
      <c r="A166" s="5" t="s">
        <v>200</v>
      </c>
      <c r="B166" s="6">
        <v>45629</v>
      </c>
      <c r="C166" s="7">
        <v>0.34027777777777779</v>
      </c>
      <c r="D166" s="5" t="s">
        <v>1761</v>
      </c>
      <c r="E166" s="5" t="s">
        <v>2060</v>
      </c>
      <c r="F166" s="5" t="s">
        <v>2240</v>
      </c>
      <c r="G166" s="5" t="s">
        <v>2248</v>
      </c>
      <c r="H166" s="5" t="s">
        <v>2257</v>
      </c>
      <c r="I166" s="5" t="s">
        <v>2262</v>
      </c>
      <c r="J166" s="5" t="s">
        <v>2266</v>
      </c>
      <c r="K166" s="8">
        <v>2</v>
      </c>
      <c r="L166" s="9">
        <v>145</v>
      </c>
      <c r="M166" s="10">
        <v>0.1</v>
      </c>
      <c r="N166" s="9">
        <f t="shared" si="34"/>
        <v>290</v>
      </c>
      <c r="O166" s="9">
        <f t="shared" si="24"/>
        <v>261</v>
      </c>
      <c r="P166" s="5" t="s">
        <v>2267</v>
      </c>
      <c r="Q166" s="5" t="s">
        <v>2271</v>
      </c>
      <c r="R166" s="5" t="s">
        <v>2278</v>
      </c>
      <c r="S166" s="5" t="s">
        <v>2286</v>
      </c>
      <c r="T166" s="5" t="s">
        <v>2290</v>
      </c>
      <c r="U166" s="8">
        <v>2</v>
      </c>
      <c r="V166" s="8">
        <v>25</v>
      </c>
      <c r="W166" s="8">
        <v>30</v>
      </c>
      <c r="X166" s="9">
        <v>63.62</v>
      </c>
      <c r="Y166" s="9">
        <f t="shared" si="25"/>
        <v>133.76</v>
      </c>
      <c r="Z166" s="5" t="s">
        <v>2291</v>
      </c>
      <c r="AA166" s="5" t="s">
        <v>2299</v>
      </c>
      <c r="AB166" s="9">
        <f t="shared" si="26"/>
        <v>290</v>
      </c>
      <c r="AC166" s="9">
        <f t="shared" si="27"/>
        <v>29</v>
      </c>
      <c r="AD166" s="9">
        <f t="shared" si="28"/>
        <v>261</v>
      </c>
      <c r="AE166" s="9">
        <f t="shared" si="29"/>
        <v>127.24</v>
      </c>
      <c r="AF166" s="9">
        <f t="shared" si="35"/>
        <v>133.76</v>
      </c>
      <c r="AG166" s="8">
        <f t="shared" si="30"/>
        <v>2024</v>
      </c>
      <c r="AH166" s="8">
        <f t="shared" si="31"/>
        <v>12</v>
      </c>
      <c r="AI166" s="5" t="str">
        <f t="shared" si="32"/>
        <v>Dec</v>
      </c>
      <c r="AJ166" s="5" t="str">
        <f t="shared" si="33"/>
        <v>Tuesday</v>
      </c>
    </row>
    <row r="167" spans="1:36" x14ac:dyDescent="0.3">
      <c r="A167" s="5" t="s">
        <v>201</v>
      </c>
      <c r="B167" s="6">
        <v>45634</v>
      </c>
      <c r="C167" s="7">
        <v>0.79861111111111116</v>
      </c>
      <c r="D167" s="5" t="s">
        <v>1851</v>
      </c>
      <c r="E167" s="5" t="s">
        <v>2061</v>
      </c>
      <c r="F167" s="5" t="s">
        <v>2240</v>
      </c>
      <c r="G167" s="5" t="s">
        <v>2250</v>
      </c>
      <c r="H167" s="5" t="s">
        <v>2259</v>
      </c>
      <c r="I167" s="5" t="s">
        <v>2262</v>
      </c>
      <c r="J167" s="5" t="s">
        <v>1761</v>
      </c>
      <c r="K167" s="8">
        <v>1</v>
      </c>
      <c r="L167" s="9">
        <v>75</v>
      </c>
      <c r="M167" s="10">
        <v>0.05</v>
      </c>
      <c r="N167" s="9">
        <f t="shared" si="34"/>
        <v>75</v>
      </c>
      <c r="O167" s="9">
        <f t="shared" si="24"/>
        <v>71.25</v>
      </c>
      <c r="P167" s="5" t="s">
        <v>2269</v>
      </c>
      <c r="Q167" s="5" t="s">
        <v>2272</v>
      </c>
      <c r="R167" s="5" t="s">
        <v>2274</v>
      </c>
      <c r="S167" s="5" t="s">
        <v>2286</v>
      </c>
      <c r="T167" s="5" t="s">
        <v>2288</v>
      </c>
      <c r="U167" s="8">
        <v>5</v>
      </c>
      <c r="V167" s="8">
        <v>324</v>
      </c>
      <c r="W167" s="8">
        <v>22</v>
      </c>
      <c r="X167" s="9">
        <v>38.96</v>
      </c>
      <c r="Y167" s="9">
        <f t="shared" si="25"/>
        <v>32.29</v>
      </c>
      <c r="Z167" s="5" t="s">
        <v>2292</v>
      </c>
      <c r="AA167" s="5" t="s">
        <v>2298</v>
      </c>
      <c r="AB167" s="9">
        <f t="shared" si="26"/>
        <v>75</v>
      </c>
      <c r="AC167" s="9">
        <f t="shared" si="27"/>
        <v>3.75</v>
      </c>
      <c r="AD167" s="9">
        <f t="shared" si="28"/>
        <v>71.25</v>
      </c>
      <c r="AE167" s="9">
        <f t="shared" si="29"/>
        <v>38.96</v>
      </c>
      <c r="AF167" s="9">
        <f t="shared" si="35"/>
        <v>32.29</v>
      </c>
      <c r="AG167" s="8">
        <f t="shared" si="30"/>
        <v>2024</v>
      </c>
      <c r="AH167" s="8">
        <f t="shared" si="31"/>
        <v>12</v>
      </c>
      <c r="AI167" s="5" t="str">
        <f t="shared" si="32"/>
        <v>Dec</v>
      </c>
      <c r="AJ167" s="5" t="str">
        <f t="shared" si="33"/>
        <v>Sunday</v>
      </c>
    </row>
    <row r="168" spans="1:36" x14ac:dyDescent="0.3">
      <c r="A168" s="5" t="s">
        <v>202</v>
      </c>
      <c r="B168" s="6">
        <v>45411</v>
      </c>
      <c r="C168" s="7">
        <v>0.36458333333333331</v>
      </c>
      <c r="D168" s="5" t="s">
        <v>1791</v>
      </c>
      <c r="E168" s="5" t="s">
        <v>2062</v>
      </c>
      <c r="F168" s="5" t="s">
        <v>2240</v>
      </c>
      <c r="G168" s="5" t="s">
        <v>2256</v>
      </c>
      <c r="H168" s="5" t="s">
        <v>2261</v>
      </c>
      <c r="I168" s="5" t="s">
        <v>2260</v>
      </c>
      <c r="J168" s="5" t="s">
        <v>2266</v>
      </c>
      <c r="K168" s="8">
        <v>1</v>
      </c>
      <c r="L168" s="9">
        <v>190</v>
      </c>
      <c r="M168" s="10">
        <v>0.05</v>
      </c>
      <c r="N168" s="9">
        <f t="shared" si="34"/>
        <v>190</v>
      </c>
      <c r="O168" s="9">
        <f t="shared" si="24"/>
        <v>180.5</v>
      </c>
      <c r="P168" s="5" t="s">
        <v>2267</v>
      </c>
      <c r="Q168" s="5" t="s">
        <v>2271</v>
      </c>
      <c r="R168" s="5" t="s">
        <v>2279</v>
      </c>
      <c r="S168" s="5" t="s">
        <v>2283</v>
      </c>
      <c r="T168" s="5" t="s">
        <v>2289</v>
      </c>
      <c r="U168" s="8">
        <v>3</v>
      </c>
      <c r="V168" s="8">
        <v>13</v>
      </c>
      <c r="W168" s="19">
        <v>37</v>
      </c>
      <c r="X168" s="9">
        <v>76.47</v>
      </c>
      <c r="Y168" s="9">
        <f t="shared" si="25"/>
        <v>104.03</v>
      </c>
      <c r="Z168" s="5" t="s">
        <v>2293</v>
      </c>
      <c r="AA168" s="5" t="s">
        <v>2297</v>
      </c>
      <c r="AB168" s="9">
        <f t="shared" si="26"/>
        <v>190</v>
      </c>
      <c r="AC168" s="9">
        <f t="shared" si="27"/>
        <v>9.5</v>
      </c>
      <c r="AD168" s="9">
        <f t="shared" si="28"/>
        <v>180.5</v>
      </c>
      <c r="AE168" s="9">
        <f t="shared" si="29"/>
        <v>76.47</v>
      </c>
      <c r="AF168" s="9">
        <f t="shared" si="35"/>
        <v>104.03</v>
      </c>
      <c r="AG168" s="8">
        <f t="shared" si="30"/>
        <v>2024</v>
      </c>
      <c r="AH168" s="8">
        <f t="shared" si="31"/>
        <v>4</v>
      </c>
      <c r="AI168" s="5" t="str">
        <f t="shared" si="32"/>
        <v>Apr</v>
      </c>
      <c r="AJ168" s="5" t="str">
        <f t="shared" si="33"/>
        <v>Monday</v>
      </c>
    </row>
    <row r="169" spans="1:36" x14ac:dyDescent="0.3">
      <c r="A169" s="5" t="s">
        <v>203</v>
      </c>
      <c r="B169" s="6">
        <v>45600</v>
      </c>
      <c r="C169" s="7">
        <v>0.72222222222222221</v>
      </c>
      <c r="D169" s="5" t="s">
        <v>1852</v>
      </c>
      <c r="E169" s="5" t="s">
        <v>2063</v>
      </c>
      <c r="F169" s="5" t="s">
        <v>2240</v>
      </c>
      <c r="G169" s="5" t="s">
        <v>2253</v>
      </c>
      <c r="H169" s="5" t="s">
        <v>2258</v>
      </c>
      <c r="I169" s="5" t="s">
        <v>2260</v>
      </c>
      <c r="J169" s="5" t="s">
        <v>2265</v>
      </c>
      <c r="K169" s="8">
        <v>3</v>
      </c>
      <c r="L169" s="9">
        <v>85</v>
      </c>
      <c r="M169" s="10">
        <v>0.1</v>
      </c>
      <c r="N169" s="9">
        <f t="shared" si="34"/>
        <v>255</v>
      </c>
      <c r="O169" s="9">
        <f t="shared" si="24"/>
        <v>229.5</v>
      </c>
      <c r="P169" s="5" t="s">
        <v>2269</v>
      </c>
      <c r="Q169" s="5" t="s">
        <v>2271</v>
      </c>
      <c r="R169" s="5" t="s">
        <v>2276</v>
      </c>
      <c r="S169" s="5" t="s">
        <v>2280</v>
      </c>
      <c r="T169" s="5" t="s">
        <v>2290</v>
      </c>
      <c r="U169" s="8">
        <v>2</v>
      </c>
      <c r="V169" s="8">
        <v>186</v>
      </c>
      <c r="W169" s="19">
        <v>37</v>
      </c>
      <c r="X169" s="9">
        <v>45.37</v>
      </c>
      <c r="Y169" s="9">
        <f t="shared" si="25"/>
        <v>93.390000000000015</v>
      </c>
      <c r="Z169" s="5" t="s">
        <v>1761</v>
      </c>
      <c r="AA169" s="5" t="s">
        <v>2297</v>
      </c>
      <c r="AB169" s="9">
        <f t="shared" si="26"/>
        <v>255</v>
      </c>
      <c r="AC169" s="9">
        <f t="shared" si="27"/>
        <v>25.5</v>
      </c>
      <c r="AD169" s="9">
        <f t="shared" si="28"/>
        <v>229.5</v>
      </c>
      <c r="AE169" s="9">
        <f t="shared" si="29"/>
        <v>136.10999999999999</v>
      </c>
      <c r="AF169" s="9">
        <f t="shared" si="35"/>
        <v>93.390000000000015</v>
      </c>
      <c r="AG169" s="8">
        <f t="shared" si="30"/>
        <v>2024</v>
      </c>
      <c r="AH169" s="8">
        <f t="shared" si="31"/>
        <v>11</v>
      </c>
      <c r="AI169" s="5" t="str">
        <f t="shared" si="32"/>
        <v>Nov</v>
      </c>
      <c r="AJ169" s="5" t="str">
        <f t="shared" si="33"/>
        <v>Monday</v>
      </c>
    </row>
    <row r="170" spans="1:36" x14ac:dyDescent="0.3">
      <c r="A170" s="5" t="s">
        <v>204</v>
      </c>
      <c r="B170" s="6">
        <v>45452</v>
      </c>
      <c r="C170" s="7">
        <v>0.88888888888888884</v>
      </c>
      <c r="D170" s="5" t="s">
        <v>1777</v>
      </c>
      <c r="E170" s="5" t="s">
        <v>2064</v>
      </c>
      <c r="F170" s="5" t="s">
        <v>2238</v>
      </c>
      <c r="G170" s="5" t="s">
        <v>2247</v>
      </c>
      <c r="H170" s="5" t="s">
        <v>2257</v>
      </c>
      <c r="I170" s="5" t="s">
        <v>2262</v>
      </c>
      <c r="J170" s="5" t="s">
        <v>2265</v>
      </c>
      <c r="K170" s="8">
        <v>4</v>
      </c>
      <c r="L170" s="9">
        <v>100</v>
      </c>
      <c r="M170" s="10">
        <v>0.1</v>
      </c>
      <c r="N170" s="9">
        <f t="shared" si="34"/>
        <v>400</v>
      </c>
      <c r="O170" s="9">
        <f t="shared" si="24"/>
        <v>360</v>
      </c>
      <c r="P170" s="5" t="s">
        <v>2267</v>
      </c>
      <c r="Q170" s="5" t="s">
        <v>2272</v>
      </c>
      <c r="R170" s="5" t="s">
        <v>2279</v>
      </c>
      <c r="S170" s="5" t="s">
        <v>2285</v>
      </c>
      <c r="T170" s="5" t="s">
        <v>2288</v>
      </c>
      <c r="U170" s="8">
        <v>2</v>
      </c>
      <c r="V170" s="8">
        <v>482</v>
      </c>
      <c r="W170" s="19">
        <v>35</v>
      </c>
      <c r="X170" s="9">
        <v>58.23</v>
      </c>
      <c r="Y170" s="9">
        <f t="shared" si="25"/>
        <v>127.08000000000001</v>
      </c>
      <c r="Z170" s="5" t="s">
        <v>2292</v>
      </c>
      <c r="AA170" s="5" t="s">
        <v>2296</v>
      </c>
      <c r="AB170" s="9">
        <f t="shared" si="26"/>
        <v>400</v>
      </c>
      <c r="AC170" s="9">
        <f t="shared" si="27"/>
        <v>40</v>
      </c>
      <c r="AD170" s="9">
        <f t="shared" si="28"/>
        <v>360</v>
      </c>
      <c r="AE170" s="9">
        <f t="shared" si="29"/>
        <v>232.92</v>
      </c>
      <c r="AF170" s="9">
        <f t="shared" si="35"/>
        <v>127.08000000000001</v>
      </c>
      <c r="AG170" s="8">
        <f t="shared" si="30"/>
        <v>2024</v>
      </c>
      <c r="AH170" s="8">
        <f t="shared" si="31"/>
        <v>6</v>
      </c>
      <c r="AI170" s="5" t="str">
        <f t="shared" si="32"/>
        <v>Jun</v>
      </c>
      <c r="AJ170" s="5" t="str">
        <f t="shared" si="33"/>
        <v>Sunday</v>
      </c>
    </row>
    <row r="171" spans="1:36" x14ac:dyDescent="0.3">
      <c r="A171" s="5" t="s">
        <v>205</v>
      </c>
      <c r="B171" s="6">
        <v>45439</v>
      </c>
      <c r="C171" s="7">
        <v>0.4513888888888889</v>
      </c>
      <c r="D171" s="5" t="s">
        <v>1742</v>
      </c>
      <c r="E171" s="5" t="s">
        <v>2065</v>
      </c>
      <c r="F171" s="5" t="s">
        <v>2239</v>
      </c>
      <c r="G171" s="5" t="s">
        <v>2247</v>
      </c>
      <c r="H171" s="5" t="s">
        <v>2257</v>
      </c>
      <c r="I171" s="5" t="s">
        <v>2262</v>
      </c>
      <c r="J171" s="5" t="s">
        <v>2265</v>
      </c>
      <c r="K171" s="8">
        <v>1</v>
      </c>
      <c r="L171" s="9">
        <v>105</v>
      </c>
      <c r="M171" s="10">
        <v>0.1</v>
      </c>
      <c r="N171" s="9">
        <f t="shared" si="34"/>
        <v>105</v>
      </c>
      <c r="O171" s="9">
        <f t="shared" si="24"/>
        <v>94.5</v>
      </c>
      <c r="P171" s="5" t="s">
        <v>2267</v>
      </c>
      <c r="Q171" s="5" t="s">
        <v>2270</v>
      </c>
      <c r="R171" s="5" t="s">
        <v>2274</v>
      </c>
      <c r="S171" s="5" t="s">
        <v>2281</v>
      </c>
      <c r="T171" s="5" t="s">
        <v>2290</v>
      </c>
      <c r="U171" s="19">
        <v>3</v>
      </c>
      <c r="V171" s="8">
        <v>429</v>
      </c>
      <c r="W171" s="8">
        <v>30</v>
      </c>
      <c r="X171" s="9">
        <v>43.85</v>
      </c>
      <c r="Y171" s="9">
        <f t="shared" si="25"/>
        <v>50.65</v>
      </c>
      <c r="Z171" s="5" t="s">
        <v>2293</v>
      </c>
      <c r="AA171" s="5" t="s">
        <v>2296</v>
      </c>
      <c r="AB171" s="9">
        <f t="shared" si="26"/>
        <v>105</v>
      </c>
      <c r="AC171" s="9">
        <f t="shared" si="27"/>
        <v>10.5</v>
      </c>
      <c r="AD171" s="9">
        <f t="shared" si="28"/>
        <v>94.5</v>
      </c>
      <c r="AE171" s="9">
        <f t="shared" si="29"/>
        <v>43.85</v>
      </c>
      <c r="AF171" s="9">
        <f t="shared" si="35"/>
        <v>50.65</v>
      </c>
      <c r="AG171" s="8">
        <f t="shared" si="30"/>
        <v>2024</v>
      </c>
      <c r="AH171" s="8">
        <f t="shared" si="31"/>
        <v>5</v>
      </c>
      <c r="AI171" s="5" t="str">
        <f t="shared" si="32"/>
        <v>May</v>
      </c>
      <c r="AJ171" s="5" t="str">
        <f t="shared" si="33"/>
        <v>Monday</v>
      </c>
    </row>
    <row r="172" spans="1:36" x14ac:dyDescent="0.3">
      <c r="A172" s="5" t="s">
        <v>206</v>
      </c>
      <c r="B172" s="6">
        <v>45455</v>
      </c>
      <c r="C172" s="7">
        <v>0.60416666666666663</v>
      </c>
      <c r="D172" s="5" t="s">
        <v>1852</v>
      </c>
      <c r="E172" s="5" t="s">
        <v>2019</v>
      </c>
      <c r="F172" s="5" t="s">
        <v>2239</v>
      </c>
      <c r="G172" s="5" t="s">
        <v>2244</v>
      </c>
      <c r="H172" s="5" t="s">
        <v>2257</v>
      </c>
      <c r="I172" s="5" t="s">
        <v>2262</v>
      </c>
      <c r="J172" s="5" t="s">
        <v>2265</v>
      </c>
      <c r="K172" s="8">
        <v>1</v>
      </c>
      <c r="L172" s="9">
        <v>115</v>
      </c>
      <c r="M172" s="10">
        <v>0.1</v>
      </c>
      <c r="N172" s="9">
        <f t="shared" si="34"/>
        <v>115</v>
      </c>
      <c r="O172" s="9">
        <f t="shared" si="24"/>
        <v>103.5</v>
      </c>
      <c r="P172" s="5" t="s">
        <v>2269</v>
      </c>
      <c r="Q172" s="5" t="s">
        <v>2271</v>
      </c>
      <c r="R172" s="5" t="s">
        <v>2279</v>
      </c>
      <c r="S172" s="5" t="s">
        <v>2284</v>
      </c>
      <c r="T172" s="5" t="s">
        <v>2288</v>
      </c>
      <c r="U172" s="19">
        <v>3</v>
      </c>
      <c r="V172" s="19">
        <v>244</v>
      </c>
      <c r="W172" s="19">
        <v>37</v>
      </c>
      <c r="X172" s="9">
        <v>64.91</v>
      </c>
      <c r="Y172" s="9">
        <f t="shared" si="25"/>
        <v>38.590000000000003</v>
      </c>
      <c r="Z172" s="5" t="s">
        <v>2292</v>
      </c>
      <c r="AA172" s="5" t="s">
        <v>2296</v>
      </c>
      <c r="AB172" s="9">
        <f t="shared" si="26"/>
        <v>115</v>
      </c>
      <c r="AC172" s="9">
        <f t="shared" si="27"/>
        <v>11.5</v>
      </c>
      <c r="AD172" s="9">
        <f t="shared" si="28"/>
        <v>103.5</v>
      </c>
      <c r="AE172" s="9">
        <f t="shared" si="29"/>
        <v>64.91</v>
      </c>
      <c r="AF172" s="9">
        <f t="shared" si="35"/>
        <v>38.590000000000003</v>
      </c>
      <c r="AG172" s="8">
        <f t="shared" si="30"/>
        <v>2024</v>
      </c>
      <c r="AH172" s="8">
        <f t="shared" si="31"/>
        <v>6</v>
      </c>
      <c r="AI172" s="5" t="str">
        <f t="shared" si="32"/>
        <v>Jun</v>
      </c>
      <c r="AJ172" s="5" t="str">
        <f t="shared" si="33"/>
        <v>Wednesday</v>
      </c>
    </row>
    <row r="173" spans="1:36" x14ac:dyDescent="0.3">
      <c r="A173" s="5" t="s">
        <v>207</v>
      </c>
      <c r="B173" s="6">
        <v>45418</v>
      </c>
      <c r="C173" s="7">
        <v>0.42708333333333331</v>
      </c>
      <c r="D173" s="5" t="s">
        <v>1762</v>
      </c>
      <c r="E173" s="5" t="s">
        <v>2066</v>
      </c>
      <c r="F173" s="5" t="s">
        <v>2239</v>
      </c>
      <c r="G173" s="5" t="s">
        <v>2256</v>
      </c>
      <c r="H173" s="5" t="s">
        <v>2261</v>
      </c>
      <c r="I173" s="5" t="s">
        <v>2260</v>
      </c>
      <c r="J173" s="5" t="s">
        <v>2264</v>
      </c>
      <c r="K173" s="8">
        <v>1</v>
      </c>
      <c r="L173" s="9">
        <v>185</v>
      </c>
      <c r="M173" s="10">
        <v>0</v>
      </c>
      <c r="N173" s="9">
        <f t="shared" si="34"/>
        <v>185</v>
      </c>
      <c r="O173" s="9">
        <f t="shared" si="24"/>
        <v>185</v>
      </c>
      <c r="P173" s="5" t="s">
        <v>2267</v>
      </c>
      <c r="Q173" s="5" t="s">
        <v>2272</v>
      </c>
      <c r="R173" s="5" t="s">
        <v>2279</v>
      </c>
      <c r="S173" s="5" t="s">
        <v>2285</v>
      </c>
      <c r="T173" s="5" t="s">
        <v>2290</v>
      </c>
      <c r="U173" s="8">
        <v>4</v>
      </c>
      <c r="V173" s="8">
        <v>129</v>
      </c>
      <c r="W173" s="8">
        <v>59</v>
      </c>
      <c r="X173" s="9">
        <v>109.28</v>
      </c>
      <c r="Y173" s="9">
        <f t="shared" si="25"/>
        <v>75.72</v>
      </c>
      <c r="Z173" s="5" t="s">
        <v>1761</v>
      </c>
      <c r="AA173" s="5" t="s">
        <v>2299</v>
      </c>
      <c r="AB173" s="9">
        <f t="shared" si="26"/>
        <v>185</v>
      </c>
      <c r="AC173" s="9">
        <f t="shared" si="27"/>
        <v>0</v>
      </c>
      <c r="AD173" s="9">
        <f t="shared" si="28"/>
        <v>185</v>
      </c>
      <c r="AE173" s="9">
        <f t="shared" si="29"/>
        <v>109.28</v>
      </c>
      <c r="AF173" s="9">
        <f t="shared" si="35"/>
        <v>75.72</v>
      </c>
      <c r="AG173" s="8">
        <f t="shared" si="30"/>
        <v>2024</v>
      </c>
      <c r="AH173" s="8">
        <f t="shared" si="31"/>
        <v>5</v>
      </c>
      <c r="AI173" s="5" t="str">
        <f t="shared" si="32"/>
        <v>May</v>
      </c>
      <c r="AJ173" s="5" t="str">
        <f t="shared" si="33"/>
        <v>Monday</v>
      </c>
    </row>
    <row r="174" spans="1:36" x14ac:dyDescent="0.3">
      <c r="A174" s="5" t="s">
        <v>208</v>
      </c>
      <c r="B174" s="6">
        <v>45558</v>
      </c>
      <c r="C174" s="7">
        <v>0.90625</v>
      </c>
      <c r="D174" s="5" t="s">
        <v>1758</v>
      </c>
      <c r="E174" s="5" t="s">
        <v>2067</v>
      </c>
      <c r="F174" s="5" t="s">
        <v>2239</v>
      </c>
      <c r="G174" s="5" t="s">
        <v>2247</v>
      </c>
      <c r="H174" s="5" t="s">
        <v>2257</v>
      </c>
      <c r="I174" s="5" t="s">
        <v>2262</v>
      </c>
      <c r="J174" s="5" t="s">
        <v>2265</v>
      </c>
      <c r="K174" s="8">
        <v>1</v>
      </c>
      <c r="L174" s="9">
        <v>100</v>
      </c>
      <c r="M174" s="10">
        <v>0.15</v>
      </c>
      <c r="N174" s="9">
        <f t="shared" si="34"/>
        <v>100</v>
      </c>
      <c r="O174" s="9">
        <f t="shared" si="24"/>
        <v>85</v>
      </c>
      <c r="P174" s="5" t="s">
        <v>2267</v>
      </c>
      <c r="Q174" s="5" t="s">
        <v>2271</v>
      </c>
      <c r="R174" s="5" t="s">
        <v>2278</v>
      </c>
      <c r="S174" s="5" t="s">
        <v>2284</v>
      </c>
      <c r="T174" s="5" t="s">
        <v>2289</v>
      </c>
      <c r="U174" s="8">
        <v>3</v>
      </c>
      <c r="V174" s="8">
        <v>401</v>
      </c>
      <c r="W174" s="8">
        <v>40</v>
      </c>
      <c r="X174" s="9">
        <v>35.770000000000003</v>
      </c>
      <c r="Y174" s="9">
        <f t="shared" si="25"/>
        <v>49.23</v>
      </c>
      <c r="Z174" s="5" t="s">
        <v>2292</v>
      </c>
      <c r="AA174" s="5" t="s">
        <v>2297</v>
      </c>
      <c r="AB174" s="9">
        <f t="shared" si="26"/>
        <v>100</v>
      </c>
      <c r="AC174" s="9">
        <f t="shared" si="27"/>
        <v>15</v>
      </c>
      <c r="AD174" s="9">
        <f t="shared" si="28"/>
        <v>85</v>
      </c>
      <c r="AE174" s="9">
        <f t="shared" si="29"/>
        <v>35.770000000000003</v>
      </c>
      <c r="AF174" s="9">
        <f t="shared" si="35"/>
        <v>49.23</v>
      </c>
      <c r="AG174" s="8">
        <f t="shared" si="30"/>
        <v>2024</v>
      </c>
      <c r="AH174" s="8">
        <f t="shared" si="31"/>
        <v>9</v>
      </c>
      <c r="AI174" s="5" t="str">
        <f t="shared" si="32"/>
        <v>Sep</v>
      </c>
      <c r="AJ174" s="5" t="str">
        <f t="shared" si="33"/>
        <v>Monday</v>
      </c>
    </row>
    <row r="175" spans="1:36" x14ac:dyDescent="0.3">
      <c r="A175" s="5" t="s">
        <v>209</v>
      </c>
      <c r="B175" s="6">
        <v>45443</v>
      </c>
      <c r="C175" s="7">
        <v>0.875</v>
      </c>
      <c r="D175" s="5" t="s">
        <v>1853</v>
      </c>
      <c r="E175" s="5" t="s">
        <v>2068</v>
      </c>
      <c r="F175" s="5" t="s">
        <v>2240</v>
      </c>
      <c r="G175" s="5" t="s">
        <v>2255</v>
      </c>
      <c r="H175" s="5" t="s">
        <v>2260</v>
      </c>
      <c r="I175" s="5" t="s">
        <v>2260</v>
      </c>
      <c r="J175" s="5" t="s">
        <v>1761</v>
      </c>
      <c r="K175" s="8">
        <v>1</v>
      </c>
      <c r="L175" s="9">
        <v>180</v>
      </c>
      <c r="M175" s="10">
        <v>0.1</v>
      </c>
      <c r="N175" s="9">
        <f t="shared" si="34"/>
        <v>180</v>
      </c>
      <c r="O175" s="9">
        <f t="shared" si="24"/>
        <v>162</v>
      </c>
      <c r="P175" s="5" t="s">
        <v>2267</v>
      </c>
      <c r="Q175" s="5" t="s">
        <v>2270</v>
      </c>
      <c r="R175" s="5" t="s">
        <v>2274</v>
      </c>
      <c r="S175" s="5" t="s">
        <v>2282</v>
      </c>
      <c r="T175" s="5" t="s">
        <v>2289</v>
      </c>
      <c r="U175" s="8">
        <v>3</v>
      </c>
      <c r="V175" s="8">
        <v>167</v>
      </c>
      <c r="W175" s="8">
        <v>33</v>
      </c>
      <c r="X175" s="9">
        <v>83.55</v>
      </c>
      <c r="Y175" s="9">
        <f t="shared" si="25"/>
        <v>78.45</v>
      </c>
      <c r="Z175" s="5" t="s">
        <v>2291</v>
      </c>
      <c r="AA175" s="5" t="s">
        <v>2298</v>
      </c>
      <c r="AB175" s="9">
        <f t="shared" si="26"/>
        <v>180</v>
      </c>
      <c r="AC175" s="9">
        <f t="shared" si="27"/>
        <v>18</v>
      </c>
      <c r="AD175" s="9">
        <f t="shared" si="28"/>
        <v>162</v>
      </c>
      <c r="AE175" s="9">
        <f t="shared" si="29"/>
        <v>83.55</v>
      </c>
      <c r="AF175" s="9">
        <f t="shared" si="35"/>
        <v>78.45</v>
      </c>
      <c r="AG175" s="8">
        <f t="shared" si="30"/>
        <v>2024</v>
      </c>
      <c r="AH175" s="8">
        <f t="shared" si="31"/>
        <v>5</v>
      </c>
      <c r="AI175" s="5" t="str">
        <f t="shared" si="32"/>
        <v>May</v>
      </c>
      <c r="AJ175" s="5" t="str">
        <f t="shared" si="33"/>
        <v>Friday</v>
      </c>
    </row>
    <row r="176" spans="1:36" x14ac:dyDescent="0.3">
      <c r="A176" s="5" t="s">
        <v>210</v>
      </c>
      <c r="B176" s="6">
        <v>45332</v>
      </c>
      <c r="C176" s="7">
        <v>0.73958333333333337</v>
      </c>
      <c r="D176" s="5" t="s">
        <v>1854</v>
      </c>
      <c r="E176" s="5" t="s">
        <v>2069</v>
      </c>
      <c r="F176" s="5" t="s">
        <v>2240</v>
      </c>
      <c r="G176" s="5" t="s">
        <v>2254</v>
      </c>
      <c r="H176" s="5" t="s">
        <v>2259</v>
      </c>
      <c r="I176" s="5" t="s">
        <v>2263</v>
      </c>
      <c r="J176" s="5" t="s">
        <v>2266</v>
      </c>
      <c r="K176" s="8">
        <v>3</v>
      </c>
      <c r="L176" s="9">
        <v>105</v>
      </c>
      <c r="M176" s="10">
        <v>0.1</v>
      </c>
      <c r="N176" s="9">
        <f t="shared" si="34"/>
        <v>315</v>
      </c>
      <c r="O176" s="9">
        <f t="shared" si="24"/>
        <v>283.5</v>
      </c>
      <c r="P176" s="5" t="s">
        <v>2267</v>
      </c>
      <c r="Q176" s="5" t="s">
        <v>2272</v>
      </c>
      <c r="R176" s="5" t="s">
        <v>2279</v>
      </c>
      <c r="S176" s="5" t="s">
        <v>2286</v>
      </c>
      <c r="T176" s="5" t="s">
        <v>2288</v>
      </c>
      <c r="U176" s="19">
        <v>3</v>
      </c>
      <c r="V176" s="8">
        <v>479</v>
      </c>
      <c r="W176" s="8">
        <v>40</v>
      </c>
      <c r="X176" s="9">
        <v>53.02</v>
      </c>
      <c r="Y176" s="9">
        <f t="shared" si="25"/>
        <v>124.44</v>
      </c>
      <c r="Z176" s="5" t="s">
        <v>2293</v>
      </c>
      <c r="AA176" s="5" t="s">
        <v>1761</v>
      </c>
      <c r="AB176" s="9">
        <f t="shared" si="26"/>
        <v>315</v>
      </c>
      <c r="AC176" s="9">
        <f t="shared" si="27"/>
        <v>31.5</v>
      </c>
      <c r="AD176" s="9">
        <f t="shared" si="28"/>
        <v>283.5</v>
      </c>
      <c r="AE176" s="9">
        <f t="shared" si="29"/>
        <v>159.06</v>
      </c>
      <c r="AF176" s="9">
        <f t="shared" si="35"/>
        <v>124.44</v>
      </c>
      <c r="AG176" s="8">
        <f t="shared" si="30"/>
        <v>2024</v>
      </c>
      <c r="AH176" s="8">
        <f t="shared" si="31"/>
        <v>2</v>
      </c>
      <c r="AI176" s="5" t="str">
        <f t="shared" si="32"/>
        <v>Feb</v>
      </c>
      <c r="AJ176" s="5" t="str">
        <f t="shared" si="33"/>
        <v>Saturday</v>
      </c>
    </row>
    <row r="177" spans="1:36" x14ac:dyDescent="0.3">
      <c r="A177" s="5" t="s">
        <v>211</v>
      </c>
      <c r="B177" s="6">
        <v>45518</v>
      </c>
      <c r="C177" s="7">
        <v>0.75</v>
      </c>
      <c r="D177" s="5" t="s">
        <v>1855</v>
      </c>
      <c r="E177" s="5" t="s">
        <v>2070</v>
      </c>
      <c r="F177" s="5" t="s">
        <v>1761</v>
      </c>
      <c r="G177" s="5" t="s">
        <v>2255</v>
      </c>
      <c r="H177" s="5" t="s">
        <v>2260</v>
      </c>
      <c r="I177" s="5" t="s">
        <v>2260</v>
      </c>
      <c r="J177" s="5" t="s">
        <v>1761</v>
      </c>
      <c r="K177" s="8">
        <v>3</v>
      </c>
      <c r="L177" s="9">
        <v>175</v>
      </c>
      <c r="M177" s="10">
        <v>0.15</v>
      </c>
      <c r="N177" s="9">
        <f t="shared" si="34"/>
        <v>525</v>
      </c>
      <c r="O177" s="9">
        <f t="shared" si="24"/>
        <v>446.25</v>
      </c>
      <c r="P177" s="5" t="s">
        <v>2269</v>
      </c>
      <c r="Q177" s="5" t="s">
        <v>2272</v>
      </c>
      <c r="R177" s="5" t="s">
        <v>2278</v>
      </c>
      <c r="S177" s="5" t="s">
        <v>2285</v>
      </c>
      <c r="T177" s="5" t="s">
        <v>2288</v>
      </c>
      <c r="U177" s="8">
        <v>2</v>
      </c>
      <c r="V177" s="8">
        <v>372</v>
      </c>
      <c r="W177" s="8">
        <v>31</v>
      </c>
      <c r="X177" s="9">
        <v>90.12</v>
      </c>
      <c r="Y177" s="9">
        <f t="shared" si="25"/>
        <v>175.89</v>
      </c>
      <c r="Z177" s="5" t="s">
        <v>2294</v>
      </c>
      <c r="AA177" s="5" t="s">
        <v>1761</v>
      </c>
      <c r="AB177" s="9">
        <f t="shared" si="26"/>
        <v>525</v>
      </c>
      <c r="AC177" s="9">
        <f t="shared" si="27"/>
        <v>78.75</v>
      </c>
      <c r="AD177" s="9">
        <f t="shared" si="28"/>
        <v>446.25</v>
      </c>
      <c r="AE177" s="9">
        <f t="shared" si="29"/>
        <v>270.36</v>
      </c>
      <c r="AF177" s="9">
        <f t="shared" si="35"/>
        <v>175.89</v>
      </c>
      <c r="AG177" s="8">
        <f t="shared" si="30"/>
        <v>2024</v>
      </c>
      <c r="AH177" s="8">
        <f t="shared" si="31"/>
        <v>8</v>
      </c>
      <c r="AI177" s="5" t="str">
        <f t="shared" si="32"/>
        <v>Aug</v>
      </c>
      <c r="AJ177" s="5" t="str">
        <f t="shared" si="33"/>
        <v>Wednesday</v>
      </c>
    </row>
    <row r="178" spans="1:36" x14ac:dyDescent="0.3">
      <c r="A178" s="5" t="s">
        <v>212</v>
      </c>
      <c r="B178" s="6">
        <v>45394</v>
      </c>
      <c r="C178" s="7">
        <v>0.74305555555555558</v>
      </c>
      <c r="D178" s="5" t="s">
        <v>1792</v>
      </c>
      <c r="E178" s="5" t="s">
        <v>1986</v>
      </c>
      <c r="F178" s="5" t="s">
        <v>2239</v>
      </c>
      <c r="G178" s="5" t="s">
        <v>2248</v>
      </c>
      <c r="H178" s="5" t="s">
        <v>2257</v>
      </c>
      <c r="I178" s="5" t="s">
        <v>2262</v>
      </c>
      <c r="J178" s="5" t="s">
        <v>1761</v>
      </c>
      <c r="K178" s="8">
        <v>4</v>
      </c>
      <c r="L178" s="9">
        <v>150</v>
      </c>
      <c r="M178" s="10">
        <v>0</v>
      </c>
      <c r="N178" s="9">
        <f t="shared" si="34"/>
        <v>600</v>
      </c>
      <c r="O178" s="9">
        <f t="shared" si="24"/>
        <v>600</v>
      </c>
      <c r="P178" s="5" t="s">
        <v>2267</v>
      </c>
      <c r="Q178" s="5" t="s">
        <v>1761</v>
      </c>
      <c r="R178" s="5" t="s">
        <v>2277</v>
      </c>
      <c r="S178" s="5" t="s">
        <v>2281</v>
      </c>
      <c r="T178" s="5" t="s">
        <v>2288</v>
      </c>
      <c r="U178" s="8">
        <v>5</v>
      </c>
      <c r="V178" s="8">
        <v>364</v>
      </c>
      <c r="W178" s="19">
        <v>36</v>
      </c>
      <c r="X178" s="9">
        <v>84.21</v>
      </c>
      <c r="Y178" s="9">
        <f t="shared" si="25"/>
        <v>263.16000000000003</v>
      </c>
      <c r="Z178" s="5" t="s">
        <v>2291</v>
      </c>
      <c r="AA178" s="5" t="s">
        <v>1761</v>
      </c>
      <c r="AB178" s="9">
        <f t="shared" si="26"/>
        <v>600</v>
      </c>
      <c r="AC178" s="9">
        <f t="shared" si="27"/>
        <v>0</v>
      </c>
      <c r="AD178" s="9">
        <f t="shared" si="28"/>
        <v>600</v>
      </c>
      <c r="AE178" s="9">
        <f t="shared" si="29"/>
        <v>336.84</v>
      </c>
      <c r="AF178" s="9">
        <f t="shared" si="35"/>
        <v>263.16000000000003</v>
      </c>
      <c r="AG178" s="8">
        <f t="shared" si="30"/>
        <v>2024</v>
      </c>
      <c r="AH178" s="8">
        <f t="shared" si="31"/>
        <v>4</v>
      </c>
      <c r="AI178" s="5" t="str">
        <f t="shared" si="32"/>
        <v>Apr</v>
      </c>
      <c r="AJ178" s="5" t="str">
        <f t="shared" si="33"/>
        <v>Friday</v>
      </c>
    </row>
    <row r="179" spans="1:36" x14ac:dyDescent="0.3">
      <c r="A179" s="5" t="s">
        <v>213</v>
      </c>
      <c r="B179" s="6">
        <v>45601</v>
      </c>
      <c r="C179" s="7">
        <v>0.6875</v>
      </c>
      <c r="D179" s="5" t="s">
        <v>1856</v>
      </c>
      <c r="E179" s="5" t="s">
        <v>2026</v>
      </c>
      <c r="F179" s="5" t="s">
        <v>2239</v>
      </c>
      <c r="G179" s="5" t="s">
        <v>2243</v>
      </c>
      <c r="H179" s="5" t="s">
        <v>2258</v>
      </c>
      <c r="I179" s="5" t="s">
        <v>2260</v>
      </c>
      <c r="J179" s="5" t="s">
        <v>2266</v>
      </c>
      <c r="K179" s="8">
        <v>4</v>
      </c>
      <c r="L179" s="9">
        <v>70</v>
      </c>
      <c r="M179" s="10">
        <v>0</v>
      </c>
      <c r="N179" s="9">
        <f t="shared" si="34"/>
        <v>280</v>
      </c>
      <c r="O179" s="9">
        <f t="shared" si="24"/>
        <v>280</v>
      </c>
      <c r="P179" s="5" t="s">
        <v>2267</v>
      </c>
      <c r="Q179" s="5" t="s">
        <v>2270</v>
      </c>
      <c r="R179" s="5" t="s">
        <v>2277</v>
      </c>
      <c r="S179" s="5" t="s">
        <v>2283</v>
      </c>
      <c r="T179" s="5" t="s">
        <v>2288</v>
      </c>
      <c r="U179" s="8">
        <v>5</v>
      </c>
      <c r="V179" s="8">
        <v>368</v>
      </c>
      <c r="W179" s="8">
        <v>51</v>
      </c>
      <c r="X179" s="9">
        <v>27.78</v>
      </c>
      <c r="Y179" s="9">
        <f t="shared" si="25"/>
        <v>168.88</v>
      </c>
      <c r="Z179" s="5" t="s">
        <v>1761</v>
      </c>
      <c r="AA179" s="5" t="s">
        <v>2296</v>
      </c>
      <c r="AB179" s="9">
        <f t="shared" si="26"/>
        <v>280</v>
      </c>
      <c r="AC179" s="9">
        <f t="shared" si="27"/>
        <v>0</v>
      </c>
      <c r="AD179" s="9">
        <f t="shared" si="28"/>
        <v>280</v>
      </c>
      <c r="AE179" s="9">
        <f t="shared" si="29"/>
        <v>111.12</v>
      </c>
      <c r="AF179" s="9">
        <f t="shared" si="35"/>
        <v>168.88</v>
      </c>
      <c r="AG179" s="8">
        <f t="shared" si="30"/>
        <v>2024</v>
      </c>
      <c r="AH179" s="8">
        <f t="shared" si="31"/>
        <v>11</v>
      </c>
      <c r="AI179" s="5" t="str">
        <f t="shared" si="32"/>
        <v>Nov</v>
      </c>
      <c r="AJ179" s="5" t="str">
        <f t="shared" si="33"/>
        <v>Tuesday</v>
      </c>
    </row>
    <row r="180" spans="1:36" x14ac:dyDescent="0.3">
      <c r="A180" s="5" t="s">
        <v>214</v>
      </c>
      <c r="B180" s="6">
        <v>45637</v>
      </c>
      <c r="C180" s="7">
        <v>0.34375</v>
      </c>
      <c r="D180" s="5" t="s">
        <v>1857</v>
      </c>
      <c r="E180" s="5" t="s">
        <v>2071</v>
      </c>
      <c r="F180" s="5" t="s">
        <v>2240</v>
      </c>
      <c r="G180" s="5" t="s">
        <v>2252</v>
      </c>
      <c r="H180" s="5" t="s">
        <v>2257</v>
      </c>
      <c r="I180" s="5" t="s">
        <v>2262</v>
      </c>
      <c r="J180" s="5" t="s">
        <v>2265</v>
      </c>
      <c r="K180" s="19">
        <v>1</v>
      </c>
      <c r="L180" s="9">
        <v>90</v>
      </c>
      <c r="M180" s="10">
        <v>0</v>
      </c>
      <c r="N180" s="9">
        <f t="shared" si="34"/>
        <v>90</v>
      </c>
      <c r="O180" s="9">
        <f t="shared" si="24"/>
        <v>90</v>
      </c>
      <c r="P180" s="5" t="s">
        <v>2269</v>
      </c>
      <c r="Q180" s="5" t="s">
        <v>2270</v>
      </c>
      <c r="R180" s="5" t="s">
        <v>2274</v>
      </c>
      <c r="S180" s="5" t="s">
        <v>2286</v>
      </c>
      <c r="T180" s="5" t="s">
        <v>2289</v>
      </c>
      <c r="U180" s="8">
        <v>5</v>
      </c>
      <c r="V180" s="8">
        <v>173</v>
      </c>
      <c r="W180" s="8">
        <v>60</v>
      </c>
      <c r="X180" s="9">
        <v>51.88</v>
      </c>
      <c r="Y180" s="9">
        <f t="shared" si="25"/>
        <v>38.119999999999997</v>
      </c>
      <c r="Z180" s="5" t="s">
        <v>2293</v>
      </c>
      <c r="AA180" s="5" t="s">
        <v>2299</v>
      </c>
      <c r="AB180" s="9">
        <f t="shared" si="26"/>
        <v>90</v>
      </c>
      <c r="AC180" s="9">
        <f t="shared" si="27"/>
        <v>0</v>
      </c>
      <c r="AD180" s="9">
        <f t="shared" si="28"/>
        <v>90</v>
      </c>
      <c r="AE180" s="9">
        <f t="shared" si="29"/>
        <v>51.88</v>
      </c>
      <c r="AF180" s="9">
        <f t="shared" si="35"/>
        <v>38.119999999999997</v>
      </c>
      <c r="AG180" s="8">
        <f t="shared" si="30"/>
        <v>2024</v>
      </c>
      <c r="AH180" s="8">
        <f t="shared" si="31"/>
        <v>12</v>
      </c>
      <c r="AI180" s="5" t="str">
        <f t="shared" si="32"/>
        <v>Dec</v>
      </c>
      <c r="AJ180" s="5" t="str">
        <f t="shared" si="33"/>
        <v>Wednesday</v>
      </c>
    </row>
    <row r="181" spans="1:36" x14ac:dyDescent="0.3">
      <c r="A181" s="5" t="s">
        <v>215</v>
      </c>
      <c r="B181" s="6">
        <v>45430</v>
      </c>
      <c r="C181" s="7">
        <v>0.61805555555555558</v>
      </c>
      <c r="D181" s="5" t="s">
        <v>1858</v>
      </c>
      <c r="E181" s="5" t="s">
        <v>1985</v>
      </c>
      <c r="F181" s="5" t="s">
        <v>2240</v>
      </c>
      <c r="G181" s="5" t="s">
        <v>2256</v>
      </c>
      <c r="H181" s="5" t="s">
        <v>2261</v>
      </c>
      <c r="I181" s="5" t="s">
        <v>2260</v>
      </c>
      <c r="J181" s="5" t="s">
        <v>2266</v>
      </c>
      <c r="K181" s="8">
        <v>1</v>
      </c>
      <c r="L181" s="9">
        <v>185</v>
      </c>
      <c r="M181" s="10">
        <v>0.15</v>
      </c>
      <c r="N181" s="9">
        <f t="shared" si="34"/>
        <v>185</v>
      </c>
      <c r="O181" s="9">
        <f t="shared" si="24"/>
        <v>157.25</v>
      </c>
      <c r="P181" s="5" t="s">
        <v>2269</v>
      </c>
      <c r="Q181" s="5" t="s">
        <v>2271</v>
      </c>
      <c r="R181" s="5" t="s">
        <v>2274</v>
      </c>
      <c r="S181" s="5" t="s">
        <v>2285</v>
      </c>
      <c r="T181" s="5" t="s">
        <v>2288</v>
      </c>
      <c r="U181" s="8">
        <v>3</v>
      </c>
      <c r="V181" s="8">
        <v>395</v>
      </c>
      <c r="W181" s="8">
        <v>12</v>
      </c>
      <c r="X181" s="9">
        <v>71.8</v>
      </c>
      <c r="Y181" s="9">
        <f t="shared" si="25"/>
        <v>85.45</v>
      </c>
      <c r="Z181" s="5" t="s">
        <v>2293</v>
      </c>
      <c r="AA181" s="5" t="s">
        <v>2298</v>
      </c>
      <c r="AB181" s="9">
        <f t="shared" si="26"/>
        <v>185</v>
      </c>
      <c r="AC181" s="9">
        <f t="shared" si="27"/>
        <v>27.75</v>
      </c>
      <c r="AD181" s="9">
        <f t="shared" si="28"/>
        <v>157.25</v>
      </c>
      <c r="AE181" s="9">
        <f t="shared" si="29"/>
        <v>71.8</v>
      </c>
      <c r="AF181" s="9">
        <f t="shared" si="35"/>
        <v>85.45</v>
      </c>
      <c r="AG181" s="8">
        <f t="shared" si="30"/>
        <v>2024</v>
      </c>
      <c r="AH181" s="8">
        <f t="shared" si="31"/>
        <v>5</v>
      </c>
      <c r="AI181" s="5" t="str">
        <f t="shared" si="32"/>
        <v>May</v>
      </c>
      <c r="AJ181" s="5" t="str">
        <f t="shared" si="33"/>
        <v>Saturday</v>
      </c>
    </row>
    <row r="182" spans="1:36" x14ac:dyDescent="0.3">
      <c r="A182" s="5" t="s">
        <v>216</v>
      </c>
      <c r="B182" s="6">
        <v>45440</v>
      </c>
      <c r="C182" s="7">
        <v>0.67708333333333337</v>
      </c>
      <c r="D182" s="5" t="s">
        <v>1859</v>
      </c>
      <c r="E182" s="5" t="s">
        <v>2072</v>
      </c>
      <c r="F182" s="5" t="s">
        <v>1761</v>
      </c>
      <c r="G182" s="5" t="s">
        <v>2255</v>
      </c>
      <c r="H182" s="5" t="s">
        <v>2260</v>
      </c>
      <c r="I182" s="5" t="s">
        <v>2260</v>
      </c>
      <c r="J182" s="5" t="s">
        <v>1761</v>
      </c>
      <c r="K182" s="8">
        <v>2</v>
      </c>
      <c r="L182" s="9">
        <v>180</v>
      </c>
      <c r="M182" s="10">
        <v>0.15</v>
      </c>
      <c r="N182" s="9">
        <f t="shared" si="34"/>
        <v>360</v>
      </c>
      <c r="O182" s="9">
        <f t="shared" si="24"/>
        <v>306</v>
      </c>
      <c r="P182" s="5" t="s">
        <v>2267</v>
      </c>
      <c r="Q182" s="5" t="s">
        <v>2272</v>
      </c>
      <c r="R182" s="5" t="s">
        <v>2277</v>
      </c>
      <c r="S182" s="5" t="s">
        <v>2284</v>
      </c>
      <c r="T182" s="5" t="s">
        <v>2288</v>
      </c>
      <c r="U182" s="8">
        <v>4</v>
      </c>
      <c r="V182" s="8">
        <v>310</v>
      </c>
      <c r="W182" s="8">
        <v>27</v>
      </c>
      <c r="X182" s="9">
        <v>78.400000000000006</v>
      </c>
      <c r="Y182" s="9">
        <f t="shared" si="25"/>
        <v>149.19999999999999</v>
      </c>
      <c r="Z182" s="5" t="s">
        <v>1761</v>
      </c>
      <c r="AA182" s="5" t="s">
        <v>2298</v>
      </c>
      <c r="AB182" s="9">
        <f t="shared" si="26"/>
        <v>360</v>
      </c>
      <c r="AC182" s="9">
        <f t="shared" si="27"/>
        <v>54</v>
      </c>
      <c r="AD182" s="9">
        <f t="shared" si="28"/>
        <v>306</v>
      </c>
      <c r="AE182" s="9">
        <f t="shared" si="29"/>
        <v>156.80000000000001</v>
      </c>
      <c r="AF182" s="9">
        <f t="shared" si="35"/>
        <v>149.19999999999999</v>
      </c>
      <c r="AG182" s="8">
        <f t="shared" si="30"/>
        <v>2024</v>
      </c>
      <c r="AH182" s="8">
        <f t="shared" si="31"/>
        <v>5</v>
      </c>
      <c r="AI182" s="5" t="str">
        <f t="shared" si="32"/>
        <v>May</v>
      </c>
      <c r="AJ182" s="5" t="str">
        <f t="shared" si="33"/>
        <v>Tuesday</v>
      </c>
    </row>
    <row r="183" spans="1:36" x14ac:dyDescent="0.3">
      <c r="A183" s="5" t="s">
        <v>217</v>
      </c>
      <c r="B183" s="6">
        <v>45293</v>
      </c>
      <c r="C183" s="7">
        <v>0.53125</v>
      </c>
      <c r="D183" s="5" t="s">
        <v>1772</v>
      </c>
      <c r="E183" s="5" t="s">
        <v>2073</v>
      </c>
      <c r="F183" s="5" t="s">
        <v>2240</v>
      </c>
      <c r="G183" s="5" t="s">
        <v>2241</v>
      </c>
      <c r="H183" s="5" t="s">
        <v>2257</v>
      </c>
      <c r="I183" s="5" t="s">
        <v>2262</v>
      </c>
      <c r="J183" s="5" t="s">
        <v>1761</v>
      </c>
      <c r="K183" s="8">
        <v>1</v>
      </c>
      <c r="L183" s="9">
        <v>130</v>
      </c>
      <c r="M183" s="10">
        <v>0</v>
      </c>
      <c r="N183" s="9">
        <f t="shared" si="34"/>
        <v>130</v>
      </c>
      <c r="O183" s="9">
        <f t="shared" si="24"/>
        <v>130</v>
      </c>
      <c r="P183" s="5" t="s">
        <v>2269</v>
      </c>
      <c r="Q183" s="5" t="s">
        <v>2271</v>
      </c>
      <c r="R183" s="5" t="s">
        <v>2277</v>
      </c>
      <c r="S183" s="5" t="s">
        <v>2284</v>
      </c>
      <c r="T183" s="5" t="s">
        <v>2288</v>
      </c>
      <c r="U183" s="8">
        <v>4</v>
      </c>
      <c r="V183" s="8">
        <v>15</v>
      </c>
      <c r="W183" s="8">
        <v>40</v>
      </c>
      <c r="X183" s="9">
        <v>73.08</v>
      </c>
      <c r="Y183" s="9">
        <f t="shared" si="25"/>
        <v>56.92</v>
      </c>
      <c r="Z183" s="5" t="s">
        <v>1761</v>
      </c>
      <c r="AA183" s="5" t="s">
        <v>2297</v>
      </c>
      <c r="AB183" s="9">
        <f t="shared" si="26"/>
        <v>130</v>
      </c>
      <c r="AC183" s="9">
        <f t="shared" si="27"/>
        <v>0</v>
      </c>
      <c r="AD183" s="9">
        <f t="shared" si="28"/>
        <v>130</v>
      </c>
      <c r="AE183" s="9">
        <f t="shared" si="29"/>
        <v>73.08</v>
      </c>
      <c r="AF183" s="9">
        <f t="shared" si="35"/>
        <v>56.92</v>
      </c>
      <c r="AG183" s="8">
        <f t="shared" si="30"/>
        <v>2024</v>
      </c>
      <c r="AH183" s="8">
        <f t="shared" si="31"/>
        <v>1</v>
      </c>
      <c r="AI183" s="5" t="str">
        <f t="shared" si="32"/>
        <v>Jan</v>
      </c>
      <c r="AJ183" s="5" t="str">
        <f t="shared" si="33"/>
        <v>Tuesday</v>
      </c>
    </row>
    <row r="184" spans="1:36" x14ac:dyDescent="0.3">
      <c r="A184" s="5" t="s">
        <v>218</v>
      </c>
      <c r="B184" s="6">
        <v>45549</v>
      </c>
      <c r="C184" s="7">
        <v>0.51388888888888884</v>
      </c>
      <c r="D184" s="5" t="s">
        <v>1774</v>
      </c>
      <c r="E184" s="5" t="s">
        <v>1761</v>
      </c>
      <c r="F184" s="5" t="s">
        <v>1761</v>
      </c>
      <c r="G184" s="5" t="s">
        <v>2243</v>
      </c>
      <c r="H184" s="5" t="s">
        <v>2258</v>
      </c>
      <c r="I184" s="5" t="s">
        <v>2260</v>
      </c>
      <c r="J184" s="5" t="s">
        <v>2264</v>
      </c>
      <c r="K184" s="8">
        <v>3</v>
      </c>
      <c r="L184" s="9">
        <v>70</v>
      </c>
      <c r="M184" s="10">
        <v>0.05</v>
      </c>
      <c r="N184" s="9">
        <f t="shared" si="34"/>
        <v>210</v>
      </c>
      <c r="O184" s="9">
        <f t="shared" si="24"/>
        <v>199.5</v>
      </c>
      <c r="P184" s="5" t="s">
        <v>2269</v>
      </c>
      <c r="Q184" s="5" t="s">
        <v>2271</v>
      </c>
      <c r="R184" s="5" t="s">
        <v>2277</v>
      </c>
      <c r="S184" s="5" t="s">
        <v>2286</v>
      </c>
      <c r="T184" s="5" t="s">
        <v>2288</v>
      </c>
      <c r="U184" s="8">
        <v>3</v>
      </c>
      <c r="V184" s="8">
        <v>7</v>
      </c>
      <c r="W184" s="8">
        <v>12</v>
      </c>
      <c r="X184" s="9">
        <v>33.659999999999997</v>
      </c>
      <c r="Y184" s="9">
        <f t="shared" si="25"/>
        <v>98.52000000000001</v>
      </c>
      <c r="Z184" s="5" t="s">
        <v>2291</v>
      </c>
      <c r="AA184" s="5" t="s">
        <v>2299</v>
      </c>
      <c r="AB184" s="9">
        <f t="shared" si="26"/>
        <v>210</v>
      </c>
      <c r="AC184" s="9">
        <f t="shared" si="27"/>
        <v>10.5</v>
      </c>
      <c r="AD184" s="9">
        <f t="shared" si="28"/>
        <v>199.5</v>
      </c>
      <c r="AE184" s="9">
        <f t="shared" si="29"/>
        <v>100.97999999999999</v>
      </c>
      <c r="AF184" s="9">
        <f t="shared" si="35"/>
        <v>98.52000000000001</v>
      </c>
      <c r="AG184" s="8">
        <f t="shared" si="30"/>
        <v>2024</v>
      </c>
      <c r="AH184" s="8">
        <f t="shared" si="31"/>
        <v>9</v>
      </c>
      <c r="AI184" s="5" t="str">
        <f t="shared" si="32"/>
        <v>Sep</v>
      </c>
      <c r="AJ184" s="5" t="str">
        <f t="shared" si="33"/>
        <v>Saturday</v>
      </c>
    </row>
    <row r="185" spans="1:36" x14ac:dyDescent="0.3">
      <c r="A185" s="5" t="s">
        <v>219</v>
      </c>
      <c r="B185" s="6">
        <v>45531</v>
      </c>
      <c r="C185" s="7">
        <v>0.79861111111111116</v>
      </c>
      <c r="D185" s="5" t="s">
        <v>1818</v>
      </c>
      <c r="E185" s="5" t="s">
        <v>2074</v>
      </c>
      <c r="F185" s="5" t="s">
        <v>2240</v>
      </c>
      <c r="G185" s="5" t="s">
        <v>2252</v>
      </c>
      <c r="H185" s="5" t="s">
        <v>2257</v>
      </c>
      <c r="I185" s="5" t="s">
        <v>2262</v>
      </c>
      <c r="J185" s="5" t="s">
        <v>2264</v>
      </c>
      <c r="K185" s="8">
        <v>2</v>
      </c>
      <c r="L185" s="9">
        <v>90</v>
      </c>
      <c r="M185" s="10">
        <v>0.1</v>
      </c>
      <c r="N185" s="9">
        <f t="shared" si="34"/>
        <v>180</v>
      </c>
      <c r="O185" s="9">
        <f t="shared" si="24"/>
        <v>162</v>
      </c>
      <c r="P185" s="5" t="s">
        <v>2268</v>
      </c>
      <c r="Q185" s="5" t="s">
        <v>2270</v>
      </c>
      <c r="R185" s="5" t="s">
        <v>2278</v>
      </c>
      <c r="S185" s="5" t="s">
        <v>2284</v>
      </c>
      <c r="T185" s="5" t="s">
        <v>2289</v>
      </c>
      <c r="U185" s="8">
        <v>3</v>
      </c>
      <c r="V185" s="8">
        <v>14</v>
      </c>
      <c r="W185" s="19">
        <v>34</v>
      </c>
      <c r="X185" s="9">
        <v>33.47</v>
      </c>
      <c r="Y185" s="9">
        <f t="shared" si="25"/>
        <v>95.06</v>
      </c>
      <c r="Z185" s="5" t="s">
        <v>2292</v>
      </c>
      <c r="AA185" s="5" t="s">
        <v>1761</v>
      </c>
      <c r="AB185" s="9">
        <f t="shared" si="26"/>
        <v>180</v>
      </c>
      <c r="AC185" s="9">
        <f t="shared" si="27"/>
        <v>18</v>
      </c>
      <c r="AD185" s="9">
        <f t="shared" si="28"/>
        <v>162</v>
      </c>
      <c r="AE185" s="9">
        <f t="shared" si="29"/>
        <v>66.94</v>
      </c>
      <c r="AF185" s="9">
        <f t="shared" si="35"/>
        <v>95.06</v>
      </c>
      <c r="AG185" s="8">
        <f t="shared" si="30"/>
        <v>2024</v>
      </c>
      <c r="AH185" s="8">
        <f t="shared" si="31"/>
        <v>8</v>
      </c>
      <c r="AI185" s="5" t="str">
        <f t="shared" si="32"/>
        <v>Aug</v>
      </c>
      <c r="AJ185" s="5" t="str">
        <f t="shared" si="33"/>
        <v>Tuesday</v>
      </c>
    </row>
    <row r="186" spans="1:36" x14ac:dyDescent="0.3">
      <c r="A186" s="5" t="s">
        <v>220</v>
      </c>
      <c r="B186" s="6">
        <v>45540</v>
      </c>
      <c r="C186" s="7">
        <v>0.3263888888888889</v>
      </c>
      <c r="D186" s="5" t="s">
        <v>1860</v>
      </c>
      <c r="E186" s="5" t="s">
        <v>2012</v>
      </c>
      <c r="F186" s="5" t="s">
        <v>2240</v>
      </c>
      <c r="G186" s="5" t="s">
        <v>2249</v>
      </c>
      <c r="H186" s="5" t="s">
        <v>2257</v>
      </c>
      <c r="I186" s="5" t="s">
        <v>2263</v>
      </c>
      <c r="J186" s="5" t="s">
        <v>2266</v>
      </c>
      <c r="K186" s="8">
        <v>1</v>
      </c>
      <c r="L186" s="9">
        <v>155</v>
      </c>
      <c r="M186" s="10">
        <v>0.05</v>
      </c>
      <c r="N186" s="9">
        <f t="shared" si="34"/>
        <v>155</v>
      </c>
      <c r="O186" s="9">
        <f t="shared" si="24"/>
        <v>147.25</v>
      </c>
      <c r="P186" s="5" t="s">
        <v>2269</v>
      </c>
      <c r="Q186" s="5" t="s">
        <v>2271</v>
      </c>
      <c r="R186" s="5" t="s">
        <v>2276</v>
      </c>
      <c r="S186" s="5" t="s">
        <v>2280</v>
      </c>
      <c r="T186" s="5" t="s">
        <v>2288</v>
      </c>
      <c r="U186" s="8">
        <v>3</v>
      </c>
      <c r="V186" s="8">
        <v>120</v>
      </c>
      <c r="W186" s="19">
        <v>37</v>
      </c>
      <c r="X186" s="9">
        <v>93.42</v>
      </c>
      <c r="Y186" s="9">
        <f t="shared" si="25"/>
        <v>53.83</v>
      </c>
      <c r="Z186" s="5" t="s">
        <v>2292</v>
      </c>
      <c r="AA186" s="5" t="s">
        <v>1761</v>
      </c>
      <c r="AB186" s="9">
        <f t="shared" si="26"/>
        <v>155</v>
      </c>
      <c r="AC186" s="9">
        <f t="shared" si="27"/>
        <v>7.75</v>
      </c>
      <c r="AD186" s="9">
        <f t="shared" si="28"/>
        <v>147.25</v>
      </c>
      <c r="AE186" s="9">
        <f t="shared" si="29"/>
        <v>93.42</v>
      </c>
      <c r="AF186" s="9">
        <f t="shared" si="35"/>
        <v>53.83</v>
      </c>
      <c r="AG186" s="8">
        <f t="shared" si="30"/>
        <v>2024</v>
      </c>
      <c r="AH186" s="8">
        <f t="shared" si="31"/>
        <v>9</v>
      </c>
      <c r="AI186" s="5" t="str">
        <f t="shared" si="32"/>
        <v>Sep</v>
      </c>
      <c r="AJ186" s="5" t="str">
        <f t="shared" si="33"/>
        <v>Thursday</v>
      </c>
    </row>
    <row r="187" spans="1:36" x14ac:dyDescent="0.3">
      <c r="A187" s="5" t="s">
        <v>221</v>
      </c>
      <c r="B187" s="6">
        <v>45520</v>
      </c>
      <c r="C187" s="7">
        <v>0.65625</v>
      </c>
      <c r="D187" s="5" t="s">
        <v>1861</v>
      </c>
      <c r="E187" s="5" t="s">
        <v>2075</v>
      </c>
      <c r="F187" s="5" t="s">
        <v>1761</v>
      </c>
      <c r="G187" s="5" t="s">
        <v>2244</v>
      </c>
      <c r="H187" s="5" t="s">
        <v>2257</v>
      </c>
      <c r="I187" s="5" t="s">
        <v>2262</v>
      </c>
      <c r="J187" s="5" t="s">
        <v>2265</v>
      </c>
      <c r="K187" s="19">
        <v>1</v>
      </c>
      <c r="L187" s="9">
        <v>130</v>
      </c>
      <c r="M187" s="10">
        <v>0</v>
      </c>
      <c r="N187" s="9">
        <f t="shared" si="34"/>
        <v>130</v>
      </c>
      <c r="O187" s="9">
        <f t="shared" si="24"/>
        <v>130</v>
      </c>
      <c r="P187" s="5" t="s">
        <v>2267</v>
      </c>
      <c r="Q187" s="5" t="s">
        <v>2272</v>
      </c>
      <c r="R187" s="5" t="s">
        <v>2275</v>
      </c>
      <c r="S187" s="5" t="s">
        <v>2282</v>
      </c>
      <c r="T187" s="5" t="s">
        <v>2289</v>
      </c>
      <c r="U187" s="8">
        <v>3</v>
      </c>
      <c r="V187" s="8">
        <v>210</v>
      </c>
      <c r="W187" s="8">
        <v>48</v>
      </c>
      <c r="X187" s="9">
        <v>60.64</v>
      </c>
      <c r="Y187" s="9">
        <f t="shared" si="25"/>
        <v>69.36</v>
      </c>
      <c r="Z187" s="5" t="s">
        <v>2291</v>
      </c>
      <c r="AA187" s="5" t="s">
        <v>2299</v>
      </c>
      <c r="AB187" s="9">
        <f t="shared" si="26"/>
        <v>130</v>
      </c>
      <c r="AC187" s="9">
        <f t="shared" si="27"/>
        <v>0</v>
      </c>
      <c r="AD187" s="9">
        <f t="shared" si="28"/>
        <v>130</v>
      </c>
      <c r="AE187" s="9">
        <f t="shared" si="29"/>
        <v>60.64</v>
      </c>
      <c r="AF187" s="9">
        <f t="shared" si="35"/>
        <v>69.36</v>
      </c>
      <c r="AG187" s="8">
        <f t="shared" si="30"/>
        <v>2024</v>
      </c>
      <c r="AH187" s="8">
        <f t="shared" si="31"/>
        <v>8</v>
      </c>
      <c r="AI187" s="5" t="str">
        <f t="shared" si="32"/>
        <v>Aug</v>
      </c>
      <c r="AJ187" s="5" t="str">
        <f t="shared" si="33"/>
        <v>Friday</v>
      </c>
    </row>
    <row r="188" spans="1:36" x14ac:dyDescent="0.3">
      <c r="A188" s="5" t="s">
        <v>222</v>
      </c>
      <c r="B188" s="6">
        <v>45323</v>
      </c>
      <c r="C188" s="7">
        <v>0.71527777777777779</v>
      </c>
      <c r="D188" s="5" t="s">
        <v>1862</v>
      </c>
      <c r="E188" s="5" t="s">
        <v>2076</v>
      </c>
      <c r="F188" s="5" t="s">
        <v>2239</v>
      </c>
      <c r="G188" s="5" t="s">
        <v>2249</v>
      </c>
      <c r="H188" s="5" t="s">
        <v>2257</v>
      </c>
      <c r="I188" s="5" t="s">
        <v>2263</v>
      </c>
      <c r="J188" s="5" t="s">
        <v>2266</v>
      </c>
      <c r="K188" s="19">
        <v>3</v>
      </c>
      <c r="L188" s="9">
        <v>160</v>
      </c>
      <c r="M188" s="10">
        <v>0.15</v>
      </c>
      <c r="N188" s="9">
        <f t="shared" si="34"/>
        <v>480</v>
      </c>
      <c r="O188" s="9">
        <f t="shared" si="24"/>
        <v>408</v>
      </c>
      <c r="P188" s="5" t="s">
        <v>2269</v>
      </c>
      <c r="Q188" s="5" t="s">
        <v>2271</v>
      </c>
      <c r="R188" s="5" t="s">
        <v>2274</v>
      </c>
      <c r="S188" s="5" t="s">
        <v>2284</v>
      </c>
      <c r="T188" s="5" t="s">
        <v>2288</v>
      </c>
      <c r="U188" s="8">
        <v>5</v>
      </c>
      <c r="V188" s="8">
        <v>109</v>
      </c>
      <c r="W188" s="8">
        <v>55</v>
      </c>
      <c r="X188" s="9">
        <v>64.59</v>
      </c>
      <c r="Y188" s="9">
        <f t="shared" si="25"/>
        <v>214.23</v>
      </c>
      <c r="Z188" s="5" t="s">
        <v>2293</v>
      </c>
      <c r="AA188" s="5" t="s">
        <v>2297</v>
      </c>
      <c r="AB188" s="9">
        <f t="shared" si="26"/>
        <v>480</v>
      </c>
      <c r="AC188" s="9">
        <f t="shared" si="27"/>
        <v>72</v>
      </c>
      <c r="AD188" s="9">
        <f t="shared" si="28"/>
        <v>408</v>
      </c>
      <c r="AE188" s="9">
        <f t="shared" si="29"/>
        <v>193.77</v>
      </c>
      <c r="AF188" s="9">
        <f t="shared" si="35"/>
        <v>214.23</v>
      </c>
      <c r="AG188" s="8">
        <f t="shared" si="30"/>
        <v>2024</v>
      </c>
      <c r="AH188" s="8">
        <f t="shared" si="31"/>
        <v>2</v>
      </c>
      <c r="AI188" s="5" t="str">
        <f t="shared" si="32"/>
        <v>Feb</v>
      </c>
      <c r="AJ188" s="5" t="str">
        <f t="shared" si="33"/>
        <v>Thursday</v>
      </c>
    </row>
    <row r="189" spans="1:36" x14ac:dyDescent="0.3">
      <c r="A189" s="5" t="s">
        <v>223</v>
      </c>
      <c r="B189" s="6">
        <v>45595</v>
      </c>
      <c r="C189" s="7">
        <v>0.67361111111111116</v>
      </c>
      <c r="D189" s="5" t="s">
        <v>1863</v>
      </c>
      <c r="E189" s="5" t="s">
        <v>2077</v>
      </c>
      <c r="F189" s="5" t="s">
        <v>1761</v>
      </c>
      <c r="G189" s="5" t="s">
        <v>2249</v>
      </c>
      <c r="H189" s="5" t="s">
        <v>2257</v>
      </c>
      <c r="I189" s="5" t="s">
        <v>2263</v>
      </c>
      <c r="J189" s="5" t="s">
        <v>1761</v>
      </c>
      <c r="K189" s="8">
        <v>1</v>
      </c>
      <c r="L189" s="9">
        <v>170</v>
      </c>
      <c r="M189" s="10">
        <v>0.05</v>
      </c>
      <c r="N189" s="9">
        <f t="shared" si="34"/>
        <v>170</v>
      </c>
      <c r="O189" s="9">
        <f t="shared" si="24"/>
        <v>161.5</v>
      </c>
      <c r="P189" s="5" t="s">
        <v>2267</v>
      </c>
      <c r="Q189" s="5" t="s">
        <v>2271</v>
      </c>
      <c r="R189" s="5" t="s">
        <v>2277</v>
      </c>
      <c r="S189" s="5" t="s">
        <v>2284</v>
      </c>
      <c r="T189" s="5" t="s">
        <v>2288</v>
      </c>
      <c r="U189" s="8">
        <v>1</v>
      </c>
      <c r="V189" s="8">
        <v>101</v>
      </c>
      <c r="W189" s="8">
        <v>12</v>
      </c>
      <c r="X189" s="9">
        <v>95.54</v>
      </c>
      <c r="Y189" s="9">
        <f t="shared" si="25"/>
        <v>65.959999999999994</v>
      </c>
      <c r="Z189" s="5" t="s">
        <v>2293</v>
      </c>
      <c r="AA189" s="5" t="s">
        <v>1761</v>
      </c>
      <c r="AB189" s="9">
        <f t="shared" si="26"/>
        <v>170</v>
      </c>
      <c r="AC189" s="9">
        <f t="shared" si="27"/>
        <v>8.5</v>
      </c>
      <c r="AD189" s="9">
        <f t="shared" si="28"/>
        <v>161.5</v>
      </c>
      <c r="AE189" s="9">
        <f t="shared" si="29"/>
        <v>95.54</v>
      </c>
      <c r="AF189" s="9">
        <f t="shared" si="35"/>
        <v>65.959999999999994</v>
      </c>
      <c r="AG189" s="8">
        <f t="shared" si="30"/>
        <v>2024</v>
      </c>
      <c r="AH189" s="8">
        <f t="shared" si="31"/>
        <v>10</v>
      </c>
      <c r="AI189" s="5" t="str">
        <f t="shared" si="32"/>
        <v>Oct</v>
      </c>
      <c r="AJ189" s="5" t="str">
        <f t="shared" si="33"/>
        <v>Wednesday</v>
      </c>
    </row>
    <row r="190" spans="1:36" x14ac:dyDescent="0.3">
      <c r="A190" s="5" t="s">
        <v>224</v>
      </c>
      <c r="B190" s="6">
        <v>45542</v>
      </c>
      <c r="C190" s="7">
        <v>0.80555555555555558</v>
      </c>
      <c r="D190" s="5" t="s">
        <v>1864</v>
      </c>
      <c r="E190" s="5" t="s">
        <v>2067</v>
      </c>
      <c r="F190" s="5" t="s">
        <v>2238</v>
      </c>
      <c r="G190" s="5" t="s">
        <v>2245</v>
      </c>
      <c r="H190" s="5" t="s">
        <v>2257</v>
      </c>
      <c r="I190" s="5" t="s">
        <v>2263</v>
      </c>
      <c r="J190" s="5" t="s">
        <v>2265</v>
      </c>
      <c r="K190" s="8">
        <v>1</v>
      </c>
      <c r="L190" s="9">
        <v>145</v>
      </c>
      <c r="M190" s="10">
        <v>0.05</v>
      </c>
      <c r="N190" s="9">
        <f t="shared" si="34"/>
        <v>145</v>
      </c>
      <c r="O190" s="9">
        <f t="shared" si="24"/>
        <v>137.75</v>
      </c>
      <c r="P190" s="5" t="s">
        <v>2269</v>
      </c>
      <c r="Q190" s="5" t="s">
        <v>1761</v>
      </c>
      <c r="R190" s="5" t="s">
        <v>2274</v>
      </c>
      <c r="S190" s="5" t="s">
        <v>2282</v>
      </c>
      <c r="T190" s="5" t="s">
        <v>2288</v>
      </c>
      <c r="U190" s="8">
        <v>3</v>
      </c>
      <c r="V190" s="8">
        <v>227</v>
      </c>
      <c r="W190" s="8">
        <v>24</v>
      </c>
      <c r="X190" s="9">
        <v>82.6</v>
      </c>
      <c r="Y190" s="9">
        <f t="shared" si="25"/>
        <v>55.150000000000006</v>
      </c>
      <c r="Z190" s="5" t="s">
        <v>2294</v>
      </c>
      <c r="AA190" s="5" t="s">
        <v>1761</v>
      </c>
      <c r="AB190" s="9">
        <f t="shared" si="26"/>
        <v>145</v>
      </c>
      <c r="AC190" s="9">
        <f t="shared" si="27"/>
        <v>7.25</v>
      </c>
      <c r="AD190" s="9">
        <f t="shared" si="28"/>
        <v>137.75</v>
      </c>
      <c r="AE190" s="9">
        <f t="shared" si="29"/>
        <v>82.6</v>
      </c>
      <c r="AF190" s="9">
        <f t="shared" si="35"/>
        <v>55.150000000000006</v>
      </c>
      <c r="AG190" s="8">
        <f t="shared" si="30"/>
        <v>2024</v>
      </c>
      <c r="AH190" s="8">
        <f t="shared" si="31"/>
        <v>9</v>
      </c>
      <c r="AI190" s="5" t="str">
        <f t="shared" si="32"/>
        <v>Sep</v>
      </c>
      <c r="AJ190" s="5" t="str">
        <f t="shared" si="33"/>
        <v>Saturday</v>
      </c>
    </row>
    <row r="191" spans="1:36" x14ac:dyDescent="0.3">
      <c r="A191" s="5" t="s">
        <v>225</v>
      </c>
      <c r="B191" s="6">
        <v>45432</v>
      </c>
      <c r="C191" s="7">
        <v>0.34722222222222221</v>
      </c>
      <c r="D191" s="5" t="s">
        <v>1865</v>
      </c>
      <c r="E191" s="5" t="s">
        <v>1761</v>
      </c>
      <c r="F191" s="5" t="s">
        <v>2239</v>
      </c>
      <c r="G191" s="5" t="s">
        <v>2246</v>
      </c>
      <c r="H191" s="5" t="s">
        <v>2259</v>
      </c>
      <c r="I191" s="5" t="s">
        <v>2262</v>
      </c>
      <c r="J191" s="5" t="s">
        <v>2265</v>
      </c>
      <c r="K191" s="8">
        <v>4</v>
      </c>
      <c r="L191" s="9">
        <v>95</v>
      </c>
      <c r="M191" s="10">
        <v>0.1</v>
      </c>
      <c r="N191" s="9">
        <f t="shared" si="34"/>
        <v>380</v>
      </c>
      <c r="O191" s="9">
        <f t="shared" si="24"/>
        <v>342</v>
      </c>
      <c r="P191" s="5" t="s">
        <v>2267</v>
      </c>
      <c r="Q191" s="5" t="s">
        <v>1761</v>
      </c>
      <c r="R191" s="5" t="s">
        <v>2276</v>
      </c>
      <c r="S191" s="5" t="s">
        <v>2282</v>
      </c>
      <c r="T191" s="5" t="s">
        <v>2290</v>
      </c>
      <c r="U191" s="8">
        <v>5</v>
      </c>
      <c r="V191" s="8">
        <v>138</v>
      </c>
      <c r="W191" s="19">
        <v>36</v>
      </c>
      <c r="X191" s="9">
        <v>40.65</v>
      </c>
      <c r="Y191" s="9">
        <f t="shared" si="25"/>
        <v>179.4</v>
      </c>
      <c r="Z191" s="5" t="s">
        <v>2293</v>
      </c>
      <c r="AA191" s="5" t="s">
        <v>2296</v>
      </c>
      <c r="AB191" s="9">
        <f t="shared" si="26"/>
        <v>380</v>
      </c>
      <c r="AC191" s="9">
        <f t="shared" si="27"/>
        <v>38</v>
      </c>
      <c r="AD191" s="9">
        <f t="shared" si="28"/>
        <v>342</v>
      </c>
      <c r="AE191" s="9">
        <f t="shared" si="29"/>
        <v>162.6</v>
      </c>
      <c r="AF191" s="9">
        <f t="shared" si="35"/>
        <v>179.4</v>
      </c>
      <c r="AG191" s="8">
        <f t="shared" si="30"/>
        <v>2024</v>
      </c>
      <c r="AH191" s="8">
        <f t="shared" si="31"/>
        <v>5</v>
      </c>
      <c r="AI191" s="5" t="str">
        <f t="shared" si="32"/>
        <v>May</v>
      </c>
      <c r="AJ191" s="5" t="str">
        <f t="shared" si="33"/>
        <v>Monday</v>
      </c>
    </row>
    <row r="192" spans="1:36" x14ac:dyDescent="0.3">
      <c r="A192" s="5" t="s">
        <v>226</v>
      </c>
      <c r="B192" s="6">
        <v>45386</v>
      </c>
      <c r="C192" s="7">
        <v>0.57291666666666663</v>
      </c>
      <c r="D192" s="5" t="s">
        <v>1866</v>
      </c>
      <c r="E192" s="5" t="s">
        <v>2078</v>
      </c>
      <c r="F192" s="5" t="s">
        <v>2239</v>
      </c>
      <c r="G192" s="5" t="s">
        <v>2255</v>
      </c>
      <c r="H192" s="5" t="s">
        <v>2260</v>
      </c>
      <c r="I192" s="5" t="s">
        <v>2260</v>
      </c>
      <c r="J192" s="5" t="s">
        <v>2266</v>
      </c>
      <c r="K192" s="19">
        <v>3</v>
      </c>
      <c r="L192" s="9">
        <v>190</v>
      </c>
      <c r="M192" s="10">
        <v>0</v>
      </c>
      <c r="N192" s="9">
        <f t="shared" si="34"/>
        <v>570</v>
      </c>
      <c r="O192" s="9">
        <f t="shared" si="24"/>
        <v>570</v>
      </c>
      <c r="P192" s="5" t="s">
        <v>1761</v>
      </c>
      <c r="Q192" s="5" t="s">
        <v>1761</v>
      </c>
      <c r="R192" s="5" t="s">
        <v>2275</v>
      </c>
      <c r="S192" s="5" t="s">
        <v>2284</v>
      </c>
      <c r="T192" s="5" t="s">
        <v>2290</v>
      </c>
      <c r="U192" s="19">
        <v>3</v>
      </c>
      <c r="V192" s="8">
        <v>486</v>
      </c>
      <c r="W192" s="8">
        <v>30</v>
      </c>
      <c r="X192" s="9">
        <v>68.44</v>
      </c>
      <c r="Y192" s="9">
        <f t="shared" si="25"/>
        <v>364.68</v>
      </c>
      <c r="Z192" s="5" t="s">
        <v>2292</v>
      </c>
      <c r="AA192" s="5" t="s">
        <v>2296</v>
      </c>
      <c r="AB192" s="9">
        <f t="shared" si="26"/>
        <v>570</v>
      </c>
      <c r="AC192" s="9">
        <f t="shared" si="27"/>
        <v>0</v>
      </c>
      <c r="AD192" s="9">
        <f t="shared" si="28"/>
        <v>570</v>
      </c>
      <c r="AE192" s="9">
        <f t="shared" si="29"/>
        <v>205.32</v>
      </c>
      <c r="AF192" s="9">
        <f t="shared" si="35"/>
        <v>364.68</v>
      </c>
      <c r="AG192" s="8">
        <f t="shared" si="30"/>
        <v>2024</v>
      </c>
      <c r="AH192" s="8">
        <f t="shared" si="31"/>
        <v>4</v>
      </c>
      <c r="AI192" s="5" t="str">
        <f t="shared" si="32"/>
        <v>Apr</v>
      </c>
      <c r="AJ192" s="5" t="str">
        <f t="shared" si="33"/>
        <v>Thursday</v>
      </c>
    </row>
    <row r="193" spans="1:36" x14ac:dyDescent="0.3">
      <c r="A193" s="5" t="s">
        <v>227</v>
      </c>
      <c r="B193" s="6">
        <v>45543</v>
      </c>
      <c r="C193" s="7">
        <v>0.57638888888888884</v>
      </c>
      <c r="D193" s="5" t="s">
        <v>1867</v>
      </c>
      <c r="E193" s="5" t="s">
        <v>2079</v>
      </c>
      <c r="F193" s="5" t="s">
        <v>2239</v>
      </c>
      <c r="G193" s="5" t="s">
        <v>2253</v>
      </c>
      <c r="H193" s="5" t="s">
        <v>2258</v>
      </c>
      <c r="I193" s="5" t="s">
        <v>2260</v>
      </c>
      <c r="J193" s="5" t="s">
        <v>2265</v>
      </c>
      <c r="K193" s="8">
        <v>2</v>
      </c>
      <c r="L193" s="9">
        <v>90</v>
      </c>
      <c r="M193" s="10">
        <v>0</v>
      </c>
      <c r="N193" s="9">
        <f t="shared" si="34"/>
        <v>180</v>
      </c>
      <c r="O193" s="9">
        <f t="shared" si="24"/>
        <v>180</v>
      </c>
      <c r="P193" s="5" t="s">
        <v>1761</v>
      </c>
      <c r="Q193" s="5" t="s">
        <v>2270</v>
      </c>
      <c r="R193" s="5" t="s">
        <v>2276</v>
      </c>
      <c r="S193" s="5" t="s">
        <v>2286</v>
      </c>
      <c r="T193" s="5" t="s">
        <v>2290</v>
      </c>
      <c r="U193" s="8">
        <v>5</v>
      </c>
      <c r="V193" s="8">
        <v>114</v>
      </c>
      <c r="W193" s="8">
        <v>11</v>
      </c>
      <c r="X193" s="9">
        <v>40.98</v>
      </c>
      <c r="Y193" s="9">
        <f t="shared" si="25"/>
        <v>98.04</v>
      </c>
      <c r="Z193" s="5" t="s">
        <v>2293</v>
      </c>
      <c r="AA193" s="5" t="s">
        <v>2297</v>
      </c>
      <c r="AB193" s="9">
        <f t="shared" si="26"/>
        <v>180</v>
      </c>
      <c r="AC193" s="9">
        <f t="shared" si="27"/>
        <v>0</v>
      </c>
      <c r="AD193" s="9">
        <f t="shared" si="28"/>
        <v>180</v>
      </c>
      <c r="AE193" s="9">
        <f t="shared" si="29"/>
        <v>81.96</v>
      </c>
      <c r="AF193" s="9">
        <f t="shared" si="35"/>
        <v>98.04</v>
      </c>
      <c r="AG193" s="8">
        <f t="shared" si="30"/>
        <v>2024</v>
      </c>
      <c r="AH193" s="8">
        <f t="shared" si="31"/>
        <v>9</v>
      </c>
      <c r="AI193" s="5" t="str">
        <f t="shared" si="32"/>
        <v>Sep</v>
      </c>
      <c r="AJ193" s="5" t="str">
        <f t="shared" si="33"/>
        <v>Sunday</v>
      </c>
    </row>
    <row r="194" spans="1:36" x14ac:dyDescent="0.3">
      <c r="A194" s="5" t="s">
        <v>228</v>
      </c>
      <c r="B194" s="6">
        <v>45406</v>
      </c>
      <c r="C194" s="7">
        <v>0.78472222222222221</v>
      </c>
      <c r="D194" s="5" t="s">
        <v>1868</v>
      </c>
      <c r="E194" s="5" t="s">
        <v>2080</v>
      </c>
      <c r="F194" s="5" t="s">
        <v>2238</v>
      </c>
      <c r="G194" s="5" t="s">
        <v>2241</v>
      </c>
      <c r="H194" s="5" t="s">
        <v>2257</v>
      </c>
      <c r="I194" s="5" t="s">
        <v>2262</v>
      </c>
      <c r="J194" s="5" t="s">
        <v>2264</v>
      </c>
      <c r="K194" s="8">
        <v>4</v>
      </c>
      <c r="L194" s="9">
        <v>130</v>
      </c>
      <c r="M194" s="10">
        <v>0.05</v>
      </c>
      <c r="N194" s="9">
        <f t="shared" si="34"/>
        <v>520</v>
      </c>
      <c r="O194" s="9">
        <f t="shared" ref="O194:O257" si="36">IF(N194="","",N194*(1-IF(M194="",0,M194)))</f>
        <v>494</v>
      </c>
      <c r="P194" s="5" t="s">
        <v>1761</v>
      </c>
      <c r="Q194" s="5" t="s">
        <v>2270</v>
      </c>
      <c r="R194" s="5" t="s">
        <v>2278</v>
      </c>
      <c r="S194" s="5" t="s">
        <v>2283</v>
      </c>
      <c r="T194" s="5" t="s">
        <v>2290</v>
      </c>
      <c r="U194" s="8">
        <v>2</v>
      </c>
      <c r="V194" s="8">
        <v>217</v>
      </c>
      <c r="W194" s="8">
        <v>57</v>
      </c>
      <c r="X194" s="9">
        <v>68.599999999999994</v>
      </c>
      <c r="Y194" s="9">
        <f t="shared" ref="Y194:Y257" si="37">IF(OR(O194="",K194="",X194=""),"",O194-K194*X194)</f>
        <v>219.60000000000002</v>
      </c>
      <c r="Z194" s="5" t="s">
        <v>2292</v>
      </c>
      <c r="AA194" s="5" t="s">
        <v>2299</v>
      </c>
      <c r="AB194" s="9">
        <f t="shared" ref="AB194:AB257" si="38">N194</f>
        <v>520</v>
      </c>
      <c r="AC194" s="9">
        <f t="shared" ref="AC194:AC257" si="39">IF(N194="","",N194*IF(M194="",0,M194))</f>
        <v>26</v>
      </c>
      <c r="AD194" s="9">
        <f t="shared" ref="AD194:AD257" si="40">O194</f>
        <v>494</v>
      </c>
      <c r="AE194" s="9">
        <f t="shared" ref="AE194:AE257" si="41">IF(OR(K194="",X194=""),"",K194*X194)</f>
        <v>274.39999999999998</v>
      </c>
      <c r="AF194" s="9">
        <f t="shared" si="35"/>
        <v>219.60000000000002</v>
      </c>
      <c r="AG194" s="8">
        <f t="shared" ref="AG194:AG257" si="42">IF(B194="","",YEAR(B194))</f>
        <v>2024</v>
      </c>
      <c r="AH194" s="8">
        <f t="shared" ref="AH194:AH257" si="43">IF(B194="","",MONTH(B194))</f>
        <v>4</v>
      </c>
      <c r="AI194" s="5" t="str">
        <f t="shared" ref="AI194:AI257" si="44">IF(B194="","",TEXT(B194,"mmm"))</f>
        <v>Apr</v>
      </c>
      <c r="AJ194" s="5" t="str">
        <f t="shared" ref="AJ194:AJ257" si="45">IF(B194="","",TEXT(B194,"dddd"))</f>
        <v>Wednesday</v>
      </c>
    </row>
    <row r="195" spans="1:36" x14ac:dyDescent="0.3">
      <c r="A195" s="5" t="s">
        <v>229</v>
      </c>
      <c r="B195" s="6">
        <v>45560</v>
      </c>
      <c r="C195" s="7">
        <v>0.60416666666666663</v>
      </c>
      <c r="D195" s="5" t="s">
        <v>1797</v>
      </c>
      <c r="E195" s="5" t="s">
        <v>2081</v>
      </c>
      <c r="F195" s="5" t="s">
        <v>2238</v>
      </c>
      <c r="G195" s="5" t="s">
        <v>2242</v>
      </c>
      <c r="H195" s="5" t="s">
        <v>2258</v>
      </c>
      <c r="I195" s="5" t="s">
        <v>2260</v>
      </c>
      <c r="J195" s="5" t="s">
        <v>2266</v>
      </c>
      <c r="K195" s="8">
        <v>2</v>
      </c>
      <c r="L195" s="9">
        <v>125</v>
      </c>
      <c r="M195" s="10">
        <v>0.1</v>
      </c>
      <c r="N195" s="9">
        <f t="shared" ref="N195:N258" si="46">IFERROR(K195*L195,"")</f>
        <v>250</v>
      </c>
      <c r="O195" s="9">
        <f t="shared" si="36"/>
        <v>225</v>
      </c>
      <c r="P195" s="5" t="s">
        <v>1761</v>
      </c>
      <c r="Q195" s="5" t="s">
        <v>2272</v>
      </c>
      <c r="R195" s="5" t="s">
        <v>2279</v>
      </c>
      <c r="S195" s="5" t="s">
        <v>2282</v>
      </c>
      <c r="T195" s="5" t="s">
        <v>2288</v>
      </c>
      <c r="U195" s="8">
        <v>1</v>
      </c>
      <c r="V195" s="8">
        <v>29</v>
      </c>
      <c r="W195" s="8">
        <v>31</v>
      </c>
      <c r="X195" s="9">
        <v>52.12</v>
      </c>
      <c r="Y195" s="9">
        <f t="shared" si="37"/>
        <v>120.76</v>
      </c>
      <c r="Z195" s="5" t="s">
        <v>1761</v>
      </c>
      <c r="AA195" s="5" t="s">
        <v>2297</v>
      </c>
      <c r="AB195" s="9">
        <f t="shared" si="38"/>
        <v>250</v>
      </c>
      <c r="AC195" s="9">
        <f t="shared" si="39"/>
        <v>25</v>
      </c>
      <c r="AD195" s="9">
        <f t="shared" si="40"/>
        <v>225</v>
      </c>
      <c r="AE195" s="9">
        <f t="shared" si="41"/>
        <v>104.24</v>
      </c>
      <c r="AF195" s="9">
        <f t="shared" ref="AF195:AF258" si="47">Y195</f>
        <v>120.76</v>
      </c>
      <c r="AG195" s="8">
        <f t="shared" si="42"/>
        <v>2024</v>
      </c>
      <c r="AH195" s="8">
        <f t="shared" si="43"/>
        <v>9</v>
      </c>
      <c r="AI195" s="5" t="str">
        <f t="shared" si="44"/>
        <v>Sep</v>
      </c>
      <c r="AJ195" s="5" t="str">
        <f t="shared" si="45"/>
        <v>Wednesday</v>
      </c>
    </row>
    <row r="196" spans="1:36" x14ac:dyDescent="0.3">
      <c r="A196" s="5" t="s">
        <v>230</v>
      </c>
      <c r="B196" s="6">
        <v>45583</v>
      </c>
      <c r="C196" s="7">
        <v>0.82638888888888884</v>
      </c>
      <c r="D196" s="5" t="s">
        <v>1804</v>
      </c>
      <c r="E196" s="5" t="s">
        <v>2057</v>
      </c>
      <c r="F196" s="5" t="s">
        <v>2239</v>
      </c>
      <c r="G196" s="5" t="s">
        <v>2251</v>
      </c>
      <c r="H196" s="5" t="s">
        <v>2258</v>
      </c>
      <c r="I196" s="5" t="s">
        <v>2260</v>
      </c>
      <c r="J196" s="5" t="s">
        <v>2264</v>
      </c>
      <c r="K196" s="8">
        <v>2</v>
      </c>
      <c r="L196" s="9">
        <v>100</v>
      </c>
      <c r="M196" s="10">
        <v>0</v>
      </c>
      <c r="N196" s="9">
        <f t="shared" si="46"/>
        <v>200</v>
      </c>
      <c r="O196" s="9">
        <f t="shared" si="36"/>
        <v>200</v>
      </c>
      <c r="P196" s="5" t="s">
        <v>2267</v>
      </c>
      <c r="Q196" s="5" t="s">
        <v>2272</v>
      </c>
      <c r="R196" s="5" t="s">
        <v>2278</v>
      </c>
      <c r="S196" s="5" t="s">
        <v>2287</v>
      </c>
      <c r="T196" s="5" t="s">
        <v>2290</v>
      </c>
      <c r="U196" s="19">
        <v>3</v>
      </c>
      <c r="V196" s="8">
        <v>271</v>
      </c>
      <c r="W196" s="8">
        <v>37</v>
      </c>
      <c r="X196" s="9">
        <v>52.35</v>
      </c>
      <c r="Y196" s="9">
        <f t="shared" si="37"/>
        <v>95.3</v>
      </c>
      <c r="Z196" s="5" t="s">
        <v>2293</v>
      </c>
      <c r="AA196" s="5" t="s">
        <v>2298</v>
      </c>
      <c r="AB196" s="9">
        <f t="shared" si="38"/>
        <v>200</v>
      </c>
      <c r="AC196" s="9">
        <f t="shared" si="39"/>
        <v>0</v>
      </c>
      <c r="AD196" s="9">
        <f t="shared" si="40"/>
        <v>200</v>
      </c>
      <c r="AE196" s="9">
        <f t="shared" si="41"/>
        <v>104.7</v>
      </c>
      <c r="AF196" s="9">
        <f t="shared" si="47"/>
        <v>95.3</v>
      </c>
      <c r="AG196" s="8">
        <f t="shared" si="42"/>
        <v>2024</v>
      </c>
      <c r="AH196" s="8">
        <f t="shared" si="43"/>
        <v>10</v>
      </c>
      <c r="AI196" s="5" t="str">
        <f t="shared" si="44"/>
        <v>Oct</v>
      </c>
      <c r="AJ196" s="5" t="str">
        <f t="shared" si="45"/>
        <v>Friday</v>
      </c>
    </row>
    <row r="197" spans="1:36" x14ac:dyDescent="0.3">
      <c r="A197" s="5" t="s">
        <v>231</v>
      </c>
      <c r="B197" s="6">
        <v>45305</v>
      </c>
      <c r="C197" s="7">
        <v>0.61458333333333337</v>
      </c>
      <c r="D197" s="5" t="s">
        <v>1849</v>
      </c>
      <c r="E197" s="5" t="s">
        <v>2082</v>
      </c>
      <c r="F197" s="5" t="s">
        <v>2240</v>
      </c>
      <c r="G197" s="5" t="s">
        <v>2248</v>
      </c>
      <c r="H197" s="5" t="s">
        <v>2257</v>
      </c>
      <c r="I197" s="5" t="s">
        <v>2262</v>
      </c>
      <c r="J197" s="5" t="s">
        <v>2266</v>
      </c>
      <c r="K197" s="8">
        <v>1</v>
      </c>
      <c r="L197" s="9">
        <v>150</v>
      </c>
      <c r="M197" s="10">
        <v>0</v>
      </c>
      <c r="N197" s="9">
        <f t="shared" si="46"/>
        <v>150</v>
      </c>
      <c r="O197" s="9">
        <f t="shared" si="36"/>
        <v>150</v>
      </c>
      <c r="P197" s="5" t="s">
        <v>2267</v>
      </c>
      <c r="Q197" s="5" t="s">
        <v>2272</v>
      </c>
      <c r="R197" s="5" t="s">
        <v>2277</v>
      </c>
      <c r="S197" s="5" t="s">
        <v>2286</v>
      </c>
      <c r="T197" s="5" t="s">
        <v>2288</v>
      </c>
      <c r="U197" s="8">
        <v>5</v>
      </c>
      <c r="V197" s="8">
        <v>182</v>
      </c>
      <c r="W197" s="19">
        <v>35</v>
      </c>
      <c r="X197" s="9">
        <v>57.93</v>
      </c>
      <c r="Y197" s="9">
        <f t="shared" si="37"/>
        <v>92.07</v>
      </c>
      <c r="Z197" s="5" t="s">
        <v>2293</v>
      </c>
      <c r="AA197" s="5" t="s">
        <v>1761</v>
      </c>
      <c r="AB197" s="9">
        <f t="shared" si="38"/>
        <v>150</v>
      </c>
      <c r="AC197" s="9">
        <f t="shared" si="39"/>
        <v>0</v>
      </c>
      <c r="AD197" s="9">
        <f t="shared" si="40"/>
        <v>150</v>
      </c>
      <c r="AE197" s="9">
        <f t="shared" si="41"/>
        <v>57.93</v>
      </c>
      <c r="AF197" s="9">
        <f t="shared" si="47"/>
        <v>92.07</v>
      </c>
      <c r="AG197" s="8">
        <f t="shared" si="42"/>
        <v>2024</v>
      </c>
      <c r="AH197" s="8">
        <f t="shared" si="43"/>
        <v>1</v>
      </c>
      <c r="AI197" s="5" t="str">
        <f t="shared" si="44"/>
        <v>Jan</v>
      </c>
      <c r="AJ197" s="5" t="str">
        <f t="shared" si="45"/>
        <v>Sunday</v>
      </c>
    </row>
    <row r="198" spans="1:36" x14ac:dyDescent="0.3">
      <c r="A198" s="5" t="s">
        <v>232</v>
      </c>
      <c r="B198" s="6">
        <v>45329</v>
      </c>
      <c r="C198" s="7">
        <v>0.68055555555555558</v>
      </c>
      <c r="D198" s="5" t="s">
        <v>1828</v>
      </c>
      <c r="E198" s="5" t="s">
        <v>2082</v>
      </c>
      <c r="F198" s="5" t="s">
        <v>2240</v>
      </c>
      <c r="G198" s="5" t="s">
        <v>2241</v>
      </c>
      <c r="H198" s="5" t="s">
        <v>2257</v>
      </c>
      <c r="I198" s="5" t="s">
        <v>2262</v>
      </c>
      <c r="J198" s="5" t="s">
        <v>2264</v>
      </c>
      <c r="K198" s="8">
        <v>4</v>
      </c>
      <c r="L198" s="9">
        <v>130</v>
      </c>
      <c r="M198" s="10">
        <v>0.05</v>
      </c>
      <c r="N198" s="9">
        <f t="shared" si="46"/>
        <v>520</v>
      </c>
      <c r="O198" s="9">
        <f t="shared" si="36"/>
        <v>494</v>
      </c>
      <c r="P198" s="5" t="s">
        <v>2269</v>
      </c>
      <c r="Q198" s="5" t="s">
        <v>2272</v>
      </c>
      <c r="R198" s="5" t="s">
        <v>2275</v>
      </c>
      <c r="S198" s="5" t="s">
        <v>2286</v>
      </c>
      <c r="T198" s="5" t="s">
        <v>2288</v>
      </c>
      <c r="U198" s="8">
        <v>5</v>
      </c>
      <c r="V198" s="8">
        <v>311</v>
      </c>
      <c r="W198" s="8">
        <v>47</v>
      </c>
      <c r="X198" s="9">
        <v>51.14</v>
      </c>
      <c r="Y198" s="9">
        <f t="shared" si="37"/>
        <v>289.44</v>
      </c>
      <c r="Z198" s="5" t="s">
        <v>1761</v>
      </c>
      <c r="AA198" s="5" t="s">
        <v>2296</v>
      </c>
      <c r="AB198" s="9">
        <f t="shared" si="38"/>
        <v>520</v>
      </c>
      <c r="AC198" s="9">
        <f t="shared" si="39"/>
        <v>26</v>
      </c>
      <c r="AD198" s="9">
        <f t="shared" si="40"/>
        <v>494</v>
      </c>
      <c r="AE198" s="9">
        <f t="shared" si="41"/>
        <v>204.56</v>
      </c>
      <c r="AF198" s="9">
        <f t="shared" si="47"/>
        <v>289.44</v>
      </c>
      <c r="AG198" s="8">
        <f t="shared" si="42"/>
        <v>2024</v>
      </c>
      <c r="AH198" s="8">
        <f t="shared" si="43"/>
        <v>2</v>
      </c>
      <c r="AI198" s="5" t="str">
        <f t="shared" si="44"/>
        <v>Feb</v>
      </c>
      <c r="AJ198" s="5" t="str">
        <f t="shared" si="45"/>
        <v>Wednesday</v>
      </c>
    </row>
    <row r="199" spans="1:36" x14ac:dyDescent="0.3">
      <c r="A199" s="5" t="s">
        <v>233</v>
      </c>
      <c r="B199" s="6">
        <v>45495</v>
      </c>
      <c r="C199" s="7">
        <v>0.83333333333333337</v>
      </c>
      <c r="D199" s="5" t="s">
        <v>1849</v>
      </c>
      <c r="E199" s="5" t="s">
        <v>2083</v>
      </c>
      <c r="F199" s="5" t="s">
        <v>2239</v>
      </c>
      <c r="G199" s="5" t="s">
        <v>2247</v>
      </c>
      <c r="H199" s="5" t="s">
        <v>2257</v>
      </c>
      <c r="I199" s="5" t="s">
        <v>2262</v>
      </c>
      <c r="J199" s="5" t="s">
        <v>1761</v>
      </c>
      <c r="K199" s="8">
        <v>1</v>
      </c>
      <c r="L199" s="9">
        <v>100</v>
      </c>
      <c r="M199" s="10">
        <v>0.05</v>
      </c>
      <c r="N199" s="9">
        <f t="shared" si="46"/>
        <v>100</v>
      </c>
      <c r="O199" s="9">
        <f t="shared" si="36"/>
        <v>95</v>
      </c>
      <c r="P199" s="5" t="s">
        <v>2269</v>
      </c>
      <c r="Q199" s="5" t="s">
        <v>2271</v>
      </c>
      <c r="R199" s="5" t="s">
        <v>2273</v>
      </c>
      <c r="S199" s="5" t="s">
        <v>2280</v>
      </c>
      <c r="T199" s="5" t="s">
        <v>2289</v>
      </c>
      <c r="U199" s="8">
        <v>1</v>
      </c>
      <c r="V199" s="8">
        <v>89</v>
      </c>
      <c r="W199" s="19">
        <v>37</v>
      </c>
      <c r="X199" s="9">
        <v>56.19</v>
      </c>
      <c r="Y199" s="9">
        <f t="shared" si="37"/>
        <v>38.81</v>
      </c>
      <c r="Z199" s="5" t="s">
        <v>1761</v>
      </c>
      <c r="AA199" s="5" t="s">
        <v>2298</v>
      </c>
      <c r="AB199" s="9">
        <f t="shared" si="38"/>
        <v>100</v>
      </c>
      <c r="AC199" s="9">
        <f t="shared" si="39"/>
        <v>5</v>
      </c>
      <c r="AD199" s="9">
        <f t="shared" si="40"/>
        <v>95</v>
      </c>
      <c r="AE199" s="9">
        <f t="shared" si="41"/>
        <v>56.19</v>
      </c>
      <c r="AF199" s="9">
        <f t="shared" si="47"/>
        <v>38.81</v>
      </c>
      <c r="AG199" s="8">
        <f t="shared" si="42"/>
        <v>2024</v>
      </c>
      <c r="AH199" s="8">
        <f t="shared" si="43"/>
        <v>7</v>
      </c>
      <c r="AI199" s="5" t="str">
        <f t="shared" si="44"/>
        <v>Jul</v>
      </c>
      <c r="AJ199" s="5" t="str">
        <f t="shared" si="45"/>
        <v>Monday</v>
      </c>
    </row>
    <row r="200" spans="1:36" x14ac:dyDescent="0.3">
      <c r="A200" s="5" t="s">
        <v>234</v>
      </c>
      <c r="B200" s="6">
        <v>45361</v>
      </c>
      <c r="C200" s="7">
        <v>0.5</v>
      </c>
      <c r="D200" s="5" t="s">
        <v>1869</v>
      </c>
      <c r="E200" s="5" t="s">
        <v>2084</v>
      </c>
      <c r="F200" s="5" t="s">
        <v>2238</v>
      </c>
      <c r="G200" s="5" t="s">
        <v>2248</v>
      </c>
      <c r="H200" s="5" t="s">
        <v>2257</v>
      </c>
      <c r="I200" s="5" t="s">
        <v>2262</v>
      </c>
      <c r="J200" s="5" t="s">
        <v>2265</v>
      </c>
      <c r="K200" s="8">
        <v>3</v>
      </c>
      <c r="L200" s="9">
        <v>155</v>
      </c>
      <c r="M200" s="10">
        <v>0.1</v>
      </c>
      <c r="N200" s="9">
        <f t="shared" si="46"/>
        <v>465</v>
      </c>
      <c r="O200" s="9">
        <f t="shared" si="36"/>
        <v>418.5</v>
      </c>
      <c r="P200" s="5" t="s">
        <v>2269</v>
      </c>
      <c r="Q200" s="5" t="s">
        <v>2272</v>
      </c>
      <c r="R200" s="5" t="s">
        <v>2277</v>
      </c>
      <c r="S200" s="5" t="s">
        <v>2282</v>
      </c>
      <c r="T200" s="5" t="s">
        <v>2288</v>
      </c>
      <c r="U200" s="8">
        <v>5</v>
      </c>
      <c r="V200" s="8">
        <v>350</v>
      </c>
      <c r="W200" s="8">
        <v>29</v>
      </c>
      <c r="X200" s="9">
        <v>63.39</v>
      </c>
      <c r="Y200" s="9">
        <f t="shared" si="37"/>
        <v>228.32999999999998</v>
      </c>
      <c r="Z200" s="5" t="s">
        <v>2293</v>
      </c>
      <c r="AA200" s="5" t="s">
        <v>2296</v>
      </c>
      <c r="AB200" s="9">
        <f t="shared" si="38"/>
        <v>465</v>
      </c>
      <c r="AC200" s="9">
        <f t="shared" si="39"/>
        <v>46.5</v>
      </c>
      <c r="AD200" s="9">
        <f t="shared" si="40"/>
        <v>418.5</v>
      </c>
      <c r="AE200" s="9">
        <f t="shared" si="41"/>
        <v>190.17000000000002</v>
      </c>
      <c r="AF200" s="9">
        <f t="shared" si="47"/>
        <v>228.32999999999998</v>
      </c>
      <c r="AG200" s="8">
        <f t="shared" si="42"/>
        <v>2024</v>
      </c>
      <c r="AH200" s="8">
        <f t="shared" si="43"/>
        <v>3</v>
      </c>
      <c r="AI200" s="5" t="str">
        <f t="shared" si="44"/>
        <v>Mar</v>
      </c>
      <c r="AJ200" s="5" t="str">
        <f t="shared" si="45"/>
        <v>Sunday</v>
      </c>
    </row>
    <row r="201" spans="1:36" x14ac:dyDescent="0.3">
      <c r="A201" s="5" t="s">
        <v>235</v>
      </c>
      <c r="B201" s="6">
        <v>45375</v>
      </c>
      <c r="C201" s="7">
        <v>0.51388888888888884</v>
      </c>
      <c r="D201" s="5" t="s">
        <v>1855</v>
      </c>
      <c r="E201" s="5" t="s">
        <v>2085</v>
      </c>
      <c r="F201" s="5" t="s">
        <v>2240</v>
      </c>
      <c r="G201" s="5" t="s">
        <v>2246</v>
      </c>
      <c r="H201" s="5" t="s">
        <v>2259</v>
      </c>
      <c r="I201" s="5" t="s">
        <v>2262</v>
      </c>
      <c r="J201" s="5" t="s">
        <v>2266</v>
      </c>
      <c r="K201" s="8">
        <v>2</v>
      </c>
      <c r="L201" s="9">
        <v>105</v>
      </c>
      <c r="M201" s="10">
        <v>0</v>
      </c>
      <c r="N201" s="9">
        <f t="shared" si="46"/>
        <v>210</v>
      </c>
      <c r="O201" s="9">
        <f t="shared" si="36"/>
        <v>210</v>
      </c>
      <c r="P201" s="5" t="s">
        <v>2267</v>
      </c>
      <c r="Q201" s="5" t="s">
        <v>2270</v>
      </c>
      <c r="R201" s="5" t="s">
        <v>2274</v>
      </c>
      <c r="S201" s="5" t="s">
        <v>2286</v>
      </c>
      <c r="T201" s="5" t="s">
        <v>2290</v>
      </c>
      <c r="U201" s="8">
        <v>5</v>
      </c>
      <c r="V201" s="8">
        <v>105</v>
      </c>
      <c r="W201" s="8">
        <v>56</v>
      </c>
      <c r="X201" s="9">
        <v>34.79</v>
      </c>
      <c r="Y201" s="9">
        <f t="shared" si="37"/>
        <v>140.42000000000002</v>
      </c>
      <c r="Z201" s="5" t="s">
        <v>2292</v>
      </c>
      <c r="AA201" s="5" t="s">
        <v>1761</v>
      </c>
      <c r="AB201" s="9">
        <f t="shared" si="38"/>
        <v>210</v>
      </c>
      <c r="AC201" s="9">
        <f t="shared" si="39"/>
        <v>0</v>
      </c>
      <c r="AD201" s="9">
        <f t="shared" si="40"/>
        <v>210</v>
      </c>
      <c r="AE201" s="9">
        <f t="shared" si="41"/>
        <v>69.58</v>
      </c>
      <c r="AF201" s="9">
        <f t="shared" si="47"/>
        <v>140.42000000000002</v>
      </c>
      <c r="AG201" s="8">
        <f t="shared" si="42"/>
        <v>2024</v>
      </c>
      <c r="AH201" s="8">
        <f t="shared" si="43"/>
        <v>3</v>
      </c>
      <c r="AI201" s="5" t="str">
        <f t="shared" si="44"/>
        <v>Mar</v>
      </c>
      <c r="AJ201" s="5" t="str">
        <f t="shared" si="45"/>
        <v>Sunday</v>
      </c>
    </row>
    <row r="202" spans="1:36" x14ac:dyDescent="0.3">
      <c r="A202" s="5" t="s">
        <v>236</v>
      </c>
      <c r="B202" s="6">
        <v>45652</v>
      </c>
      <c r="C202" s="7">
        <v>0.53125</v>
      </c>
      <c r="D202" s="5" t="s">
        <v>1870</v>
      </c>
      <c r="E202" s="5" t="s">
        <v>2086</v>
      </c>
      <c r="F202" s="5" t="s">
        <v>2239</v>
      </c>
      <c r="G202" s="5" t="s">
        <v>2248</v>
      </c>
      <c r="H202" s="5" t="s">
        <v>2257</v>
      </c>
      <c r="I202" s="5" t="s">
        <v>2262</v>
      </c>
      <c r="J202" s="5" t="s">
        <v>1761</v>
      </c>
      <c r="K202" s="8">
        <v>3</v>
      </c>
      <c r="L202" s="9">
        <v>155</v>
      </c>
      <c r="M202" s="10">
        <v>0</v>
      </c>
      <c r="N202" s="9">
        <f t="shared" si="46"/>
        <v>465</v>
      </c>
      <c r="O202" s="9">
        <f t="shared" si="36"/>
        <v>465</v>
      </c>
      <c r="P202" s="5" t="s">
        <v>2267</v>
      </c>
      <c r="Q202" s="5" t="s">
        <v>2270</v>
      </c>
      <c r="R202" s="5" t="s">
        <v>2278</v>
      </c>
      <c r="S202" s="5" t="s">
        <v>2283</v>
      </c>
      <c r="T202" s="5" t="s">
        <v>2290</v>
      </c>
      <c r="U202" s="8">
        <v>3</v>
      </c>
      <c r="V202" s="8">
        <v>325</v>
      </c>
      <c r="W202" s="8">
        <v>33</v>
      </c>
      <c r="X202" s="9">
        <v>68.88</v>
      </c>
      <c r="Y202" s="9">
        <f t="shared" si="37"/>
        <v>258.36</v>
      </c>
      <c r="Z202" s="5" t="s">
        <v>2291</v>
      </c>
      <c r="AA202" s="5" t="s">
        <v>2298</v>
      </c>
      <c r="AB202" s="9">
        <f t="shared" si="38"/>
        <v>465</v>
      </c>
      <c r="AC202" s="9">
        <f t="shared" si="39"/>
        <v>0</v>
      </c>
      <c r="AD202" s="9">
        <f t="shared" si="40"/>
        <v>465</v>
      </c>
      <c r="AE202" s="9">
        <f t="shared" si="41"/>
        <v>206.64</v>
      </c>
      <c r="AF202" s="9">
        <f t="shared" si="47"/>
        <v>258.36</v>
      </c>
      <c r="AG202" s="8">
        <f t="shared" si="42"/>
        <v>2024</v>
      </c>
      <c r="AH202" s="8">
        <f t="shared" si="43"/>
        <v>12</v>
      </c>
      <c r="AI202" s="5" t="str">
        <f t="shared" si="44"/>
        <v>Dec</v>
      </c>
      <c r="AJ202" s="5" t="str">
        <f t="shared" si="45"/>
        <v>Thursday</v>
      </c>
    </row>
    <row r="203" spans="1:36" x14ac:dyDescent="0.3">
      <c r="A203" s="5" t="s">
        <v>237</v>
      </c>
      <c r="B203" s="18">
        <v>45468</v>
      </c>
      <c r="C203" s="7">
        <v>0.35416666666666669</v>
      </c>
      <c r="D203" s="5" t="s">
        <v>1746</v>
      </c>
      <c r="E203" s="5" t="s">
        <v>2012</v>
      </c>
      <c r="F203" s="5" t="s">
        <v>2238</v>
      </c>
      <c r="G203" s="5" t="s">
        <v>2246</v>
      </c>
      <c r="H203" s="5" t="s">
        <v>2259</v>
      </c>
      <c r="I203" s="5" t="s">
        <v>2262</v>
      </c>
      <c r="J203" s="5" t="s">
        <v>2264</v>
      </c>
      <c r="K203" s="8">
        <v>3</v>
      </c>
      <c r="L203" s="9">
        <v>105</v>
      </c>
      <c r="M203" s="10">
        <v>0.15</v>
      </c>
      <c r="N203" s="9">
        <f t="shared" si="46"/>
        <v>315</v>
      </c>
      <c r="O203" s="9">
        <f t="shared" si="36"/>
        <v>267.75</v>
      </c>
      <c r="P203" s="5" t="s">
        <v>2267</v>
      </c>
      <c r="Q203" s="5" t="s">
        <v>2270</v>
      </c>
      <c r="R203" s="5" t="s">
        <v>2275</v>
      </c>
      <c r="S203" s="5" t="s">
        <v>2281</v>
      </c>
      <c r="T203" s="5" t="s">
        <v>2290</v>
      </c>
      <c r="U203" s="8">
        <v>5</v>
      </c>
      <c r="V203" s="8">
        <v>215</v>
      </c>
      <c r="W203" s="8">
        <v>36</v>
      </c>
      <c r="X203" s="9">
        <v>53.41</v>
      </c>
      <c r="Y203" s="9">
        <f t="shared" si="37"/>
        <v>107.52000000000001</v>
      </c>
      <c r="Z203" s="5" t="s">
        <v>2294</v>
      </c>
      <c r="AA203" s="5" t="s">
        <v>1761</v>
      </c>
      <c r="AB203" s="9">
        <f t="shared" si="38"/>
        <v>315</v>
      </c>
      <c r="AC203" s="9">
        <f t="shared" si="39"/>
        <v>47.25</v>
      </c>
      <c r="AD203" s="9">
        <f t="shared" si="40"/>
        <v>267.75</v>
      </c>
      <c r="AE203" s="9">
        <f t="shared" si="41"/>
        <v>160.22999999999999</v>
      </c>
      <c r="AF203" s="9">
        <f t="shared" si="47"/>
        <v>107.52000000000001</v>
      </c>
      <c r="AG203" s="8">
        <f t="shared" si="42"/>
        <v>2024</v>
      </c>
      <c r="AH203" s="8">
        <f t="shared" si="43"/>
        <v>6</v>
      </c>
      <c r="AI203" s="5" t="str">
        <f t="shared" si="44"/>
        <v>Jun</v>
      </c>
      <c r="AJ203" s="5" t="str">
        <f t="shared" si="45"/>
        <v>Tuesday</v>
      </c>
    </row>
    <row r="204" spans="1:36" x14ac:dyDescent="0.3">
      <c r="A204" s="5" t="s">
        <v>238</v>
      </c>
      <c r="B204" s="6">
        <v>45610</v>
      </c>
      <c r="C204" s="7">
        <v>0.86458333333333337</v>
      </c>
      <c r="D204" s="5" t="s">
        <v>1781</v>
      </c>
      <c r="E204" s="5" t="s">
        <v>2087</v>
      </c>
      <c r="F204" s="5" t="s">
        <v>2239</v>
      </c>
      <c r="G204" s="5" t="s">
        <v>2253</v>
      </c>
      <c r="H204" s="5" t="s">
        <v>2258</v>
      </c>
      <c r="I204" s="5" t="s">
        <v>2260</v>
      </c>
      <c r="J204" s="5" t="s">
        <v>2264</v>
      </c>
      <c r="K204" s="8">
        <v>2</v>
      </c>
      <c r="L204" s="9">
        <v>100</v>
      </c>
      <c r="M204" s="10">
        <v>0.05</v>
      </c>
      <c r="N204" s="9">
        <f t="shared" si="46"/>
        <v>200</v>
      </c>
      <c r="O204" s="9">
        <f t="shared" si="36"/>
        <v>190</v>
      </c>
      <c r="P204" s="5" t="s">
        <v>2267</v>
      </c>
      <c r="Q204" s="5" t="s">
        <v>2272</v>
      </c>
      <c r="R204" s="5" t="s">
        <v>2273</v>
      </c>
      <c r="S204" s="5" t="s">
        <v>2287</v>
      </c>
      <c r="T204" s="5" t="s">
        <v>2288</v>
      </c>
      <c r="U204" s="8">
        <v>5</v>
      </c>
      <c r="V204" s="8">
        <v>167</v>
      </c>
      <c r="W204" s="8">
        <v>28</v>
      </c>
      <c r="X204" s="9">
        <v>43.3</v>
      </c>
      <c r="Y204" s="9">
        <f t="shared" si="37"/>
        <v>103.4</v>
      </c>
      <c r="Z204" s="5" t="s">
        <v>2291</v>
      </c>
      <c r="AA204" s="5" t="s">
        <v>2296</v>
      </c>
      <c r="AB204" s="9">
        <f t="shared" si="38"/>
        <v>200</v>
      </c>
      <c r="AC204" s="9">
        <f t="shared" si="39"/>
        <v>10</v>
      </c>
      <c r="AD204" s="9">
        <f t="shared" si="40"/>
        <v>190</v>
      </c>
      <c r="AE204" s="9">
        <f t="shared" si="41"/>
        <v>86.6</v>
      </c>
      <c r="AF204" s="9">
        <f t="shared" si="47"/>
        <v>103.4</v>
      </c>
      <c r="AG204" s="8">
        <f t="shared" si="42"/>
        <v>2024</v>
      </c>
      <c r="AH204" s="8">
        <f t="shared" si="43"/>
        <v>11</v>
      </c>
      <c r="AI204" s="5" t="str">
        <f t="shared" si="44"/>
        <v>Nov</v>
      </c>
      <c r="AJ204" s="5" t="str">
        <f t="shared" si="45"/>
        <v>Thursday</v>
      </c>
    </row>
    <row r="205" spans="1:36" x14ac:dyDescent="0.3">
      <c r="A205" s="5" t="s">
        <v>239</v>
      </c>
      <c r="B205" s="6">
        <v>45649</v>
      </c>
      <c r="C205" s="7">
        <v>0.72222222222222221</v>
      </c>
      <c r="D205" s="5" t="s">
        <v>1754</v>
      </c>
      <c r="E205" s="5" t="s">
        <v>2088</v>
      </c>
      <c r="F205" s="5" t="s">
        <v>2240</v>
      </c>
      <c r="G205" s="5" t="s">
        <v>2250</v>
      </c>
      <c r="H205" s="5" t="s">
        <v>2259</v>
      </c>
      <c r="I205" s="5" t="s">
        <v>2262</v>
      </c>
      <c r="J205" s="5" t="s">
        <v>2265</v>
      </c>
      <c r="K205" s="8">
        <v>1</v>
      </c>
      <c r="L205" s="9">
        <v>90</v>
      </c>
      <c r="M205" s="10">
        <v>0.15</v>
      </c>
      <c r="N205" s="9">
        <f t="shared" si="46"/>
        <v>90</v>
      </c>
      <c r="O205" s="9">
        <f t="shared" si="36"/>
        <v>76.5</v>
      </c>
      <c r="P205" s="5" t="s">
        <v>2268</v>
      </c>
      <c r="Q205" s="5" t="s">
        <v>2272</v>
      </c>
      <c r="R205" s="5" t="s">
        <v>2273</v>
      </c>
      <c r="S205" s="5" t="s">
        <v>2283</v>
      </c>
      <c r="T205" s="5" t="s">
        <v>2288</v>
      </c>
      <c r="U205" s="8">
        <v>5</v>
      </c>
      <c r="V205" s="8">
        <v>330</v>
      </c>
      <c r="W205" s="8">
        <v>20</v>
      </c>
      <c r="X205" s="9">
        <v>44.71</v>
      </c>
      <c r="Y205" s="9">
        <f t="shared" si="37"/>
        <v>31.79</v>
      </c>
      <c r="Z205" s="5" t="s">
        <v>2293</v>
      </c>
      <c r="AA205" s="5" t="s">
        <v>2299</v>
      </c>
      <c r="AB205" s="9">
        <f t="shared" si="38"/>
        <v>90</v>
      </c>
      <c r="AC205" s="9">
        <f t="shared" si="39"/>
        <v>13.5</v>
      </c>
      <c r="AD205" s="9">
        <f t="shared" si="40"/>
        <v>76.5</v>
      </c>
      <c r="AE205" s="9">
        <f t="shared" si="41"/>
        <v>44.71</v>
      </c>
      <c r="AF205" s="9">
        <f t="shared" si="47"/>
        <v>31.79</v>
      </c>
      <c r="AG205" s="8">
        <f t="shared" si="42"/>
        <v>2024</v>
      </c>
      <c r="AH205" s="8">
        <f t="shared" si="43"/>
        <v>12</v>
      </c>
      <c r="AI205" s="5" t="str">
        <f t="shared" si="44"/>
        <v>Dec</v>
      </c>
      <c r="AJ205" s="5" t="str">
        <f t="shared" si="45"/>
        <v>Monday</v>
      </c>
    </row>
    <row r="206" spans="1:36" x14ac:dyDescent="0.3">
      <c r="A206" s="5" t="s">
        <v>240</v>
      </c>
      <c r="B206" s="6">
        <v>45418</v>
      </c>
      <c r="C206" s="7">
        <v>0.40625</v>
      </c>
      <c r="D206" s="5" t="s">
        <v>1871</v>
      </c>
      <c r="E206" s="5" t="s">
        <v>1761</v>
      </c>
      <c r="F206" s="5" t="s">
        <v>2239</v>
      </c>
      <c r="G206" s="5" t="s">
        <v>2246</v>
      </c>
      <c r="H206" s="5" t="s">
        <v>2259</v>
      </c>
      <c r="I206" s="5" t="s">
        <v>2262</v>
      </c>
      <c r="J206" s="5" t="s">
        <v>2265</v>
      </c>
      <c r="K206" s="8">
        <v>4</v>
      </c>
      <c r="L206" s="9">
        <v>105</v>
      </c>
      <c r="M206" s="10">
        <v>0.1</v>
      </c>
      <c r="N206" s="9">
        <f t="shared" si="46"/>
        <v>420</v>
      </c>
      <c r="O206" s="9">
        <f t="shared" si="36"/>
        <v>378</v>
      </c>
      <c r="P206" s="5" t="s">
        <v>2269</v>
      </c>
      <c r="Q206" s="5" t="s">
        <v>1761</v>
      </c>
      <c r="R206" s="5" t="s">
        <v>2273</v>
      </c>
      <c r="S206" s="5" t="s">
        <v>2284</v>
      </c>
      <c r="T206" s="5" t="s">
        <v>2288</v>
      </c>
      <c r="U206" s="8">
        <v>5</v>
      </c>
      <c r="V206" s="8">
        <v>87</v>
      </c>
      <c r="W206" s="19">
        <v>36</v>
      </c>
      <c r="X206" s="9">
        <v>36.25</v>
      </c>
      <c r="Y206" s="9">
        <f t="shared" si="37"/>
        <v>233</v>
      </c>
      <c r="Z206" s="5" t="s">
        <v>2294</v>
      </c>
      <c r="AA206" s="5" t="s">
        <v>2298</v>
      </c>
      <c r="AB206" s="9">
        <f t="shared" si="38"/>
        <v>420</v>
      </c>
      <c r="AC206" s="9">
        <f t="shared" si="39"/>
        <v>42</v>
      </c>
      <c r="AD206" s="9">
        <f t="shared" si="40"/>
        <v>378</v>
      </c>
      <c r="AE206" s="9">
        <f t="shared" si="41"/>
        <v>145</v>
      </c>
      <c r="AF206" s="9">
        <f t="shared" si="47"/>
        <v>233</v>
      </c>
      <c r="AG206" s="8">
        <f t="shared" si="42"/>
        <v>2024</v>
      </c>
      <c r="AH206" s="8">
        <f t="shared" si="43"/>
        <v>5</v>
      </c>
      <c r="AI206" s="5" t="str">
        <f t="shared" si="44"/>
        <v>May</v>
      </c>
      <c r="AJ206" s="5" t="str">
        <f t="shared" si="45"/>
        <v>Monday</v>
      </c>
    </row>
    <row r="207" spans="1:36" x14ac:dyDescent="0.3">
      <c r="A207" s="5" t="s">
        <v>241</v>
      </c>
      <c r="B207" s="6">
        <v>45648</v>
      </c>
      <c r="C207" s="7">
        <v>0.4513888888888889</v>
      </c>
      <c r="D207" s="5" t="s">
        <v>1767</v>
      </c>
      <c r="E207" s="5" t="s">
        <v>2089</v>
      </c>
      <c r="F207" s="5" t="s">
        <v>2239</v>
      </c>
      <c r="G207" s="5" t="s">
        <v>2245</v>
      </c>
      <c r="H207" s="5" t="s">
        <v>2257</v>
      </c>
      <c r="I207" s="5" t="s">
        <v>2263</v>
      </c>
      <c r="J207" s="5" t="s">
        <v>2265</v>
      </c>
      <c r="K207" s="8">
        <v>1</v>
      </c>
      <c r="L207" s="9">
        <v>150</v>
      </c>
      <c r="M207" s="10">
        <v>0.1</v>
      </c>
      <c r="N207" s="9">
        <f t="shared" si="46"/>
        <v>150</v>
      </c>
      <c r="O207" s="9">
        <f t="shared" si="36"/>
        <v>135</v>
      </c>
      <c r="P207" s="5" t="s">
        <v>2268</v>
      </c>
      <c r="Q207" s="5" t="s">
        <v>2270</v>
      </c>
      <c r="R207" s="5" t="s">
        <v>2276</v>
      </c>
      <c r="S207" s="5" t="s">
        <v>2285</v>
      </c>
      <c r="T207" s="5" t="s">
        <v>2288</v>
      </c>
      <c r="U207" s="8">
        <v>3</v>
      </c>
      <c r="V207" s="8">
        <v>156</v>
      </c>
      <c r="W207" s="8">
        <v>25</v>
      </c>
      <c r="X207" s="9">
        <v>64.88</v>
      </c>
      <c r="Y207" s="9">
        <f t="shared" si="37"/>
        <v>70.12</v>
      </c>
      <c r="Z207" s="5" t="s">
        <v>2293</v>
      </c>
      <c r="AA207" s="5" t="s">
        <v>2296</v>
      </c>
      <c r="AB207" s="9">
        <f t="shared" si="38"/>
        <v>150</v>
      </c>
      <c r="AC207" s="9">
        <f t="shared" si="39"/>
        <v>15</v>
      </c>
      <c r="AD207" s="9">
        <f t="shared" si="40"/>
        <v>135</v>
      </c>
      <c r="AE207" s="9">
        <f t="shared" si="41"/>
        <v>64.88</v>
      </c>
      <c r="AF207" s="9">
        <f t="shared" si="47"/>
        <v>70.12</v>
      </c>
      <c r="AG207" s="8">
        <f t="shared" si="42"/>
        <v>2024</v>
      </c>
      <c r="AH207" s="8">
        <f t="shared" si="43"/>
        <v>12</v>
      </c>
      <c r="AI207" s="5" t="str">
        <f t="shared" si="44"/>
        <v>Dec</v>
      </c>
      <c r="AJ207" s="5" t="str">
        <f t="shared" si="45"/>
        <v>Sunday</v>
      </c>
    </row>
    <row r="208" spans="1:36" x14ac:dyDescent="0.3">
      <c r="A208" s="5" t="s">
        <v>242</v>
      </c>
      <c r="B208" s="6">
        <v>45419</v>
      </c>
      <c r="C208" s="7">
        <v>0.8125</v>
      </c>
      <c r="D208" s="5" t="s">
        <v>1862</v>
      </c>
      <c r="E208" s="5" t="s">
        <v>2090</v>
      </c>
      <c r="F208" s="5" t="s">
        <v>2240</v>
      </c>
      <c r="G208" s="5" t="s">
        <v>2254</v>
      </c>
      <c r="H208" s="5" t="s">
        <v>2259</v>
      </c>
      <c r="I208" s="5" t="s">
        <v>2263</v>
      </c>
      <c r="J208" s="5" t="s">
        <v>2264</v>
      </c>
      <c r="K208" s="8">
        <v>2</v>
      </c>
      <c r="L208" s="9">
        <v>105</v>
      </c>
      <c r="M208" s="10">
        <v>0.1</v>
      </c>
      <c r="N208" s="9">
        <f t="shared" si="46"/>
        <v>210</v>
      </c>
      <c r="O208" s="9">
        <f t="shared" si="36"/>
        <v>189</v>
      </c>
      <c r="P208" s="5" t="s">
        <v>2267</v>
      </c>
      <c r="Q208" s="5" t="s">
        <v>2271</v>
      </c>
      <c r="R208" s="5" t="s">
        <v>2278</v>
      </c>
      <c r="S208" s="5" t="s">
        <v>2284</v>
      </c>
      <c r="T208" s="5" t="s">
        <v>2288</v>
      </c>
      <c r="U208" s="8">
        <v>2</v>
      </c>
      <c r="V208" s="8">
        <v>250</v>
      </c>
      <c r="W208" s="8">
        <v>39</v>
      </c>
      <c r="X208" s="9">
        <v>51.44</v>
      </c>
      <c r="Y208" s="9">
        <f t="shared" si="37"/>
        <v>86.12</v>
      </c>
      <c r="Z208" s="5" t="s">
        <v>2292</v>
      </c>
      <c r="AA208" s="5" t="s">
        <v>2297</v>
      </c>
      <c r="AB208" s="9">
        <f t="shared" si="38"/>
        <v>210</v>
      </c>
      <c r="AC208" s="9">
        <f t="shared" si="39"/>
        <v>21</v>
      </c>
      <c r="AD208" s="9">
        <f t="shared" si="40"/>
        <v>189</v>
      </c>
      <c r="AE208" s="9">
        <f t="shared" si="41"/>
        <v>102.88</v>
      </c>
      <c r="AF208" s="9">
        <f t="shared" si="47"/>
        <v>86.12</v>
      </c>
      <c r="AG208" s="8">
        <f t="shared" si="42"/>
        <v>2024</v>
      </c>
      <c r="AH208" s="8">
        <f t="shared" si="43"/>
        <v>5</v>
      </c>
      <c r="AI208" s="5" t="str">
        <f t="shared" si="44"/>
        <v>May</v>
      </c>
      <c r="AJ208" s="5" t="str">
        <f t="shared" si="45"/>
        <v>Tuesday</v>
      </c>
    </row>
    <row r="209" spans="1:36" x14ac:dyDescent="0.3">
      <c r="A209" s="5" t="s">
        <v>243</v>
      </c>
      <c r="B209" s="6">
        <v>45303</v>
      </c>
      <c r="C209" s="7">
        <v>0.46527777777777779</v>
      </c>
      <c r="D209" s="5" t="s">
        <v>1872</v>
      </c>
      <c r="E209" s="5" t="s">
        <v>2091</v>
      </c>
      <c r="F209" s="5" t="s">
        <v>1761</v>
      </c>
      <c r="G209" s="5" t="s">
        <v>2241</v>
      </c>
      <c r="H209" s="5" t="s">
        <v>2257</v>
      </c>
      <c r="I209" s="5" t="s">
        <v>2262</v>
      </c>
      <c r="J209" s="5" t="s">
        <v>2264</v>
      </c>
      <c r="K209" s="8">
        <v>1</v>
      </c>
      <c r="L209" s="9">
        <v>135</v>
      </c>
      <c r="M209" s="10">
        <v>0</v>
      </c>
      <c r="N209" s="9">
        <f t="shared" si="46"/>
        <v>135</v>
      </c>
      <c r="O209" s="9">
        <f t="shared" si="36"/>
        <v>135</v>
      </c>
      <c r="P209" s="5" t="s">
        <v>1761</v>
      </c>
      <c r="Q209" s="5" t="s">
        <v>2270</v>
      </c>
      <c r="R209" s="5" t="s">
        <v>2273</v>
      </c>
      <c r="S209" s="5" t="s">
        <v>2281</v>
      </c>
      <c r="T209" s="5" t="s">
        <v>2290</v>
      </c>
      <c r="U209" s="8">
        <v>5</v>
      </c>
      <c r="V209" s="8">
        <v>95</v>
      </c>
      <c r="W209" s="8">
        <v>51</v>
      </c>
      <c r="X209" s="9">
        <v>65.540000000000006</v>
      </c>
      <c r="Y209" s="9">
        <f t="shared" si="37"/>
        <v>69.459999999999994</v>
      </c>
      <c r="Z209" s="5" t="s">
        <v>2291</v>
      </c>
      <c r="AA209" s="5" t="s">
        <v>1761</v>
      </c>
      <c r="AB209" s="9">
        <f t="shared" si="38"/>
        <v>135</v>
      </c>
      <c r="AC209" s="9">
        <f t="shared" si="39"/>
        <v>0</v>
      </c>
      <c r="AD209" s="9">
        <f t="shared" si="40"/>
        <v>135</v>
      </c>
      <c r="AE209" s="9">
        <f t="shared" si="41"/>
        <v>65.540000000000006</v>
      </c>
      <c r="AF209" s="9">
        <f t="shared" si="47"/>
        <v>69.459999999999994</v>
      </c>
      <c r="AG209" s="8">
        <f t="shared" si="42"/>
        <v>2024</v>
      </c>
      <c r="AH209" s="8">
        <f t="shared" si="43"/>
        <v>1</v>
      </c>
      <c r="AI209" s="5" t="str">
        <f t="shared" si="44"/>
        <v>Jan</v>
      </c>
      <c r="AJ209" s="5" t="str">
        <f t="shared" si="45"/>
        <v>Friday</v>
      </c>
    </row>
    <row r="210" spans="1:36" x14ac:dyDescent="0.3">
      <c r="A210" s="5" t="s">
        <v>244</v>
      </c>
      <c r="B210" s="6">
        <v>45540</v>
      </c>
      <c r="C210" s="7">
        <v>0.43055555555555558</v>
      </c>
      <c r="D210" s="5" t="s">
        <v>1873</v>
      </c>
      <c r="E210" s="5" t="s">
        <v>2086</v>
      </c>
      <c r="F210" s="5" t="s">
        <v>2240</v>
      </c>
      <c r="G210" s="5" t="s">
        <v>2244</v>
      </c>
      <c r="H210" s="5" t="s">
        <v>2257</v>
      </c>
      <c r="I210" s="5" t="s">
        <v>2262</v>
      </c>
      <c r="J210" s="5" t="s">
        <v>2266</v>
      </c>
      <c r="K210" s="8">
        <v>1</v>
      </c>
      <c r="L210" s="9">
        <v>120</v>
      </c>
      <c r="M210" s="10">
        <v>0.15</v>
      </c>
      <c r="N210" s="9">
        <f t="shared" si="46"/>
        <v>120</v>
      </c>
      <c r="O210" s="9">
        <f t="shared" si="36"/>
        <v>102</v>
      </c>
      <c r="P210" s="5" t="s">
        <v>2267</v>
      </c>
      <c r="Q210" s="5" t="s">
        <v>2270</v>
      </c>
      <c r="R210" s="5" t="s">
        <v>2279</v>
      </c>
      <c r="S210" s="5" t="s">
        <v>2283</v>
      </c>
      <c r="T210" s="5" t="s">
        <v>2288</v>
      </c>
      <c r="U210" s="8">
        <v>4</v>
      </c>
      <c r="V210" s="8">
        <v>34</v>
      </c>
      <c r="W210" s="19">
        <v>34</v>
      </c>
      <c r="X210" s="9">
        <v>70.510000000000005</v>
      </c>
      <c r="Y210" s="9">
        <f t="shared" si="37"/>
        <v>31.489999999999995</v>
      </c>
      <c r="Z210" s="5" t="s">
        <v>2292</v>
      </c>
      <c r="AA210" s="5" t="s">
        <v>2296</v>
      </c>
      <c r="AB210" s="9">
        <f t="shared" si="38"/>
        <v>120</v>
      </c>
      <c r="AC210" s="9">
        <f t="shared" si="39"/>
        <v>18</v>
      </c>
      <c r="AD210" s="9">
        <f t="shared" si="40"/>
        <v>102</v>
      </c>
      <c r="AE210" s="9">
        <f t="shared" si="41"/>
        <v>70.510000000000005</v>
      </c>
      <c r="AF210" s="9">
        <f t="shared" si="47"/>
        <v>31.489999999999995</v>
      </c>
      <c r="AG210" s="8">
        <f t="shared" si="42"/>
        <v>2024</v>
      </c>
      <c r="AH210" s="8">
        <f t="shared" si="43"/>
        <v>9</v>
      </c>
      <c r="AI210" s="5" t="str">
        <f t="shared" si="44"/>
        <v>Sep</v>
      </c>
      <c r="AJ210" s="5" t="str">
        <f t="shared" si="45"/>
        <v>Thursday</v>
      </c>
    </row>
    <row r="211" spans="1:36" x14ac:dyDescent="0.3">
      <c r="A211" s="5" t="s">
        <v>245</v>
      </c>
      <c r="B211" s="6">
        <v>45552</v>
      </c>
      <c r="C211" s="7">
        <v>0.52083333333333337</v>
      </c>
      <c r="D211" s="5" t="s">
        <v>1874</v>
      </c>
      <c r="E211" s="5" t="s">
        <v>2092</v>
      </c>
      <c r="F211" s="5" t="s">
        <v>2240</v>
      </c>
      <c r="G211" s="5" t="s">
        <v>2243</v>
      </c>
      <c r="H211" s="5" t="s">
        <v>2258</v>
      </c>
      <c r="I211" s="5" t="s">
        <v>2260</v>
      </c>
      <c r="J211" s="5" t="s">
        <v>1761</v>
      </c>
      <c r="K211" s="8">
        <v>3</v>
      </c>
      <c r="L211" s="9">
        <v>70</v>
      </c>
      <c r="M211" s="10">
        <v>0.15</v>
      </c>
      <c r="N211" s="9">
        <f t="shared" si="46"/>
        <v>210</v>
      </c>
      <c r="O211" s="9">
        <f t="shared" si="36"/>
        <v>178.5</v>
      </c>
      <c r="P211" s="5" t="s">
        <v>2268</v>
      </c>
      <c r="Q211" s="5" t="s">
        <v>1761</v>
      </c>
      <c r="R211" s="5" t="s">
        <v>2273</v>
      </c>
      <c r="S211" s="5" t="s">
        <v>2284</v>
      </c>
      <c r="T211" s="5" t="s">
        <v>2288</v>
      </c>
      <c r="U211" s="8">
        <v>5</v>
      </c>
      <c r="V211" s="8">
        <v>348</v>
      </c>
      <c r="W211" s="8">
        <v>11</v>
      </c>
      <c r="X211" s="9">
        <v>37.86</v>
      </c>
      <c r="Y211" s="9">
        <f t="shared" si="37"/>
        <v>64.92</v>
      </c>
      <c r="Z211" s="5" t="s">
        <v>2293</v>
      </c>
      <c r="AA211" s="5" t="s">
        <v>2299</v>
      </c>
      <c r="AB211" s="9">
        <f t="shared" si="38"/>
        <v>210</v>
      </c>
      <c r="AC211" s="9">
        <f t="shared" si="39"/>
        <v>31.5</v>
      </c>
      <c r="AD211" s="9">
        <f t="shared" si="40"/>
        <v>178.5</v>
      </c>
      <c r="AE211" s="9">
        <f t="shared" si="41"/>
        <v>113.58</v>
      </c>
      <c r="AF211" s="9">
        <f t="shared" si="47"/>
        <v>64.92</v>
      </c>
      <c r="AG211" s="8">
        <f t="shared" si="42"/>
        <v>2024</v>
      </c>
      <c r="AH211" s="8">
        <f t="shared" si="43"/>
        <v>9</v>
      </c>
      <c r="AI211" s="5" t="str">
        <f t="shared" si="44"/>
        <v>Sep</v>
      </c>
      <c r="AJ211" s="5" t="str">
        <f t="shared" si="45"/>
        <v>Tuesday</v>
      </c>
    </row>
    <row r="212" spans="1:36" x14ac:dyDescent="0.3">
      <c r="A212" s="5" t="s">
        <v>246</v>
      </c>
      <c r="B212" s="6">
        <v>45405</v>
      </c>
      <c r="C212" s="7">
        <v>0.51041666666666663</v>
      </c>
      <c r="D212" s="5" t="s">
        <v>1875</v>
      </c>
      <c r="E212" s="5" t="s">
        <v>1957</v>
      </c>
      <c r="F212" s="5" t="s">
        <v>2238</v>
      </c>
      <c r="G212" s="5" t="s">
        <v>2245</v>
      </c>
      <c r="H212" s="5" t="s">
        <v>2257</v>
      </c>
      <c r="I212" s="5" t="s">
        <v>2263</v>
      </c>
      <c r="J212" s="5" t="s">
        <v>2266</v>
      </c>
      <c r="K212" s="8">
        <v>1</v>
      </c>
      <c r="L212" s="9">
        <v>155</v>
      </c>
      <c r="M212" s="10">
        <v>0.1</v>
      </c>
      <c r="N212" s="9">
        <f t="shared" si="46"/>
        <v>155</v>
      </c>
      <c r="O212" s="9">
        <f t="shared" si="36"/>
        <v>139.5</v>
      </c>
      <c r="P212" s="5" t="s">
        <v>2269</v>
      </c>
      <c r="Q212" s="5" t="s">
        <v>2270</v>
      </c>
      <c r="R212" s="5" t="s">
        <v>2278</v>
      </c>
      <c r="S212" s="5" t="s">
        <v>2285</v>
      </c>
      <c r="T212" s="5" t="s">
        <v>2288</v>
      </c>
      <c r="U212" s="8">
        <v>2</v>
      </c>
      <c r="V212" s="8">
        <v>260</v>
      </c>
      <c r="W212" s="8">
        <v>18</v>
      </c>
      <c r="X212" s="9">
        <v>78.62</v>
      </c>
      <c r="Y212" s="9">
        <f t="shared" si="37"/>
        <v>60.879999999999995</v>
      </c>
      <c r="Z212" s="5" t="s">
        <v>1761</v>
      </c>
      <c r="AA212" s="5" t="s">
        <v>2298</v>
      </c>
      <c r="AB212" s="9">
        <f t="shared" si="38"/>
        <v>155</v>
      </c>
      <c r="AC212" s="9">
        <f t="shared" si="39"/>
        <v>15.5</v>
      </c>
      <c r="AD212" s="9">
        <f t="shared" si="40"/>
        <v>139.5</v>
      </c>
      <c r="AE212" s="9">
        <f t="shared" si="41"/>
        <v>78.62</v>
      </c>
      <c r="AF212" s="9">
        <f t="shared" si="47"/>
        <v>60.879999999999995</v>
      </c>
      <c r="AG212" s="8">
        <f t="shared" si="42"/>
        <v>2024</v>
      </c>
      <c r="AH212" s="8">
        <f t="shared" si="43"/>
        <v>4</v>
      </c>
      <c r="AI212" s="5" t="str">
        <f t="shared" si="44"/>
        <v>Apr</v>
      </c>
      <c r="AJ212" s="5" t="str">
        <f t="shared" si="45"/>
        <v>Tuesday</v>
      </c>
    </row>
    <row r="213" spans="1:36" x14ac:dyDescent="0.3">
      <c r="A213" s="5" t="s">
        <v>247</v>
      </c>
      <c r="B213" s="6">
        <v>45343</v>
      </c>
      <c r="C213" s="7">
        <v>0.40972222222222221</v>
      </c>
      <c r="D213" s="5" t="s">
        <v>1827</v>
      </c>
      <c r="E213" s="5" t="s">
        <v>2093</v>
      </c>
      <c r="F213" s="5" t="s">
        <v>2239</v>
      </c>
      <c r="G213" s="5" t="s">
        <v>2253</v>
      </c>
      <c r="H213" s="5" t="s">
        <v>2258</v>
      </c>
      <c r="I213" s="5" t="s">
        <v>2260</v>
      </c>
      <c r="J213" s="5" t="s">
        <v>2264</v>
      </c>
      <c r="K213" s="8">
        <v>2</v>
      </c>
      <c r="L213" s="9">
        <v>90</v>
      </c>
      <c r="M213" s="10">
        <v>0.1</v>
      </c>
      <c r="N213" s="9">
        <f t="shared" si="46"/>
        <v>180</v>
      </c>
      <c r="O213" s="9">
        <f t="shared" si="36"/>
        <v>162</v>
      </c>
      <c r="P213" s="5" t="s">
        <v>2268</v>
      </c>
      <c r="Q213" s="5" t="s">
        <v>2271</v>
      </c>
      <c r="R213" s="5" t="s">
        <v>2275</v>
      </c>
      <c r="S213" s="5" t="s">
        <v>2286</v>
      </c>
      <c r="T213" s="5" t="s">
        <v>2288</v>
      </c>
      <c r="U213" s="8">
        <v>5</v>
      </c>
      <c r="V213" s="8">
        <v>331</v>
      </c>
      <c r="W213" s="8">
        <v>37</v>
      </c>
      <c r="X213" s="9">
        <v>49.91</v>
      </c>
      <c r="Y213" s="9">
        <f t="shared" si="37"/>
        <v>62.180000000000007</v>
      </c>
      <c r="Z213" s="5" t="s">
        <v>2293</v>
      </c>
      <c r="AA213" s="5" t="s">
        <v>2299</v>
      </c>
      <c r="AB213" s="9">
        <f t="shared" si="38"/>
        <v>180</v>
      </c>
      <c r="AC213" s="9">
        <f t="shared" si="39"/>
        <v>18</v>
      </c>
      <c r="AD213" s="9">
        <f t="shared" si="40"/>
        <v>162</v>
      </c>
      <c r="AE213" s="9">
        <f t="shared" si="41"/>
        <v>99.82</v>
      </c>
      <c r="AF213" s="9">
        <f t="shared" si="47"/>
        <v>62.180000000000007</v>
      </c>
      <c r="AG213" s="8">
        <f t="shared" si="42"/>
        <v>2024</v>
      </c>
      <c r="AH213" s="8">
        <f t="shared" si="43"/>
        <v>2</v>
      </c>
      <c r="AI213" s="5" t="str">
        <f t="shared" si="44"/>
        <v>Feb</v>
      </c>
      <c r="AJ213" s="5" t="str">
        <f t="shared" si="45"/>
        <v>Wednesday</v>
      </c>
    </row>
    <row r="214" spans="1:36" x14ac:dyDescent="0.3">
      <c r="A214" s="5" t="s">
        <v>248</v>
      </c>
      <c r="B214" s="6">
        <v>45417</v>
      </c>
      <c r="C214" s="7">
        <v>0.79166666666666663</v>
      </c>
      <c r="D214" s="5" t="s">
        <v>1876</v>
      </c>
      <c r="E214" s="5" t="s">
        <v>2059</v>
      </c>
      <c r="F214" s="5" t="s">
        <v>2240</v>
      </c>
      <c r="G214" s="5" t="s">
        <v>2244</v>
      </c>
      <c r="H214" s="5" t="s">
        <v>2257</v>
      </c>
      <c r="I214" s="5" t="s">
        <v>2262</v>
      </c>
      <c r="J214" s="5" t="s">
        <v>2265</v>
      </c>
      <c r="K214" s="8">
        <v>2</v>
      </c>
      <c r="L214" s="9">
        <v>115</v>
      </c>
      <c r="M214" s="10">
        <v>0.1</v>
      </c>
      <c r="N214" s="9">
        <f t="shared" si="46"/>
        <v>230</v>
      </c>
      <c r="O214" s="9">
        <f t="shared" si="36"/>
        <v>207</v>
      </c>
      <c r="P214" s="5" t="s">
        <v>2268</v>
      </c>
      <c r="Q214" s="5" t="s">
        <v>2271</v>
      </c>
      <c r="R214" s="5" t="s">
        <v>2277</v>
      </c>
      <c r="S214" s="5" t="s">
        <v>2284</v>
      </c>
      <c r="T214" s="5" t="s">
        <v>2289</v>
      </c>
      <c r="U214" s="8">
        <v>4</v>
      </c>
      <c r="V214" s="8">
        <v>166</v>
      </c>
      <c r="W214" s="8">
        <v>40</v>
      </c>
      <c r="X214" s="9">
        <v>68.81</v>
      </c>
      <c r="Y214" s="9">
        <f t="shared" si="37"/>
        <v>69.38</v>
      </c>
      <c r="Z214" s="5" t="s">
        <v>1761</v>
      </c>
      <c r="AA214" s="5" t="s">
        <v>2296</v>
      </c>
      <c r="AB214" s="9">
        <f t="shared" si="38"/>
        <v>230</v>
      </c>
      <c r="AC214" s="9">
        <f t="shared" si="39"/>
        <v>23</v>
      </c>
      <c r="AD214" s="9">
        <f t="shared" si="40"/>
        <v>207</v>
      </c>
      <c r="AE214" s="9">
        <f t="shared" si="41"/>
        <v>137.62</v>
      </c>
      <c r="AF214" s="9">
        <f t="shared" si="47"/>
        <v>69.38</v>
      </c>
      <c r="AG214" s="8">
        <f t="shared" si="42"/>
        <v>2024</v>
      </c>
      <c r="AH214" s="8">
        <f t="shared" si="43"/>
        <v>5</v>
      </c>
      <c r="AI214" s="5" t="str">
        <f t="shared" si="44"/>
        <v>May</v>
      </c>
      <c r="AJ214" s="5" t="str">
        <f t="shared" si="45"/>
        <v>Sunday</v>
      </c>
    </row>
    <row r="215" spans="1:36" x14ac:dyDescent="0.3">
      <c r="A215" s="5" t="s">
        <v>249</v>
      </c>
      <c r="B215" s="6">
        <v>45298</v>
      </c>
      <c r="C215" s="7">
        <v>0.47222222222222221</v>
      </c>
      <c r="D215" s="5" t="s">
        <v>1858</v>
      </c>
      <c r="E215" s="5" t="s">
        <v>2094</v>
      </c>
      <c r="F215" s="5" t="s">
        <v>2240</v>
      </c>
      <c r="G215" s="5" t="s">
        <v>2254</v>
      </c>
      <c r="H215" s="5" t="s">
        <v>2259</v>
      </c>
      <c r="I215" s="5" t="s">
        <v>2263</v>
      </c>
      <c r="J215" s="5" t="s">
        <v>2265</v>
      </c>
      <c r="K215" s="8">
        <v>1</v>
      </c>
      <c r="L215" s="9">
        <v>105</v>
      </c>
      <c r="M215" s="10">
        <v>0.1</v>
      </c>
      <c r="N215" s="9">
        <f t="shared" si="46"/>
        <v>105</v>
      </c>
      <c r="O215" s="9">
        <f t="shared" si="36"/>
        <v>94.5</v>
      </c>
      <c r="P215" s="5" t="s">
        <v>2269</v>
      </c>
      <c r="Q215" s="5" t="s">
        <v>1761</v>
      </c>
      <c r="R215" s="5" t="s">
        <v>2273</v>
      </c>
      <c r="S215" s="5" t="s">
        <v>2283</v>
      </c>
      <c r="T215" s="5" t="s">
        <v>2288</v>
      </c>
      <c r="U215" s="8">
        <v>5</v>
      </c>
      <c r="V215" s="8">
        <v>228</v>
      </c>
      <c r="W215" s="8">
        <v>41</v>
      </c>
      <c r="X215" s="9">
        <v>43.61</v>
      </c>
      <c r="Y215" s="9">
        <f t="shared" si="37"/>
        <v>50.89</v>
      </c>
      <c r="Z215" s="5" t="s">
        <v>2292</v>
      </c>
      <c r="AA215" s="5" t="s">
        <v>2296</v>
      </c>
      <c r="AB215" s="9">
        <f t="shared" si="38"/>
        <v>105</v>
      </c>
      <c r="AC215" s="9">
        <f t="shared" si="39"/>
        <v>10.5</v>
      </c>
      <c r="AD215" s="9">
        <f t="shared" si="40"/>
        <v>94.5</v>
      </c>
      <c r="AE215" s="9">
        <f t="shared" si="41"/>
        <v>43.61</v>
      </c>
      <c r="AF215" s="9">
        <f t="shared" si="47"/>
        <v>50.89</v>
      </c>
      <c r="AG215" s="8">
        <f t="shared" si="42"/>
        <v>2024</v>
      </c>
      <c r="AH215" s="8">
        <f t="shared" si="43"/>
        <v>1</v>
      </c>
      <c r="AI215" s="5" t="str">
        <f t="shared" si="44"/>
        <v>Jan</v>
      </c>
      <c r="AJ215" s="5" t="str">
        <f t="shared" si="45"/>
        <v>Sunday</v>
      </c>
    </row>
    <row r="216" spans="1:36" x14ac:dyDescent="0.3">
      <c r="A216" s="5" t="s">
        <v>250</v>
      </c>
      <c r="B216" s="6">
        <v>45451</v>
      </c>
      <c r="C216" s="7">
        <v>0.6875</v>
      </c>
      <c r="D216" s="5" t="s">
        <v>1877</v>
      </c>
      <c r="E216" s="5" t="s">
        <v>2095</v>
      </c>
      <c r="F216" s="5" t="s">
        <v>2240</v>
      </c>
      <c r="G216" s="5" t="s">
        <v>2255</v>
      </c>
      <c r="H216" s="5" t="s">
        <v>2260</v>
      </c>
      <c r="I216" s="5" t="s">
        <v>2260</v>
      </c>
      <c r="J216" s="5" t="s">
        <v>1761</v>
      </c>
      <c r="K216" s="8">
        <v>3</v>
      </c>
      <c r="L216" s="9">
        <v>190</v>
      </c>
      <c r="M216" s="10">
        <v>0</v>
      </c>
      <c r="N216" s="9">
        <f t="shared" si="46"/>
        <v>570</v>
      </c>
      <c r="O216" s="9">
        <f t="shared" si="36"/>
        <v>570</v>
      </c>
      <c r="P216" s="5" t="s">
        <v>2267</v>
      </c>
      <c r="Q216" s="5" t="s">
        <v>2270</v>
      </c>
      <c r="R216" s="5" t="s">
        <v>2273</v>
      </c>
      <c r="S216" s="5" t="s">
        <v>2280</v>
      </c>
      <c r="T216" s="5" t="s">
        <v>2288</v>
      </c>
      <c r="U216" s="8">
        <v>1</v>
      </c>
      <c r="V216" s="8">
        <v>306</v>
      </c>
      <c r="W216" s="8">
        <v>43</v>
      </c>
      <c r="X216" s="9">
        <v>88.08</v>
      </c>
      <c r="Y216" s="9">
        <f t="shared" si="37"/>
        <v>305.76</v>
      </c>
      <c r="Z216" s="5" t="s">
        <v>2293</v>
      </c>
      <c r="AA216" s="5" t="s">
        <v>2298</v>
      </c>
      <c r="AB216" s="9">
        <f t="shared" si="38"/>
        <v>570</v>
      </c>
      <c r="AC216" s="9">
        <f t="shared" si="39"/>
        <v>0</v>
      </c>
      <c r="AD216" s="9">
        <f t="shared" si="40"/>
        <v>570</v>
      </c>
      <c r="AE216" s="9">
        <f t="shared" si="41"/>
        <v>264.24</v>
      </c>
      <c r="AF216" s="9">
        <f t="shared" si="47"/>
        <v>305.76</v>
      </c>
      <c r="AG216" s="8">
        <f t="shared" si="42"/>
        <v>2024</v>
      </c>
      <c r="AH216" s="8">
        <f t="shared" si="43"/>
        <v>6</v>
      </c>
      <c r="AI216" s="5" t="str">
        <f t="shared" si="44"/>
        <v>Jun</v>
      </c>
      <c r="AJ216" s="5" t="str">
        <f t="shared" si="45"/>
        <v>Saturday</v>
      </c>
    </row>
    <row r="217" spans="1:36" x14ac:dyDescent="0.3">
      <c r="A217" s="5" t="s">
        <v>251</v>
      </c>
      <c r="B217" s="6">
        <v>45424</v>
      </c>
      <c r="C217" s="7">
        <v>0.375</v>
      </c>
      <c r="D217" s="5" t="s">
        <v>1831</v>
      </c>
      <c r="E217" s="5" t="s">
        <v>2096</v>
      </c>
      <c r="F217" s="5" t="s">
        <v>2239</v>
      </c>
      <c r="G217" s="5" t="s">
        <v>2253</v>
      </c>
      <c r="H217" s="5" t="s">
        <v>2258</v>
      </c>
      <c r="I217" s="5" t="s">
        <v>2260</v>
      </c>
      <c r="J217" s="5" t="s">
        <v>2265</v>
      </c>
      <c r="K217" s="8">
        <v>1</v>
      </c>
      <c r="L217" s="9">
        <v>90</v>
      </c>
      <c r="M217" s="10">
        <v>0.05</v>
      </c>
      <c r="N217" s="9">
        <f t="shared" si="46"/>
        <v>90</v>
      </c>
      <c r="O217" s="9">
        <f t="shared" si="36"/>
        <v>85.5</v>
      </c>
      <c r="P217" s="5" t="s">
        <v>2269</v>
      </c>
      <c r="Q217" s="5" t="s">
        <v>2270</v>
      </c>
      <c r="R217" s="5" t="s">
        <v>2276</v>
      </c>
      <c r="S217" s="5" t="s">
        <v>2283</v>
      </c>
      <c r="T217" s="5" t="s">
        <v>2288</v>
      </c>
      <c r="U217" s="8">
        <v>5</v>
      </c>
      <c r="V217" s="8">
        <v>318</v>
      </c>
      <c r="W217" s="8">
        <v>16</v>
      </c>
      <c r="X217" s="9">
        <v>48.83</v>
      </c>
      <c r="Y217" s="9">
        <f t="shared" si="37"/>
        <v>36.67</v>
      </c>
      <c r="Z217" s="5" t="s">
        <v>1761</v>
      </c>
      <c r="AA217" s="5" t="s">
        <v>2297</v>
      </c>
      <c r="AB217" s="9">
        <f t="shared" si="38"/>
        <v>90</v>
      </c>
      <c r="AC217" s="9">
        <f t="shared" si="39"/>
        <v>4.5</v>
      </c>
      <c r="AD217" s="9">
        <f t="shared" si="40"/>
        <v>85.5</v>
      </c>
      <c r="AE217" s="9">
        <f t="shared" si="41"/>
        <v>48.83</v>
      </c>
      <c r="AF217" s="9">
        <f t="shared" si="47"/>
        <v>36.67</v>
      </c>
      <c r="AG217" s="8">
        <f t="shared" si="42"/>
        <v>2024</v>
      </c>
      <c r="AH217" s="8">
        <f t="shared" si="43"/>
        <v>5</v>
      </c>
      <c r="AI217" s="5" t="str">
        <f t="shared" si="44"/>
        <v>May</v>
      </c>
      <c r="AJ217" s="5" t="str">
        <f t="shared" si="45"/>
        <v>Sunday</v>
      </c>
    </row>
    <row r="218" spans="1:36" x14ac:dyDescent="0.3">
      <c r="A218" s="5" t="s">
        <v>252</v>
      </c>
      <c r="B218" s="6">
        <v>45304</v>
      </c>
      <c r="C218" s="7">
        <v>0.46527777777777779</v>
      </c>
      <c r="D218" s="5" t="s">
        <v>1845</v>
      </c>
      <c r="E218" s="5" t="s">
        <v>2097</v>
      </c>
      <c r="F218" s="5" t="s">
        <v>1761</v>
      </c>
      <c r="G218" s="5" t="s">
        <v>2245</v>
      </c>
      <c r="H218" s="5" t="s">
        <v>2257</v>
      </c>
      <c r="I218" s="5" t="s">
        <v>2263</v>
      </c>
      <c r="J218" s="5" t="s">
        <v>2265</v>
      </c>
      <c r="K218" s="8">
        <v>3</v>
      </c>
      <c r="L218" s="9">
        <v>145</v>
      </c>
      <c r="M218" s="10">
        <v>0.05</v>
      </c>
      <c r="N218" s="9">
        <f t="shared" si="46"/>
        <v>435</v>
      </c>
      <c r="O218" s="9">
        <f t="shared" si="36"/>
        <v>413.25</v>
      </c>
      <c r="P218" s="5" t="s">
        <v>2268</v>
      </c>
      <c r="Q218" s="5" t="s">
        <v>2270</v>
      </c>
      <c r="R218" s="5" t="s">
        <v>2276</v>
      </c>
      <c r="S218" s="5" t="s">
        <v>2280</v>
      </c>
      <c r="T218" s="5" t="s">
        <v>2288</v>
      </c>
      <c r="U218" s="8">
        <v>2</v>
      </c>
      <c r="V218" s="8">
        <v>19</v>
      </c>
      <c r="W218" s="8">
        <v>23</v>
      </c>
      <c r="X218" s="9">
        <v>82.2</v>
      </c>
      <c r="Y218" s="9">
        <f t="shared" si="37"/>
        <v>166.64999999999998</v>
      </c>
      <c r="Z218" s="5" t="s">
        <v>2291</v>
      </c>
      <c r="AA218" s="5" t="s">
        <v>2296</v>
      </c>
      <c r="AB218" s="9">
        <f t="shared" si="38"/>
        <v>435</v>
      </c>
      <c r="AC218" s="9">
        <f t="shared" si="39"/>
        <v>21.75</v>
      </c>
      <c r="AD218" s="9">
        <f t="shared" si="40"/>
        <v>413.25</v>
      </c>
      <c r="AE218" s="9">
        <f t="shared" si="41"/>
        <v>246.60000000000002</v>
      </c>
      <c r="AF218" s="9">
        <f t="shared" si="47"/>
        <v>166.64999999999998</v>
      </c>
      <c r="AG218" s="8">
        <f t="shared" si="42"/>
        <v>2024</v>
      </c>
      <c r="AH218" s="8">
        <f t="shared" si="43"/>
        <v>1</v>
      </c>
      <c r="AI218" s="5" t="str">
        <f t="shared" si="44"/>
        <v>Jan</v>
      </c>
      <c r="AJ218" s="5" t="str">
        <f t="shared" si="45"/>
        <v>Saturday</v>
      </c>
    </row>
    <row r="219" spans="1:36" x14ac:dyDescent="0.3">
      <c r="A219" s="5" t="s">
        <v>253</v>
      </c>
      <c r="B219" s="6">
        <v>45492</v>
      </c>
      <c r="C219" s="7">
        <v>0.82638888888888884</v>
      </c>
      <c r="D219" s="5" t="s">
        <v>1878</v>
      </c>
      <c r="E219" s="5" t="s">
        <v>2039</v>
      </c>
      <c r="F219" s="5" t="s">
        <v>2238</v>
      </c>
      <c r="G219" s="5" t="s">
        <v>2241</v>
      </c>
      <c r="H219" s="5" t="s">
        <v>2257</v>
      </c>
      <c r="I219" s="5" t="s">
        <v>2262</v>
      </c>
      <c r="J219" s="5" t="s">
        <v>1761</v>
      </c>
      <c r="K219" s="8">
        <v>2</v>
      </c>
      <c r="L219" s="9">
        <v>135</v>
      </c>
      <c r="M219" s="10">
        <v>0.1</v>
      </c>
      <c r="N219" s="9">
        <f t="shared" si="46"/>
        <v>270</v>
      </c>
      <c r="O219" s="9">
        <f t="shared" si="36"/>
        <v>243</v>
      </c>
      <c r="P219" s="5" t="s">
        <v>2269</v>
      </c>
      <c r="Q219" s="5" t="s">
        <v>2271</v>
      </c>
      <c r="R219" s="5" t="s">
        <v>2279</v>
      </c>
      <c r="S219" s="5" t="s">
        <v>2286</v>
      </c>
      <c r="T219" s="5" t="s">
        <v>2288</v>
      </c>
      <c r="U219" s="8">
        <v>2</v>
      </c>
      <c r="V219" s="8">
        <v>30</v>
      </c>
      <c r="W219" s="8">
        <v>22</v>
      </c>
      <c r="X219" s="9">
        <v>71.3</v>
      </c>
      <c r="Y219" s="9">
        <f t="shared" si="37"/>
        <v>100.4</v>
      </c>
      <c r="Z219" s="5" t="s">
        <v>1761</v>
      </c>
      <c r="AA219" s="5" t="s">
        <v>1761</v>
      </c>
      <c r="AB219" s="9">
        <f t="shared" si="38"/>
        <v>270</v>
      </c>
      <c r="AC219" s="9">
        <f t="shared" si="39"/>
        <v>27</v>
      </c>
      <c r="AD219" s="9">
        <f t="shared" si="40"/>
        <v>243</v>
      </c>
      <c r="AE219" s="9">
        <f t="shared" si="41"/>
        <v>142.6</v>
      </c>
      <c r="AF219" s="9">
        <f t="shared" si="47"/>
        <v>100.4</v>
      </c>
      <c r="AG219" s="8">
        <f t="shared" si="42"/>
        <v>2024</v>
      </c>
      <c r="AH219" s="8">
        <f t="shared" si="43"/>
        <v>7</v>
      </c>
      <c r="AI219" s="5" t="str">
        <f t="shared" si="44"/>
        <v>Jul</v>
      </c>
      <c r="AJ219" s="5" t="str">
        <f t="shared" si="45"/>
        <v>Friday</v>
      </c>
    </row>
    <row r="220" spans="1:36" x14ac:dyDescent="0.3">
      <c r="A220" s="5" t="s">
        <v>254</v>
      </c>
      <c r="B220" s="6">
        <v>45356</v>
      </c>
      <c r="C220" s="7">
        <v>0.80555555555555558</v>
      </c>
      <c r="D220" s="5" t="s">
        <v>1761</v>
      </c>
      <c r="E220" s="5" t="s">
        <v>2098</v>
      </c>
      <c r="F220" s="5" t="s">
        <v>1761</v>
      </c>
      <c r="G220" s="5" t="s">
        <v>2253</v>
      </c>
      <c r="H220" s="5" t="s">
        <v>2258</v>
      </c>
      <c r="I220" s="5" t="s">
        <v>2260</v>
      </c>
      <c r="J220" s="5" t="s">
        <v>2265</v>
      </c>
      <c r="K220" s="8">
        <v>2</v>
      </c>
      <c r="L220" s="9">
        <v>90</v>
      </c>
      <c r="M220" s="10">
        <v>0.05</v>
      </c>
      <c r="N220" s="9">
        <f t="shared" si="46"/>
        <v>180</v>
      </c>
      <c r="O220" s="9">
        <f t="shared" si="36"/>
        <v>171</v>
      </c>
      <c r="P220" s="5" t="s">
        <v>2268</v>
      </c>
      <c r="Q220" s="5" t="s">
        <v>1761</v>
      </c>
      <c r="R220" s="5" t="s">
        <v>2273</v>
      </c>
      <c r="S220" s="5" t="s">
        <v>2280</v>
      </c>
      <c r="T220" s="5" t="s">
        <v>2290</v>
      </c>
      <c r="U220" s="8">
        <v>5</v>
      </c>
      <c r="V220" s="8">
        <v>453</v>
      </c>
      <c r="W220" s="19">
        <v>36</v>
      </c>
      <c r="X220" s="9">
        <v>46.39</v>
      </c>
      <c r="Y220" s="9">
        <f t="shared" si="37"/>
        <v>78.22</v>
      </c>
      <c r="Z220" s="5" t="s">
        <v>2293</v>
      </c>
      <c r="AA220" s="5" t="s">
        <v>2298</v>
      </c>
      <c r="AB220" s="9">
        <f t="shared" si="38"/>
        <v>180</v>
      </c>
      <c r="AC220" s="9">
        <f t="shared" si="39"/>
        <v>9</v>
      </c>
      <c r="AD220" s="9">
        <f t="shared" si="40"/>
        <v>171</v>
      </c>
      <c r="AE220" s="9">
        <f t="shared" si="41"/>
        <v>92.78</v>
      </c>
      <c r="AF220" s="9">
        <f t="shared" si="47"/>
        <v>78.22</v>
      </c>
      <c r="AG220" s="8">
        <f t="shared" si="42"/>
        <v>2024</v>
      </c>
      <c r="AH220" s="8">
        <f t="shared" si="43"/>
        <v>3</v>
      </c>
      <c r="AI220" s="5" t="str">
        <f t="shared" si="44"/>
        <v>Mar</v>
      </c>
      <c r="AJ220" s="5" t="str">
        <f t="shared" si="45"/>
        <v>Tuesday</v>
      </c>
    </row>
    <row r="221" spans="1:36" x14ac:dyDescent="0.3">
      <c r="A221" s="5" t="s">
        <v>255</v>
      </c>
      <c r="B221" s="6">
        <v>45472</v>
      </c>
      <c r="C221" s="7">
        <v>0.375</v>
      </c>
      <c r="D221" s="5" t="s">
        <v>1807</v>
      </c>
      <c r="E221" s="5" t="s">
        <v>1761</v>
      </c>
      <c r="F221" s="5" t="s">
        <v>2239</v>
      </c>
      <c r="G221" s="5" t="s">
        <v>2251</v>
      </c>
      <c r="H221" s="5" t="s">
        <v>2258</v>
      </c>
      <c r="I221" s="5" t="s">
        <v>2260</v>
      </c>
      <c r="J221" s="5" t="s">
        <v>2266</v>
      </c>
      <c r="K221" s="8">
        <v>1</v>
      </c>
      <c r="L221" s="9">
        <v>105</v>
      </c>
      <c r="M221" s="10">
        <v>0.05</v>
      </c>
      <c r="N221" s="9">
        <f t="shared" si="46"/>
        <v>105</v>
      </c>
      <c r="O221" s="9">
        <f t="shared" si="36"/>
        <v>99.75</v>
      </c>
      <c r="P221" s="5" t="s">
        <v>2268</v>
      </c>
      <c r="Q221" s="5" t="s">
        <v>2270</v>
      </c>
      <c r="R221" s="5" t="s">
        <v>2275</v>
      </c>
      <c r="S221" s="5" t="s">
        <v>2285</v>
      </c>
      <c r="T221" s="5" t="s">
        <v>2289</v>
      </c>
      <c r="U221" s="19">
        <v>3</v>
      </c>
      <c r="V221" s="8">
        <v>305</v>
      </c>
      <c r="W221" s="19">
        <v>34</v>
      </c>
      <c r="X221" s="9">
        <v>50.9</v>
      </c>
      <c r="Y221" s="9">
        <f t="shared" si="37"/>
        <v>48.85</v>
      </c>
      <c r="Z221" s="5" t="s">
        <v>2292</v>
      </c>
      <c r="AA221" s="5" t="s">
        <v>2296</v>
      </c>
      <c r="AB221" s="9">
        <f t="shared" si="38"/>
        <v>105</v>
      </c>
      <c r="AC221" s="9">
        <f t="shared" si="39"/>
        <v>5.25</v>
      </c>
      <c r="AD221" s="9">
        <f t="shared" si="40"/>
        <v>99.75</v>
      </c>
      <c r="AE221" s="9">
        <f t="shared" si="41"/>
        <v>50.9</v>
      </c>
      <c r="AF221" s="9">
        <f t="shared" si="47"/>
        <v>48.85</v>
      </c>
      <c r="AG221" s="8">
        <f t="shared" si="42"/>
        <v>2024</v>
      </c>
      <c r="AH221" s="8">
        <f t="shared" si="43"/>
        <v>6</v>
      </c>
      <c r="AI221" s="5" t="str">
        <f t="shared" si="44"/>
        <v>Jun</v>
      </c>
      <c r="AJ221" s="5" t="str">
        <f t="shared" si="45"/>
        <v>Saturday</v>
      </c>
    </row>
    <row r="222" spans="1:36" x14ac:dyDescent="0.3">
      <c r="A222" s="5" t="s">
        <v>256</v>
      </c>
      <c r="B222" s="6">
        <v>45304</v>
      </c>
      <c r="C222" s="7">
        <v>0.44791666666666669</v>
      </c>
      <c r="D222" s="5" t="s">
        <v>1840</v>
      </c>
      <c r="E222" s="5" t="s">
        <v>2099</v>
      </c>
      <c r="F222" s="5" t="s">
        <v>2240</v>
      </c>
      <c r="G222" s="5" t="s">
        <v>2244</v>
      </c>
      <c r="H222" s="5" t="s">
        <v>2257</v>
      </c>
      <c r="I222" s="5" t="s">
        <v>2262</v>
      </c>
      <c r="J222" s="5" t="s">
        <v>1761</v>
      </c>
      <c r="K222" s="8">
        <v>1</v>
      </c>
      <c r="L222" s="9">
        <v>115</v>
      </c>
      <c r="M222" s="10">
        <v>0.1</v>
      </c>
      <c r="N222" s="9">
        <f t="shared" si="46"/>
        <v>115</v>
      </c>
      <c r="O222" s="9">
        <f t="shared" si="36"/>
        <v>103.5</v>
      </c>
      <c r="P222" s="5" t="s">
        <v>2267</v>
      </c>
      <c r="Q222" s="5" t="s">
        <v>2270</v>
      </c>
      <c r="R222" s="5" t="s">
        <v>2273</v>
      </c>
      <c r="S222" s="5" t="s">
        <v>2280</v>
      </c>
      <c r="T222" s="5" t="s">
        <v>2288</v>
      </c>
      <c r="U222" s="8">
        <v>5</v>
      </c>
      <c r="V222" s="8">
        <v>459</v>
      </c>
      <c r="W222" s="8">
        <v>34</v>
      </c>
      <c r="X222" s="9">
        <v>67.42</v>
      </c>
      <c r="Y222" s="9">
        <f t="shared" si="37"/>
        <v>36.08</v>
      </c>
      <c r="Z222" s="5" t="s">
        <v>2292</v>
      </c>
      <c r="AA222" s="5" t="s">
        <v>1761</v>
      </c>
      <c r="AB222" s="9">
        <f t="shared" si="38"/>
        <v>115</v>
      </c>
      <c r="AC222" s="9">
        <f t="shared" si="39"/>
        <v>11.5</v>
      </c>
      <c r="AD222" s="9">
        <f t="shared" si="40"/>
        <v>103.5</v>
      </c>
      <c r="AE222" s="9">
        <f t="shared" si="41"/>
        <v>67.42</v>
      </c>
      <c r="AF222" s="9">
        <f t="shared" si="47"/>
        <v>36.08</v>
      </c>
      <c r="AG222" s="8">
        <f t="shared" si="42"/>
        <v>2024</v>
      </c>
      <c r="AH222" s="8">
        <f t="shared" si="43"/>
        <v>1</v>
      </c>
      <c r="AI222" s="5" t="str">
        <f t="shared" si="44"/>
        <v>Jan</v>
      </c>
      <c r="AJ222" s="5" t="str">
        <f t="shared" si="45"/>
        <v>Saturday</v>
      </c>
    </row>
    <row r="223" spans="1:36" x14ac:dyDescent="0.3">
      <c r="A223" s="5" t="s">
        <v>257</v>
      </c>
      <c r="B223" s="6">
        <v>45378</v>
      </c>
      <c r="C223" s="7">
        <v>0.55208333333333337</v>
      </c>
      <c r="D223" s="5" t="s">
        <v>1772</v>
      </c>
      <c r="E223" s="5" t="s">
        <v>1967</v>
      </c>
      <c r="F223" s="5" t="s">
        <v>2239</v>
      </c>
      <c r="G223" s="5" t="s">
        <v>2244</v>
      </c>
      <c r="H223" s="5" t="s">
        <v>2257</v>
      </c>
      <c r="I223" s="5" t="s">
        <v>2262</v>
      </c>
      <c r="J223" s="5" t="s">
        <v>2266</v>
      </c>
      <c r="K223" s="8">
        <v>3</v>
      </c>
      <c r="L223" s="9">
        <v>115</v>
      </c>
      <c r="M223" s="10">
        <v>0.05</v>
      </c>
      <c r="N223" s="9">
        <f t="shared" si="46"/>
        <v>345</v>
      </c>
      <c r="O223" s="9">
        <f t="shared" si="36"/>
        <v>327.75</v>
      </c>
      <c r="P223" s="5" t="s">
        <v>2267</v>
      </c>
      <c r="Q223" s="5" t="s">
        <v>1761</v>
      </c>
      <c r="R223" s="5" t="s">
        <v>2274</v>
      </c>
      <c r="S223" s="5" t="s">
        <v>2280</v>
      </c>
      <c r="T223" s="5" t="s">
        <v>2288</v>
      </c>
      <c r="U223" s="8">
        <v>5</v>
      </c>
      <c r="V223" s="8">
        <v>78</v>
      </c>
      <c r="W223" s="19">
        <v>36</v>
      </c>
      <c r="X223" s="9">
        <v>63.87</v>
      </c>
      <c r="Y223" s="9">
        <f t="shared" si="37"/>
        <v>136.14000000000001</v>
      </c>
      <c r="Z223" s="5" t="s">
        <v>2291</v>
      </c>
      <c r="AA223" s="5" t="s">
        <v>1761</v>
      </c>
      <c r="AB223" s="9">
        <f t="shared" si="38"/>
        <v>345</v>
      </c>
      <c r="AC223" s="9">
        <f t="shared" si="39"/>
        <v>17.25</v>
      </c>
      <c r="AD223" s="9">
        <f t="shared" si="40"/>
        <v>327.75</v>
      </c>
      <c r="AE223" s="9">
        <f t="shared" si="41"/>
        <v>191.60999999999999</v>
      </c>
      <c r="AF223" s="9">
        <f t="shared" si="47"/>
        <v>136.14000000000001</v>
      </c>
      <c r="AG223" s="8">
        <f t="shared" si="42"/>
        <v>2024</v>
      </c>
      <c r="AH223" s="8">
        <f t="shared" si="43"/>
        <v>3</v>
      </c>
      <c r="AI223" s="5" t="str">
        <f t="shared" si="44"/>
        <v>Mar</v>
      </c>
      <c r="AJ223" s="5" t="str">
        <f t="shared" si="45"/>
        <v>Wednesday</v>
      </c>
    </row>
    <row r="224" spans="1:36" x14ac:dyDescent="0.3">
      <c r="A224" s="5" t="s">
        <v>258</v>
      </c>
      <c r="B224" s="6">
        <v>45352</v>
      </c>
      <c r="C224" s="7">
        <v>0.69791666666666663</v>
      </c>
      <c r="D224" s="5" t="s">
        <v>1879</v>
      </c>
      <c r="E224" s="5" t="s">
        <v>2057</v>
      </c>
      <c r="F224" s="5" t="s">
        <v>2239</v>
      </c>
      <c r="G224" s="5" t="s">
        <v>2243</v>
      </c>
      <c r="H224" s="5" t="s">
        <v>2258</v>
      </c>
      <c r="I224" s="5" t="s">
        <v>2260</v>
      </c>
      <c r="J224" s="5" t="s">
        <v>2266</v>
      </c>
      <c r="K224" s="19">
        <v>4</v>
      </c>
      <c r="L224" s="9">
        <v>70</v>
      </c>
      <c r="M224" s="10">
        <v>0.05</v>
      </c>
      <c r="N224" s="9">
        <f t="shared" si="46"/>
        <v>280</v>
      </c>
      <c r="O224" s="9">
        <f t="shared" si="36"/>
        <v>266</v>
      </c>
      <c r="P224" s="5" t="s">
        <v>2269</v>
      </c>
      <c r="Q224" s="5" t="s">
        <v>2272</v>
      </c>
      <c r="R224" s="5" t="s">
        <v>2278</v>
      </c>
      <c r="S224" s="5" t="s">
        <v>2285</v>
      </c>
      <c r="T224" s="5" t="s">
        <v>2290</v>
      </c>
      <c r="U224" s="8">
        <v>2</v>
      </c>
      <c r="V224" s="8">
        <v>50</v>
      </c>
      <c r="W224" s="19">
        <v>35</v>
      </c>
      <c r="X224" s="9">
        <v>24.7</v>
      </c>
      <c r="Y224" s="9">
        <f t="shared" si="37"/>
        <v>167.2</v>
      </c>
      <c r="Z224" s="5" t="s">
        <v>2293</v>
      </c>
      <c r="AA224" s="5" t="s">
        <v>2296</v>
      </c>
      <c r="AB224" s="9">
        <f t="shared" si="38"/>
        <v>280</v>
      </c>
      <c r="AC224" s="9">
        <f t="shared" si="39"/>
        <v>14</v>
      </c>
      <c r="AD224" s="9">
        <f t="shared" si="40"/>
        <v>266</v>
      </c>
      <c r="AE224" s="9">
        <f t="shared" si="41"/>
        <v>98.8</v>
      </c>
      <c r="AF224" s="9">
        <f t="shared" si="47"/>
        <v>167.2</v>
      </c>
      <c r="AG224" s="8">
        <f t="shared" si="42"/>
        <v>2024</v>
      </c>
      <c r="AH224" s="8">
        <f t="shared" si="43"/>
        <v>3</v>
      </c>
      <c r="AI224" s="5" t="str">
        <f t="shared" si="44"/>
        <v>Mar</v>
      </c>
      <c r="AJ224" s="5" t="str">
        <f t="shared" si="45"/>
        <v>Friday</v>
      </c>
    </row>
    <row r="225" spans="1:36" x14ac:dyDescent="0.3">
      <c r="A225" s="5" t="s">
        <v>259</v>
      </c>
      <c r="B225" s="6">
        <v>45640</v>
      </c>
      <c r="C225" s="7">
        <v>0.43055555555555558</v>
      </c>
      <c r="D225" s="5" t="s">
        <v>1870</v>
      </c>
      <c r="E225" s="5" t="s">
        <v>2100</v>
      </c>
      <c r="F225" s="5" t="s">
        <v>2238</v>
      </c>
      <c r="G225" s="5" t="s">
        <v>2250</v>
      </c>
      <c r="H225" s="5" t="s">
        <v>2259</v>
      </c>
      <c r="I225" s="5" t="s">
        <v>2262</v>
      </c>
      <c r="J225" s="5" t="s">
        <v>2265</v>
      </c>
      <c r="K225" s="8">
        <v>4</v>
      </c>
      <c r="L225" s="9">
        <v>80</v>
      </c>
      <c r="M225" s="10">
        <v>0.05</v>
      </c>
      <c r="N225" s="9">
        <f t="shared" si="46"/>
        <v>320</v>
      </c>
      <c r="O225" s="9">
        <f t="shared" si="36"/>
        <v>304</v>
      </c>
      <c r="P225" s="5" t="s">
        <v>2267</v>
      </c>
      <c r="Q225" s="5" t="s">
        <v>2272</v>
      </c>
      <c r="R225" s="5" t="s">
        <v>2273</v>
      </c>
      <c r="S225" s="5" t="s">
        <v>2282</v>
      </c>
      <c r="T225" s="5" t="s">
        <v>2288</v>
      </c>
      <c r="U225" s="8">
        <v>4</v>
      </c>
      <c r="V225" s="8">
        <v>457</v>
      </c>
      <c r="W225" s="8">
        <v>54</v>
      </c>
      <c r="X225" s="9">
        <v>38.6</v>
      </c>
      <c r="Y225" s="9">
        <f t="shared" si="37"/>
        <v>149.6</v>
      </c>
      <c r="Z225" s="5" t="s">
        <v>2293</v>
      </c>
      <c r="AA225" s="5" t="s">
        <v>2296</v>
      </c>
      <c r="AB225" s="9">
        <f t="shared" si="38"/>
        <v>320</v>
      </c>
      <c r="AC225" s="9">
        <f t="shared" si="39"/>
        <v>16</v>
      </c>
      <c r="AD225" s="9">
        <f t="shared" si="40"/>
        <v>304</v>
      </c>
      <c r="AE225" s="9">
        <f t="shared" si="41"/>
        <v>154.4</v>
      </c>
      <c r="AF225" s="9">
        <f t="shared" si="47"/>
        <v>149.6</v>
      </c>
      <c r="AG225" s="8">
        <f t="shared" si="42"/>
        <v>2024</v>
      </c>
      <c r="AH225" s="8">
        <f t="shared" si="43"/>
        <v>12</v>
      </c>
      <c r="AI225" s="5" t="str">
        <f t="shared" si="44"/>
        <v>Dec</v>
      </c>
      <c r="AJ225" s="5" t="str">
        <f t="shared" si="45"/>
        <v>Saturday</v>
      </c>
    </row>
    <row r="226" spans="1:36" x14ac:dyDescent="0.3">
      <c r="A226" s="5" t="s">
        <v>260</v>
      </c>
      <c r="B226" s="6">
        <v>45408</v>
      </c>
      <c r="C226" s="7">
        <v>0.60416666666666663</v>
      </c>
      <c r="D226" s="5" t="s">
        <v>1761</v>
      </c>
      <c r="E226" s="5" t="s">
        <v>2005</v>
      </c>
      <c r="F226" s="5" t="s">
        <v>2238</v>
      </c>
      <c r="G226" s="5" t="s">
        <v>2251</v>
      </c>
      <c r="H226" s="5" t="s">
        <v>2258</v>
      </c>
      <c r="I226" s="5" t="s">
        <v>2260</v>
      </c>
      <c r="J226" s="5" t="s">
        <v>2264</v>
      </c>
      <c r="K226" s="8">
        <v>1</v>
      </c>
      <c r="L226" s="9">
        <v>95</v>
      </c>
      <c r="M226" s="10">
        <v>0</v>
      </c>
      <c r="N226" s="9">
        <f t="shared" si="46"/>
        <v>95</v>
      </c>
      <c r="O226" s="9">
        <f t="shared" si="36"/>
        <v>95</v>
      </c>
      <c r="P226" s="5" t="s">
        <v>2267</v>
      </c>
      <c r="Q226" s="5" t="s">
        <v>2271</v>
      </c>
      <c r="R226" s="5" t="s">
        <v>2275</v>
      </c>
      <c r="S226" s="5" t="s">
        <v>2284</v>
      </c>
      <c r="T226" s="5" t="s">
        <v>2288</v>
      </c>
      <c r="U226" s="8">
        <v>5</v>
      </c>
      <c r="V226" s="8">
        <v>423</v>
      </c>
      <c r="W226" s="19">
        <v>37</v>
      </c>
      <c r="X226" s="9">
        <v>39.78</v>
      </c>
      <c r="Y226" s="9">
        <f t="shared" si="37"/>
        <v>55.22</v>
      </c>
      <c r="Z226" s="5" t="s">
        <v>2293</v>
      </c>
      <c r="AA226" s="5" t="s">
        <v>2299</v>
      </c>
      <c r="AB226" s="9">
        <f t="shared" si="38"/>
        <v>95</v>
      </c>
      <c r="AC226" s="9">
        <f t="shared" si="39"/>
        <v>0</v>
      </c>
      <c r="AD226" s="9">
        <f t="shared" si="40"/>
        <v>95</v>
      </c>
      <c r="AE226" s="9">
        <f t="shared" si="41"/>
        <v>39.78</v>
      </c>
      <c r="AF226" s="9">
        <f t="shared" si="47"/>
        <v>55.22</v>
      </c>
      <c r="AG226" s="8">
        <f t="shared" si="42"/>
        <v>2024</v>
      </c>
      <c r="AH226" s="8">
        <f t="shared" si="43"/>
        <v>4</v>
      </c>
      <c r="AI226" s="5" t="str">
        <f t="shared" si="44"/>
        <v>Apr</v>
      </c>
      <c r="AJ226" s="5" t="str">
        <f t="shared" si="45"/>
        <v>Friday</v>
      </c>
    </row>
    <row r="227" spans="1:36" x14ac:dyDescent="0.3">
      <c r="A227" s="5" t="s">
        <v>261</v>
      </c>
      <c r="B227" s="6">
        <v>45484</v>
      </c>
      <c r="C227" s="7">
        <v>0.375</v>
      </c>
      <c r="D227" s="5" t="s">
        <v>1835</v>
      </c>
      <c r="E227" s="5" t="s">
        <v>2031</v>
      </c>
      <c r="F227" s="5" t="s">
        <v>2238</v>
      </c>
      <c r="G227" s="5" t="s">
        <v>2243</v>
      </c>
      <c r="H227" s="5" t="s">
        <v>2258</v>
      </c>
      <c r="I227" s="5" t="s">
        <v>2260</v>
      </c>
      <c r="J227" s="5" t="s">
        <v>2264</v>
      </c>
      <c r="K227" s="8">
        <v>1</v>
      </c>
      <c r="L227" s="9">
        <v>75</v>
      </c>
      <c r="M227" s="10">
        <v>0</v>
      </c>
      <c r="N227" s="9">
        <f t="shared" si="46"/>
        <v>75</v>
      </c>
      <c r="O227" s="9">
        <f t="shared" si="36"/>
        <v>75</v>
      </c>
      <c r="P227" s="5" t="s">
        <v>1761</v>
      </c>
      <c r="Q227" s="5" t="s">
        <v>2271</v>
      </c>
      <c r="R227" s="5" t="s">
        <v>2279</v>
      </c>
      <c r="S227" s="5" t="s">
        <v>2283</v>
      </c>
      <c r="T227" s="5" t="s">
        <v>2289</v>
      </c>
      <c r="U227" s="8">
        <v>2</v>
      </c>
      <c r="V227" s="8">
        <v>120</v>
      </c>
      <c r="W227" s="8">
        <v>54</v>
      </c>
      <c r="X227" s="9">
        <v>40.98</v>
      </c>
      <c r="Y227" s="9">
        <f t="shared" si="37"/>
        <v>34.020000000000003</v>
      </c>
      <c r="Z227" s="5" t="s">
        <v>2292</v>
      </c>
      <c r="AA227" s="5" t="s">
        <v>2297</v>
      </c>
      <c r="AB227" s="9">
        <f t="shared" si="38"/>
        <v>75</v>
      </c>
      <c r="AC227" s="9">
        <f t="shared" si="39"/>
        <v>0</v>
      </c>
      <c r="AD227" s="9">
        <f t="shared" si="40"/>
        <v>75</v>
      </c>
      <c r="AE227" s="9">
        <f t="shared" si="41"/>
        <v>40.98</v>
      </c>
      <c r="AF227" s="9">
        <f t="shared" si="47"/>
        <v>34.020000000000003</v>
      </c>
      <c r="AG227" s="8">
        <f t="shared" si="42"/>
        <v>2024</v>
      </c>
      <c r="AH227" s="8">
        <f t="shared" si="43"/>
        <v>7</v>
      </c>
      <c r="AI227" s="5" t="str">
        <f t="shared" si="44"/>
        <v>Jul</v>
      </c>
      <c r="AJ227" s="5" t="str">
        <f t="shared" si="45"/>
        <v>Thursday</v>
      </c>
    </row>
    <row r="228" spans="1:36" x14ac:dyDescent="0.3">
      <c r="A228" s="5" t="s">
        <v>262</v>
      </c>
      <c r="B228" s="6">
        <v>45373</v>
      </c>
      <c r="C228" s="7">
        <v>0.88541666666666663</v>
      </c>
      <c r="D228" s="5" t="s">
        <v>1794</v>
      </c>
      <c r="E228" s="5" t="s">
        <v>1957</v>
      </c>
      <c r="F228" s="5" t="s">
        <v>1761</v>
      </c>
      <c r="G228" s="5" t="s">
        <v>2253</v>
      </c>
      <c r="H228" s="5" t="s">
        <v>2258</v>
      </c>
      <c r="I228" s="5" t="s">
        <v>2260</v>
      </c>
      <c r="J228" s="5" t="s">
        <v>2265</v>
      </c>
      <c r="K228" s="8">
        <v>2</v>
      </c>
      <c r="L228" s="9">
        <v>100</v>
      </c>
      <c r="M228" s="10">
        <v>0</v>
      </c>
      <c r="N228" s="9">
        <f t="shared" si="46"/>
        <v>200</v>
      </c>
      <c r="O228" s="9">
        <f t="shared" si="36"/>
        <v>200</v>
      </c>
      <c r="P228" s="5" t="s">
        <v>2267</v>
      </c>
      <c r="Q228" s="5" t="s">
        <v>2270</v>
      </c>
      <c r="R228" s="5" t="s">
        <v>2277</v>
      </c>
      <c r="S228" s="5" t="s">
        <v>2284</v>
      </c>
      <c r="T228" s="5" t="s">
        <v>2288</v>
      </c>
      <c r="U228" s="8">
        <v>1</v>
      </c>
      <c r="V228" s="8">
        <v>452</v>
      </c>
      <c r="W228" s="8">
        <v>19</v>
      </c>
      <c r="X228" s="9">
        <v>53.49</v>
      </c>
      <c r="Y228" s="9">
        <f t="shared" si="37"/>
        <v>93.02</v>
      </c>
      <c r="Z228" s="5" t="s">
        <v>2292</v>
      </c>
      <c r="AA228" s="5" t="s">
        <v>2296</v>
      </c>
      <c r="AB228" s="9">
        <f t="shared" si="38"/>
        <v>200</v>
      </c>
      <c r="AC228" s="9">
        <f t="shared" si="39"/>
        <v>0</v>
      </c>
      <c r="AD228" s="9">
        <f t="shared" si="40"/>
        <v>200</v>
      </c>
      <c r="AE228" s="9">
        <f t="shared" si="41"/>
        <v>106.98</v>
      </c>
      <c r="AF228" s="9">
        <f t="shared" si="47"/>
        <v>93.02</v>
      </c>
      <c r="AG228" s="8">
        <f t="shared" si="42"/>
        <v>2024</v>
      </c>
      <c r="AH228" s="8">
        <f t="shared" si="43"/>
        <v>3</v>
      </c>
      <c r="AI228" s="5" t="str">
        <f t="shared" si="44"/>
        <v>Mar</v>
      </c>
      <c r="AJ228" s="5" t="str">
        <f t="shared" si="45"/>
        <v>Friday</v>
      </c>
    </row>
    <row r="229" spans="1:36" x14ac:dyDescent="0.3">
      <c r="A229" s="5" t="s">
        <v>263</v>
      </c>
      <c r="B229" s="6">
        <v>45310</v>
      </c>
      <c r="C229" s="7">
        <v>0.53125</v>
      </c>
      <c r="D229" s="5" t="s">
        <v>1880</v>
      </c>
      <c r="E229" s="5" t="s">
        <v>2101</v>
      </c>
      <c r="F229" s="5" t="s">
        <v>2240</v>
      </c>
      <c r="G229" s="5" t="s">
        <v>2247</v>
      </c>
      <c r="H229" s="5" t="s">
        <v>2257</v>
      </c>
      <c r="I229" s="5" t="s">
        <v>2262</v>
      </c>
      <c r="J229" s="5" t="s">
        <v>2265</v>
      </c>
      <c r="K229" s="8">
        <v>1</v>
      </c>
      <c r="L229" s="9">
        <v>95</v>
      </c>
      <c r="M229" s="10">
        <v>0.15</v>
      </c>
      <c r="N229" s="9">
        <f t="shared" si="46"/>
        <v>95</v>
      </c>
      <c r="O229" s="9">
        <f t="shared" si="36"/>
        <v>80.75</v>
      </c>
      <c r="P229" s="5" t="s">
        <v>2267</v>
      </c>
      <c r="Q229" s="5" t="s">
        <v>2270</v>
      </c>
      <c r="R229" s="5" t="s">
        <v>2277</v>
      </c>
      <c r="S229" s="5" t="s">
        <v>2287</v>
      </c>
      <c r="T229" s="5" t="s">
        <v>2288</v>
      </c>
      <c r="U229" s="8">
        <v>4</v>
      </c>
      <c r="V229" s="8">
        <v>94</v>
      </c>
      <c r="W229" s="8">
        <v>36</v>
      </c>
      <c r="X229" s="9">
        <v>47.12</v>
      </c>
      <c r="Y229" s="9">
        <f t="shared" si="37"/>
        <v>33.630000000000003</v>
      </c>
      <c r="Z229" s="5" t="s">
        <v>1761</v>
      </c>
      <c r="AA229" s="5" t="s">
        <v>2299</v>
      </c>
      <c r="AB229" s="9">
        <f t="shared" si="38"/>
        <v>95</v>
      </c>
      <c r="AC229" s="9">
        <f t="shared" si="39"/>
        <v>14.25</v>
      </c>
      <c r="AD229" s="9">
        <f t="shared" si="40"/>
        <v>80.75</v>
      </c>
      <c r="AE229" s="9">
        <f t="shared" si="41"/>
        <v>47.12</v>
      </c>
      <c r="AF229" s="9">
        <f t="shared" si="47"/>
        <v>33.630000000000003</v>
      </c>
      <c r="AG229" s="8">
        <f t="shared" si="42"/>
        <v>2024</v>
      </c>
      <c r="AH229" s="8">
        <f t="shared" si="43"/>
        <v>1</v>
      </c>
      <c r="AI229" s="5" t="str">
        <f t="shared" si="44"/>
        <v>Jan</v>
      </c>
      <c r="AJ229" s="5" t="str">
        <f t="shared" si="45"/>
        <v>Friday</v>
      </c>
    </row>
    <row r="230" spans="1:36" x14ac:dyDescent="0.3">
      <c r="A230" s="5" t="s">
        <v>264</v>
      </c>
      <c r="B230" s="6">
        <v>45619</v>
      </c>
      <c r="C230" s="7">
        <v>0.35416666666666669</v>
      </c>
      <c r="D230" s="5" t="s">
        <v>1881</v>
      </c>
      <c r="E230" s="5" t="s">
        <v>2102</v>
      </c>
      <c r="F230" s="5" t="s">
        <v>2239</v>
      </c>
      <c r="G230" s="5" t="s">
        <v>2254</v>
      </c>
      <c r="H230" s="5" t="s">
        <v>2259</v>
      </c>
      <c r="I230" s="5" t="s">
        <v>2263</v>
      </c>
      <c r="J230" s="5" t="s">
        <v>1761</v>
      </c>
      <c r="K230" s="8">
        <v>1</v>
      </c>
      <c r="L230" s="9">
        <v>115</v>
      </c>
      <c r="M230" s="10">
        <v>0.1</v>
      </c>
      <c r="N230" s="9">
        <f t="shared" si="46"/>
        <v>115</v>
      </c>
      <c r="O230" s="9">
        <f t="shared" si="36"/>
        <v>103.5</v>
      </c>
      <c r="P230" s="5" t="s">
        <v>1761</v>
      </c>
      <c r="Q230" s="5" t="s">
        <v>2271</v>
      </c>
      <c r="R230" s="5" t="s">
        <v>2273</v>
      </c>
      <c r="S230" s="5" t="s">
        <v>2286</v>
      </c>
      <c r="T230" s="5" t="s">
        <v>2288</v>
      </c>
      <c r="U230" s="8">
        <v>5</v>
      </c>
      <c r="V230" s="8">
        <v>251</v>
      </c>
      <c r="W230" s="8">
        <v>45</v>
      </c>
      <c r="X230" s="9">
        <v>46</v>
      </c>
      <c r="Y230" s="9">
        <f t="shared" si="37"/>
        <v>57.5</v>
      </c>
      <c r="Z230" s="5" t="s">
        <v>1761</v>
      </c>
      <c r="AA230" s="5" t="s">
        <v>1761</v>
      </c>
      <c r="AB230" s="9">
        <f t="shared" si="38"/>
        <v>115</v>
      </c>
      <c r="AC230" s="9">
        <f t="shared" si="39"/>
        <v>11.5</v>
      </c>
      <c r="AD230" s="9">
        <f t="shared" si="40"/>
        <v>103.5</v>
      </c>
      <c r="AE230" s="9">
        <f t="shared" si="41"/>
        <v>46</v>
      </c>
      <c r="AF230" s="9">
        <f t="shared" si="47"/>
        <v>57.5</v>
      </c>
      <c r="AG230" s="8">
        <f t="shared" si="42"/>
        <v>2024</v>
      </c>
      <c r="AH230" s="8">
        <f t="shared" si="43"/>
        <v>11</v>
      </c>
      <c r="AI230" s="5" t="str">
        <f t="shared" si="44"/>
        <v>Nov</v>
      </c>
      <c r="AJ230" s="5" t="str">
        <f t="shared" si="45"/>
        <v>Saturday</v>
      </c>
    </row>
    <row r="231" spans="1:36" x14ac:dyDescent="0.3">
      <c r="A231" s="5" t="s">
        <v>265</v>
      </c>
      <c r="B231" s="6">
        <v>45358</v>
      </c>
      <c r="C231" s="7">
        <v>0.47916666666666669</v>
      </c>
      <c r="D231" s="5" t="s">
        <v>1833</v>
      </c>
      <c r="E231" s="5" t="s">
        <v>2095</v>
      </c>
      <c r="F231" s="5" t="s">
        <v>2238</v>
      </c>
      <c r="G231" s="5" t="s">
        <v>2250</v>
      </c>
      <c r="H231" s="5" t="s">
        <v>2259</v>
      </c>
      <c r="I231" s="5" t="s">
        <v>2262</v>
      </c>
      <c r="J231" s="5" t="s">
        <v>2265</v>
      </c>
      <c r="K231" s="8">
        <v>2</v>
      </c>
      <c r="L231" s="9">
        <v>85</v>
      </c>
      <c r="M231" s="10">
        <v>0.05</v>
      </c>
      <c r="N231" s="9">
        <f t="shared" si="46"/>
        <v>170</v>
      </c>
      <c r="O231" s="9">
        <f t="shared" si="36"/>
        <v>161.5</v>
      </c>
      <c r="P231" s="5" t="s">
        <v>2267</v>
      </c>
      <c r="Q231" s="5" t="s">
        <v>2272</v>
      </c>
      <c r="R231" s="5" t="s">
        <v>2278</v>
      </c>
      <c r="S231" s="5" t="s">
        <v>2286</v>
      </c>
      <c r="T231" s="5" t="s">
        <v>2288</v>
      </c>
      <c r="U231" s="8">
        <v>4</v>
      </c>
      <c r="V231" s="8">
        <v>260</v>
      </c>
      <c r="W231" s="8">
        <v>15</v>
      </c>
      <c r="X231" s="9">
        <v>42.53</v>
      </c>
      <c r="Y231" s="9">
        <f t="shared" si="37"/>
        <v>76.44</v>
      </c>
      <c r="Z231" s="5" t="s">
        <v>2293</v>
      </c>
      <c r="AA231" s="5" t="s">
        <v>2297</v>
      </c>
      <c r="AB231" s="9">
        <f t="shared" si="38"/>
        <v>170</v>
      </c>
      <c r="AC231" s="9">
        <f t="shared" si="39"/>
        <v>8.5</v>
      </c>
      <c r="AD231" s="9">
        <f t="shared" si="40"/>
        <v>161.5</v>
      </c>
      <c r="AE231" s="9">
        <f t="shared" si="41"/>
        <v>85.06</v>
      </c>
      <c r="AF231" s="9">
        <f t="shared" si="47"/>
        <v>76.44</v>
      </c>
      <c r="AG231" s="8">
        <f t="shared" si="42"/>
        <v>2024</v>
      </c>
      <c r="AH231" s="8">
        <f t="shared" si="43"/>
        <v>3</v>
      </c>
      <c r="AI231" s="5" t="str">
        <f t="shared" si="44"/>
        <v>Mar</v>
      </c>
      <c r="AJ231" s="5" t="str">
        <f t="shared" si="45"/>
        <v>Thursday</v>
      </c>
    </row>
    <row r="232" spans="1:36" x14ac:dyDescent="0.3">
      <c r="A232" s="5" t="s">
        <v>266</v>
      </c>
      <c r="B232" s="6">
        <v>45368</v>
      </c>
      <c r="C232" s="7">
        <v>0.77083333333333337</v>
      </c>
      <c r="D232" s="5" t="s">
        <v>1837</v>
      </c>
      <c r="E232" s="5" t="s">
        <v>2103</v>
      </c>
      <c r="F232" s="5" t="s">
        <v>2238</v>
      </c>
      <c r="G232" s="5" t="s">
        <v>2255</v>
      </c>
      <c r="H232" s="5" t="s">
        <v>2260</v>
      </c>
      <c r="I232" s="5" t="s">
        <v>2260</v>
      </c>
      <c r="J232" s="5" t="s">
        <v>2264</v>
      </c>
      <c r="K232" s="8">
        <v>5</v>
      </c>
      <c r="L232" s="9">
        <v>180</v>
      </c>
      <c r="M232" s="10">
        <v>0</v>
      </c>
      <c r="N232" s="9">
        <f t="shared" si="46"/>
        <v>900</v>
      </c>
      <c r="O232" s="9">
        <f t="shared" si="36"/>
        <v>900</v>
      </c>
      <c r="P232" s="5" t="s">
        <v>2267</v>
      </c>
      <c r="Q232" s="5" t="s">
        <v>2272</v>
      </c>
      <c r="R232" s="5" t="s">
        <v>2278</v>
      </c>
      <c r="S232" s="5" t="s">
        <v>2284</v>
      </c>
      <c r="T232" s="5" t="s">
        <v>2289</v>
      </c>
      <c r="U232" s="8">
        <v>2</v>
      </c>
      <c r="V232" s="8">
        <v>494</v>
      </c>
      <c r="W232" s="19">
        <v>35</v>
      </c>
      <c r="X232" s="9">
        <v>95.17</v>
      </c>
      <c r="Y232" s="9">
        <f t="shared" si="37"/>
        <v>424.15</v>
      </c>
      <c r="Z232" s="5" t="s">
        <v>2293</v>
      </c>
      <c r="AA232" s="5" t="s">
        <v>2296</v>
      </c>
      <c r="AB232" s="9">
        <f t="shared" si="38"/>
        <v>900</v>
      </c>
      <c r="AC232" s="9">
        <f t="shared" si="39"/>
        <v>0</v>
      </c>
      <c r="AD232" s="9">
        <f t="shared" si="40"/>
        <v>900</v>
      </c>
      <c r="AE232" s="9">
        <f t="shared" si="41"/>
        <v>475.85</v>
      </c>
      <c r="AF232" s="9">
        <f t="shared" si="47"/>
        <v>424.15</v>
      </c>
      <c r="AG232" s="8">
        <f t="shared" si="42"/>
        <v>2024</v>
      </c>
      <c r="AH232" s="8">
        <f t="shared" si="43"/>
        <v>3</v>
      </c>
      <c r="AI232" s="5" t="str">
        <f t="shared" si="44"/>
        <v>Mar</v>
      </c>
      <c r="AJ232" s="5" t="str">
        <f t="shared" si="45"/>
        <v>Sunday</v>
      </c>
    </row>
    <row r="233" spans="1:36" x14ac:dyDescent="0.3">
      <c r="A233" s="5" t="s">
        <v>267</v>
      </c>
      <c r="B233" s="6">
        <v>45322</v>
      </c>
      <c r="C233" s="7">
        <v>0.29166666666666669</v>
      </c>
      <c r="D233" s="5" t="s">
        <v>1844</v>
      </c>
      <c r="E233" s="5" t="s">
        <v>2058</v>
      </c>
      <c r="F233" s="5" t="s">
        <v>2240</v>
      </c>
      <c r="G233" s="5" t="s">
        <v>2245</v>
      </c>
      <c r="H233" s="5" t="s">
        <v>2257</v>
      </c>
      <c r="I233" s="5" t="s">
        <v>2263</v>
      </c>
      <c r="J233" s="5" t="s">
        <v>2266</v>
      </c>
      <c r="K233" s="8">
        <v>1</v>
      </c>
      <c r="L233" s="9">
        <v>150</v>
      </c>
      <c r="M233" s="10">
        <v>0.15</v>
      </c>
      <c r="N233" s="9">
        <f t="shared" si="46"/>
        <v>150</v>
      </c>
      <c r="O233" s="9">
        <f t="shared" si="36"/>
        <v>127.5</v>
      </c>
      <c r="P233" s="5" t="s">
        <v>2268</v>
      </c>
      <c r="Q233" s="5" t="s">
        <v>2271</v>
      </c>
      <c r="R233" s="5" t="s">
        <v>2276</v>
      </c>
      <c r="S233" s="5" t="s">
        <v>2286</v>
      </c>
      <c r="T233" s="5" t="s">
        <v>2289</v>
      </c>
      <c r="U233" s="8">
        <v>5</v>
      </c>
      <c r="V233" s="8">
        <v>399</v>
      </c>
      <c r="W233" s="8">
        <v>41</v>
      </c>
      <c r="X233" s="9">
        <v>54.56</v>
      </c>
      <c r="Y233" s="9">
        <f t="shared" si="37"/>
        <v>72.94</v>
      </c>
      <c r="Z233" s="5" t="s">
        <v>2291</v>
      </c>
      <c r="AA233" s="5" t="s">
        <v>2296</v>
      </c>
      <c r="AB233" s="9">
        <f t="shared" si="38"/>
        <v>150</v>
      </c>
      <c r="AC233" s="9">
        <f t="shared" si="39"/>
        <v>22.5</v>
      </c>
      <c r="AD233" s="9">
        <f t="shared" si="40"/>
        <v>127.5</v>
      </c>
      <c r="AE233" s="9">
        <f t="shared" si="41"/>
        <v>54.56</v>
      </c>
      <c r="AF233" s="9">
        <f t="shared" si="47"/>
        <v>72.94</v>
      </c>
      <c r="AG233" s="8">
        <f t="shared" si="42"/>
        <v>2024</v>
      </c>
      <c r="AH233" s="8">
        <f t="shared" si="43"/>
        <v>1</v>
      </c>
      <c r="AI233" s="5" t="str">
        <f t="shared" si="44"/>
        <v>Jan</v>
      </c>
      <c r="AJ233" s="5" t="str">
        <f t="shared" si="45"/>
        <v>Wednesday</v>
      </c>
    </row>
    <row r="234" spans="1:36" x14ac:dyDescent="0.3">
      <c r="A234" s="5" t="s">
        <v>268</v>
      </c>
      <c r="B234" s="6">
        <v>45590</v>
      </c>
      <c r="C234" s="7">
        <v>0.34375</v>
      </c>
      <c r="D234" s="5" t="s">
        <v>1757</v>
      </c>
      <c r="E234" s="5" t="s">
        <v>2104</v>
      </c>
      <c r="F234" s="5" t="s">
        <v>2240</v>
      </c>
      <c r="G234" s="5" t="s">
        <v>2250</v>
      </c>
      <c r="H234" s="5" t="s">
        <v>2259</v>
      </c>
      <c r="I234" s="5" t="s">
        <v>2262</v>
      </c>
      <c r="J234" s="5" t="s">
        <v>2265</v>
      </c>
      <c r="K234" s="8">
        <v>1</v>
      </c>
      <c r="L234" s="9">
        <v>90</v>
      </c>
      <c r="M234" s="10">
        <v>0.05</v>
      </c>
      <c r="N234" s="9">
        <f t="shared" si="46"/>
        <v>90</v>
      </c>
      <c r="O234" s="9">
        <f t="shared" si="36"/>
        <v>85.5</v>
      </c>
      <c r="P234" s="5" t="s">
        <v>2269</v>
      </c>
      <c r="Q234" s="5" t="s">
        <v>2272</v>
      </c>
      <c r="R234" s="5" t="s">
        <v>2277</v>
      </c>
      <c r="S234" s="5" t="s">
        <v>2284</v>
      </c>
      <c r="T234" s="5" t="s">
        <v>2290</v>
      </c>
      <c r="U234" s="8">
        <v>3</v>
      </c>
      <c r="V234" s="8">
        <v>461</v>
      </c>
      <c r="W234" s="8">
        <v>16</v>
      </c>
      <c r="X234" s="9">
        <v>46.71</v>
      </c>
      <c r="Y234" s="9">
        <f t="shared" si="37"/>
        <v>38.79</v>
      </c>
      <c r="Z234" s="5" t="s">
        <v>1761</v>
      </c>
      <c r="AA234" s="5" t="s">
        <v>2296</v>
      </c>
      <c r="AB234" s="9">
        <f t="shared" si="38"/>
        <v>90</v>
      </c>
      <c r="AC234" s="9">
        <f t="shared" si="39"/>
        <v>4.5</v>
      </c>
      <c r="AD234" s="9">
        <f t="shared" si="40"/>
        <v>85.5</v>
      </c>
      <c r="AE234" s="9">
        <f t="shared" si="41"/>
        <v>46.71</v>
      </c>
      <c r="AF234" s="9">
        <f t="shared" si="47"/>
        <v>38.79</v>
      </c>
      <c r="AG234" s="8">
        <f t="shared" si="42"/>
        <v>2024</v>
      </c>
      <c r="AH234" s="8">
        <f t="shared" si="43"/>
        <v>10</v>
      </c>
      <c r="AI234" s="5" t="str">
        <f t="shared" si="44"/>
        <v>Oct</v>
      </c>
      <c r="AJ234" s="5" t="str">
        <f t="shared" si="45"/>
        <v>Friday</v>
      </c>
    </row>
    <row r="235" spans="1:36" x14ac:dyDescent="0.3">
      <c r="A235" s="5" t="s">
        <v>269</v>
      </c>
      <c r="B235" s="6">
        <v>45415</v>
      </c>
      <c r="C235" s="7">
        <v>0.36805555555555558</v>
      </c>
      <c r="D235" s="5" t="s">
        <v>1882</v>
      </c>
      <c r="E235" s="5" t="s">
        <v>2105</v>
      </c>
      <c r="F235" s="5" t="s">
        <v>2239</v>
      </c>
      <c r="G235" s="5" t="s">
        <v>2245</v>
      </c>
      <c r="H235" s="5" t="s">
        <v>2257</v>
      </c>
      <c r="I235" s="5" t="s">
        <v>2263</v>
      </c>
      <c r="J235" s="5" t="s">
        <v>2265</v>
      </c>
      <c r="K235" s="8">
        <v>1</v>
      </c>
      <c r="L235" s="9">
        <v>155</v>
      </c>
      <c r="M235" s="10">
        <v>0.05</v>
      </c>
      <c r="N235" s="9">
        <f t="shared" si="46"/>
        <v>155</v>
      </c>
      <c r="O235" s="9">
        <f t="shared" si="36"/>
        <v>147.25</v>
      </c>
      <c r="P235" s="5" t="s">
        <v>2267</v>
      </c>
      <c r="Q235" s="5" t="s">
        <v>2272</v>
      </c>
      <c r="R235" s="5" t="s">
        <v>2279</v>
      </c>
      <c r="S235" s="5" t="s">
        <v>2284</v>
      </c>
      <c r="T235" s="5" t="s">
        <v>2288</v>
      </c>
      <c r="U235" s="8">
        <v>2</v>
      </c>
      <c r="V235" s="8">
        <v>362</v>
      </c>
      <c r="W235" s="19">
        <v>35</v>
      </c>
      <c r="X235" s="9">
        <v>56.26</v>
      </c>
      <c r="Y235" s="9">
        <f t="shared" si="37"/>
        <v>90.990000000000009</v>
      </c>
      <c r="Z235" s="5" t="s">
        <v>2293</v>
      </c>
      <c r="AA235" s="5" t="s">
        <v>1761</v>
      </c>
      <c r="AB235" s="9">
        <f t="shared" si="38"/>
        <v>155</v>
      </c>
      <c r="AC235" s="9">
        <f t="shared" si="39"/>
        <v>7.75</v>
      </c>
      <c r="AD235" s="9">
        <f t="shared" si="40"/>
        <v>147.25</v>
      </c>
      <c r="AE235" s="9">
        <f t="shared" si="41"/>
        <v>56.26</v>
      </c>
      <c r="AF235" s="9">
        <f t="shared" si="47"/>
        <v>90.990000000000009</v>
      </c>
      <c r="AG235" s="8">
        <f t="shared" si="42"/>
        <v>2024</v>
      </c>
      <c r="AH235" s="8">
        <f t="shared" si="43"/>
        <v>5</v>
      </c>
      <c r="AI235" s="5" t="str">
        <f t="shared" si="44"/>
        <v>May</v>
      </c>
      <c r="AJ235" s="5" t="str">
        <f t="shared" si="45"/>
        <v>Friday</v>
      </c>
    </row>
    <row r="236" spans="1:36" x14ac:dyDescent="0.3">
      <c r="A236" s="5" t="s">
        <v>270</v>
      </c>
      <c r="B236" s="6">
        <v>45348</v>
      </c>
      <c r="C236" s="7">
        <v>0.64583333333333337</v>
      </c>
      <c r="D236" s="5" t="s">
        <v>1812</v>
      </c>
      <c r="E236" s="5" t="s">
        <v>1998</v>
      </c>
      <c r="F236" s="5" t="s">
        <v>2239</v>
      </c>
      <c r="G236" s="5" t="s">
        <v>2252</v>
      </c>
      <c r="H236" s="5" t="s">
        <v>2257</v>
      </c>
      <c r="I236" s="5" t="s">
        <v>2262</v>
      </c>
      <c r="J236" s="5" t="s">
        <v>2264</v>
      </c>
      <c r="K236" s="8">
        <v>1</v>
      </c>
      <c r="L236" s="9">
        <v>90</v>
      </c>
      <c r="M236" s="10">
        <v>0.15</v>
      </c>
      <c r="N236" s="9">
        <f t="shared" si="46"/>
        <v>90</v>
      </c>
      <c r="O236" s="9">
        <f t="shared" si="36"/>
        <v>76.5</v>
      </c>
      <c r="P236" s="5" t="s">
        <v>1761</v>
      </c>
      <c r="Q236" s="5" t="s">
        <v>2272</v>
      </c>
      <c r="R236" s="5" t="s">
        <v>2278</v>
      </c>
      <c r="S236" s="5" t="s">
        <v>2285</v>
      </c>
      <c r="T236" s="5" t="s">
        <v>2288</v>
      </c>
      <c r="U236" s="8">
        <v>1</v>
      </c>
      <c r="V236" s="8">
        <v>191</v>
      </c>
      <c r="W236" s="8">
        <v>54</v>
      </c>
      <c r="X236" s="9">
        <v>47.68</v>
      </c>
      <c r="Y236" s="9">
        <f t="shared" si="37"/>
        <v>28.82</v>
      </c>
      <c r="Z236" s="5" t="s">
        <v>2291</v>
      </c>
      <c r="AA236" s="5" t="s">
        <v>2296</v>
      </c>
      <c r="AB236" s="9">
        <f t="shared" si="38"/>
        <v>90</v>
      </c>
      <c r="AC236" s="9">
        <f t="shared" si="39"/>
        <v>13.5</v>
      </c>
      <c r="AD236" s="9">
        <f t="shared" si="40"/>
        <v>76.5</v>
      </c>
      <c r="AE236" s="9">
        <f t="shared" si="41"/>
        <v>47.68</v>
      </c>
      <c r="AF236" s="9">
        <f t="shared" si="47"/>
        <v>28.82</v>
      </c>
      <c r="AG236" s="8">
        <f t="shared" si="42"/>
        <v>2024</v>
      </c>
      <c r="AH236" s="8">
        <f t="shared" si="43"/>
        <v>2</v>
      </c>
      <c r="AI236" s="5" t="str">
        <f t="shared" si="44"/>
        <v>Feb</v>
      </c>
      <c r="AJ236" s="5" t="str">
        <f t="shared" si="45"/>
        <v>Monday</v>
      </c>
    </row>
    <row r="237" spans="1:36" x14ac:dyDescent="0.3">
      <c r="A237" s="5" t="s">
        <v>271</v>
      </c>
      <c r="B237" s="6">
        <v>45443</v>
      </c>
      <c r="C237" s="7">
        <v>0.61805555555555558</v>
      </c>
      <c r="D237" s="5" t="s">
        <v>1813</v>
      </c>
      <c r="E237" s="5" t="s">
        <v>2066</v>
      </c>
      <c r="F237" s="5" t="s">
        <v>2240</v>
      </c>
      <c r="G237" s="5" t="s">
        <v>2246</v>
      </c>
      <c r="H237" s="5" t="s">
        <v>2259</v>
      </c>
      <c r="I237" s="5" t="s">
        <v>2262</v>
      </c>
      <c r="J237" s="5" t="s">
        <v>1761</v>
      </c>
      <c r="K237" s="8">
        <v>1</v>
      </c>
      <c r="L237" s="9">
        <v>95</v>
      </c>
      <c r="M237" s="10">
        <v>0</v>
      </c>
      <c r="N237" s="9">
        <f t="shared" si="46"/>
        <v>95</v>
      </c>
      <c r="O237" s="9">
        <f t="shared" si="36"/>
        <v>95</v>
      </c>
      <c r="P237" s="5" t="s">
        <v>2267</v>
      </c>
      <c r="Q237" s="5" t="s">
        <v>2270</v>
      </c>
      <c r="R237" s="5" t="s">
        <v>2276</v>
      </c>
      <c r="S237" s="5" t="s">
        <v>2287</v>
      </c>
      <c r="T237" s="5" t="s">
        <v>2288</v>
      </c>
      <c r="U237" s="8">
        <v>5</v>
      </c>
      <c r="V237" s="8">
        <v>194</v>
      </c>
      <c r="W237" s="8">
        <v>16</v>
      </c>
      <c r="X237" s="9">
        <v>51.2</v>
      </c>
      <c r="Y237" s="9">
        <f t="shared" si="37"/>
        <v>43.8</v>
      </c>
      <c r="Z237" s="5" t="s">
        <v>1761</v>
      </c>
      <c r="AA237" s="5" t="s">
        <v>2299</v>
      </c>
      <c r="AB237" s="9">
        <f t="shared" si="38"/>
        <v>95</v>
      </c>
      <c r="AC237" s="9">
        <f t="shared" si="39"/>
        <v>0</v>
      </c>
      <c r="AD237" s="9">
        <f t="shared" si="40"/>
        <v>95</v>
      </c>
      <c r="AE237" s="9">
        <f t="shared" si="41"/>
        <v>51.2</v>
      </c>
      <c r="AF237" s="9">
        <f t="shared" si="47"/>
        <v>43.8</v>
      </c>
      <c r="AG237" s="8">
        <f t="shared" si="42"/>
        <v>2024</v>
      </c>
      <c r="AH237" s="8">
        <f t="shared" si="43"/>
        <v>5</v>
      </c>
      <c r="AI237" s="5" t="str">
        <f t="shared" si="44"/>
        <v>May</v>
      </c>
      <c r="AJ237" s="5" t="str">
        <f t="shared" si="45"/>
        <v>Friday</v>
      </c>
    </row>
    <row r="238" spans="1:36" x14ac:dyDescent="0.3">
      <c r="A238" s="5" t="s">
        <v>272</v>
      </c>
      <c r="B238" s="6">
        <v>45303</v>
      </c>
      <c r="C238" s="7">
        <v>0.59722222222222221</v>
      </c>
      <c r="D238" s="5" t="s">
        <v>1814</v>
      </c>
      <c r="E238" s="5" t="s">
        <v>2106</v>
      </c>
      <c r="F238" s="5" t="s">
        <v>2239</v>
      </c>
      <c r="G238" s="5" t="s">
        <v>2254</v>
      </c>
      <c r="H238" s="5" t="s">
        <v>2259</v>
      </c>
      <c r="I238" s="5" t="s">
        <v>2263</v>
      </c>
      <c r="J238" s="5" t="s">
        <v>1761</v>
      </c>
      <c r="K238" s="8">
        <v>1</v>
      </c>
      <c r="L238" s="9">
        <v>120</v>
      </c>
      <c r="M238" s="10">
        <v>0.15</v>
      </c>
      <c r="N238" s="9">
        <f t="shared" si="46"/>
        <v>120</v>
      </c>
      <c r="O238" s="9">
        <f t="shared" si="36"/>
        <v>102</v>
      </c>
      <c r="P238" s="5" t="s">
        <v>2269</v>
      </c>
      <c r="Q238" s="5" t="s">
        <v>1761</v>
      </c>
      <c r="R238" s="5" t="s">
        <v>2275</v>
      </c>
      <c r="S238" s="5" t="s">
        <v>2280</v>
      </c>
      <c r="T238" s="5" t="s">
        <v>2288</v>
      </c>
      <c r="U238" s="8">
        <v>1</v>
      </c>
      <c r="V238" s="8">
        <v>395</v>
      </c>
      <c r="W238" s="8">
        <v>60</v>
      </c>
      <c r="X238" s="9">
        <v>41.35</v>
      </c>
      <c r="Y238" s="9">
        <f t="shared" si="37"/>
        <v>60.65</v>
      </c>
      <c r="Z238" s="5" t="s">
        <v>2294</v>
      </c>
      <c r="AA238" s="5" t="s">
        <v>2299</v>
      </c>
      <c r="AB238" s="9">
        <f t="shared" si="38"/>
        <v>120</v>
      </c>
      <c r="AC238" s="9">
        <f t="shared" si="39"/>
        <v>18</v>
      </c>
      <c r="AD238" s="9">
        <f t="shared" si="40"/>
        <v>102</v>
      </c>
      <c r="AE238" s="9">
        <f t="shared" si="41"/>
        <v>41.35</v>
      </c>
      <c r="AF238" s="9">
        <f t="shared" si="47"/>
        <v>60.65</v>
      </c>
      <c r="AG238" s="8">
        <f t="shared" si="42"/>
        <v>2024</v>
      </c>
      <c r="AH238" s="8">
        <f t="shared" si="43"/>
        <v>1</v>
      </c>
      <c r="AI238" s="5" t="str">
        <f t="shared" si="44"/>
        <v>Jan</v>
      </c>
      <c r="AJ238" s="5" t="str">
        <f t="shared" si="45"/>
        <v>Friday</v>
      </c>
    </row>
    <row r="239" spans="1:36" x14ac:dyDescent="0.3">
      <c r="A239" s="5" t="s">
        <v>273</v>
      </c>
      <c r="B239" s="6">
        <v>45464</v>
      </c>
      <c r="C239" s="7">
        <v>0.46875</v>
      </c>
      <c r="D239" s="5" t="s">
        <v>1840</v>
      </c>
      <c r="E239" s="5" t="s">
        <v>2107</v>
      </c>
      <c r="F239" s="5" t="s">
        <v>2238</v>
      </c>
      <c r="G239" s="5" t="s">
        <v>2243</v>
      </c>
      <c r="H239" s="5" t="s">
        <v>2258</v>
      </c>
      <c r="I239" s="5" t="s">
        <v>2260</v>
      </c>
      <c r="J239" s="5" t="s">
        <v>1761</v>
      </c>
      <c r="K239" s="8">
        <v>2</v>
      </c>
      <c r="L239" s="9">
        <v>65</v>
      </c>
      <c r="M239" s="10">
        <v>0</v>
      </c>
      <c r="N239" s="9">
        <f t="shared" si="46"/>
        <v>130</v>
      </c>
      <c r="O239" s="9">
        <f t="shared" si="36"/>
        <v>130</v>
      </c>
      <c r="P239" s="5" t="s">
        <v>2268</v>
      </c>
      <c r="Q239" s="5" t="s">
        <v>1761</v>
      </c>
      <c r="R239" s="5" t="s">
        <v>2274</v>
      </c>
      <c r="S239" s="5" t="s">
        <v>2285</v>
      </c>
      <c r="T239" s="5" t="s">
        <v>2289</v>
      </c>
      <c r="U239" s="8">
        <v>3</v>
      </c>
      <c r="V239" s="8">
        <v>216</v>
      </c>
      <c r="W239" s="8">
        <v>39</v>
      </c>
      <c r="X239" s="9">
        <v>25.16</v>
      </c>
      <c r="Y239" s="9">
        <f t="shared" si="37"/>
        <v>79.680000000000007</v>
      </c>
      <c r="Z239" s="5" t="s">
        <v>2291</v>
      </c>
      <c r="AA239" s="5" t="s">
        <v>1761</v>
      </c>
      <c r="AB239" s="9">
        <f t="shared" si="38"/>
        <v>130</v>
      </c>
      <c r="AC239" s="9">
        <f t="shared" si="39"/>
        <v>0</v>
      </c>
      <c r="AD239" s="9">
        <f t="shared" si="40"/>
        <v>130</v>
      </c>
      <c r="AE239" s="9">
        <f t="shared" si="41"/>
        <v>50.32</v>
      </c>
      <c r="AF239" s="9">
        <f t="shared" si="47"/>
        <v>79.680000000000007</v>
      </c>
      <c r="AG239" s="8">
        <f t="shared" si="42"/>
        <v>2024</v>
      </c>
      <c r="AH239" s="8">
        <f t="shared" si="43"/>
        <v>6</v>
      </c>
      <c r="AI239" s="5" t="str">
        <f t="shared" si="44"/>
        <v>Jun</v>
      </c>
      <c r="AJ239" s="5" t="str">
        <f t="shared" si="45"/>
        <v>Friday</v>
      </c>
    </row>
    <row r="240" spans="1:36" x14ac:dyDescent="0.3">
      <c r="A240" s="5" t="s">
        <v>274</v>
      </c>
      <c r="B240" s="6">
        <v>45443</v>
      </c>
      <c r="C240" s="7">
        <v>0.47222222222222221</v>
      </c>
      <c r="D240" s="5" t="s">
        <v>1804</v>
      </c>
      <c r="E240" s="5" t="s">
        <v>2108</v>
      </c>
      <c r="F240" s="5" t="s">
        <v>2240</v>
      </c>
      <c r="G240" s="5" t="s">
        <v>2241</v>
      </c>
      <c r="H240" s="5" t="s">
        <v>2257</v>
      </c>
      <c r="I240" s="5" t="s">
        <v>2262</v>
      </c>
      <c r="J240" s="5" t="s">
        <v>2264</v>
      </c>
      <c r="K240" s="8">
        <v>4</v>
      </c>
      <c r="L240" s="9">
        <v>125</v>
      </c>
      <c r="M240" s="10">
        <v>0</v>
      </c>
      <c r="N240" s="9">
        <f t="shared" si="46"/>
        <v>500</v>
      </c>
      <c r="O240" s="9">
        <f t="shared" si="36"/>
        <v>500</v>
      </c>
      <c r="P240" s="5" t="s">
        <v>2267</v>
      </c>
      <c r="Q240" s="5" t="s">
        <v>2271</v>
      </c>
      <c r="R240" s="5" t="s">
        <v>2273</v>
      </c>
      <c r="S240" s="5" t="s">
        <v>2287</v>
      </c>
      <c r="T240" s="5" t="s">
        <v>2290</v>
      </c>
      <c r="U240" s="8">
        <v>5</v>
      </c>
      <c r="V240" s="8">
        <v>70</v>
      </c>
      <c r="W240" s="8">
        <v>12</v>
      </c>
      <c r="X240" s="9">
        <v>77.48</v>
      </c>
      <c r="Y240" s="9">
        <f t="shared" si="37"/>
        <v>190.07999999999998</v>
      </c>
      <c r="Z240" s="5" t="s">
        <v>2293</v>
      </c>
      <c r="AA240" s="5" t="s">
        <v>1761</v>
      </c>
      <c r="AB240" s="9">
        <f t="shared" si="38"/>
        <v>500</v>
      </c>
      <c r="AC240" s="9">
        <f t="shared" si="39"/>
        <v>0</v>
      </c>
      <c r="AD240" s="9">
        <f t="shared" si="40"/>
        <v>500</v>
      </c>
      <c r="AE240" s="9">
        <f t="shared" si="41"/>
        <v>309.92</v>
      </c>
      <c r="AF240" s="9">
        <f t="shared" si="47"/>
        <v>190.07999999999998</v>
      </c>
      <c r="AG240" s="8">
        <f t="shared" si="42"/>
        <v>2024</v>
      </c>
      <c r="AH240" s="8">
        <f t="shared" si="43"/>
        <v>5</v>
      </c>
      <c r="AI240" s="5" t="str">
        <f t="shared" si="44"/>
        <v>May</v>
      </c>
      <c r="AJ240" s="5" t="str">
        <f t="shared" si="45"/>
        <v>Friday</v>
      </c>
    </row>
    <row r="241" spans="1:36" x14ac:dyDescent="0.3">
      <c r="A241" s="5" t="s">
        <v>275</v>
      </c>
      <c r="B241" s="6">
        <v>45478</v>
      </c>
      <c r="C241" s="7">
        <v>0.61458333333333337</v>
      </c>
      <c r="D241" s="5" t="s">
        <v>1761</v>
      </c>
      <c r="E241" s="5" t="s">
        <v>1984</v>
      </c>
      <c r="F241" s="5" t="s">
        <v>2239</v>
      </c>
      <c r="G241" s="5" t="s">
        <v>2242</v>
      </c>
      <c r="H241" s="5" t="s">
        <v>2258</v>
      </c>
      <c r="I241" s="5" t="s">
        <v>2260</v>
      </c>
      <c r="J241" s="5" t="s">
        <v>2265</v>
      </c>
      <c r="K241" s="8">
        <v>1</v>
      </c>
      <c r="L241" s="9">
        <v>130</v>
      </c>
      <c r="M241" s="10">
        <v>0.1</v>
      </c>
      <c r="N241" s="9">
        <f t="shared" si="46"/>
        <v>130</v>
      </c>
      <c r="O241" s="9">
        <f t="shared" si="36"/>
        <v>117</v>
      </c>
      <c r="P241" s="5" t="s">
        <v>2268</v>
      </c>
      <c r="Q241" s="5" t="s">
        <v>2270</v>
      </c>
      <c r="R241" s="5" t="s">
        <v>2278</v>
      </c>
      <c r="S241" s="5" t="s">
        <v>2283</v>
      </c>
      <c r="T241" s="5" t="s">
        <v>2288</v>
      </c>
      <c r="U241" s="8">
        <v>2</v>
      </c>
      <c r="V241" s="8">
        <v>313</v>
      </c>
      <c r="W241" s="8">
        <v>41</v>
      </c>
      <c r="X241" s="9">
        <v>59.2</v>
      </c>
      <c r="Y241" s="9">
        <f t="shared" si="37"/>
        <v>57.8</v>
      </c>
      <c r="Z241" s="5" t="s">
        <v>1761</v>
      </c>
      <c r="AA241" s="5" t="s">
        <v>1761</v>
      </c>
      <c r="AB241" s="9">
        <f t="shared" si="38"/>
        <v>130</v>
      </c>
      <c r="AC241" s="9">
        <f t="shared" si="39"/>
        <v>13</v>
      </c>
      <c r="AD241" s="9">
        <f t="shared" si="40"/>
        <v>117</v>
      </c>
      <c r="AE241" s="9">
        <f t="shared" si="41"/>
        <v>59.2</v>
      </c>
      <c r="AF241" s="9">
        <f t="shared" si="47"/>
        <v>57.8</v>
      </c>
      <c r="AG241" s="8">
        <f t="shared" si="42"/>
        <v>2024</v>
      </c>
      <c r="AH241" s="8">
        <f t="shared" si="43"/>
        <v>7</v>
      </c>
      <c r="AI241" s="5" t="str">
        <f t="shared" si="44"/>
        <v>Jul</v>
      </c>
      <c r="AJ241" s="5" t="str">
        <f t="shared" si="45"/>
        <v>Friday</v>
      </c>
    </row>
    <row r="242" spans="1:36" x14ac:dyDescent="0.3">
      <c r="A242" s="5" t="s">
        <v>276</v>
      </c>
      <c r="B242" s="6">
        <v>45295</v>
      </c>
      <c r="C242" s="7">
        <v>0.60416666666666663</v>
      </c>
      <c r="D242" s="5" t="s">
        <v>1799</v>
      </c>
      <c r="E242" s="5" t="s">
        <v>1985</v>
      </c>
      <c r="F242" s="5" t="s">
        <v>2240</v>
      </c>
      <c r="G242" s="5" t="s">
        <v>2242</v>
      </c>
      <c r="H242" s="5" t="s">
        <v>2258</v>
      </c>
      <c r="I242" s="5" t="s">
        <v>2260</v>
      </c>
      <c r="J242" s="5" t="s">
        <v>2264</v>
      </c>
      <c r="K242" s="8">
        <v>3</v>
      </c>
      <c r="L242" s="9">
        <v>125</v>
      </c>
      <c r="M242" s="10">
        <v>0.05</v>
      </c>
      <c r="N242" s="9">
        <f t="shared" si="46"/>
        <v>375</v>
      </c>
      <c r="O242" s="9">
        <f t="shared" si="36"/>
        <v>356.25</v>
      </c>
      <c r="P242" s="5" t="s">
        <v>1761</v>
      </c>
      <c r="Q242" s="5" t="s">
        <v>2272</v>
      </c>
      <c r="R242" s="5" t="s">
        <v>2273</v>
      </c>
      <c r="S242" s="5" t="s">
        <v>2283</v>
      </c>
      <c r="T242" s="5" t="s">
        <v>2288</v>
      </c>
      <c r="U242" s="8">
        <v>5</v>
      </c>
      <c r="V242" s="8">
        <v>299</v>
      </c>
      <c r="W242" s="19">
        <v>35</v>
      </c>
      <c r="X242" s="9">
        <v>70.78</v>
      </c>
      <c r="Y242" s="9">
        <f t="shared" si="37"/>
        <v>143.91</v>
      </c>
      <c r="Z242" s="5" t="s">
        <v>1761</v>
      </c>
      <c r="AA242" s="5" t="s">
        <v>2296</v>
      </c>
      <c r="AB242" s="9">
        <f t="shared" si="38"/>
        <v>375</v>
      </c>
      <c r="AC242" s="9">
        <f t="shared" si="39"/>
        <v>18.75</v>
      </c>
      <c r="AD242" s="9">
        <f t="shared" si="40"/>
        <v>356.25</v>
      </c>
      <c r="AE242" s="9">
        <f t="shared" si="41"/>
        <v>212.34</v>
      </c>
      <c r="AF242" s="9">
        <f t="shared" si="47"/>
        <v>143.91</v>
      </c>
      <c r="AG242" s="8">
        <f t="shared" si="42"/>
        <v>2024</v>
      </c>
      <c r="AH242" s="8">
        <f t="shared" si="43"/>
        <v>1</v>
      </c>
      <c r="AI242" s="5" t="str">
        <f t="shared" si="44"/>
        <v>Jan</v>
      </c>
      <c r="AJ242" s="5" t="str">
        <f t="shared" si="45"/>
        <v>Thursday</v>
      </c>
    </row>
    <row r="243" spans="1:36" x14ac:dyDescent="0.3">
      <c r="A243" s="5" t="s">
        <v>277</v>
      </c>
      <c r="B243" s="6">
        <v>45320</v>
      </c>
      <c r="C243" s="7">
        <v>0.59375</v>
      </c>
      <c r="D243" s="5" t="s">
        <v>1809</v>
      </c>
      <c r="E243" s="5" t="s">
        <v>2109</v>
      </c>
      <c r="F243" s="5" t="s">
        <v>2239</v>
      </c>
      <c r="G243" s="5" t="s">
        <v>2249</v>
      </c>
      <c r="H243" s="5" t="s">
        <v>2257</v>
      </c>
      <c r="I243" s="5" t="s">
        <v>2263</v>
      </c>
      <c r="J243" s="5" t="s">
        <v>2264</v>
      </c>
      <c r="K243" s="8">
        <v>2</v>
      </c>
      <c r="L243" s="9">
        <v>160</v>
      </c>
      <c r="M243" s="10">
        <v>0.05</v>
      </c>
      <c r="N243" s="9">
        <f t="shared" si="46"/>
        <v>320</v>
      </c>
      <c r="O243" s="9">
        <f t="shared" si="36"/>
        <v>304</v>
      </c>
      <c r="P243" s="5" t="s">
        <v>2267</v>
      </c>
      <c r="Q243" s="5" t="s">
        <v>1761</v>
      </c>
      <c r="R243" s="5" t="s">
        <v>2273</v>
      </c>
      <c r="S243" s="5" t="s">
        <v>2284</v>
      </c>
      <c r="T243" s="5" t="s">
        <v>2288</v>
      </c>
      <c r="U243" s="8">
        <v>5</v>
      </c>
      <c r="V243" s="8">
        <v>7</v>
      </c>
      <c r="W243" s="19">
        <v>36</v>
      </c>
      <c r="X243" s="9">
        <v>72.739999999999995</v>
      </c>
      <c r="Y243" s="9">
        <f t="shared" si="37"/>
        <v>158.52000000000001</v>
      </c>
      <c r="Z243" s="5" t="s">
        <v>2291</v>
      </c>
      <c r="AA243" s="5" t="s">
        <v>2296</v>
      </c>
      <c r="AB243" s="9">
        <f t="shared" si="38"/>
        <v>320</v>
      </c>
      <c r="AC243" s="9">
        <f t="shared" si="39"/>
        <v>16</v>
      </c>
      <c r="AD243" s="9">
        <f t="shared" si="40"/>
        <v>304</v>
      </c>
      <c r="AE243" s="9">
        <f t="shared" si="41"/>
        <v>145.47999999999999</v>
      </c>
      <c r="AF243" s="9">
        <f t="shared" si="47"/>
        <v>158.52000000000001</v>
      </c>
      <c r="AG243" s="8">
        <f t="shared" si="42"/>
        <v>2024</v>
      </c>
      <c r="AH243" s="8">
        <f t="shared" si="43"/>
        <v>1</v>
      </c>
      <c r="AI243" s="5" t="str">
        <f t="shared" si="44"/>
        <v>Jan</v>
      </c>
      <c r="AJ243" s="5" t="str">
        <f t="shared" si="45"/>
        <v>Monday</v>
      </c>
    </row>
    <row r="244" spans="1:36" x14ac:dyDescent="0.3">
      <c r="A244" s="5" t="s">
        <v>278</v>
      </c>
      <c r="B244" s="6">
        <v>45470</v>
      </c>
      <c r="C244" s="7">
        <v>0.3263888888888889</v>
      </c>
      <c r="D244" s="5" t="s">
        <v>1779</v>
      </c>
      <c r="E244" s="5" t="s">
        <v>1761</v>
      </c>
      <c r="F244" s="5" t="s">
        <v>1761</v>
      </c>
      <c r="G244" s="5" t="s">
        <v>2256</v>
      </c>
      <c r="H244" s="5" t="s">
        <v>2261</v>
      </c>
      <c r="I244" s="5" t="s">
        <v>2260</v>
      </c>
      <c r="J244" s="5" t="s">
        <v>2265</v>
      </c>
      <c r="K244" s="8">
        <v>1</v>
      </c>
      <c r="L244" s="9">
        <v>200</v>
      </c>
      <c r="M244" s="10">
        <v>0.1</v>
      </c>
      <c r="N244" s="9">
        <f t="shared" si="46"/>
        <v>200</v>
      </c>
      <c r="O244" s="9">
        <f t="shared" si="36"/>
        <v>180</v>
      </c>
      <c r="P244" s="5" t="s">
        <v>2269</v>
      </c>
      <c r="Q244" s="5" t="s">
        <v>2271</v>
      </c>
      <c r="R244" s="5" t="s">
        <v>2279</v>
      </c>
      <c r="S244" s="5" t="s">
        <v>2287</v>
      </c>
      <c r="T244" s="5" t="s">
        <v>2290</v>
      </c>
      <c r="U244" s="8">
        <v>1</v>
      </c>
      <c r="V244" s="8">
        <v>348</v>
      </c>
      <c r="W244" s="19">
        <v>37</v>
      </c>
      <c r="X244" s="9">
        <v>98.83</v>
      </c>
      <c r="Y244" s="9">
        <f t="shared" si="37"/>
        <v>81.17</v>
      </c>
      <c r="Z244" s="5" t="s">
        <v>2293</v>
      </c>
      <c r="AA244" s="5" t="s">
        <v>2298</v>
      </c>
      <c r="AB244" s="9">
        <f t="shared" si="38"/>
        <v>200</v>
      </c>
      <c r="AC244" s="9">
        <f t="shared" si="39"/>
        <v>20</v>
      </c>
      <c r="AD244" s="9">
        <f t="shared" si="40"/>
        <v>180</v>
      </c>
      <c r="AE244" s="9">
        <f t="shared" si="41"/>
        <v>98.83</v>
      </c>
      <c r="AF244" s="9">
        <f t="shared" si="47"/>
        <v>81.17</v>
      </c>
      <c r="AG244" s="8">
        <f t="shared" si="42"/>
        <v>2024</v>
      </c>
      <c r="AH244" s="8">
        <f t="shared" si="43"/>
        <v>6</v>
      </c>
      <c r="AI244" s="5" t="str">
        <f t="shared" si="44"/>
        <v>Jun</v>
      </c>
      <c r="AJ244" s="5" t="str">
        <f t="shared" si="45"/>
        <v>Thursday</v>
      </c>
    </row>
    <row r="245" spans="1:36" x14ac:dyDescent="0.3">
      <c r="A245" s="5" t="s">
        <v>279</v>
      </c>
      <c r="B245" s="6">
        <v>45598</v>
      </c>
      <c r="C245" s="7">
        <v>0.4513888888888889</v>
      </c>
      <c r="D245" s="5" t="s">
        <v>1786</v>
      </c>
      <c r="E245" s="5" t="s">
        <v>2110</v>
      </c>
      <c r="F245" s="5" t="s">
        <v>2239</v>
      </c>
      <c r="G245" s="5" t="s">
        <v>2252</v>
      </c>
      <c r="H245" s="5" t="s">
        <v>2257</v>
      </c>
      <c r="I245" s="5" t="s">
        <v>2262</v>
      </c>
      <c r="J245" s="5" t="s">
        <v>2264</v>
      </c>
      <c r="K245" s="8">
        <v>2</v>
      </c>
      <c r="L245" s="9">
        <v>90</v>
      </c>
      <c r="M245" s="10">
        <v>0.05</v>
      </c>
      <c r="N245" s="9">
        <f t="shared" si="46"/>
        <v>180</v>
      </c>
      <c r="O245" s="9">
        <f t="shared" si="36"/>
        <v>171</v>
      </c>
      <c r="P245" s="5" t="s">
        <v>2268</v>
      </c>
      <c r="Q245" s="5" t="s">
        <v>2271</v>
      </c>
      <c r="R245" s="5" t="s">
        <v>2276</v>
      </c>
      <c r="S245" s="5" t="s">
        <v>2285</v>
      </c>
      <c r="T245" s="5" t="s">
        <v>2288</v>
      </c>
      <c r="U245" s="8">
        <v>3</v>
      </c>
      <c r="V245" s="8">
        <v>433</v>
      </c>
      <c r="W245" s="8">
        <v>19</v>
      </c>
      <c r="X245" s="9">
        <v>33.520000000000003</v>
      </c>
      <c r="Y245" s="9">
        <f t="shared" si="37"/>
        <v>103.96</v>
      </c>
      <c r="Z245" s="5" t="s">
        <v>1761</v>
      </c>
      <c r="AA245" s="5" t="s">
        <v>2297</v>
      </c>
      <c r="AB245" s="9">
        <f t="shared" si="38"/>
        <v>180</v>
      </c>
      <c r="AC245" s="9">
        <f t="shared" si="39"/>
        <v>9</v>
      </c>
      <c r="AD245" s="9">
        <f t="shared" si="40"/>
        <v>171</v>
      </c>
      <c r="AE245" s="9">
        <f t="shared" si="41"/>
        <v>67.040000000000006</v>
      </c>
      <c r="AF245" s="9">
        <f t="shared" si="47"/>
        <v>103.96</v>
      </c>
      <c r="AG245" s="8">
        <f t="shared" si="42"/>
        <v>2024</v>
      </c>
      <c r="AH245" s="8">
        <f t="shared" si="43"/>
        <v>11</v>
      </c>
      <c r="AI245" s="5" t="str">
        <f t="shared" si="44"/>
        <v>Nov</v>
      </c>
      <c r="AJ245" s="5" t="str">
        <f t="shared" si="45"/>
        <v>Saturday</v>
      </c>
    </row>
    <row r="246" spans="1:36" x14ac:dyDescent="0.3">
      <c r="A246" s="5" t="s">
        <v>280</v>
      </c>
      <c r="B246" s="6">
        <v>45584</v>
      </c>
      <c r="C246" s="7">
        <v>0.41666666666666669</v>
      </c>
      <c r="D246" s="5" t="s">
        <v>1819</v>
      </c>
      <c r="E246" s="5" t="s">
        <v>2111</v>
      </c>
      <c r="F246" s="5" t="s">
        <v>2240</v>
      </c>
      <c r="G246" s="5" t="s">
        <v>2255</v>
      </c>
      <c r="H246" s="5" t="s">
        <v>2260</v>
      </c>
      <c r="I246" s="5" t="s">
        <v>2260</v>
      </c>
      <c r="J246" s="5" t="s">
        <v>2265</v>
      </c>
      <c r="K246" s="8">
        <v>4</v>
      </c>
      <c r="L246" s="9">
        <v>190</v>
      </c>
      <c r="M246" s="10">
        <v>0.15</v>
      </c>
      <c r="N246" s="9">
        <f t="shared" si="46"/>
        <v>760</v>
      </c>
      <c r="O246" s="9">
        <f t="shared" si="36"/>
        <v>646</v>
      </c>
      <c r="P246" s="5" t="s">
        <v>1761</v>
      </c>
      <c r="Q246" s="5" t="s">
        <v>2270</v>
      </c>
      <c r="R246" s="5" t="s">
        <v>2274</v>
      </c>
      <c r="S246" s="5" t="s">
        <v>2286</v>
      </c>
      <c r="T246" s="5" t="s">
        <v>2288</v>
      </c>
      <c r="U246" s="8">
        <v>1</v>
      </c>
      <c r="V246" s="8">
        <v>445</v>
      </c>
      <c r="W246" s="8">
        <v>28</v>
      </c>
      <c r="X246" s="9">
        <v>106.64</v>
      </c>
      <c r="Y246" s="9">
        <f t="shared" si="37"/>
        <v>219.44</v>
      </c>
      <c r="Z246" s="5" t="s">
        <v>2293</v>
      </c>
      <c r="AA246" s="5" t="s">
        <v>2296</v>
      </c>
      <c r="AB246" s="9">
        <f t="shared" si="38"/>
        <v>760</v>
      </c>
      <c r="AC246" s="9">
        <f t="shared" si="39"/>
        <v>114</v>
      </c>
      <c r="AD246" s="9">
        <f t="shared" si="40"/>
        <v>646</v>
      </c>
      <c r="AE246" s="9">
        <f t="shared" si="41"/>
        <v>426.56</v>
      </c>
      <c r="AF246" s="9">
        <f t="shared" si="47"/>
        <v>219.44</v>
      </c>
      <c r="AG246" s="8">
        <f t="shared" si="42"/>
        <v>2024</v>
      </c>
      <c r="AH246" s="8">
        <f t="shared" si="43"/>
        <v>10</v>
      </c>
      <c r="AI246" s="5" t="str">
        <f t="shared" si="44"/>
        <v>Oct</v>
      </c>
      <c r="AJ246" s="5" t="str">
        <f t="shared" si="45"/>
        <v>Saturday</v>
      </c>
    </row>
    <row r="247" spans="1:36" x14ac:dyDescent="0.3">
      <c r="A247" s="5" t="s">
        <v>281</v>
      </c>
      <c r="B247" s="6">
        <v>45636</v>
      </c>
      <c r="C247" s="7">
        <v>0.53472222222222221</v>
      </c>
      <c r="D247" s="5" t="s">
        <v>1765</v>
      </c>
      <c r="E247" s="5" t="s">
        <v>2058</v>
      </c>
      <c r="F247" s="5" t="s">
        <v>2239</v>
      </c>
      <c r="G247" s="5" t="s">
        <v>2241</v>
      </c>
      <c r="H247" s="5" t="s">
        <v>2257</v>
      </c>
      <c r="I247" s="5" t="s">
        <v>2262</v>
      </c>
      <c r="J247" s="5" t="s">
        <v>2264</v>
      </c>
      <c r="K247" s="8">
        <v>2</v>
      </c>
      <c r="L247" s="9">
        <v>125</v>
      </c>
      <c r="M247" s="10">
        <v>0</v>
      </c>
      <c r="N247" s="9">
        <f t="shared" si="46"/>
        <v>250</v>
      </c>
      <c r="O247" s="9">
        <f t="shared" si="36"/>
        <v>250</v>
      </c>
      <c r="P247" s="5" t="s">
        <v>2269</v>
      </c>
      <c r="Q247" s="5" t="s">
        <v>2270</v>
      </c>
      <c r="R247" s="5" t="s">
        <v>2279</v>
      </c>
      <c r="S247" s="5" t="s">
        <v>2281</v>
      </c>
      <c r="T247" s="5" t="s">
        <v>2290</v>
      </c>
      <c r="U247" s="8">
        <v>4</v>
      </c>
      <c r="V247" s="8">
        <v>491</v>
      </c>
      <c r="W247" s="8">
        <v>24</v>
      </c>
      <c r="X247" s="9">
        <v>60.49</v>
      </c>
      <c r="Y247" s="9">
        <f t="shared" si="37"/>
        <v>129.01999999999998</v>
      </c>
      <c r="Z247" s="5" t="s">
        <v>1761</v>
      </c>
      <c r="AA247" s="5" t="s">
        <v>2296</v>
      </c>
      <c r="AB247" s="9">
        <f t="shared" si="38"/>
        <v>250</v>
      </c>
      <c r="AC247" s="9">
        <f t="shared" si="39"/>
        <v>0</v>
      </c>
      <c r="AD247" s="9">
        <f t="shared" si="40"/>
        <v>250</v>
      </c>
      <c r="AE247" s="9">
        <f t="shared" si="41"/>
        <v>120.98</v>
      </c>
      <c r="AF247" s="9">
        <f t="shared" si="47"/>
        <v>129.01999999999998</v>
      </c>
      <c r="AG247" s="8">
        <f t="shared" si="42"/>
        <v>2024</v>
      </c>
      <c r="AH247" s="8">
        <f t="shared" si="43"/>
        <v>12</v>
      </c>
      <c r="AI247" s="5" t="str">
        <f t="shared" si="44"/>
        <v>Dec</v>
      </c>
      <c r="AJ247" s="5" t="str">
        <f t="shared" si="45"/>
        <v>Tuesday</v>
      </c>
    </row>
    <row r="248" spans="1:36" x14ac:dyDescent="0.3">
      <c r="A248" s="5" t="s">
        <v>282</v>
      </c>
      <c r="B248" s="6">
        <v>45562</v>
      </c>
      <c r="C248" s="7">
        <v>0.6875</v>
      </c>
      <c r="D248" s="5" t="s">
        <v>1883</v>
      </c>
      <c r="E248" s="5" t="s">
        <v>2005</v>
      </c>
      <c r="F248" s="5" t="s">
        <v>1761</v>
      </c>
      <c r="G248" s="5" t="s">
        <v>2253</v>
      </c>
      <c r="H248" s="5" t="s">
        <v>2258</v>
      </c>
      <c r="I248" s="5" t="s">
        <v>2260</v>
      </c>
      <c r="J248" s="5" t="s">
        <v>2266</v>
      </c>
      <c r="K248" s="8">
        <v>1</v>
      </c>
      <c r="L248" s="9">
        <v>85</v>
      </c>
      <c r="M248" s="10">
        <v>0.1</v>
      </c>
      <c r="N248" s="9">
        <f t="shared" si="46"/>
        <v>85</v>
      </c>
      <c r="O248" s="9">
        <f t="shared" si="36"/>
        <v>76.5</v>
      </c>
      <c r="P248" s="5" t="s">
        <v>2267</v>
      </c>
      <c r="Q248" s="5" t="s">
        <v>2272</v>
      </c>
      <c r="R248" s="5" t="s">
        <v>2273</v>
      </c>
      <c r="S248" s="5" t="s">
        <v>2284</v>
      </c>
      <c r="T248" s="5" t="s">
        <v>2288</v>
      </c>
      <c r="U248" s="8">
        <v>3</v>
      </c>
      <c r="V248" s="8">
        <v>243</v>
      </c>
      <c r="W248" s="8">
        <v>33</v>
      </c>
      <c r="X248" s="9">
        <v>32.450000000000003</v>
      </c>
      <c r="Y248" s="9">
        <f t="shared" si="37"/>
        <v>44.05</v>
      </c>
      <c r="Z248" s="5" t="s">
        <v>1761</v>
      </c>
      <c r="AA248" s="5" t="s">
        <v>2296</v>
      </c>
      <c r="AB248" s="9">
        <f t="shared" si="38"/>
        <v>85</v>
      </c>
      <c r="AC248" s="9">
        <f t="shared" si="39"/>
        <v>8.5</v>
      </c>
      <c r="AD248" s="9">
        <f t="shared" si="40"/>
        <v>76.5</v>
      </c>
      <c r="AE248" s="9">
        <f t="shared" si="41"/>
        <v>32.450000000000003</v>
      </c>
      <c r="AF248" s="9">
        <f t="shared" si="47"/>
        <v>44.05</v>
      </c>
      <c r="AG248" s="8">
        <f t="shared" si="42"/>
        <v>2024</v>
      </c>
      <c r="AH248" s="8">
        <f t="shared" si="43"/>
        <v>9</v>
      </c>
      <c r="AI248" s="5" t="str">
        <f t="shared" si="44"/>
        <v>Sep</v>
      </c>
      <c r="AJ248" s="5" t="str">
        <f t="shared" si="45"/>
        <v>Friday</v>
      </c>
    </row>
    <row r="249" spans="1:36" x14ac:dyDescent="0.3">
      <c r="A249" s="5" t="s">
        <v>283</v>
      </c>
      <c r="B249" s="6">
        <v>45560</v>
      </c>
      <c r="C249" s="7">
        <v>0.79166666666666663</v>
      </c>
      <c r="D249" s="5" t="s">
        <v>1884</v>
      </c>
      <c r="E249" s="5" t="s">
        <v>1959</v>
      </c>
      <c r="F249" s="5" t="s">
        <v>2239</v>
      </c>
      <c r="G249" s="5" t="s">
        <v>2249</v>
      </c>
      <c r="H249" s="5" t="s">
        <v>2257</v>
      </c>
      <c r="I249" s="5" t="s">
        <v>2263</v>
      </c>
      <c r="J249" s="5" t="s">
        <v>2265</v>
      </c>
      <c r="K249" s="8">
        <v>2</v>
      </c>
      <c r="L249" s="9">
        <v>170</v>
      </c>
      <c r="M249" s="10">
        <v>0.1</v>
      </c>
      <c r="N249" s="9">
        <f t="shared" si="46"/>
        <v>340</v>
      </c>
      <c r="O249" s="9">
        <f t="shared" si="36"/>
        <v>306</v>
      </c>
      <c r="P249" s="5" t="s">
        <v>2269</v>
      </c>
      <c r="Q249" s="5" t="s">
        <v>2270</v>
      </c>
      <c r="R249" s="5" t="s">
        <v>2278</v>
      </c>
      <c r="S249" s="5" t="s">
        <v>2287</v>
      </c>
      <c r="T249" s="5" t="s">
        <v>2289</v>
      </c>
      <c r="U249" s="8">
        <v>1</v>
      </c>
      <c r="V249" s="8">
        <v>399</v>
      </c>
      <c r="W249" s="19">
        <v>34</v>
      </c>
      <c r="X249" s="9">
        <v>56.77</v>
      </c>
      <c r="Y249" s="9">
        <f t="shared" si="37"/>
        <v>192.45999999999998</v>
      </c>
      <c r="Z249" s="5" t="s">
        <v>2294</v>
      </c>
      <c r="AA249" s="5" t="s">
        <v>2296</v>
      </c>
      <c r="AB249" s="9">
        <f t="shared" si="38"/>
        <v>340</v>
      </c>
      <c r="AC249" s="9">
        <f t="shared" si="39"/>
        <v>34</v>
      </c>
      <c r="AD249" s="9">
        <f t="shared" si="40"/>
        <v>306</v>
      </c>
      <c r="AE249" s="9">
        <f t="shared" si="41"/>
        <v>113.54</v>
      </c>
      <c r="AF249" s="9">
        <f t="shared" si="47"/>
        <v>192.45999999999998</v>
      </c>
      <c r="AG249" s="8">
        <f t="shared" si="42"/>
        <v>2024</v>
      </c>
      <c r="AH249" s="8">
        <f t="shared" si="43"/>
        <v>9</v>
      </c>
      <c r="AI249" s="5" t="str">
        <f t="shared" si="44"/>
        <v>Sep</v>
      </c>
      <c r="AJ249" s="5" t="str">
        <f t="shared" si="45"/>
        <v>Wednesday</v>
      </c>
    </row>
    <row r="250" spans="1:36" x14ac:dyDescent="0.3">
      <c r="A250" s="5" t="s">
        <v>284</v>
      </c>
      <c r="B250" s="6">
        <v>45577</v>
      </c>
      <c r="C250" s="7">
        <v>0.34722222222222221</v>
      </c>
      <c r="D250" s="5" t="s">
        <v>1854</v>
      </c>
      <c r="E250" s="5" t="s">
        <v>2112</v>
      </c>
      <c r="F250" s="5" t="s">
        <v>2239</v>
      </c>
      <c r="G250" s="5" t="s">
        <v>2252</v>
      </c>
      <c r="H250" s="5" t="s">
        <v>2257</v>
      </c>
      <c r="I250" s="5" t="s">
        <v>2262</v>
      </c>
      <c r="J250" s="5" t="s">
        <v>2265</v>
      </c>
      <c r="K250" s="8">
        <v>1</v>
      </c>
      <c r="L250" s="9">
        <v>85</v>
      </c>
      <c r="M250" s="10">
        <v>0.05</v>
      </c>
      <c r="N250" s="9">
        <f t="shared" si="46"/>
        <v>85</v>
      </c>
      <c r="O250" s="9">
        <f t="shared" si="36"/>
        <v>80.75</v>
      </c>
      <c r="P250" s="5" t="s">
        <v>2268</v>
      </c>
      <c r="Q250" s="5" t="s">
        <v>2272</v>
      </c>
      <c r="R250" s="5" t="s">
        <v>2276</v>
      </c>
      <c r="S250" s="5" t="s">
        <v>2286</v>
      </c>
      <c r="T250" s="5" t="s">
        <v>2288</v>
      </c>
      <c r="U250" s="8">
        <v>1</v>
      </c>
      <c r="V250" s="8">
        <v>347</v>
      </c>
      <c r="W250" s="8">
        <v>53</v>
      </c>
      <c r="X250" s="9">
        <v>35.909999999999997</v>
      </c>
      <c r="Y250" s="9">
        <f t="shared" si="37"/>
        <v>44.84</v>
      </c>
      <c r="Z250" s="5" t="s">
        <v>2294</v>
      </c>
      <c r="AA250" s="5" t="s">
        <v>1761</v>
      </c>
      <c r="AB250" s="9">
        <f t="shared" si="38"/>
        <v>85</v>
      </c>
      <c r="AC250" s="9">
        <f t="shared" si="39"/>
        <v>4.25</v>
      </c>
      <c r="AD250" s="9">
        <f t="shared" si="40"/>
        <v>80.75</v>
      </c>
      <c r="AE250" s="9">
        <f t="shared" si="41"/>
        <v>35.909999999999997</v>
      </c>
      <c r="AF250" s="9">
        <f t="shared" si="47"/>
        <v>44.84</v>
      </c>
      <c r="AG250" s="8">
        <f t="shared" si="42"/>
        <v>2024</v>
      </c>
      <c r="AH250" s="8">
        <f t="shared" si="43"/>
        <v>10</v>
      </c>
      <c r="AI250" s="5" t="str">
        <f t="shared" si="44"/>
        <v>Oct</v>
      </c>
      <c r="AJ250" s="5" t="str">
        <f t="shared" si="45"/>
        <v>Saturday</v>
      </c>
    </row>
    <row r="251" spans="1:36" x14ac:dyDescent="0.3">
      <c r="A251" s="5" t="s">
        <v>285</v>
      </c>
      <c r="B251" s="6">
        <v>45362</v>
      </c>
      <c r="C251" s="7">
        <v>0.59722222222222221</v>
      </c>
      <c r="D251" s="5" t="s">
        <v>1798</v>
      </c>
      <c r="E251" s="5" t="s">
        <v>2113</v>
      </c>
      <c r="F251" s="5" t="s">
        <v>2240</v>
      </c>
      <c r="G251" s="5" t="s">
        <v>2250</v>
      </c>
      <c r="H251" s="5" t="s">
        <v>2259</v>
      </c>
      <c r="I251" s="5" t="s">
        <v>2262</v>
      </c>
      <c r="J251" s="5" t="s">
        <v>2266</v>
      </c>
      <c r="K251" s="8">
        <v>2</v>
      </c>
      <c r="L251" s="9">
        <v>90</v>
      </c>
      <c r="M251" s="10">
        <v>0.05</v>
      </c>
      <c r="N251" s="9">
        <f t="shared" si="46"/>
        <v>180</v>
      </c>
      <c r="O251" s="9">
        <f t="shared" si="36"/>
        <v>171</v>
      </c>
      <c r="P251" s="5" t="s">
        <v>2268</v>
      </c>
      <c r="Q251" s="5" t="s">
        <v>1761</v>
      </c>
      <c r="R251" s="5" t="s">
        <v>2274</v>
      </c>
      <c r="S251" s="5" t="s">
        <v>2281</v>
      </c>
      <c r="T251" s="5" t="s">
        <v>2288</v>
      </c>
      <c r="U251" s="8">
        <v>5</v>
      </c>
      <c r="V251" s="19">
        <v>244</v>
      </c>
      <c r="W251" s="19">
        <v>36</v>
      </c>
      <c r="X251" s="9">
        <v>41.71</v>
      </c>
      <c r="Y251" s="9">
        <f t="shared" si="37"/>
        <v>87.58</v>
      </c>
      <c r="Z251" s="5" t="s">
        <v>1761</v>
      </c>
      <c r="AA251" s="5" t="s">
        <v>2299</v>
      </c>
      <c r="AB251" s="9">
        <f t="shared" si="38"/>
        <v>180</v>
      </c>
      <c r="AC251" s="9">
        <f t="shared" si="39"/>
        <v>9</v>
      </c>
      <c r="AD251" s="9">
        <f t="shared" si="40"/>
        <v>171</v>
      </c>
      <c r="AE251" s="9">
        <f t="shared" si="41"/>
        <v>83.42</v>
      </c>
      <c r="AF251" s="9">
        <f t="shared" si="47"/>
        <v>87.58</v>
      </c>
      <c r="AG251" s="8">
        <f t="shared" si="42"/>
        <v>2024</v>
      </c>
      <c r="AH251" s="8">
        <f t="shared" si="43"/>
        <v>3</v>
      </c>
      <c r="AI251" s="5" t="str">
        <f t="shared" si="44"/>
        <v>Mar</v>
      </c>
      <c r="AJ251" s="5" t="str">
        <f t="shared" si="45"/>
        <v>Monday</v>
      </c>
    </row>
    <row r="252" spans="1:36" x14ac:dyDescent="0.3">
      <c r="A252" s="5" t="s">
        <v>286</v>
      </c>
      <c r="B252" s="6">
        <v>45571</v>
      </c>
      <c r="C252" s="7">
        <v>0.41666666666666669</v>
      </c>
      <c r="D252" s="5" t="s">
        <v>1848</v>
      </c>
      <c r="E252" s="5" t="s">
        <v>1761</v>
      </c>
      <c r="F252" s="5" t="s">
        <v>2239</v>
      </c>
      <c r="G252" s="5" t="s">
        <v>2242</v>
      </c>
      <c r="H252" s="5" t="s">
        <v>2258</v>
      </c>
      <c r="I252" s="5" t="s">
        <v>2260</v>
      </c>
      <c r="J252" s="5" t="s">
        <v>1761</v>
      </c>
      <c r="K252" s="8">
        <v>2</v>
      </c>
      <c r="L252" s="9">
        <v>125</v>
      </c>
      <c r="M252" s="10">
        <v>0.1</v>
      </c>
      <c r="N252" s="9">
        <f t="shared" si="46"/>
        <v>250</v>
      </c>
      <c r="O252" s="9">
        <f t="shared" si="36"/>
        <v>225</v>
      </c>
      <c r="P252" s="5" t="s">
        <v>2269</v>
      </c>
      <c r="Q252" s="5" t="s">
        <v>2271</v>
      </c>
      <c r="R252" s="5" t="s">
        <v>2276</v>
      </c>
      <c r="S252" s="5" t="s">
        <v>2280</v>
      </c>
      <c r="T252" s="5" t="s">
        <v>2288</v>
      </c>
      <c r="U252" s="8">
        <v>4</v>
      </c>
      <c r="V252" s="8">
        <v>465</v>
      </c>
      <c r="W252" s="8">
        <v>19</v>
      </c>
      <c r="X252" s="9">
        <v>68.38</v>
      </c>
      <c r="Y252" s="9">
        <f t="shared" si="37"/>
        <v>88.240000000000009</v>
      </c>
      <c r="Z252" s="5" t="s">
        <v>2293</v>
      </c>
      <c r="AA252" s="5" t="s">
        <v>2296</v>
      </c>
      <c r="AB252" s="9">
        <f t="shared" si="38"/>
        <v>250</v>
      </c>
      <c r="AC252" s="9">
        <f t="shared" si="39"/>
        <v>25</v>
      </c>
      <c r="AD252" s="9">
        <f t="shared" si="40"/>
        <v>225</v>
      </c>
      <c r="AE252" s="9">
        <f t="shared" si="41"/>
        <v>136.76</v>
      </c>
      <c r="AF252" s="9">
        <f t="shared" si="47"/>
        <v>88.240000000000009</v>
      </c>
      <c r="AG252" s="8">
        <f t="shared" si="42"/>
        <v>2024</v>
      </c>
      <c r="AH252" s="8">
        <f t="shared" si="43"/>
        <v>10</v>
      </c>
      <c r="AI252" s="5" t="str">
        <f t="shared" si="44"/>
        <v>Oct</v>
      </c>
      <c r="AJ252" s="5" t="str">
        <f t="shared" si="45"/>
        <v>Sunday</v>
      </c>
    </row>
    <row r="253" spans="1:36" x14ac:dyDescent="0.3">
      <c r="A253" s="5" t="s">
        <v>287</v>
      </c>
      <c r="B253" s="6">
        <v>45422</v>
      </c>
      <c r="C253" s="7">
        <v>0.57638888888888884</v>
      </c>
      <c r="D253" s="5" t="s">
        <v>1885</v>
      </c>
      <c r="E253" s="5" t="s">
        <v>2040</v>
      </c>
      <c r="F253" s="5" t="s">
        <v>2240</v>
      </c>
      <c r="G253" s="5" t="s">
        <v>2243</v>
      </c>
      <c r="H253" s="5" t="s">
        <v>2258</v>
      </c>
      <c r="I253" s="5" t="s">
        <v>2260</v>
      </c>
      <c r="J253" s="5" t="s">
        <v>2266</v>
      </c>
      <c r="K253" s="8">
        <v>1</v>
      </c>
      <c r="L253" s="9">
        <v>80</v>
      </c>
      <c r="M253" s="10">
        <v>0.15</v>
      </c>
      <c r="N253" s="9">
        <f t="shared" si="46"/>
        <v>80</v>
      </c>
      <c r="O253" s="9">
        <f t="shared" si="36"/>
        <v>68</v>
      </c>
      <c r="P253" s="5" t="s">
        <v>2268</v>
      </c>
      <c r="Q253" s="5" t="s">
        <v>2270</v>
      </c>
      <c r="R253" s="5" t="s">
        <v>2273</v>
      </c>
      <c r="S253" s="5" t="s">
        <v>2280</v>
      </c>
      <c r="T253" s="5" t="s">
        <v>2289</v>
      </c>
      <c r="U253" s="19">
        <v>3</v>
      </c>
      <c r="V253" s="8">
        <v>419</v>
      </c>
      <c r="W253" s="8">
        <v>23</v>
      </c>
      <c r="X253" s="9">
        <v>30.58</v>
      </c>
      <c r="Y253" s="9">
        <f t="shared" si="37"/>
        <v>37.42</v>
      </c>
      <c r="Z253" s="5" t="s">
        <v>2294</v>
      </c>
      <c r="AA253" s="5" t="s">
        <v>1761</v>
      </c>
      <c r="AB253" s="9">
        <f t="shared" si="38"/>
        <v>80</v>
      </c>
      <c r="AC253" s="9">
        <f t="shared" si="39"/>
        <v>12</v>
      </c>
      <c r="AD253" s="9">
        <f t="shared" si="40"/>
        <v>68</v>
      </c>
      <c r="AE253" s="9">
        <f t="shared" si="41"/>
        <v>30.58</v>
      </c>
      <c r="AF253" s="9">
        <f t="shared" si="47"/>
        <v>37.42</v>
      </c>
      <c r="AG253" s="8">
        <f t="shared" si="42"/>
        <v>2024</v>
      </c>
      <c r="AH253" s="8">
        <f t="shared" si="43"/>
        <v>5</v>
      </c>
      <c r="AI253" s="5" t="str">
        <f t="shared" si="44"/>
        <v>May</v>
      </c>
      <c r="AJ253" s="5" t="str">
        <f t="shared" si="45"/>
        <v>Friday</v>
      </c>
    </row>
    <row r="254" spans="1:36" x14ac:dyDescent="0.3">
      <c r="A254" s="5" t="s">
        <v>288</v>
      </c>
      <c r="B254" s="6">
        <v>45601</v>
      </c>
      <c r="C254" s="7">
        <v>0.47222222222222221</v>
      </c>
      <c r="D254" s="5" t="s">
        <v>1749</v>
      </c>
      <c r="E254" s="5" t="s">
        <v>1761</v>
      </c>
      <c r="F254" s="5" t="s">
        <v>2239</v>
      </c>
      <c r="G254" s="5" t="s">
        <v>2243</v>
      </c>
      <c r="H254" s="5" t="s">
        <v>2258</v>
      </c>
      <c r="I254" s="5" t="s">
        <v>2260</v>
      </c>
      <c r="J254" s="5" t="s">
        <v>2266</v>
      </c>
      <c r="K254" s="8">
        <v>2</v>
      </c>
      <c r="L254" s="9">
        <v>65</v>
      </c>
      <c r="M254" s="10">
        <v>0</v>
      </c>
      <c r="N254" s="9">
        <f t="shared" si="46"/>
        <v>130</v>
      </c>
      <c r="O254" s="9">
        <f t="shared" si="36"/>
        <v>130</v>
      </c>
      <c r="P254" s="5" t="s">
        <v>1761</v>
      </c>
      <c r="Q254" s="5" t="s">
        <v>2272</v>
      </c>
      <c r="R254" s="5" t="s">
        <v>2278</v>
      </c>
      <c r="S254" s="5" t="s">
        <v>2287</v>
      </c>
      <c r="T254" s="5" t="s">
        <v>2288</v>
      </c>
      <c r="U254" s="8">
        <v>5</v>
      </c>
      <c r="V254" s="8">
        <v>307</v>
      </c>
      <c r="W254" s="19">
        <v>35</v>
      </c>
      <c r="X254" s="9">
        <v>31.89</v>
      </c>
      <c r="Y254" s="9">
        <f t="shared" si="37"/>
        <v>66.22</v>
      </c>
      <c r="Z254" s="5" t="s">
        <v>2294</v>
      </c>
      <c r="AA254" s="5" t="s">
        <v>2296</v>
      </c>
      <c r="AB254" s="9">
        <f t="shared" si="38"/>
        <v>130</v>
      </c>
      <c r="AC254" s="9">
        <f t="shared" si="39"/>
        <v>0</v>
      </c>
      <c r="AD254" s="9">
        <f t="shared" si="40"/>
        <v>130</v>
      </c>
      <c r="AE254" s="9">
        <f t="shared" si="41"/>
        <v>63.78</v>
      </c>
      <c r="AF254" s="9">
        <f t="shared" si="47"/>
        <v>66.22</v>
      </c>
      <c r="AG254" s="8">
        <f t="shared" si="42"/>
        <v>2024</v>
      </c>
      <c r="AH254" s="8">
        <f t="shared" si="43"/>
        <v>11</v>
      </c>
      <c r="AI254" s="5" t="str">
        <f t="shared" si="44"/>
        <v>Nov</v>
      </c>
      <c r="AJ254" s="5" t="str">
        <f t="shared" si="45"/>
        <v>Tuesday</v>
      </c>
    </row>
    <row r="255" spans="1:36" x14ac:dyDescent="0.3">
      <c r="A255" s="5" t="s">
        <v>289</v>
      </c>
      <c r="B255" s="6">
        <v>45590</v>
      </c>
      <c r="C255" s="7">
        <v>0.48958333333333331</v>
      </c>
      <c r="D255" s="5" t="s">
        <v>1879</v>
      </c>
      <c r="E255" s="5" t="s">
        <v>1761</v>
      </c>
      <c r="F255" s="5" t="s">
        <v>1761</v>
      </c>
      <c r="G255" s="5" t="s">
        <v>2249</v>
      </c>
      <c r="H255" s="5" t="s">
        <v>2257</v>
      </c>
      <c r="I255" s="5" t="s">
        <v>2263</v>
      </c>
      <c r="J255" s="5" t="s">
        <v>2264</v>
      </c>
      <c r="K255" s="8">
        <v>2</v>
      </c>
      <c r="L255" s="9">
        <v>160</v>
      </c>
      <c r="M255" s="10">
        <v>0</v>
      </c>
      <c r="N255" s="9">
        <f t="shared" si="46"/>
        <v>320</v>
      </c>
      <c r="O255" s="9">
        <f t="shared" si="36"/>
        <v>320</v>
      </c>
      <c r="P255" s="5" t="s">
        <v>2269</v>
      </c>
      <c r="Q255" s="5" t="s">
        <v>1761</v>
      </c>
      <c r="R255" s="5" t="s">
        <v>2277</v>
      </c>
      <c r="S255" s="5" t="s">
        <v>2280</v>
      </c>
      <c r="T255" s="5" t="s">
        <v>2288</v>
      </c>
      <c r="U255" s="8">
        <v>3</v>
      </c>
      <c r="V255" s="8">
        <v>382</v>
      </c>
      <c r="W255" s="8">
        <v>39</v>
      </c>
      <c r="X255" s="9">
        <v>73.33</v>
      </c>
      <c r="Y255" s="9">
        <f t="shared" si="37"/>
        <v>173.34</v>
      </c>
      <c r="Z255" s="5" t="s">
        <v>2291</v>
      </c>
      <c r="AA255" s="5" t="s">
        <v>2298</v>
      </c>
      <c r="AB255" s="9">
        <f t="shared" si="38"/>
        <v>320</v>
      </c>
      <c r="AC255" s="9">
        <f t="shared" si="39"/>
        <v>0</v>
      </c>
      <c r="AD255" s="9">
        <f t="shared" si="40"/>
        <v>320</v>
      </c>
      <c r="AE255" s="9">
        <f t="shared" si="41"/>
        <v>146.66</v>
      </c>
      <c r="AF255" s="9">
        <f t="shared" si="47"/>
        <v>173.34</v>
      </c>
      <c r="AG255" s="8">
        <f t="shared" si="42"/>
        <v>2024</v>
      </c>
      <c r="AH255" s="8">
        <f t="shared" si="43"/>
        <v>10</v>
      </c>
      <c r="AI255" s="5" t="str">
        <f t="shared" si="44"/>
        <v>Oct</v>
      </c>
      <c r="AJ255" s="5" t="str">
        <f t="shared" si="45"/>
        <v>Friday</v>
      </c>
    </row>
    <row r="256" spans="1:36" x14ac:dyDescent="0.3">
      <c r="A256" s="5" t="s">
        <v>290</v>
      </c>
      <c r="B256" s="6">
        <v>45558</v>
      </c>
      <c r="C256" s="7">
        <v>0.72916666666666663</v>
      </c>
      <c r="D256" s="5" t="s">
        <v>1785</v>
      </c>
      <c r="E256" s="5" t="s">
        <v>2114</v>
      </c>
      <c r="F256" s="5" t="s">
        <v>2240</v>
      </c>
      <c r="G256" s="5" t="s">
        <v>2243</v>
      </c>
      <c r="H256" s="5" t="s">
        <v>2258</v>
      </c>
      <c r="I256" s="5" t="s">
        <v>2260</v>
      </c>
      <c r="J256" s="5" t="s">
        <v>2266</v>
      </c>
      <c r="K256" s="8">
        <v>1</v>
      </c>
      <c r="L256" s="9">
        <v>65</v>
      </c>
      <c r="M256" s="10">
        <v>0</v>
      </c>
      <c r="N256" s="9">
        <f t="shared" si="46"/>
        <v>65</v>
      </c>
      <c r="O256" s="9">
        <f t="shared" si="36"/>
        <v>65</v>
      </c>
      <c r="P256" s="5" t="s">
        <v>2269</v>
      </c>
      <c r="Q256" s="5" t="s">
        <v>1761</v>
      </c>
      <c r="R256" s="5" t="s">
        <v>2277</v>
      </c>
      <c r="S256" s="5" t="s">
        <v>2284</v>
      </c>
      <c r="T256" s="5" t="s">
        <v>2288</v>
      </c>
      <c r="U256" s="8">
        <v>5</v>
      </c>
      <c r="V256" s="8">
        <v>446</v>
      </c>
      <c r="W256" s="8">
        <v>47</v>
      </c>
      <c r="X256" s="9">
        <v>34.950000000000003</v>
      </c>
      <c r="Y256" s="9">
        <f t="shared" si="37"/>
        <v>30.049999999999997</v>
      </c>
      <c r="Z256" s="5" t="s">
        <v>2293</v>
      </c>
      <c r="AA256" s="5" t="s">
        <v>2299</v>
      </c>
      <c r="AB256" s="9">
        <f t="shared" si="38"/>
        <v>65</v>
      </c>
      <c r="AC256" s="9">
        <f t="shared" si="39"/>
        <v>0</v>
      </c>
      <c r="AD256" s="9">
        <f t="shared" si="40"/>
        <v>65</v>
      </c>
      <c r="AE256" s="9">
        <f t="shared" si="41"/>
        <v>34.950000000000003</v>
      </c>
      <c r="AF256" s="9">
        <f t="shared" si="47"/>
        <v>30.049999999999997</v>
      </c>
      <c r="AG256" s="8">
        <f t="shared" si="42"/>
        <v>2024</v>
      </c>
      <c r="AH256" s="8">
        <f t="shared" si="43"/>
        <v>9</v>
      </c>
      <c r="AI256" s="5" t="str">
        <f t="shared" si="44"/>
        <v>Sep</v>
      </c>
      <c r="AJ256" s="5" t="str">
        <f t="shared" si="45"/>
        <v>Monday</v>
      </c>
    </row>
    <row r="257" spans="1:36" x14ac:dyDescent="0.3">
      <c r="A257" s="5" t="s">
        <v>291</v>
      </c>
      <c r="B257" s="6">
        <v>45365</v>
      </c>
      <c r="C257" s="7">
        <v>0.89583333333333337</v>
      </c>
      <c r="D257" s="5" t="s">
        <v>1880</v>
      </c>
      <c r="E257" s="5" t="s">
        <v>2115</v>
      </c>
      <c r="F257" s="5" t="s">
        <v>2240</v>
      </c>
      <c r="G257" s="5" t="s">
        <v>2251</v>
      </c>
      <c r="H257" s="5" t="s">
        <v>2258</v>
      </c>
      <c r="I257" s="5" t="s">
        <v>2260</v>
      </c>
      <c r="J257" s="5" t="s">
        <v>2264</v>
      </c>
      <c r="K257" s="8">
        <v>1</v>
      </c>
      <c r="L257" s="9">
        <v>95</v>
      </c>
      <c r="M257" s="10">
        <v>0.1</v>
      </c>
      <c r="N257" s="9">
        <f t="shared" si="46"/>
        <v>95</v>
      </c>
      <c r="O257" s="9">
        <f t="shared" si="36"/>
        <v>85.5</v>
      </c>
      <c r="P257" s="5" t="s">
        <v>2267</v>
      </c>
      <c r="Q257" s="5" t="s">
        <v>2271</v>
      </c>
      <c r="R257" s="5" t="s">
        <v>2277</v>
      </c>
      <c r="S257" s="5" t="s">
        <v>2282</v>
      </c>
      <c r="T257" s="5" t="s">
        <v>2289</v>
      </c>
      <c r="U257" s="19">
        <v>3</v>
      </c>
      <c r="V257" s="8">
        <v>39</v>
      </c>
      <c r="W257" s="8">
        <v>20</v>
      </c>
      <c r="X257" s="9">
        <v>45.81</v>
      </c>
      <c r="Y257" s="9">
        <f t="shared" si="37"/>
        <v>39.69</v>
      </c>
      <c r="Z257" s="5" t="s">
        <v>2292</v>
      </c>
      <c r="AA257" s="5" t="s">
        <v>1761</v>
      </c>
      <c r="AB257" s="9">
        <f t="shared" si="38"/>
        <v>95</v>
      </c>
      <c r="AC257" s="9">
        <f t="shared" si="39"/>
        <v>9.5</v>
      </c>
      <c r="AD257" s="9">
        <f t="shared" si="40"/>
        <v>85.5</v>
      </c>
      <c r="AE257" s="9">
        <f t="shared" si="41"/>
        <v>45.81</v>
      </c>
      <c r="AF257" s="9">
        <f t="shared" si="47"/>
        <v>39.69</v>
      </c>
      <c r="AG257" s="8">
        <f t="shared" si="42"/>
        <v>2024</v>
      </c>
      <c r="AH257" s="8">
        <f t="shared" si="43"/>
        <v>3</v>
      </c>
      <c r="AI257" s="5" t="str">
        <f t="shared" si="44"/>
        <v>Mar</v>
      </c>
      <c r="AJ257" s="5" t="str">
        <f t="shared" si="45"/>
        <v>Thursday</v>
      </c>
    </row>
    <row r="258" spans="1:36" x14ac:dyDescent="0.3">
      <c r="A258" s="5" t="s">
        <v>292</v>
      </c>
      <c r="B258" s="6">
        <v>45496</v>
      </c>
      <c r="C258" s="7">
        <v>0.55208333333333337</v>
      </c>
      <c r="D258" s="5" t="s">
        <v>1886</v>
      </c>
      <c r="E258" s="5" t="s">
        <v>1761</v>
      </c>
      <c r="F258" s="5" t="s">
        <v>2239</v>
      </c>
      <c r="G258" s="5" t="s">
        <v>2247</v>
      </c>
      <c r="H258" s="5" t="s">
        <v>2257</v>
      </c>
      <c r="I258" s="5" t="s">
        <v>2262</v>
      </c>
      <c r="J258" s="5" t="s">
        <v>2265</v>
      </c>
      <c r="K258" s="8">
        <v>1</v>
      </c>
      <c r="L258" s="9">
        <v>100</v>
      </c>
      <c r="M258" s="10">
        <v>0</v>
      </c>
      <c r="N258" s="9">
        <f t="shared" si="46"/>
        <v>100</v>
      </c>
      <c r="O258" s="9">
        <f t="shared" ref="O258:O321" si="48">IF(N258="","",N258*(1-IF(M258="",0,M258)))</f>
        <v>100</v>
      </c>
      <c r="P258" s="5" t="s">
        <v>2267</v>
      </c>
      <c r="Q258" s="5" t="s">
        <v>2270</v>
      </c>
      <c r="R258" s="5" t="s">
        <v>2274</v>
      </c>
      <c r="S258" s="5" t="s">
        <v>2283</v>
      </c>
      <c r="T258" s="5" t="s">
        <v>2289</v>
      </c>
      <c r="U258" s="8">
        <v>2</v>
      </c>
      <c r="V258" s="8">
        <v>144</v>
      </c>
      <c r="W258" s="19">
        <v>34</v>
      </c>
      <c r="X258" s="9">
        <v>41.07</v>
      </c>
      <c r="Y258" s="9">
        <f t="shared" ref="Y258:Y321" si="49">IF(OR(O258="",K258="",X258=""),"",O258-K258*X258)</f>
        <v>58.93</v>
      </c>
      <c r="Z258" s="5" t="s">
        <v>1761</v>
      </c>
      <c r="AA258" s="5" t="s">
        <v>2296</v>
      </c>
      <c r="AB258" s="9">
        <f t="shared" ref="AB258:AB321" si="50">N258</f>
        <v>100</v>
      </c>
      <c r="AC258" s="9">
        <f t="shared" ref="AC258:AC321" si="51">IF(N258="","",N258*IF(M258="",0,M258))</f>
        <v>0</v>
      </c>
      <c r="AD258" s="9">
        <f t="shared" ref="AD258:AD321" si="52">O258</f>
        <v>100</v>
      </c>
      <c r="AE258" s="9">
        <f t="shared" ref="AE258:AE321" si="53">IF(OR(K258="",X258=""),"",K258*X258)</f>
        <v>41.07</v>
      </c>
      <c r="AF258" s="9">
        <f t="shared" si="47"/>
        <v>58.93</v>
      </c>
      <c r="AG258" s="8">
        <f t="shared" ref="AG258:AG321" si="54">IF(B258="","",YEAR(B258))</f>
        <v>2024</v>
      </c>
      <c r="AH258" s="8">
        <f t="shared" ref="AH258:AH321" si="55">IF(B258="","",MONTH(B258))</f>
        <v>7</v>
      </c>
      <c r="AI258" s="5" t="str">
        <f t="shared" ref="AI258:AI321" si="56">IF(B258="","",TEXT(B258,"mmm"))</f>
        <v>Jul</v>
      </c>
      <c r="AJ258" s="5" t="str">
        <f t="shared" ref="AJ258:AJ321" si="57">IF(B258="","",TEXT(B258,"dddd"))</f>
        <v>Tuesday</v>
      </c>
    </row>
    <row r="259" spans="1:36" x14ac:dyDescent="0.3">
      <c r="A259" s="5" t="s">
        <v>293</v>
      </c>
      <c r="B259" s="6">
        <v>45357</v>
      </c>
      <c r="C259" s="7">
        <v>0.4375</v>
      </c>
      <c r="D259" s="5" t="s">
        <v>1879</v>
      </c>
      <c r="E259" s="5" t="s">
        <v>2116</v>
      </c>
      <c r="F259" s="5" t="s">
        <v>2240</v>
      </c>
      <c r="G259" s="5" t="s">
        <v>2256</v>
      </c>
      <c r="H259" s="5" t="s">
        <v>2261</v>
      </c>
      <c r="I259" s="5" t="s">
        <v>2260</v>
      </c>
      <c r="J259" s="5" t="s">
        <v>2264</v>
      </c>
      <c r="K259" s="8">
        <v>1</v>
      </c>
      <c r="L259" s="9">
        <v>185</v>
      </c>
      <c r="M259" s="10">
        <v>0</v>
      </c>
      <c r="N259" s="9">
        <f t="shared" ref="N259:N322" si="58">IFERROR(K259*L259,"")</f>
        <v>185</v>
      </c>
      <c r="O259" s="9">
        <f t="shared" si="48"/>
        <v>185</v>
      </c>
      <c r="P259" s="5" t="s">
        <v>2267</v>
      </c>
      <c r="Q259" s="5" t="s">
        <v>1761</v>
      </c>
      <c r="R259" s="5" t="s">
        <v>2278</v>
      </c>
      <c r="S259" s="5" t="s">
        <v>2281</v>
      </c>
      <c r="T259" s="5" t="s">
        <v>2290</v>
      </c>
      <c r="U259" s="8">
        <v>2</v>
      </c>
      <c r="V259" s="8">
        <v>388</v>
      </c>
      <c r="W259" s="8">
        <v>41</v>
      </c>
      <c r="X259" s="9">
        <v>104.64</v>
      </c>
      <c r="Y259" s="9">
        <f t="shared" si="49"/>
        <v>80.36</v>
      </c>
      <c r="Z259" s="5" t="s">
        <v>2293</v>
      </c>
      <c r="AA259" s="5" t="s">
        <v>2296</v>
      </c>
      <c r="AB259" s="9">
        <f t="shared" si="50"/>
        <v>185</v>
      </c>
      <c r="AC259" s="9">
        <f t="shared" si="51"/>
        <v>0</v>
      </c>
      <c r="AD259" s="9">
        <f t="shared" si="52"/>
        <v>185</v>
      </c>
      <c r="AE259" s="9">
        <f t="shared" si="53"/>
        <v>104.64</v>
      </c>
      <c r="AF259" s="9">
        <f t="shared" ref="AF259:AF322" si="59">Y259</f>
        <v>80.36</v>
      </c>
      <c r="AG259" s="8">
        <f t="shared" si="54"/>
        <v>2024</v>
      </c>
      <c r="AH259" s="8">
        <f t="shared" si="55"/>
        <v>3</v>
      </c>
      <c r="AI259" s="5" t="str">
        <f t="shared" si="56"/>
        <v>Mar</v>
      </c>
      <c r="AJ259" s="5" t="str">
        <f t="shared" si="57"/>
        <v>Wednesday</v>
      </c>
    </row>
    <row r="260" spans="1:36" x14ac:dyDescent="0.3">
      <c r="A260" s="5" t="s">
        <v>294</v>
      </c>
      <c r="B260" s="6">
        <v>45567</v>
      </c>
      <c r="C260" s="7">
        <v>0.74305555555555558</v>
      </c>
      <c r="D260" s="5" t="s">
        <v>1826</v>
      </c>
      <c r="E260" s="5" t="s">
        <v>2117</v>
      </c>
      <c r="F260" s="5" t="s">
        <v>2239</v>
      </c>
      <c r="G260" s="5" t="s">
        <v>2247</v>
      </c>
      <c r="H260" s="5" t="s">
        <v>2257</v>
      </c>
      <c r="I260" s="5" t="s">
        <v>2262</v>
      </c>
      <c r="J260" s="5" t="s">
        <v>1761</v>
      </c>
      <c r="K260" s="8">
        <v>2</v>
      </c>
      <c r="L260" s="9">
        <v>105</v>
      </c>
      <c r="M260" s="10">
        <v>0.1</v>
      </c>
      <c r="N260" s="9">
        <f t="shared" si="58"/>
        <v>210</v>
      </c>
      <c r="O260" s="9">
        <f t="shared" si="48"/>
        <v>189</v>
      </c>
      <c r="P260" s="5" t="s">
        <v>2267</v>
      </c>
      <c r="Q260" s="5" t="s">
        <v>2272</v>
      </c>
      <c r="R260" s="5" t="s">
        <v>2278</v>
      </c>
      <c r="S260" s="5" t="s">
        <v>2284</v>
      </c>
      <c r="T260" s="5" t="s">
        <v>2289</v>
      </c>
      <c r="U260" s="8">
        <v>2</v>
      </c>
      <c r="V260" s="8">
        <v>380</v>
      </c>
      <c r="W260" s="8">
        <v>51</v>
      </c>
      <c r="X260" s="9">
        <v>38.340000000000003</v>
      </c>
      <c r="Y260" s="9">
        <f t="shared" si="49"/>
        <v>112.32</v>
      </c>
      <c r="Z260" s="5" t="s">
        <v>2293</v>
      </c>
      <c r="AA260" s="5" t="s">
        <v>2298</v>
      </c>
      <c r="AB260" s="9">
        <f t="shared" si="50"/>
        <v>210</v>
      </c>
      <c r="AC260" s="9">
        <f t="shared" si="51"/>
        <v>21</v>
      </c>
      <c r="AD260" s="9">
        <f t="shared" si="52"/>
        <v>189</v>
      </c>
      <c r="AE260" s="9">
        <f t="shared" si="53"/>
        <v>76.680000000000007</v>
      </c>
      <c r="AF260" s="9">
        <f t="shared" si="59"/>
        <v>112.32</v>
      </c>
      <c r="AG260" s="8">
        <f t="shared" si="54"/>
        <v>2024</v>
      </c>
      <c r="AH260" s="8">
        <f t="shared" si="55"/>
        <v>10</v>
      </c>
      <c r="AI260" s="5" t="str">
        <f t="shared" si="56"/>
        <v>Oct</v>
      </c>
      <c r="AJ260" s="5" t="str">
        <f t="shared" si="57"/>
        <v>Wednesday</v>
      </c>
    </row>
    <row r="261" spans="1:36" x14ac:dyDescent="0.3">
      <c r="A261" s="5" t="s">
        <v>295</v>
      </c>
      <c r="B261" s="6">
        <v>45549</v>
      </c>
      <c r="C261" s="7">
        <v>0.30555555555555558</v>
      </c>
      <c r="D261" s="5" t="s">
        <v>1887</v>
      </c>
      <c r="E261" s="5" t="s">
        <v>2118</v>
      </c>
      <c r="F261" s="5" t="s">
        <v>2239</v>
      </c>
      <c r="G261" s="5" t="s">
        <v>2254</v>
      </c>
      <c r="H261" s="5" t="s">
        <v>2259</v>
      </c>
      <c r="I261" s="5" t="s">
        <v>2263</v>
      </c>
      <c r="J261" s="5" t="s">
        <v>2266</v>
      </c>
      <c r="K261" s="8">
        <v>1</v>
      </c>
      <c r="L261" s="9">
        <v>110</v>
      </c>
      <c r="M261" s="10">
        <v>0</v>
      </c>
      <c r="N261" s="9">
        <f t="shared" si="58"/>
        <v>110</v>
      </c>
      <c r="O261" s="9">
        <f t="shared" si="48"/>
        <v>110</v>
      </c>
      <c r="P261" s="5" t="s">
        <v>2267</v>
      </c>
      <c r="Q261" s="5" t="s">
        <v>1761</v>
      </c>
      <c r="R261" s="5" t="s">
        <v>2279</v>
      </c>
      <c r="S261" s="5" t="s">
        <v>2284</v>
      </c>
      <c r="T261" s="5" t="s">
        <v>2288</v>
      </c>
      <c r="U261" s="19">
        <v>3</v>
      </c>
      <c r="V261" s="8">
        <v>285</v>
      </c>
      <c r="W261" s="8">
        <v>26</v>
      </c>
      <c r="X261" s="9">
        <v>57.07</v>
      </c>
      <c r="Y261" s="9">
        <f t="shared" si="49"/>
        <v>52.93</v>
      </c>
      <c r="Z261" s="5" t="s">
        <v>1761</v>
      </c>
      <c r="AA261" s="5" t="s">
        <v>2296</v>
      </c>
      <c r="AB261" s="9">
        <f t="shared" si="50"/>
        <v>110</v>
      </c>
      <c r="AC261" s="9">
        <f t="shared" si="51"/>
        <v>0</v>
      </c>
      <c r="AD261" s="9">
        <f t="shared" si="52"/>
        <v>110</v>
      </c>
      <c r="AE261" s="9">
        <f t="shared" si="53"/>
        <v>57.07</v>
      </c>
      <c r="AF261" s="9">
        <f t="shared" si="59"/>
        <v>52.93</v>
      </c>
      <c r="AG261" s="8">
        <f t="shared" si="54"/>
        <v>2024</v>
      </c>
      <c r="AH261" s="8">
        <f t="shared" si="55"/>
        <v>9</v>
      </c>
      <c r="AI261" s="5" t="str">
        <f t="shared" si="56"/>
        <v>Sep</v>
      </c>
      <c r="AJ261" s="5" t="str">
        <f t="shared" si="57"/>
        <v>Saturday</v>
      </c>
    </row>
    <row r="262" spans="1:36" x14ac:dyDescent="0.3">
      <c r="A262" s="5" t="s">
        <v>296</v>
      </c>
      <c r="B262" s="6">
        <v>45344</v>
      </c>
      <c r="C262" s="7">
        <v>0.89583333333333337</v>
      </c>
      <c r="D262" s="5" t="s">
        <v>1744</v>
      </c>
      <c r="E262" s="5" t="s">
        <v>2119</v>
      </c>
      <c r="F262" s="5" t="s">
        <v>2240</v>
      </c>
      <c r="G262" s="5" t="s">
        <v>2250</v>
      </c>
      <c r="H262" s="5" t="s">
        <v>2259</v>
      </c>
      <c r="I262" s="5" t="s">
        <v>2262</v>
      </c>
      <c r="J262" s="5" t="s">
        <v>2265</v>
      </c>
      <c r="K262" s="8">
        <v>2</v>
      </c>
      <c r="L262" s="9">
        <v>80</v>
      </c>
      <c r="M262" s="10">
        <v>0.1</v>
      </c>
      <c r="N262" s="9">
        <f t="shared" si="58"/>
        <v>160</v>
      </c>
      <c r="O262" s="9">
        <f t="shared" si="48"/>
        <v>144</v>
      </c>
      <c r="P262" s="5" t="s">
        <v>2267</v>
      </c>
      <c r="Q262" s="5" t="s">
        <v>2270</v>
      </c>
      <c r="R262" s="5" t="s">
        <v>2278</v>
      </c>
      <c r="S262" s="5" t="s">
        <v>2283</v>
      </c>
      <c r="T262" s="5" t="s">
        <v>2288</v>
      </c>
      <c r="U262" s="8">
        <v>5</v>
      </c>
      <c r="V262" s="8">
        <v>276</v>
      </c>
      <c r="W262" s="8">
        <v>23</v>
      </c>
      <c r="X262" s="9">
        <v>28.92</v>
      </c>
      <c r="Y262" s="9">
        <f t="shared" si="49"/>
        <v>86.16</v>
      </c>
      <c r="Z262" s="5" t="s">
        <v>2293</v>
      </c>
      <c r="AA262" s="5" t="s">
        <v>2296</v>
      </c>
      <c r="AB262" s="9">
        <f t="shared" si="50"/>
        <v>160</v>
      </c>
      <c r="AC262" s="9">
        <f t="shared" si="51"/>
        <v>16</v>
      </c>
      <c r="AD262" s="9">
        <f t="shared" si="52"/>
        <v>144</v>
      </c>
      <c r="AE262" s="9">
        <f t="shared" si="53"/>
        <v>57.84</v>
      </c>
      <c r="AF262" s="9">
        <f t="shared" si="59"/>
        <v>86.16</v>
      </c>
      <c r="AG262" s="8">
        <f t="shared" si="54"/>
        <v>2024</v>
      </c>
      <c r="AH262" s="8">
        <f t="shared" si="55"/>
        <v>2</v>
      </c>
      <c r="AI262" s="5" t="str">
        <f t="shared" si="56"/>
        <v>Feb</v>
      </c>
      <c r="AJ262" s="5" t="str">
        <f t="shared" si="57"/>
        <v>Thursday</v>
      </c>
    </row>
    <row r="263" spans="1:36" x14ac:dyDescent="0.3">
      <c r="A263" s="5" t="s">
        <v>297</v>
      </c>
      <c r="B263" s="6">
        <v>45598</v>
      </c>
      <c r="C263" s="7">
        <v>0.64583333333333337</v>
      </c>
      <c r="D263" s="5" t="s">
        <v>1880</v>
      </c>
      <c r="E263" s="5" t="s">
        <v>2028</v>
      </c>
      <c r="F263" s="5" t="s">
        <v>2239</v>
      </c>
      <c r="G263" s="5" t="s">
        <v>2243</v>
      </c>
      <c r="H263" s="5" t="s">
        <v>2258</v>
      </c>
      <c r="I263" s="5" t="s">
        <v>2260</v>
      </c>
      <c r="J263" s="5" t="s">
        <v>2264</v>
      </c>
      <c r="K263" s="8">
        <v>5</v>
      </c>
      <c r="L263" s="9">
        <v>80</v>
      </c>
      <c r="M263" s="10">
        <v>0</v>
      </c>
      <c r="N263" s="9">
        <f t="shared" si="58"/>
        <v>400</v>
      </c>
      <c r="O263" s="9">
        <f t="shared" si="48"/>
        <v>400</v>
      </c>
      <c r="P263" s="5" t="s">
        <v>2267</v>
      </c>
      <c r="Q263" s="5" t="s">
        <v>2272</v>
      </c>
      <c r="R263" s="5" t="s">
        <v>2276</v>
      </c>
      <c r="S263" s="5" t="s">
        <v>2284</v>
      </c>
      <c r="T263" s="5" t="s">
        <v>2288</v>
      </c>
      <c r="U263" s="8">
        <v>2</v>
      </c>
      <c r="V263" s="8">
        <v>125</v>
      </c>
      <c r="W263" s="19">
        <v>35</v>
      </c>
      <c r="X263" s="9">
        <v>41.55</v>
      </c>
      <c r="Y263" s="9">
        <f t="shared" si="49"/>
        <v>192.25</v>
      </c>
      <c r="Z263" s="5" t="s">
        <v>2293</v>
      </c>
      <c r="AA263" s="5" t="s">
        <v>2296</v>
      </c>
      <c r="AB263" s="9">
        <f t="shared" si="50"/>
        <v>400</v>
      </c>
      <c r="AC263" s="9">
        <f t="shared" si="51"/>
        <v>0</v>
      </c>
      <c r="AD263" s="9">
        <f t="shared" si="52"/>
        <v>400</v>
      </c>
      <c r="AE263" s="9">
        <f t="shared" si="53"/>
        <v>207.75</v>
      </c>
      <c r="AF263" s="9">
        <f t="shared" si="59"/>
        <v>192.25</v>
      </c>
      <c r="AG263" s="8">
        <f t="shared" si="54"/>
        <v>2024</v>
      </c>
      <c r="AH263" s="8">
        <f t="shared" si="55"/>
        <v>11</v>
      </c>
      <c r="AI263" s="5" t="str">
        <f t="shared" si="56"/>
        <v>Nov</v>
      </c>
      <c r="AJ263" s="5" t="str">
        <f t="shared" si="57"/>
        <v>Saturday</v>
      </c>
    </row>
    <row r="264" spans="1:36" x14ac:dyDescent="0.3">
      <c r="A264" s="5" t="s">
        <v>298</v>
      </c>
      <c r="B264" s="6">
        <v>45402</v>
      </c>
      <c r="C264" s="7">
        <v>0.52083333333333337</v>
      </c>
      <c r="D264" s="5" t="s">
        <v>1874</v>
      </c>
      <c r="E264" s="5" t="s">
        <v>2120</v>
      </c>
      <c r="F264" s="5" t="s">
        <v>1761</v>
      </c>
      <c r="G264" s="5" t="s">
        <v>2253</v>
      </c>
      <c r="H264" s="5" t="s">
        <v>2258</v>
      </c>
      <c r="I264" s="5" t="s">
        <v>2260</v>
      </c>
      <c r="J264" s="5" t="s">
        <v>2266</v>
      </c>
      <c r="K264" s="19">
        <v>1</v>
      </c>
      <c r="L264" s="9">
        <v>90</v>
      </c>
      <c r="M264" s="10">
        <v>0.05</v>
      </c>
      <c r="N264" s="9">
        <f t="shared" si="58"/>
        <v>90</v>
      </c>
      <c r="O264" s="9">
        <f t="shared" si="48"/>
        <v>85.5</v>
      </c>
      <c r="P264" s="5" t="s">
        <v>2269</v>
      </c>
      <c r="Q264" s="5" t="s">
        <v>2272</v>
      </c>
      <c r="R264" s="5" t="s">
        <v>2273</v>
      </c>
      <c r="S264" s="5" t="s">
        <v>2284</v>
      </c>
      <c r="T264" s="5" t="s">
        <v>2290</v>
      </c>
      <c r="U264" s="8">
        <v>3</v>
      </c>
      <c r="V264" s="19">
        <v>244</v>
      </c>
      <c r="W264" s="8">
        <v>10</v>
      </c>
      <c r="X264" s="9">
        <v>34.619999999999997</v>
      </c>
      <c r="Y264" s="9">
        <f t="shared" si="49"/>
        <v>50.88</v>
      </c>
      <c r="Z264" s="5" t="s">
        <v>2291</v>
      </c>
      <c r="AA264" s="5" t="s">
        <v>2296</v>
      </c>
      <c r="AB264" s="9">
        <f t="shared" si="50"/>
        <v>90</v>
      </c>
      <c r="AC264" s="9">
        <f t="shared" si="51"/>
        <v>4.5</v>
      </c>
      <c r="AD264" s="9">
        <f t="shared" si="52"/>
        <v>85.5</v>
      </c>
      <c r="AE264" s="9">
        <f t="shared" si="53"/>
        <v>34.619999999999997</v>
      </c>
      <c r="AF264" s="9">
        <f t="shared" si="59"/>
        <v>50.88</v>
      </c>
      <c r="AG264" s="8">
        <f t="shared" si="54"/>
        <v>2024</v>
      </c>
      <c r="AH264" s="8">
        <f t="shared" si="55"/>
        <v>4</v>
      </c>
      <c r="AI264" s="5" t="str">
        <f t="shared" si="56"/>
        <v>Apr</v>
      </c>
      <c r="AJ264" s="5" t="str">
        <f t="shared" si="57"/>
        <v>Saturday</v>
      </c>
    </row>
    <row r="265" spans="1:36" x14ac:dyDescent="0.3">
      <c r="A265" s="5" t="s">
        <v>299</v>
      </c>
      <c r="B265" s="6">
        <v>45575</v>
      </c>
      <c r="C265" s="7">
        <v>0.61458333333333337</v>
      </c>
      <c r="D265" s="5" t="s">
        <v>1854</v>
      </c>
      <c r="E265" s="5" t="s">
        <v>2034</v>
      </c>
      <c r="F265" s="5" t="s">
        <v>2238</v>
      </c>
      <c r="G265" s="5" t="s">
        <v>2241</v>
      </c>
      <c r="H265" s="5" t="s">
        <v>2257</v>
      </c>
      <c r="I265" s="5" t="s">
        <v>2262</v>
      </c>
      <c r="J265" s="5" t="s">
        <v>2264</v>
      </c>
      <c r="K265" s="8">
        <v>2</v>
      </c>
      <c r="L265" s="9">
        <v>135</v>
      </c>
      <c r="M265" s="10">
        <v>0.05</v>
      </c>
      <c r="N265" s="9">
        <f t="shared" si="58"/>
        <v>270</v>
      </c>
      <c r="O265" s="9">
        <f t="shared" si="48"/>
        <v>256.5</v>
      </c>
      <c r="P265" s="5" t="s">
        <v>2267</v>
      </c>
      <c r="Q265" s="5" t="s">
        <v>1761</v>
      </c>
      <c r="R265" s="5" t="s">
        <v>2277</v>
      </c>
      <c r="S265" s="5" t="s">
        <v>2282</v>
      </c>
      <c r="T265" s="5" t="s">
        <v>2288</v>
      </c>
      <c r="U265" s="8">
        <v>1</v>
      </c>
      <c r="V265" s="8">
        <v>254</v>
      </c>
      <c r="W265" s="8">
        <v>57</v>
      </c>
      <c r="X265" s="9">
        <v>48.85</v>
      </c>
      <c r="Y265" s="9">
        <f t="shared" si="49"/>
        <v>158.80000000000001</v>
      </c>
      <c r="Z265" s="5" t="s">
        <v>1761</v>
      </c>
      <c r="AA265" s="5" t="s">
        <v>2299</v>
      </c>
      <c r="AB265" s="9">
        <f t="shared" si="50"/>
        <v>270</v>
      </c>
      <c r="AC265" s="9">
        <f t="shared" si="51"/>
        <v>13.5</v>
      </c>
      <c r="AD265" s="9">
        <f t="shared" si="52"/>
        <v>256.5</v>
      </c>
      <c r="AE265" s="9">
        <f t="shared" si="53"/>
        <v>97.7</v>
      </c>
      <c r="AF265" s="9">
        <f t="shared" si="59"/>
        <v>158.80000000000001</v>
      </c>
      <c r="AG265" s="8">
        <f t="shared" si="54"/>
        <v>2024</v>
      </c>
      <c r="AH265" s="8">
        <f t="shared" si="55"/>
        <v>10</v>
      </c>
      <c r="AI265" s="5" t="str">
        <f t="shared" si="56"/>
        <v>Oct</v>
      </c>
      <c r="AJ265" s="5" t="str">
        <f t="shared" si="57"/>
        <v>Thursday</v>
      </c>
    </row>
    <row r="266" spans="1:36" x14ac:dyDescent="0.3">
      <c r="A266" s="5" t="s">
        <v>300</v>
      </c>
      <c r="B266" s="6">
        <v>45541</v>
      </c>
      <c r="C266" s="7">
        <v>0.88888888888888884</v>
      </c>
      <c r="D266" s="5" t="s">
        <v>1804</v>
      </c>
      <c r="E266" s="5" t="s">
        <v>1949</v>
      </c>
      <c r="F266" s="5" t="s">
        <v>1761</v>
      </c>
      <c r="G266" s="5" t="s">
        <v>2245</v>
      </c>
      <c r="H266" s="5" t="s">
        <v>2257</v>
      </c>
      <c r="I266" s="5" t="s">
        <v>2263</v>
      </c>
      <c r="J266" s="5" t="s">
        <v>2266</v>
      </c>
      <c r="K266" s="8">
        <v>1</v>
      </c>
      <c r="L266" s="9">
        <v>145</v>
      </c>
      <c r="M266" s="10">
        <v>0</v>
      </c>
      <c r="N266" s="9">
        <f t="shared" si="58"/>
        <v>145</v>
      </c>
      <c r="O266" s="9">
        <f t="shared" si="48"/>
        <v>145</v>
      </c>
      <c r="P266" s="5" t="s">
        <v>2267</v>
      </c>
      <c r="Q266" s="5" t="s">
        <v>2270</v>
      </c>
      <c r="R266" s="5" t="s">
        <v>2276</v>
      </c>
      <c r="S266" s="5" t="s">
        <v>2283</v>
      </c>
      <c r="T266" s="5" t="s">
        <v>2289</v>
      </c>
      <c r="U266" s="8">
        <v>3</v>
      </c>
      <c r="V266" s="8">
        <v>395</v>
      </c>
      <c r="W266" s="19">
        <v>34</v>
      </c>
      <c r="X266" s="9">
        <v>70.989999999999995</v>
      </c>
      <c r="Y266" s="9">
        <f t="shared" si="49"/>
        <v>74.010000000000005</v>
      </c>
      <c r="Z266" s="5" t="s">
        <v>2295</v>
      </c>
      <c r="AA266" s="5" t="s">
        <v>2296</v>
      </c>
      <c r="AB266" s="9">
        <f t="shared" si="50"/>
        <v>145</v>
      </c>
      <c r="AC266" s="9">
        <f t="shared" si="51"/>
        <v>0</v>
      </c>
      <c r="AD266" s="9">
        <f t="shared" si="52"/>
        <v>145</v>
      </c>
      <c r="AE266" s="9">
        <f t="shared" si="53"/>
        <v>70.989999999999995</v>
      </c>
      <c r="AF266" s="9">
        <f t="shared" si="59"/>
        <v>74.010000000000005</v>
      </c>
      <c r="AG266" s="8">
        <f t="shared" si="54"/>
        <v>2024</v>
      </c>
      <c r="AH266" s="8">
        <f t="shared" si="55"/>
        <v>9</v>
      </c>
      <c r="AI266" s="5" t="str">
        <f t="shared" si="56"/>
        <v>Sep</v>
      </c>
      <c r="AJ266" s="5" t="str">
        <f t="shared" si="57"/>
        <v>Friday</v>
      </c>
    </row>
    <row r="267" spans="1:36" x14ac:dyDescent="0.3">
      <c r="A267" s="5" t="s">
        <v>301</v>
      </c>
      <c r="B267" s="6">
        <v>45549</v>
      </c>
      <c r="C267" s="7">
        <v>0.70833333333333337</v>
      </c>
      <c r="D267" s="5" t="s">
        <v>1888</v>
      </c>
      <c r="E267" s="5" t="s">
        <v>2004</v>
      </c>
      <c r="F267" s="5" t="s">
        <v>2238</v>
      </c>
      <c r="G267" s="5" t="s">
        <v>2246</v>
      </c>
      <c r="H267" s="5" t="s">
        <v>2259</v>
      </c>
      <c r="I267" s="5" t="s">
        <v>2262</v>
      </c>
      <c r="J267" s="5" t="s">
        <v>2266</v>
      </c>
      <c r="K267" s="8">
        <v>1</v>
      </c>
      <c r="L267" s="9">
        <v>105</v>
      </c>
      <c r="M267" s="10">
        <v>0.15</v>
      </c>
      <c r="N267" s="9">
        <f t="shared" si="58"/>
        <v>105</v>
      </c>
      <c r="O267" s="9">
        <f t="shared" si="48"/>
        <v>89.25</v>
      </c>
      <c r="P267" s="5" t="s">
        <v>2268</v>
      </c>
      <c r="Q267" s="5" t="s">
        <v>2270</v>
      </c>
      <c r="R267" s="5" t="s">
        <v>2274</v>
      </c>
      <c r="S267" s="5" t="s">
        <v>2284</v>
      </c>
      <c r="T267" s="5" t="s">
        <v>2289</v>
      </c>
      <c r="U267" s="8">
        <v>5</v>
      </c>
      <c r="V267" s="8">
        <v>116</v>
      </c>
      <c r="W267" s="19">
        <v>34</v>
      </c>
      <c r="X267" s="9">
        <v>42.56</v>
      </c>
      <c r="Y267" s="9">
        <f t="shared" si="49"/>
        <v>46.69</v>
      </c>
      <c r="Z267" s="5" t="s">
        <v>1761</v>
      </c>
      <c r="AA267" s="5" t="s">
        <v>2299</v>
      </c>
      <c r="AB267" s="9">
        <f t="shared" si="50"/>
        <v>105</v>
      </c>
      <c r="AC267" s="9">
        <f t="shared" si="51"/>
        <v>15.75</v>
      </c>
      <c r="AD267" s="9">
        <f t="shared" si="52"/>
        <v>89.25</v>
      </c>
      <c r="AE267" s="9">
        <f t="shared" si="53"/>
        <v>42.56</v>
      </c>
      <c r="AF267" s="9">
        <f t="shared" si="59"/>
        <v>46.69</v>
      </c>
      <c r="AG267" s="8">
        <f t="shared" si="54"/>
        <v>2024</v>
      </c>
      <c r="AH267" s="8">
        <f t="shared" si="55"/>
        <v>9</v>
      </c>
      <c r="AI267" s="5" t="str">
        <f t="shared" si="56"/>
        <v>Sep</v>
      </c>
      <c r="AJ267" s="5" t="str">
        <f t="shared" si="57"/>
        <v>Saturday</v>
      </c>
    </row>
    <row r="268" spans="1:36" x14ac:dyDescent="0.3">
      <c r="A268" s="5" t="s">
        <v>302</v>
      </c>
      <c r="B268" s="6">
        <v>45367</v>
      </c>
      <c r="C268" s="7">
        <v>0.84375</v>
      </c>
      <c r="D268" s="5" t="s">
        <v>1758</v>
      </c>
      <c r="E268" s="5" t="s">
        <v>2070</v>
      </c>
      <c r="F268" s="5" t="s">
        <v>2240</v>
      </c>
      <c r="G268" s="5" t="s">
        <v>2244</v>
      </c>
      <c r="H268" s="5" t="s">
        <v>2257</v>
      </c>
      <c r="I268" s="5" t="s">
        <v>2262</v>
      </c>
      <c r="J268" s="5" t="s">
        <v>2265</v>
      </c>
      <c r="K268" s="8">
        <v>1</v>
      </c>
      <c r="L268" s="9">
        <v>120</v>
      </c>
      <c r="M268" s="10">
        <v>0.15</v>
      </c>
      <c r="N268" s="9">
        <f t="shared" si="58"/>
        <v>120</v>
      </c>
      <c r="O268" s="9">
        <f t="shared" si="48"/>
        <v>102</v>
      </c>
      <c r="P268" s="5" t="s">
        <v>2267</v>
      </c>
      <c r="Q268" s="5" t="s">
        <v>2272</v>
      </c>
      <c r="R268" s="5" t="s">
        <v>2274</v>
      </c>
      <c r="S268" s="5" t="s">
        <v>2281</v>
      </c>
      <c r="T268" s="5" t="s">
        <v>2288</v>
      </c>
      <c r="U268" s="8">
        <v>4</v>
      </c>
      <c r="V268" s="8">
        <v>84</v>
      </c>
      <c r="W268" s="8">
        <v>52</v>
      </c>
      <c r="X268" s="9">
        <v>59.32</v>
      </c>
      <c r="Y268" s="9">
        <f t="shared" si="49"/>
        <v>42.68</v>
      </c>
      <c r="Z268" s="5" t="s">
        <v>2291</v>
      </c>
      <c r="AA268" s="5" t="s">
        <v>2298</v>
      </c>
      <c r="AB268" s="9">
        <f t="shared" si="50"/>
        <v>120</v>
      </c>
      <c r="AC268" s="9">
        <f t="shared" si="51"/>
        <v>18</v>
      </c>
      <c r="AD268" s="9">
        <f t="shared" si="52"/>
        <v>102</v>
      </c>
      <c r="AE268" s="9">
        <f t="shared" si="53"/>
        <v>59.32</v>
      </c>
      <c r="AF268" s="9">
        <f t="shared" si="59"/>
        <v>42.68</v>
      </c>
      <c r="AG268" s="8">
        <f t="shared" si="54"/>
        <v>2024</v>
      </c>
      <c r="AH268" s="8">
        <f t="shared" si="55"/>
        <v>3</v>
      </c>
      <c r="AI268" s="5" t="str">
        <f t="shared" si="56"/>
        <v>Mar</v>
      </c>
      <c r="AJ268" s="5" t="str">
        <f t="shared" si="57"/>
        <v>Saturday</v>
      </c>
    </row>
    <row r="269" spans="1:36" x14ac:dyDescent="0.3">
      <c r="A269" s="5" t="s">
        <v>303</v>
      </c>
      <c r="B269" s="6">
        <v>45638</v>
      </c>
      <c r="C269" s="7">
        <v>0.89583333333333337</v>
      </c>
      <c r="D269" s="5" t="s">
        <v>1889</v>
      </c>
      <c r="E269" s="5" t="s">
        <v>2007</v>
      </c>
      <c r="F269" s="5" t="s">
        <v>2240</v>
      </c>
      <c r="G269" s="5" t="s">
        <v>2249</v>
      </c>
      <c r="H269" s="5" t="s">
        <v>2257</v>
      </c>
      <c r="I269" s="5" t="s">
        <v>2263</v>
      </c>
      <c r="J269" s="5" t="s">
        <v>2266</v>
      </c>
      <c r="K269" s="8">
        <v>1</v>
      </c>
      <c r="L269" s="9">
        <v>160</v>
      </c>
      <c r="M269" s="10">
        <v>0.05</v>
      </c>
      <c r="N269" s="9">
        <f t="shared" si="58"/>
        <v>160</v>
      </c>
      <c r="O269" s="9">
        <f t="shared" si="48"/>
        <v>152</v>
      </c>
      <c r="P269" s="5" t="s">
        <v>2269</v>
      </c>
      <c r="Q269" s="5" t="s">
        <v>2270</v>
      </c>
      <c r="R269" s="5" t="s">
        <v>2275</v>
      </c>
      <c r="S269" s="5" t="s">
        <v>2285</v>
      </c>
      <c r="T269" s="5" t="s">
        <v>2288</v>
      </c>
      <c r="U269" s="8">
        <v>1</v>
      </c>
      <c r="V269" s="8">
        <v>87</v>
      </c>
      <c r="W269" s="8">
        <v>22</v>
      </c>
      <c r="X269" s="9">
        <v>89.6</v>
      </c>
      <c r="Y269" s="9">
        <f t="shared" si="49"/>
        <v>62.400000000000006</v>
      </c>
      <c r="Z269" s="5" t="s">
        <v>2293</v>
      </c>
      <c r="AA269" s="5" t="s">
        <v>1761</v>
      </c>
      <c r="AB269" s="9">
        <f t="shared" si="50"/>
        <v>160</v>
      </c>
      <c r="AC269" s="9">
        <f t="shared" si="51"/>
        <v>8</v>
      </c>
      <c r="AD269" s="9">
        <f t="shared" si="52"/>
        <v>152</v>
      </c>
      <c r="AE269" s="9">
        <f t="shared" si="53"/>
        <v>89.6</v>
      </c>
      <c r="AF269" s="9">
        <f t="shared" si="59"/>
        <v>62.400000000000006</v>
      </c>
      <c r="AG269" s="8">
        <f t="shared" si="54"/>
        <v>2024</v>
      </c>
      <c r="AH269" s="8">
        <f t="shared" si="55"/>
        <v>12</v>
      </c>
      <c r="AI269" s="5" t="str">
        <f t="shared" si="56"/>
        <v>Dec</v>
      </c>
      <c r="AJ269" s="5" t="str">
        <f t="shared" si="57"/>
        <v>Thursday</v>
      </c>
    </row>
    <row r="270" spans="1:36" x14ac:dyDescent="0.3">
      <c r="A270" s="5" t="s">
        <v>304</v>
      </c>
      <c r="B270" s="6">
        <v>45576</v>
      </c>
      <c r="C270" s="7">
        <v>0.76388888888888884</v>
      </c>
      <c r="D270" s="5" t="s">
        <v>1824</v>
      </c>
      <c r="E270" s="5" t="s">
        <v>2121</v>
      </c>
      <c r="F270" s="5" t="s">
        <v>2238</v>
      </c>
      <c r="G270" s="5" t="s">
        <v>2250</v>
      </c>
      <c r="H270" s="5" t="s">
        <v>2259</v>
      </c>
      <c r="I270" s="5" t="s">
        <v>2262</v>
      </c>
      <c r="J270" s="5" t="s">
        <v>2266</v>
      </c>
      <c r="K270" s="8">
        <v>1</v>
      </c>
      <c r="L270" s="9">
        <v>75</v>
      </c>
      <c r="M270" s="10">
        <v>0.1</v>
      </c>
      <c r="N270" s="9">
        <f t="shared" si="58"/>
        <v>75</v>
      </c>
      <c r="O270" s="9">
        <f t="shared" si="48"/>
        <v>67.5</v>
      </c>
      <c r="P270" s="5" t="s">
        <v>2267</v>
      </c>
      <c r="Q270" s="5" t="s">
        <v>2270</v>
      </c>
      <c r="R270" s="5" t="s">
        <v>2277</v>
      </c>
      <c r="S270" s="5" t="s">
        <v>2286</v>
      </c>
      <c r="T270" s="5" t="s">
        <v>2288</v>
      </c>
      <c r="U270" s="19">
        <v>3</v>
      </c>
      <c r="V270" s="8">
        <v>373</v>
      </c>
      <c r="W270" s="8">
        <v>51</v>
      </c>
      <c r="X270" s="9">
        <v>43.87</v>
      </c>
      <c r="Y270" s="9">
        <f t="shared" si="49"/>
        <v>23.630000000000003</v>
      </c>
      <c r="Z270" s="5" t="s">
        <v>2291</v>
      </c>
      <c r="AA270" s="5" t="s">
        <v>2296</v>
      </c>
      <c r="AB270" s="9">
        <f t="shared" si="50"/>
        <v>75</v>
      </c>
      <c r="AC270" s="9">
        <f t="shared" si="51"/>
        <v>7.5</v>
      </c>
      <c r="AD270" s="9">
        <f t="shared" si="52"/>
        <v>67.5</v>
      </c>
      <c r="AE270" s="9">
        <f t="shared" si="53"/>
        <v>43.87</v>
      </c>
      <c r="AF270" s="9">
        <f t="shared" si="59"/>
        <v>23.630000000000003</v>
      </c>
      <c r="AG270" s="8">
        <f t="shared" si="54"/>
        <v>2024</v>
      </c>
      <c r="AH270" s="8">
        <f t="shared" si="55"/>
        <v>10</v>
      </c>
      <c r="AI270" s="5" t="str">
        <f t="shared" si="56"/>
        <v>Oct</v>
      </c>
      <c r="AJ270" s="5" t="str">
        <f t="shared" si="57"/>
        <v>Friday</v>
      </c>
    </row>
    <row r="271" spans="1:36" x14ac:dyDescent="0.3">
      <c r="A271" s="5" t="s">
        <v>305</v>
      </c>
      <c r="B271" s="6">
        <v>45516</v>
      </c>
      <c r="C271" s="7">
        <v>0.35416666666666669</v>
      </c>
      <c r="D271" s="5" t="s">
        <v>1841</v>
      </c>
      <c r="E271" s="5" t="s">
        <v>1947</v>
      </c>
      <c r="F271" s="5" t="s">
        <v>2239</v>
      </c>
      <c r="G271" s="5" t="s">
        <v>2251</v>
      </c>
      <c r="H271" s="5" t="s">
        <v>2258</v>
      </c>
      <c r="I271" s="5" t="s">
        <v>2260</v>
      </c>
      <c r="J271" s="5" t="s">
        <v>2264</v>
      </c>
      <c r="K271" s="8">
        <v>3</v>
      </c>
      <c r="L271" s="9">
        <v>110</v>
      </c>
      <c r="M271" s="10">
        <v>0</v>
      </c>
      <c r="N271" s="9">
        <f t="shared" si="58"/>
        <v>330</v>
      </c>
      <c r="O271" s="9">
        <f t="shared" si="48"/>
        <v>330</v>
      </c>
      <c r="P271" s="5" t="s">
        <v>2267</v>
      </c>
      <c r="Q271" s="5" t="s">
        <v>2271</v>
      </c>
      <c r="R271" s="5" t="s">
        <v>2276</v>
      </c>
      <c r="S271" s="5" t="s">
        <v>2287</v>
      </c>
      <c r="T271" s="5" t="s">
        <v>2288</v>
      </c>
      <c r="U271" s="8">
        <v>4</v>
      </c>
      <c r="V271" s="8">
        <v>78</v>
      </c>
      <c r="W271" s="19">
        <v>37</v>
      </c>
      <c r="X271" s="9">
        <v>45.72</v>
      </c>
      <c r="Y271" s="9">
        <f t="shared" si="49"/>
        <v>192.84</v>
      </c>
      <c r="Z271" s="5" t="s">
        <v>2293</v>
      </c>
      <c r="AA271" s="5" t="s">
        <v>2296</v>
      </c>
      <c r="AB271" s="9">
        <f t="shared" si="50"/>
        <v>330</v>
      </c>
      <c r="AC271" s="9">
        <f t="shared" si="51"/>
        <v>0</v>
      </c>
      <c r="AD271" s="9">
        <f t="shared" si="52"/>
        <v>330</v>
      </c>
      <c r="AE271" s="9">
        <f t="shared" si="53"/>
        <v>137.16</v>
      </c>
      <c r="AF271" s="9">
        <f t="shared" si="59"/>
        <v>192.84</v>
      </c>
      <c r="AG271" s="8">
        <f t="shared" si="54"/>
        <v>2024</v>
      </c>
      <c r="AH271" s="8">
        <f t="shared" si="55"/>
        <v>8</v>
      </c>
      <c r="AI271" s="5" t="str">
        <f t="shared" si="56"/>
        <v>Aug</v>
      </c>
      <c r="AJ271" s="5" t="str">
        <f t="shared" si="57"/>
        <v>Monday</v>
      </c>
    </row>
    <row r="272" spans="1:36" x14ac:dyDescent="0.3">
      <c r="A272" s="5" t="s">
        <v>306</v>
      </c>
      <c r="B272" s="6">
        <v>45369</v>
      </c>
      <c r="C272" s="7">
        <v>0.69791666666666663</v>
      </c>
      <c r="D272" s="5" t="s">
        <v>1842</v>
      </c>
      <c r="E272" s="5" t="s">
        <v>2010</v>
      </c>
      <c r="F272" s="5" t="s">
        <v>2240</v>
      </c>
      <c r="G272" s="5" t="s">
        <v>2247</v>
      </c>
      <c r="H272" s="5" t="s">
        <v>2257</v>
      </c>
      <c r="I272" s="5" t="s">
        <v>2262</v>
      </c>
      <c r="J272" s="5" t="s">
        <v>2266</v>
      </c>
      <c r="K272" s="8">
        <v>3</v>
      </c>
      <c r="L272" s="9">
        <v>110</v>
      </c>
      <c r="M272" s="10">
        <v>0</v>
      </c>
      <c r="N272" s="9">
        <f t="shared" si="58"/>
        <v>330</v>
      </c>
      <c r="O272" s="9">
        <f t="shared" si="48"/>
        <v>330</v>
      </c>
      <c r="P272" s="5" t="s">
        <v>2269</v>
      </c>
      <c r="Q272" s="5" t="s">
        <v>2271</v>
      </c>
      <c r="R272" s="5" t="s">
        <v>2277</v>
      </c>
      <c r="S272" s="5" t="s">
        <v>2281</v>
      </c>
      <c r="T272" s="5" t="s">
        <v>2288</v>
      </c>
      <c r="U272" s="8">
        <v>3</v>
      </c>
      <c r="V272" s="8">
        <v>100</v>
      </c>
      <c r="W272" s="19">
        <v>37</v>
      </c>
      <c r="X272" s="9">
        <v>42.11</v>
      </c>
      <c r="Y272" s="9">
        <f t="shared" si="49"/>
        <v>203.67000000000002</v>
      </c>
      <c r="Z272" s="5" t="s">
        <v>1761</v>
      </c>
      <c r="AA272" s="5" t="s">
        <v>2296</v>
      </c>
      <c r="AB272" s="9">
        <f t="shared" si="50"/>
        <v>330</v>
      </c>
      <c r="AC272" s="9">
        <f t="shared" si="51"/>
        <v>0</v>
      </c>
      <c r="AD272" s="9">
        <f t="shared" si="52"/>
        <v>330</v>
      </c>
      <c r="AE272" s="9">
        <f t="shared" si="53"/>
        <v>126.33</v>
      </c>
      <c r="AF272" s="9">
        <f t="shared" si="59"/>
        <v>203.67000000000002</v>
      </c>
      <c r="AG272" s="8">
        <f t="shared" si="54"/>
        <v>2024</v>
      </c>
      <c r="AH272" s="8">
        <f t="shared" si="55"/>
        <v>3</v>
      </c>
      <c r="AI272" s="5" t="str">
        <f t="shared" si="56"/>
        <v>Mar</v>
      </c>
      <c r="AJ272" s="5" t="str">
        <f t="shared" si="57"/>
        <v>Monday</v>
      </c>
    </row>
    <row r="273" spans="1:36" x14ac:dyDescent="0.3">
      <c r="A273" s="5" t="s">
        <v>307</v>
      </c>
      <c r="B273" s="6">
        <v>45388</v>
      </c>
      <c r="C273" s="7">
        <v>0.63541666666666663</v>
      </c>
      <c r="D273" s="5" t="s">
        <v>1865</v>
      </c>
      <c r="E273" s="5" t="s">
        <v>2122</v>
      </c>
      <c r="F273" s="5" t="s">
        <v>2238</v>
      </c>
      <c r="G273" s="5" t="s">
        <v>2251</v>
      </c>
      <c r="H273" s="5" t="s">
        <v>2258</v>
      </c>
      <c r="I273" s="5" t="s">
        <v>2260</v>
      </c>
      <c r="J273" s="5" t="s">
        <v>2265</v>
      </c>
      <c r="K273" s="8">
        <v>1</v>
      </c>
      <c r="L273" s="9">
        <v>100</v>
      </c>
      <c r="M273" s="10">
        <v>0</v>
      </c>
      <c r="N273" s="9">
        <f t="shared" si="58"/>
        <v>100</v>
      </c>
      <c r="O273" s="9">
        <f t="shared" si="48"/>
        <v>100</v>
      </c>
      <c r="P273" s="5" t="s">
        <v>2269</v>
      </c>
      <c r="Q273" s="5" t="s">
        <v>2270</v>
      </c>
      <c r="R273" s="5" t="s">
        <v>2279</v>
      </c>
      <c r="S273" s="5" t="s">
        <v>2282</v>
      </c>
      <c r="T273" s="5" t="s">
        <v>2288</v>
      </c>
      <c r="U273" s="8">
        <v>5</v>
      </c>
      <c r="V273" s="8">
        <v>252</v>
      </c>
      <c r="W273" s="8">
        <v>34</v>
      </c>
      <c r="X273" s="9">
        <v>47.96</v>
      </c>
      <c r="Y273" s="9">
        <f t="shared" si="49"/>
        <v>52.04</v>
      </c>
      <c r="Z273" s="5" t="s">
        <v>2291</v>
      </c>
      <c r="AA273" s="5" t="s">
        <v>2296</v>
      </c>
      <c r="AB273" s="9">
        <f t="shared" si="50"/>
        <v>100</v>
      </c>
      <c r="AC273" s="9">
        <f t="shared" si="51"/>
        <v>0</v>
      </c>
      <c r="AD273" s="9">
        <f t="shared" si="52"/>
        <v>100</v>
      </c>
      <c r="AE273" s="9">
        <f t="shared" si="53"/>
        <v>47.96</v>
      </c>
      <c r="AF273" s="9">
        <f t="shared" si="59"/>
        <v>52.04</v>
      </c>
      <c r="AG273" s="8">
        <f t="shared" si="54"/>
        <v>2024</v>
      </c>
      <c r="AH273" s="8">
        <f t="shared" si="55"/>
        <v>4</v>
      </c>
      <c r="AI273" s="5" t="str">
        <f t="shared" si="56"/>
        <v>Apr</v>
      </c>
      <c r="AJ273" s="5" t="str">
        <f t="shared" si="57"/>
        <v>Saturday</v>
      </c>
    </row>
    <row r="274" spans="1:36" x14ac:dyDescent="0.3">
      <c r="A274" s="5" t="s">
        <v>308</v>
      </c>
      <c r="B274" s="6">
        <v>45303</v>
      </c>
      <c r="C274" s="7">
        <v>0.82291666666666663</v>
      </c>
      <c r="D274" s="5" t="s">
        <v>1756</v>
      </c>
      <c r="E274" s="5" t="s">
        <v>2123</v>
      </c>
      <c r="F274" s="5" t="s">
        <v>2240</v>
      </c>
      <c r="G274" s="5" t="s">
        <v>2243</v>
      </c>
      <c r="H274" s="5" t="s">
        <v>2258</v>
      </c>
      <c r="I274" s="5" t="s">
        <v>2260</v>
      </c>
      <c r="J274" s="5" t="s">
        <v>1761</v>
      </c>
      <c r="K274" s="8">
        <v>1</v>
      </c>
      <c r="L274" s="9">
        <v>80</v>
      </c>
      <c r="M274" s="10">
        <v>0.1</v>
      </c>
      <c r="N274" s="9">
        <f t="shared" si="58"/>
        <v>80</v>
      </c>
      <c r="O274" s="9">
        <f t="shared" si="48"/>
        <v>72</v>
      </c>
      <c r="P274" s="5" t="s">
        <v>2268</v>
      </c>
      <c r="Q274" s="5" t="s">
        <v>2272</v>
      </c>
      <c r="R274" s="5" t="s">
        <v>2273</v>
      </c>
      <c r="S274" s="5" t="s">
        <v>2284</v>
      </c>
      <c r="T274" s="5" t="s">
        <v>2288</v>
      </c>
      <c r="U274" s="19">
        <v>3</v>
      </c>
      <c r="V274" s="8">
        <v>192</v>
      </c>
      <c r="W274" s="8">
        <v>43</v>
      </c>
      <c r="X274" s="9">
        <v>35.94</v>
      </c>
      <c r="Y274" s="9">
        <f t="shared" si="49"/>
        <v>36.06</v>
      </c>
      <c r="Z274" s="5" t="s">
        <v>2294</v>
      </c>
      <c r="AA274" s="5" t="s">
        <v>2296</v>
      </c>
      <c r="AB274" s="9">
        <f t="shared" si="50"/>
        <v>80</v>
      </c>
      <c r="AC274" s="9">
        <f t="shared" si="51"/>
        <v>8</v>
      </c>
      <c r="AD274" s="9">
        <f t="shared" si="52"/>
        <v>72</v>
      </c>
      <c r="AE274" s="9">
        <f t="shared" si="53"/>
        <v>35.94</v>
      </c>
      <c r="AF274" s="9">
        <f t="shared" si="59"/>
        <v>36.06</v>
      </c>
      <c r="AG274" s="8">
        <f t="shared" si="54"/>
        <v>2024</v>
      </c>
      <c r="AH274" s="8">
        <f t="shared" si="55"/>
        <v>1</v>
      </c>
      <c r="AI274" s="5" t="str">
        <f t="shared" si="56"/>
        <v>Jan</v>
      </c>
      <c r="AJ274" s="5" t="str">
        <f t="shared" si="57"/>
        <v>Friday</v>
      </c>
    </row>
    <row r="275" spans="1:36" x14ac:dyDescent="0.3">
      <c r="A275" s="5" t="s">
        <v>309</v>
      </c>
      <c r="B275" s="6">
        <v>45326</v>
      </c>
      <c r="C275" s="7">
        <v>0.75</v>
      </c>
      <c r="D275" s="5" t="s">
        <v>1761</v>
      </c>
      <c r="E275" s="5" t="s">
        <v>2124</v>
      </c>
      <c r="F275" s="5" t="s">
        <v>2239</v>
      </c>
      <c r="G275" s="5" t="s">
        <v>2249</v>
      </c>
      <c r="H275" s="5" t="s">
        <v>2257</v>
      </c>
      <c r="I275" s="5" t="s">
        <v>2263</v>
      </c>
      <c r="J275" s="5" t="s">
        <v>2264</v>
      </c>
      <c r="K275" s="8">
        <v>3</v>
      </c>
      <c r="L275" s="9">
        <v>170</v>
      </c>
      <c r="M275" s="10">
        <v>0</v>
      </c>
      <c r="N275" s="9">
        <f t="shared" si="58"/>
        <v>510</v>
      </c>
      <c r="O275" s="9">
        <f t="shared" si="48"/>
        <v>510</v>
      </c>
      <c r="P275" s="5" t="s">
        <v>2267</v>
      </c>
      <c r="Q275" s="5" t="s">
        <v>1761</v>
      </c>
      <c r="R275" s="5" t="s">
        <v>2276</v>
      </c>
      <c r="S275" s="5" t="s">
        <v>2284</v>
      </c>
      <c r="T275" s="5" t="s">
        <v>2290</v>
      </c>
      <c r="U275" s="8">
        <v>1</v>
      </c>
      <c r="V275" s="8">
        <v>74</v>
      </c>
      <c r="W275" s="19">
        <v>36</v>
      </c>
      <c r="X275" s="9">
        <v>57.06</v>
      </c>
      <c r="Y275" s="9">
        <f t="shared" si="49"/>
        <v>338.82</v>
      </c>
      <c r="Z275" s="5" t="s">
        <v>2291</v>
      </c>
      <c r="AA275" s="5" t="s">
        <v>2296</v>
      </c>
      <c r="AB275" s="9">
        <f t="shared" si="50"/>
        <v>510</v>
      </c>
      <c r="AC275" s="9">
        <f t="shared" si="51"/>
        <v>0</v>
      </c>
      <c r="AD275" s="9">
        <f t="shared" si="52"/>
        <v>510</v>
      </c>
      <c r="AE275" s="9">
        <f t="shared" si="53"/>
        <v>171.18</v>
      </c>
      <c r="AF275" s="9">
        <f t="shared" si="59"/>
        <v>338.82</v>
      </c>
      <c r="AG275" s="8">
        <f t="shared" si="54"/>
        <v>2024</v>
      </c>
      <c r="AH275" s="8">
        <f t="shared" si="55"/>
        <v>2</v>
      </c>
      <c r="AI275" s="5" t="str">
        <f t="shared" si="56"/>
        <v>Feb</v>
      </c>
      <c r="AJ275" s="5" t="str">
        <f t="shared" si="57"/>
        <v>Sunday</v>
      </c>
    </row>
    <row r="276" spans="1:36" x14ac:dyDescent="0.3">
      <c r="A276" s="5" t="s">
        <v>310</v>
      </c>
      <c r="B276" s="6">
        <v>45551</v>
      </c>
      <c r="C276" s="7">
        <v>0.74305555555555558</v>
      </c>
      <c r="D276" s="5" t="s">
        <v>1809</v>
      </c>
      <c r="E276" s="5" t="s">
        <v>1961</v>
      </c>
      <c r="F276" s="5" t="s">
        <v>2239</v>
      </c>
      <c r="G276" s="5" t="s">
        <v>2246</v>
      </c>
      <c r="H276" s="5" t="s">
        <v>2259</v>
      </c>
      <c r="I276" s="5" t="s">
        <v>2262</v>
      </c>
      <c r="J276" s="5" t="s">
        <v>1761</v>
      </c>
      <c r="K276" s="8">
        <v>5</v>
      </c>
      <c r="L276" s="9">
        <v>95</v>
      </c>
      <c r="M276" s="10">
        <v>0</v>
      </c>
      <c r="N276" s="9">
        <f t="shared" si="58"/>
        <v>475</v>
      </c>
      <c r="O276" s="9">
        <f t="shared" si="48"/>
        <v>475</v>
      </c>
      <c r="P276" s="5" t="s">
        <v>2267</v>
      </c>
      <c r="Q276" s="5" t="s">
        <v>2271</v>
      </c>
      <c r="R276" s="5" t="s">
        <v>2275</v>
      </c>
      <c r="S276" s="5" t="s">
        <v>2281</v>
      </c>
      <c r="T276" s="5" t="s">
        <v>2288</v>
      </c>
      <c r="U276" s="8">
        <v>3</v>
      </c>
      <c r="V276" s="8">
        <v>377</v>
      </c>
      <c r="W276" s="19">
        <v>37</v>
      </c>
      <c r="X276" s="9">
        <v>42.3</v>
      </c>
      <c r="Y276" s="9">
        <f t="shared" si="49"/>
        <v>263.5</v>
      </c>
      <c r="Z276" s="5" t="s">
        <v>2293</v>
      </c>
      <c r="AA276" s="5" t="s">
        <v>2298</v>
      </c>
      <c r="AB276" s="9">
        <f t="shared" si="50"/>
        <v>475</v>
      </c>
      <c r="AC276" s="9">
        <f t="shared" si="51"/>
        <v>0</v>
      </c>
      <c r="AD276" s="9">
        <f t="shared" si="52"/>
        <v>475</v>
      </c>
      <c r="AE276" s="9">
        <f t="shared" si="53"/>
        <v>211.5</v>
      </c>
      <c r="AF276" s="9">
        <f t="shared" si="59"/>
        <v>263.5</v>
      </c>
      <c r="AG276" s="8">
        <f t="shared" si="54"/>
        <v>2024</v>
      </c>
      <c r="AH276" s="8">
        <f t="shared" si="55"/>
        <v>9</v>
      </c>
      <c r="AI276" s="5" t="str">
        <f t="shared" si="56"/>
        <v>Sep</v>
      </c>
      <c r="AJ276" s="5" t="str">
        <f t="shared" si="57"/>
        <v>Monday</v>
      </c>
    </row>
    <row r="277" spans="1:36" x14ac:dyDescent="0.3">
      <c r="A277" s="5" t="s">
        <v>311</v>
      </c>
      <c r="B277" s="6">
        <v>45455</v>
      </c>
      <c r="C277" s="7">
        <v>0.30555555555555558</v>
      </c>
      <c r="D277" s="5" t="s">
        <v>1743</v>
      </c>
      <c r="E277" s="5" t="s">
        <v>2125</v>
      </c>
      <c r="F277" s="5" t="s">
        <v>2240</v>
      </c>
      <c r="G277" s="5" t="s">
        <v>2252</v>
      </c>
      <c r="H277" s="5" t="s">
        <v>2257</v>
      </c>
      <c r="I277" s="5" t="s">
        <v>2262</v>
      </c>
      <c r="J277" s="5" t="s">
        <v>1761</v>
      </c>
      <c r="K277" s="8">
        <v>2</v>
      </c>
      <c r="L277" s="9">
        <v>95</v>
      </c>
      <c r="M277" s="10">
        <v>0.1</v>
      </c>
      <c r="N277" s="9">
        <f t="shared" si="58"/>
        <v>190</v>
      </c>
      <c r="O277" s="9">
        <f t="shared" si="48"/>
        <v>171</v>
      </c>
      <c r="P277" s="5" t="s">
        <v>2267</v>
      </c>
      <c r="Q277" s="5" t="s">
        <v>2270</v>
      </c>
      <c r="R277" s="5" t="s">
        <v>2274</v>
      </c>
      <c r="S277" s="5" t="s">
        <v>2281</v>
      </c>
      <c r="T277" s="5" t="s">
        <v>2288</v>
      </c>
      <c r="U277" s="8">
        <v>3</v>
      </c>
      <c r="V277" s="8">
        <v>111</v>
      </c>
      <c r="W277" s="8">
        <v>41</v>
      </c>
      <c r="X277" s="9">
        <v>52.19</v>
      </c>
      <c r="Y277" s="9">
        <f t="shared" si="49"/>
        <v>66.62</v>
      </c>
      <c r="Z277" s="5" t="s">
        <v>2293</v>
      </c>
      <c r="AA277" s="5" t="s">
        <v>1761</v>
      </c>
      <c r="AB277" s="9">
        <f t="shared" si="50"/>
        <v>190</v>
      </c>
      <c r="AC277" s="9">
        <f t="shared" si="51"/>
        <v>19</v>
      </c>
      <c r="AD277" s="9">
        <f t="shared" si="52"/>
        <v>171</v>
      </c>
      <c r="AE277" s="9">
        <f t="shared" si="53"/>
        <v>104.38</v>
      </c>
      <c r="AF277" s="9">
        <f t="shared" si="59"/>
        <v>66.62</v>
      </c>
      <c r="AG277" s="8">
        <f t="shared" si="54"/>
        <v>2024</v>
      </c>
      <c r="AH277" s="8">
        <f t="shared" si="55"/>
        <v>6</v>
      </c>
      <c r="AI277" s="5" t="str">
        <f t="shared" si="56"/>
        <v>Jun</v>
      </c>
      <c r="AJ277" s="5" t="str">
        <f t="shared" si="57"/>
        <v>Wednesday</v>
      </c>
    </row>
    <row r="278" spans="1:36" x14ac:dyDescent="0.3">
      <c r="A278" s="5" t="s">
        <v>312</v>
      </c>
      <c r="B278" s="6">
        <v>45533</v>
      </c>
      <c r="C278" s="7">
        <v>0.59375</v>
      </c>
      <c r="D278" s="5" t="s">
        <v>1890</v>
      </c>
      <c r="E278" s="5" t="s">
        <v>2126</v>
      </c>
      <c r="F278" s="5" t="s">
        <v>2239</v>
      </c>
      <c r="G278" s="5" t="s">
        <v>2243</v>
      </c>
      <c r="H278" s="5" t="s">
        <v>2258</v>
      </c>
      <c r="I278" s="5" t="s">
        <v>2260</v>
      </c>
      <c r="J278" s="5" t="s">
        <v>2264</v>
      </c>
      <c r="K278" s="8">
        <v>2</v>
      </c>
      <c r="L278" s="9">
        <v>65</v>
      </c>
      <c r="M278" s="10">
        <v>0</v>
      </c>
      <c r="N278" s="9">
        <f t="shared" si="58"/>
        <v>130</v>
      </c>
      <c r="O278" s="9">
        <f t="shared" si="48"/>
        <v>130</v>
      </c>
      <c r="P278" s="5" t="s">
        <v>2269</v>
      </c>
      <c r="Q278" s="5" t="s">
        <v>2270</v>
      </c>
      <c r="R278" s="5" t="s">
        <v>2274</v>
      </c>
      <c r="S278" s="5" t="s">
        <v>2281</v>
      </c>
      <c r="T278" s="5" t="s">
        <v>2288</v>
      </c>
      <c r="U278" s="19">
        <v>3</v>
      </c>
      <c r="V278" s="8">
        <v>76</v>
      </c>
      <c r="W278" s="8">
        <v>13</v>
      </c>
      <c r="X278" s="9">
        <v>28.44</v>
      </c>
      <c r="Y278" s="9">
        <f t="shared" si="49"/>
        <v>73.12</v>
      </c>
      <c r="Z278" s="5" t="s">
        <v>2293</v>
      </c>
      <c r="AA278" s="5" t="s">
        <v>2296</v>
      </c>
      <c r="AB278" s="9">
        <f t="shared" si="50"/>
        <v>130</v>
      </c>
      <c r="AC278" s="9">
        <f t="shared" si="51"/>
        <v>0</v>
      </c>
      <c r="AD278" s="9">
        <f t="shared" si="52"/>
        <v>130</v>
      </c>
      <c r="AE278" s="9">
        <f t="shared" si="53"/>
        <v>56.88</v>
      </c>
      <c r="AF278" s="9">
        <f t="shared" si="59"/>
        <v>73.12</v>
      </c>
      <c r="AG278" s="8">
        <f t="shared" si="54"/>
        <v>2024</v>
      </c>
      <c r="AH278" s="8">
        <f t="shared" si="55"/>
        <v>8</v>
      </c>
      <c r="AI278" s="5" t="str">
        <f t="shared" si="56"/>
        <v>Aug</v>
      </c>
      <c r="AJ278" s="5" t="str">
        <f t="shared" si="57"/>
        <v>Thursday</v>
      </c>
    </row>
    <row r="279" spans="1:36" x14ac:dyDescent="0.3">
      <c r="A279" s="5" t="s">
        <v>313</v>
      </c>
      <c r="B279" s="6">
        <v>45571</v>
      </c>
      <c r="C279" s="7">
        <v>0.35416666666666669</v>
      </c>
      <c r="D279" s="5" t="s">
        <v>1852</v>
      </c>
      <c r="E279" s="5" t="s">
        <v>1999</v>
      </c>
      <c r="F279" s="5" t="s">
        <v>2240</v>
      </c>
      <c r="G279" s="5" t="s">
        <v>2255</v>
      </c>
      <c r="H279" s="5" t="s">
        <v>2260</v>
      </c>
      <c r="I279" s="5" t="s">
        <v>2260</v>
      </c>
      <c r="J279" s="5" t="s">
        <v>2264</v>
      </c>
      <c r="K279" s="8">
        <v>2</v>
      </c>
      <c r="L279" s="9">
        <v>180</v>
      </c>
      <c r="M279" s="10">
        <v>0.1</v>
      </c>
      <c r="N279" s="9">
        <f t="shared" si="58"/>
        <v>360</v>
      </c>
      <c r="O279" s="9">
        <f t="shared" si="48"/>
        <v>324</v>
      </c>
      <c r="P279" s="5" t="s">
        <v>2267</v>
      </c>
      <c r="Q279" s="5" t="s">
        <v>2271</v>
      </c>
      <c r="R279" s="5" t="s">
        <v>2278</v>
      </c>
      <c r="S279" s="5" t="s">
        <v>2280</v>
      </c>
      <c r="T279" s="5" t="s">
        <v>2288</v>
      </c>
      <c r="U279" s="19">
        <v>3</v>
      </c>
      <c r="V279" s="8">
        <v>76</v>
      </c>
      <c r="W279" s="19">
        <v>37</v>
      </c>
      <c r="X279" s="9">
        <v>105.6</v>
      </c>
      <c r="Y279" s="9">
        <f t="shared" si="49"/>
        <v>112.80000000000001</v>
      </c>
      <c r="Z279" s="5" t="s">
        <v>2293</v>
      </c>
      <c r="AA279" s="5" t="s">
        <v>2296</v>
      </c>
      <c r="AB279" s="9">
        <f t="shared" si="50"/>
        <v>360</v>
      </c>
      <c r="AC279" s="9">
        <f t="shared" si="51"/>
        <v>36</v>
      </c>
      <c r="AD279" s="9">
        <f t="shared" si="52"/>
        <v>324</v>
      </c>
      <c r="AE279" s="9">
        <f t="shared" si="53"/>
        <v>211.2</v>
      </c>
      <c r="AF279" s="9">
        <f t="shared" si="59"/>
        <v>112.80000000000001</v>
      </c>
      <c r="AG279" s="8">
        <f t="shared" si="54"/>
        <v>2024</v>
      </c>
      <c r="AH279" s="8">
        <f t="shared" si="55"/>
        <v>10</v>
      </c>
      <c r="AI279" s="5" t="str">
        <f t="shared" si="56"/>
        <v>Oct</v>
      </c>
      <c r="AJ279" s="5" t="str">
        <f t="shared" si="57"/>
        <v>Sunday</v>
      </c>
    </row>
    <row r="280" spans="1:36" x14ac:dyDescent="0.3">
      <c r="A280" s="5" t="s">
        <v>314</v>
      </c>
      <c r="B280" s="6">
        <v>45644</v>
      </c>
      <c r="C280" s="7">
        <v>0.38194444444444442</v>
      </c>
      <c r="D280" s="5" t="s">
        <v>1759</v>
      </c>
      <c r="E280" s="5" t="s">
        <v>2074</v>
      </c>
      <c r="F280" s="5" t="s">
        <v>2239</v>
      </c>
      <c r="G280" s="5" t="s">
        <v>2245</v>
      </c>
      <c r="H280" s="5" t="s">
        <v>2257</v>
      </c>
      <c r="I280" s="5" t="s">
        <v>2263</v>
      </c>
      <c r="J280" s="5" t="s">
        <v>2264</v>
      </c>
      <c r="K280" s="8">
        <v>2</v>
      </c>
      <c r="L280" s="9">
        <v>145</v>
      </c>
      <c r="M280" s="10">
        <v>0.1</v>
      </c>
      <c r="N280" s="9">
        <f t="shared" si="58"/>
        <v>290</v>
      </c>
      <c r="O280" s="9">
        <f t="shared" si="48"/>
        <v>261</v>
      </c>
      <c r="P280" s="5" t="s">
        <v>2269</v>
      </c>
      <c r="Q280" s="5" t="s">
        <v>2272</v>
      </c>
      <c r="R280" s="5" t="s">
        <v>2274</v>
      </c>
      <c r="S280" s="5" t="s">
        <v>2286</v>
      </c>
      <c r="T280" s="5" t="s">
        <v>2288</v>
      </c>
      <c r="U280" s="8">
        <v>5</v>
      </c>
      <c r="V280" s="8">
        <v>442</v>
      </c>
      <c r="W280" s="8">
        <v>57</v>
      </c>
      <c r="X280" s="9">
        <v>76.099999999999994</v>
      </c>
      <c r="Y280" s="9">
        <f t="shared" si="49"/>
        <v>108.80000000000001</v>
      </c>
      <c r="Z280" s="5" t="s">
        <v>2292</v>
      </c>
      <c r="AA280" s="5" t="s">
        <v>2299</v>
      </c>
      <c r="AB280" s="9">
        <f t="shared" si="50"/>
        <v>290</v>
      </c>
      <c r="AC280" s="9">
        <f t="shared" si="51"/>
        <v>29</v>
      </c>
      <c r="AD280" s="9">
        <f t="shared" si="52"/>
        <v>261</v>
      </c>
      <c r="AE280" s="9">
        <f t="shared" si="53"/>
        <v>152.19999999999999</v>
      </c>
      <c r="AF280" s="9">
        <f t="shared" si="59"/>
        <v>108.80000000000001</v>
      </c>
      <c r="AG280" s="8">
        <f t="shared" si="54"/>
        <v>2024</v>
      </c>
      <c r="AH280" s="8">
        <f t="shared" si="55"/>
        <v>12</v>
      </c>
      <c r="AI280" s="5" t="str">
        <f t="shared" si="56"/>
        <v>Dec</v>
      </c>
      <c r="AJ280" s="5" t="str">
        <f t="shared" si="57"/>
        <v>Wednesday</v>
      </c>
    </row>
    <row r="281" spans="1:36" x14ac:dyDescent="0.3">
      <c r="A281" s="5" t="s">
        <v>315</v>
      </c>
      <c r="B281" s="6">
        <v>45538</v>
      </c>
      <c r="C281" s="7">
        <v>0.5</v>
      </c>
      <c r="D281" s="5" t="s">
        <v>1761</v>
      </c>
      <c r="E281" s="5" t="s">
        <v>2127</v>
      </c>
      <c r="F281" s="5" t="s">
        <v>1761</v>
      </c>
      <c r="G281" s="5" t="s">
        <v>2244</v>
      </c>
      <c r="H281" s="5" t="s">
        <v>2257</v>
      </c>
      <c r="I281" s="5" t="s">
        <v>2262</v>
      </c>
      <c r="J281" s="5" t="s">
        <v>2265</v>
      </c>
      <c r="K281" s="8">
        <v>1</v>
      </c>
      <c r="L281" s="9">
        <v>120</v>
      </c>
      <c r="M281" s="10">
        <v>0.1</v>
      </c>
      <c r="N281" s="9">
        <f t="shared" si="58"/>
        <v>120</v>
      </c>
      <c r="O281" s="9">
        <f t="shared" si="48"/>
        <v>108</v>
      </c>
      <c r="P281" s="5" t="s">
        <v>2269</v>
      </c>
      <c r="Q281" s="5" t="s">
        <v>2272</v>
      </c>
      <c r="R281" s="5" t="s">
        <v>2276</v>
      </c>
      <c r="S281" s="5" t="s">
        <v>2285</v>
      </c>
      <c r="T281" s="5" t="s">
        <v>2289</v>
      </c>
      <c r="U281" s="8">
        <v>1</v>
      </c>
      <c r="V281" s="8">
        <v>117</v>
      </c>
      <c r="W281" s="19">
        <v>35</v>
      </c>
      <c r="X281" s="9">
        <v>59.37</v>
      </c>
      <c r="Y281" s="9">
        <f t="shared" si="49"/>
        <v>48.63</v>
      </c>
      <c r="Z281" s="5" t="s">
        <v>1761</v>
      </c>
      <c r="AA281" s="5" t="s">
        <v>2296</v>
      </c>
      <c r="AB281" s="9">
        <f t="shared" si="50"/>
        <v>120</v>
      </c>
      <c r="AC281" s="9">
        <f t="shared" si="51"/>
        <v>12</v>
      </c>
      <c r="AD281" s="9">
        <f t="shared" si="52"/>
        <v>108</v>
      </c>
      <c r="AE281" s="9">
        <f t="shared" si="53"/>
        <v>59.37</v>
      </c>
      <c r="AF281" s="9">
        <f t="shared" si="59"/>
        <v>48.63</v>
      </c>
      <c r="AG281" s="8">
        <f t="shared" si="54"/>
        <v>2024</v>
      </c>
      <c r="AH281" s="8">
        <f t="shared" si="55"/>
        <v>9</v>
      </c>
      <c r="AI281" s="5" t="str">
        <f t="shared" si="56"/>
        <v>Sep</v>
      </c>
      <c r="AJ281" s="5" t="str">
        <f t="shared" si="57"/>
        <v>Tuesday</v>
      </c>
    </row>
    <row r="282" spans="1:36" x14ac:dyDescent="0.3">
      <c r="A282" s="5" t="s">
        <v>316</v>
      </c>
      <c r="B282" s="6">
        <v>45378</v>
      </c>
      <c r="C282" s="7">
        <v>0.40972222222222221</v>
      </c>
      <c r="D282" s="5" t="s">
        <v>1891</v>
      </c>
      <c r="E282" s="5" t="s">
        <v>2059</v>
      </c>
      <c r="F282" s="5" t="s">
        <v>2240</v>
      </c>
      <c r="G282" s="5" t="s">
        <v>2253</v>
      </c>
      <c r="H282" s="5" t="s">
        <v>2258</v>
      </c>
      <c r="I282" s="5" t="s">
        <v>2260</v>
      </c>
      <c r="J282" s="5" t="s">
        <v>1761</v>
      </c>
      <c r="K282" s="8">
        <v>1</v>
      </c>
      <c r="L282" s="9">
        <v>100</v>
      </c>
      <c r="M282" s="10">
        <v>0.15</v>
      </c>
      <c r="N282" s="9">
        <f t="shared" si="58"/>
        <v>100</v>
      </c>
      <c r="O282" s="9">
        <f t="shared" si="48"/>
        <v>85</v>
      </c>
      <c r="P282" s="5" t="s">
        <v>2268</v>
      </c>
      <c r="Q282" s="5" t="s">
        <v>2270</v>
      </c>
      <c r="R282" s="5" t="s">
        <v>2275</v>
      </c>
      <c r="S282" s="5" t="s">
        <v>2284</v>
      </c>
      <c r="T282" s="5" t="s">
        <v>2288</v>
      </c>
      <c r="U282" s="8">
        <v>4</v>
      </c>
      <c r="V282" s="19">
        <v>244</v>
      </c>
      <c r="W282" s="8">
        <v>44</v>
      </c>
      <c r="X282" s="9">
        <v>52.15</v>
      </c>
      <c r="Y282" s="9">
        <f t="shared" si="49"/>
        <v>32.85</v>
      </c>
      <c r="Z282" s="5" t="s">
        <v>2291</v>
      </c>
      <c r="AA282" s="5" t="s">
        <v>2299</v>
      </c>
      <c r="AB282" s="9">
        <f t="shared" si="50"/>
        <v>100</v>
      </c>
      <c r="AC282" s="9">
        <f t="shared" si="51"/>
        <v>15</v>
      </c>
      <c r="AD282" s="9">
        <f t="shared" si="52"/>
        <v>85</v>
      </c>
      <c r="AE282" s="9">
        <f t="shared" si="53"/>
        <v>52.15</v>
      </c>
      <c r="AF282" s="9">
        <f t="shared" si="59"/>
        <v>32.85</v>
      </c>
      <c r="AG282" s="8">
        <f t="shared" si="54"/>
        <v>2024</v>
      </c>
      <c r="AH282" s="8">
        <f t="shared" si="55"/>
        <v>3</v>
      </c>
      <c r="AI282" s="5" t="str">
        <f t="shared" si="56"/>
        <v>Mar</v>
      </c>
      <c r="AJ282" s="5" t="str">
        <f t="shared" si="57"/>
        <v>Wednesday</v>
      </c>
    </row>
    <row r="283" spans="1:36" x14ac:dyDescent="0.3">
      <c r="A283" s="5" t="s">
        <v>317</v>
      </c>
      <c r="B283" s="6">
        <v>45440</v>
      </c>
      <c r="C283" s="7">
        <v>0.59375</v>
      </c>
      <c r="D283" s="5" t="s">
        <v>1892</v>
      </c>
      <c r="E283" s="5" t="s">
        <v>2128</v>
      </c>
      <c r="F283" s="5" t="s">
        <v>1761</v>
      </c>
      <c r="G283" s="5" t="s">
        <v>2247</v>
      </c>
      <c r="H283" s="5" t="s">
        <v>2257</v>
      </c>
      <c r="I283" s="5" t="s">
        <v>2262</v>
      </c>
      <c r="J283" s="5" t="s">
        <v>1761</v>
      </c>
      <c r="K283" s="8">
        <v>2</v>
      </c>
      <c r="L283" s="9">
        <v>110</v>
      </c>
      <c r="M283" s="10">
        <v>0</v>
      </c>
      <c r="N283" s="9">
        <f t="shared" si="58"/>
        <v>220</v>
      </c>
      <c r="O283" s="9">
        <f t="shared" si="48"/>
        <v>220</v>
      </c>
      <c r="P283" s="5" t="s">
        <v>2267</v>
      </c>
      <c r="Q283" s="5" t="s">
        <v>2270</v>
      </c>
      <c r="R283" s="5" t="s">
        <v>2279</v>
      </c>
      <c r="S283" s="5" t="s">
        <v>2284</v>
      </c>
      <c r="T283" s="5" t="s">
        <v>2288</v>
      </c>
      <c r="U283" s="8">
        <v>1</v>
      </c>
      <c r="V283" s="8">
        <v>23</v>
      </c>
      <c r="W283" s="8">
        <v>10</v>
      </c>
      <c r="X283" s="9">
        <v>59.4</v>
      </c>
      <c r="Y283" s="9">
        <f t="shared" si="49"/>
        <v>101.2</v>
      </c>
      <c r="Z283" s="5" t="s">
        <v>2294</v>
      </c>
      <c r="AA283" s="5" t="s">
        <v>1761</v>
      </c>
      <c r="AB283" s="9">
        <f t="shared" si="50"/>
        <v>220</v>
      </c>
      <c r="AC283" s="9">
        <f t="shared" si="51"/>
        <v>0</v>
      </c>
      <c r="AD283" s="9">
        <f t="shared" si="52"/>
        <v>220</v>
      </c>
      <c r="AE283" s="9">
        <f t="shared" si="53"/>
        <v>118.8</v>
      </c>
      <c r="AF283" s="9">
        <f t="shared" si="59"/>
        <v>101.2</v>
      </c>
      <c r="AG283" s="8">
        <f t="shared" si="54"/>
        <v>2024</v>
      </c>
      <c r="AH283" s="8">
        <f t="shared" si="55"/>
        <v>5</v>
      </c>
      <c r="AI283" s="5" t="str">
        <f t="shared" si="56"/>
        <v>May</v>
      </c>
      <c r="AJ283" s="5" t="str">
        <f t="shared" si="57"/>
        <v>Tuesday</v>
      </c>
    </row>
    <row r="284" spans="1:36" x14ac:dyDescent="0.3">
      <c r="A284" s="5" t="s">
        <v>318</v>
      </c>
      <c r="B284" s="6">
        <v>45576</v>
      </c>
      <c r="C284" s="7">
        <v>0.72916666666666663</v>
      </c>
      <c r="D284" s="5" t="s">
        <v>1775</v>
      </c>
      <c r="E284" s="5" t="s">
        <v>2090</v>
      </c>
      <c r="F284" s="5" t="s">
        <v>2239</v>
      </c>
      <c r="G284" s="5" t="s">
        <v>2252</v>
      </c>
      <c r="H284" s="5" t="s">
        <v>2257</v>
      </c>
      <c r="I284" s="5" t="s">
        <v>2262</v>
      </c>
      <c r="J284" s="5" t="s">
        <v>2266</v>
      </c>
      <c r="K284" s="8">
        <v>4</v>
      </c>
      <c r="L284" s="9">
        <v>95</v>
      </c>
      <c r="M284" s="10">
        <v>0.05</v>
      </c>
      <c r="N284" s="9">
        <f t="shared" si="58"/>
        <v>380</v>
      </c>
      <c r="O284" s="9">
        <f t="shared" si="48"/>
        <v>361</v>
      </c>
      <c r="P284" s="5" t="s">
        <v>2268</v>
      </c>
      <c r="Q284" s="5" t="s">
        <v>2271</v>
      </c>
      <c r="R284" s="5" t="s">
        <v>2277</v>
      </c>
      <c r="S284" s="5" t="s">
        <v>2285</v>
      </c>
      <c r="T284" s="5" t="s">
        <v>2288</v>
      </c>
      <c r="U284" s="8">
        <v>5</v>
      </c>
      <c r="V284" s="8">
        <v>438</v>
      </c>
      <c r="W284" s="8">
        <v>36</v>
      </c>
      <c r="X284" s="9">
        <v>53.75</v>
      </c>
      <c r="Y284" s="9">
        <f t="shared" si="49"/>
        <v>146</v>
      </c>
      <c r="Z284" s="5" t="s">
        <v>2292</v>
      </c>
      <c r="AA284" s="5" t="s">
        <v>2297</v>
      </c>
      <c r="AB284" s="9">
        <f t="shared" si="50"/>
        <v>380</v>
      </c>
      <c r="AC284" s="9">
        <f t="shared" si="51"/>
        <v>19</v>
      </c>
      <c r="AD284" s="9">
        <f t="shared" si="52"/>
        <v>361</v>
      </c>
      <c r="AE284" s="9">
        <f t="shared" si="53"/>
        <v>215</v>
      </c>
      <c r="AF284" s="9">
        <f t="shared" si="59"/>
        <v>146</v>
      </c>
      <c r="AG284" s="8">
        <f t="shared" si="54"/>
        <v>2024</v>
      </c>
      <c r="AH284" s="8">
        <f t="shared" si="55"/>
        <v>10</v>
      </c>
      <c r="AI284" s="5" t="str">
        <f t="shared" si="56"/>
        <v>Oct</v>
      </c>
      <c r="AJ284" s="5" t="str">
        <f t="shared" si="57"/>
        <v>Friday</v>
      </c>
    </row>
    <row r="285" spans="1:36" x14ac:dyDescent="0.3">
      <c r="A285" s="5" t="s">
        <v>319</v>
      </c>
      <c r="B285" s="6">
        <v>45328</v>
      </c>
      <c r="C285" s="7">
        <v>0.75</v>
      </c>
      <c r="D285" s="5" t="s">
        <v>1893</v>
      </c>
      <c r="E285" s="5" t="s">
        <v>1974</v>
      </c>
      <c r="F285" s="5" t="s">
        <v>2239</v>
      </c>
      <c r="G285" s="5" t="s">
        <v>2256</v>
      </c>
      <c r="H285" s="5" t="s">
        <v>2261</v>
      </c>
      <c r="I285" s="5" t="s">
        <v>2260</v>
      </c>
      <c r="J285" s="5" t="s">
        <v>2265</v>
      </c>
      <c r="K285" s="8">
        <v>2</v>
      </c>
      <c r="L285" s="9">
        <v>190</v>
      </c>
      <c r="M285" s="10">
        <v>0</v>
      </c>
      <c r="N285" s="9">
        <f t="shared" si="58"/>
        <v>380</v>
      </c>
      <c r="O285" s="9">
        <f t="shared" si="48"/>
        <v>380</v>
      </c>
      <c r="P285" s="5" t="s">
        <v>2269</v>
      </c>
      <c r="Q285" s="5" t="s">
        <v>2271</v>
      </c>
      <c r="R285" s="5" t="s">
        <v>2277</v>
      </c>
      <c r="S285" s="5" t="s">
        <v>2285</v>
      </c>
      <c r="T285" s="5" t="s">
        <v>2288</v>
      </c>
      <c r="U285" s="8">
        <v>3</v>
      </c>
      <c r="V285" s="8">
        <v>97</v>
      </c>
      <c r="W285" s="8">
        <v>57</v>
      </c>
      <c r="X285" s="9">
        <v>86.34</v>
      </c>
      <c r="Y285" s="9">
        <f t="shared" si="49"/>
        <v>207.32</v>
      </c>
      <c r="Z285" s="5" t="s">
        <v>2292</v>
      </c>
      <c r="AA285" s="5" t="s">
        <v>2299</v>
      </c>
      <c r="AB285" s="9">
        <f t="shared" si="50"/>
        <v>380</v>
      </c>
      <c r="AC285" s="9">
        <f t="shared" si="51"/>
        <v>0</v>
      </c>
      <c r="AD285" s="9">
        <f t="shared" si="52"/>
        <v>380</v>
      </c>
      <c r="AE285" s="9">
        <f t="shared" si="53"/>
        <v>172.68</v>
      </c>
      <c r="AF285" s="9">
        <f t="shared" si="59"/>
        <v>207.32</v>
      </c>
      <c r="AG285" s="8">
        <f t="shared" si="54"/>
        <v>2024</v>
      </c>
      <c r="AH285" s="8">
        <f t="shared" si="55"/>
        <v>2</v>
      </c>
      <c r="AI285" s="5" t="str">
        <f t="shared" si="56"/>
        <v>Feb</v>
      </c>
      <c r="AJ285" s="5" t="str">
        <f t="shared" si="57"/>
        <v>Tuesday</v>
      </c>
    </row>
    <row r="286" spans="1:36" x14ac:dyDescent="0.3">
      <c r="A286" s="5" t="s">
        <v>320</v>
      </c>
      <c r="B286" s="6">
        <v>45342</v>
      </c>
      <c r="C286" s="7">
        <v>0.33333333333333331</v>
      </c>
      <c r="D286" s="5" t="s">
        <v>1834</v>
      </c>
      <c r="E286" s="5" t="s">
        <v>2072</v>
      </c>
      <c r="F286" s="5" t="s">
        <v>1761</v>
      </c>
      <c r="G286" s="5" t="s">
        <v>2241</v>
      </c>
      <c r="H286" s="5" t="s">
        <v>2257</v>
      </c>
      <c r="I286" s="5" t="s">
        <v>2262</v>
      </c>
      <c r="J286" s="5" t="s">
        <v>2266</v>
      </c>
      <c r="K286" s="8">
        <v>1</v>
      </c>
      <c r="L286" s="9">
        <v>135</v>
      </c>
      <c r="M286" s="10">
        <v>0.1</v>
      </c>
      <c r="N286" s="9">
        <f t="shared" si="58"/>
        <v>135</v>
      </c>
      <c r="O286" s="9">
        <f t="shared" si="48"/>
        <v>121.5</v>
      </c>
      <c r="P286" s="5" t="s">
        <v>2267</v>
      </c>
      <c r="Q286" s="5" t="s">
        <v>2270</v>
      </c>
      <c r="R286" s="5" t="s">
        <v>2279</v>
      </c>
      <c r="S286" s="5" t="s">
        <v>2287</v>
      </c>
      <c r="T286" s="5" t="s">
        <v>2289</v>
      </c>
      <c r="U286" s="8">
        <v>4</v>
      </c>
      <c r="V286" s="8">
        <v>410</v>
      </c>
      <c r="W286" s="8">
        <v>19</v>
      </c>
      <c r="X286" s="9">
        <v>66.260000000000005</v>
      </c>
      <c r="Y286" s="9">
        <f t="shared" si="49"/>
        <v>55.239999999999995</v>
      </c>
      <c r="Z286" s="5" t="s">
        <v>2293</v>
      </c>
      <c r="AA286" s="5" t="s">
        <v>1761</v>
      </c>
      <c r="AB286" s="9">
        <f t="shared" si="50"/>
        <v>135</v>
      </c>
      <c r="AC286" s="9">
        <f t="shared" si="51"/>
        <v>13.5</v>
      </c>
      <c r="AD286" s="9">
        <f t="shared" si="52"/>
        <v>121.5</v>
      </c>
      <c r="AE286" s="9">
        <f t="shared" si="53"/>
        <v>66.260000000000005</v>
      </c>
      <c r="AF286" s="9">
        <f t="shared" si="59"/>
        <v>55.239999999999995</v>
      </c>
      <c r="AG286" s="8">
        <f t="shared" si="54"/>
        <v>2024</v>
      </c>
      <c r="AH286" s="8">
        <f t="shared" si="55"/>
        <v>2</v>
      </c>
      <c r="AI286" s="5" t="str">
        <f t="shared" si="56"/>
        <v>Feb</v>
      </c>
      <c r="AJ286" s="5" t="str">
        <f t="shared" si="57"/>
        <v>Tuesday</v>
      </c>
    </row>
    <row r="287" spans="1:36" x14ac:dyDescent="0.3">
      <c r="A287" s="5" t="s">
        <v>321</v>
      </c>
      <c r="B287" s="6">
        <v>45621</v>
      </c>
      <c r="C287" s="7">
        <v>0.82291666666666663</v>
      </c>
      <c r="D287" s="5" t="s">
        <v>1768</v>
      </c>
      <c r="E287" s="5" t="s">
        <v>1980</v>
      </c>
      <c r="F287" s="5" t="s">
        <v>1761</v>
      </c>
      <c r="G287" s="5" t="s">
        <v>2255</v>
      </c>
      <c r="H287" s="5" t="s">
        <v>2260</v>
      </c>
      <c r="I287" s="5" t="s">
        <v>2260</v>
      </c>
      <c r="J287" s="5" t="s">
        <v>2264</v>
      </c>
      <c r="K287" s="8">
        <v>1</v>
      </c>
      <c r="L287" s="9">
        <v>185</v>
      </c>
      <c r="M287" s="10">
        <v>0</v>
      </c>
      <c r="N287" s="9">
        <f t="shared" si="58"/>
        <v>185</v>
      </c>
      <c r="O287" s="9">
        <f t="shared" si="48"/>
        <v>185</v>
      </c>
      <c r="P287" s="5" t="s">
        <v>2269</v>
      </c>
      <c r="Q287" s="5" t="s">
        <v>2272</v>
      </c>
      <c r="R287" s="5" t="s">
        <v>2274</v>
      </c>
      <c r="S287" s="5" t="s">
        <v>2281</v>
      </c>
      <c r="T287" s="5" t="s">
        <v>2289</v>
      </c>
      <c r="U287" s="8">
        <v>4</v>
      </c>
      <c r="V287" s="8">
        <v>414</v>
      </c>
      <c r="W287" s="19">
        <v>35</v>
      </c>
      <c r="X287" s="9">
        <v>67.16</v>
      </c>
      <c r="Y287" s="9">
        <f t="shared" si="49"/>
        <v>117.84</v>
      </c>
      <c r="Z287" s="5" t="s">
        <v>2293</v>
      </c>
      <c r="AA287" s="5" t="s">
        <v>2296</v>
      </c>
      <c r="AB287" s="9">
        <f t="shared" si="50"/>
        <v>185</v>
      </c>
      <c r="AC287" s="9">
        <f t="shared" si="51"/>
        <v>0</v>
      </c>
      <c r="AD287" s="9">
        <f t="shared" si="52"/>
        <v>185</v>
      </c>
      <c r="AE287" s="9">
        <f t="shared" si="53"/>
        <v>67.16</v>
      </c>
      <c r="AF287" s="9">
        <f t="shared" si="59"/>
        <v>117.84</v>
      </c>
      <c r="AG287" s="8">
        <f t="shared" si="54"/>
        <v>2024</v>
      </c>
      <c r="AH287" s="8">
        <f t="shared" si="55"/>
        <v>11</v>
      </c>
      <c r="AI287" s="5" t="str">
        <f t="shared" si="56"/>
        <v>Nov</v>
      </c>
      <c r="AJ287" s="5" t="str">
        <f t="shared" si="57"/>
        <v>Monday</v>
      </c>
    </row>
    <row r="288" spans="1:36" x14ac:dyDescent="0.3">
      <c r="A288" s="5" t="s">
        <v>322</v>
      </c>
      <c r="B288" s="18">
        <v>45468</v>
      </c>
      <c r="C288" s="7">
        <v>0.72916666666666663</v>
      </c>
      <c r="D288" s="5" t="s">
        <v>1802</v>
      </c>
      <c r="E288" s="5" t="s">
        <v>2129</v>
      </c>
      <c r="F288" s="5" t="s">
        <v>2239</v>
      </c>
      <c r="G288" s="5" t="s">
        <v>2249</v>
      </c>
      <c r="H288" s="5" t="s">
        <v>2257</v>
      </c>
      <c r="I288" s="5" t="s">
        <v>2263</v>
      </c>
      <c r="J288" s="5" t="s">
        <v>2266</v>
      </c>
      <c r="K288" s="8">
        <v>1</v>
      </c>
      <c r="L288" s="9">
        <v>170</v>
      </c>
      <c r="M288" s="10">
        <v>0</v>
      </c>
      <c r="N288" s="9">
        <f t="shared" si="58"/>
        <v>170</v>
      </c>
      <c r="O288" s="9">
        <f t="shared" si="48"/>
        <v>170</v>
      </c>
      <c r="P288" s="5" t="s">
        <v>2269</v>
      </c>
      <c r="Q288" s="5" t="s">
        <v>2270</v>
      </c>
      <c r="R288" s="5" t="s">
        <v>2273</v>
      </c>
      <c r="S288" s="5" t="s">
        <v>2280</v>
      </c>
      <c r="T288" s="5" t="s">
        <v>2288</v>
      </c>
      <c r="U288" s="19">
        <v>3</v>
      </c>
      <c r="V288" s="8">
        <v>462</v>
      </c>
      <c r="W288" s="8">
        <v>57</v>
      </c>
      <c r="X288" s="9">
        <v>56.56</v>
      </c>
      <c r="Y288" s="9">
        <f t="shared" si="49"/>
        <v>113.44</v>
      </c>
      <c r="Z288" s="5" t="s">
        <v>2294</v>
      </c>
      <c r="AA288" s="5" t="s">
        <v>2296</v>
      </c>
      <c r="AB288" s="9">
        <f t="shared" si="50"/>
        <v>170</v>
      </c>
      <c r="AC288" s="9">
        <f t="shared" si="51"/>
        <v>0</v>
      </c>
      <c r="AD288" s="9">
        <f t="shared" si="52"/>
        <v>170</v>
      </c>
      <c r="AE288" s="9">
        <f t="shared" si="53"/>
        <v>56.56</v>
      </c>
      <c r="AF288" s="9">
        <f t="shared" si="59"/>
        <v>113.44</v>
      </c>
      <c r="AG288" s="8">
        <f t="shared" si="54"/>
        <v>2024</v>
      </c>
      <c r="AH288" s="8">
        <f t="shared" si="55"/>
        <v>6</v>
      </c>
      <c r="AI288" s="5" t="str">
        <f t="shared" si="56"/>
        <v>Jun</v>
      </c>
      <c r="AJ288" s="5" t="str">
        <f t="shared" si="57"/>
        <v>Tuesday</v>
      </c>
    </row>
    <row r="289" spans="1:36" x14ac:dyDescent="0.3">
      <c r="A289" s="5" t="s">
        <v>323</v>
      </c>
      <c r="B289" s="6">
        <v>45362</v>
      </c>
      <c r="C289" s="7">
        <v>0.73958333333333337</v>
      </c>
      <c r="D289" s="5" t="s">
        <v>1894</v>
      </c>
      <c r="E289" s="5" t="s">
        <v>2116</v>
      </c>
      <c r="F289" s="5" t="s">
        <v>2240</v>
      </c>
      <c r="G289" s="5" t="s">
        <v>2249</v>
      </c>
      <c r="H289" s="5" t="s">
        <v>2257</v>
      </c>
      <c r="I289" s="5" t="s">
        <v>2263</v>
      </c>
      <c r="J289" s="5" t="s">
        <v>2264</v>
      </c>
      <c r="K289" s="8">
        <v>2</v>
      </c>
      <c r="L289" s="9">
        <v>155</v>
      </c>
      <c r="M289" s="10">
        <v>0</v>
      </c>
      <c r="N289" s="9">
        <f t="shared" si="58"/>
        <v>310</v>
      </c>
      <c r="O289" s="9">
        <f t="shared" si="48"/>
        <v>310</v>
      </c>
      <c r="P289" s="5" t="s">
        <v>2267</v>
      </c>
      <c r="Q289" s="5" t="s">
        <v>2270</v>
      </c>
      <c r="R289" s="5" t="s">
        <v>2276</v>
      </c>
      <c r="S289" s="5" t="s">
        <v>2286</v>
      </c>
      <c r="T289" s="5" t="s">
        <v>2288</v>
      </c>
      <c r="U289" s="19">
        <v>3</v>
      </c>
      <c r="V289" s="8">
        <v>463</v>
      </c>
      <c r="W289" s="8">
        <v>44</v>
      </c>
      <c r="X289" s="9">
        <v>94.5</v>
      </c>
      <c r="Y289" s="9">
        <f t="shared" si="49"/>
        <v>121</v>
      </c>
      <c r="Z289" s="5" t="s">
        <v>2292</v>
      </c>
      <c r="AA289" s="5" t="s">
        <v>1761</v>
      </c>
      <c r="AB289" s="9">
        <f t="shared" si="50"/>
        <v>310</v>
      </c>
      <c r="AC289" s="9">
        <f t="shared" si="51"/>
        <v>0</v>
      </c>
      <c r="AD289" s="9">
        <f t="shared" si="52"/>
        <v>310</v>
      </c>
      <c r="AE289" s="9">
        <f t="shared" si="53"/>
        <v>189</v>
      </c>
      <c r="AF289" s="9">
        <f t="shared" si="59"/>
        <v>121</v>
      </c>
      <c r="AG289" s="8">
        <f t="shared" si="54"/>
        <v>2024</v>
      </c>
      <c r="AH289" s="8">
        <f t="shared" si="55"/>
        <v>3</v>
      </c>
      <c r="AI289" s="5" t="str">
        <f t="shared" si="56"/>
        <v>Mar</v>
      </c>
      <c r="AJ289" s="5" t="str">
        <f t="shared" si="57"/>
        <v>Monday</v>
      </c>
    </row>
    <row r="290" spans="1:36" x14ac:dyDescent="0.3">
      <c r="A290" s="5" t="s">
        <v>324</v>
      </c>
      <c r="B290" s="6">
        <v>45581</v>
      </c>
      <c r="C290" s="7">
        <v>0.76041666666666663</v>
      </c>
      <c r="D290" s="5" t="s">
        <v>1765</v>
      </c>
      <c r="E290" s="5" t="s">
        <v>1973</v>
      </c>
      <c r="F290" s="5" t="s">
        <v>2239</v>
      </c>
      <c r="G290" s="5" t="s">
        <v>2255</v>
      </c>
      <c r="H290" s="5" t="s">
        <v>2260</v>
      </c>
      <c r="I290" s="5" t="s">
        <v>2260</v>
      </c>
      <c r="J290" s="5" t="s">
        <v>2266</v>
      </c>
      <c r="K290" s="8">
        <v>2</v>
      </c>
      <c r="L290" s="9">
        <v>190</v>
      </c>
      <c r="M290" s="10">
        <v>0.05</v>
      </c>
      <c r="N290" s="9">
        <f t="shared" si="58"/>
        <v>380</v>
      </c>
      <c r="O290" s="9">
        <f t="shared" si="48"/>
        <v>361</v>
      </c>
      <c r="P290" s="5" t="s">
        <v>2269</v>
      </c>
      <c r="Q290" s="5" t="s">
        <v>1761</v>
      </c>
      <c r="R290" s="5" t="s">
        <v>2276</v>
      </c>
      <c r="S290" s="5" t="s">
        <v>2285</v>
      </c>
      <c r="T290" s="5" t="s">
        <v>2288</v>
      </c>
      <c r="U290" s="19">
        <v>3</v>
      </c>
      <c r="V290" s="8">
        <v>48</v>
      </c>
      <c r="W290" s="19">
        <v>36</v>
      </c>
      <c r="X290" s="9">
        <v>76.91</v>
      </c>
      <c r="Y290" s="9">
        <f t="shared" si="49"/>
        <v>207.18</v>
      </c>
      <c r="Z290" s="5" t="s">
        <v>2293</v>
      </c>
      <c r="AA290" s="5" t="s">
        <v>2297</v>
      </c>
      <c r="AB290" s="9">
        <f t="shared" si="50"/>
        <v>380</v>
      </c>
      <c r="AC290" s="9">
        <f t="shared" si="51"/>
        <v>19</v>
      </c>
      <c r="AD290" s="9">
        <f t="shared" si="52"/>
        <v>361</v>
      </c>
      <c r="AE290" s="9">
        <f t="shared" si="53"/>
        <v>153.82</v>
      </c>
      <c r="AF290" s="9">
        <f t="shared" si="59"/>
        <v>207.18</v>
      </c>
      <c r="AG290" s="8">
        <f t="shared" si="54"/>
        <v>2024</v>
      </c>
      <c r="AH290" s="8">
        <f t="shared" si="55"/>
        <v>10</v>
      </c>
      <c r="AI290" s="5" t="str">
        <f t="shared" si="56"/>
        <v>Oct</v>
      </c>
      <c r="AJ290" s="5" t="str">
        <f t="shared" si="57"/>
        <v>Wednesday</v>
      </c>
    </row>
    <row r="291" spans="1:36" x14ac:dyDescent="0.3">
      <c r="A291" s="5" t="s">
        <v>325</v>
      </c>
      <c r="B291" s="6">
        <v>45425</v>
      </c>
      <c r="C291" s="7">
        <v>0.2986111111111111</v>
      </c>
      <c r="D291" s="5" t="s">
        <v>1849</v>
      </c>
      <c r="E291" s="5" t="s">
        <v>2061</v>
      </c>
      <c r="F291" s="5" t="s">
        <v>1761</v>
      </c>
      <c r="G291" s="5" t="s">
        <v>2254</v>
      </c>
      <c r="H291" s="5" t="s">
        <v>2259</v>
      </c>
      <c r="I291" s="5" t="s">
        <v>2263</v>
      </c>
      <c r="J291" s="5" t="s">
        <v>2265</v>
      </c>
      <c r="K291" s="8">
        <v>1</v>
      </c>
      <c r="L291" s="9">
        <v>110</v>
      </c>
      <c r="M291" s="10">
        <v>0</v>
      </c>
      <c r="N291" s="9">
        <f t="shared" si="58"/>
        <v>110</v>
      </c>
      <c r="O291" s="9">
        <f t="shared" si="48"/>
        <v>110</v>
      </c>
      <c r="P291" s="5" t="s">
        <v>2268</v>
      </c>
      <c r="Q291" s="5" t="s">
        <v>2270</v>
      </c>
      <c r="R291" s="5" t="s">
        <v>2277</v>
      </c>
      <c r="S291" s="5" t="s">
        <v>2283</v>
      </c>
      <c r="T291" s="5" t="s">
        <v>2288</v>
      </c>
      <c r="U291" s="8">
        <v>4</v>
      </c>
      <c r="V291" s="8">
        <v>420</v>
      </c>
      <c r="W291" s="8">
        <v>35</v>
      </c>
      <c r="X291" s="9">
        <v>44.94</v>
      </c>
      <c r="Y291" s="9">
        <f t="shared" si="49"/>
        <v>65.06</v>
      </c>
      <c r="Z291" s="5" t="s">
        <v>2293</v>
      </c>
      <c r="AA291" s="5" t="s">
        <v>2297</v>
      </c>
      <c r="AB291" s="9">
        <f t="shared" si="50"/>
        <v>110</v>
      </c>
      <c r="AC291" s="9">
        <f t="shared" si="51"/>
        <v>0</v>
      </c>
      <c r="AD291" s="9">
        <f t="shared" si="52"/>
        <v>110</v>
      </c>
      <c r="AE291" s="9">
        <f t="shared" si="53"/>
        <v>44.94</v>
      </c>
      <c r="AF291" s="9">
        <f t="shared" si="59"/>
        <v>65.06</v>
      </c>
      <c r="AG291" s="8">
        <f t="shared" si="54"/>
        <v>2024</v>
      </c>
      <c r="AH291" s="8">
        <f t="shared" si="55"/>
        <v>5</v>
      </c>
      <c r="AI291" s="5" t="str">
        <f t="shared" si="56"/>
        <v>May</v>
      </c>
      <c r="AJ291" s="5" t="str">
        <f t="shared" si="57"/>
        <v>Monday</v>
      </c>
    </row>
    <row r="292" spans="1:36" x14ac:dyDescent="0.3">
      <c r="A292" s="5" t="s">
        <v>326</v>
      </c>
      <c r="B292" s="6">
        <v>45629</v>
      </c>
      <c r="C292" s="7">
        <v>0.69791666666666663</v>
      </c>
      <c r="D292" s="5" t="s">
        <v>1888</v>
      </c>
      <c r="E292" s="5" t="s">
        <v>2032</v>
      </c>
      <c r="F292" s="5" t="s">
        <v>1761</v>
      </c>
      <c r="G292" s="5" t="s">
        <v>2248</v>
      </c>
      <c r="H292" s="5" t="s">
        <v>2257</v>
      </c>
      <c r="I292" s="5" t="s">
        <v>2262</v>
      </c>
      <c r="J292" s="5" t="s">
        <v>2264</v>
      </c>
      <c r="K292" s="8">
        <v>3</v>
      </c>
      <c r="L292" s="9">
        <v>150</v>
      </c>
      <c r="M292" s="10">
        <v>0</v>
      </c>
      <c r="N292" s="9">
        <f t="shared" si="58"/>
        <v>450</v>
      </c>
      <c r="O292" s="9">
        <f t="shared" si="48"/>
        <v>450</v>
      </c>
      <c r="P292" s="5" t="s">
        <v>2268</v>
      </c>
      <c r="Q292" s="5" t="s">
        <v>2271</v>
      </c>
      <c r="R292" s="5" t="s">
        <v>2274</v>
      </c>
      <c r="S292" s="5" t="s">
        <v>2284</v>
      </c>
      <c r="T292" s="5" t="s">
        <v>2290</v>
      </c>
      <c r="U292" s="8">
        <v>5</v>
      </c>
      <c r="V292" s="8">
        <v>34</v>
      </c>
      <c r="W292" s="8">
        <v>43</v>
      </c>
      <c r="X292" s="9">
        <v>75.28</v>
      </c>
      <c r="Y292" s="9">
        <f t="shared" si="49"/>
        <v>224.16</v>
      </c>
      <c r="Z292" s="5" t="s">
        <v>2292</v>
      </c>
      <c r="AA292" s="5" t="s">
        <v>2296</v>
      </c>
      <c r="AB292" s="9">
        <f t="shared" si="50"/>
        <v>450</v>
      </c>
      <c r="AC292" s="9">
        <f t="shared" si="51"/>
        <v>0</v>
      </c>
      <c r="AD292" s="9">
        <f t="shared" si="52"/>
        <v>450</v>
      </c>
      <c r="AE292" s="9">
        <f t="shared" si="53"/>
        <v>225.84</v>
      </c>
      <c r="AF292" s="9">
        <f t="shared" si="59"/>
        <v>224.16</v>
      </c>
      <c r="AG292" s="8">
        <f t="shared" si="54"/>
        <v>2024</v>
      </c>
      <c r="AH292" s="8">
        <f t="shared" si="55"/>
        <v>12</v>
      </c>
      <c r="AI292" s="5" t="str">
        <f t="shared" si="56"/>
        <v>Dec</v>
      </c>
      <c r="AJ292" s="5" t="str">
        <f t="shared" si="57"/>
        <v>Tuesday</v>
      </c>
    </row>
    <row r="293" spans="1:36" x14ac:dyDescent="0.3">
      <c r="A293" s="5" t="s">
        <v>327</v>
      </c>
      <c r="B293" s="6">
        <v>45420</v>
      </c>
      <c r="C293" s="7">
        <v>0.65972222222222221</v>
      </c>
      <c r="D293" s="5" t="s">
        <v>1778</v>
      </c>
      <c r="E293" s="5" t="s">
        <v>2130</v>
      </c>
      <c r="F293" s="5" t="s">
        <v>2239</v>
      </c>
      <c r="G293" s="5" t="s">
        <v>2254</v>
      </c>
      <c r="H293" s="5" t="s">
        <v>2259</v>
      </c>
      <c r="I293" s="5" t="s">
        <v>2263</v>
      </c>
      <c r="J293" s="5" t="s">
        <v>1761</v>
      </c>
      <c r="K293" s="8">
        <v>2</v>
      </c>
      <c r="L293" s="9">
        <v>105</v>
      </c>
      <c r="M293" s="10">
        <v>0</v>
      </c>
      <c r="N293" s="9">
        <f t="shared" si="58"/>
        <v>210</v>
      </c>
      <c r="O293" s="9">
        <f t="shared" si="48"/>
        <v>210</v>
      </c>
      <c r="P293" s="5" t="s">
        <v>1761</v>
      </c>
      <c r="Q293" s="5" t="s">
        <v>1761</v>
      </c>
      <c r="R293" s="5" t="s">
        <v>2276</v>
      </c>
      <c r="S293" s="5" t="s">
        <v>2285</v>
      </c>
      <c r="T293" s="5" t="s">
        <v>2290</v>
      </c>
      <c r="U293" s="8">
        <v>4</v>
      </c>
      <c r="V293" s="8">
        <v>391</v>
      </c>
      <c r="W293" s="8">
        <v>36</v>
      </c>
      <c r="X293" s="9">
        <v>44.73</v>
      </c>
      <c r="Y293" s="9">
        <f t="shared" si="49"/>
        <v>120.54</v>
      </c>
      <c r="Z293" s="5" t="s">
        <v>2291</v>
      </c>
      <c r="AA293" s="5" t="s">
        <v>1761</v>
      </c>
      <c r="AB293" s="9">
        <f t="shared" si="50"/>
        <v>210</v>
      </c>
      <c r="AC293" s="9">
        <f t="shared" si="51"/>
        <v>0</v>
      </c>
      <c r="AD293" s="9">
        <f t="shared" si="52"/>
        <v>210</v>
      </c>
      <c r="AE293" s="9">
        <f t="shared" si="53"/>
        <v>89.46</v>
      </c>
      <c r="AF293" s="9">
        <f t="shared" si="59"/>
        <v>120.54</v>
      </c>
      <c r="AG293" s="8">
        <f t="shared" si="54"/>
        <v>2024</v>
      </c>
      <c r="AH293" s="8">
        <f t="shared" si="55"/>
        <v>5</v>
      </c>
      <c r="AI293" s="5" t="str">
        <f t="shared" si="56"/>
        <v>May</v>
      </c>
      <c r="AJ293" s="5" t="str">
        <f t="shared" si="57"/>
        <v>Wednesday</v>
      </c>
    </row>
    <row r="294" spans="1:36" x14ac:dyDescent="0.3">
      <c r="A294" s="5" t="s">
        <v>328</v>
      </c>
      <c r="B294" s="6">
        <v>45514</v>
      </c>
      <c r="C294" s="7">
        <v>0.625</v>
      </c>
      <c r="D294" s="5" t="s">
        <v>1825</v>
      </c>
      <c r="E294" s="5" t="s">
        <v>2131</v>
      </c>
      <c r="F294" s="5" t="s">
        <v>2240</v>
      </c>
      <c r="G294" s="5" t="s">
        <v>2245</v>
      </c>
      <c r="H294" s="5" t="s">
        <v>2257</v>
      </c>
      <c r="I294" s="5" t="s">
        <v>2263</v>
      </c>
      <c r="J294" s="5" t="s">
        <v>2266</v>
      </c>
      <c r="K294" s="8">
        <v>1</v>
      </c>
      <c r="L294" s="9">
        <v>155</v>
      </c>
      <c r="M294" s="10">
        <v>0.1</v>
      </c>
      <c r="N294" s="9">
        <f t="shared" si="58"/>
        <v>155</v>
      </c>
      <c r="O294" s="9">
        <f t="shared" si="48"/>
        <v>139.5</v>
      </c>
      <c r="P294" s="5" t="s">
        <v>2267</v>
      </c>
      <c r="Q294" s="5" t="s">
        <v>1761</v>
      </c>
      <c r="R294" s="5" t="s">
        <v>2275</v>
      </c>
      <c r="S294" s="5" t="s">
        <v>2280</v>
      </c>
      <c r="T294" s="5" t="s">
        <v>2288</v>
      </c>
      <c r="U294" s="8">
        <v>5</v>
      </c>
      <c r="V294" s="8">
        <v>20</v>
      </c>
      <c r="W294" s="19">
        <v>36</v>
      </c>
      <c r="X294" s="9">
        <v>70.41</v>
      </c>
      <c r="Y294" s="9">
        <f t="shared" si="49"/>
        <v>69.09</v>
      </c>
      <c r="Z294" s="5" t="s">
        <v>1761</v>
      </c>
      <c r="AA294" s="5" t="s">
        <v>2297</v>
      </c>
      <c r="AB294" s="9">
        <f t="shared" si="50"/>
        <v>155</v>
      </c>
      <c r="AC294" s="9">
        <f t="shared" si="51"/>
        <v>15.5</v>
      </c>
      <c r="AD294" s="9">
        <f t="shared" si="52"/>
        <v>139.5</v>
      </c>
      <c r="AE294" s="9">
        <f t="shared" si="53"/>
        <v>70.41</v>
      </c>
      <c r="AF294" s="9">
        <f t="shared" si="59"/>
        <v>69.09</v>
      </c>
      <c r="AG294" s="8">
        <f t="shared" si="54"/>
        <v>2024</v>
      </c>
      <c r="AH294" s="8">
        <f t="shared" si="55"/>
        <v>8</v>
      </c>
      <c r="AI294" s="5" t="str">
        <f t="shared" si="56"/>
        <v>Aug</v>
      </c>
      <c r="AJ294" s="5" t="str">
        <f t="shared" si="57"/>
        <v>Saturday</v>
      </c>
    </row>
    <row r="295" spans="1:36" x14ac:dyDescent="0.3">
      <c r="A295" s="5" t="s">
        <v>329</v>
      </c>
      <c r="B295" s="6">
        <v>45355</v>
      </c>
      <c r="C295" s="7">
        <v>0.77083333333333337</v>
      </c>
      <c r="D295" s="5" t="s">
        <v>1856</v>
      </c>
      <c r="E295" s="5" t="s">
        <v>2132</v>
      </c>
      <c r="F295" s="5" t="s">
        <v>2239</v>
      </c>
      <c r="G295" s="5" t="s">
        <v>2252</v>
      </c>
      <c r="H295" s="5" t="s">
        <v>2257</v>
      </c>
      <c r="I295" s="5" t="s">
        <v>2262</v>
      </c>
      <c r="J295" s="5" t="s">
        <v>2265</v>
      </c>
      <c r="K295" s="8">
        <v>1</v>
      </c>
      <c r="L295" s="9">
        <v>95</v>
      </c>
      <c r="M295" s="10">
        <v>0.1</v>
      </c>
      <c r="N295" s="9">
        <f t="shared" si="58"/>
        <v>95</v>
      </c>
      <c r="O295" s="9">
        <f t="shared" si="48"/>
        <v>85.5</v>
      </c>
      <c r="P295" s="5" t="s">
        <v>2267</v>
      </c>
      <c r="Q295" s="5" t="s">
        <v>2272</v>
      </c>
      <c r="R295" s="5" t="s">
        <v>2278</v>
      </c>
      <c r="S295" s="5" t="s">
        <v>2287</v>
      </c>
      <c r="T295" s="5" t="s">
        <v>2289</v>
      </c>
      <c r="U295" s="19">
        <v>3</v>
      </c>
      <c r="V295" s="8">
        <v>146</v>
      </c>
      <c r="W295" s="19">
        <v>35</v>
      </c>
      <c r="X295" s="9">
        <v>31.81</v>
      </c>
      <c r="Y295" s="9">
        <f t="shared" si="49"/>
        <v>53.69</v>
      </c>
      <c r="Z295" s="5" t="s">
        <v>2293</v>
      </c>
      <c r="AA295" s="5" t="s">
        <v>1761</v>
      </c>
      <c r="AB295" s="9">
        <f t="shared" si="50"/>
        <v>95</v>
      </c>
      <c r="AC295" s="9">
        <f t="shared" si="51"/>
        <v>9.5</v>
      </c>
      <c r="AD295" s="9">
        <f t="shared" si="52"/>
        <v>85.5</v>
      </c>
      <c r="AE295" s="9">
        <f t="shared" si="53"/>
        <v>31.81</v>
      </c>
      <c r="AF295" s="9">
        <f t="shared" si="59"/>
        <v>53.69</v>
      </c>
      <c r="AG295" s="8">
        <f t="shared" si="54"/>
        <v>2024</v>
      </c>
      <c r="AH295" s="8">
        <f t="shared" si="55"/>
        <v>3</v>
      </c>
      <c r="AI295" s="5" t="str">
        <f t="shared" si="56"/>
        <v>Mar</v>
      </c>
      <c r="AJ295" s="5" t="str">
        <f t="shared" si="57"/>
        <v>Monday</v>
      </c>
    </row>
    <row r="296" spans="1:36" x14ac:dyDescent="0.3">
      <c r="A296" s="5" t="s">
        <v>330</v>
      </c>
      <c r="B296" s="6">
        <v>45591</v>
      </c>
      <c r="C296" s="7">
        <v>0.38194444444444442</v>
      </c>
      <c r="D296" s="5" t="s">
        <v>1851</v>
      </c>
      <c r="E296" s="5" t="s">
        <v>2056</v>
      </c>
      <c r="F296" s="5" t="s">
        <v>2238</v>
      </c>
      <c r="G296" s="5" t="s">
        <v>2246</v>
      </c>
      <c r="H296" s="5" t="s">
        <v>2259</v>
      </c>
      <c r="I296" s="5" t="s">
        <v>2262</v>
      </c>
      <c r="J296" s="5" t="s">
        <v>2264</v>
      </c>
      <c r="K296" s="8">
        <v>1</v>
      </c>
      <c r="L296" s="9">
        <v>105</v>
      </c>
      <c r="M296" s="10">
        <v>0.05</v>
      </c>
      <c r="N296" s="9">
        <f t="shared" si="58"/>
        <v>105</v>
      </c>
      <c r="O296" s="9">
        <f t="shared" si="48"/>
        <v>99.75</v>
      </c>
      <c r="P296" s="5" t="s">
        <v>2267</v>
      </c>
      <c r="Q296" s="5" t="s">
        <v>2270</v>
      </c>
      <c r="R296" s="5" t="s">
        <v>2279</v>
      </c>
      <c r="S296" s="5" t="s">
        <v>2283</v>
      </c>
      <c r="T296" s="5" t="s">
        <v>2288</v>
      </c>
      <c r="U296" s="8">
        <v>2</v>
      </c>
      <c r="V296" s="19">
        <v>244</v>
      </c>
      <c r="W296" s="8">
        <v>25</v>
      </c>
      <c r="X296" s="9">
        <v>51.06</v>
      </c>
      <c r="Y296" s="9">
        <f t="shared" si="49"/>
        <v>48.69</v>
      </c>
      <c r="Z296" s="5" t="s">
        <v>2292</v>
      </c>
      <c r="AA296" s="5" t="s">
        <v>2299</v>
      </c>
      <c r="AB296" s="9">
        <f t="shared" si="50"/>
        <v>105</v>
      </c>
      <c r="AC296" s="9">
        <f t="shared" si="51"/>
        <v>5.25</v>
      </c>
      <c r="AD296" s="9">
        <f t="shared" si="52"/>
        <v>99.75</v>
      </c>
      <c r="AE296" s="9">
        <f t="shared" si="53"/>
        <v>51.06</v>
      </c>
      <c r="AF296" s="9">
        <f t="shared" si="59"/>
        <v>48.69</v>
      </c>
      <c r="AG296" s="8">
        <f t="shared" si="54"/>
        <v>2024</v>
      </c>
      <c r="AH296" s="8">
        <f t="shared" si="55"/>
        <v>10</v>
      </c>
      <c r="AI296" s="5" t="str">
        <f t="shared" si="56"/>
        <v>Oct</v>
      </c>
      <c r="AJ296" s="5" t="str">
        <f t="shared" si="57"/>
        <v>Saturday</v>
      </c>
    </row>
    <row r="297" spans="1:36" x14ac:dyDescent="0.3">
      <c r="A297" s="5" t="s">
        <v>331</v>
      </c>
      <c r="B297" s="6">
        <v>45539</v>
      </c>
      <c r="C297" s="7">
        <v>0.86458333333333337</v>
      </c>
      <c r="D297" s="5" t="s">
        <v>1839</v>
      </c>
      <c r="E297" s="5" t="s">
        <v>2046</v>
      </c>
      <c r="F297" s="5" t="s">
        <v>2240</v>
      </c>
      <c r="G297" s="5" t="s">
        <v>2248</v>
      </c>
      <c r="H297" s="5" t="s">
        <v>2257</v>
      </c>
      <c r="I297" s="5" t="s">
        <v>2262</v>
      </c>
      <c r="J297" s="5" t="s">
        <v>2264</v>
      </c>
      <c r="K297" s="8">
        <v>1</v>
      </c>
      <c r="L297" s="9">
        <v>145</v>
      </c>
      <c r="M297" s="10">
        <v>0.1</v>
      </c>
      <c r="N297" s="9">
        <f t="shared" si="58"/>
        <v>145</v>
      </c>
      <c r="O297" s="9">
        <f t="shared" si="48"/>
        <v>130.5</v>
      </c>
      <c r="P297" s="5" t="s">
        <v>2267</v>
      </c>
      <c r="Q297" s="5" t="s">
        <v>2270</v>
      </c>
      <c r="R297" s="5" t="s">
        <v>2273</v>
      </c>
      <c r="S297" s="5" t="s">
        <v>2286</v>
      </c>
      <c r="T297" s="5" t="s">
        <v>2288</v>
      </c>
      <c r="U297" s="19">
        <v>3</v>
      </c>
      <c r="V297" s="8">
        <v>483</v>
      </c>
      <c r="W297" s="8">
        <v>60</v>
      </c>
      <c r="X297" s="9">
        <v>79.73</v>
      </c>
      <c r="Y297" s="9">
        <f t="shared" si="49"/>
        <v>50.769999999999996</v>
      </c>
      <c r="Z297" s="5" t="s">
        <v>2293</v>
      </c>
      <c r="AA297" s="5" t="s">
        <v>2297</v>
      </c>
      <c r="AB297" s="9">
        <f t="shared" si="50"/>
        <v>145</v>
      </c>
      <c r="AC297" s="9">
        <f t="shared" si="51"/>
        <v>14.5</v>
      </c>
      <c r="AD297" s="9">
        <f t="shared" si="52"/>
        <v>130.5</v>
      </c>
      <c r="AE297" s="9">
        <f t="shared" si="53"/>
        <v>79.73</v>
      </c>
      <c r="AF297" s="9">
        <f t="shared" si="59"/>
        <v>50.769999999999996</v>
      </c>
      <c r="AG297" s="8">
        <f t="shared" si="54"/>
        <v>2024</v>
      </c>
      <c r="AH297" s="8">
        <f t="shared" si="55"/>
        <v>9</v>
      </c>
      <c r="AI297" s="5" t="str">
        <f t="shared" si="56"/>
        <v>Sep</v>
      </c>
      <c r="AJ297" s="5" t="str">
        <f t="shared" si="57"/>
        <v>Wednesday</v>
      </c>
    </row>
    <row r="298" spans="1:36" x14ac:dyDescent="0.3">
      <c r="A298" s="5" t="s">
        <v>332</v>
      </c>
      <c r="B298" s="6">
        <v>45358</v>
      </c>
      <c r="C298" s="7">
        <v>0.61458333333333337</v>
      </c>
      <c r="D298" s="5" t="s">
        <v>1769</v>
      </c>
      <c r="E298" s="5" t="s">
        <v>2054</v>
      </c>
      <c r="F298" s="5" t="s">
        <v>2239</v>
      </c>
      <c r="G298" s="5" t="s">
        <v>2248</v>
      </c>
      <c r="H298" s="5" t="s">
        <v>2257</v>
      </c>
      <c r="I298" s="5" t="s">
        <v>2262</v>
      </c>
      <c r="J298" s="5" t="s">
        <v>2264</v>
      </c>
      <c r="K298" s="19">
        <v>1</v>
      </c>
      <c r="L298" s="9">
        <v>145</v>
      </c>
      <c r="M298" s="10">
        <v>0.15</v>
      </c>
      <c r="N298" s="9">
        <f t="shared" si="58"/>
        <v>145</v>
      </c>
      <c r="O298" s="9">
        <f t="shared" si="48"/>
        <v>123.25</v>
      </c>
      <c r="P298" s="5" t="s">
        <v>2267</v>
      </c>
      <c r="Q298" s="5" t="s">
        <v>2270</v>
      </c>
      <c r="R298" s="5" t="s">
        <v>2278</v>
      </c>
      <c r="S298" s="5" t="s">
        <v>2285</v>
      </c>
      <c r="T298" s="5" t="s">
        <v>2288</v>
      </c>
      <c r="U298" s="8">
        <v>3</v>
      </c>
      <c r="V298" s="8">
        <v>249</v>
      </c>
      <c r="W298" s="8">
        <v>54</v>
      </c>
      <c r="X298" s="9">
        <v>83.97</v>
      </c>
      <c r="Y298" s="9">
        <f t="shared" si="49"/>
        <v>39.28</v>
      </c>
      <c r="Z298" s="5" t="s">
        <v>2292</v>
      </c>
      <c r="AA298" s="5" t="s">
        <v>2296</v>
      </c>
      <c r="AB298" s="9">
        <f t="shared" si="50"/>
        <v>145</v>
      </c>
      <c r="AC298" s="9">
        <f t="shared" si="51"/>
        <v>21.75</v>
      </c>
      <c r="AD298" s="9">
        <f t="shared" si="52"/>
        <v>123.25</v>
      </c>
      <c r="AE298" s="9">
        <f t="shared" si="53"/>
        <v>83.97</v>
      </c>
      <c r="AF298" s="9">
        <f t="shared" si="59"/>
        <v>39.28</v>
      </c>
      <c r="AG298" s="8">
        <f t="shared" si="54"/>
        <v>2024</v>
      </c>
      <c r="AH298" s="8">
        <f t="shared" si="55"/>
        <v>3</v>
      </c>
      <c r="AI298" s="5" t="str">
        <f t="shared" si="56"/>
        <v>Mar</v>
      </c>
      <c r="AJ298" s="5" t="str">
        <f t="shared" si="57"/>
        <v>Thursday</v>
      </c>
    </row>
    <row r="299" spans="1:36" x14ac:dyDescent="0.3">
      <c r="A299" s="5" t="s">
        <v>333</v>
      </c>
      <c r="B299" s="6">
        <v>45629</v>
      </c>
      <c r="C299" s="7">
        <v>0.40972222222222221</v>
      </c>
      <c r="D299" s="5" t="s">
        <v>1836</v>
      </c>
      <c r="E299" s="5" t="s">
        <v>2124</v>
      </c>
      <c r="F299" s="5" t="s">
        <v>2240</v>
      </c>
      <c r="G299" s="5" t="s">
        <v>2255</v>
      </c>
      <c r="H299" s="5" t="s">
        <v>2260</v>
      </c>
      <c r="I299" s="5" t="s">
        <v>2260</v>
      </c>
      <c r="J299" s="5" t="s">
        <v>2265</v>
      </c>
      <c r="K299" s="8">
        <v>1</v>
      </c>
      <c r="L299" s="9">
        <v>185</v>
      </c>
      <c r="M299" s="10">
        <v>0.05</v>
      </c>
      <c r="N299" s="9">
        <f t="shared" si="58"/>
        <v>185</v>
      </c>
      <c r="O299" s="9">
        <f t="shared" si="48"/>
        <v>175.75</v>
      </c>
      <c r="P299" s="5" t="s">
        <v>2267</v>
      </c>
      <c r="Q299" s="5" t="s">
        <v>1761</v>
      </c>
      <c r="R299" s="5" t="s">
        <v>2277</v>
      </c>
      <c r="S299" s="5" t="s">
        <v>2283</v>
      </c>
      <c r="T299" s="5" t="s">
        <v>2288</v>
      </c>
      <c r="U299" s="8">
        <v>5</v>
      </c>
      <c r="V299" s="8">
        <v>80</v>
      </c>
      <c r="W299" s="8">
        <v>23</v>
      </c>
      <c r="X299" s="9">
        <v>102.28</v>
      </c>
      <c r="Y299" s="9">
        <f t="shared" si="49"/>
        <v>73.47</v>
      </c>
      <c r="Z299" s="5" t="s">
        <v>1761</v>
      </c>
      <c r="AA299" s="5" t="s">
        <v>2296</v>
      </c>
      <c r="AB299" s="9">
        <f t="shared" si="50"/>
        <v>185</v>
      </c>
      <c r="AC299" s="9">
        <f t="shared" si="51"/>
        <v>9.25</v>
      </c>
      <c r="AD299" s="9">
        <f t="shared" si="52"/>
        <v>175.75</v>
      </c>
      <c r="AE299" s="9">
        <f t="shared" si="53"/>
        <v>102.28</v>
      </c>
      <c r="AF299" s="9">
        <f t="shared" si="59"/>
        <v>73.47</v>
      </c>
      <c r="AG299" s="8">
        <f t="shared" si="54"/>
        <v>2024</v>
      </c>
      <c r="AH299" s="8">
        <f t="shared" si="55"/>
        <v>12</v>
      </c>
      <c r="AI299" s="5" t="str">
        <f t="shared" si="56"/>
        <v>Dec</v>
      </c>
      <c r="AJ299" s="5" t="str">
        <f t="shared" si="57"/>
        <v>Tuesday</v>
      </c>
    </row>
    <row r="300" spans="1:36" x14ac:dyDescent="0.3">
      <c r="A300" s="5" t="s">
        <v>334</v>
      </c>
      <c r="B300" s="6">
        <v>45557</v>
      </c>
      <c r="C300" s="7">
        <v>0.59722222222222221</v>
      </c>
      <c r="D300" s="5" t="s">
        <v>1785</v>
      </c>
      <c r="E300" s="5" t="s">
        <v>1977</v>
      </c>
      <c r="F300" s="5" t="s">
        <v>2239</v>
      </c>
      <c r="G300" s="5" t="s">
        <v>2242</v>
      </c>
      <c r="H300" s="5" t="s">
        <v>2258</v>
      </c>
      <c r="I300" s="5" t="s">
        <v>2260</v>
      </c>
      <c r="J300" s="5" t="s">
        <v>1761</v>
      </c>
      <c r="K300" s="8">
        <v>2</v>
      </c>
      <c r="L300" s="9">
        <v>115</v>
      </c>
      <c r="M300" s="10">
        <v>0.15</v>
      </c>
      <c r="N300" s="9">
        <f t="shared" si="58"/>
        <v>230</v>
      </c>
      <c r="O300" s="9">
        <f t="shared" si="48"/>
        <v>195.5</v>
      </c>
      <c r="P300" s="5" t="s">
        <v>2267</v>
      </c>
      <c r="Q300" s="5" t="s">
        <v>1761</v>
      </c>
      <c r="R300" s="5" t="s">
        <v>2274</v>
      </c>
      <c r="S300" s="5" t="s">
        <v>2282</v>
      </c>
      <c r="T300" s="5" t="s">
        <v>2288</v>
      </c>
      <c r="U300" s="8">
        <v>3</v>
      </c>
      <c r="V300" s="8">
        <v>141</v>
      </c>
      <c r="W300" s="8">
        <v>31</v>
      </c>
      <c r="X300" s="9">
        <v>55.57</v>
      </c>
      <c r="Y300" s="9">
        <f t="shared" si="49"/>
        <v>84.36</v>
      </c>
      <c r="Z300" s="5" t="s">
        <v>2293</v>
      </c>
      <c r="AA300" s="5" t="s">
        <v>2297</v>
      </c>
      <c r="AB300" s="9">
        <f t="shared" si="50"/>
        <v>230</v>
      </c>
      <c r="AC300" s="9">
        <f t="shared" si="51"/>
        <v>34.5</v>
      </c>
      <c r="AD300" s="9">
        <f t="shared" si="52"/>
        <v>195.5</v>
      </c>
      <c r="AE300" s="9">
        <f t="shared" si="53"/>
        <v>111.14</v>
      </c>
      <c r="AF300" s="9">
        <f t="shared" si="59"/>
        <v>84.36</v>
      </c>
      <c r="AG300" s="8">
        <f t="shared" si="54"/>
        <v>2024</v>
      </c>
      <c r="AH300" s="8">
        <f t="shared" si="55"/>
        <v>9</v>
      </c>
      <c r="AI300" s="5" t="str">
        <f t="shared" si="56"/>
        <v>Sep</v>
      </c>
      <c r="AJ300" s="5" t="str">
        <f t="shared" si="57"/>
        <v>Sunday</v>
      </c>
    </row>
    <row r="301" spans="1:36" x14ac:dyDescent="0.3">
      <c r="A301" s="5" t="s">
        <v>335</v>
      </c>
      <c r="B301" s="6">
        <v>45535</v>
      </c>
      <c r="C301" s="7">
        <v>0.64583333333333337</v>
      </c>
      <c r="D301" s="5" t="s">
        <v>1895</v>
      </c>
      <c r="E301" s="5" t="s">
        <v>2133</v>
      </c>
      <c r="F301" s="5" t="s">
        <v>2238</v>
      </c>
      <c r="G301" s="5" t="s">
        <v>2245</v>
      </c>
      <c r="H301" s="5" t="s">
        <v>2257</v>
      </c>
      <c r="I301" s="5" t="s">
        <v>2263</v>
      </c>
      <c r="J301" s="5" t="s">
        <v>2266</v>
      </c>
      <c r="K301" s="8">
        <v>1</v>
      </c>
      <c r="L301" s="9">
        <v>155</v>
      </c>
      <c r="M301" s="10">
        <v>0.05</v>
      </c>
      <c r="N301" s="9">
        <f t="shared" si="58"/>
        <v>155</v>
      </c>
      <c r="O301" s="9">
        <f t="shared" si="48"/>
        <v>147.25</v>
      </c>
      <c r="P301" s="5" t="s">
        <v>1761</v>
      </c>
      <c r="Q301" s="5" t="s">
        <v>2271</v>
      </c>
      <c r="R301" s="5" t="s">
        <v>2278</v>
      </c>
      <c r="S301" s="5" t="s">
        <v>2282</v>
      </c>
      <c r="T301" s="5" t="s">
        <v>2288</v>
      </c>
      <c r="U301" s="8">
        <v>4</v>
      </c>
      <c r="V301" s="8">
        <v>224</v>
      </c>
      <c r="W301" s="19">
        <v>37</v>
      </c>
      <c r="X301" s="9">
        <v>63.29</v>
      </c>
      <c r="Y301" s="9">
        <f t="shared" si="49"/>
        <v>83.960000000000008</v>
      </c>
      <c r="Z301" s="5" t="s">
        <v>2293</v>
      </c>
      <c r="AA301" s="5" t="s">
        <v>2298</v>
      </c>
      <c r="AB301" s="9">
        <f t="shared" si="50"/>
        <v>155</v>
      </c>
      <c r="AC301" s="9">
        <f t="shared" si="51"/>
        <v>7.75</v>
      </c>
      <c r="AD301" s="9">
        <f t="shared" si="52"/>
        <v>147.25</v>
      </c>
      <c r="AE301" s="9">
        <f t="shared" si="53"/>
        <v>63.29</v>
      </c>
      <c r="AF301" s="9">
        <f t="shared" si="59"/>
        <v>83.960000000000008</v>
      </c>
      <c r="AG301" s="8">
        <f t="shared" si="54"/>
        <v>2024</v>
      </c>
      <c r="AH301" s="8">
        <f t="shared" si="55"/>
        <v>8</v>
      </c>
      <c r="AI301" s="5" t="str">
        <f t="shared" si="56"/>
        <v>Aug</v>
      </c>
      <c r="AJ301" s="5" t="str">
        <f t="shared" si="57"/>
        <v>Saturday</v>
      </c>
    </row>
    <row r="302" spans="1:36" x14ac:dyDescent="0.3">
      <c r="A302" s="5" t="s">
        <v>336</v>
      </c>
      <c r="B302" s="6">
        <v>45408</v>
      </c>
      <c r="C302" s="7">
        <v>0.375</v>
      </c>
      <c r="D302" s="5" t="s">
        <v>1896</v>
      </c>
      <c r="E302" s="5" t="s">
        <v>2134</v>
      </c>
      <c r="F302" s="5" t="s">
        <v>2238</v>
      </c>
      <c r="G302" s="5" t="s">
        <v>2248</v>
      </c>
      <c r="H302" s="5" t="s">
        <v>2257</v>
      </c>
      <c r="I302" s="5" t="s">
        <v>2262</v>
      </c>
      <c r="J302" s="5" t="s">
        <v>2265</v>
      </c>
      <c r="K302" s="8">
        <v>1</v>
      </c>
      <c r="L302" s="9">
        <v>145</v>
      </c>
      <c r="M302" s="10">
        <v>0</v>
      </c>
      <c r="N302" s="9">
        <f t="shared" si="58"/>
        <v>145</v>
      </c>
      <c r="O302" s="9">
        <f t="shared" si="48"/>
        <v>145</v>
      </c>
      <c r="P302" s="5" t="s">
        <v>2269</v>
      </c>
      <c r="Q302" s="5" t="s">
        <v>2270</v>
      </c>
      <c r="R302" s="5" t="s">
        <v>2277</v>
      </c>
      <c r="S302" s="5" t="s">
        <v>2282</v>
      </c>
      <c r="T302" s="5" t="s">
        <v>2288</v>
      </c>
      <c r="U302" s="8">
        <v>5</v>
      </c>
      <c r="V302" s="8">
        <v>144</v>
      </c>
      <c r="W302" s="19">
        <v>34</v>
      </c>
      <c r="X302" s="9">
        <v>84.86</v>
      </c>
      <c r="Y302" s="9">
        <f t="shared" si="49"/>
        <v>60.14</v>
      </c>
      <c r="Z302" s="5" t="s">
        <v>1761</v>
      </c>
      <c r="AA302" s="5" t="s">
        <v>2297</v>
      </c>
      <c r="AB302" s="9">
        <f t="shared" si="50"/>
        <v>145</v>
      </c>
      <c r="AC302" s="9">
        <f t="shared" si="51"/>
        <v>0</v>
      </c>
      <c r="AD302" s="9">
        <f t="shared" si="52"/>
        <v>145</v>
      </c>
      <c r="AE302" s="9">
        <f t="shared" si="53"/>
        <v>84.86</v>
      </c>
      <c r="AF302" s="9">
        <f t="shared" si="59"/>
        <v>60.14</v>
      </c>
      <c r="AG302" s="8">
        <f t="shared" si="54"/>
        <v>2024</v>
      </c>
      <c r="AH302" s="8">
        <f t="shared" si="55"/>
        <v>4</v>
      </c>
      <c r="AI302" s="5" t="str">
        <f t="shared" si="56"/>
        <v>Apr</v>
      </c>
      <c r="AJ302" s="5" t="str">
        <f t="shared" si="57"/>
        <v>Friday</v>
      </c>
    </row>
    <row r="303" spans="1:36" x14ac:dyDescent="0.3">
      <c r="A303" s="5" t="s">
        <v>337</v>
      </c>
      <c r="B303" s="6">
        <v>45455</v>
      </c>
      <c r="C303" s="7">
        <v>0.53472222222222221</v>
      </c>
      <c r="D303" s="5" t="s">
        <v>1850</v>
      </c>
      <c r="E303" s="5" t="s">
        <v>1945</v>
      </c>
      <c r="F303" s="5" t="s">
        <v>2240</v>
      </c>
      <c r="G303" s="5" t="s">
        <v>2247</v>
      </c>
      <c r="H303" s="5" t="s">
        <v>2257</v>
      </c>
      <c r="I303" s="5" t="s">
        <v>2262</v>
      </c>
      <c r="J303" s="5" t="s">
        <v>2264</v>
      </c>
      <c r="K303" s="8">
        <v>1</v>
      </c>
      <c r="L303" s="9">
        <v>110</v>
      </c>
      <c r="M303" s="10">
        <v>0.1</v>
      </c>
      <c r="N303" s="9">
        <f t="shared" si="58"/>
        <v>110</v>
      </c>
      <c r="O303" s="9">
        <f t="shared" si="48"/>
        <v>99</v>
      </c>
      <c r="P303" s="5" t="s">
        <v>2269</v>
      </c>
      <c r="Q303" s="5" t="s">
        <v>2270</v>
      </c>
      <c r="R303" s="5" t="s">
        <v>2277</v>
      </c>
      <c r="S303" s="5" t="s">
        <v>2285</v>
      </c>
      <c r="T303" s="5" t="s">
        <v>2288</v>
      </c>
      <c r="U303" s="8">
        <v>3</v>
      </c>
      <c r="V303" s="8">
        <v>382</v>
      </c>
      <c r="W303" s="8">
        <v>45</v>
      </c>
      <c r="X303" s="9">
        <v>35.29</v>
      </c>
      <c r="Y303" s="9">
        <f t="shared" si="49"/>
        <v>63.71</v>
      </c>
      <c r="Z303" s="5" t="s">
        <v>2293</v>
      </c>
      <c r="AA303" s="5" t="s">
        <v>2298</v>
      </c>
      <c r="AB303" s="9">
        <f t="shared" si="50"/>
        <v>110</v>
      </c>
      <c r="AC303" s="9">
        <f t="shared" si="51"/>
        <v>11</v>
      </c>
      <c r="AD303" s="9">
        <f t="shared" si="52"/>
        <v>99</v>
      </c>
      <c r="AE303" s="9">
        <f t="shared" si="53"/>
        <v>35.29</v>
      </c>
      <c r="AF303" s="9">
        <f t="shared" si="59"/>
        <v>63.71</v>
      </c>
      <c r="AG303" s="8">
        <f t="shared" si="54"/>
        <v>2024</v>
      </c>
      <c r="AH303" s="8">
        <f t="shared" si="55"/>
        <v>6</v>
      </c>
      <c r="AI303" s="5" t="str">
        <f t="shared" si="56"/>
        <v>Jun</v>
      </c>
      <c r="AJ303" s="5" t="str">
        <f t="shared" si="57"/>
        <v>Wednesday</v>
      </c>
    </row>
    <row r="304" spans="1:36" x14ac:dyDescent="0.3">
      <c r="A304" s="5" t="s">
        <v>338</v>
      </c>
      <c r="B304" s="6">
        <v>45483</v>
      </c>
      <c r="C304" s="7">
        <v>0.2986111111111111</v>
      </c>
      <c r="D304" s="5" t="s">
        <v>1842</v>
      </c>
      <c r="E304" s="5" t="s">
        <v>2135</v>
      </c>
      <c r="F304" s="5" t="s">
        <v>1761</v>
      </c>
      <c r="G304" s="5" t="s">
        <v>2250</v>
      </c>
      <c r="H304" s="5" t="s">
        <v>2259</v>
      </c>
      <c r="I304" s="5" t="s">
        <v>2262</v>
      </c>
      <c r="J304" s="5" t="s">
        <v>2266</v>
      </c>
      <c r="K304" s="8">
        <v>2</v>
      </c>
      <c r="L304" s="9">
        <v>80</v>
      </c>
      <c r="M304" s="10">
        <v>0.15</v>
      </c>
      <c r="N304" s="9">
        <f t="shared" si="58"/>
        <v>160</v>
      </c>
      <c r="O304" s="9">
        <f t="shared" si="48"/>
        <v>136</v>
      </c>
      <c r="P304" s="5" t="s">
        <v>2269</v>
      </c>
      <c r="Q304" s="5" t="s">
        <v>2271</v>
      </c>
      <c r="R304" s="5" t="s">
        <v>2277</v>
      </c>
      <c r="S304" s="5" t="s">
        <v>2287</v>
      </c>
      <c r="T304" s="5" t="s">
        <v>2290</v>
      </c>
      <c r="U304" s="8">
        <v>2</v>
      </c>
      <c r="V304" s="8">
        <v>51</v>
      </c>
      <c r="W304" s="8">
        <v>55</v>
      </c>
      <c r="X304" s="9">
        <v>33.979999999999997</v>
      </c>
      <c r="Y304" s="9">
        <f t="shared" si="49"/>
        <v>68.040000000000006</v>
      </c>
      <c r="Z304" s="5" t="s">
        <v>2293</v>
      </c>
      <c r="AA304" s="5" t="s">
        <v>2299</v>
      </c>
      <c r="AB304" s="9">
        <f t="shared" si="50"/>
        <v>160</v>
      </c>
      <c r="AC304" s="9">
        <f t="shared" si="51"/>
        <v>24</v>
      </c>
      <c r="AD304" s="9">
        <f t="shared" si="52"/>
        <v>136</v>
      </c>
      <c r="AE304" s="9">
        <f t="shared" si="53"/>
        <v>67.959999999999994</v>
      </c>
      <c r="AF304" s="9">
        <f t="shared" si="59"/>
        <v>68.040000000000006</v>
      </c>
      <c r="AG304" s="8">
        <f t="shared" si="54"/>
        <v>2024</v>
      </c>
      <c r="AH304" s="8">
        <f t="shared" si="55"/>
        <v>7</v>
      </c>
      <c r="AI304" s="5" t="str">
        <f t="shared" si="56"/>
        <v>Jul</v>
      </c>
      <c r="AJ304" s="5" t="str">
        <f t="shared" si="57"/>
        <v>Wednesday</v>
      </c>
    </row>
    <row r="305" spans="1:36" x14ac:dyDescent="0.3">
      <c r="A305" s="5" t="s">
        <v>339</v>
      </c>
      <c r="B305" s="6">
        <v>45414</v>
      </c>
      <c r="C305" s="7">
        <v>0.44791666666666669</v>
      </c>
      <c r="D305" s="5" t="s">
        <v>1877</v>
      </c>
      <c r="E305" s="5" t="s">
        <v>2040</v>
      </c>
      <c r="F305" s="5" t="s">
        <v>2239</v>
      </c>
      <c r="G305" s="5" t="s">
        <v>2241</v>
      </c>
      <c r="H305" s="5" t="s">
        <v>2257</v>
      </c>
      <c r="I305" s="5" t="s">
        <v>2262</v>
      </c>
      <c r="J305" s="5" t="s">
        <v>2265</v>
      </c>
      <c r="K305" s="8">
        <v>2</v>
      </c>
      <c r="L305" s="9">
        <v>140</v>
      </c>
      <c r="M305" s="10">
        <v>0</v>
      </c>
      <c r="N305" s="9">
        <f t="shared" si="58"/>
        <v>280</v>
      </c>
      <c r="O305" s="9">
        <f t="shared" si="48"/>
        <v>280</v>
      </c>
      <c r="P305" s="5" t="s">
        <v>2268</v>
      </c>
      <c r="Q305" s="5" t="s">
        <v>2271</v>
      </c>
      <c r="R305" s="5" t="s">
        <v>2275</v>
      </c>
      <c r="S305" s="5" t="s">
        <v>2287</v>
      </c>
      <c r="T305" s="5" t="s">
        <v>2289</v>
      </c>
      <c r="U305" s="8">
        <v>1</v>
      </c>
      <c r="V305" s="8">
        <v>47</v>
      </c>
      <c r="W305" s="19">
        <v>37</v>
      </c>
      <c r="X305" s="9">
        <v>68.290000000000006</v>
      </c>
      <c r="Y305" s="9">
        <f t="shared" si="49"/>
        <v>143.41999999999999</v>
      </c>
      <c r="Z305" s="5" t="s">
        <v>2294</v>
      </c>
      <c r="AA305" s="5" t="s">
        <v>2299</v>
      </c>
      <c r="AB305" s="9">
        <f t="shared" si="50"/>
        <v>280</v>
      </c>
      <c r="AC305" s="9">
        <f t="shared" si="51"/>
        <v>0</v>
      </c>
      <c r="AD305" s="9">
        <f t="shared" si="52"/>
        <v>280</v>
      </c>
      <c r="AE305" s="9">
        <f t="shared" si="53"/>
        <v>136.58000000000001</v>
      </c>
      <c r="AF305" s="9">
        <f t="shared" si="59"/>
        <v>143.41999999999999</v>
      </c>
      <c r="AG305" s="8">
        <f t="shared" si="54"/>
        <v>2024</v>
      </c>
      <c r="AH305" s="8">
        <f t="shared" si="55"/>
        <v>5</v>
      </c>
      <c r="AI305" s="5" t="str">
        <f t="shared" si="56"/>
        <v>May</v>
      </c>
      <c r="AJ305" s="5" t="str">
        <f t="shared" si="57"/>
        <v>Thursday</v>
      </c>
    </row>
    <row r="306" spans="1:36" x14ac:dyDescent="0.3">
      <c r="A306" s="5" t="s">
        <v>340</v>
      </c>
      <c r="B306" s="6">
        <v>45508</v>
      </c>
      <c r="C306" s="7">
        <v>0.58333333333333337</v>
      </c>
      <c r="D306" s="5" t="s">
        <v>1897</v>
      </c>
      <c r="E306" s="5" t="s">
        <v>2136</v>
      </c>
      <c r="F306" s="5" t="s">
        <v>2240</v>
      </c>
      <c r="G306" s="5" t="s">
        <v>2255</v>
      </c>
      <c r="H306" s="5" t="s">
        <v>2260</v>
      </c>
      <c r="I306" s="5" t="s">
        <v>2260</v>
      </c>
      <c r="J306" s="5" t="s">
        <v>1761</v>
      </c>
      <c r="K306" s="8">
        <v>2</v>
      </c>
      <c r="L306" s="9">
        <v>175</v>
      </c>
      <c r="M306" s="10">
        <v>0</v>
      </c>
      <c r="N306" s="9">
        <f t="shared" si="58"/>
        <v>350</v>
      </c>
      <c r="O306" s="9">
        <f t="shared" si="48"/>
        <v>350</v>
      </c>
      <c r="P306" s="5" t="s">
        <v>1761</v>
      </c>
      <c r="Q306" s="5" t="s">
        <v>2272</v>
      </c>
      <c r="R306" s="5" t="s">
        <v>2276</v>
      </c>
      <c r="S306" s="5" t="s">
        <v>2281</v>
      </c>
      <c r="T306" s="5" t="s">
        <v>2288</v>
      </c>
      <c r="U306" s="8">
        <v>4</v>
      </c>
      <c r="V306" s="8">
        <v>359</v>
      </c>
      <c r="W306" s="8">
        <v>34</v>
      </c>
      <c r="X306" s="9">
        <v>105.66</v>
      </c>
      <c r="Y306" s="9">
        <f t="shared" si="49"/>
        <v>138.68</v>
      </c>
      <c r="Z306" s="5" t="s">
        <v>2292</v>
      </c>
      <c r="AA306" s="5" t="s">
        <v>2299</v>
      </c>
      <c r="AB306" s="9">
        <f t="shared" si="50"/>
        <v>350</v>
      </c>
      <c r="AC306" s="9">
        <f t="shared" si="51"/>
        <v>0</v>
      </c>
      <c r="AD306" s="9">
        <f t="shared" si="52"/>
        <v>350</v>
      </c>
      <c r="AE306" s="9">
        <f t="shared" si="53"/>
        <v>211.32</v>
      </c>
      <c r="AF306" s="9">
        <f t="shared" si="59"/>
        <v>138.68</v>
      </c>
      <c r="AG306" s="8">
        <f t="shared" si="54"/>
        <v>2024</v>
      </c>
      <c r="AH306" s="8">
        <f t="shared" si="55"/>
        <v>8</v>
      </c>
      <c r="AI306" s="5" t="str">
        <f t="shared" si="56"/>
        <v>Aug</v>
      </c>
      <c r="AJ306" s="5" t="str">
        <f t="shared" si="57"/>
        <v>Sunday</v>
      </c>
    </row>
    <row r="307" spans="1:36" x14ac:dyDescent="0.3">
      <c r="A307" s="5" t="s">
        <v>341</v>
      </c>
      <c r="B307" s="6">
        <v>45621</v>
      </c>
      <c r="C307" s="7">
        <v>0.44791666666666669</v>
      </c>
      <c r="D307" s="5" t="s">
        <v>1780</v>
      </c>
      <c r="E307" s="5" t="s">
        <v>2010</v>
      </c>
      <c r="F307" s="5" t="s">
        <v>2239</v>
      </c>
      <c r="G307" s="5" t="s">
        <v>2244</v>
      </c>
      <c r="H307" s="5" t="s">
        <v>2257</v>
      </c>
      <c r="I307" s="5" t="s">
        <v>2262</v>
      </c>
      <c r="J307" s="5" t="s">
        <v>2264</v>
      </c>
      <c r="K307" s="8">
        <v>1</v>
      </c>
      <c r="L307" s="9">
        <v>120</v>
      </c>
      <c r="M307" s="10">
        <v>0</v>
      </c>
      <c r="N307" s="9">
        <f t="shared" si="58"/>
        <v>120</v>
      </c>
      <c r="O307" s="9">
        <f t="shared" si="48"/>
        <v>120</v>
      </c>
      <c r="P307" s="5" t="s">
        <v>2268</v>
      </c>
      <c r="Q307" s="5" t="s">
        <v>2272</v>
      </c>
      <c r="R307" s="5" t="s">
        <v>2275</v>
      </c>
      <c r="S307" s="5" t="s">
        <v>2280</v>
      </c>
      <c r="T307" s="5" t="s">
        <v>2288</v>
      </c>
      <c r="U307" s="8">
        <v>5</v>
      </c>
      <c r="V307" s="8">
        <v>399</v>
      </c>
      <c r="W307" s="8">
        <v>58</v>
      </c>
      <c r="X307" s="9">
        <v>56.7</v>
      </c>
      <c r="Y307" s="9">
        <f t="shared" si="49"/>
        <v>63.3</v>
      </c>
      <c r="Z307" s="5" t="s">
        <v>2292</v>
      </c>
      <c r="AA307" s="5" t="s">
        <v>2298</v>
      </c>
      <c r="AB307" s="9">
        <f t="shared" si="50"/>
        <v>120</v>
      </c>
      <c r="AC307" s="9">
        <f t="shared" si="51"/>
        <v>0</v>
      </c>
      <c r="AD307" s="9">
        <f t="shared" si="52"/>
        <v>120</v>
      </c>
      <c r="AE307" s="9">
        <f t="shared" si="53"/>
        <v>56.7</v>
      </c>
      <c r="AF307" s="9">
        <f t="shared" si="59"/>
        <v>63.3</v>
      </c>
      <c r="AG307" s="8">
        <f t="shared" si="54"/>
        <v>2024</v>
      </c>
      <c r="AH307" s="8">
        <f t="shared" si="55"/>
        <v>11</v>
      </c>
      <c r="AI307" s="5" t="str">
        <f t="shared" si="56"/>
        <v>Nov</v>
      </c>
      <c r="AJ307" s="5" t="str">
        <f t="shared" si="57"/>
        <v>Monday</v>
      </c>
    </row>
    <row r="308" spans="1:36" x14ac:dyDescent="0.3">
      <c r="A308" s="5" t="s">
        <v>342</v>
      </c>
      <c r="B308" s="6">
        <v>45543</v>
      </c>
      <c r="C308" s="7">
        <v>0.59722222222222221</v>
      </c>
      <c r="D308" s="5" t="s">
        <v>1898</v>
      </c>
      <c r="E308" s="5" t="s">
        <v>2021</v>
      </c>
      <c r="F308" s="5" t="s">
        <v>2238</v>
      </c>
      <c r="G308" s="5" t="s">
        <v>2242</v>
      </c>
      <c r="H308" s="5" t="s">
        <v>2258</v>
      </c>
      <c r="I308" s="5" t="s">
        <v>2260</v>
      </c>
      <c r="J308" s="5" t="s">
        <v>2264</v>
      </c>
      <c r="K308" s="8">
        <v>1</v>
      </c>
      <c r="L308" s="9">
        <v>125</v>
      </c>
      <c r="M308" s="10">
        <v>0</v>
      </c>
      <c r="N308" s="9">
        <f t="shared" si="58"/>
        <v>125</v>
      </c>
      <c r="O308" s="9">
        <f t="shared" si="48"/>
        <v>125</v>
      </c>
      <c r="P308" s="5" t="s">
        <v>2268</v>
      </c>
      <c r="Q308" s="5" t="s">
        <v>2270</v>
      </c>
      <c r="R308" s="5" t="s">
        <v>2276</v>
      </c>
      <c r="S308" s="5" t="s">
        <v>2282</v>
      </c>
      <c r="T308" s="5" t="s">
        <v>2288</v>
      </c>
      <c r="U308" s="8">
        <v>2</v>
      </c>
      <c r="V308" s="8">
        <v>294</v>
      </c>
      <c r="W308" s="8">
        <v>47</v>
      </c>
      <c r="X308" s="9">
        <v>47.41</v>
      </c>
      <c r="Y308" s="9">
        <f t="shared" si="49"/>
        <v>77.59</v>
      </c>
      <c r="Z308" s="5" t="s">
        <v>1761</v>
      </c>
      <c r="AA308" s="5" t="s">
        <v>1761</v>
      </c>
      <c r="AB308" s="9">
        <f t="shared" si="50"/>
        <v>125</v>
      </c>
      <c r="AC308" s="9">
        <f t="shared" si="51"/>
        <v>0</v>
      </c>
      <c r="AD308" s="9">
        <f t="shared" si="52"/>
        <v>125</v>
      </c>
      <c r="AE308" s="9">
        <f t="shared" si="53"/>
        <v>47.41</v>
      </c>
      <c r="AF308" s="9">
        <f t="shared" si="59"/>
        <v>77.59</v>
      </c>
      <c r="AG308" s="8">
        <f t="shared" si="54"/>
        <v>2024</v>
      </c>
      <c r="AH308" s="8">
        <f t="shared" si="55"/>
        <v>9</v>
      </c>
      <c r="AI308" s="5" t="str">
        <f t="shared" si="56"/>
        <v>Sep</v>
      </c>
      <c r="AJ308" s="5" t="str">
        <f t="shared" si="57"/>
        <v>Sunday</v>
      </c>
    </row>
    <row r="309" spans="1:36" x14ac:dyDescent="0.3">
      <c r="A309" s="5" t="s">
        <v>343</v>
      </c>
      <c r="B309" s="6">
        <v>45453</v>
      </c>
      <c r="C309" s="7">
        <v>0.84027777777777779</v>
      </c>
      <c r="D309" s="5" t="s">
        <v>1879</v>
      </c>
      <c r="E309" s="5" t="s">
        <v>1971</v>
      </c>
      <c r="F309" s="5" t="s">
        <v>2240</v>
      </c>
      <c r="G309" s="5" t="s">
        <v>2243</v>
      </c>
      <c r="H309" s="5" t="s">
        <v>2258</v>
      </c>
      <c r="I309" s="5" t="s">
        <v>2260</v>
      </c>
      <c r="J309" s="5" t="s">
        <v>2266</v>
      </c>
      <c r="K309" s="8">
        <v>1</v>
      </c>
      <c r="L309" s="9">
        <v>75</v>
      </c>
      <c r="M309" s="10">
        <v>0.15</v>
      </c>
      <c r="N309" s="9">
        <f t="shared" si="58"/>
        <v>75</v>
      </c>
      <c r="O309" s="9">
        <f t="shared" si="48"/>
        <v>63.75</v>
      </c>
      <c r="P309" s="5" t="s">
        <v>2267</v>
      </c>
      <c r="Q309" s="5" t="s">
        <v>2270</v>
      </c>
      <c r="R309" s="5" t="s">
        <v>2275</v>
      </c>
      <c r="S309" s="5" t="s">
        <v>2283</v>
      </c>
      <c r="T309" s="5" t="s">
        <v>2288</v>
      </c>
      <c r="U309" s="8">
        <v>2</v>
      </c>
      <c r="V309" s="8">
        <v>457</v>
      </c>
      <c r="W309" s="19">
        <v>34</v>
      </c>
      <c r="X309" s="9">
        <v>32.18</v>
      </c>
      <c r="Y309" s="9">
        <f t="shared" si="49"/>
        <v>31.57</v>
      </c>
      <c r="Z309" s="5" t="s">
        <v>1761</v>
      </c>
      <c r="AA309" s="5" t="s">
        <v>2296</v>
      </c>
      <c r="AB309" s="9">
        <f t="shared" si="50"/>
        <v>75</v>
      </c>
      <c r="AC309" s="9">
        <f t="shared" si="51"/>
        <v>11.25</v>
      </c>
      <c r="AD309" s="9">
        <f t="shared" si="52"/>
        <v>63.75</v>
      </c>
      <c r="AE309" s="9">
        <f t="shared" si="53"/>
        <v>32.18</v>
      </c>
      <c r="AF309" s="9">
        <f t="shared" si="59"/>
        <v>31.57</v>
      </c>
      <c r="AG309" s="8">
        <f t="shared" si="54"/>
        <v>2024</v>
      </c>
      <c r="AH309" s="8">
        <f t="shared" si="55"/>
        <v>6</v>
      </c>
      <c r="AI309" s="5" t="str">
        <f t="shared" si="56"/>
        <v>Jun</v>
      </c>
      <c r="AJ309" s="5" t="str">
        <f t="shared" si="57"/>
        <v>Monday</v>
      </c>
    </row>
    <row r="310" spans="1:36" x14ac:dyDescent="0.3">
      <c r="A310" s="5" t="s">
        <v>344</v>
      </c>
      <c r="B310" s="6">
        <v>45522</v>
      </c>
      <c r="C310" s="7">
        <v>0.76388888888888884</v>
      </c>
      <c r="D310" s="5" t="s">
        <v>1899</v>
      </c>
      <c r="E310" s="5" t="s">
        <v>1959</v>
      </c>
      <c r="F310" s="5" t="s">
        <v>2239</v>
      </c>
      <c r="G310" s="5" t="s">
        <v>2249</v>
      </c>
      <c r="H310" s="5" t="s">
        <v>2257</v>
      </c>
      <c r="I310" s="5" t="s">
        <v>2263</v>
      </c>
      <c r="J310" s="5" t="s">
        <v>2265</v>
      </c>
      <c r="K310" s="8">
        <v>3</v>
      </c>
      <c r="L310" s="9">
        <v>170</v>
      </c>
      <c r="M310" s="10">
        <v>0</v>
      </c>
      <c r="N310" s="9">
        <f t="shared" si="58"/>
        <v>510</v>
      </c>
      <c r="O310" s="9">
        <f t="shared" si="48"/>
        <v>510</v>
      </c>
      <c r="P310" s="5" t="s">
        <v>2267</v>
      </c>
      <c r="Q310" s="5" t="s">
        <v>2270</v>
      </c>
      <c r="R310" s="5" t="s">
        <v>2277</v>
      </c>
      <c r="S310" s="5" t="s">
        <v>2281</v>
      </c>
      <c r="T310" s="5" t="s">
        <v>2288</v>
      </c>
      <c r="U310" s="8">
        <v>5</v>
      </c>
      <c r="V310" s="8">
        <v>367</v>
      </c>
      <c r="W310" s="8">
        <v>20</v>
      </c>
      <c r="X310" s="9">
        <v>95.35</v>
      </c>
      <c r="Y310" s="9">
        <f t="shared" si="49"/>
        <v>223.95000000000005</v>
      </c>
      <c r="Z310" s="5" t="s">
        <v>2295</v>
      </c>
      <c r="AA310" s="5" t="s">
        <v>2299</v>
      </c>
      <c r="AB310" s="9">
        <f t="shared" si="50"/>
        <v>510</v>
      </c>
      <c r="AC310" s="9">
        <f t="shared" si="51"/>
        <v>0</v>
      </c>
      <c r="AD310" s="9">
        <f t="shared" si="52"/>
        <v>510</v>
      </c>
      <c r="AE310" s="9">
        <f t="shared" si="53"/>
        <v>286.04999999999995</v>
      </c>
      <c r="AF310" s="9">
        <f t="shared" si="59"/>
        <v>223.95000000000005</v>
      </c>
      <c r="AG310" s="8">
        <f t="shared" si="54"/>
        <v>2024</v>
      </c>
      <c r="AH310" s="8">
        <f t="shared" si="55"/>
        <v>8</v>
      </c>
      <c r="AI310" s="5" t="str">
        <f t="shared" si="56"/>
        <v>Aug</v>
      </c>
      <c r="AJ310" s="5" t="str">
        <f t="shared" si="57"/>
        <v>Sunday</v>
      </c>
    </row>
    <row r="311" spans="1:36" x14ac:dyDescent="0.3">
      <c r="A311" s="5" t="s">
        <v>345</v>
      </c>
      <c r="B311" s="6">
        <v>45645</v>
      </c>
      <c r="C311" s="7">
        <v>0.40625</v>
      </c>
      <c r="D311" s="5" t="s">
        <v>1776</v>
      </c>
      <c r="E311" s="5" t="s">
        <v>2087</v>
      </c>
      <c r="F311" s="5" t="s">
        <v>2238</v>
      </c>
      <c r="G311" s="5" t="s">
        <v>2254</v>
      </c>
      <c r="H311" s="5" t="s">
        <v>2259</v>
      </c>
      <c r="I311" s="5" t="s">
        <v>2263</v>
      </c>
      <c r="J311" s="5" t="s">
        <v>2264</v>
      </c>
      <c r="K311" s="8">
        <v>1</v>
      </c>
      <c r="L311" s="9">
        <v>110</v>
      </c>
      <c r="M311" s="10">
        <v>0.1</v>
      </c>
      <c r="N311" s="9">
        <f t="shared" si="58"/>
        <v>110</v>
      </c>
      <c r="O311" s="9">
        <f t="shared" si="48"/>
        <v>99</v>
      </c>
      <c r="P311" s="5" t="s">
        <v>2267</v>
      </c>
      <c r="Q311" s="5" t="s">
        <v>2270</v>
      </c>
      <c r="R311" s="5" t="s">
        <v>2276</v>
      </c>
      <c r="S311" s="5" t="s">
        <v>2281</v>
      </c>
      <c r="T311" s="5" t="s">
        <v>2288</v>
      </c>
      <c r="U311" s="8">
        <v>1</v>
      </c>
      <c r="V311" s="8">
        <v>303</v>
      </c>
      <c r="W311" s="8">
        <v>59</v>
      </c>
      <c r="X311" s="9">
        <v>62.45</v>
      </c>
      <c r="Y311" s="9">
        <f t="shared" si="49"/>
        <v>36.549999999999997</v>
      </c>
      <c r="Z311" s="5" t="s">
        <v>2291</v>
      </c>
      <c r="AA311" s="5" t="s">
        <v>2297</v>
      </c>
      <c r="AB311" s="9">
        <f t="shared" si="50"/>
        <v>110</v>
      </c>
      <c r="AC311" s="9">
        <f t="shared" si="51"/>
        <v>11</v>
      </c>
      <c r="AD311" s="9">
        <f t="shared" si="52"/>
        <v>99</v>
      </c>
      <c r="AE311" s="9">
        <f t="shared" si="53"/>
        <v>62.45</v>
      </c>
      <c r="AF311" s="9">
        <f t="shared" si="59"/>
        <v>36.549999999999997</v>
      </c>
      <c r="AG311" s="8">
        <f t="shared" si="54"/>
        <v>2024</v>
      </c>
      <c r="AH311" s="8">
        <f t="shared" si="55"/>
        <v>12</v>
      </c>
      <c r="AI311" s="5" t="str">
        <f t="shared" si="56"/>
        <v>Dec</v>
      </c>
      <c r="AJ311" s="5" t="str">
        <f t="shared" si="57"/>
        <v>Thursday</v>
      </c>
    </row>
    <row r="312" spans="1:36" x14ac:dyDescent="0.3">
      <c r="A312" s="5" t="s">
        <v>346</v>
      </c>
      <c r="B312" s="6">
        <v>45461</v>
      </c>
      <c r="C312" s="7">
        <v>0.72916666666666663</v>
      </c>
      <c r="D312" s="5" t="s">
        <v>1892</v>
      </c>
      <c r="E312" s="5" t="s">
        <v>2097</v>
      </c>
      <c r="F312" s="5" t="s">
        <v>2239</v>
      </c>
      <c r="G312" s="5" t="s">
        <v>2255</v>
      </c>
      <c r="H312" s="5" t="s">
        <v>2260</v>
      </c>
      <c r="I312" s="5" t="s">
        <v>2260</v>
      </c>
      <c r="J312" s="5" t="s">
        <v>2266</v>
      </c>
      <c r="K312" s="8">
        <v>4</v>
      </c>
      <c r="L312" s="9">
        <v>180</v>
      </c>
      <c r="M312" s="10">
        <v>0.05</v>
      </c>
      <c r="N312" s="9">
        <f t="shared" si="58"/>
        <v>720</v>
      </c>
      <c r="O312" s="9">
        <f t="shared" si="48"/>
        <v>684</v>
      </c>
      <c r="P312" s="5" t="s">
        <v>2269</v>
      </c>
      <c r="Q312" s="5" t="s">
        <v>2271</v>
      </c>
      <c r="R312" s="5" t="s">
        <v>2279</v>
      </c>
      <c r="S312" s="5" t="s">
        <v>2284</v>
      </c>
      <c r="T312" s="5" t="s">
        <v>2288</v>
      </c>
      <c r="U312" s="8">
        <v>3</v>
      </c>
      <c r="V312" s="8">
        <v>9</v>
      </c>
      <c r="W312" s="8">
        <v>15</v>
      </c>
      <c r="X312" s="9">
        <v>98.59</v>
      </c>
      <c r="Y312" s="9">
        <f t="shared" si="49"/>
        <v>289.64</v>
      </c>
      <c r="Z312" s="5" t="s">
        <v>2294</v>
      </c>
      <c r="AA312" s="5" t="s">
        <v>2299</v>
      </c>
      <c r="AB312" s="9">
        <f t="shared" si="50"/>
        <v>720</v>
      </c>
      <c r="AC312" s="9">
        <f t="shared" si="51"/>
        <v>36</v>
      </c>
      <c r="AD312" s="9">
        <f t="shared" si="52"/>
        <v>684</v>
      </c>
      <c r="AE312" s="9">
        <f t="shared" si="53"/>
        <v>394.36</v>
      </c>
      <c r="AF312" s="9">
        <f t="shared" si="59"/>
        <v>289.64</v>
      </c>
      <c r="AG312" s="8">
        <f t="shared" si="54"/>
        <v>2024</v>
      </c>
      <c r="AH312" s="8">
        <f t="shared" si="55"/>
        <v>6</v>
      </c>
      <c r="AI312" s="5" t="str">
        <f t="shared" si="56"/>
        <v>Jun</v>
      </c>
      <c r="AJ312" s="5" t="str">
        <f t="shared" si="57"/>
        <v>Tuesday</v>
      </c>
    </row>
    <row r="313" spans="1:36" x14ac:dyDescent="0.3">
      <c r="A313" s="5" t="s">
        <v>347</v>
      </c>
      <c r="B313" s="6">
        <v>45650</v>
      </c>
      <c r="C313" s="7">
        <v>0.79861111111111116</v>
      </c>
      <c r="D313" s="5" t="s">
        <v>1860</v>
      </c>
      <c r="E313" s="5" t="s">
        <v>2137</v>
      </c>
      <c r="F313" s="5" t="s">
        <v>2240</v>
      </c>
      <c r="G313" s="5" t="s">
        <v>2252</v>
      </c>
      <c r="H313" s="5" t="s">
        <v>2257</v>
      </c>
      <c r="I313" s="5" t="s">
        <v>2262</v>
      </c>
      <c r="J313" s="5" t="s">
        <v>2264</v>
      </c>
      <c r="K313" s="8">
        <v>2</v>
      </c>
      <c r="L313" s="9">
        <v>85</v>
      </c>
      <c r="M313" s="10">
        <v>0.05</v>
      </c>
      <c r="N313" s="9">
        <f t="shared" si="58"/>
        <v>170</v>
      </c>
      <c r="O313" s="9">
        <f t="shared" si="48"/>
        <v>161.5</v>
      </c>
      <c r="P313" s="5" t="s">
        <v>2267</v>
      </c>
      <c r="Q313" s="5" t="s">
        <v>2271</v>
      </c>
      <c r="R313" s="5" t="s">
        <v>2279</v>
      </c>
      <c r="S313" s="5" t="s">
        <v>2281</v>
      </c>
      <c r="T313" s="5" t="s">
        <v>2288</v>
      </c>
      <c r="U313" s="8">
        <v>4</v>
      </c>
      <c r="V313" s="8">
        <v>455</v>
      </c>
      <c r="W313" s="19">
        <v>37</v>
      </c>
      <c r="X313" s="9">
        <v>47.46</v>
      </c>
      <c r="Y313" s="9">
        <f t="shared" si="49"/>
        <v>66.58</v>
      </c>
      <c r="Z313" s="5" t="s">
        <v>2292</v>
      </c>
      <c r="AA313" s="5" t="s">
        <v>2297</v>
      </c>
      <c r="AB313" s="9">
        <f t="shared" si="50"/>
        <v>170</v>
      </c>
      <c r="AC313" s="9">
        <f t="shared" si="51"/>
        <v>8.5</v>
      </c>
      <c r="AD313" s="9">
        <f t="shared" si="52"/>
        <v>161.5</v>
      </c>
      <c r="AE313" s="9">
        <f t="shared" si="53"/>
        <v>94.92</v>
      </c>
      <c r="AF313" s="9">
        <f t="shared" si="59"/>
        <v>66.58</v>
      </c>
      <c r="AG313" s="8">
        <f t="shared" si="54"/>
        <v>2024</v>
      </c>
      <c r="AH313" s="8">
        <f t="shared" si="55"/>
        <v>12</v>
      </c>
      <c r="AI313" s="5" t="str">
        <f t="shared" si="56"/>
        <v>Dec</v>
      </c>
      <c r="AJ313" s="5" t="str">
        <f t="shared" si="57"/>
        <v>Tuesday</v>
      </c>
    </row>
    <row r="314" spans="1:36" x14ac:dyDescent="0.3">
      <c r="A314" s="5" t="s">
        <v>348</v>
      </c>
      <c r="B314" s="6">
        <v>45313</v>
      </c>
      <c r="C314" s="7">
        <v>0.76388888888888884</v>
      </c>
      <c r="D314" s="5" t="s">
        <v>1777</v>
      </c>
      <c r="E314" s="5" t="s">
        <v>2115</v>
      </c>
      <c r="F314" s="5" t="s">
        <v>2240</v>
      </c>
      <c r="G314" s="5" t="s">
        <v>2241</v>
      </c>
      <c r="H314" s="5" t="s">
        <v>2257</v>
      </c>
      <c r="I314" s="5" t="s">
        <v>2262</v>
      </c>
      <c r="J314" s="5" t="s">
        <v>2266</v>
      </c>
      <c r="K314" s="8">
        <v>2</v>
      </c>
      <c r="L314" s="9">
        <v>130</v>
      </c>
      <c r="M314" s="10">
        <v>0.15</v>
      </c>
      <c r="N314" s="9">
        <f t="shared" si="58"/>
        <v>260</v>
      </c>
      <c r="O314" s="9">
        <f t="shared" si="48"/>
        <v>221</v>
      </c>
      <c r="P314" s="5" t="s">
        <v>2268</v>
      </c>
      <c r="Q314" s="5" t="s">
        <v>2272</v>
      </c>
      <c r="R314" s="5" t="s">
        <v>2278</v>
      </c>
      <c r="S314" s="5" t="s">
        <v>2283</v>
      </c>
      <c r="T314" s="5" t="s">
        <v>2288</v>
      </c>
      <c r="U314" s="8">
        <v>1</v>
      </c>
      <c r="V314" s="8">
        <v>370</v>
      </c>
      <c r="W314" s="8">
        <v>15</v>
      </c>
      <c r="X314" s="9">
        <v>46.31</v>
      </c>
      <c r="Y314" s="9">
        <f t="shared" si="49"/>
        <v>128.38</v>
      </c>
      <c r="Z314" s="5" t="s">
        <v>2292</v>
      </c>
      <c r="AA314" s="5" t="s">
        <v>2297</v>
      </c>
      <c r="AB314" s="9">
        <f t="shared" si="50"/>
        <v>260</v>
      </c>
      <c r="AC314" s="9">
        <f t="shared" si="51"/>
        <v>39</v>
      </c>
      <c r="AD314" s="9">
        <f t="shared" si="52"/>
        <v>221</v>
      </c>
      <c r="AE314" s="9">
        <f t="shared" si="53"/>
        <v>92.62</v>
      </c>
      <c r="AF314" s="9">
        <f t="shared" si="59"/>
        <v>128.38</v>
      </c>
      <c r="AG314" s="8">
        <f t="shared" si="54"/>
        <v>2024</v>
      </c>
      <c r="AH314" s="8">
        <f t="shared" si="55"/>
        <v>1</v>
      </c>
      <c r="AI314" s="5" t="str">
        <f t="shared" si="56"/>
        <v>Jan</v>
      </c>
      <c r="AJ314" s="5" t="str">
        <f t="shared" si="57"/>
        <v>Monday</v>
      </c>
    </row>
    <row r="315" spans="1:36" x14ac:dyDescent="0.3">
      <c r="A315" s="5" t="s">
        <v>349</v>
      </c>
      <c r="B315" s="6">
        <v>45487</v>
      </c>
      <c r="C315" s="7">
        <v>0.86458333333333337</v>
      </c>
      <c r="D315" s="5" t="s">
        <v>1900</v>
      </c>
      <c r="E315" s="5" t="s">
        <v>2093</v>
      </c>
      <c r="F315" s="5" t="s">
        <v>2239</v>
      </c>
      <c r="G315" s="5" t="s">
        <v>2243</v>
      </c>
      <c r="H315" s="5" t="s">
        <v>2258</v>
      </c>
      <c r="I315" s="5" t="s">
        <v>2260</v>
      </c>
      <c r="J315" s="5" t="s">
        <v>2264</v>
      </c>
      <c r="K315" s="8">
        <v>1</v>
      </c>
      <c r="L315" s="9">
        <v>80</v>
      </c>
      <c r="M315" s="10">
        <v>0.1</v>
      </c>
      <c r="N315" s="9">
        <f t="shared" si="58"/>
        <v>80</v>
      </c>
      <c r="O315" s="9">
        <f t="shared" si="48"/>
        <v>72</v>
      </c>
      <c r="P315" s="5" t="s">
        <v>1761</v>
      </c>
      <c r="Q315" s="5" t="s">
        <v>2270</v>
      </c>
      <c r="R315" s="5" t="s">
        <v>2277</v>
      </c>
      <c r="S315" s="5" t="s">
        <v>2286</v>
      </c>
      <c r="T315" s="5" t="s">
        <v>2289</v>
      </c>
      <c r="U315" s="8">
        <v>5</v>
      </c>
      <c r="V315" s="8">
        <v>407</v>
      </c>
      <c r="W315" s="8">
        <v>35</v>
      </c>
      <c r="X315" s="9">
        <v>27.55</v>
      </c>
      <c r="Y315" s="9">
        <f t="shared" si="49"/>
        <v>44.45</v>
      </c>
      <c r="Z315" s="5" t="s">
        <v>2294</v>
      </c>
      <c r="AA315" s="5" t="s">
        <v>2299</v>
      </c>
      <c r="AB315" s="9">
        <f t="shared" si="50"/>
        <v>80</v>
      </c>
      <c r="AC315" s="9">
        <f t="shared" si="51"/>
        <v>8</v>
      </c>
      <c r="AD315" s="9">
        <f t="shared" si="52"/>
        <v>72</v>
      </c>
      <c r="AE315" s="9">
        <f t="shared" si="53"/>
        <v>27.55</v>
      </c>
      <c r="AF315" s="9">
        <f t="shared" si="59"/>
        <v>44.45</v>
      </c>
      <c r="AG315" s="8">
        <f t="shared" si="54"/>
        <v>2024</v>
      </c>
      <c r="AH315" s="8">
        <f t="shared" si="55"/>
        <v>7</v>
      </c>
      <c r="AI315" s="5" t="str">
        <f t="shared" si="56"/>
        <v>Jul</v>
      </c>
      <c r="AJ315" s="5" t="str">
        <f t="shared" si="57"/>
        <v>Sunday</v>
      </c>
    </row>
    <row r="316" spans="1:36" x14ac:dyDescent="0.3">
      <c r="A316" s="5" t="s">
        <v>350</v>
      </c>
      <c r="B316" s="6">
        <v>45610</v>
      </c>
      <c r="C316" s="7">
        <v>0.42708333333333331</v>
      </c>
      <c r="D316" s="5" t="s">
        <v>1749</v>
      </c>
      <c r="E316" s="5" t="s">
        <v>2019</v>
      </c>
      <c r="F316" s="5" t="s">
        <v>1761</v>
      </c>
      <c r="G316" s="5" t="s">
        <v>2249</v>
      </c>
      <c r="H316" s="5" t="s">
        <v>2257</v>
      </c>
      <c r="I316" s="5" t="s">
        <v>2263</v>
      </c>
      <c r="J316" s="5" t="s">
        <v>2264</v>
      </c>
      <c r="K316" s="19">
        <v>1</v>
      </c>
      <c r="L316" s="9">
        <v>165</v>
      </c>
      <c r="M316" s="10">
        <v>0</v>
      </c>
      <c r="N316" s="9">
        <f t="shared" si="58"/>
        <v>165</v>
      </c>
      <c r="O316" s="9">
        <f t="shared" si="48"/>
        <v>165</v>
      </c>
      <c r="P316" s="5" t="s">
        <v>2269</v>
      </c>
      <c r="Q316" s="5" t="s">
        <v>2271</v>
      </c>
      <c r="R316" s="5" t="s">
        <v>2279</v>
      </c>
      <c r="S316" s="5" t="s">
        <v>2287</v>
      </c>
      <c r="T316" s="5" t="s">
        <v>2288</v>
      </c>
      <c r="U316" s="8">
        <v>2</v>
      </c>
      <c r="V316" s="8">
        <v>154</v>
      </c>
      <c r="W316" s="8">
        <v>40</v>
      </c>
      <c r="X316" s="9">
        <v>82.2</v>
      </c>
      <c r="Y316" s="9">
        <f t="shared" si="49"/>
        <v>82.8</v>
      </c>
      <c r="Z316" s="5" t="s">
        <v>2293</v>
      </c>
      <c r="AA316" s="5" t="s">
        <v>2296</v>
      </c>
      <c r="AB316" s="9">
        <f t="shared" si="50"/>
        <v>165</v>
      </c>
      <c r="AC316" s="9">
        <f t="shared" si="51"/>
        <v>0</v>
      </c>
      <c r="AD316" s="9">
        <f t="shared" si="52"/>
        <v>165</v>
      </c>
      <c r="AE316" s="9">
        <f t="shared" si="53"/>
        <v>82.2</v>
      </c>
      <c r="AF316" s="9">
        <f t="shared" si="59"/>
        <v>82.8</v>
      </c>
      <c r="AG316" s="8">
        <f t="shared" si="54"/>
        <v>2024</v>
      </c>
      <c r="AH316" s="8">
        <f t="shared" si="55"/>
        <v>11</v>
      </c>
      <c r="AI316" s="5" t="str">
        <f t="shared" si="56"/>
        <v>Nov</v>
      </c>
      <c r="AJ316" s="5" t="str">
        <f t="shared" si="57"/>
        <v>Thursday</v>
      </c>
    </row>
    <row r="317" spans="1:36" x14ac:dyDescent="0.3">
      <c r="A317" s="5" t="s">
        <v>351</v>
      </c>
      <c r="B317" s="6">
        <v>45570</v>
      </c>
      <c r="C317" s="7">
        <v>0.34027777777777779</v>
      </c>
      <c r="D317" s="5" t="s">
        <v>1802</v>
      </c>
      <c r="E317" s="5" t="s">
        <v>2020</v>
      </c>
      <c r="F317" s="5" t="s">
        <v>1761</v>
      </c>
      <c r="G317" s="5" t="s">
        <v>2246</v>
      </c>
      <c r="H317" s="5" t="s">
        <v>2259</v>
      </c>
      <c r="I317" s="5" t="s">
        <v>2262</v>
      </c>
      <c r="J317" s="5" t="s">
        <v>2264</v>
      </c>
      <c r="K317" s="8">
        <v>1</v>
      </c>
      <c r="L317" s="9">
        <v>95</v>
      </c>
      <c r="M317" s="10">
        <v>0.05</v>
      </c>
      <c r="N317" s="9">
        <f t="shared" si="58"/>
        <v>95</v>
      </c>
      <c r="O317" s="9">
        <f t="shared" si="48"/>
        <v>90.25</v>
      </c>
      <c r="P317" s="5" t="s">
        <v>1761</v>
      </c>
      <c r="Q317" s="5" t="s">
        <v>1761</v>
      </c>
      <c r="R317" s="5" t="s">
        <v>2278</v>
      </c>
      <c r="S317" s="5" t="s">
        <v>2286</v>
      </c>
      <c r="T317" s="5" t="s">
        <v>2289</v>
      </c>
      <c r="U317" s="8">
        <v>4</v>
      </c>
      <c r="V317" s="8">
        <v>112</v>
      </c>
      <c r="W317" s="8">
        <v>56</v>
      </c>
      <c r="X317" s="9">
        <v>38.840000000000003</v>
      </c>
      <c r="Y317" s="9">
        <f t="shared" si="49"/>
        <v>51.41</v>
      </c>
      <c r="Z317" s="5" t="s">
        <v>2293</v>
      </c>
      <c r="AA317" s="5" t="s">
        <v>2296</v>
      </c>
      <c r="AB317" s="9">
        <f t="shared" si="50"/>
        <v>95</v>
      </c>
      <c r="AC317" s="9">
        <f t="shared" si="51"/>
        <v>4.75</v>
      </c>
      <c r="AD317" s="9">
        <f t="shared" si="52"/>
        <v>90.25</v>
      </c>
      <c r="AE317" s="9">
        <f t="shared" si="53"/>
        <v>38.840000000000003</v>
      </c>
      <c r="AF317" s="9">
        <f t="shared" si="59"/>
        <v>51.41</v>
      </c>
      <c r="AG317" s="8">
        <f t="shared" si="54"/>
        <v>2024</v>
      </c>
      <c r="AH317" s="8">
        <f t="shared" si="55"/>
        <v>10</v>
      </c>
      <c r="AI317" s="5" t="str">
        <f t="shared" si="56"/>
        <v>Oct</v>
      </c>
      <c r="AJ317" s="5" t="str">
        <f t="shared" si="57"/>
        <v>Saturday</v>
      </c>
    </row>
    <row r="318" spans="1:36" x14ac:dyDescent="0.3">
      <c r="A318" s="5" t="s">
        <v>352</v>
      </c>
      <c r="B318" s="6">
        <v>45480</v>
      </c>
      <c r="C318" s="7">
        <v>0.47916666666666669</v>
      </c>
      <c r="D318" s="5" t="s">
        <v>1782</v>
      </c>
      <c r="E318" s="5" t="s">
        <v>2053</v>
      </c>
      <c r="F318" s="5" t="s">
        <v>2238</v>
      </c>
      <c r="G318" s="5" t="s">
        <v>2249</v>
      </c>
      <c r="H318" s="5" t="s">
        <v>2257</v>
      </c>
      <c r="I318" s="5" t="s">
        <v>2263</v>
      </c>
      <c r="J318" s="5" t="s">
        <v>2265</v>
      </c>
      <c r="K318" s="8">
        <v>3</v>
      </c>
      <c r="L318" s="9">
        <v>160</v>
      </c>
      <c r="M318" s="10">
        <v>0.1</v>
      </c>
      <c r="N318" s="9">
        <f t="shared" si="58"/>
        <v>480</v>
      </c>
      <c r="O318" s="9">
        <f t="shared" si="48"/>
        <v>432</v>
      </c>
      <c r="P318" s="5" t="s">
        <v>2269</v>
      </c>
      <c r="Q318" s="5" t="s">
        <v>1761</v>
      </c>
      <c r="R318" s="5" t="s">
        <v>2279</v>
      </c>
      <c r="S318" s="5" t="s">
        <v>2283</v>
      </c>
      <c r="T318" s="5" t="s">
        <v>2290</v>
      </c>
      <c r="U318" s="8">
        <v>3</v>
      </c>
      <c r="V318" s="8">
        <v>242</v>
      </c>
      <c r="W318" s="19">
        <v>36</v>
      </c>
      <c r="X318" s="9">
        <v>69.790000000000006</v>
      </c>
      <c r="Y318" s="9">
        <f t="shared" si="49"/>
        <v>222.63</v>
      </c>
      <c r="Z318" s="5" t="s">
        <v>2292</v>
      </c>
      <c r="AA318" s="5" t="s">
        <v>2296</v>
      </c>
      <c r="AB318" s="9">
        <f t="shared" si="50"/>
        <v>480</v>
      </c>
      <c r="AC318" s="9">
        <f t="shared" si="51"/>
        <v>48</v>
      </c>
      <c r="AD318" s="9">
        <f t="shared" si="52"/>
        <v>432</v>
      </c>
      <c r="AE318" s="9">
        <f t="shared" si="53"/>
        <v>209.37</v>
      </c>
      <c r="AF318" s="9">
        <f t="shared" si="59"/>
        <v>222.63</v>
      </c>
      <c r="AG318" s="8">
        <f t="shared" si="54"/>
        <v>2024</v>
      </c>
      <c r="AH318" s="8">
        <f t="shared" si="55"/>
        <v>7</v>
      </c>
      <c r="AI318" s="5" t="str">
        <f t="shared" si="56"/>
        <v>Jul</v>
      </c>
      <c r="AJ318" s="5" t="str">
        <f t="shared" si="57"/>
        <v>Sunday</v>
      </c>
    </row>
    <row r="319" spans="1:36" x14ac:dyDescent="0.3">
      <c r="A319" s="5" t="s">
        <v>353</v>
      </c>
      <c r="B319" s="6">
        <v>45501</v>
      </c>
      <c r="C319" s="7">
        <v>0.58333333333333337</v>
      </c>
      <c r="D319" s="5" t="s">
        <v>1901</v>
      </c>
      <c r="E319" s="5" t="s">
        <v>2045</v>
      </c>
      <c r="F319" s="5" t="s">
        <v>1761</v>
      </c>
      <c r="G319" s="5" t="s">
        <v>2256</v>
      </c>
      <c r="H319" s="5" t="s">
        <v>2261</v>
      </c>
      <c r="I319" s="5" t="s">
        <v>2260</v>
      </c>
      <c r="J319" s="5" t="s">
        <v>2266</v>
      </c>
      <c r="K319" s="8">
        <v>1</v>
      </c>
      <c r="L319" s="9">
        <v>195</v>
      </c>
      <c r="M319" s="10">
        <v>0.05</v>
      </c>
      <c r="N319" s="9">
        <f t="shared" si="58"/>
        <v>195</v>
      </c>
      <c r="O319" s="9">
        <f t="shared" si="48"/>
        <v>185.25</v>
      </c>
      <c r="P319" s="5" t="s">
        <v>2268</v>
      </c>
      <c r="Q319" s="5" t="s">
        <v>2272</v>
      </c>
      <c r="R319" s="5" t="s">
        <v>2274</v>
      </c>
      <c r="S319" s="5" t="s">
        <v>2281</v>
      </c>
      <c r="T319" s="5" t="s">
        <v>2288</v>
      </c>
      <c r="U319" s="8">
        <v>5</v>
      </c>
      <c r="V319" s="8">
        <v>457</v>
      </c>
      <c r="W319" s="8">
        <v>38</v>
      </c>
      <c r="X319" s="9">
        <v>86.83</v>
      </c>
      <c r="Y319" s="9">
        <f t="shared" si="49"/>
        <v>98.42</v>
      </c>
      <c r="Z319" s="5" t="s">
        <v>1761</v>
      </c>
      <c r="AA319" s="5" t="s">
        <v>2297</v>
      </c>
      <c r="AB319" s="9">
        <f t="shared" si="50"/>
        <v>195</v>
      </c>
      <c r="AC319" s="9">
        <f t="shared" si="51"/>
        <v>9.75</v>
      </c>
      <c r="AD319" s="9">
        <f t="shared" si="52"/>
        <v>185.25</v>
      </c>
      <c r="AE319" s="9">
        <f t="shared" si="53"/>
        <v>86.83</v>
      </c>
      <c r="AF319" s="9">
        <f t="shared" si="59"/>
        <v>98.42</v>
      </c>
      <c r="AG319" s="8">
        <f t="shared" si="54"/>
        <v>2024</v>
      </c>
      <c r="AH319" s="8">
        <f t="shared" si="55"/>
        <v>7</v>
      </c>
      <c r="AI319" s="5" t="str">
        <f t="shared" si="56"/>
        <v>Jul</v>
      </c>
      <c r="AJ319" s="5" t="str">
        <f t="shared" si="57"/>
        <v>Sunday</v>
      </c>
    </row>
    <row r="320" spans="1:36" x14ac:dyDescent="0.3">
      <c r="A320" s="5" t="s">
        <v>354</v>
      </c>
      <c r="B320" s="6">
        <v>45601</v>
      </c>
      <c r="C320" s="7">
        <v>0.90972222222222221</v>
      </c>
      <c r="D320" s="5" t="s">
        <v>1761</v>
      </c>
      <c r="E320" s="5" t="s">
        <v>2138</v>
      </c>
      <c r="F320" s="5" t="s">
        <v>1761</v>
      </c>
      <c r="G320" s="5" t="s">
        <v>2246</v>
      </c>
      <c r="H320" s="5" t="s">
        <v>2259</v>
      </c>
      <c r="I320" s="5" t="s">
        <v>2262</v>
      </c>
      <c r="J320" s="5" t="s">
        <v>2265</v>
      </c>
      <c r="K320" s="8">
        <v>1</v>
      </c>
      <c r="L320" s="9">
        <v>105</v>
      </c>
      <c r="M320" s="10">
        <v>0</v>
      </c>
      <c r="N320" s="9">
        <f t="shared" si="58"/>
        <v>105</v>
      </c>
      <c r="O320" s="9">
        <f t="shared" si="48"/>
        <v>105</v>
      </c>
      <c r="P320" s="5" t="s">
        <v>2269</v>
      </c>
      <c r="Q320" s="5" t="s">
        <v>2271</v>
      </c>
      <c r="R320" s="5" t="s">
        <v>2277</v>
      </c>
      <c r="S320" s="5" t="s">
        <v>2285</v>
      </c>
      <c r="T320" s="5" t="s">
        <v>2288</v>
      </c>
      <c r="U320" s="19">
        <v>3</v>
      </c>
      <c r="V320" s="8">
        <v>369</v>
      </c>
      <c r="W320" s="8">
        <v>21</v>
      </c>
      <c r="X320" s="9">
        <v>50.74</v>
      </c>
      <c r="Y320" s="9">
        <f t="shared" si="49"/>
        <v>54.26</v>
      </c>
      <c r="Z320" s="5" t="s">
        <v>1761</v>
      </c>
      <c r="AA320" s="5" t="s">
        <v>1761</v>
      </c>
      <c r="AB320" s="9">
        <f t="shared" si="50"/>
        <v>105</v>
      </c>
      <c r="AC320" s="9">
        <f t="shared" si="51"/>
        <v>0</v>
      </c>
      <c r="AD320" s="9">
        <f t="shared" si="52"/>
        <v>105</v>
      </c>
      <c r="AE320" s="9">
        <f t="shared" si="53"/>
        <v>50.74</v>
      </c>
      <c r="AF320" s="9">
        <f t="shared" si="59"/>
        <v>54.26</v>
      </c>
      <c r="AG320" s="8">
        <f t="shared" si="54"/>
        <v>2024</v>
      </c>
      <c r="AH320" s="8">
        <f t="shared" si="55"/>
        <v>11</v>
      </c>
      <c r="AI320" s="5" t="str">
        <f t="shared" si="56"/>
        <v>Nov</v>
      </c>
      <c r="AJ320" s="5" t="str">
        <f t="shared" si="57"/>
        <v>Tuesday</v>
      </c>
    </row>
    <row r="321" spans="1:36" x14ac:dyDescent="0.3">
      <c r="A321" s="5" t="s">
        <v>355</v>
      </c>
      <c r="B321" s="6">
        <v>45564</v>
      </c>
      <c r="C321" s="7">
        <v>0.84027777777777779</v>
      </c>
      <c r="D321" s="5" t="s">
        <v>1807</v>
      </c>
      <c r="E321" s="5" t="s">
        <v>2055</v>
      </c>
      <c r="F321" s="5" t="s">
        <v>2240</v>
      </c>
      <c r="G321" s="5" t="s">
        <v>2244</v>
      </c>
      <c r="H321" s="5" t="s">
        <v>2257</v>
      </c>
      <c r="I321" s="5" t="s">
        <v>2262</v>
      </c>
      <c r="J321" s="5" t="s">
        <v>2264</v>
      </c>
      <c r="K321" s="8">
        <v>1</v>
      </c>
      <c r="L321" s="9">
        <v>120</v>
      </c>
      <c r="M321" s="10">
        <v>0.05</v>
      </c>
      <c r="N321" s="9">
        <f t="shared" si="58"/>
        <v>120</v>
      </c>
      <c r="O321" s="9">
        <f t="shared" si="48"/>
        <v>114</v>
      </c>
      <c r="P321" s="5" t="s">
        <v>2269</v>
      </c>
      <c r="Q321" s="5" t="s">
        <v>2272</v>
      </c>
      <c r="R321" s="5" t="s">
        <v>2274</v>
      </c>
      <c r="S321" s="5" t="s">
        <v>2282</v>
      </c>
      <c r="T321" s="5" t="s">
        <v>2289</v>
      </c>
      <c r="U321" s="8">
        <v>5</v>
      </c>
      <c r="V321" s="8">
        <v>302</v>
      </c>
      <c r="W321" s="8">
        <v>14</v>
      </c>
      <c r="X321" s="9">
        <v>60.43</v>
      </c>
      <c r="Y321" s="9">
        <f t="shared" si="49"/>
        <v>53.57</v>
      </c>
      <c r="Z321" s="5" t="s">
        <v>1761</v>
      </c>
      <c r="AA321" s="5" t="s">
        <v>2299</v>
      </c>
      <c r="AB321" s="9">
        <f t="shared" si="50"/>
        <v>120</v>
      </c>
      <c r="AC321" s="9">
        <f t="shared" si="51"/>
        <v>6</v>
      </c>
      <c r="AD321" s="9">
        <f t="shared" si="52"/>
        <v>114</v>
      </c>
      <c r="AE321" s="9">
        <f t="shared" si="53"/>
        <v>60.43</v>
      </c>
      <c r="AF321" s="9">
        <f t="shared" si="59"/>
        <v>53.57</v>
      </c>
      <c r="AG321" s="8">
        <f t="shared" si="54"/>
        <v>2024</v>
      </c>
      <c r="AH321" s="8">
        <f t="shared" si="55"/>
        <v>9</v>
      </c>
      <c r="AI321" s="5" t="str">
        <f t="shared" si="56"/>
        <v>Sep</v>
      </c>
      <c r="AJ321" s="5" t="str">
        <f t="shared" si="57"/>
        <v>Sunday</v>
      </c>
    </row>
    <row r="322" spans="1:36" x14ac:dyDescent="0.3">
      <c r="A322" s="5" t="s">
        <v>356</v>
      </c>
      <c r="B322" s="6">
        <v>45583</v>
      </c>
      <c r="C322" s="7">
        <v>0.88888888888888884</v>
      </c>
      <c r="D322" s="5" t="s">
        <v>1882</v>
      </c>
      <c r="E322" s="5" t="s">
        <v>1990</v>
      </c>
      <c r="F322" s="5" t="s">
        <v>2239</v>
      </c>
      <c r="G322" s="5" t="s">
        <v>2253</v>
      </c>
      <c r="H322" s="5" t="s">
        <v>2258</v>
      </c>
      <c r="I322" s="5" t="s">
        <v>2260</v>
      </c>
      <c r="J322" s="5" t="s">
        <v>1761</v>
      </c>
      <c r="K322" s="8">
        <v>1</v>
      </c>
      <c r="L322" s="9">
        <v>90</v>
      </c>
      <c r="M322" s="10">
        <v>0</v>
      </c>
      <c r="N322" s="9">
        <f t="shared" si="58"/>
        <v>90</v>
      </c>
      <c r="O322" s="9">
        <f t="shared" ref="O322:O385" si="60">IF(N322="","",N322*(1-IF(M322="",0,M322)))</f>
        <v>90</v>
      </c>
      <c r="P322" s="5" t="s">
        <v>2269</v>
      </c>
      <c r="Q322" s="5" t="s">
        <v>2271</v>
      </c>
      <c r="R322" s="5" t="s">
        <v>2273</v>
      </c>
      <c r="S322" s="5" t="s">
        <v>2283</v>
      </c>
      <c r="T322" s="5" t="s">
        <v>2289</v>
      </c>
      <c r="U322" s="19">
        <v>3</v>
      </c>
      <c r="V322" s="8">
        <v>132</v>
      </c>
      <c r="W322" s="8">
        <v>13</v>
      </c>
      <c r="X322" s="9">
        <v>34.83</v>
      </c>
      <c r="Y322" s="9">
        <f t="shared" ref="Y322:Y385" si="61">IF(OR(O322="",K322="",X322=""),"",O322-K322*X322)</f>
        <v>55.17</v>
      </c>
      <c r="Z322" s="5" t="s">
        <v>1761</v>
      </c>
      <c r="AA322" s="5" t="s">
        <v>2298</v>
      </c>
      <c r="AB322" s="9">
        <f t="shared" ref="AB322:AB385" si="62">N322</f>
        <v>90</v>
      </c>
      <c r="AC322" s="9">
        <f t="shared" ref="AC322:AC385" si="63">IF(N322="","",N322*IF(M322="",0,M322))</f>
        <v>0</v>
      </c>
      <c r="AD322" s="9">
        <f t="shared" ref="AD322:AD385" si="64">O322</f>
        <v>90</v>
      </c>
      <c r="AE322" s="9">
        <f t="shared" ref="AE322:AE385" si="65">IF(OR(K322="",X322=""),"",K322*X322)</f>
        <v>34.83</v>
      </c>
      <c r="AF322" s="9">
        <f t="shared" si="59"/>
        <v>55.17</v>
      </c>
      <c r="AG322" s="8">
        <f t="shared" ref="AG322:AG385" si="66">IF(B322="","",YEAR(B322))</f>
        <v>2024</v>
      </c>
      <c r="AH322" s="8">
        <f t="shared" ref="AH322:AH385" si="67">IF(B322="","",MONTH(B322))</f>
        <v>10</v>
      </c>
      <c r="AI322" s="5" t="str">
        <f t="shared" ref="AI322:AI385" si="68">IF(B322="","",TEXT(B322,"mmm"))</f>
        <v>Oct</v>
      </c>
      <c r="AJ322" s="5" t="str">
        <f t="shared" ref="AJ322:AJ385" si="69">IF(B322="","",TEXT(B322,"dddd"))</f>
        <v>Friday</v>
      </c>
    </row>
    <row r="323" spans="1:36" x14ac:dyDescent="0.3">
      <c r="A323" s="5" t="s">
        <v>357</v>
      </c>
      <c r="B323" s="6">
        <v>45436</v>
      </c>
      <c r="C323" s="7">
        <v>0.48958333333333331</v>
      </c>
      <c r="D323" s="5" t="s">
        <v>1789</v>
      </c>
      <c r="E323" s="5" t="s">
        <v>1984</v>
      </c>
      <c r="F323" s="5" t="s">
        <v>2238</v>
      </c>
      <c r="G323" s="5" t="s">
        <v>2254</v>
      </c>
      <c r="H323" s="5" t="s">
        <v>2259</v>
      </c>
      <c r="I323" s="5" t="s">
        <v>2263</v>
      </c>
      <c r="J323" s="5" t="s">
        <v>2266</v>
      </c>
      <c r="K323" s="8">
        <v>2</v>
      </c>
      <c r="L323" s="9">
        <v>110</v>
      </c>
      <c r="M323" s="10">
        <v>0.1</v>
      </c>
      <c r="N323" s="9">
        <f t="shared" ref="N323:N386" si="70">IFERROR(K323*L323,"")</f>
        <v>220</v>
      </c>
      <c r="O323" s="9">
        <f t="shared" si="60"/>
        <v>198</v>
      </c>
      <c r="P323" s="5" t="s">
        <v>2267</v>
      </c>
      <c r="Q323" s="5" t="s">
        <v>2270</v>
      </c>
      <c r="R323" s="5" t="s">
        <v>2273</v>
      </c>
      <c r="S323" s="5" t="s">
        <v>2282</v>
      </c>
      <c r="T323" s="5" t="s">
        <v>2288</v>
      </c>
      <c r="U323" s="8">
        <v>5</v>
      </c>
      <c r="V323" s="8">
        <v>265</v>
      </c>
      <c r="W323" s="8">
        <v>32</v>
      </c>
      <c r="X323" s="9">
        <v>48.36</v>
      </c>
      <c r="Y323" s="9">
        <f t="shared" si="61"/>
        <v>101.28</v>
      </c>
      <c r="Z323" s="5" t="s">
        <v>1761</v>
      </c>
      <c r="AA323" s="5" t="s">
        <v>2296</v>
      </c>
      <c r="AB323" s="9">
        <f t="shared" si="62"/>
        <v>220</v>
      </c>
      <c r="AC323" s="9">
        <f t="shared" si="63"/>
        <v>22</v>
      </c>
      <c r="AD323" s="9">
        <f t="shared" si="64"/>
        <v>198</v>
      </c>
      <c r="AE323" s="9">
        <f t="shared" si="65"/>
        <v>96.72</v>
      </c>
      <c r="AF323" s="9">
        <f t="shared" ref="AF323:AF386" si="71">Y323</f>
        <v>101.28</v>
      </c>
      <c r="AG323" s="8">
        <f t="shared" si="66"/>
        <v>2024</v>
      </c>
      <c r="AH323" s="8">
        <f t="shared" si="67"/>
        <v>5</v>
      </c>
      <c r="AI323" s="5" t="str">
        <f t="shared" si="68"/>
        <v>May</v>
      </c>
      <c r="AJ323" s="5" t="str">
        <f t="shared" si="69"/>
        <v>Friday</v>
      </c>
    </row>
    <row r="324" spans="1:36" x14ac:dyDescent="0.3">
      <c r="A324" s="5" t="s">
        <v>358</v>
      </c>
      <c r="B324" s="6">
        <v>45567</v>
      </c>
      <c r="C324" s="7">
        <v>0.38194444444444442</v>
      </c>
      <c r="D324" s="5" t="s">
        <v>1895</v>
      </c>
      <c r="E324" s="5" t="s">
        <v>1991</v>
      </c>
      <c r="F324" s="5" t="s">
        <v>2239</v>
      </c>
      <c r="G324" s="5" t="s">
        <v>2255</v>
      </c>
      <c r="H324" s="5" t="s">
        <v>2260</v>
      </c>
      <c r="I324" s="5" t="s">
        <v>2260</v>
      </c>
      <c r="J324" s="5" t="s">
        <v>2264</v>
      </c>
      <c r="K324" s="8">
        <v>1</v>
      </c>
      <c r="L324" s="9">
        <v>180</v>
      </c>
      <c r="M324" s="10">
        <v>0.1</v>
      </c>
      <c r="N324" s="9">
        <f t="shared" si="70"/>
        <v>180</v>
      </c>
      <c r="O324" s="9">
        <f t="shared" si="60"/>
        <v>162</v>
      </c>
      <c r="P324" s="5" t="s">
        <v>2269</v>
      </c>
      <c r="Q324" s="5" t="s">
        <v>2270</v>
      </c>
      <c r="R324" s="5" t="s">
        <v>2277</v>
      </c>
      <c r="S324" s="5" t="s">
        <v>2282</v>
      </c>
      <c r="T324" s="5" t="s">
        <v>2288</v>
      </c>
      <c r="U324" s="8">
        <v>2</v>
      </c>
      <c r="V324" s="8">
        <v>39</v>
      </c>
      <c r="W324" s="8">
        <v>47</v>
      </c>
      <c r="X324" s="9">
        <v>82.47</v>
      </c>
      <c r="Y324" s="9">
        <f t="shared" si="61"/>
        <v>79.53</v>
      </c>
      <c r="Z324" s="5" t="s">
        <v>1761</v>
      </c>
      <c r="AA324" s="5" t="s">
        <v>2299</v>
      </c>
      <c r="AB324" s="9">
        <f t="shared" si="62"/>
        <v>180</v>
      </c>
      <c r="AC324" s="9">
        <f t="shared" si="63"/>
        <v>18</v>
      </c>
      <c r="AD324" s="9">
        <f t="shared" si="64"/>
        <v>162</v>
      </c>
      <c r="AE324" s="9">
        <f t="shared" si="65"/>
        <v>82.47</v>
      </c>
      <c r="AF324" s="9">
        <f t="shared" si="71"/>
        <v>79.53</v>
      </c>
      <c r="AG324" s="8">
        <f t="shared" si="66"/>
        <v>2024</v>
      </c>
      <c r="AH324" s="8">
        <f t="shared" si="67"/>
        <v>10</v>
      </c>
      <c r="AI324" s="5" t="str">
        <f t="shared" si="68"/>
        <v>Oct</v>
      </c>
      <c r="AJ324" s="5" t="str">
        <f t="shared" si="69"/>
        <v>Wednesday</v>
      </c>
    </row>
    <row r="325" spans="1:36" x14ac:dyDescent="0.3">
      <c r="A325" s="5" t="s">
        <v>359</v>
      </c>
      <c r="B325" s="6">
        <v>45409</v>
      </c>
      <c r="C325" s="7">
        <v>0.72222222222222221</v>
      </c>
      <c r="D325" s="5" t="s">
        <v>1851</v>
      </c>
      <c r="E325" s="5" t="s">
        <v>2139</v>
      </c>
      <c r="F325" s="5" t="s">
        <v>2240</v>
      </c>
      <c r="G325" s="5" t="s">
        <v>2255</v>
      </c>
      <c r="H325" s="5" t="s">
        <v>2260</v>
      </c>
      <c r="I325" s="5" t="s">
        <v>2260</v>
      </c>
      <c r="J325" s="5" t="s">
        <v>2264</v>
      </c>
      <c r="K325" s="8">
        <v>2</v>
      </c>
      <c r="L325" s="9">
        <v>185</v>
      </c>
      <c r="M325" s="10">
        <v>0.05</v>
      </c>
      <c r="N325" s="9">
        <f t="shared" si="70"/>
        <v>370</v>
      </c>
      <c r="O325" s="9">
        <f t="shared" si="60"/>
        <v>351.5</v>
      </c>
      <c r="P325" s="5" t="s">
        <v>2268</v>
      </c>
      <c r="Q325" s="5" t="s">
        <v>2271</v>
      </c>
      <c r="R325" s="5" t="s">
        <v>2278</v>
      </c>
      <c r="S325" s="5" t="s">
        <v>2283</v>
      </c>
      <c r="T325" s="5" t="s">
        <v>2288</v>
      </c>
      <c r="U325" s="8">
        <v>2</v>
      </c>
      <c r="V325" s="19">
        <v>244</v>
      </c>
      <c r="W325" s="8">
        <v>53</v>
      </c>
      <c r="X325" s="9">
        <v>86.44</v>
      </c>
      <c r="Y325" s="9">
        <f t="shared" si="61"/>
        <v>178.62</v>
      </c>
      <c r="Z325" s="5" t="s">
        <v>2294</v>
      </c>
      <c r="AA325" s="5" t="s">
        <v>1761</v>
      </c>
      <c r="AB325" s="9">
        <f t="shared" si="62"/>
        <v>370</v>
      </c>
      <c r="AC325" s="9">
        <f t="shared" si="63"/>
        <v>18.5</v>
      </c>
      <c r="AD325" s="9">
        <f t="shared" si="64"/>
        <v>351.5</v>
      </c>
      <c r="AE325" s="9">
        <f t="shared" si="65"/>
        <v>172.88</v>
      </c>
      <c r="AF325" s="9">
        <f t="shared" si="71"/>
        <v>178.62</v>
      </c>
      <c r="AG325" s="8">
        <f t="shared" si="66"/>
        <v>2024</v>
      </c>
      <c r="AH325" s="8">
        <f t="shared" si="67"/>
        <v>4</v>
      </c>
      <c r="AI325" s="5" t="str">
        <f t="shared" si="68"/>
        <v>Apr</v>
      </c>
      <c r="AJ325" s="5" t="str">
        <f t="shared" si="69"/>
        <v>Saturday</v>
      </c>
    </row>
    <row r="326" spans="1:36" x14ac:dyDescent="0.3">
      <c r="A326" s="5" t="s">
        <v>360</v>
      </c>
      <c r="B326" s="6">
        <v>45364</v>
      </c>
      <c r="C326" s="7">
        <v>0.8125</v>
      </c>
      <c r="D326" s="5" t="s">
        <v>1782</v>
      </c>
      <c r="E326" s="5" t="s">
        <v>2006</v>
      </c>
      <c r="F326" s="5" t="s">
        <v>2240</v>
      </c>
      <c r="G326" s="5" t="s">
        <v>2253</v>
      </c>
      <c r="H326" s="5" t="s">
        <v>2258</v>
      </c>
      <c r="I326" s="5" t="s">
        <v>2260</v>
      </c>
      <c r="J326" s="5" t="s">
        <v>2266</v>
      </c>
      <c r="K326" s="8">
        <v>1</v>
      </c>
      <c r="L326" s="9">
        <v>100</v>
      </c>
      <c r="M326" s="10">
        <v>0.15</v>
      </c>
      <c r="N326" s="9">
        <f t="shared" si="70"/>
        <v>100</v>
      </c>
      <c r="O326" s="9">
        <f t="shared" si="60"/>
        <v>85</v>
      </c>
      <c r="P326" s="5" t="s">
        <v>2267</v>
      </c>
      <c r="Q326" s="5" t="s">
        <v>2272</v>
      </c>
      <c r="R326" s="5" t="s">
        <v>2273</v>
      </c>
      <c r="S326" s="5" t="s">
        <v>2280</v>
      </c>
      <c r="T326" s="5" t="s">
        <v>2288</v>
      </c>
      <c r="U326" s="8">
        <v>3</v>
      </c>
      <c r="V326" s="8">
        <v>470</v>
      </c>
      <c r="W326" s="8">
        <v>34</v>
      </c>
      <c r="X326" s="9">
        <v>42.43</v>
      </c>
      <c r="Y326" s="9">
        <f t="shared" si="61"/>
        <v>42.57</v>
      </c>
      <c r="Z326" s="5" t="s">
        <v>2291</v>
      </c>
      <c r="AA326" s="5" t="s">
        <v>2297</v>
      </c>
      <c r="AB326" s="9">
        <f t="shared" si="62"/>
        <v>100</v>
      </c>
      <c r="AC326" s="9">
        <f t="shared" si="63"/>
        <v>15</v>
      </c>
      <c r="AD326" s="9">
        <f t="shared" si="64"/>
        <v>85</v>
      </c>
      <c r="AE326" s="9">
        <f t="shared" si="65"/>
        <v>42.43</v>
      </c>
      <c r="AF326" s="9">
        <f t="shared" si="71"/>
        <v>42.57</v>
      </c>
      <c r="AG326" s="8">
        <f t="shared" si="66"/>
        <v>2024</v>
      </c>
      <c r="AH326" s="8">
        <f t="shared" si="67"/>
        <v>3</v>
      </c>
      <c r="AI326" s="5" t="str">
        <f t="shared" si="68"/>
        <v>Mar</v>
      </c>
      <c r="AJ326" s="5" t="str">
        <f t="shared" si="69"/>
        <v>Wednesday</v>
      </c>
    </row>
    <row r="327" spans="1:36" x14ac:dyDescent="0.3">
      <c r="A327" s="5" t="s">
        <v>361</v>
      </c>
      <c r="B327" s="6">
        <v>45512</v>
      </c>
      <c r="C327" s="7">
        <v>0.57291666666666663</v>
      </c>
      <c r="D327" s="5" t="s">
        <v>1832</v>
      </c>
      <c r="E327" s="5" t="s">
        <v>1972</v>
      </c>
      <c r="F327" s="5" t="s">
        <v>2240</v>
      </c>
      <c r="G327" s="5" t="s">
        <v>2249</v>
      </c>
      <c r="H327" s="5" t="s">
        <v>2257</v>
      </c>
      <c r="I327" s="5" t="s">
        <v>2263</v>
      </c>
      <c r="J327" s="5" t="s">
        <v>2264</v>
      </c>
      <c r="K327" s="8">
        <v>1</v>
      </c>
      <c r="L327" s="9">
        <v>160</v>
      </c>
      <c r="M327" s="10">
        <v>0</v>
      </c>
      <c r="N327" s="9">
        <f t="shared" si="70"/>
        <v>160</v>
      </c>
      <c r="O327" s="9">
        <f t="shared" si="60"/>
        <v>160</v>
      </c>
      <c r="P327" s="5" t="s">
        <v>2267</v>
      </c>
      <c r="Q327" s="5" t="s">
        <v>1761</v>
      </c>
      <c r="R327" s="5" t="s">
        <v>2275</v>
      </c>
      <c r="S327" s="5" t="s">
        <v>2282</v>
      </c>
      <c r="T327" s="5" t="s">
        <v>2289</v>
      </c>
      <c r="U327" s="19">
        <v>3</v>
      </c>
      <c r="V327" s="8">
        <v>383</v>
      </c>
      <c r="W327" s="8">
        <v>30</v>
      </c>
      <c r="X327" s="9">
        <v>90.53</v>
      </c>
      <c r="Y327" s="9">
        <f t="shared" si="61"/>
        <v>69.47</v>
      </c>
      <c r="Z327" s="5" t="s">
        <v>1761</v>
      </c>
      <c r="AA327" s="5" t="s">
        <v>2299</v>
      </c>
      <c r="AB327" s="9">
        <f t="shared" si="62"/>
        <v>160</v>
      </c>
      <c r="AC327" s="9">
        <f t="shared" si="63"/>
        <v>0</v>
      </c>
      <c r="AD327" s="9">
        <f t="shared" si="64"/>
        <v>160</v>
      </c>
      <c r="AE327" s="9">
        <f t="shared" si="65"/>
        <v>90.53</v>
      </c>
      <c r="AF327" s="9">
        <f t="shared" si="71"/>
        <v>69.47</v>
      </c>
      <c r="AG327" s="8">
        <f t="shared" si="66"/>
        <v>2024</v>
      </c>
      <c r="AH327" s="8">
        <f t="shared" si="67"/>
        <v>8</v>
      </c>
      <c r="AI327" s="5" t="str">
        <f t="shared" si="68"/>
        <v>Aug</v>
      </c>
      <c r="AJ327" s="5" t="str">
        <f t="shared" si="69"/>
        <v>Thursday</v>
      </c>
    </row>
    <row r="328" spans="1:36" x14ac:dyDescent="0.3">
      <c r="A328" s="5" t="s">
        <v>362</v>
      </c>
      <c r="B328" s="6">
        <v>45369</v>
      </c>
      <c r="C328" s="7">
        <v>0.71875</v>
      </c>
      <c r="D328" s="5" t="s">
        <v>1902</v>
      </c>
      <c r="E328" s="5" t="s">
        <v>2027</v>
      </c>
      <c r="F328" s="5" t="s">
        <v>2239</v>
      </c>
      <c r="G328" s="5" t="s">
        <v>2252</v>
      </c>
      <c r="H328" s="5" t="s">
        <v>2257</v>
      </c>
      <c r="I328" s="5" t="s">
        <v>2262</v>
      </c>
      <c r="J328" s="5" t="s">
        <v>2265</v>
      </c>
      <c r="K328" s="8">
        <v>2</v>
      </c>
      <c r="L328" s="9">
        <v>100</v>
      </c>
      <c r="M328" s="10">
        <v>0.1</v>
      </c>
      <c r="N328" s="9">
        <f t="shared" si="70"/>
        <v>200</v>
      </c>
      <c r="O328" s="9">
        <f t="shared" si="60"/>
        <v>180</v>
      </c>
      <c r="P328" s="5" t="s">
        <v>2268</v>
      </c>
      <c r="Q328" s="5" t="s">
        <v>2272</v>
      </c>
      <c r="R328" s="5" t="s">
        <v>2278</v>
      </c>
      <c r="S328" s="5" t="s">
        <v>2282</v>
      </c>
      <c r="T328" s="5" t="s">
        <v>2288</v>
      </c>
      <c r="U328" s="8">
        <v>2</v>
      </c>
      <c r="V328" s="8">
        <v>153</v>
      </c>
      <c r="W328" s="8">
        <v>37</v>
      </c>
      <c r="X328" s="9">
        <v>44</v>
      </c>
      <c r="Y328" s="9">
        <f t="shared" si="61"/>
        <v>92</v>
      </c>
      <c r="Z328" s="5" t="s">
        <v>2291</v>
      </c>
      <c r="AA328" s="5" t="s">
        <v>2299</v>
      </c>
      <c r="AB328" s="9">
        <f t="shared" si="62"/>
        <v>200</v>
      </c>
      <c r="AC328" s="9">
        <f t="shared" si="63"/>
        <v>20</v>
      </c>
      <c r="AD328" s="9">
        <f t="shared" si="64"/>
        <v>180</v>
      </c>
      <c r="AE328" s="9">
        <f t="shared" si="65"/>
        <v>88</v>
      </c>
      <c r="AF328" s="9">
        <f t="shared" si="71"/>
        <v>92</v>
      </c>
      <c r="AG328" s="8">
        <f t="shared" si="66"/>
        <v>2024</v>
      </c>
      <c r="AH328" s="8">
        <f t="shared" si="67"/>
        <v>3</v>
      </c>
      <c r="AI328" s="5" t="str">
        <f t="shared" si="68"/>
        <v>Mar</v>
      </c>
      <c r="AJ328" s="5" t="str">
        <f t="shared" si="69"/>
        <v>Monday</v>
      </c>
    </row>
    <row r="329" spans="1:36" x14ac:dyDescent="0.3">
      <c r="A329" s="5" t="s">
        <v>363</v>
      </c>
      <c r="B329" s="6">
        <v>45355</v>
      </c>
      <c r="C329" s="7">
        <v>0.61805555555555558</v>
      </c>
      <c r="D329" s="5" t="s">
        <v>1825</v>
      </c>
      <c r="E329" s="5" t="s">
        <v>2072</v>
      </c>
      <c r="F329" s="5" t="s">
        <v>1761</v>
      </c>
      <c r="G329" s="5" t="s">
        <v>2248</v>
      </c>
      <c r="H329" s="5" t="s">
        <v>2257</v>
      </c>
      <c r="I329" s="5" t="s">
        <v>2262</v>
      </c>
      <c r="J329" s="5" t="s">
        <v>2266</v>
      </c>
      <c r="K329" s="8">
        <v>1</v>
      </c>
      <c r="L329" s="9">
        <v>145</v>
      </c>
      <c r="M329" s="10">
        <v>0.05</v>
      </c>
      <c r="N329" s="9">
        <f t="shared" si="70"/>
        <v>145</v>
      </c>
      <c r="O329" s="9">
        <f t="shared" si="60"/>
        <v>137.75</v>
      </c>
      <c r="P329" s="5" t="s">
        <v>2269</v>
      </c>
      <c r="Q329" s="5" t="s">
        <v>2272</v>
      </c>
      <c r="R329" s="5" t="s">
        <v>2274</v>
      </c>
      <c r="S329" s="5" t="s">
        <v>2285</v>
      </c>
      <c r="T329" s="5" t="s">
        <v>2288</v>
      </c>
      <c r="U329" s="8">
        <v>1</v>
      </c>
      <c r="V329" s="8">
        <v>72</v>
      </c>
      <c r="W329" s="8">
        <v>12</v>
      </c>
      <c r="X329" s="9">
        <v>72.349999999999994</v>
      </c>
      <c r="Y329" s="9">
        <f t="shared" si="61"/>
        <v>65.400000000000006</v>
      </c>
      <c r="Z329" s="5" t="s">
        <v>2293</v>
      </c>
      <c r="AA329" s="5" t="s">
        <v>2298</v>
      </c>
      <c r="AB329" s="9">
        <f t="shared" si="62"/>
        <v>145</v>
      </c>
      <c r="AC329" s="9">
        <f t="shared" si="63"/>
        <v>7.25</v>
      </c>
      <c r="AD329" s="9">
        <f t="shared" si="64"/>
        <v>137.75</v>
      </c>
      <c r="AE329" s="9">
        <f t="shared" si="65"/>
        <v>72.349999999999994</v>
      </c>
      <c r="AF329" s="9">
        <f t="shared" si="71"/>
        <v>65.400000000000006</v>
      </c>
      <c r="AG329" s="8">
        <f t="shared" si="66"/>
        <v>2024</v>
      </c>
      <c r="AH329" s="8">
        <f t="shared" si="67"/>
        <v>3</v>
      </c>
      <c r="AI329" s="5" t="str">
        <f t="shared" si="68"/>
        <v>Mar</v>
      </c>
      <c r="AJ329" s="5" t="str">
        <f t="shared" si="69"/>
        <v>Monday</v>
      </c>
    </row>
    <row r="330" spans="1:36" x14ac:dyDescent="0.3">
      <c r="A330" s="5" t="s">
        <v>364</v>
      </c>
      <c r="B330" s="6">
        <v>45598</v>
      </c>
      <c r="C330" s="7">
        <v>0.90625</v>
      </c>
      <c r="D330" s="5" t="s">
        <v>1831</v>
      </c>
      <c r="E330" s="5" t="s">
        <v>2140</v>
      </c>
      <c r="F330" s="5" t="s">
        <v>2238</v>
      </c>
      <c r="G330" s="5" t="s">
        <v>2242</v>
      </c>
      <c r="H330" s="5" t="s">
        <v>2258</v>
      </c>
      <c r="I330" s="5" t="s">
        <v>2260</v>
      </c>
      <c r="J330" s="5" t="s">
        <v>2265</v>
      </c>
      <c r="K330" s="19">
        <v>3</v>
      </c>
      <c r="L330" s="9">
        <v>125</v>
      </c>
      <c r="M330" s="10">
        <v>0.1</v>
      </c>
      <c r="N330" s="9">
        <f t="shared" si="70"/>
        <v>375</v>
      </c>
      <c r="O330" s="9">
        <f t="shared" si="60"/>
        <v>337.5</v>
      </c>
      <c r="P330" s="5" t="s">
        <v>2268</v>
      </c>
      <c r="Q330" s="5" t="s">
        <v>2272</v>
      </c>
      <c r="R330" s="5" t="s">
        <v>2274</v>
      </c>
      <c r="S330" s="5" t="s">
        <v>2285</v>
      </c>
      <c r="T330" s="5" t="s">
        <v>2288</v>
      </c>
      <c r="U330" s="8">
        <v>4</v>
      </c>
      <c r="V330" s="8">
        <v>130</v>
      </c>
      <c r="W330" s="8">
        <v>59</v>
      </c>
      <c r="X330" s="9">
        <v>42.75</v>
      </c>
      <c r="Y330" s="9">
        <f t="shared" si="61"/>
        <v>209.25</v>
      </c>
      <c r="Z330" s="5" t="s">
        <v>2291</v>
      </c>
      <c r="AA330" s="5" t="s">
        <v>1761</v>
      </c>
      <c r="AB330" s="9">
        <f t="shared" si="62"/>
        <v>375</v>
      </c>
      <c r="AC330" s="9">
        <f t="shared" si="63"/>
        <v>37.5</v>
      </c>
      <c r="AD330" s="9">
        <f t="shared" si="64"/>
        <v>337.5</v>
      </c>
      <c r="AE330" s="9">
        <f t="shared" si="65"/>
        <v>128.25</v>
      </c>
      <c r="AF330" s="9">
        <f t="shared" si="71"/>
        <v>209.25</v>
      </c>
      <c r="AG330" s="8">
        <f t="shared" si="66"/>
        <v>2024</v>
      </c>
      <c r="AH330" s="8">
        <f t="shared" si="67"/>
        <v>11</v>
      </c>
      <c r="AI330" s="5" t="str">
        <f t="shared" si="68"/>
        <v>Nov</v>
      </c>
      <c r="AJ330" s="5" t="str">
        <f t="shared" si="69"/>
        <v>Saturday</v>
      </c>
    </row>
    <row r="331" spans="1:36" x14ac:dyDescent="0.3">
      <c r="A331" s="5" t="s">
        <v>365</v>
      </c>
      <c r="B331" s="6">
        <v>45603</v>
      </c>
      <c r="C331" s="7">
        <v>0.65625</v>
      </c>
      <c r="D331" s="5" t="s">
        <v>1864</v>
      </c>
      <c r="E331" s="5" t="s">
        <v>2091</v>
      </c>
      <c r="F331" s="5" t="s">
        <v>2239</v>
      </c>
      <c r="G331" s="5" t="s">
        <v>2255</v>
      </c>
      <c r="H331" s="5" t="s">
        <v>2260</v>
      </c>
      <c r="I331" s="5" t="s">
        <v>2260</v>
      </c>
      <c r="J331" s="5" t="s">
        <v>1761</v>
      </c>
      <c r="K331" s="8">
        <v>1</v>
      </c>
      <c r="L331" s="9">
        <v>190</v>
      </c>
      <c r="M331" s="10">
        <v>0.15</v>
      </c>
      <c r="N331" s="9">
        <f t="shared" si="70"/>
        <v>190</v>
      </c>
      <c r="O331" s="9">
        <f t="shared" si="60"/>
        <v>161.5</v>
      </c>
      <c r="P331" s="5" t="s">
        <v>2267</v>
      </c>
      <c r="Q331" s="5" t="s">
        <v>2272</v>
      </c>
      <c r="R331" s="5" t="s">
        <v>2273</v>
      </c>
      <c r="S331" s="5" t="s">
        <v>2280</v>
      </c>
      <c r="T331" s="5" t="s">
        <v>2289</v>
      </c>
      <c r="U331" s="8">
        <v>1</v>
      </c>
      <c r="V331" s="8">
        <v>311</v>
      </c>
      <c r="W331" s="8">
        <v>30</v>
      </c>
      <c r="X331" s="9">
        <v>105.3</v>
      </c>
      <c r="Y331" s="9">
        <f t="shared" si="61"/>
        <v>56.2</v>
      </c>
      <c r="Z331" s="5" t="s">
        <v>2294</v>
      </c>
      <c r="AA331" s="5" t="s">
        <v>2296</v>
      </c>
      <c r="AB331" s="9">
        <f t="shared" si="62"/>
        <v>190</v>
      </c>
      <c r="AC331" s="9">
        <f t="shared" si="63"/>
        <v>28.5</v>
      </c>
      <c r="AD331" s="9">
        <f t="shared" si="64"/>
        <v>161.5</v>
      </c>
      <c r="AE331" s="9">
        <f t="shared" si="65"/>
        <v>105.3</v>
      </c>
      <c r="AF331" s="9">
        <f t="shared" si="71"/>
        <v>56.2</v>
      </c>
      <c r="AG331" s="8">
        <f t="shared" si="66"/>
        <v>2024</v>
      </c>
      <c r="AH331" s="8">
        <f t="shared" si="67"/>
        <v>11</v>
      </c>
      <c r="AI331" s="5" t="str">
        <f t="shared" si="68"/>
        <v>Nov</v>
      </c>
      <c r="AJ331" s="5" t="str">
        <f t="shared" si="69"/>
        <v>Thursday</v>
      </c>
    </row>
    <row r="332" spans="1:36" x14ac:dyDescent="0.3">
      <c r="A332" s="5" t="s">
        <v>366</v>
      </c>
      <c r="B332" s="6">
        <v>45483</v>
      </c>
      <c r="C332" s="7">
        <v>0.88194444444444442</v>
      </c>
      <c r="D332" s="5" t="s">
        <v>1776</v>
      </c>
      <c r="E332" s="5" t="s">
        <v>1975</v>
      </c>
      <c r="F332" s="5" t="s">
        <v>2239</v>
      </c>
      <c r="G332" s="5" t="s">
        <v>2251</v>
      </c>
      <c r="H332" s="5" t="s">
        <v>2258</v>
      </c>
      <c r="I332" s="5" t="s">
        <v>2260</v>
      </c>
      <c r="J332" s="5" t="s">
        <v>2265</v>
      </c>
      <c r="K332" s="8">
        <v>1</v>
      </c>
      <c r="L332" s="9">
        <v>110</v>
      </c>
      <c r="M332" s="10">
        <v>0</v>
      </c>
      <c r="N332" s="9">
        <f t="shared" si="70"/>
        <v>110</v>
      </c>
      <c r="O332" s="9">
        <f t="shared" si="60"/>
        <v>110</v>
      </c>
      <c r="P332" s="5" t="s">
        <v>2268</v>
      </c>
      <c r="Q332" s="5" t="s">
        <v>2272</v>
      </c>
      <c r="R332" s="5" t="s">
        <v>2273</v>
      </c>
      <c r="S332" s="5" t="s">
        <v>2280</v>
      </c>
      <c r="T332" s="5" t="s">
        <v>2288</v>
      </c>
      <c r="U332" s="8">
        <v>3</v>
      </c>
      <c r="V332" s="8">
        <v>381</v>
      </c>
      <c r="W332" s="8">
        <v>45</v>
      </c>
      <c r="X332" s="9">
        <v>58.83</v>
      </c>
      <c r="Y332" s="9">
        <f t="shared" si="61"/>
        <v>51.17</v>
      </c>
      <c r="Z332" s="5" t="s">
        <v>2293</v>
      </c>
      <c r="AA332" s="5" t="s">
        <v>2299</v>
      </c>
      <c r="AB332" s="9">
        <f t="shared" si="62"/>
        <v>110</v>
      </c>
      <c r="AC332" s="9">
        <f t="shared" si="63"/>
        <v>0</v>
      </c>
      <c r="AD332" s="9">
        <f t="shared" si="64"/>
        <v>110</v>
      </c>
      <c r="AE332" s="9">
        <f t="shared" si="65"/>
        <v>58.83</v>
      </c>
      <c r="AF332" s="9">
        <f t="shared" si="71"/>
        <v>51.17</v>
      </c>
      <c r="AG332" s="8">
        <f t="shared" si="66"/>
        <v>2024</v>
      </c>
      <c r="AH332" s="8">
        <f t="shared" si="67"/>
        <v>7</v>
      </c>
      <c r="AI332" s="5" t="str">
        <f t="shared" si="68"/>
        <v>Jul</v>
      </c>
      <c r="AJ332" s="5" t="str">
        <f t="shared" si="69"/>
        <v>Wednesday</v>
      </c>
    </row>
    <row r="333" spans="1:36" x14ac:dyDescent="0.3">
      <c r="A333" s="5" t="s">
        <v>367</v>
      </c>
      <c r="B333" s="6">
        <v>45487</v>
      </c>
      <c r="C333" s="7">
        <v>0.77083333333333337</v>
      </c>
      <c r="D333" s="5" t="s">
        <v>1903</v>
      </c>
      <c r="E333" s="5" t="s">
        <v>2141</v>
      </c>
      <c r="F333" s="5" t="s">
        <v>2239</v>
      </c>
      <c r="G333" s="5" t="s">
        <v>2245</v>
      </c>
      <c r="H333" s="5" t="s">
        <v>2257</v>
      </c>
      <c r="I333" s="5" t="s">
        <v>2263</v>
      </c>
      <c r="J333" s="5" t="s">
        <v>2264</v>
      </c>
      <c r="K333" s="8">
        <v>3</v>
      </c>
      <c r="L333" s="9">
        <v>160</v>
      </c>
      <c r="M333" s="10">
        <v>0</v>
      </c>
      <c r="N333" s="9">
        <f t="shared" si="70"/>
        <v>480</v>
      </c>
      <c r="O333" s="9">
        <f t="shared" si="60"/>
        <v>480</v>
      </c>
      <c r="P333" s="5" t="s">
        <v>2269</v>
      </c>
      <c r="Q333" s="5" t="s">
        <v>1761</v>
      </c>
      <c r="R333" s="5" t="s">
        <v>2277</v>
      </c>
      <c r="S333" s="5" t="s">
        <v>2281</v>
      </c>
      <c r="T333" s="5" t="s">
        <v>2289</v>
      </c>
      <c r="U333" s="8">
        <v>2</v>
      </c>
      <c r="V333" s="8">
        <v>262</v>
      </c>
      <c r="W333" s="8">
        <v>10</v>
      </c>
      <c r="X333" s="9">
        <v>78.459999999999994</v>
      </c>
      <c r="Y333" s="9">
        <f t="shared" si="61"/>
        <v>244.62</v>
      </c>
      <c r="Z333" s="5" t="s">
        <v>2293</v>
      </c>
      <c r="AA333" s="5" t="s">
        <v>1761</v>
      </c>
      <c r="AB333" s="9">
        <f t="shared" si="62"/>
        <v>480</v>
      </c>
      <c r="AC333" s="9">
        <f t="shared" si="63"/>
        <v>0</v>
      </c>
      <c r="AD333" s="9">
        <f t="shared" si="64"/>
        <v>480</v>
      </c>
      <c r="AE333" s="9">
        <f t="shared" si="65"/>
        <v>235.38</v>
      </c>
      <c r="AF333" s="9">
        <f t="shared" si="71"/>
        <v>244.62</v>
      </c>
      <c r="AG333" s="8">
        <f t="shared" si="66"/>
        <v>2024</v>
      </c>
      <c r="AH333" s="8">
        <f t="shared" si="67"/>
        <v>7</v>
      </c>
      <c r="AI333" s="5" t="str">
        <f t="shared" si="68"/>
        <v>Jul</v>
      </c>
      <c r="AJ333" s="5" t="str">
        <f t="shared" si="69"/>
        <v>Sunday</v>
      </c>
    </row>
    <row r="334" spans="1:36" x14ac:dyDescent="0.3">
      <c r="A334" s="5" t="s">
        <v>368</v>
      </c>
      <c r="B334" s="6">
        <v>45474</v>
      </c>
      <c r="C334" s="7">
        <v>0.70833333333333337</v>
      </c>
      <c r="D334" s="5" t="s">
        <v>1853</v>
      </c>
      <c r="E334" s="5" t="s">
        <v>1761</v>
      </c>
      <c r="F334" s="5" t="s">
        <v>2238</v>
      </c>
      <c r="G334" s="5" t="s">
        <v>2248</v>
      </c>
      <c r="H334" s="5" t="s">
        <v>2257</v>
      </c>
      <c r="I334" s="5" t="s">
        <v>2262</v>
      </c>
      <c r="J334" s="5" t="s">
        <v>2264</v>
      </c>
      <c r="K334" s="8">
        <v>3</v>
      </c>
      <c r="L334" s="9">
        <v>155</v>
      </c>
      <c r="M334" s="10">
        <v>0.1</v>
      </c>
      <c r="N334" s="9">
        <f t="shared" si="70"/>
        <v>465</v>
      </c>
      <c r="O334" s="9">
        <f t="shared" si="60"/>
        <v>418.5</v>
      </c>
      <c r="P334" s="5" t="s">
        <v>1761</v>
      </c>
      <c r="Q334" s="5" t="s">
        <v>2272</v>
      </c>
      <c r="R334" s="5" t="s">
        <v>2274</v>
      </c>
      <c r="S334" s="5" t="s">
        <v>2283</v>
      </c>
      <c r="T334" s="5" t="s">
        <v>2290</v>
      </c>
      <c r="U334" s="8">
        <v>1</v>
      </c>
      <c r="V334" s="8">
        <v>139</v>
      </c>
      <c r="W334" s="8">
        <v>24</v>
      </c>
      <c r="X334" s="9">
        <v>70.760000000000005</v>
      </c>
      <c r="Y334" s="9">
        <f t="shared" si="61"/>
        <v>206.21999999999997</v>
      </c>
      <c r="Z334" s="5" t="s">
        <v>2294</v>
      </c>
      <c r="AA334" s="5" t="s">
        <v>2297</v>
      </c>
      <c r="AB334" s="9">
        <f t="shared" si="62"/>
        <v>465</v>
      </c>
      <c r="AC334" s="9">
        <f t="shared" si="63"/>
        <v>46.5</v>
      </c>
      <c r="AD334" s="9">
        <f t="shared" si="64"/>
        <v>418.5</v>
      </c>
      <c r="AE334" s="9">
        <f t="shared" si="65"/>
        <v>212.28000000000003</v>
      </c>
      <c r="AF334" s="9">
        <f t="shared" si="71"/>
        <v>206.21999999999997</v>
      </c>
      <c r="AG334" s="8">
        <f t="shared" si="66"/>
        <v>2024</v>
      </c>
      <c r="AH334" s="8">
        <f t="shared" si="67"/>
        <v>7</v>
      </c>
      <c r="AI334" s="5" t="str">
        <f t="shared" si="68"/>
        <v>Jul</v>
      </c>
      <c r="AJ334" s="5" t="str">
        <f t="shared" si="69"/>
        <v>Monday</v>
      </c>
    </row>
    <row r="335" spans="1:36" x14ac:dyDescent="0.3">
      <c r="A335" s="5" t="s">
        <v>369</v>
      </c>
      <c r="B335" s="6">
        <v>45439</v>
      </c>
      <c r="C335" s="7">
        <v>0.71527777777777779</v>
      </c>
      <c r="D335" s="5" t="s">
        <v>1741</v>
      </c>
      <c r="E335" s="5" t="s">
        <v>1761</v>
      </c>
      <c r="F335" s="5" t="s">
        <v>2239</v>
      </c>
      <c r="G335" s="5" t="s">
        <v>2255</v>
      </c>
      <c r="H335" s="5" t="s">
        <v>2260</v>
      </c>
      <c r="I335" s="5" t="s">
        <v>2260</v>
      </c>
      <c r="J335" s="5" t="s">
        <v>2265</v>
      </c>
      <c r="K335" s="19">
        <v>2</v>
      </c>
      <c r="L335" s="9">
        <v>190</v>
      </c>
      <c r="M335" s="10">
        <v>0.15</v>
      </c>
      <c r="N335" s="9">
        <f t="shared" si="70"/>
        <v>380</v>
      </c>
      <c r="O335" s="9">
        <f t="shared" si="60"/>
        <v>323</v>
      </c>
      <c r="P335" s="5" t="s">
        <v>2267</v>
      </c>
      <c r="Q335" s="5" t="s">
        <v>2270</v>
      </c>
      <c r="R335" s="5" t="s">
        <v>2276</v>
      </c>
      <c r="S335" s="5" t="s">
        <v>2283</v>
      </c>
      <c r="T335" s="5" t="s">
        <v>2288</v>
      </c>
      <c r="U335" s="8">
        <v>5</v>
      </c>
      <c r="V335" s="8">
        <v>109</v>
      </c>
      <c r="W335" s="8">
        <v>26</v>
      </c>
      <c r="X335" s="9">
        <v>79.92</v>
      </c>
      <c r="Y335" s="9">
        <f t="shared" si="61"/>
        <v>163.16</v>
      </c>
      <c r="Z335" s="5" t="s">
        <v>2292</v>
      </c>
      <c r="AA335" s="5" t="s">
        <v>2297</v>
      </c>
      <c r="AB335" s="9">
        <f t="shared" si="62"/>
        <v>380</v>
      </c>
      <c r="AC335" s="9">
        <f t="shared" si="63"/>
        <v>57</v>
      </c>
      <c r="AD335" s="9">
        <f t="shared" si="64"/>
        <v>323</v>
      </c>
      <c r="AE335" s="9">
        <f t="shared" si="65"/>
        <v>159.84</v>
      </c>
      <c r="AF335" s="9">
        <f t="shared" si="71"/>
        <v>163.16</v>
      </c>
      <c r="AG335" s="8">
        <f t="shared" si="66"/>
        <v>2024</v>
      </c>
      <c r="AH335" s="8">
        <f t="shared" si="67"/>
        <v>5</v>
      </c>
      <c r="AI335" s="5" t="str">
        <f t="shared" si="68"/>
        <v>May</v>
      </c>
      <c r="AJ335" s="5" t="str">
        <f t="shared" si="69"/>
        <v>Monday</v>
      </c>
    </row>
    <row r="336" spans="1:36" x14ac:dyDescent="0.3">
      <c r="A336" s="5" t="s">
        <v>370</v>
      </c>
      <c r="B336" s="6">
        <v>45415</v>
      </c>
      <c r="C336" s="7">
        <v>0.40972222222222221</v>
      </c>
      <c r="D336" s="5" t="s">
        <v>1757</v>
      </c>
      <c r="E336" s="5" t="s">
        <v>2044</v>
      </c>
      <c r="F336" s="5" t="s">
        <v>2239</v>
      </c>
      <c r="G336" s="5" t="s">
        <v>2247</v>
      </c>
      <c r="H336" s="5" t="s">
        <v>2257</v>
      </c>
      <c r="I336" s="5" t="s">
        <v>2262</v>
      </c>
      <c r="J336" s="5" t="s">
        <v>2265</v>
      </c>
      <c r="K336" s="8">
        <v>1</v>
      </c>
      <c r="L336" s="9">
        <v>100</v>
      </c>
      <c r="M336" s="10">
        <v>0.15</v>
      </c>
      <c r="N336" s="9">
        <f t="shared" si="70"/>
        <v>100</v>
      </c>
      <c r="O336" s="9">
        <f t="shared" si="60"/>
        <v>85</v>
      </c>
      <c r="P336" s="5" t="s">
        <v>2269</v>
      </c>
      <c r="Q336" s="5" t="s">
        <v>1761</v>
      </c>
      <c r="R336" s="5" t="s">
        <v>2274</v>
      </c>
      <c r="S336" s="5" t="s">
        <v>2280</v>
      </c>
      <c r="T336" s="5" t="s">
        <v>2288</v>
      </c>
      <c r="U336" s="8">
        <v>4</v>
      </c>
      <c r="V336" s="8">
        <v>48</v>
      </c>
      <c r="W336" s="8">
        <v>49</v>
      </c>
      <c r="X336" s="9">
        <v>38.020000000000003</v>
      </c>
      <c r="Y336" s="9">
        <f t="shared" si="61"/>
        <v>46.98</v>
      </c>
      <c r="Z336" s="5" t="s">
        <v>1761</v>
      </c>
      <c r="AA336" s="5" t="s">
        <v>2298</v>
      </c>
      <c r="AB336" s="9">
        <f t="shared" si="62"/>
        <v>100</v>
      </c>
      <c r="AC336" s="9">
        <f t="shared" si="63"/>
        <v>15</v>
      </c>
      <c r="AD336" s="9">
        <f t="shared" si="64"/>
        <v>85</v>
      </c>
      <c r="AE336" s="9">
        <f t="shared" si="65"/>
        <v>38.020000000000003</v>
      </c>
      <c r="AF336" s="9">
        <f t="shared" si="71"/>
        <v>46.98</v>
      </c>
      <c r="AG336" s="8">
        <f t="shared" si="66"/>
        <v>2024</v>
      </c>
      <c r="AH336" s="8">
        <f t="shared" si="67"/>
        <v>5</v>
      </c>
      <c r="AI336" s="5" t="str">
        <f t="shared" si="68"/>
        <v>May</v>
      </c>
      <c r="AJ336" s="5" t="str">
        <f t="shared" si="69"/>
        <v>Friday</v>
      </c>
    </row>
    <row r="337" spans="1:36" x14ac:dyDescent="0.3">
      <c r="A337" s="5" t="s">
        <v>371</v>
      </c>
      <c r="B337" s="6">
        <v>45300</v>
      </c>
      <c r="C337" s="7">
        <v>0.6875</v>
      </c>
      <c r="D337" s="5" t="s">
        <v>1904</v>
      </c>
      <c r="E337" s="5" t="s">
        <v>1946</v>
      </c>
      <c r="F337" s="5" t="s">
        <v>2240</v>
      </c>
      <c r="G337" s="5" t="s">
        <v>2252</v>
      </c>
      <c r="H337" s="5" t="s">
        <v>2257</v>
      </c>
      <c r="I337" s="5" t="s">
        <v>2262</v>
      </c>
      <c r="J337" s="5" t="s">
        <v>2265</v>
      </c>
      <c r="K337" s="8">
        <v>1</v>
      </c>
      <c r="L337" s="9">
        <v>100</v>
      </c>
      <c r="M337" s="10">
        <v>0.1</v>
      </c>
      <c r="N337" s="9">
        <f t="shared" si="70"/>
        <v>100</v>
      </c>
      <c r="O337" s="9">
        <f t="shared" si="60"/>
        <v>90</v>
      </c>
      <c r="P337" s="5" t="s">
        <v>2268</v>
      </c>
      <c r="Q337" s="5" t="s">
        <v>1761</v>
      </c>
      <c r="R337" s="5" t="s">
        <v>2274</v>
      </c>
      <c r="S337" s="5" t="s">
        <v>2286</v>
      </c>
      <c r="T337" s="5" t="s">
        <v>2289</v>
      </c>
      <c r="U337" s="8">
        <v>2</v>
      </c>
      <c r="V337" s="8">
        <v>103</v>
      </c>
      <c r="W337" s="19">
        <v>36</v>
      </c>
      <c r="X337" s="9">
        <v>51.33</v>
      </c>
      <c r="Y337" s="9">
        <f t="shared" si="61"/>
        <v>38.67</v>
      </c>
      <c r="Z337" s="5" t="s">
        <v>2293</v>
      </c>
      <c r="AA337" s="5" t="s">
        <v>2299</v>
      </c>
      <c r="AB337" s="9">
        <f t="shared" si="62"/>
        <v>100</v>
      </c>
      <c r="AC337" s="9">
        <f t="shared" si="63"/>
        <v>10</v>
      </c>
      <c r="AD337" s="9">
        <f t="shared" si="64"/>
        <v>90</v>
      </c>
      <c r="AE337" s="9">
        <f t="shared" si="65"/>
        <v>51.33</v>
      </c>
      <c r="AF337" s="9">
        <f t="shared" si="71"/>
        <v>38.67</v>
      </c>
      <c r="AG337" s="8">
        <f t="shared" si="66"/>
        <v>2024</v>
      </c>
      <c r="AH337" s="8">
        <f t="shared" si="67"/>
        <v>1</v>
      </c>
      <c r="AI337" s="5" t="str">
        <f t="shared" si="68"/>
        <v>Jan</v>
      </c>
      <c r="AJ337" s="5" t="str">
        <f t="shared" si="69"/>
        <v>Tuesday</v>
      </c>
    </row>
    <row r="338" spans="1:36" x14ac:dyDescent="0.3">
      <c r="A338" s="5" t="s">
        <v>372</v>
      </c>
      <c r="B338" s="6">
        <v>45306</v>
      </c>
      <c r="C338" s="7">
        <v>0.40625</v>
      </c>
      <c r="D338" s="5" t="s">
        <v>1761</v>
      </c>
      <c r="E338" s="5" t="s">
        <v>2142</v>
      </c>
      <c r="F338" s="5" t="s">
        <v>2240</v>
      </c>
      <c r="G338" s="5" t="s">
        <v>2245</v>
      </c>
      <c r="H338" s="5" t="s">
        <v>2257</v>
      </c>
      <c r="I338" s="5" t="s">
        <v>2263</v>
      </c>
      <c r="J338" s="5" t="s">
        <v>2265</v>
      </c>
      <c r="K338" s="19">
        <v>2</v>
      </c>
      <c r="L338" s="9">
        <v>150</v>
      </c>
      <c r="M338" s="10">
        <v>0</v>
      </c>
      <c r="N338" s="9">
        <f t="shared" si="70"/>
        <v>300</v>
      </c>
      <c r="O338" s="9">
        <f t="shared" si="60"/>
        <v>300</v>
      </c>
      <c r="P338" s="5" t="s">
        <v>2269</v>
      </c>
      <c r="Q338" s="5" t="s">
        <v>2271</v>
      </c>
      <c r="R338" s="5" t="s">
        <v>2276</v>
      </c>
      <c r="S338" s="5" t="s">
        <v>2286</v>
      </c>
      <c r="T338" s="5" t="s">
        <v>2288</v>
      </c>
      <c r="U338" s="8">
        <v>3</v>
      </c>
      <c r="V338" s="8">
        <v>364</v>
      </c>
      <c r="W338" s="19">
        <v>37</v>
      </c>
      <c r="X338" s="9">
        <v>72.37</v>
      </c>
      <c r="Y338" s="9">
        <f t="shared" si="61"/>
        <v>155.26</v>
      </c>
      <c r="Z338" s="5" t="s">
        <v>2293</v>
      </c>
      <c r="AA338" s="5" t="s">
        <v>2297</v>
      </c>
      <c r="AB338" s="9">
        <f t="shared" si="62"/>
        <v>300</v>
      </c>
      <c r="AC338" s="9">
        <f t="shared" si="63"/>
        <v>0</v>
      </c>
      <c r="AD338" s="9">
        <f t="shared" si="64"/>
        <v>300</v>
      </c>
      <c r="AE338" s="9">
        <f t="shared" si="65"/>
        <v>144.74</v>
      </c>
      <c r="AF338" s="9">
        <f t="shared" si="71"/>
        <v>155.26</v>
      </c>
      <c r="AG338" s="8">
        <f t="shared" si="66"/>
        <v>2024</v>
      </c>
      <c r="AH338" s="8">
        <f t="shared" si="67"/>
        <v>1</v>
      </c>
      <c r="AI338" s="5" t="str">
        <f t="shared" si="68"/>
        <v>Jan</v>
      </c>
      <c r="AJ338" s="5" t="str">
        <f t="shared" si="69"/>
        <v>Monday</v>
      </c>
    </row>
    <row r="339" spans="1:36" x14ac:dyDescent="0.3">
      <c r="A339" s="5" t="s">
        <v>373</v>
      </c>
      <c r="B339" s="6">
        <v>45445</v>
      </c>
      <c r="C339" s="7">
        <v>0.34027777777777779</v>
      </c>
      <c r="D339" s="5" t="s">
        <v>1874</v>
      </c>
      <c r="E339" s="5" t="s">
        <v>1761</v>
      </c>
      <c r="F339" s="5" t="s">
        <v>2239</v>
      </c>
      <c r="G339" s="5" t="s">
        <v>2244</v>
      </c>
      <c r="H339" s="5" t="s">
        <v>2257</v>
      </c>
      <c r="I339" s="5" t="s">
        <v>2262</v>
      </c>
      <c r="J339" s="5" t="s">
        <v>2265</v>
      </c>
      <c r="K339" s="8">
        <v>2</v>
      </c>
      <c r="L339" s="9">
        <v>130</v>
      </c>
      <c r="M339" s="10">
        <v>0</v>
      </c>
      <c r="N339" s="9">
        <f t="shared" si="70"/>
        <v>260</v>
      </c>
      <c r="O339" s="9">
        <f t="shared" si="60"/>
        <v>260</v>
      </c>
      <c r="P339" s="5" t="s">
        <v>2269</v>
      </c>
      <c r="Q339" s="5" t="s">
        <v>2270</v>
      </c>
      <c r="R339" s="5" t="s">
        <v>2273</v>
      </c>
      <c r="S339" s="5" t="s">
        <v>2280</v>
      </c>
      <c r="T339" s="5" t="s">
        <v>2288</v>
      </c>
      <c r="U339" s="8">
        <v>3</v>
      </c>
      <c r="V339" s="8">
        <v>413</v>
      </c>
      <c r="W339" s="19">
        <v>34</v>
      </c>
      <c r="X339" s="9">
        <v>43.39</v>
      </c>
      <c r="Y339" s="9">
        <f t="shared" si="61"/>
        <v>173.22</v>
      </c>
      <c r="Z339" s="5" t="s">
        <v>2292</v>
      </c>
      <c r="AA339" s="5" t="s">
        <v>1761</v>
      </c>
      <c r="AB339" s="9">
        <f t="shared" si="62"/>
        <v>260</v>
      </c>
      <c r="AC339" s="9">
        <f t="shared" si="63"/>
        <v>0</v>
      </c>
      <c r="AD339" s="9">
        <f t="shared" si="64"/>
        <v>260</v>
      </c>
      <c r="AE339" s="9">
        <f t="shared" si="65"/>
        <v>86.78</v>
      </c>
      <c r="AF339" s="9">
        <f t="shared" si="71"/>
        <v>173.22</v>
      </c>
      <c r="AG339" s="8">
        <f t="shared" si="66"/>
        <v>2024</v>
      </c>
      <c r="AH339" s="8">
        <f t="shared" si="67"/>
        <v>6</v>
      </c>
      <c r="AI339" s="5" t="str">
        <f t="shared" si="68"/>
        <v>Jun</v>
      </c>
      <c r="AJ339" s="5" t="str">
        <f t="shared" si="69"/>
        <v>Sunday</v>
      </c>
    </row>
    <row r="340" spans="1:36" x14ac:dyDescent="0.3">
      <c r="A340" s="5" t="s">
        <v>374</v>
      </c>
      <c r="B340" s="6">
        <v>45445</v>
      </c>
      <c r="C340" s="7">
        <v>0.5625</v>
      </c>
      <c r="D340" s="5" t="s">
        <v>1874</v>
      </c>
      <c r="E340" s="5" t="s">
        <v>2100</v>
      </c>
      <c r="F340" s="5" t="s">
        <v>2239</v>
      </c>
      <c r="G340" s="5" t="s">
        <v>2251</v>
      </c>
      <c r="H340" s="5" t="s">
        <v>2258</v>
      </c>
      <c r="I340" s="5" t="s">
        <v>2260</v>
      </c>
      <c r="J340" s="5" t="s">
        <v>1761</v>
      </c>
      <c r="K340" s="8">
        <v>1</v>
      </c>
      <c r="L340" s="9">
        <v>100</v>
      </c>
      <c r="M340" s="10">
        <v>0.15</v>
      </c>
      <c r="N340" s="9">
        <f t="shared" si="70"/>
        <v>100</v>
      </c>
      <c r="O340" s="9">
        <f t="shared" si="60"/>
        <v>85</v>
      </c>
      <c r="P340" s="5" t="s">
        <v>2269</v>
      </c>
      <c r="Q340" s="5" t="s">
        <v>2270</v>
      </c>
      <c r="R340" s="5" t="s">
        <v>2277</v>
      </c>
      <c r="S340" s="5" t="s">
        <v>2283</v>
      </c>
      <c r="T340" s="5" t="s">
        <v>2288</v>
      </c>
      <c r="U340" s="8">
        <v>4</v>
      </c>
      <c r="V340" s="8">
        <v>111</v>
      </c>
      <c r="W340" s="8">
        <v>35</v>
      </c>
      <c r="X340" s="9">
        <v>50.39</v>
      </c>
      <c r="Y340" s="9">
        <f t="shared" si="61"/>
        <v>34.61</v>
      </c>
      <c r="Z340" s="5" t="s">
        <v>2291</v>
      </c>
      <c r="AA340" s="5" t="s">
        <v>1761</v>
      </c>
      <c r="AB340" s="9">
        <f t="shared" si="62"/>
        <v>100</v>
      </c>
      <c r="AC340" s="9">
        <f t="shared" si="63"/>
        <v>15</v>
      </c>
      <c r="AD340" s="9">
        <f t="shared" si="64"/>
        <v>85</v>
      </c>
      <c r="AE340" s="9">
        <f t="shared" si="65"/>
        <v>50.39</v>
      </c>
      <c r="AF340" s="9">
        <f t="shared" si="71"/>
        <v>34.61</v>
      </c>
      <c r="AG340" s="8">
        <f t="shared" si="66"/>
        <v>2024</v>
      </c>
      <c r="AH340" s="8">
        <f t="shared" si="67"/>
        <v>6</v>
      </c>
      <c r="AI340" s="5" t="str">
        <f t="shared" si="68"/>
        <v>Jun</v>
      </c>
      <c r="AJ340" s="5" t="str">
        <f t="shared" si="69"/>
        <v>Sunday</v>
      </c>
    </row>
    <row r="341" spans="1:36" x14ac:dyDescent="0.3">
      <c r="A341" s="5" t="s">
        <v>375</v>
      </c>
      <c r="B341" s="6">
        <v>45392</v>
      </c>
      <c r="C341" s="7">
        <v>0.65625</v>
      </c>
      <c r="D341" s="5" t="s">
        <v>1743</v>
      </c>
      <c r="E341" s="5" t="s">
        <v>2143</v>
      </c>
      <c r="F341" s="5" t="s">
        <v>2238</v>
      </c>
      <c r="G341" s="5" t="s">
        <v>2242</v>
      </c>
      <c r="H341" s="5" t="s">
        <v>2258</v>
      </c>
      <c r="I341" s="5" t="s">
        <v>2260</v>
      </c>
      <c r="J341" s="5" t="s">
        <v>2265</v>
      </c>
      <c r="K341" s="8">
        <v>1</v>
      </c>
      <c r="L341" s="9">
        <v>120</v>
      </c>
      <c r="M341" s="10">
        <v>0.05</v>
      </c>
      <c r="N341" s="9">
        <f t="shared" si="70"/>
        <v>120</v>
      </c>
      <c r="O341" s="9">
        <f t="shared" si="60"/>
        <v>114</v>
      </c>
      <c r="P341" s="5" t="s">
        <v>2267</v>
      </c>
      <c r="Q341" s="5" t="s">
        <v>2270</v>
      </c>
      <c r="R341" s="5" t="s">
        <v>2274</v>
      </c>
      <c r="S341" s="5" t="s">
        <v>2284</v>
      </c>
      <c r="T341" s="5" t="s">
        <v>2288</v>
      </c>
      <c r="U341" s="8">
        <v>3</v>
      </c>
      <c r="V341" s="8">
        <v>357</v>
      </c>
      <c r="W341" s="8">
        <v>53</v>
      </c>
      <c r="X341" s="9">
        <v>49.5</v>
      </c>
      <c r="Y341" s="9">
        <f t="shared" si="61"/>
        <v>64.5</v>
      </c>
      <c r="Z341" s="5" t="s">
        <v>2293</v>
      </c>
      <c r="AA341" s="5" t="s">
        <v>2299</v>
      </c>
      <c r="AB341" s="9">
        <f t="shared" si="62"/>
        <v>120</v>
      </c>
      <c r="AC341" s="9">
        <f t="shared" si="63"/>
        <v>6</v>
      </c>
      <c r="AD341" s="9">
        <f t="shared" si="64"/>
        <v>114</v>
      </c>
      <c r="AE341" s="9">
        <f t="shared" si="65"/>
        <v>49.5</v>
      </c>
      <c r="AF341" s="9">
        <f t="shared" si="71"/>
        <v>64.5</v>
      </c>
      <c r="AG341" s="8">
        <f t="shared" si="66"/>
        <v>2024</v>
      </c>
      <c r="AH341" s="8">
        <f t="shared" si="67"/>
        <v>4</v>
      </c>
      <c r="AI341" s="5" t="str">
        <f t="shared" si="68"/>
        <v>Apr</v>
      </c>
      <c r="AJ341" s="5" t="str">
        <f t="shared" si="69"/>
        <v>Wednesday</v>
      </c>
    </row>
    <row r="342" spans="1:36" x14ac:dyDescent="0.3">
      <c r="A342" s="5" t="s">
        <v>376</v>
      </c>
      <c r="B342" s="6">
        <v>45313</v>
      </c>
      <c r="C342" s="7">
        <v>0.65972222222222221</v>
      </c>
      <c r="D342" s="5" t="s">
        <v>1742</v>
      </c>
      <c r="E342" s="5" t="s">
        <v>2078</v>
      </c>
      <c r="F342" s="5" t="s">
        <v>2239</v>
      </c>
      <c r="G342" s="5" t="s">
        <v>2247</v>
      </c>
      <c r="H342" s="5" t="s">
        <v>2257</v>
      </c>
      <c r="I342" s="5" t="s">
        <v>2262</v>
      </c>
      <c r="J342" s="5" t="s">
        <v>2266</v>
      </c>
      <c r="K342" s="8">
        <v>1</v>
      </c>
      <c r="L342" s="9">
        <v>105</v>
      </c>
      <c r="M342" s="10">
        <v>0.1</v>
      </c>
      <c r="N342" s="9">
        <f t="shared" si="70"/>
        <v>105</v>
      </c>
      <c r="O342" s="9">
        <f t="shared" si="60"/>
        <v>94.5</v>
      </c>
      <c r="P342" s="5" t="s">
        <v>2269</v>
      </c>
      <c r="Q342" s="5" t="s">
        <v>1761</v>
      </c>
      <c r="R342" s="5" t="s">
        <v>2273</v>
      </c>
      <c r="S342" s="5" t="s">
        <v>2283</v>
      </c>
      <c r="T342" s="5" t="s">
        <v>2290</v>
      </c>
      <c r="U342" s="8">
        <v>4</v>
      </c>
      <c r="V342" s="8">
        <v>56</v>
      </c>
      <c r="W342" s="8">
        <v>21</v>
      </c>
      <c r="X342" s="9">
        <v>57.91</v>
      </c>
      <c r="Y342" s="9">
        <f t="shared" si="61"/>
        <v>36.590000000000003</v>
      </c>
      <c r="Z342" s="5" t="s">
        <v>2293</v>
      </c>
      <c r="AA342" s="5" t="s">
        <v>2298</v>
      </c>
      <c r="AB342" s="9">
        <f t="shared" si="62"/>
        <v>105</v>
      </c>
      <c r="AC342" s="9">
        <f t="shared" si="63"/>
        <v>10.5</v>
      </c>
      <c r="AD342" s="9">
        <f t="shared" si="64"/>
        <v>94.5</v>
      </c>
      <c r="AE342" s="9">
        <f t="shared" si="65"/>
        <v>57.91</v>
      </c>
      <c r="AF342" s="9">
        <f t="shared" si="71"/>
        <v>36.590000000000003</v>
      </c>
      <c r="AG342" s="8">
        <f t="shared" si="66"/>
        <v>2024</v>
      </c>
      <c r="AH342" s="8">
        <f t="shared" si="67"/>
        <v>1</v>
      </c>
      <c r="AI342" s="5" t="str">
        <f t="shared" si="68"/>
        <v>Jan</v>
      </c>
      <c r="AJ342" s="5" t="str">
        <f t="shared" si="69"/>
        <v>Monday</v>
      </c>
    </row>
    <row r="343" spans="1:36" x14ac:dyDescent="0.3">
      <c r="A343" s="5" t="s">
        <v>377</v>
      </c>
      <c r="B343" s="6">
        <v>45445</v>
      </c>
      <c r="C343" s="7">
        <v>0.64583333333333337</v>
      </c>
      <c r="D343" s="5" t="s">
        <v>1761</v>
      </c>
      <c r="E343" s="5" t="s">
        <v>2065</v>
      </c>
      <c r="F343" s="5" t="s">
        <v>2240</v>
      </c>
      <c r="G343" s="5" t="s">
        <v>2241</v>
      </c>
      <c r="H343" s="5" t="s">
        <v>2257</v>
      </c>
      <c r="I343" s="5" t="s">
        <v>2262</v>
      </c>
      <c r="J343" s="5" t="s">
        <v>2266</v>
      </c>
      <c r="K343" s="8">
        <v>2</v>
      </c>
      <c r="L343" s="9">
        <v>130</v>
      </c>
      <c r="M343" s="10">
        <v>0.05</v>
      </c>
      <c r="N343" s="9">
        <f t="shared" si="70"/>
        <v>260</v>
      </c>
      <c r="O343" s="9">
        <f t="shared" si="60"/>
        <v>247</v>
      </c>
      <c r="P343" s="5" t="s">
        <v>2268</v>
      </c>
      <c r="Q343" s="5" t="s">
        <v>2270</v>
      </c>
      <c r="R343" s="5" t="s">
        <v>2273</v>
      </c>
      <c r="S343" s="5" t="s">
        <v>2284</v>
      </c>
      <c r="T343" s="5" t="s">
        <v>2288</v>
      </c>
      <c r="U343" s="8">
        <v>1</v>
      </c>
      <c r="V343" s="8">
        <v>370</v>
      </c>
      <c r="W343" s="19">
        <v>34</v>
      </c>
      <c r="X343" s="9">
        <v>60.55</v>
      </c>
      <c r="Y343" s="9">
        <f t="shared" si="61"/>
        <v>125.9</v>
      </c>
      <c r="Z343" s="5" t="s">
        <v>2293</v>
      </c>
      <c r="AA343" s="5" t="s">
        <v>2296</v>
      </c>
      <c r="AB343" s="9">
        <f t="shared" si="62"/>
        <v>260</v>
      </c>
      <c r="AC343" s="9">
        <f t="shared" si="63"/>
        <v>13</v>
      </c>
      <c r="AD343" s="9">
        <f t="shared" si="64"/>
        <v>247</v>
      </c>
      <c r="AE343" s="9">
        <f t="shared" si="65"/>
        <v>121.1</v>
      </c>
      <c r="AF343" s="9">
        <f t="shared" si="71"/>
        <v>125.9</v>
      </c>
      <c r="AG343" s="8">
        <f t="shared" si="66"/>
        <v>2024</v>
      </c>
      <c r="AH343" s="8">
        <f t="shared" si="67"/>
        <v>6</v>
      </c>
      <c r="AI343" s="5" t="str">
        <f t="shared" si="68"/>
        <v>Jun</v>
      </c>
      <c r="AJ343" s="5" t="str">
        <f t="shared" si="69"/>
        <v>Sunday</v>
      </c>
    </row>
    <row r="344" spans="1:36" x14ac:dyDescent="0.3">
      <c r="A344" s="5" t="s">
        <v>378</v>
      </c>
      <c r="B344" s="6">
        <v>45444</v>
      </c>
      <c r="C344" s="7">
        <v>0.71527777777777779</v>
      </c>
      <c r="D344" s="5" t="s">
        <v>1885</v>
      </c>
      <c r="E344" s="5" t="s">
        <v>2095</v>
      </c>
      <c r="F344" s="5" t="s">
        <v>2240</v>
      </c>
      <c r="G344" s="5" t="s">
        <v>2256</v>
      </c>
      <c r="H344" s="5" t="s">
        <v>2261</v>
      </c>
      <c r="I344" s="5" t="s">
        <v>2260</v>
      </c>
      <c r="J344" s="5" t="s">
        <v>2264</v>
      </c>
      <c r="K344" s="8">
        <v>1</v>
      </c>
      <c r="L344" s="9">
        <v>190</v>
      </c>
      <c r="M344" s="10">
        <v>0.05</v>
      </c>
      <c r="N344" s="9">
        <f t="shared" si="70"/>
        <v>190</v>
      </c>
      <c r="O344" s="9">
        <f t="shared" si="60"/>
        <v>180.5</v>
      </c>
      <c r="P344" s="5" t="s">
        <v>1761</v>
      </c>
      <c r="Q344" s="5" t="s">
        <v>2270</v>
      </c>
      <c r="R344" s="5" t="s">
        <v>2278</v>
      </c>
      <c r="S344" s="5" t="s">
        <v>2281</v>
      </c>
      <c r="T344" s="5" t="s">
        <v>2288</v>
      </c>
      <c r="U344" s="8">
        <v>3</v>
      </c>
      <c r="V344" s="8">
        <v>0</v>
      </c>
      <c r="W344" s="8">
        <v>47</v>
      </c>
      <c r="X344" s="9">
        <v>71.92</v>
      </c>
      <c r="Y344" s="9">
        <f t="shared" si="61"/>
        <v>108.58</v>
      </c>
      <c r="Z344" s="5" t="s">
        <v>2292</v>
      </c>
      <c r="AA344" s="5" t="s">
        <v>1761</v>
      </c>
      <c r="AB344" s="9">
        <f t="shared" si="62"/>
        <v>190</v>
      </c>
      <c r="AC344" s="9">
        <f t="shared" si="63"/>
        <v>9.5</v>
      </c>
      <c r="AD344" s="9">
        <f t="shared" si="64"/>
        <v>180.5</v>
      </c>
      <c r="AE344" s="9">
        <f t="shared" si="65"/>
        <v>71.92</v>
      </c>
      <c r="AF344" s="9">
        <f t="shared" si="71"/>
        <v>108.58</v>
      </c>
      <c r="AG344" s="8">
        <f t="shared" si="66"/>
        <v>2024</v>
      </c>
      <c r="AH344" s="8">
        <f t="shared" si="67"/>
        <v>6</v>
      </c>
      <c r="AI344" s="5" t="str">
        <f t="shared" si="68"/>
        <v>Jun</v>
      </c>
      <c r="AJ344" s="5" t="str">
        <f t="shared" si="69"/>
        <v>Saturday</v>
      </c>
    </row>
    <row r="345" spans="1:36" x14ac:dyDescent="0.3">
      <c r="A345" s="5" t="s">
        <v>379</v>
      </c>
      <c r="B345" s="6">
        <v>45494</v>
      </c>
      <c r="C345" s="7">
        <v>0.80555555555555558</v>
      </c>
      <c r="D345" s="5" t="s">
        <v>1793</v>
      </c>
      <c r="E345" s="5" t="s">
        <v>2108</v>
      </c>
      <c r="F345" s="5" t="s">
        <v>2239</v>
      </c>
      <c r="G345" s="5" t="s">
        <v>2256</v>
      </c>
      <c r="H345" s="5" t="s">
        <v>2261</v>
      </c>
      <c r="I345" s="5" t="s">
        <v>2260</v>
      </c>
      <c r="J345" s="5" t="s">
        <v>2264</v>
      </c>
      <c r="K345" s="8">
        <v>2</v>
      </c>
      <c r="L345" s="9">
        <v>200</v>
      </c>
      <c r="M345" s="10">
        <v>0.05</v>
      </c>
      <c r="N345" s="9">
        <f t="shared" si="70"/>
        <v>400</v>
      </c>
      <c r="O345" s="9">
        <f t="shared" si="60"/>
        <v>380</v>
      </c>
      <c r="P345" s="5" t="s">
        <v>2269</v>
      </c>
      <c r="Q345" s="5" t="s">
        <v>2271</v>
      </c>
      <c r="R345" s="5" t="s">
        <v>2273</v>
      </c>
      <c r="S345" s="5" t="s">
        <v>2282</v>
      </c>
      <c r="T345" s="5" t="s">
        <v>2290</v>
      </c>
      <c r="U345" s="8">
        <v>3</v>
      </c>
      <c r="V345" s="19">
        <v>244</v>
      </c>
      <c r="W345" s="8">
        <v>34</v>
      </c>
      <c r="X345" s="9">
        <v>108.12</v>
      </c>
      <c r="Y345" s="9">
        <f t="shared" si="61"/>
        <v>163.76</v>
      </c>
      <c r="Z345" s="5" t="s">
        <v>2293</v>
      </c>
      <c r="AA345" s="5" t="s">
        <v>2298</v>
      </c>
      <c r="AB345" s="9">
        <f t="shared" si="62"/>
        <v>400</v>
      </c>
      <c r="AC345" s="9">
        <f t="shared" si="63"/>
        <v>20</v>
      </c>
      <c r="AD345" s="9">
        <f t="shared" si="64"/>
        <v>380</v>
      </c>
      <c r="AE345" s="9">
        <f t="shared" si="65"/>
        <v>216.24</v>
      </c>
      <c r="AF345" s="9">
        <f t="shared" si="71"/>
        <v>163.76</v>
      </c>
      <c r="AG345" s="8">
        <f t="shared" si="66"/>
        <v>2024</v>
      </c>
      <c r="AH345" s="8">
        <f t="shared" si="67"/>
        <v>7</v>
      </c>
      <c r="AI345" s="5" t="str">
        <f t="shared" si="68"/>
        <v>Jul</v>
      </c>
      <c r="AJ345" s="5" t="str">
        <f t="shared" si="69"/>
        <v>Sunday</v>
      </c>
    </row>
    <row r="346" spans="1:36" x14ac:dyDescent="0.3">
      <c r="A346" s="5" t="s">
        <v>380</v>
      </c>
      <c r="B346" s="6">
        <v>45338</v>
      </c>
      <c r="C346" s="7">
        <v>0.5</v>
      </c>
      <c r="D346" s="5" t="s">
        <v>1764</v>
      </c>
      <c r="E346" s="5" t="s">
        <v>1979</v>
      </c>
      <c r="F346" s="5" t="s">
        <v>2238</v>
      </c>
      <c r="G346" s="5" t="s">
        <v>2243</v>
      </c>
      <c r="H346" s="5" t="s">
        <v>2258</v>
      </c>
      <c r="I346" s="5" t="s">
        <v>2260</v>
      </c>
      <c r="J346" s="5" t="s">
        <v>2265</v>
      </c>
      <c r="K346" s="8">
        <v>1</v>
      </c>
      <c r="L346" s="9">
        <v>75</v>
      </c>
      <c r="M346" s="10">
        <v>0.1</v>
      </c>
      <c r="N346" s="9">
        <f t="shared" si="70"/>
        <v>75</v>
      </c>
      <c r="O346" s="9">
        <f t="shared" si="60"/>
        <v>67.5</v>
      </c>
      <c r="P346" s="5" t="s">
        <v>2268</v>
      </c>
      <c r="Q346" s="5" t="s">
        <v>2272</v>
      </c>
      <c r="R346" s="5" t="s">
        <v>2277</v>
      </c>
      <c r="S346" s="5" t="s">
        <v>2281</v>
      </c>
      <c r="T346" s="5" t="s">
        <v>2288</v>
      </c>
      <c r="U346" s="19">
        <v>3</v>
      </c>
      <c r="V346" s="8">
        <v>378</v>
      </c>
      <c r="W346" s="8">
        <v>45</v>
      </c>
      <c r="X346" s="9">
        <v>35.090000000000003</v>
      </c>
      <c r="Y346" s="9">
        <f t="shared" si="61"/>
        <v>32.409999999999997</v>
      </c>
      <c r="Z346" s="5" t="s">
        <v>1761</v>
      </c>
      <c r="AA346" s="5" t="s">
        <v>2297</v>
      </c>
      <c r="AB346" s="9">
        <f t="shared" si="62"/>
        <v>75</v>
      </c>
      <c r="AC346" s="9">
        <f t="shared" si="63"/>
        <v>7.5</v>
      </c>
      <c r="AD346" s="9">
        <f t="shared" si="64"/>
        <v>67.5</v>
      </c>
      <c r="AE346" s="9">
        <f t="shared" si="65"/>
        <v>35.090000000000003</v>
      </c>
      <c r="AF346" s="9">
        <f t="shared" si="71"/>
        <v>32.409999999999997</v>
      </c>
      <c r="AG346" s="8">
        <f t="shared" si="66"/>
        <v>2024</v>
      </c>
      <c r="AH346" s="8">
        <f t="shared" si="67"/>
        <v>2</v>
      </c>
      <c r="AI346" s="5" t="str">
        <f t="shared" si="68"/>
        <v>Feb</v>
      </c>
      <c r="AJ346" s="5" t="str">
        <f t="shared" si="69"/>
        <v>Friday</v>
      </c>
    </row>
    <row r="347" spans="1:36" x14ac:dyDescent="0.3">
      <c r="A347" s="5" t="s">
        <v>381</v>
      </c>
      <c r="B347" s="6">
        <v>45367</v>
      </c>
      <c r="C347" s="7">
        <v>0.34027777777777779</v>
      </c>
      <c r="D347" s="5" t="s">
        <v>1898</v>
      </c>
      <c r="E347" s="5" t="s">
        <v>2042</v>
      </c>
      <c r="F347" s="5" t="s">
        <v>2240</v>
      </c>
      <c r="G347" s="5" t="s">
        <v>2248</v>
      </c>
      <c r="H347" s="5" t="s">
        <v>2257</v>
      </c>
      <c r="I347" s="5" t="s">
        <v>2262</v>
      </c>
      <c r="J347" s="5" t="s">
        <v>2266</v>
      </c>
      <c r="K347" s="8">
        <v>1</v>
      </c>
      <c r="L347" s="9">
        <v>150</v>
      </c>
      <c r="M347" s="10">
        <v>0</v>
      </c>
      <c r="N347" s="9">
        <f t="shared" si="70"/>
        <v>150</v>
      </c>
      <c r="O347" s="9">
        <f t="shared" si="60"/>
        <v>150</v>
      </c>
      <c r="P347" s="5" t="s">
        <v>2268</v>
      </c>
      <c r="Q347" s="5" t="s">
        <v>2270</v>
      </c>
      <c r="R347" s="5" t="s">
        <v>2275</v>
      </c>
      <c r="S347" s="5" t="s">
        <v>2281</v>
      </c>
      <c r="T347" s="5" t="s">
        <v>2289</v>
      </c>
      <c r="U347" s="19">
        <v>3</v>
      </c>
      <c r="V347" s="19">
        <v>244</v>
      </c>
      <c r="W347" s="19">
        <v>34</v>
      </c>
      <c r="X347" s="9">
        <v>58.19</v>
      </c>
      <c r="Y347" s="9">
        <f t="shared" si="61"/>
        <v>91.81</v>
      </c>
      <c r="Z347" s="5" t="s">
        <v>1761</v>
      </c>
      <c r="AA347" s="5" t="s">
        <v>1761</v>
      </c>
      <c r="AB347" s="9">
        <f t="shared" si="62"/>
        <v>150</v>
      </c>
      <c r="AC347" s="9">
        <f t="shared" si="63"/>
        <v>0</v>
      </c>
      <c r="AD347" s="9">
        <f t="shared" si="64"/>
        <v>150</v>
      </c>
      <c r="AE347" s="9">
        <f t="shared" si="65"/>
        <v>58.19</v>
      </c>
      <c r="AF347" s="9">
        <f t="shared" si="71"/>
        <v>91.81</v>
      </c>
      <c r="AG347" s="8">
        <f t="shared" si="66"/>
        <v>2024</v>
      </c>
      <c r="AH347" s="8">
        <f t="shared" si="67"/>
        <v>3</v>
      </c>
      <c r="AI347" s="5" t="str">
        <f t="shared" si="68"/>
        <v>Mar</v>
      </c>
      <c r="AJ347" s="5" t="str">
        <f t="shared" si="69"/>
        <v>Saturday</v>
      </c>
    </row>
    <row r="348" spans="1:36" x14ac:dyDescent="0.3">
      <c r="A348" s="5" t="s">
        <v>382</v>
      </c>
      <c r="B348" s="6">
        <v>45487</v>
      </c>
      <c r="C348" s="7">
        <v>0.86458333333333337</v>
      </c>
      <c r="D348" s="5" t="s">
        <v>1905</v>
      </c>
      <c r="E348" s="5" t="s">
        <v>1989</v>
      </c>
      <c r="F348" s="5" t="s">
        <v>2240</v>
      </c>
      <c r="G348" s="5" t="s">
        <v>2242</v>
      </c>
      <c r="H348" s="5" t="s">
        <v>2258</v>
      </c>
      <c r="I348" s="5" t="s">
        <v>2260</v>
      </c>
      <c r="J348" s="5" t="s">
        <v>2265</v>
      </c>
      <c r="K348" s="8">
        <v>3</v>
      </c>
      <c r="L348" s="9">
        <v>120</v>
      </c>
      <c r="M348" s="10">
        <v>0.1</v>
      </c>
      <c r="N348" s="9">
        <f t="shared" si="70"/>
        <v>360</v>
      </c>
      <c r="O348" s="9">
        <f t="shared" si="60"/>
        <v>324</v>
      </c>
      <c r="P348" s="5" t="s">
        <v>2267</v>
      </c>
      <c r="Q348" s="5" t="s">
        <v>1761</v>
      </c>
      <c r="R348" s="5" t="s">
        <v>2276</v>
      </c>
      <c r="S348" s="5" t="s">
        <v>2280</v>
      </c>
      <c r="T348" s="5" t="s">
        <v>2288</v>
      </c>
      <c r="U348" s="8">
        <v>3</v>
      </c>
      <c r="V348" s="8">
        <v>24</v>
      </c>
      <c r="W348" s="8">
        <v>40</v>
      </c>
      <c r="X348" s="9">
        <v>53.7</v>
      </c>
      <c r="Y348" s="9">
        <f t="shared" si="61"/>
        <v>162.89999999999998</v>
      </c>
      <c r="Z348" s="5" t="s">
        <v>2292</v>
      </c>
      <c r="AA348" s="5" t="s">
        <v>2296</v>
      </c>
      <c r="AB348" s="9">
        <f t="shared" si="62"/>
        <v>360</v>
      </c>
      <c r="AC348" s="9">
        <f t="shared" si="63"/>
        <v>36</v>
      </c>
      <c r="AD348" s="9">
        <f t="shared" si="64"/>
        <v>324</v>
      </c>
      <c r="AE348" s="9">
        <f t="shared" si="65"/>
        <v>161.10000000000002</v>
      </c>
      <c r="AF348" s="9">
        <f t="shared" si="71"/>
        <v>162.89999999999998</v>
      </c>
      <c r="AG348" s="8">
        <f t="shared" si="66"/>
        <v>2024</v>
      </c>
      <c r="AH348" s="8">
        <f t="shared" si="67"/>
        <v>7</v>
      </c>
      <c r="AI348" s="5" t="str">
        <f t="shared" si="68"/>
        <v>Jul</v>
      </c>
      <c r="AJ348" s="5" t="str">
        <f t="shared" si="69"/>
        <v>Sunday</v>
      </c>
    </row>
    <row r="349" spans="1:36" x14ac:dyDescent="0.3">
      <c r="A349" s="5" t="s">
        <v>383</v>
      </c>
      <c r="B349" s="6">
        <v>45490</v>
      </c>
      <c r="C349" s="7">
        <v>0.29166666666666669</v>
      </c>
      <c r="D349" s="5" t="s">
        <v>1894</v>
      </c>
      <c r="E349" s="5" t="s">
        <v>2010</v>
      </c>
      <c r="F349" s="5" t="s">
        <v>2239</v>
      </c>
      <c r="G349" s="5" t="s">
        <v>2254</v>
      </c>
      <c r="H349" s="5" t="s">
        <v>2259</v>
      </c>
      <c r="I349" s="5" t="s">
        <v>2263</v>
      </c>
      <c r="J349" s="5" t="s">
        <v>2265</v>
      </c>
      <c r="K349" s="8">
        <v>1</v>
      </c>
      <c r="L349" s="9">
        <v>110</v>
      </c>
      <c r="M349" s="10">
        <v>0.05</v>
      </c>
      <c r="N349" s="9">
        <f t="shared" si="70"/>
        <v>110</v>
      </c>
      <c r="O349" s="9">
        <f t="shared" si="60"/>
        <v>104.5</v>
      </c>
      <c r="P349" s="5" t="s">
        <v>2267</v>
      </c>
      <c r="Q349" s="5" t="s">
        <v>2271</v>
      </c>
      <c r="R349" s="5" t="s">
        <v>2274</v>
      </c>
      <c r="S349" s="5" t="s">
        <v>2282</v>
      </c>
      <c r="T349" s="5" t="s">
        <v>2288</v>
      </c>
      <c r="U349" s="19">
        <v>3</v>
      </c>
      <c r="V349" s="8">
        <v>436</v>
      </c>
      <c r="W349" s="8">
        <v>58</v>
      </c>
      <c r="X349" s="9">
        <v>61.9</v>
      </c>
      <c r="Y349" s="9">
        <f t="shared" si="61"/>
        <v>42.6</v>
      </c>
      <c r="Z349" s="5" t="s">
        <v>2294</v>
      </c>
      <c r="AA349" s="5" t="s">
        <v>1761</v>
      </c>
      <c r="AB349" s="9">
        <f t="shared" si="62"/>
        <v>110</v>
      </c>
      <c r="AC349" s="9">
        <f t="shared" si="63"/>
        <v>5.5</v>
      </c>
      <c r="AD349" s="9">
        <f t="shared" si="64"/>
        <v>104.5</v>
      </c>
      <c r="AE349" s="9">
        <f t="shared" si="65"/>
        <v>61.9</v>
      </c>
      <c r="AF349" s="9">
        <f t="shared" si="71"/>
        <v>42.6</v>
      </c>
      <c r="AG349" s="8">
        <f t="shared" si="66"/>
        <v>2024</v>
      </c>
      <c r="AH349" s="8">
        <f t="shared" si="67"/>
        <v>7</v>
      </c>
      <c r="AI349" s="5" t="str">
        <f t="shared" si="68"/>
        <v>Jul</v>
      </c>
      <c r="AJ349" s="5" t="str">
        <f t="shared" si="69"/>
        <v>Wednesday</v>
      </c>
    </row>
    <row r="350" spans="1:36" x14ac:dyDescent="0.3">
      <c r="A350" s="5" t="s">
        <v>384</v>
      </c>
      <c r="B350" s="6">
        <v>45458</v>
      </c>
      <c r="C350" s="7">
        <v>0.53125</v>
      </c>
      <c r="D350" s="5" t="s">
        <v>1819</v>
      </c>
      <c r="E350" s="5" t="s">
        <v>1970</v>
      </c>
      <c r="F350" s="5" t="s">
        <v>2240</v>
      </c>
      <c r="G350" s="5" t="s">
        <v>2255</v>
      </c>
      <c r="H350" s="5" t="s">
        <v>2260</v>
      </c>
      <c r="I350" s="5" t="s">
        <v>2260</v>
      </c>
      <c r="J350" s="5" t="s">
        <v>2264</v>
      </c>
      <c r="K350" s="19">
        <v>1</v>
      </c>
      <c r="L350" s="9">
        <v>185</v>
      </c>
      <c r="M350" s="10">
        <v>0.1</v>
      </c>
      <c r="N350" s="9">
        <f t="shared" si="70"/>
        <v>185</v>
      </c>
      <c r="O350" s="9">
        <f t="shared" si="60"/>
        <v>166.5</v>
      </c>
      <c r="P350" s="5" t="s">
        <v>2269</v>
      </c>
      <c r="Q350" s="5" t="s">
        <v>1761</v>
      </c>
      <c r="R350" s="5" t="s">
        <v>2273</v>
      </c>
      <c r="S350" s="5" t="s">
        <v>2287</v>
      </c>
      <c r="T350" s="5" t="s">
        <v>2289</v>
      </c>
      <c r="U350" s="8">
        <v>3</v>
      </c>
      <c r="V350" s="8">
        <v>464</v>
      </c>
      <c r="W350" s="8">
        <v>59</v>
      </c>
      <c r="X350" s="9">
        <v>79.8</v>
      </c>
      <c r="Y350" s="9">
        <f t="shared" si="61"/>
        <v>86.7</v>
      </c>
      <c r="Z350" s="5" t="s">
        <v>2293</v>
      </c>
      <c r="AA350" s="5" t="s">
        <v>2297</v>
      </c>
      <c r="AB350" s="9">
        <f t="shared" si="62"/>
        <v>185</v>
      </c>
      <c r="AC350" s="9">
        <f t="shared" si="63"/>
        <v>18.5</v>
      </c>
      <c r="AD350" s="9">
        <f t="shared" si="64"/>
        <v>166.5</v>
      </c>
      <c r="AE350" s="9">
        <f t="shared" si="65"/>
        <v>79.8</v>
      </c>
      <c r="AF350" s="9">
        <f t="shared" si="71"/>
        <v>86.7</v>
      </c>
      <c r="AG350" s="8">
        <f t="shared" si="66"/>
        <v>2024</v>
      </c>
      <c r="AH350" s="8">
        <f t="shared" si="67"/>
        <v>6</v>
      </c>
      <c r="AI350" s="5" t="str">
        <f t="shared" si="68"/>
        <v>Jun</v>
      </c>
      <c r="AJ350" s="5" t="str">
        <f t="shared" si="69"/>
        <v>Saturday</v>
      </c>
    </row>
    <row r="351" spans="1:36" x14ac:dyDescent="0.3">
      <c r="A351" s="5" t="s">
        <v>385</v>
      </c>
      <c r="B351" s="6">
        <v>45571</v>
      </c>
      <c r="C351" s="7">
        <v>0.48958333333333331</v>
      </c>
      <c r="D351" s="5" t="s">
        <v>1848</v>
      </c>
      <c r="E351" s="5" t="s">
        <v>1997</v>
      </c>
      <c r="F351" s="5" t="s">
        <v>2239</v>
      </c>
      <c r="G351" s="5" t="s">
        <v>2254</v>
      </c>
      <c r="H351" s="5" t="s">
        <v>2259</v>
      </c>
      <c r="I351" s="5" t="s">
        <v>2263</v>
      </c>
      <c r="J351" s="5" t="s">
        <v>2265</v>
      </c>
      <c r="K351" s="8">
        <v>2</v>
      </c>
      <c r="L351" s="9">
        <v>120</v>
      </c>
      <c r="M351" s="10">
        <v>0.05</v>
      </c>
      <c r="N351" s="9">
        <f t="shared" si="70"/>
        <v>240</v>
      </c>
      <c r="O351" s="9">
        <f t="shared" si="60"/>
        <v>228</v>
      </c>
      <c r="P351" s="5" t="s">
        <v>1761</v>
      </c>
      <c r="Q351" s="5" t="s">
        <v>2270</v>
      </c>
      <c r="R351" s="5" t="s">
        <v>2279</v>
      </c>
      <c r="S351" s="5" t="s">
        <v>2283</v>
      </c>
      <c r="T351" s="5" t="s">
        <v>2288</v>
      </c>
      <c r="U351" s="8">
        <v>1</v>
      </c>
      <c r="V351" s="8">
        <v>20</v>
      </c>
      <c r="W351" s="19">
        <v>34</v>
      </c>
      <c r="X351" s="9">
        <v>61.41</v>
      </c>
      <c r="Y351" s="9">
        <f t="shared" si="61"/>
        <v>105.18</v>
      </c>
      <c r="Z351" s="5" t="s">
        <v>2293</v>
      </c>
      <c r="AA351" s="5" t="s">
        <v>2297</v>
      </c>
      <c r="AB351" s="9">
        <f t="shared" si="62"/>
        <v>240</v>
      </c>
      <c r="AC351" s="9">
        <f t="shared" si="63"/>
        <v>12</v>
      </c>
      <c r="AD351" s="9">
        <f t="shared" si="64"/>
        <v>228</v>
      </c>
      <c r="AE351" s="9">
        <f t="shared" si="65"/>
        <v>122.82</v>
      </c>
      <c r="AF351" s="9">
        <f t="shared" si="71"/>
        <v>105.18</v>
      </c>
      <c r="AG351" s="8">
        <f t="shared" si="66"/>
        <v>2024</v>
      </c>
      <c r="AH351" s="8">
        <f t="shared" si="67"/>
        <v>10</v>
      </c>
      <c r="AI351" s="5" t="str">
        <f t="shared" si="68"/>
        <v>Oct</v>
      </c>
      <c r="AJ351" s="5" t="str">
        <f t="shared" si="69"/>
        <v>Sunday</v>
      </c>
    </row>
    <row r="352" spans="1:36" x14ac:dyDescent="0.3">
      <c r="A352" s="5" t="s">
        <v>386</v>
      </c>
      <c r="B352" s="6">
        <v>45347</v>
      </c>
      <c r="C352" s="7">
        <v>0.59375</v>
      </c>
      <c r="D352" s="5" t="s">
        <v>1757</v>
      </c>
      <c r="E352" s="5" t="s">
        <v>1983</v>
      </c>
      <c r="F352" s="5" t="s">
        <v>2239</v>
      </c>
      <c r="G352" s="5" t="s">
        <v>2256</v>
      </c>
      <c r="H352" s="5" t="s">
        <v>2261</v>
      </c>
      <c r="I352" s="5" t="s">
        <v>2260</v>
      </c>
      <c r="J352" s="5" t="s">
        <v>2264</v>
      </c>
      <c r="K352" s="8">
        <v>1</v>
      </c>
      <c r="L352" s="9">
        <v>185</v>
      </c>
      <c r="M352" s="10">
        <v>0</v>
      </c>
      <c r="N352" s="9">
        <f t="shared" si="70"/>
        <v>185</v>
      </c>
      <c r="O352" s="9">
        <f t="shared" si="60"/>
        <v>185</v>
      </c>
      <c r="P352" s="5" t="s">
        <v>2269</v>
      </c>
      <c r="Q352" s="5" t="s">
        <v>2270</v>
      </c>
      <c r="R352" s="5" t="s">
        <v>2275</v>
      </c>
      <c r="S352" s="5" t="s">
        <v>2286</v>
      </c>
      <c r="T352" s="5" t="s">
        <v>2290</v>
      </c>
      <c r="U352" s="8">
        <v>1</v>
      </c>
      <c r="V352" s="8">
        <v>317</v>
      </c>
      <c r="W352" s="8">
        <v>57</v>
      </c>
      <c r="X352" s="9">
        <v>68.98</v>
      </c>
      <c r="Y352" s="9">
        <f t="shared" si="61"/>
        <v>116.02</v>
      </c>
      <c r="Z352" s="5" t="s">
        <v>2294</v>
      </c>
      <c r="AA352" s="5" t="s">
        <v>2297</v>
      </c>
      <c r="AB352" s="9">
        <f t="shared" si="62"/>
        <v>185</v>
      </c>
      <c r="AC352" s="9">
        <f t="shared" si="63"/>
        <v>0</v>
      </c>
      <c r="AD352" s="9">
        <f t="shared" si="64"/>
        <v>185</v>
      </c>
      <c r="AE352" s="9">
        <f t="shared" si="65"/>
        <v>68.98</v>
      </c>
      <c r="AF352" s="9">
        <f t="shared" si="71"/>
        <v>116.02</v>
      </c>
      <c r="AG352" s="8">
        <f t="shared" si="66"/>
        <v>2024</v>
      </c>
      <c r="AH352" s="8">
        <f t="shared" si="67"/>
        <v>2</v>
      </c>
      <c r="AI352" s="5" t="str">
        <f t="shared" si="68"/>
        <v>Feb</v>
      </c>
      <c r="AJ352" s="5" t="str">
        <f t="shared" si="69"/>
        <v>Sunday</v>
      </c>
    </row>
    <row r="353" spans="1:36" x14ac:dyDescent="0.3">
      <c r="A353" s="5" t="s">
        <v>387</v>
      </c>
      <c r="B353" s="6">
        <v>45397</v>
      </c>
      <c r="C353" s="7">
        <v>0.71527777777777779</v>
      </c>
      <c r="D353" s="5" t="s">
        <v>1800</v>
      </c>
      <c r="E353" s="5" t="s">
        <v>2144</v>
      </c>
      <c r="F353" s="5" t="s">
        <v>2238</v>
      </c>
      <c r="G353" s="5" t="s">
        <v>2248</v>
      </c>
      <c r="H353" s="5" t="s">
        <v>2257</v>
      </c>
      <c r="I353" s="5" t="s">
        <v>2262</v>
      </c>
      <c r="J353" s="5" t="s">
        <v>2265</v>
      </c>
      <c r="K353" s="8">
        <v>2</v>
      </c>
      <c r="L353" s="9">
        <v>145</v>
      </c>
      <c r="M353" s="10">
        <v>0.15</v>
      </c>
      <c r="N353" s="9">
        <f t="shared" si="70"/>
        <v>290</v>
      </c>
      <c r="O353" s="9">
        <f t="shared" si="60"/>
        <v>246.5</v>
      </c>
      <c r="P353" s="5" t="s">
        <v>2269</v>
      </c>
      <c r="Q353" s="5" t="s">
        <v>1761</v>
      </c>
      <c r="R353" s="5" t="s">
        <v>2274</v>
      </c>
      <c r="S353" s="5" t="s">
        <v>2284</v>
      </c>
      <c r="T353" s="5" t="s">
        <v>2289</v>
      </c>
      <c r="U353" s="8">
        <v>5</v>
      </c>
      <c r="V353" s="8">
        <v>126</v>
      </c>
      <c r="W353" s="8">
        <v>43</v>
      </c>
      <c r="X353" s="9">
        <v>51.56</v>
      </c>
      <c r="Y353" s="9">
        <f t="shared" si="61"/>
        <v>143.38</v>
      </c>
      <c r="Z353" s="5" t="s">
        <v>2292</v>
      </c>
      <c r="AA353" s="5" t="s">
        <v>2296</v>
      </c>
      <c r="AB353" s="9">
        <f t="shared" si="62"/>
        <v>290</v>
      </c>
      <c r="AC353" s="9">
        <f t="shared" si="63"/>
        <v>43.5</v>
      </c>
      <c r="AD353" s="9">
        <f t="shared" si="64"/>
        <v>246.5</v>
      </c>
      <c r="AE353" s="9">
        <f t="shared" si="65"/>
        <v>103.12</v>
      </c>
      <c r="AF353" s="9">
        <f t="shared" si="71"/>
        <v>143.38</v>
      </c>
      <c r="AG353" s="8">
        <f t="shared" si="66"/>
        <v>2024</v>
      </c>
      <c r="AH353" s="8">
        <f t="shared" si="67"/>
        <v>4</v>
      </c>
      <c r="AI353" s="5" t="str">
        <f t="shared" si="68"/>
        <v>Apr</v>
      </c>
      <c r="AJ353" s="5" t="str">
        <f t="shared" si="69"/>
        <v>Monday</v>
      </c>
    </row>
    <row r="354" spans="1:36" x14ac:dyDescent="0.3">
      <c r="A354" s="5" t="s">
        <v>388</v>
      </c>
      <c r="B354" s="6">
        <v>45552</v>
      </c>
      <c r="C354" s="7">
        <v>0.54166666666666663</v>
      </c>
      <c r="D354" s="5" t="s">
        <v>1765</v>
      </c>
      <c r="E354" s="5" t="s">
        <v>2145</v>
      </c>
      <c r="F354" s="5" t="s">
        <v>2240</v>
      </c>
      <c r="G354" s="5" t="s">
        <v>2255</v>
      </c>
      <c r="H354" s="5" t="s">
        <v>2260</v>
      </c>
      <c r="I354" s="5" t="s">
        <v>2260</v>
      </c>
      <c r="J354" s="5" t="s">
        <v>2264</v>
      </c>
      <c r="K354" s="8">
        <v>1</v>
      </c>
      <c r="L354" s="9">
        <v>180</v>
      </c>
      <c r="M354" s="10">
        <v>0</v>
      </c>
      <c r="N354" s="9">
        <f t="shared" si="70"/>
        <v>180</v>
      </c>
      <c r="O354" s="9">
        <f t="shared" si="60"/>
        <v>180</v>
      </c>
      <c r="P354" s="5" t="s">
        <v>2267</v>
      </c>
      <c r="Q354" s="5" t="s">
        <v>1761</v>
      </c>
      <c r="R354" s="5" t="s">
        <v>2275</v>
      </c>
      <c r="S354" s="5" t="s">
        <v>2286</v>
      </c>
      <c r="T354" s="5" t="s">
        <v>2290</v>
      </c>
      <c r="U354" s="8">
        <v>5</v>
      </c>
      <c r="V354" s="8">
        <v>470</v>
      </c>
      <c r="W354" s="8">
        <v>58</v>
      </c>
      <c r="X354" s="9">
        <v>87.43</v>
      </c>
      <c r="Y354" s="9">
        <f t="shared" si="61"/>
        <v>92.57</v>
      </c>
      <c r="Z354" s="5" t="s">
        <v>2293</v>
      </c>
      <c r="AA354" s="5" t="s">
        <v>2298</v>
      </c>
      <c r="AB354" s="9">
        <f t="shared" si="62"/>
        <v>180</v>
      </c>
      <c r="AC354" s="9">
        <f t="shared" si="63"/>
        <v>0</v>
      </c>
      <c r="AD354" s="9">
        <f t="shared" si="64"/>
        <v>180</v>
      </c>
      <c r="AE354" s="9">
        <f t="shared" si="65"/>
        <v>87.43</v>
      </c>
      <c r="AF354" s="9">
        <f t="shared" si="71"/>
        <v>92.57</v>
      </c>
      <c r="AG354" s="8">
        <f t="shared" si="66"/>
        <v>2024</v>
      </c>
      <c r="AH354" s="8">
        <f t="shared" si="67"/>
        <v>9</v>
      </c>
      <c r="AI354" s="5" t="str">
        <f t="shared" si="68"/>
        <v>Sep</v>
      </c>
      <c r="AJ354" s="5" t="str">
        <f t="shared" si="69"/>
        <v>Tuesday</v>
      </c>
    </row>
    <row r="355" spans="1:36" x14ac:dyDescent="0.3">
      <c r="A355" s="5" t="s">
        <v>389</v>
      </c>
      <c r="B355" s="6">
        <v>45315</v>
      </c>
      <c r="C355" s="7">
        <v>0.51388888888888884</v>
      </c>
      <c r="D355" s="5" t="s">
        <v>1869</v>
      </c>
      <c r="E355" s="5" t="s">
        <v>2034</v>
      </c>
      <c r="F355" s="5" t="s">
        <v>2238</v>
      </c>
      <c r="G355" s="5" t="s">
        <v>2256</v>
      </c>
      <c r="H355" s="5" t="s">
        <v>2261</v>
      </c>
      <c r="I355" s="5" t="s">
        <v>2260</v>
      </c>
      <c r="J355" s="5" t="s">
        <v>2264</v>
      </c>
      <c r="K355" s="8">
        <v>4</v>
      </c>
      <c r="L355" s="9">
        <v>200</v>
      </c>
      <c r="M355" s="10">
        <v>0.1</v>
      </c>
      <c r="N355" s="9">
        <f t="shared" si="70"/>
        <v>800</v>
      </c>
      <c r="O355" s="9">
        <f t="shared" si="60"/>
        <v>720</v>
      </c>
      <c r="P355" s="5" t="s">
        <v>2267</v>
      </c>
      <c r="Q355" s="5" t="s">
        <v>2270</v>
      </c>
      <c r="R355" s="5" t="s">
        <v>2275</v>
      </c>
      <c r="S355" s="5" t="s">
        <v>2281</v>
      </c>
      <c r="T355" s="5" t="s">
        <v>2290</v>
      </c>
      <c r="U355" s="8">
        <v>3</v>
      </c>
      <c r="V355" s="8">
        <v>199</v>
      </c>
      <c r="W355" s="8">
        <v>37</v>
      </c>
      <c r="X355" s="9">
        <v>96.06</v>
      </c>
      <c r="Y355" s="9">
        <f t="shared" si="61"/>
        <v>335.76</v>
      </c>
      <c r="Z355" s="5" t="s">
        <v>1761</v>
      </c>
      <c r="AA355" s="5" t="s">
        <v>2296</v>
      </c>
      <c r="AB355" s="9">
        <f t="shared" si="62"/>
        <v>800</v>
      </c>
      <c r="AC355" s="9">
        <f t="shared" si="63"/>
        <v>80</v>
      </c>
      <c r="AD355" s="9">
        <f t="shared" si="64"/>
        <v>720</v>
      </c>
      <c r="AE355" s="9">
        <f t="shared" si="65"/>
        <v>384.24</v>
      </c>
      <c r="AF355" s="9">
        <f t="shared" si="71"/>
        <v>335.76</v>
      </c>
      <c r="AG355" s="8">
        <f t="shared" si="66"/>
        <v>2024</v>
      </c>
      <c r="AH355" s="8">
        <f t="shared" si="67"/>
        <v>1</v>
      </c>
      <c r="AI355" s="5" t="str">
        <f t="shared" si="68"/>
        <v>Jan</v>
      </c>
      <c r="AJ355" s="5" t="str">
        <f t="shared" si="69"/>
        <v>Wednesday</v>
      </c>
    </row>
    <row r="356" spans="1:36" x14ac:dyDescent="0.3">
      <c r="A356" s="5" t="s">
        <v>390</v>
      </c>
      <c r="B356" s="6">
        <v>45584</v>
      </c>
      <c r="C356" s="7">
        <v>0.54861111111111116</v>
      </c>
      <c r="D356" s="5" t="s">
        <v>1906</v>
      </c>
      <c r="E356" s="5" t="s">
        <v>2146</v>
      </c>
      <c r="F356" s="5" t="s">
        <v>2239</v>
      </c>
      <c r="G356" s="5" t="s">
        <v>2248</v>
      </c>
      <c r="H356" s="5" t="s">
        <v>2257</v>
      </c>
      <c r="I356" s="5" t="s">
        <v>2262</v>
      </c>
      <c r="J356" s="5" t="s">
        <v>2264</v>
      </c>
      <c r="K356" s="8">
        <v>1</v>
      </c>
      <c r="L356" s="9">
        <v>150</v>
      </c>
      <c r="M356" s="10">
        <v>0.05</v>
      </c>
      <c r="N356" s="9">
        <f t="shared" si="70"/>
        <v>150</v>
      </c>
      <c r="O356" s="9">
        <f t="shared" si="60"/>
        <v>142.5</v>
      </c>
      <c r="P356" s="5" t="s">
        <v>2269</v>
      </c>
      <c r="Q356" s="5" t="s">
        <v>2272</v>
      </c>
      <c r="R356" s="5" t="s">
        <v>2276</v>
      </c>
      <c r="S356" s="5" t="s">
        <v>2280</v>
      </c>
      <c r="T356" s="5" t="s">
        <v>2288</v>
      </c>
      <c r="U356" s="8">
        <v>2</v>
      </c>
      <c r="V356" s="8">
        <v>483</v>
      </c>
      <c r="W356" s="8">
        <v>24</v>
      </c>
      <c r="X356" s="9">
        <v>59.32</v>
      </c>
      <c r="Y356" s="9">
        <f t="shared" si="61"/>
        <v>83.18</v>
      </c>
      <c r="Z356" s="5" t="s">
        <v>2293</v>
      </c>
      <c r="AA356" s="5" t="s">
        <v>2296</v>
      </c>
      <c r="AB356" s="9">
        <f t="shared" si="62"/>
        <v>150</v>
      </c>
      <c r="AC356" s="9">
        <f t="shared" si="63"/>
        <v>7.5</v>
      </c>
      <c r="AD356" s="9">
        <f t="shared" si="64"/>
        <v>142.5</v>
      </c>
      <c r="AE356" s="9">
        <f t="shared" si="65"/>
        <v>59.32</v>
      </c>
      <c r="AF356" s="9">
        <f t="shared" si="71"/>
        <v>83.18</v>
      </c>
      <c r="AG356" s="8">
        <f t="shared" si="66"/>
        <v>2024</v>
      </c>
      <c r="AH356" s="8">
        <f t="shared" si="67"/>
        <v>10</v>
      </c>
      <c r="AI356" s="5" t="str">
        <f t="shared" si="68"/>
        <v>Oct</v>
      </c>
      <c r="AJ356" s="5" t="str">
        <f t="shared" si="69"/>
        <v>Saturday</v>
      </c>
    </row>
    <row r="357" spans="1:36" x14ac:dyDescent="0.3">
      <c r="A357" s="5" t="s">
        <v>391</v>
      </c>
      <c r="B357" s="6">
        <v>45404</v>
      </c>
      <c r="C357" s="7">
        <v>0.47222222222222221</v>
      </c>
      <c r="D357" s="5" t="s">
        <v>1819</v>
      </c>
      <c r="E357" s="5" t="s">
        <v>2147</v>
      </c>
      <c r="F357" s="5" t="s">
        <v>2240</v>
      </c>
      <c r="G357" s="5" t="s">
        <v>2253</v>
      </c>
      <c r="H357" s="5" t="s">
        <v>2258</v>
      </c>
      <c r="I357" s="5" t="s">
        <v>2260</v>
      </c>
      <c r="J357" s="5" t="s">
        <v>2264</v>
      </c>
      <c r="K357" s="8">
        <v>1</v>
      </c>
      <c r="L357" s="9">
        <v>85</v>
      </c>
      <c r="M357" s="10">
        <v>0</v>
      </c>
      <c r="N357" s="9">
        <f t="shared" si="70"/>
        <v>85</v>
      </c>
      <c r="O357" s="9">
        <f t="shared" si="60"/>
        <v>85</v>
      </c>
      <c r="P357" s="5" t="s">
        <v>2267</v>
      </c>
      <c r="Q357" s="5" t="s">
        <v>2272</v>
      </c>
      <c r="R357" s="5" t="s">
        <v>2274</v>
      </c>
      <c r="S357" s="5" t="s">
        <v>2285</v>
      </c>
      <c r="T357" s="5" t="s">
        <v>2288</v>
      </c>
      <c r="U357" s="8">
        <v>3</v>
      </c>
      <c r="V357" s="8">
        <v>326</v>
      </c>
      <c r="W357" s="19">
        <v>35</v>
      </c>
      <c r="X357" s="9">
        <v>41.63</v>
      </c>
      <c r="Y357" s="9">
        <f t="shared" si="61"/>
        <v>43.37</v>
      </c>
      <c r="Z357" s="5" t="s">
        <v>2291</v>
      </c>
      <c r="AA357" s="5" t="s">
        <v>2298</v>
      </c>
      <c r="AB357" s="9">
        <f t="shared" si="62"/>
        <v>85</v>
      </c>
      <c r="AC357" s="9">
        <f t="shared" si="63"/>
        <v>0</v>
      </c>
      <c r="AD357" s="9">
        <f t="shared" si="64"/>
        <v>85</v>
      </c>
      <c r="AE357" s="9">
        <f t="shared" si="65"/>
        <v>41.63</v>
      </c>
      <c r="AF357" s="9">
        <f t="shared" si="71"/>
        <v>43.37</v>
      </c>
      <c r="AG357" s="8">
        <f t="shared" si="66"/>
        <v>2024</v>
      </c>
      <c r="AH357" s="8">
        <f t="shared" si="67"/>
        <v>4</v>
      </c>
      <c r="AI357" s="5" t="str">
        <f t="shared" si="68"/>
        <v>Apr</v>
      </c>
      <c r="AJ357" s="5" t="str">
        <f t="shared" si="69"/>
        <v>Monday</v>
      </c>
    </row>
    <row r="358" spans="1:36" x14ac:dyDescent="0.3">
      <c r="A358" s="5" t="s">
        <v>392</v>
      </c>
      <c r="B358" s="6">
        <v>45501</v>
      </c>
      <c r="C358" s="7">
        <v>0.47222222222222221</v>
      </c>
      <c r="D358" s="5" t="s">
        <v>1833</v>
      </c>
      <c r="E358" s="5" t="s">
        <v>2129</v>
      </c>
      <c r="F358" s="5" t="s">
        <v>2240</v>
      </c>
      <c r="G358" s="5" t="s">
        <v>2245</v>
      </c>
      <c r="H358" s="5" t="s">
        <v>2257</v>
      </c>
      <c r="I358" s="5" t="s">
        <v>2263</v>
      </c>
      <c r="J358" s="5" t="s">
        <v>1761</v>
      </c>
      <c r="K358" s="8">
        <v>2</v>
      </c>
      <c r="L358" s="9">
        <v>155</v>
      </c>
      <c r="M358" s="10">
        <v>0.05</v>
      </c>
      <c r="N358" s="9">
        <f t="shared" si="70"/>
        <v>310</v>
      </c>
      <c r="O358" s="9">
        <f t="shared" si="60"/>
        <v>294.5</v>
      </c>
      <c r="P358" s="5" t="s">
        <v>2268</v>
      </c>
      <c r="Q358" s="5" t="s">
        <v>1761</v>
      </c>
      <c r="R358" s="5" t="s">
        <v>2277</v>
      </c>
      <c r="S358" s="5" t="s">
        <v>2285</v>
      </c>
      <c r="T358" s="5" t="s">
        <v>2290</v>
      </c>
      <c r="U358" s="8">
        <v>5</v>
      </c>
      <c r="V358" s="8">
        <v>173</v>
      </c>
      <c r="W358" s="8">
        <v>29</v>
      </c>
      <c r="X358" s="9">
        <v>53.96</v>
      </c>
      <c r="Y358" s="9">
        <f t="shared" si="61"/>
        <v>186.57999999999998</v>
      </c>
      <c r="Z358" s="5" t="s">
        <v>1761</v>
      </c>
      <c r="AA358" s="5" t="s">
        <v>2296</v>
      </c>
      <c r="AB358" s="9">
        <f t="shared" si="62"/>
        <v>310</v>
      </c>
      <c r="AC358" s="9">
        <f t="shared" si="63"/>
        <v>15.5</v>
      </c>
      <c r="AD358" s="9">
        <f t="shared" si="64"/>
        <v>294.5</v>
      </c>
      <c r="AE358" s="9">
        <f t="shared" si="65"/>
        <v>107.92</v>
      </c>
      <c r="AF358" s="9">
        <f t="shared" si="71"/>
        <v>186.57999999999998</v>
      </c>
      <c r="AG358" s="8">
        <f t="shared" si="66"/>
        <v>2024</v>
      </c>
      <c r="AH358" s="8">
        <f t="shared" si="67"/>
        <v>7</v>
      </c>
      <c r="AI358" s="5" t="str">
        <f t="shared" si="68"/>
        <v>Jul</v>
      </c>
      <c r="AJ358" s="5" t="str">
        <f t="shared" si="69"/>
        <v>Sunday</v>
      </c>
    </row>
    <row r="359" spans="1:36" x14ac:dyDescent="0.3">
      <c r="A359" s="5" t="s">
        <v>393</v>
      </c>
      <c r="B359" s="6">
        <v>45374</v>
      </c>
      <c r="C359" s="7">
        <v>0.78125</v>
      </c>
      <c r="D359" s="5" t="s">
        <v>1761</v>
      </c>
      <c r="E359" s="5" t="s">
        <v>2021</v>
      </c>
      <c r="F359" s="5" t="s">
        <v>2239</v>
      </c>
      <c r="G359" s="5" t="s">
        <v>2246</v>
      </c>
      <c r="H359" s="5" t="s">
        <v>2259</v>
      </c>
      <c r="I359" s="5" t="s">
        <v>2262</v>
      </c>
      <c r="J359" s="5" t="s">
        <v>2265</v>
      </c>
      <c r="K359" s="8">
        <v>1</v>
      </c>
      <c r="L359" s="9">
        <v>100</v>
      </c>
      <c r="M359" s="10">
        <v>0.05</v>
      </c>
      <c r="N359" s="9">
        <f t="shared" si="70"/>
        <v>100</v>
      </c>
      <c r="O359" s="9">
        <f t="shared" si="60"/>
        <v>95</v>
      </c>
      <c r="P359" s="5" t="s">
        <v>2267</v>
      </c>
      <c r="Q359" s="5" t="s">
        <v>2272</v>
      </c>
      <c r="R359" s="5" t="s">
        <v>2276</v>
      </c>
      <c r="S359" s="5" t="s">
        <v>2287</v>
      </c>
      <c r="T359" s="5" t="s">
        <v>2289</v>
      </c>
      <c r="U359" s="8">
        <v>3</v>
      </c>
      <c r="V359" s="8">
        <v>441</v>
      </c>
      <c r="W359" s="19">
        <v>35</v>
      </c>
      <c r="X359" s="9">
        <v>40.86</v>
      </c>
      <c r="Y359" s="9">
        <f t="shared" si="61"/>
        <v>54.14</v>
      </c>
      <c r="Z359" s="5" t="s">
        <v>1761</v>
      </c>
      <c r="AA359" s="5" t="s">
        <v>2298</v>
      </c>
      <c r="AB359" s="9">
        <f t="shared" si="62"/>
        <v>100</v>
      </c>
      <c r="AC359" s="9">
        <f t="shared" si="63"/>
        <v>5</v>
      </c>
      <c r="AD359" s="9">
        <f t="shared" si="64"/>
        <v>95</v>
      </c>
      <c r="AE359" s="9">
        <f t="shared" si="65"/>
        <v>40.86</v>
      </c>
      <c r="AF359" s="9">
        <f t="shared" si="71"/>
        <v>54.14</v>
      </c>
      <c r="AG359" s="8">
        <f t="shared" si="66"/>
        <v>2024</v>
      </c>
      <c r="AH359" s="8">
        <f t="shared" si="67"/>
        <v>3</v>
      </c>
      <c r="AI359" s="5" t="str">
        <f t="shared" si="68"/>
        <v>Mar</v>
      </c>
      <c r="AJ359" s="5" t="str">
        <f t="shared" si="69"/>
        <v>Saturday</v>
      </c>
    </row>
    <row r="360" spans="1:36" x14ac:dyDescent="0.3">
      <c r="A360" s="5" t="s">
        <v>394</v>
      </c>
      <c r="B360" s="6">
        <v>45455</v>
      </c>
      <c r="C360" s="7">
        <v>0.43055555555555558</v>
      </c>
      <c r="D360" s="5" t="s">
        <v>1803</v>
      </c>
      <c r="E360" s="5" t="s">
        <v>1761</v>
      </c>
      <c r="F360" s="5" t="s">
        <v>2240</v>
      </c>
      <c r="G360" s="5" t="s">
        <v>2248</v>
      </c>
      <c r="H360" s="5" t="s">
        <v>2257</v>
      </c>
      <c r="I360" s="5" t="s">
        <v>2262</v>
      </c>
      <c r="J360" s="5" t="s">
        <v>1761</v>
      </c>
      <c r="K360" s="8">
        <v>1</v>
      </c>
      <c r="L360" s="9">
        <v>145</v>
      </c>
      <c r="M360" s="10">
        <v>0</v>
      </c>
      <c r="N360" s="9">
        <f t="shared" si="70"/>
        <v>145</v>
      </c>
      <c r="O360" s="9">
        <f t="shared" si="60"/>
        <v>145</v>
      </c>
      <c r="P360" s="5" t="s">
        <v>2269</v>
      </c>
      <c r="Q360" s="5" t="s">
        <v>2270</v>
      </c>
      <c r="R360" s="5" t="s">
        <v>2277</v>
      </c>
      <c r="S360" s="5" t="s">
        <v>2282</v>
      </c>
      <c r="T360" s="5" t="s">
        <v>2288</v>
      </c>
      <c r="U360" s="8">
        <v>3</v>
      </c>
      <c r="V360" s="8">
        <v>116</v>
      </c>
      <c r="W360" s="8">
        <v>37</v>
      </c>
      <c r="X360" s="9">
        <v>84.92</v>
      </c>
      <c r="Y360" s="9">
        <f t="shared" si="61"/>
        <v>60.08</v>
      </c>
      <c r="Z360" s="5" t="s">
        <v>1761</v>
      </c>
      <c r="AA360" s="5" t="s">
        <v>1761</v>
      </c>
      <c r="AB360" s="9">
        <f t="shared" si="62"/>
        <v>145</v>
      </c>
      <c r="AC360" s="9">
        <f t="shared" si="63"/>
        <v>0</v>
      </c>
      <c r="AD360" s="9">
        <f t="shared" si="64"/>
        <v>145</v>
      </c>
      <c r="AE360" s="9">
        <f t="shared" si="65"/>
        <v>84.92</v>
      </c>
      <c r="AF360" s="9">
        <f t="shared" si="71"/>
        <v>60.08</v>
      </c>
      <c r="AG360" s="8">
        <f t="shared" si="66"/>
        <v>2024</v>
      </c>
      <c r="AH360" s="8">
        <f t="shared" si="67"/>
        <v>6</v>
      </c>
      <c r="AI360" s="5" t="str">
        <f t="shared" si="68"/>
        <v>Jun</v>
      </c>
      <c r="AJ360" s="5" t="str">
        <f t="shared" si="69"/>
        <v>Wednesday</v>
      </c>
    </row>
    <row r="361" spans="1:36" x14ac:dyDescent="0.3">
      <c r="A361" s="5" t="s">
        <v>395</v>
      </c>
      <c r="B361" s="6">
        <v>45481</v>
      </c>
      <c r="C361" s="7">
        <v>0.84027777777777779</v>
      </c>
      <c r="D361" s="5" t="s">
        <v>1896</v>
      </c>
      <c r="E361" s="5" t="s">
        <v>1955</v>
      </c>
      <c r="F361" s="5" t="s">
        <v>2238</v>
      </c>
      <c r="G361" s="5" t="s">
        <v>2254</v>
      </c>
      <c r="H361" s="5" t="s">
        <v>2259</v>
      </c>
      <c r="I361" s="5" t="s">
        <v>2263</v>
      </c>
      <c r="J361" s="5" t="s">
        <v>2264</v>
      </c>
      <c r="K361" s="8">
        <v>1</v>
      </c>
      <c r="L361" s="9">
        <v>110</v>
      </c>
      <c r="M361" s="10">
        <v>0.05</v>
      </c>
      <c r="N361" s="9">
        <f t="shared" si="70"/>
        <v>110</v>
      </c>
      <c r="O361" s="9">
        <f t="shared" si="60"/>
        <v>104.5</v>
      </c>
      <c r="P361" s="5" t="s">
        <v>2267</v>
      </c>
      <c r="Q361" s="5" t="s">
        <v>2270</v>
      </c>
      <c r="R361" s="5" t="s">
        <v>2279</v>
      </c>
      <c r="S361" s="5" t="s">
        <v>2280</v>
      </c>
      <c r="T361" s="5" t="s">
        <v>2289</v>
      </c>
      <c r="U361" s="8">
        <v>5</v>
      </c>
      <c r="V361" s="8">
        <v>217</v>
      </c>
      <c r="W361" s="8">
        <v>13</v>
      </c>
      <c r="X361" s="9">
        <v>38.78</v>
      </c>
      <c r="Y361" s="9">
        <f t="shared" si="61"/>
        <v>65.72</v>
      </c>
      <c r="Z361" s="5" t="s">
        <v>1761</v>
      </c>
      <c r="AA361" s="5" t="s">
        <v>2296</v>
      </c>
      <c r="AB361" s="9">
        <f t="shared" si="62"/>
        <v>110</v>
      </c>
      <c r="AC361" s="9">
        <f t="shared" si="63"/>
        <v>5.5</v>
      </c>
      <c r="AD361" s="9">
        <f t="shared" si="64"/>
        <v>104.5</v>
      </c>
      <c r="AE361" s="9">
        <f t="shared" si="65"/>
        <v>38.78</v>
      </c>
      <c r="AF361" s="9">
        <f t="shared" si="71"/>
        <v>65.72</v>
      </c>
      <c r="AG361" s="8">
        <f t="shared" si="66"/>
        <v>2024</v>
      </c>
      <c r="AH361" s="8">
        <f t="shared" si="67"/>
        <v>7</v>
      </c>
      <c r="AI361" s="5" t="str">
        <f t="shared" si="68"/>
        <v>Jul</v>
      </c>
      <c r="AJ361" s="5" t="str">
        <f t="shared" si="69"/>
        <v>Monday</v>
      </c>
    </row>
    <row r="362" spans="1:36" x14ac:dyDescent="0.3">
      <c r="A362" s="5" t="s">
        <v>396</v>
      </c>
      <c r="B362" s="6">
        <v>45407</v>
      </c>
      <c r="C362" s="7">
        <v>0.30555555555555558</v>
      </c>
      <c r="D362" s="5" t="s">
        <v>1834</v>
      </c>
      <c r="E362" s="5" t="s">
        <v>2148</v>
      </c>
      <c r="F362" s="5" t="s">
        <v>1761</v>
      </c>
      <c r="G362" s="5" t="s">
        <v>2243</v>
      </c>
      <c r="H362" s="5" t="s">
        <v>2258</v>
      </c>
      <c r="I362" s="5" t="s">
        <v>2260</v>
      </c>
      <c r="J362" s="5" t="s">
        <v>2265</v>
      </c>
      <c r="K362" s="8">
        <v>2</v>
      </c>
      <c r="L362" s="9">
        <v>70</v>
      </c>
      <c r="M362" s="10">
        <v>0</v>
      </c>
      <c r="N362" s="9">
        <f t="shared" si="70"/>
        <v>140</v>
      </c>
      <c r="O362" s="9">
        <f t="shared" si="60"/>
        <v>140</v>
      </c>
      <c r="P362" s="5" t="s">
        <v>2269</v>
      </c>
      <c r="Q362" s="5" t="s">
        <v>2272</v>
      </c>
      <c r="R362" s="5" t="s">
        <v>2279</v>
      </c>
      <c r="S362" s="5" t="s">
        <v>2283</v>
      </c>
      <c r="T362" s="5" t="s">
        <v>2288</v>
      </c>
      <c r="U362" s="8">
        <v>2</v>
      </c>
      <c r="V362" s="8">
        <v>444</v>
      </c>
      <c r="W362" s="8">
        <v>22</v>
      </c>
      <c r="X362" s="9">
        <v>31.46</v>
      </c>
      <c r="Y362" s="9">
        <f t="shared" si="61"/>
        <v>77.08</v>
      </c>
      <c r="Z362" s="5" t="s">
        <v>2293</v>
      </c>
      <c r="AA362" s="5" t="s">
        <v>2296</v>
      </c>
      <c r="AB362" s="9">
        <f t="shared" si="62"/>
        <v>140</v>
      </c>
      <c r="AC362" s="9">
        <f t="shared" si="63"/>
        <v>0</v>
      </c>
      <c r="AD362" s="9">
        <f t="shared" si="64"/>
        <v>140</v>
      </c>
      <c r="AE362" s="9">
        <f t="shared" si="65"/>
        <v>62.92</v>
      </c>
      <c r="AF362" s="9">
        <f t="shared" si="71"/>
        <v>77.08</v>
      </c>
      <c r="AG362" s="8">
        <f t="shared" si="66"/>
        <v>2024</v>
      </c>
      <c r="AH362" s="8">
        <f t="shared" si="67"/>
        <v>4</v>
      </c>
      <c r="AI362" s="5" t="str">
        <f t="shared" si="68"/>
        <v>Apr</v>
      </c>
      <c r="AJ362" s="5" t="str">
        <f t="shared" si="69"/>
        <v>Thursday</v>
      </c>
    </row>
    <row r="363" spans="1:36" x14ac:dyDescent="0.3">
      <c r="A363" s="5" t="s">
        <v>397</v>
      </c>
      <c r="B363" s="6">
        <v>45385</v>
      </c>
      <c r="C363" s="7">
        <v>0.46527777777777779</v>
      </c>
      <c r="D363" s="5" t="s">
        <v>1907</v>
      </c>
      <c r="E363" s="5" t="s">
        <v>1964</v>
      </c>
      <c r="F363" s="5" t="s">
        <v>2240</v>
      </c>
      <c r="G363" s="5" t="s">
        <v>2256</v>
      </c>
      <c r="H363" s="5" t="s">
        <v>2261</v>
      </c>
      <c r="I363" s="5" t="s">
        <v>2260</v>
      </c>
      <c r="J363" s="5" t="s">
        <v>2265</v>
      </c>
      <c r="K363" s="8">
        <v>1</v>
      </c>
      <c r="L363" s="9">
        <v>195</v>
      </c>
      <c r="M363" s="10">
        <v>0.05</v>
      </c>
      <c r="N363" s="9">
        <f t="shared" si="70"/>
        <v>195</v>
      </c>
      <c r="O363" s="9">
        <f t="shared" si="60"/>
        <v>185.25</v>
      </c>
      <c r="P363" s="5" t="s">
        <v>2267</v>
      </c>
      <c r="Q363" s="5" t="s">
        <v>2270</v>
      </c>
      <c r="R363" s="5" t="s">
        <v>2274</v>
      </c>
      <c r="S363" s="5" t="s">
        <v>2280</v>
      </c>
      <c r="T363" s="5" t="s">
        <v>2288</v>
      </c>
      <c r="U363" s="19">
        <v>3</v>
      </c>
      <c r="V363" s="8">
        <v>402</v>
      </c>
      <c r="W363" s="19">
        <v>34</v>
      </c>
      <c r="X363" s="9">
        <v>71.099999999999994</v>
      </c>
      <c r="Y363" s="9">
        <f t="shared" si="61"/>
        <v>114.15</v>
      </c>
      <c r="Z363" s="5" t="s">
        <v>2293</v>
      </c>
      <c r="AA363" s="5" t="s">
        <v>2299</v>
      </c>
      <c r="AB363" s="9">
        <f t="shared" si="62"/>
        <v>195</v>
      </c>
      <c r="AC363" s="9">
        <f t="shared" si="63"/>
        <v>9.75</v>
      </c>
      <c r="AD363" s="9">
        <f t="shared" si="64"/>
        <v>185.25</v>
      </c>
      <c r="AE363" s="9">
        <f t="shared" si="65"/>
        <v>71.099999999999994</v>
      </c>
      <c r="AF363" s="9">
        <f t="shared" si="71"/>
        <v>114.15</v>
      </c>
      <c r="AG363" s="8">
        <f t="shared" si="66"/>
        <v>2024</v>
      </c>
      <c r="AH363" s="8">
        <f t="shared" si="67"/>
        <v>4</v>
      </c>
      <c r="AI363" s="5" t="str">
        <f t="shared" si="68"/>
        <v>Apr</v>
      </c>
      <c r="AJ363" s="5" t="str">
        <f t="shared" si="69"/>
        <v>Wednesday</v>
      </c>
    </row>
    <row r="364" spans="1:36" x14ac:dyDescent="0.3">
      <c r="A364" s="5" t="s">
        <v>398</v>
      </c>
      <c r="B364" s="6">
        <v>45393</v>
      </c>
      <c r="C364" s="7">
        <v>0.63541666666666663</v>
      </c>
      <c r="D364" s="5" t="s">
        <v>1747</v>
      </c>
      <c r="E364" s="5" t="s">
        <v>2086</v>
      </c>
      <c r="F364" s="5" t="s">
        <v>1761</v>
      </c>
      <c r="G364" s="5" t="s">
        <v>2254</v>
      </c>
      <c r="H364" s="5" t="s">
        <v>2259</v>
      </c>
      <c r="I364" s="5" t="s">
        <v>2263</v>
      </c>
      <c r="J364" s="5" t="s">
        <v>2265</v>
      </c>
      <c r="K364" s="8">
        <v>1</v>
      </c>
      <c r="L364" s="9">
        <v>110</v>
      </c>
      <c r="M364" s="10">
        <v>0.1</v>
      </c>
      <c r="N364" s="9">
        <f t="shared" si="70"/>
        <v>110</v>
      </c>
      <c r="O364" s="9">
        <f t="shared" si="60"/>
        <v>99</v>
      </c>
      <c r="P364" s="5" t="s">
        <v>2269</v>
      </c>
      <c r="Q364" s="5" t="s">
        <v>2272</v>
      </c>
      <c r="R364" s="5" t="s">
        <v>2278</v>
      </c>
      <c r="S364" s="5" t="s">
        <v>2281</v>
      </c>
      <c r="T364" s="5" t="s">
        <v>2288</v>
      </c>
      <c r="U364" s="8">
        <v>4</v>
      </c>
      <c r="V364" s="8">
        <v>248</v>
      </c>
      <c r="W364" s="8">
        <v>30</v>
      </c>
      <c r="X364" s="9">
        <v>44.61</v>
      </c>
      <c r="Y364" s="9">
        <f t="shared" si="61"/>
        <v>54.39</v>
      </c>
      <c r="Z364" s="5" t="s">
        <v>2293</v>
      </c>
      <c r="AA364" s="5" t="s">
        <v>2296</v>
      </c>
      <c r="AB364" s="9">
        <f t="shared" si="62"/>
        <v>110</v>
      </c>
      <c r="AC364" s="9">
        <f t="shared" si="63"/>
        <v>11</v>
      </c>
      <c r="AD364" s="9">
        <f t="shared" si="64"/>
        <v>99</v>
      </c>
      <c r="AE364" s="9">
        <f t="shared" si="65"/>
        <v>44.61</v>
      </c>
      <c r="AF364" s="9">
        <f t="shared" si="71"/>
        <v>54.39</v>
      </c>
      <c r="AG364" s="8">
        <f t="shared" si="66"/>
        <v>2024</v>
      </c>
      <c r="AH364" s="8">
        <f t="shared" si="67"/>
        <v>4</v>
      </c>
      <c r="AI364" s="5" t="str">
        <f t="shared" si="68"/>
        <v>Apr</v>
      </c>
      <c r="AJ364" s="5" t="str">
        <f t="shared" si="69"/>
        <v>Thursday</v>
      </c>
    </row>
    <row r="365" spans="1:36" x14ac:dyDescent="0.3">
      <c r="A365" s="5" t="s">
        <v>399</v>
      </c>
      <c r="B365" s="6">
        <v>45521</v>
      </c>
      <c r="C365" s="7">
        <v>0.88194444444444442</v>
      </c>
      <c r="D365" s="5" t="s">
        <v>1748</v>
      </c>
      <c r="E365" s="5" t="s">
        <v>1968</v>
      </c>
      <c r="F365" s="5" t="s">
        <v>2238</v>
      </c>
      <c r="G365" s="5" t="s">
        <v>2248</v>
      </c>
      <c r="H365" s="5" t="s">
        <v>2257</v>
      </c>
      <c r="I365" s="5" t="s">
        <v>2262</v>
      </c>
      <c r="J365" s="5" t="s">
        <v>2266</v>
      </c>
      <c r="K365" s="8">
        <v>1</v>
      </c>
      <c r="L365" s="9">
        <v>145</v>
      </c>
      <c r="M365" s="10">
        <v>0.05</v>
      </c>
      <c r="N365" s="9">
        <f t="shared" si="70"/>
        <v>145</v>
      </c>
      <c r="O365" s="9">
        <f t="shared" si="60"/>
        <v>137.75</v>
      </c>
      <c r="P365" s="5" t="s">
        <v>2267</v>
      </c>
      <c r="Q365" s="5" t="s">
        <v>2272</v>
      </c>
      <c r="R365" s="5" t="s">
        <v>2278</v>
      </c>
      <c r="S365" s="5" t="s">
        <v>2287</v>
      </c>
      <c r="T365" s="5" t="s">
        <v>2288</v>
      </c>
      <c r="U365" s="8">
        <v>2</v>
      </c>
      <c r="V365" s="8">
        <v>279</v>
      </c>
      <c r="W365" s="8">
        <v>59</v>
      </c>
      <c r="X365" s="9">
        <v>65.040000000000006</v>
      </c>
      <c r="Y365" s="9">
        <f t="shared" si="61"/>
        <v>72.709999999999994</v>
      </c>
      <c r="Z365" s="5" t="s">
        <v>1761</v>
      </c>
      <c r="AA365" s="5" t="s">
        <v>2298</v>
      </c>
      <c r="AB365" s="9">
        <f t="shared" si="62"/>
        <v>145</v>
      </c>
      <c r="AC365" s="9">
        <f t="shared" si="63"/>
        <v>7.25</v>
      </c>
      <c r="AD365" s="9">
        <f t="shared" si="64"/>
        <v>137.75</v>
      </c>
      <c r="AE365" s="9">
        <f t="shared" si="65"/>
        <v>65.040000000000006</v>
      </c>
      <c r="AF365" s="9">
        <f t="shared" si="71"/>
        <v>72.709999999999994</v>
      </c>
      <c r="AG365" s="8">
        <f t="shared" si="66"/>
        <v>2024</v>
      </c>
      <c r="AH365" s="8">
        <f t="shared" si="67"/>
        <v>8</v>
      </c>
      <c r="AI365" s="5" t="str">
        <f t="shared" si="68"/>
        <v>Aug</v>
      </c>
      <c r="AJ365" s="5" t="str">
        <f t="shared" si="69"/>
        <v>Saturday</v>
      </c>
    </row>
    <row r="366" spans="1:36" x14ac:dyDescent="0.3">
      <c r="A366" s="5" t="s">
        <v>400</v>
      </c>
      <c r="B366" s="6">
        <v>45468</v>
      </c>
      <c r="C366" s="7">
        <v>0.70138888888888884</v>
      </c>
      <c r="D366" s="5" t="s">
        <v>1896</v>
      </c>
      <c r="E366" s="5" t="s">
        <v>2149</v>
      </c>
      <c r="F366" s="5" t="s">
        <v>2239</v>
      </c>
      <c r="G366" s="5" t="s">
        <v>2243</v>
      </c>
      <c r="H366" s="5" t="s">
        <v>2258</v>
      </c>
      <c r="I366" s="5" t="s">
        <v>2260</v>
      </c>
      <c r="J366" s="5" t="s">
        <v>2266</v>
      </c>
      <c r="K366" s="8">
        <v>2</v>
      </c>
      <c r="L366" s="9">
        <v>65</v>
      </c>
      <c r="M366" s="10">
        <v>0.1</v>
      </c>
      <c r="N366" s="9">
        <f t="shared" si="70"/>
        <v>130</v>
      </c>
      <c r="O366" s="9">
        <f t="shared" si="60"/>
        <v>117</v>
      </c>
      <c r="P366" s="5" t="s">
        <v>2269</v>
      </c>
      <c r="Q366" s="5" t="s">
        <v>2272</v>
      </c>
      <c r="R366" s="5" t="s">
        <v>2279</v>
      </c>
      <c r="S366" s="5" t="s">
        <v>2285</v>
      </c>
      <c r="T366" s="5" t="s">
        <v>2290</v>
      </c>
      <c r="U366" s="19">
        <v>3</v>
      </c>
      <c r="V366" s="19">
        <v>244</v>
      </c>
      <c r="W366" s="19">
        <v>35</v>
      </c>
      <c r="X366" s="9">
        <v>31.79</v>
      </c>
      <c r="Y366" s="9">
        <f t="shared" si="61"/>
        <v>53.42</v>
      </c>
      <c r="Z366" s="5" t="s">
        <v>2291</v>
      </c>
      <c r="AA366" s="5" t="s">
        <v>2296</v>
      </c>
      <c r="AB366" s="9">
        <f t="shared" si="62"/>
        <v>130</v>
      </c>
      <c r="AC366" s="9">
        <f t="shared" si="63"/>
        <v>13</v>
      </c>
      <c r="AD366" s="9">
        <f t="shared" si="64"/>
        <v>117</v>
      </c>
      <c r="AE366" s="9">
        <f t="shared" si="65"/>
        <v>63.58</v>
      </c>
      <c r="AF366" s="9">
        <f t="shared" si="71"/>
        <v>53.42</v>
      </c>
      <c r="AG366" s="8">
        <f t="shared" si="66"/>
        <v>2024</v>
      </c>
      <c r="AH366" s="8">
        <f t="shared" si="67"/>
        <v>6</v>
      </c>
      <c r="AI366" s="5" t="str">
        <f t="shared" si="68"/>
        <v>Jun</v>
      </c>
      <c r="AJ366" s="5" t="str">
        <f t="shared" si="69"/>
        <v>Tuesday</v>
      </c>
    </row>
    <row r="367" spans="1:36" x14ac:dyDescent="0.3">
      <c r="A367" s="5" t="s">
        <v>401</v>
      </c>
      <c r="B367" s="6">
        <v>45509</v>
      </c>
      <c r="C367" s="7">
        <v>0.55208333333333337</v>
      </c>
      <c r="D367" s="5" t="s">
        <v>1764</v>
      </c>
      <c r="E367" s="5" t="s">
        <v>2150</v>
      </c>
      <c r="F367" s="5" t="s">
        <v>2239</v>
      </c>
      <c r="G367" s="5" t="s">
        <v>2246</v>
      </c>
      <c r="H367" s="5" t="s">
        <v>2259</v>
      </c>
      <c r="I367" s="5" t="s">
        <v>2262</v>
      </c>
      <c r="J367" s="5" t="s">
        <v>2265</v>
      </c>
      <c r="K367" s="8">
        <v>2</v>
      </c>
      <c r="L367" s="9">
        <v>105</v>
      </c>
      <c r="M367" s="10">
        <v>0.15</v>
      </c>
      <c r="N367" s="9">
        <f t="shared" si="70"/>
        <v>210</v>
      </c>
      <c r="O367" s="9">
        <f t="shared" si="60"/>
        <v>178.5</v>
      </c>
      <c r="P367" s="5" t="s">
        <v>2267</v>
      </c>
      <c r="Q367" s="5" t="s">
        <v>2270</v>
      </c>
      <c r="R367" s="5" t="s">
        <v>2273</v>
      </c>
      <c r="S367" s="5" t="s">
        <v>2283</v>
      </c>
      <c r="T367" s="5" t="s">
        <v>2288</v>
      </c>
      <c r="U367" s="8">
        <v>5</v>
      </c>
      <c r="V367" s="8">
        <v>183</v>
      </c>
      <c r="W367" s="8">
        <v>26</v>
      </c>
      <c r="X367" s="9">
        <v>46.7</v>
      </c>
      <c r="Y367" s="9">
        <f t="shared" si="61"/>
        <v>85.1</v>
      </c>
      <c r="Z367" s="5" t="s">
        <v>2293</v>
      </c>
      <c r="AA367" s="5" t="s">
        <v>1761</v>
      </c>
      <c r="AB367" s="9">
        <f t="shared" si="62"/>
        <v>210</v>
      </c>
      <c r="AC367" s="9">
        <f t="shared" si="63"/>
        <v>31.5</v>
      </c>
      <c r="AD367" s="9">
        <f t="shared" si="64"/>
        <v>178.5</v>
      </c>
      <c r="AE367" s="9">
        <f t="shared" si="65"/>
        <v>93.4</v>
      </c>
      <c r="AF367" s="9">
        <f t="shared" si="71"/>
        <v>85.1</v>
      </c>
      <c r="AG367" s="8">
        <f t="shared" si="66"/>
        <v>2024</v>
      </c>
      <c r="AH367" s="8">
        <f t="shared" si="67"/>
        <v>8</v>
      </c>
      <c r="AI367" s="5" t="str">
        <f t="shared" si="68"/>
        <v>Aug</v>
      </c>
      <c r="AJ367" s="5" t="str">
        <f t="shared" si="69"/>
        <v>Monday</v>
      </c>
    </row>
    <row r="368" spans="1:36" x14ac:dyDescent="0.3">
      <c r="A368" s="5" t="s">
        <v>402</v>
      </c>
      <c r="B368" s="6">
        <v>45398</v>
      </c>
      <c r="C368" s="7">
        <v>0.71527777777777779</v>
      </c>
      <c r="D368" s="5" t="s">
        <v>1904</v>
      </c>
      <c r="E368" s="5" t="s">
        <v>2151</v>
      </c>
      <c r="F368" s="5" t="s">
        <v>2240</v>
      </c>
      <c r="G368" s="5" t="s">
        <v>2255</v>
      </c>
      <c r="H368" s="5" t="s">
        <v>2260</v>
      </c>
      <c r="I368" s="5" t="s">
        <v>2260</v>
      </c>
      <c r="J368" s="5" t="s">
        <v>2265</v>
      </c>
      <c r="K368" s="8">
        <v>1</v>
      </c>
      <c r="L368" s="9">
        <v>180</v>
      </c>
      <c r="M368" s="10">
        <v>0.05</v>
      </c>
      <c r="N368" s="9">
        <f t="shared" si="70"/>
        <v>180</v>
      </c>
      <c r="O368" s="9">
        <f t="shared" si="60"/>
        <v>171</v>
      </c>
      <c r="P368" s="5" t="s">
        <v>2269</v>
      </c>
      <c r="Q368" s="5" t="s">
        <v>2272</v>
      </c>
      <c r="R368" s="5" t="s">
        <v>2278</v>
      </c>
      <c r="S368" s="5" t="s">
        <v>2286</v>
      </c>
      <c r="T368" s="5" t="s">
        <v>2288</v>
      </c>
      <c r="U368" s="8">
        <v>2</v>
      </c>
      <c r="V368" s="8">
        <v>268</v>
      </c>
      <c r="W368" s="8">
        <v>23</v>
      </c>
      <c r="X368" s="9">
        <v>98.23</v>
      </c>
      <c r="Y368" s="9">
        <f t="shared" si="61"/>
        <v>72.77</v>
      </c>
      <c r="Z368" s="5" t="s">
        <v>2292</v>
      </c>
      <c r="AA368" s="5" t="s">
        <v>2297</v>
      </c>
      <c r="AB368" s="9">
        <f t="shared" si="62"/>
        <v>180</v>
      </c>
      <c r="AC368" s="9">
        <f t="shared" si="63"/>
        <v>9</v>
      </c>
      <c r="AD368" s="9">
        <f t="shared" si="64"/>
        <v>171</v>
      </c>
      <c r="AE368" s="9">
        <f t="shared" si="65"/>
        <v>98.23</v>
      </c>
      <c r="AF368" s="9">
        <f t="shared" si="71"/>
        <v>72.77</v>
      </c>
      <c r="AG368" s="8">
        <f t="shared" si="66"/>
        <v>2024</v>
      </c>
      <c r="AH368" s="8">
        <f t="shared" si="67"/>
        <v>4</v>
      </c>
      <c r="AI368" s="5" t="str">
        <f t="shared" si="68"/>
        <v>Apr</v>
      </c>
      <c r="AJ368" s="5" t="str">
        <f t="shared" si="69"/>
        <v>Tuesday</v>
      </c>
    </row>
    <row r="369" spans="1:36" x14ac:dyDescent="0.3">
      <c r="A369" s="5" t="s">
        <v>403</v>
      </c>
      <c r="B369" s="6">
        <v>45461</v>
      </c>
      <c r="C369" s="7">
        <v>0.76041666666666663</v>
      </c>
      <c r="D369" s="5" t="s">
        <v>1846</v>
      </c>
      <c r="E369" s="5" t="s">
        <v>2048</v>
      </c>
      <c r="F369" s="5" t="s">
        <v>2240</v>
      </c>
      <c r="G369" s="5" t="s">
        <v>2244</v>
      </c>
      <c r="H369" s="5" t="s">
        <v>2257</v>
      </c>
      <c r="I369" s="5" t="s">
        <v>2262</v>
      </c>
      <c r="J369" s="5" t="s">
        <v>2264</v>
      </c>
      <c r="K369" s="8">
        <v>1</v>
      </c>
      <c r="L369" s="9">
        <v>115</v>
      </c>
      <c r="M369" s="10">
        <v>0.05</v>
      </c>
      <c r="N369" s="9">
        <f t="shared" si="70"/>
        <v>115</v>
      </c>
      <c r="O369" s="9">
        <f t="shared" si="60"/>
        <v>109.25</v>
      </c>
      <c r="P369" s="5" t="s">
        <v>1761</v>
      </c>
      <c r="Q369" s="5" t="s">
        <v>2271</v>
      </c>
      <c r="R369" s="5" t="s">
        <v>2275</v>
      </c>
      <c r="S369" s="5" t="s">
        <v>2282</v>
      </c>
      <c r="T369" s="5" t="s">
        <v>2288</v>
      </c>
      <c r="U369" s="8">
        <v>3</v>
      </c>
      <c r="V369" s="8">
        <v>96</v>
      </c>
      <c r="W369" s="8">
        <v>29</v>
      </c>
      <c r="X369" s="9">
        <v>50.13</v>
      </c>
      <c r="Y369" s="9">
        <f t="shared" si="61"/>
        <v>59.12</v>
      </c>
      <c r="Z369" s="5" t="s">
        <v>2293</v>
      </c>
      <c r="AA369" s="5" t="s">
        <v>2298</v>
      </c>
      <c r="AB369" s="9">
        <f t="shared" si="62"/>
        <v>115</v>
      </c>
      <c r="AC369" s="9">
        <f t="shared" si="63"/>
        <v>5.75</v>
      </c>
      <c r="AD369" s="9">
        <f t="shared" si="64"/>
        <v>109.25</v>
      </c>
      <c r="AE369" s="9">
        <f t="shared" si="65"/>
        <v>50.13</v>
      </c>
      <c r="AF369" s="9">
        <f t="shared" si="71"/>
        <v>59.12</v>
      </c>
      <c r="AG369" s="8">
        <f t="shared" si="66"/>
        <v>2024</v>
      </c>
      <c r="AH369" s="8">
        <f t="shared" si="67"/>
        <v>6</v>
      </c>
      <c r="AI369" s="5" t="str">
        <f t="shared" si="68"/>
        <v>Jun</v>
      </c>
      <c r="AJ369" s="5" t="str">
        <f t="shared" si="69"/>
        <v>Tuesday</v>
      </c>
    </row>
    <row r="370" spans="1:36" x14ac:dyDescent="0.3">
      <c r="A370" s="5" t="s">
        <v>404</v>
      </c>
      <c r="B370" s="6">
        <v>45358</v>
      </c>
      <c r="C370" s="7">
        <v>0.39583333333333331</v>
      </c>
      <c r="D370" s="5" t="s">
        <v>1772</v>
      </c>
      <c r="E370" s="5" t="s">
        <v>2104</v>
      </c>
      <c r="F370" s="5" t="s">
        <v>1761</v>
      </c>
      <c r="G370" s="5" t="s">
        <v>2246</v>
      </c>
      <c r="H370" s="5" t="s">
        <v>2259</v>
      </c>
      <c r="I370" s="5" t="s">
        <v>2262</v>
      </c>
      <c r="J370" s="5" t="s">
        <v>2266</v>
      </c>
      <c r="K370" s="8">
        <v>2</v>
      </c>
      <c r="L370" s="9">
        <v>100</v>
      </c>
      <c r="M370" s="10">
        <v>0</v>
      </c>
      <c r="N370" s="9">
        <f t="shared" si="70"/>
        <v>200</v>
      </c>
      <c r="O370" s="9">
        <f t="shared" si="60"/>
        <v>200</v>
      </c>
      <c r="P370" s="5" t="s">
        <v>2267</v>
      </c>
      <c r="Q370" s="5" t="s">
        <v>2272</v>
      </c>
      <c r="R370" s="5" t="s">
        <v>2273</v>
      </c>
      <c r="S370" s="5" t="s">
        <v>2285</v>
      </c>
      <c r="T370" s="5" t="s">
        <v>2288</v>
      </c>
      <c r="U370" s="8">
        <v>3</v>
      </c>
      <c r="V370" s="8">
        <v>500</v>
      </c>
      <c r="W370" s="19">
        <v>35</v>
      </c>
      <c r="X370" s="9">
        <v>35.18</v>
      </c>
      <c r="Y370" s="9">
        <f t="shared" si="61"/>
        <v>129.63999999999999</v>
      </c>
      <c r="Z370" s="5" t="s">
        <v>1761</v>
      </c>
      <c r="AA370" s="5" t="s">
        <v>1761</v>
      </c>
      <c r="AB370" s="9">
        <f t="shared" si="62"/>
        <v>200</v>
      </c>
      <c r="AC370" s="9">
        <f t="shared" si="63"/>
        <v>0</v>
      </c>
      <c r="AD370" s="9">
        <f t="shared" si="64"/>
        <v>200</v>
      </c>
      <c r="AE370" s="9">
        <f t="shared" si="65"/>
        <v>70.36</v>
      </c>
      <c r="AF370" s="9">
        <f t="shared" si="71"/>
        <v>129.63999999999999</v>
      </c>
      <c r="AG370" s="8">
        <f t="shared" si="66"/>
        <v>2024</v>
      </c>
      <c r="AH370" s="8">
        <f t="shared" si="67"/>
        <v>3</v>
      </c>
      <c r="AI370" s="5" t="str">
        <f t="shared" si="68"/>
        <v>Mar</v>
      </c>
      <c r="AJ370" s="5" t="str">
        <f t="shared" si="69"/>
        <v>Thursday</v>
      </c>
    </row>
    <row r="371" spans="1:36" x14ac:dyDescent="0.3">
      <c r="A371" s="5" t="s">
        <v>405</v>
      </c>
      <c r="B371" s="6">
        <v>45644</v>
      </c>
      <c r="C371" s="7">
        <v>0.41666666666666669</v>
      </c>
      <c r="D371" s="5" t="s">
        <v>1908</v>
      </c>
      <c r="E371" s="5" t="s">
        <v>2081</v>
      </c>
      <c r="F371" s="5" t="s">
        <v>2239</v>
      </c>
      <c r="G371" s="5" t="s">
        <v>2251</v>
      </c>
      <c r="H371" s="5" t="s">
        <v>2258</v>
      </c>
      <c r="I371" s="5" t="s">
        <v>2260</v>
      </c>
      <c r="J371" s="5" t="s">
        <v>2266</v>
      </c>
      <c r="K371" s="8">
        <v>1</v>
      </c>
      <c r="L371" s="9">
        <v>100</v>
      </c>
      <c r="M371" s="10">
        <v>0</v>
      </c>
      <c r="N371" s="9">
        <f t="shared" si="70"/>
        <v>100</v>
      </c>
      <c r="O371" s="9">
        <f t="shared" si="60"/>
        <v>100</v>
      </c>
      <c r="P371" s="5" t="s">
        <v>2269</v>
      </c>
      <c r="Q371" s="5" t="s">
        <v>2270</v>
      </c>
      <c r="R371" s="5" t="s">
        <v>2277</v>
      </c>
      <c r="S371" s="5" t="s">
        <v>2282</v>
      </c>
      <c r="T371" s="5" t="s">
        <v>2288</v>
      </c>
      <c r="U371" s="19">
        <v>3</v>
      </c>
      <c r="V371" s="8">
        <v>9</v>
      </c>
      <c r="W371" s="8">
        <v>52</v>
      </c>
      <c r="X371" s="9">
        <v>45.02</v>
      </c>
      <c r="Y371" s="9">
        <f t="shared" si="61"/>
        <v>54.98</v>
      </c>
      <c r="Z371" s="5" t="s">
        <v>1761</v>
      </c>
      <c r="AA371" s="5" t="s">
        <v>2296</v>
      </c>
      <c r="AB371" s="9">
        <f t="shared" si="62"/>
        <v>100</v>
      </c>
      <c r="AC371" s="9">
        <f t="shared" si="63"/>
        <v>0</v>
      </c>
      <c r="AD371" s="9">
        <f t="shared" si="64"/>
        <v>100</v>
      </c>
      <c r="AE371" s="9">
        <f t="shared" si="65"/>
        <v>45.02</v>
      </c>
      <c r="AF371" s="9">
        <f t="shared" si="71"/>
        <v>54.98</v>
      </c>
      <c r="AG371" s="8">
        <f t="shared" si="66"/>
        <v>2024</v>
      </c>
      <c r="AH371" s="8">
        <f t="shared" si="67"/>
        <v>12</v>
      </c>
      <c r="AI371" s="5" t="str">
        <f t="shared" si="68"/>
        <v>Dec</v>
      </c>
      <c r="AJ371" s="5" t="str">
        <f t="shared" si="69"/>
        <v>Wednesday</v>
      </c>
    </row>
    <row r="372" spans="1:36" x14ac:dyDescent="0.3">
      <c r="A372" s="5" t="s">
        <v>406</v>
      </c>
      <c r="B372" s="6">
        <v>45330</v>
      </c>
      <c r="C372" s="7">
        <v>0.5625</v>
      </c>
      <c r="D372" s="5" t="s">
        <v>1742</v>
      </c>
      <c r="E372" s="5" t="s">
        <v>2123</v>
      </c>
      <c r="F372" s="5" t="s">
        <v>2239</v>
      </c>
      <c r="G372" s="5" t="s">
        <v>2248</v>
      </c>
      <c r="H372" s="5" t="s">
        <v>2257</v>
      </c>
      <c r="I372" s="5" t="s">
        <v>2262</v>
      </c>
      <c r="J372" s="5" t="s">
        <v>2264</v>
      </c>
      <c r="K372" s="8">
        <v>1</v>
      </c>
      <c r="L372" s="9">
        <v>150</v>
      </c>
      <c r="M372" s="10">
        <v>0.1</v>
      </c>
      <c r="N372" s="9">
        <f t="shared" si="70"/>
        <v>150</v>
      </c>
      <c r="O372" s="9">
        <f t="shared" si="60"/>
        <v>135</v>
      </c>
      <c r="P372" s="5" t="s">
        <v>2267</v>
      </c>
      <c r="Q372" s="5" t="s">
        <v>1761</v>
      </c>
      <c r="R372" s="5" t="s">
        <v>2273</v>
      </c>
      <c r="S372" s="5" t="s">
        <v>2287</v>
      </c>
      <c r="T372" s="5" t="s">
        <v>2288</v>
      </c>
      <c r="U372" s="8">
        <v>5</v>
      </c>
      <c r="V372" s="8">
        <v>111</v>
      </c>
      <c r="W372" s="8">
        <v>36</v>
      </c>
      <c r="X372" s="9">
        <v>81.569999999999993</v>
      </c>
      <c r="Y372" s="9">
        <f t="shared" si="61"/>
        <v>53.430000000000007</v>
      </c>
      <c r="Z372" s="5" t="s">
        <v>1761</v>
      </c>
      <c r="AA372" s="5" t="s">
        <v>1761</v>
      </c>
      <c r="AB372" s="9">
        <f t="shared" si="62"/>
        <v>150</v>
      </c>
      <c r="AC372" s="9">
        <f t="shared" si="63"/>
        <v>15</v>
      </c>
      <c r="AD372" s="9">
        <f t="shared" si="64"/>
        <v>135</v>
      </c>
      <c r="AE372" s="9">
        <f t="shared" si="65"/>
        <v>81.569999999999993</v>
      </c>
      <c r="AF372" s="9">
        <f t="shared" si="71"/>
        <v>53.430000000000007</v>
      </c>
      <c r="AG372" s="8">
        <f t="shared" si="66"/>
        <v>2024</v>
      </c>
      <c r="AH372" s="8">
        <f t="shared" si="67"/>
        <v>2</v>
      </c>
      <c r="AI372" s="5" t="str">
        <f t="shared" si="68"/>
        <v>Feb</v>
      </c>
      <c r="AJ372" s="5" t="str">
        <f t="shared" si="69"/>
        <v>Thursday</v>
      </c>
    </row>
    <row r="373" spans="1:36" x14ac:dyDescent="0.3">
      <c r="A373" s="5" t="s">
        <v>407</v>
      </c>
      <c r="B373" s="6">
        <v>45492</v>
      </c>
      <c r="C373" s="7">
        <v>0.86805555555555558</v>
      </c>
      <c r="D373" s="5" t="s">
        <v>1786</v>
      </c>
      <c r="E373" s="5" t="s">
        <v>2063</v>
      </c>
      <c r="F373" s="5" t="s">
        <v>2240</v>
      </c>
      <c r="G373" s="5" t="s">
        <v>2254</v>
      </c>
      <c r="H373" s="5" t="s">
        <v>2259</v>
      </c>
      <c r="I373" s="5" t="s">
        <v>2263</v>
      </c>
      <c r="J373" s="5" t="s">
        <v>2266</v>
      </c>
      <c r="K373" s="8">
        <v>2</v>
      </c>
      <c r="L373" s="9">
        <v>105</v>
      </c>
      <c r="M373" s="10">
        <v>0.1</v>
      </c>
      <c r="N373" s="9">
        <f t="shared" si="70"/>
        <v>210</v>
      </c>
      <c r="O373" s="9">
        <f t="shared" si="60"/>
        <v>189</v>
      </c>
      <c r="P373" s="5" t="s">
        <v>2268</v>
      </c>
      <c r="Q373" s="5" t="s">
        <v>2272</v>
      </c>
      <c r="R373" s="5" t="s">
        <v>2273</v>
      </c>
      <c r="S373" s="5" t="s">
        <v>2285</v>
      </c>
      <c r="T373" s="5" t="s">
        <v>2288</v>
      </c>
      <c r="U373" s="19">
        <v>3</v>
      </c>
      <c r="V373" s="8">
        <v>391</v>
      </c>
      <c r="W373" s="19">
        <v>35</v>
      </c>
      <c r="X373" s="9">
        <v>42.23</v>
      </c>
      <c r="Y373" s="9">
        <f t="shared" si="61"/>
        <v>104.54</v>
      </c>
      <c r="Z373" s="5" t="s">
        <v>2293</v>
      </c>
      <c r="AA373" s="5" t="s">
        <v>2298</v>
      </c>
      <c r="AB373" s="9">
        <f t="shared" si="62"/>
        <v>210</v>
      </c>
      <c r="AC373" s="9">
        <f t="shared" si="63"/>
        <v>21</v>
      </c>
      <c r="AD373" s="9">
        <f t="shared" si="64"/>
        <v>189</v>
      </c>
      <c r="AE373" s="9">
        <f t="shared" si="65"/>
        <v>84.46</v>
      </c>
      <c r="AF373" s="9">
        <f t="shared" si="71"/>
        <v>104.54</v>
      </c>
      <c r="AG373" s="8">
        <f t="shared" si="66"/>
        <v>2024</v>
      </c>
      <c r="AH373" s="8">
        <f t="shared" si="67"/>
        <v>7</v>
      </c>
      <c r="AI373" s="5" t="str">
        <f t="shared" si="68"/>
        <v>Jul</v>
      </c>
      <c r="AJ373" s="5" t="str">
        <f t="shared" si="69"/>
        <v>Friday</v>
      </c>
    </row>
    <row r="374" spans="1:36" x14ac:dyDescent="0.3">
      <c r="A374" s="5" t="s">
        <v>408</v>
      </c>
      <c r="B374" s="6">
        <v>45428</v>
      </c>
      <c r="C374" s="7">
        <v>0.46875</v>
      </c>
      <c r="D374" s="5" t="s">
        <v>1840</v>
      </c>
      <c r="E374" s="5" t="s">
        <v>1761</v>
      </c>
      <c r="F374" s="5" t="s">
        <v>2238</v>
      </c>
      <c r="G374" s="5" t="s">
        <v>2245</v>
      </c>
      <c r="H374" s="5" t="s">
        <v>2257</v>
      </c>
      <c r="I374" s="5" t="s">
        <v>2263</v>
      </c>
      <c r="J374" s="5" t="s">
        <v>2264</v>
      </c>
      <c r="K374" s="8">
        <v>1</v>
      </c>
      <c r="L374" s="9">
        <v>150</v>
      </c>
      <c r="M374" s="10">
        <v>0.1</v>
      </c>
      <c r="N374" s="9">
        <f t="shared" si="70"/>
        <v>150</v>
      </c>
      <c r="O374" s="9">
        <f t="shared" si="60"/>
        <v>135</v>
      </c>
      <c r="P374" s="5" t="s">
        <v>2268</v>
      </c>
      <c r="Q374" s="5" t="s">
        <v>2271</v>
      </c>
      <c r="R374" s="5" t="s">
        <v>2278</v>
      </c>
      <c r="S374" s="5" t="s">
        <v>2285</v>
      </c>
      <c r="T374" s="5" t="s">
        <v>2288</v>
      </c>
      <c r="U374" s="8">
        <v>1</v>
      </c>
      <c r="V374" s="8">
        <v>402</v>
      </c>
      <c r="W374" s="8">
        <v>43</v>
      </c>
      <c r="X374" s="9">
        <v>76.69</v>
      </c>
      <c r="Y374" s="9">
        <f t="shared" si="61"/>
        <v>58.31</v>
      </c>
      <c r="Z374" s="5" t="s">
        <v>2291</v>
      </c>
      <c r="AA374" s="5" t="s">
        <v>2296</v>
      </c>
      <c r="AB374" s="9">
        <f t="shared" si="62"/>
        <v>150</v>
      </c>
      <c r="AC374" s="9">
        <f t="shared" si="63"/>
        <v>15</v>
      </c>
      <c r="AD374" s="9">
        <f t="shared" si="64"/>
        <v>135</v>
      </c>
      <c r="AE374" s="9">
        <f t="shared" si="65"/>
        <v>76.69</v>
      </c>
      <c r="AF374" s="9">
        <f t="shared" si="71"/>
        <v>58.31</v>
      </c>
      <c r="AG374" s="8">
        <f t="shared" si="66"/>
        <v>2024</v>
      </c>
      <c r="AH374" s="8">
        <f t="shared" si="67"/>
        <v>5</v>
      </c>
      <c r="AI374" s="5" t="str">
        <f t="shared" si="68"/>
        <v>May</v>
      </c>
      <c r="AJ374" s="5" t="str">
        <f t="shared" si="69"/>
        <v>Thursday</v>
      </c>
    </row>
    <row r="375" spans="1:36" x14ac:dyDescent="0.3">
      <c r="A375" s="5" t="s">
        <v>409</v>
      </c>
      <c r="B375" s="6">
        <v>45545</v>
      </c>
      <c r="C375" s="7">
        <v>0.46527777777777779</v>
      </c>
      <c r="D375" s="5" t="s">
        <v>1882</v>
      </c>
      <c r="E375" s="5" t="s">
        <v>2041</v>
      </c>
      <c r="F375" s="5" t="s">
        <v>2240</v>
      </c>
      <c r="G375" s="5" t="s">
        <v>2250</v>
      </c>
      <c r="H375" s="5" t="s">
        <v>2259</v>
      </c>
      <c r="I375" s="5" t="s">
        <v>2262</v>
      </c>
      <c r="J375" s="5" t="s">
        <v>2264</v>
      </c>
      <c r="K375" s="8">
        <v>3</v>
      </c>
      <c r="L375" s="9">
        <v>85</v>
      </c>
      <c r="M375" s="10">
        <v>0.1</v>
      </c>
      <c r="N375" s="9">
        <f t="shared" si="70"/>
        <v>255</v>
      </c>
      <c r="O375" s="9">
        <f t="shared" si="60"/>
        <v>229.5</v>
      </c>
      <c r="P375" s="5" t="s">
        <v>2267</v>
      </c>
      <c r="Q375" s="5" t="s">
        <v>2270</v>
      </c>
      <c r="R375" s="5" t="s">
        <v>2278</v>
      </c>
      <c r="S375" s="5" t="s">
        <v>2283</v>
      </c>
      <c r="T375" s="5" t="s">
        <v>2290</v>
      </c>
      <c r="U375" s="8">
        <v>5</v>
      </c>
      <c r="V375" s="8">
        <v>201</v>
      </c>
      <c r="W375" s="19">
        <v>34</v>
      </c>
      <c r="X375" s="9">
        <v>29.28</v>
      </c>
      <c r="Y375" s="9">
        <f t="shared" si="61"/>
        <v>141.66</v>
      </c>
      <c r="Z375" s="5" t="s">
        <v>2292</v>
      </c>
      <c r="AA375" s="5" t="s">
        <v>2298</v>
      </c>
      <c r="AB375" s="9">
        <f t="shared" si="62"/>
        <v>255</v>
      </c>
      <c r="AC375" s="9">
        <f t="shared" si="63"/>
        <v>25.5</v>
      </c>
      <c r="AD375" s="9">
        <f t="shared" si="64"/>
        <v>229.5</v>
      </c>
      <c r="AE375" s="9">
        <f t="shared" si="65"/>
        <v>87.84</v>
      </c>
      <c r="AF375" s="9">
        <f t="shared" si="71"/>
        <v>141.66</v>
      </c>
      <c r="AG375" s="8">
        <f t="shared" si="66"/>
        <v>2024</v>
      </c>
      <c r="AH375" s="8">
        <f t="shared" si="67"/>
        <v>9</v>
      </c>
      <c r="AI375" s="5" t="str">
        <f t="shared" si="68"/>
        <v>Sep</v>
      </c>
      <c r="AJ375" s="5" t="str">
        <f t="shared" si="69"/>
        <v>Tuesday</v>
      </c>
    </row>
    <row r="376" spans="1:36" x14ac:dyDescent="0.3">
      <c r="A376" s="5" t="s">
        <v>410</v>
      </c>
      <c r="B376" s="6">
        <v>45499</v>
      </c>
      <c r="C376" s="7">
        <v>0.68055555555555558</v>
      </c>
      <c r="D376" s="5" t="s">
        <v>1839</v>
      </c>
      <c r="E376" s="5" t="s">
        <v>2152</v>
      </c>
      <c r="F376" s="5" t="s">
        <v>2239</v>
      </c>
      <c r="G376" s="5" t="s">
        <v>2245</v>
      </c>
      <c r="H376" s="5" t="s">
        <v>2257</v>
      </c>
      <c r="I376" s="5" t="s">
        <v>2263</v>
      </c>
      <c r="J376" s="5" t="s">
        <v>2266</v>
      </c>
      <c r="K376" s="8">
        <v>1</v>
      </c>
      <c r="L376" s="9">
        <v>155</v>
      </c>
      <c r="M376" s="10">
        <v>0.15</v>
      </c>
      <c r="N376" s="9">
        <f t="shared" si="70"/>
        <v>155</v>
      </c>
      <c r="O376" s="9">
        <f t="shared" si="60"/>
        <v>131.75</v>
      </c>
      <c r="P376" s="5" t="s">
        <v>2268</v>
      </c>
      <c r="Q376" s="5" t="s">
        <v>2272</v>
      </c>
      <c r="R376" s="5" t="s">
        <v>2275</v>
      </c>
      <c r="S376" s="5" t="s">
        <v>2287</v>
      </c>
      <c r="T376" s="5" t="s">
        <v>2288</v>
      </c>
      <c r="U376" s="8">
        <v>2</v>
      </c>
      <c r="V376" s="8">
        <v>130</v>
      </c>
      <c r="W376" s="8">
        <v>60</v>
      </c>
      <c r="X376" s="9">
        <v>56.6</v>
      </c>
      <c r="Y376" s="9">
        <f t="shared" si="61"/>
        <v>75.150000000000006</v>
      </c>
      <c r="Z376" s="5" t="s">
        <v>1761</v>
      </c>
      <c r="AA376" s="5" t="s">
        <v>2296</v>
      </c>
      <c r="AB376" s="9">
        <f t="shared" si="62"/>
        <v>155</v>
      </c>
      <c r="AC376" s="9">
        <f t="shared" si="63"/>
        <v>23.25</v>
      </c>
      <c r="AD376" s="9">
        <f t="shared" si="64"/>
        <v>131.75</v>
      </c>
      <c r="AE376" s="9">
        <f t="shared" si="65"/>
        <v>56.6</v>
      </c>
      <c r="AF376" s="9">
        <f t="shared" si="71"/>
        <v>75.150000000000006</v>
      </c>
      <c r="AG376" s="8">
        <f t="shared" si="66"/>
        <v>2024</v>
      </c>
      <c r="AH376" s="8">
        <f t="shared" si="67"/>
        <v>7</v>
      </c>
      <c r="AI376" s="5" t="str">
        <f t="shared" si="68"/>
        <v>Jul</v>
      </c>
      <c r="AJ376" s="5" t="str">
        <f t="shared" si="69"/>
        <v>Friday</v>
      </c>
    </row>
    <row r="377" spans="1:36" x14ac:dyDescent="0.3">
      <c r="A377" s="5" t="s">
        <v>411</v>
      </c>
      <c r="B377" s="6">
        <v>45299</v>
      </c>
      <c r="C377" s="7">
        <v>0.53125</v>
      </c>
      <c r="D377" s="5" t="s">
        <v>1909</v>
      </c>
      <c r="E377" s="5" t="s">
        <v>2153</v>
      </c>
      <c r="F377" s="5" t="s">
        <v>2240</v>
      </c>
      <c r="G377" s="5" t="s">
        <v>2241</v>
      </c>
      <c r="H377" s="5" t="s">
        <v>2257</v>
      </c>
      <c r="I377" s="5" t="s">
        <v>2262</v>
      </c>
      <c r="J377" s="5" t="s">
        <v>1761</v>
      </c>
      <c r="K377" s="8">
        <v>1</v>
      </c>
      <c r="L377" s="9">
        <v>130</v>
      </c>
      <c r="M377" s="10">
        <v>0.05</v>
      </c>
      <c r="N377" s="9">
        <f t="shared" si="70"/>
        <v>130</v>
      </c>
      <c r="O377" s="9">
        <f t="shared" si="60"/>
        <v>123.5</v>
      </c>
      <c r="P377" s="5" t="s">
        <v>2267</v>
      </c>
      <c r="Q377" s="5" t="s">
        <v>1761</v>
      </c>
      <c r="R377" s="5" t="s">
        <v>2273</v>
      </c>
      <c r="S377" s="5" t="s">
        <v>2280</v>
      </c>
      <c r="T377" s="5" t="s">
        <v>2290</v>
      </c>
      <c r="U377" s="8">
        <v>3</v>
      </c>
      <c r="V377" s="8">
        <v>15</v>
      </c>
      <c r="W377" s="8">
        <v>34</v>
      </c>
      <c r="X377" s="9">
        <v>75.010000000000005</v>
      </c>
      <c r="Y377" s="9">
        <f t="shared" si="61"/>
        <v>48.489999999999995</v>
      </c>
      <c r="Z377" s="5" t="s">
        <v>1761</v>
      </c>
      <c r="AA377" s="5" t="s">
        <v>2297</v>
      </c>
      <c r="AB377" s="9">
        <f t="shared" si="62"/>
        <v>130</v>
      </c>
      <c r="AC377" s="9">
        <f t="shared" si="63"/>
        <v>6.5</v>
      </c>
      <c r="AD377" s="9">
        <f t="shared" si="64"/>
        <v>123.5</v>
      </c>
      <c r="AE377" s="9">
        <f t="shared" si="65"/>
        <v>75.010000000000005</v>
      </c>
      <c r="AF377" s="9">
        <f t="shared" si="71"/>
        <v>48.489999999999995</v>
      </c>
      <c r="AG377" s="8">
        <f t="shared" si="66"/>
        <v>2024</v>
      </c>
      <c r="AH377" s="8">
        <f t="shared" si="67"/>
        <v>1</v>
      </c>
      <c r="AI377" s="5" t="str">
        <f t="shared" si="68"/>
        <v>Jan</v>
      </c>
      <c r="AJ377" s="5" t="str">
        <f t="shared" si="69"/>
        <v>Monday</v>
      </c>
    </row>
    <row r="378" spans="1:36" x14ac:dyDescent="0.3">
      <c r="A378" s="5" t="s">
        <v>412</v>
      </c>
      <c r="B378" s="6">
        <v>45642</v>
      </c>
      <c r="C378" s="7">
        <v>0.57291666666666663</v>
      </c>
      <c r="D378" s="5" t="s">
        <v>1749</v>
      </c>
      <c r="E378" s="5" t="s">
        <v>2154</v>
      </c>
      <c r="F378" s="5" t="s">
        <v>2238</v>
      </c>
      <c r="G378" s="5" t="s">
        <v>2249</v>
      </c>
      <c r="H378" s="5" t="s">
        <v>2257</v>
      </c>
      <c r="I378" s="5" t="s">
        <v>2263</v>
      </c>
      <c r="J378" s="5" t="s">
        <v>2264</v>
      </c>
      <c r="K378" s="8">
        <v>2</v>
      </c>
      <c r="L378" s="9">
        <v>155</v>
      </c>
      <c r="M378" s="10">
        <v>0</v>
      </c>
      <c r="N378" s="9">
        <f t="shared" si="70"/>
        <v>310</v>
      </c>
      <c r="O378" s="9">
        <f t="shared" si="60"/>
        <v>310</v>
      </c>
      <c r="P378" s="5" t="s">
        <v>2267</v>
      </c>
      <c r="Q378" s="5" t="s">
        <v>1761</v>
      </c>
      <c r="R378" s="5" t="s">
        <v>2279</v>
      </c>
      <c r="S378" s="5" t="s">
        <v>2287</v>
      </c>
      <c r="T378" s="5" t="s">
        <v>2289</v>
      </c>
      <c r="U378" s="8">
        <v>4</v>
      </c>
      <c r="V378" s="8">
        <v>246</v>
      </c>
      <c r="W378" s="8">
        <v>37</v>
      </c>
      <c r="X378" s="9">
        <v>94.78</v>
      </c>
      <c r="Y378" s="9">
        <f t="shared" si="61"/>
        <v>120.44</v>
      </c>
      <c r="Z378" s="5" t="s">
        <v>1761</v>
      </c>
      <c r="AA378" s="5" t="s">
        <v>2298</v>
      </c>
      <c r="AB378" s="9">
        <f t="shared" si="62"/>
        <v>310</v>
      </c>
      <c r="AC378" s="9">
        <f t="shared" si="63"/>
        <v>0</v>
      </c>
      <c r="AD378" s="9">
        <f t="shared" si="64"/>
        <v>310</v>
      </c>
      <c r="AE378" s="9">
        <f t="shared" si="65"/>
        <v>189.56</v>
      </c>
      <c r="AF378" s="9">
        <f t="shared" si="71"/>
        <v>120.44</v>
      </c>
      <c r="AG378" s="8">
        <f t="shared" si="66"/>
        <v>2024</v>
      </c>
      <c r="AH378" s="8">
        <f t="shared" si="67"/>
        <v>12</v>
      </c>
      <c r="AI378" s="5" t="str">
        <f t="shared" si="68"/>
        <v>Dec</v>
      </c>
      <c r="AJ378" s="5" t="str">
        <f t="shared" si="69"/>
        <v>Monday</v>
      </c>
    </row>
    <row r="379" spans="1:36" x14ac:dyDescent="0.3">
      <c r="A379" s="5" t="s">
        <v>413</v>
      </c>
      <c r="B379" s="6">
        <v>45314</v>
      </c>
      <c r="C379" s="7">
        <v>0.35416666666666669</v>
      </c>
      <c r="D379" s="5" t="s">
        <v>1762</v>
      </c>
      <c r="E379" s="5" t="s">
        <v>1761</v>
      </c>
      <c r="F379" s="5" t="s">
        <v>2239</v>
      </c>
      <c r="G379" s="5" t="s">
        <v>2241</v>
      </c>
      <c r="H379" s="5" t="s">
        <v>2257</v>
      </c>
      <c r="I379" s="5" t="s">
        <v>2262</v>
      </c>
      <c r="J379" s="5" t="s">
        <v>2265</v>
      </c>
      <c r="K379" s="8">
        <v>1</v>
      </c>
      <c r="L379" s="9">
        <v>135</v>
      </c>
      <c r="M379" s="10">
        <v>0</v>
      </c>
      <c r="N379" s="9">
        <f t="shared" si="70"/>
        <v>135</v>
      </c>
      <c r="O379" s="9">
        <f t="shared" si="60"/>
        <v>135</v>
      </c>
      <c r="P379" s="5" t="s">
        <v>2267</v>
      </c>
      <c r="Q379" s="5" t="s">
        <v>2272</v>
      </c>
      <c r="R379" s="5" t="s">
        <v>2279</v>
      </c>
      <c r="S379" s="5" t="s">
        <v>2284</v>
      </c>
      <c r="T379" s="5" t="s">
        <v>2288</v>
      </c>
      <c r="U379" s="8">
        <v>4</v>
      </c>
      <c r="V379" s="8">
        <v>251</v>
      </c>
      <c r="W379" s="8">
        <v>59</v>
      </c>
      <c r="X379" s="9">
        <v>52.06</v>
      </c>
      <c r="Y379" s="9">
        <f t="shared" si="61"/>
        <v>82.94</v>
      </c>
      <c r="Z379" s="5" t="s">
        <v>2292</v>
      </c>
      <c r="AA379" s="5" t="s">
        <v>2297</v>
      </c>
      <c r="AB379" s="9">
        <f t="shared" si="62"/>
        <v>135</v>
      </c>
      <c r="AC379" s="9">
        <f t="shared" si="63"/>
        <v>0</v>
      </c>
      <c r="AD379" s="9">
        <f t="shared" si="64"/>
        <v>135</v>
      </c>
      <c r="AE379" s="9">
        <f t="shared" si="65"/>
        <v>52.06</v>
      </c>
      <c r="AF379" s="9">
        <f t="shared" si="71"/>
        <v>82.94</v>
      </c>
      <c r="AG379" s="8">
        <f t="shared" si="66"/>
        <v>2024</v>
      </c>
      <c r="AH379" s="8">
        <f t="shared" si="67"/>
        <v>1</v>
      </c>
      <c r="AI379" s="5" t="str">
        <f t="shared" si="68"/>
        <v>Jan</v>
      </c>
      <c r="AJ379" s="5" t="str">
        <f t="shared" si="69"/>
        <v>Tuesday</v>
      </c>
    </row>
    <row r="380" spans="1:36" x14ac:dyDescent="0.3">
      <c r="A380" s="5" t="s">
        <v>414</v>
      </c>
      <c r="B380" s="6">
        <v>45592</v>
      </c>
      <c r="C380" s="7">
        <v>0.2986111111111111</v>
      </c>
      <c r="D380" s="5" t="s">
        <v>1852</v>
      </c>
      <c r="E380" s="5" t="s">
        <v>1985</v>
      </c>
      <c r="F380" s="5" t="s">
        <v>1761</v>
      </c>
      <c r="G380" s="5" t="s">
        <v>2247</v>
      </c>
      <c r="H380" s="5" t="s">
        <v>2257</v>
      </c>
      <c r="I380" s="5" t="s">
        <v>2262</v>
      </c>
      <c r="J380" s="5" t="s">
        <v>2265</v>
      </c>
      <c r="K380" s="8">
        <v>1</v>
      </c>
      <c r="L380" s="9">
        <v>100</v>
      </c>
      <c r="M380" s="10">
        <v>0.1</v>
      </c>
      <c r="N380" s="9">
        <f t="shared" si="70"/>
        <v>100</v>
      </c>
      <c r="O380" s="9">
        <f t="shared" si="60"/>
        <v>90</v>
      </c>
      <c r="P380" s="5" t="s">
        <v>2268</v>
      </c>
      <c r="Q380" s="5" t="s">
        <v>2271</v>
      </c>
      <c r="R380" s="5" t="s">
        <v>2274</v>
      </c>
      <c r="S380" s="5" t="s">
        <v>2286</v>
      </c>
      <c r="T380" s="5" t="s">
        <v>2289</v>
      </c>
      <c r="U380" s="8">
        <v>1</v>
      </c>
      <c r="V380" s="8">
        <v>39</v>
      </c>
      <c r="W380" s="8">
        <v>52</v>
      </c>
      <c r="X380" s="9">
        <v>56.51</v>
      </c>
      <c r="Y380" s="9">
        <f t="shared" si="61"/>
        <v>33.49</v>
      </c>
      <c r="Z380" s="5" t="s">
        <v>2294</v>
      </c>
      <c r="AA380" s="5" t="s">
        <v>2296</v>
      </c>
      <c r="AB380" s="9">
        <f t="shared" si="62"/>
        <v>100</v>
      </c>
      <c r="AC380" s="9">
        <f t="shared" si="63"/>
        <v>10</v>
      </c>
      <c r="AD380" s="9">
        <f t="shared" si="64"/>
        <v>90</v>
      </c>
      <c r="AE380" s="9">
        <f t="shared" si="65"/>
        <v>56.51</v>
      </c>
      <c r="AF380" s="9">
        <f t="shared" si="71"/>
        <v>33.49</v>
      </c>
      <c r="AG380" s="8">
        <f t="shared" si="66"/>
        <v>2024</v>
      </c>
      <c r="AH380" s="8">
        <f t="shared" si="67"/>
        <v>10</v>
      </c>
      <c r="AI380" s="5" t="str">
        <f t="shared" si="68"/>
        <v>Oct</v>
      </c>
      <c r="AJ380" s="5" t="str">
        <f t="shared" si="69"/>
        <v>Sunday</v>
      </c>
    </row>
    <row r="381" spans="1:36" x14ac:dyDescent="0.3">
      <c r="A381" s="5" t="s">
        <v>415</v>
      </c>
      <c r="B381" s="6">
        <v>45328</v>
      </c>
      <c r="C381" s="7">
        <v>0.72916666666666663</v>
      </c>
      <c r="D381" s="5" t="s">
        <v>1878</v>
      </c>
      <c r="E381" s="5" t="s">
        <v>2155</v>
      </c>
      <c r="F381" s="5" t="s">
        <v>2238</v>
      </c>
      <c r="G381" s="5" t="s">
        <v>2248</v>
      </c>
      <c r="H381" s="5" t="s">
        <v>2257</v>
      </c>
      <c r="I381" s="5" t="s">
        <v>2262</v>
      </c>
      <c r="J381" s="5" t="s">
        <v>1761</v>
      </c>
      <c r="K381" s="8">
        <v>1</v>
      </c>
      <c r="L381" s="9">
        <v>145</v>
      </c>
      <c r="M381" s="10">
        <v>0.05</v>
      </c>
      <c r="N381" s="9">
        <f t="shared" si="70"/>
        <v>145</v>
      </c>
      <c r="O381" s="9">
        <f t="shared" si="60"/>
        <v>137.75</v>
      </c>
      <c r="P381" s="5" t="s">
        <v>2268</v>
      </c>
      <c r="Q381" s="5" t="s">
        <v>2271</v>
      </c>
      <c r="R381" s="5" t="s">
        <v>2274</v>
      </c>
      <c r="S381" s="5" t="s">
        <v>2280</v>
      </c>
      <c r="T381" s="5" t="s">
        <v>2290</v>
      </c>
      <c r="U381" s="19">
        <v>3</v>
      </c>
      <c r="V381" s="8">
        <v>248</v>
      </c>
      <c r="W381" s="19">
        <v>37</v>
      </c>
      <c r="X381" s="9">
        <v>75.819999999999993</v>
      </c>
      <c r="Y381" s="9">
        <f t="shared" si="61"/>
        <v>61.930000000000007</v>
      </c>
      <c r="Z381" s="5" t="s">
        <v>2295</v>
      </c>
      <c r="AA381" s="5" t="s">
        <v>2297</v>
      </c>
      <c r="AB381" s="9">
        <f t="shared" si="62"/>
        <v>145</v>
      </c>
      <c r="AC381" s="9">
        <f t="shared" si="63"/>
        <v>7.25</v>
      </c>
      <c r="AD381" s="9">
        <f t="shared" si="64"/>
        <v>137.75</v>
      </c>
      <c r="AE381" s="9">
        <f t="shared" si="65"/>
        <v>75.819999999999993</v>
      </c>
      <c r="AF381" s="9">
        <f t="shared" si="71"/>
        <v>61.930000000000007</v>
      </c>
      <c r="AG381" s="8">
        <f t="shared" si="66"/>
        <v>2024</v>
      </c>
      <c r="AH381" s="8">
        <f t="shared" si="67"/>
        <v>2</v>
      </c>
      <c r="AI381" s="5" t="str">
        <f t="shared" si="68"/>
        <v>Feb</v>
      </c>
      <c r="AJ381" s="5" t="str">
        <f t="shared" si="69"/>
        <v>Tuesday</v>
      </c>
    </row>
    <row r="382" spans="1:36" x14ac:dyDescent="0.3">
      <c r="A382" s="5" t="s">
        <v>416</v>
      </c>
      <c r="B382" s="6">
        <v>45554</v>
      </c>
      <c r="C382" s="7">
        <v>0.34722222222222221</v>
      </c>
      <c r="D382" s="5" t="s">
        <v>1798</v>
      </c>
      <c r="E382" s="5" t="s">
        <v>1988</v>
      </c>
      <c r="F382" s="5" t="s">
        <v>2239</v>
      </c>
      <c r="G382" s="5" t="s">
        <v>2253</v>
      </c>
      <c r="H382" s="5" t="s">
        <v>2258</v>
      </c>
      <c r="I382" s="5" t="s">
        <v>2260</v>
      </c>
      <c r="J382" s="5" t="s">
        <v>2265</v>
      </c>
      <c r="K382" s="8">
        <v>3</v>
      </c>
      <c r="L382" s="9">
        <v>95</v>
      </c>
      <c r="M382" s="10">
        <v>0</v>
      </c>
      <c r="N382" s="9">
        <f t="shared" si="70"/>
        <v>285</v>
      </c>
      <c r="O382" s="9">
        <f t="shared" si="60"/>
        <v>285</v>
      </c>
      <c r="P382" s="5" t="s">
        <v>2269</v>
      </c>
      <c r="Q382" s="5" t="s">
        <v>2272</v>
      </c>
      <c r="R382" s="5" t="s">
        <v>2275</v>
      </c>
      <c r="S382" s="5" t="s">
        <v>2287</v>
      </c>
      <c r="T382" s="5" t="s">
        <v>2290</v>
      </c>
      <c r="U382" s="8">
        <v>5</v>
      </c>
      <c r="V382" s="8">
        <v>202</v>
      </c>
      <c r="W382" s="8">
        <v>50</v>
      </c>
      <c r="X382" s="9">
        <v>51.29</v>
      </c>
      <c r="Y382" s="9">
        <f t="shared" si="61"/>
        <v>131.13</v>
      </c>
      <c r="Z382" s="5" t="s">
        <v>2292</v>
      </c>
      <c r="AA382" s="5" t="s">
        <v>2297</v>
      </c>
      <c r="AB382" s="9">
        <f t="shared" si="62"/>
        <v>285</v>
      </c>
      <c r="AC382" s="9">
        <f t="shared" si="63"/>
        <v>0</v>
      </c>
      <c r="AD382" s="9">
        <f t="shared" si="64"/>
        <v>285</v>
      </c>
      <c r="AE382" s="9">
        <f t="shared" si="65"/>
        <v>153.87</v>
      </c>
      <c r="AF382" s="9">
        <f t="shared" si="71"/>
        <v>131.13</v>
      </c>
      <c r="AG382" s="8">
        <f t="shared" si="66"/>
        <v>2024</v>
      </c>
      <c r="AH382" s="8">
        <f t="shared" si="67"/>
        <v>9</v>
      </c>
      <c r="AI382" s="5" t="str">
        <f t="shared" si="68"/>
        <v>Sep</v>
      </c>
      <c r="AJ382" s="5" t="str">
        <f t="shared" si="69"/>
        <v>Thursday</v>
      </c>
    </row>
    <row r="383" spans="1:36" x14ac:dyDescent="0.3">
      <c r="A383" s="5" t="s">
        <v>417</v>
      </c>
      <c r="B383" s="6">
        <v>45598</v>
      </c>
      <c r="C383" s="7">
        <v>0.55555555555555558</v>
      </c>
      <c r="D383" s="5" t="s">
        <v>1910</v>
      </c>
      <c r="E383" s="5" t="s">
        <v>2089</v>
      </c>
      <c r="F383" s="5" t="s">
        <v>2240</v>
      </c>
      <c r="G383" s="5" t="s">
        <v>2248</v>
      </c>
      <c r="H383" s="5" t="s">
        <v>2257</v>
      </c>
      <c r="I383" s="5" t="s">
        <v>2262</v>
      </c>
      <c r="J383" s="5" t="s">
        <v>2266</v>
      </c>
      <c r="K383" s="8">
        <v>5</v>
      </c>
      <c r="L383" s="9">
        <v>145</v>
      </c>
      <c r="M383" s="10">
        <v>0</v>
      </c>
      <c r="N383" s="9">
        <f t="shared" si="70"/>
        <v>725</v>
      </c>
      <c r="O383" s="9">
        <f t="shared" si="60"/>
        <v>725</v>
      </c>
      <c r="P383" s="5" t="s">
        <v>2268</v>
      </c>
      <c r="Q383" s="5" t="s">
        <v>2271</v>
      </c>
      <c r="R383" s="5" t="s">
        <v>2278</v>
      </c>
      <c r="S383" s="5" t="s">
        <v>2287</v>
      </c>
      <c r="T383" s="5" t="s">
        <v>2289</v>
      </c>
      <c r="U383" s="8">
        <v>1</v>
      </c>
      <c r="V383" s="8">
        <v>0</v>
      </c>
      <c r="W383" s="19">
        <v>37</v>
      </c>
      <c r="X383" s="9">
        <v>60.73</v>
      </c>
      <c r="Y383" s="9">
        <f t="shared" si="61"/>
        <v>421.35</v>
      </c>
      <c r="Z383" s="5" t="s">
        <v>2292</v>
      </c>
      <c r="AA383" s="5" t="s">
        <v>2298</v>
      </c>
      <c r="AB383" s="9">
        <f t="shared" si="62"/>
        <v>725</v>
      </c>
      <c r="AC383" s="9">
        <f t="shared" si="63"/>
        <v>0</v>
      </c>
      <c r="AD383" s="9">
        <f t="shared" si="64"/>
        <v>725</v>
      </c>
      <c r="AE383" s="9">
        <f t="shared" si="65"/>
        <v>303.64999999999998</v>
      </c>
      <c r="AF383" s="9">
        <f t="shared" si="71"/>
        <v>421.35</v>
      </c>
      <c r="AG383" s="8">
        <f t="shared" si="66"/>
        <v>2024</v>
      </c>
      <c r="AH383" s="8">
        <f t="shared" si="67"/>
        <v>11</v>
      </c>
      <c r="AI383" s="5" t="str">
        <f t="shared" si="68"/>
        <v>Nov</v>
      </c>
      <c r="AJ383" s="5" t="str">
        <f t="shared" si="69"/>
        <v>Saturday</v>
      </c>
    </row>
    <row r="384" spans="1:36" x14ac:dyDescent="0.3">
      <c r="A384" s="5" t="s">
        <v>418</v>
      </c>
      <c r="B384" s="6">
        <v>45339</v>
      </c>
      <c r="C384" s="7">
        <v>0.74305555555555558</v>
      </c>
      <c r="D384" s="5" t="s">
        <v>1892</v>
      </c>
      <c r="E384" s="5" t="s">
        <v>2133</v>
      </c>
      <c r="F384" s="5" t="s">
        <v>2239</v>
      </c>
      <c r="G384" s="5" t="s">
        <v>2243</v>
      </c>
      <c r="H384" s="5" t="s">
        <v>2258</v>
      </c>
      <c r="I384" s="5" t="s">
        <v>2260</v>
      </c>
      <c r="J384" s="5" t="s">
        <v>2264</v>
      </c>
      <c r="K384" s="8">
        <v>2</v>
      </c>
      <c r="L384" s="9">
        <v>70</v>
      </c>
      <c r="M384" s="10">
        <v>0</v>
      </c>
      <c r="N384" s="9">
        <f t="shared" si="70"/>
        <v>140</v>
      </c>
      <c r="O384" s="9">
        <f t="shared" si="60"/>
        <v>140</v>
      </c>
      <c r="P384" s="5" t="s">
        <v>2268</v>
      </c>
      <c r="Q384" s="5" t="s">
        <v>2270</v>
      </c>
      <c r="R384" s="5" t="s">
        <v>2276</v>
      </c>
      <c r="S384" s="5" t="s">
        <v>2282</v>
      </c>
      <c r="T384" s="5" t="s">
        <v>2288</v>
      </c>
      <c r="U384" s="8">
        <v>1</v>
      </c>
      <c r="V384" s="8">
        <v>5</v>
      </c>
      <c r="W384" s="8">
        <v>25</v>
      </c>
      <c r="X384" s="9">
        <v>27.47</v>
      </c>
      <c r="Y384" s="9">
        <f t="shared" si="61"/>
        <v>85.06</v>
      </c>
      <c r="Z384" s="5" t="s">
        <v>2294</v>
      </c>
      <c r="AA384" s="5" t="s">
        <v>2296</v>
      </c>
      <c r="AB384" s="9">
        <f t="shared" si="62"/>
        <v>140</v>
      </c>
      <c r="AC384" s="9">
        <f t="shared" si="63"/>
        <v>0</v>
      </c>
      <c r="AD384" s="9">
        <f t="shared" si="64"/>
        <v>140</v>
      </c>
      <c r="AE384" s="9">
        <f t="shared" si="65"/>
        <v>54.94</v>
      </c>
      <c r="AF384" s="9">
        <f t="shared" si="71"/>
        <v>85.06</v>
      </c>
      <c r="AG384" s="8">
        <f t="shared" si="66"/>
        <v>2024</v>
      </c>
      <c r="AH384" s="8">
        <f t="shared" si="67"/>
        <v>2</v>
      </c>
      <c r="AI384" s="5" t="str">
        <f t="shared" si="68"/>
        <v>Feb</v>
      </c>
      <c r="AJ384" s="5" t="str">
        <f t="shared" si="69"/>
        <v>Saturday</v>
      </c>
    </row>
    <row r="385" spans="1:36" x14ac:dyDescent="0.3">
      <c r="A385" s="5" t="s">
        <v>419</v>
      </c>
      <c r="B385" s="6">
        <v>45363</v>
      </c>
      <c r="C385" s="7">
        <v>0.32291666666666669</v>
      </c>
      <c r="D385" s="5" t="s">
        <v>1911</v>
      </c>
      <c r="E385" s="5" t="s">
        <v>2156</v>
      </c>
      <c r="F385" s="5" t="s">
        <v>2239</v>
      </c>
      <c r="G385" s="5" t="s">
        <v>2254</v>
      </c>
      <c r="H385" s="5" t="s">
        <v>2259</v>
      </c>
      <c r="I385" s="5" t="s">
        <v>2263</v>
      </c>
      <c r="J385" s="5" t="s">
        <v>2265</v>
      </c>
      <c r="K385" s="8">
        <v>2</v>
      </c>
      <c r="L385" s="9">
        <v>105</v>
      </c>
      <c r="M385" s="10">
        <v>0</v>
      </c>
      <c r="N385" s="9">
        <f t="shared" si="70"/>
        <v>210</v>
      </c>
      <c r="O385" s="9">
        <f t="shared" si="60"/>
        <v>210</v>
      </c>
      <c r="P385" s="5" t="s">
        <v>2269</v>
      </c>
      <c r="Q385" s="5" t="s">
        <v>1761</v>
      </c>
      <c r="R385" s="5" t="s">
        <v>2279</v>
      </c>
      <c r="S385" s="5" t="s">
        <v>2283</v>
      </c>
      <c r="T385" s="5" t="s">
        <v>2288</v>
      </c>
      <c r="U385" s="8">
        <v>4</v>
      </c>
      <c r="V385" s="19">
        <v>244</v>
      </c>
      <c r="W385" s="8">
        <v>49</v>
      </c>
      <c r="X385" s="9">
        <v>43.32</v>
      </c>
      <c r="Y385" s="9">
        <f t="shared" si="61"/>
        <v>123.36</v>
      </c>
      <c r="Z385" s="5" t="s">
        <v>1761</v>
      </c>
      <c r="AA385" s="5" t="s">
        <v>1761</v>
      </c>
      <c r="AB385" s="9">
        <f t="shared" si="62"/>
        <v>210</v>
      </c>
      <c r="AC385" s="9">
        <f t="shared" si="63"/>
        <v>0</v>
      </c>
      <c r="AD385" s="9">
        <f t="shared" si="64"/>
        <v>210</v>
      </c>
      <c r="AE385" s="9">
        <f t="shared" si="65"/>
        <v>86.64</v>
      </c>
      <c r="AF385" s="9">
        <f t="shared" si="71"/>
        <v>123.36</v>
      </c>
      <c r="AG385" s="8">
        <f t="shared" si="66"/>
        <v>2024</v>
      </c>
      <c r="AH385" s="8">
        <f t="shared" si="67"/>
        <v>3</v>
      </c>
      <c r="AI385" s="5" t="str">
        <f t="shared" si="68"/>
        <v>Mar</v>
      </c>
      <c r="AJ385" s="5" t="str">
        <f t="shared" si="69"/>
        <v>Tuesday</v>
      </c>
    </row>
    <row r="386" spans="1:36" x14ac:dyDescent="0.3">
      <c r="A386" s="5" t="s">
        <v>420</v>
      </c>
      <c r="B386" s="6">
        <v>45343</v>
      </c>
      <c r="C386" s="7">
        <v>0.50694444444444442</v>
      </c>
      <c r="D386" s="5" t="s">
        <v>1895</v>
      </c>
      <c r="E386" s="5" t="s">
        <v>2017</v>
      </c>
      <c r="F386" s="5" t="s">
        <v>2240</v>
      </c>
      <c r="G386" s="5" t="s">
        <v>2252</v>
      </c>
      <c r="H386" s="5" t="s">
        <v>2257</v>
      </c>
      <c r="I386" s="5" t="s">
        <v>2262</v>
      </c>
      <c r="J386" s="5" t="s">
        <v>2266</v>
      </c>
      <c r="K386" s="8">
        <v>3</v>
      </c>
      <c r="L386" s="9">
        <v>100</v>
      </c>
      <c r="M386" s="10">
        <v>0.15</v>
      </c>
      <c r="N386" s="9">
        <f t="shared" si="70"/>
        <v>300</v>
      </c>
      <c r="O386" s="9">
        <f t="shared" ref="O386:O449" si="72">IF(N386="","",N386*(1-IF(M386="",0,M386)))</f>
        <v>255</v>
      </c>
      <c r="P386" s="5" t="s">
        <v>2268</v>
      </c>
      <c r="Q386" s="5" t="s">
        <v>2272</v>
      </c>
      <c r="R386" s="5" t="s">
        <v>2274</v>
      </c>
      <c r="S386" s="5" t="s">
        <v>2283</v>
      </c>
      <c r="T386" s="5" t="s">
        <v>2288</v>
      </c>
      <c r="U386" s="19">
        <v>3</v>
      </c>
      <c r="V386" s="8">
        <v>463</v>
      </c>
      <c r="W386" s="8">
        <v>32</v>
      </c>
      <c r="X386" s="9">
        <v>47.77</v>
      </c>
      <c r="Y386" s="9">
        <f t="shared" ref="Y386:Y449" si="73">IF(OR(O386="",K386="",X386=""),"",O386-K386*X386)</f>
        <v>111.69</v>
      </c>
      <c r="Z386" s="5" t="s">
        <v>2292</v>
      </c>
      <c r="AA386" s="5" t="s">
        <v>2296</v>
      </c>
      <c r="AB386" s="9">
        <f t="shared" ref="AB386:AB449" si="74">N386</f>
        <v>300</v>
      </c>
      <c r="AC386" s="9">
        <f t="shared" ref="AC386:AC449" si="75">IF(N386="","",N386*IF(M386="",0,M386))</f>
        <v>45</v>
      </c>
      <c r="AD386" s="9">
        <f t="shared" ref="AD386:AD449" si="76">O386</f>
        <v>255</v>
      </c>
      <c r="AE386" s="9">
        <f t="shared" ref="AE386:AE449" si="77">IF(OR(K386="",X386=""),"",K386*X386)</f>
        <v>143.31</v>
      </c>
      <c r="AF386" s="9">
        <f t="shared" si="71"/>
        <v>111.69</v>
      </c>
      <c r="AG386" s="8">
        <f t="shared" ref="AG386:AG449" si="78">IF(B386="","",YEAR(B386))</f>
        <v>2024</v>
      </c>
      <c r="AH386" s="8">
        <f t="shared" ref="AH386:AH449" si="79">IF(B386="","",MONTH(B386))</f>
        <v>2</v>
      </c>
      <c r="AI386" s="5" t="str">
        <f t="shared" ref="AI386:AI449" si="80">IF(B386="","",TEXT(B386,"mmm"))</f>
        <v>Feb</v>
      </c>
      <c r="AJ386" s="5" t="str">
        <f t="shared" ref="AJ386:AJ449" si="81">IF(B386="","",TEXT(B386,"dddd"))</f>
        <v>Wednesday</v>
      </c>
    </row>
    <row r="387" spans="1:36" x14ac:dyDescent="0.3">
      <c r="A387" s="5" t="s">
        <v>421</v>
      </c>
      <c r="B387" s="6">
        <v>45625</v>
      </c>
      <c r="C387" s="7">
        <v>0.61458333333333337</v>
      </c>
      <c r="D387" s="5" t="s">
        <v>1761</v>
      </c>
      <c r="E387" s="5" t="s">
        <v>2044</v>
      </c>
      <c r="F387" s="5" t="s">
        <v>2239</v>
      </c>
      <c r="G387" s="5" t="s">
        <v>2248</v>
      </c>
      <c r="H387" s="5" t="s">
        <v>2257</v>
      </c>
      <c r="I387" s="5" t="s">
        <v>2262</v>
      </c>
      <c r="J387" s="5" t="s">
        <v>2266</v>
      </c>
      <c r="K387" s="8">
        <v>1</v>
      </c>
      <c r="L387" s="9">
        <v>145</v>
      </c>
      <c r="M387" s="10">
        <v>0.1</v>
      </c>
      <c r="N387" s="9">
        <f t="shared" ref="N387:N450" si="82">IFERROR(K387*L387,"")</f>
        <v>145</v>
      </c>
      <c r="O387" s="9">
        <f t="shared" si="72"/>
        <v>130.5</v>
      </c>
      <c r="P387" s="5" t="s">
        <v>2269</v>
      </c>
      <c r="Q387" s="5" t="s">
        <v>2271</v>
      </c>
      <c r="R387" s="5" t="s">
        <v>2279</v>
      </c>
      <c r="S387" s="5" t="s">
        <v>2284</v>
      </c>
      <c r="T387" s="5" t="s">
        <v>2289</v>
      </c>
      <c r="U387" s="8">
        <v>5</v>
      </c>
      <c r="V387" s="8">
        <v>453</v>
      </c>
      <c r="W387" s="8">
        <v>38</v>
      </c>
      <c r="X387" s="9">
        <v>80.66</v>
      </c>
      <c r="Y387" s="9">
        <f t="shared" si="73"/>
        <v>49.84</v>
      </c>
      <c r="Z387" s="5" t="s">
        <v>2294</v>
      </c>
      <c r="AA387" s="5" t="s">
        <v>2296</v>
      </c>
      <c r="AB387" s="9">
        <f t="shared" si="74"/>
        <v>145</v>
      </c>
      <c r="AC387" s="9">
        <f t="shared" si="75"/>
        <v>14.5</v>
      </c>
      <c r="AD387" s="9">
        <f t="shared" si="76"/>
        <v>130.5</v>
      </c>
      <c r="AE387" s="9">
        <f t="shared" si="77"/>
        <v>80.66</v>
      </c>
      <c r="AF387" s="9">
        <f t="shared" ref="AF387:AF450" si="83">Y387</f>
        <v>49.84</v>
      </c>
      <c r="AG387" s="8">
        <f t="shared" si="78"/>
        <v>2024</v>
      </c>
      <c r="AH387" s="8">
        <f t="shared" si="79"/>
        <v>11</v>
      </c>
      <c r="AI387" s="5" t="str">
        <f t="shared" si="80"/>
        <v>Nov</v>
      </c>
      <c r="AJ387" s="5" t="str">
        <f t="shared" si="81"/>
        <v>Friday</v>
      </c>
    </row>
    <row r="388" spans="1:36" x14ac:dyDescent="0.3">
      <c r="A388" s="5" t="s">
        <v>422</v>
      </c>
      <c r="B388" s="18">
        <v>45468</v>
      </c>
      <c r="C388" s="7">
        <v>0.53472222222222221</v>
      </c>
      <c r="D388" s="5" t="s">
        <v>1847</v>
      </c>
      <c r="E388" s="5" t="s">
        <v>2056</v>
      </c>
      <c r="F388" s="5" t="s">
        <v>2240</v>
      </c>
      <c r="G388" s="5" t="s">
        <v>2254</v>
      </c>
      <c r="H388" s="5" t="s">
        <v>2259</v>
      </c>
      <c r="I388" s="5" t="s">
        <v>2263</v>
      </c>
      <c r="J388" s="5" t="s">
        <v>2266</v>
      </c>
      <c r="K388" s="8">
        <v>5</v>
      </c>
      <c r="L388" s="9">
        <v>110</v>
      </c>
      <c r="M388" s="10">
        <v>0</v>
      </c>
      <c r="N388" s="9">
        <f t="shared" si="82"/>
        <v>550</v>
      </c>
      <c r="O388" s="9">
        <f t="shared" si="72"/>
        <v>550</v>
      </c>
      <c r="P388" s="5" t="s">
        <v>2267</v>
      </c>
      <c r="Q388" s="5" t="s">
        <v>2270</v>
      </c>
      <c r="R388" s="5" t="s">
        <v>2279</v>
      </c>
      <c r="S388" s="5" t="s">
        <v>2287</v>
      </c>
      <c r="T388" s="5" t="s">
        <v>2288</v>
      </c>
      <c r="U388" s="8">
        <v>5</v>
      </c>
      <c r="V388" s="8">
        <v>327</v>
      </c>
      <c r="W388" s="8">
        <v>53</v>
      </c>
      <c r="X388" s="9">
        <v>62.08</v>
      </c>
      <c r="Y388" s="9">
        <f t="shared" si="73"/>
        <v>239.60000000000002</v>
      </c>
      <c r="Z388" s="5" t="s">
        <v>2291</v>
      </c>
      <c r="AA388" s="5" t="s">
        <v>2296</v>
      </c>
      <c r="AB388" s="9">
        <f t="shared" si="74"/>
        <v>550</v>
      </c>
      <c r="AC388" s="9">
        <f t="shared" si="75"/>
        <v>0</v>
      </c>
      <c r="AD388" s="9">
        <f t="shared" si="76"/>
        <v>550</v>
      </c>
      <c r="AE388" s="9">
        <f t="shared" si="77"/>
        <v>310.39999999999998</v>
      </c>
      <c r="AF388" s="9">
        <f t="shared" si="83"/>
        <v>239.60000000000002</v>
      </c>
      <c r="AG388" s="8">
        <f t="shared" si="78"/>
        <v>2024</v>
      </c>
      <c r="AH388" s="8">
        <f t="shared" si="79"/>
        <v>6</v>
      </c>
      <c r="AI388" s="5" t="str">
        <f t="shared" si="80"/>
        <v>Jun</v>
      </c>
      <c r="AJ388" s="5" t="str">
        <f t="shared" si="81"/>
        <v>Tuesday</v>
      </c>
    </row>
    <row r="389" spans="1:36" x14ac:dyDescent="0.3">
      <c r="A389" s="5" t="s">
        <v>423</v>
      </c>
      <c r="B389" s="6">
        <v>45561</v>
      </c>
      <c r="C389" s="7">
        <v>0.3263888888888889</v>
      </c>
      <c r="D389" s="5" t="s">
        <v>1872</v>
      </c>
      <c r="E389" s="5" t="s">
        <v>2044</v>
      </c>
      <c r="F389" s="5" t="s">
        <v>2239</v>
      </c>
      <c r="G389" s="5" t="s">
        <v>2246</v>
      </c>
      <c r="H389" s="5" t="s">
        <v>2259</v>
      </c>
      <c r="I389" s="5" t="s">
        <v>2262</v>
      </c>
      <c r="J389" s="5" t="s">
        <v>2266</v>
      </c>
      <c r="K389" s="8">
        <v>1</v>
      </c>
      <c r="L389" s="9">
        <v>90</v>
      </c>
      <c r="M389" s="10">
        <v>0</v>
      </c>
      <c r="N389" s="9">
        <f t="shared" si="82"/>
        <v>90</v>
      </c>
      <c r="O389" s="9">
        <f t="shared" si="72"/>
        <v>90</v>
      </c>
      <c r="P389" s="5" t="s">
        <v>2267</v>
      </c>
      <c r="Q389" s="5" t="s">
        <v>2272</v>
      </c>
      <c r="R389" s="5" t="s">
        <v>2274</v>
      </c>
      <c r="S389" s="5" t="s">
        <v>2281</v>
      </c>
      <c r="T389" s="5" t="s">
        <v>2290</v>
      </c>
      <c r="U389" s="8">
        <v>3</v>
      </c>
      <c r="V389" s="8">
        <v>4</v>
      </c>
      <c r="W389" s="8">
        <v>49</v>
      </c>
      <c r="X389" s="9">
        <v>54.94</v>
      </c>
      <c r="Y389" s="9">
        <f t="shared" si="73"/>
        <v>35.06</v>
      </c>
      <c r="Z389" s="5" t="s">
        <v>2294</v>
      </c>
      <c r="AA389" s="5" t="s">
        <v>2299</v>
      </c>
      <c r="AB389" s="9">
        <f t="shared" si="74"/>
        <v>90</v>
      </c>
      <c r="AC389" s="9">
        <f t="shared" si="75"/>
        <v>0</v>
      </c>
      <c r="AD389" s="9">
        <f t="shared" si="76"/>
        <v>90</v>
      </c>
      <c r="AE389" s="9">
        <f t="shared" si="77"/>
        <v>54.94</v>
      </c>
      <c r="AF389" s="9">
        <f t="shared" si="83"/>
        <v>35.06</v>
      </c>
      <c r="AG389" s="8">
        <f t="shared" si="78"/>
        <v>2024</v>
      </c>
      <c r="AH389" s="8">
        <f t="shared" si="79"/>
        <v>9</v>
      </c>
      <c r="AI389" s="5" t="str">
        <f t="shared" si="80"/>
        <v>Sep</v>
      </c>
      <c r="AJ389" s="5" t="str">
        <f t="shared" si="81"/>
        <v>Thursday</v>
      </c>
    </row>
    <row r="390" spans="1:36" x14ac:dyDescent="0.3">
      <c r="A390" s="5" t="s">
        <v>424</v>
      </c>
      <c r="B390" s="6">
        <v>45446</v>
      </c>
      <c r="C390" s="7">
        <v>0.35416666666666669</v>
      </c>
      <c r="D390" s="5" t="s">
        <v>1781</v>
      </c>
      <c r="E390" s="5" t="s">
        <v>2073</v>
      </c>
      <c r="F390" s="5" t="s">
        <v>2238</v>
      </c>
      <c r="G390" s="5" t="s">
        <v>2254</v>
      </c>
      <c r="H390" s="5" t="s">
        <v>2259</v>
      </c>
      <c r="I390" s="5" t="s">
        <v>2263</v>
      </c>
      <c r="J390" s="5" t="s">
        <v>2266</v>
      </c>
      <c r="K390" s="8">
        <v>1</v>
      </c>
      <c r="L390" s="9">
        <v>120</v>
      </c>
      <c r="M390" s="10">
        <v>0.1</v>
      </c>
      <c r="N390" s="9">
        <f t="shared" si="82"/>
        <v>120</v>
      </c>
      <c r="O390" s="9">
        <f t="shared" si="72"/>
        <v>108</v>
      </c>
      <c r="P390" s="5" t="s">
        <v>2269</v>
      </c>
      <c r="Q390" s="5" t="s">
        <v>2270</v>
      </c>
      <c r="R390" s="5" t="s">
        <v>2277</v>
      </c>
      <c r="S390" s="5" t="s">
        <v>2282</v>
      </c>
      <c r="T390" s="5" t="s">
        <v>2289</v>
      </c>
      <c r="U390" s="8">
        <v>4</v>
      </c>
      <c r="V390" s="8">
        <v>283</v>
      </c>
      <c r="W390" s="8">
        <v>43</v>
      </c>
      <c r="X390" s="9">
        <v>56.85</v>
      </c>
      <c r="Y390" s="9">
        <f t="shared" si="73"/>
        <v>51.15</v>
      </c>
      <c r="Z390" s="5" t="s">
        <v>2292</v>
      </c>
      <c r="AA390" s="5" t="s">
        <v>2299</v>
      </c>
      <c r="AB390" s="9">
        <f t="shared" si="74"/>
        <v>120</v>
      </c>
      <c r="AC390" s="9">
        <f t="shared" si="75"/>
        <v>12</v>
      </c>
      <c r="AD390" s="9">
        <f t="shared" si="76"/>
        <v>108</v>
      </c>
      <c r="AE390" s="9">
        <f t="shared" si="77"/>
        <v>56.85</v>
      </c>
      <c r="AF390" s="9">
        <f t="shared" si="83"/>
        <v>51.15</v>
      </c>
      <c r="AG390" s="8">
        <f t="shared" si="78"/>
        <v>2024</v>
      </c>
      <c r="AH390" s="8">
        <f t="shared" si="79"/>
        <v>6</v>
      </c>
      <c r="AI390" s="5" t="str">
        <f t="shared" si="80"/>
        <v>Jun</v>
      </c>
      <c r="AJ390" s="5" t="str">
        <f t="shared" si="81"/>
        <v>Monday</v>
      </c>
    </row>
    <row r="391" spans="1:36" x14ac:dyDescent="0.3">
      <c r="A391" s="5" t="s">
        <v>425</v>
      </c>
      <c r="B391" s="6">
        <v>45460</v>
      </c>
      <c r="C391" s="7">
        <v>0.43055555555555558</v>
      </c>
      <c r="D391" s="5" t="s">
        <v>1766</v>
      </c>
      <c r="E391" s="5" t="s">
        <v>2061</v>
      </c>
      <c r="F391" s="5" t="s">
        <v>2239</v>
      </c>
      <c r="G391" s="5" t="s">
        <v>2255</v>
      </c>
      <c r="H391" s="5" t="s">
        <v>2260</v>
      </c>
      <c r="I391" s="5" t="s">
        <v>2260</v>
      </c>
      <c r="J391" s="5" t="s">
        <v>2266</v>
      </c>
      <c r="K391" s="8">
        <v>1</v>
      </c>
      <c r="L391" s="9">
        <v>180</v>
      </c>
      <c r="M391" s="10">
        <v>0</v>
      </c>
      <c r="N391" s="9">
        <f t="shared" si="82"/>
        <v>180</v>
      </c>
      <c r="O391" s="9">
        <f t="shared" si="72"/>
        <v>180</v>
      </c>
      <c r="P391" s="5" t="s">
        <v>2267</v>
      </c>
      <c r="Q391" s="5" t="s">
        <v>2270</v>
      </c>
      <c r="R391" s="5" t="s">
        <v>2273</v>
      </c>
      <c r="S391" s="5" t="s">
        <v>2284</v>
      </c>
      <c r="T391" s="5" t="s">
        <v>2288</v>
      </c>
      <c r="U391" s="19">
        <v>3</v>
      </c>
      <c r="V391" s="8">
        <v>168</v>
      </c>
      <c r="W391" s="8">
        <v>18</v>
      </c>
      <c r="X391" s="9">
        <v>85.18</v>
      </c>
      <c r="Y391" s="9">
        <f t="shared" si="73"/>
        <v>94.82</v>
      </c>
      <c r="Z391" s="5" t="s">
        <v>1761</v>
      </c>
      <c r="AA391" s="5" t="s">
        <v>1761</v>
      </c>
      <c r="AB391" s="9">
        <f t="shared" si="74"/>
        <v>180</v>
      </c>
      <c r="AC391" s="9">
        <f t="shared" si="75"/>
        <v>0</v>
      </c>
      <c r="AD391" s="9">
        <f t="shared" si="76"/>
        <v>180</v>
      </c>
      <c r="AE391" s="9">
        <f t="shared" si="77"/>
        <v>85.18</v>
      </c>
      <c r="AF391" s="9">
        <f t="shared" si="83"/>
        <v>94.82</v>
      </c>
      <c r="AG391" s="8">
        <f t="shared" si="78"/>
        <v>2024</v>
      </c>
      <c r="AH391" s="8">
        <f t="shared" si="79"/>
        <v>6</v>
      </c>
      <c r="AI391" s="5" t="str">
        <f t="shared" si="80"/>
        <v>Jun</v>
      </c>
      <c r="AJ391" s="5" t="str">
        <f t="shared" si="81"/>
        <v>Monday</v>
      </c>
    </row>
    <row r="392" spans="1:36" x14ac:dyDescent="0.3">
      <c r="A392" s="5" t="s">
        <v>426</v>
      </c>
      <c r="B392" s="6">
        <v>45473</v>
      </c>
      <c r="C392" s="7">
        <v>0.40972222222222221</v>
      </c>
      <c r="D392" s="5" t="s">
        <v>1834</v>
      </c>
      <c r="E392" s="5" t="s">
        <v>1971</v>
      </c>
      <c r="F392" s="5" t="s">
        <v>1761</v>
      </c>
      <c r="G392" s="5" t="s">
        <v>2251</v>
      </c>
      <c r="H392" s="5" t="s">
        <v>2258</v>
      </c>
      <c r="I392" s="5" t="s">
        <v>2260</v>
      </c>
      <c r="J392" s="5" t="s">
        <v>1761</v>
      </c>
      <c r="K392" s="8">
        <v>1</v>
      </c>
      <c r="L392" s="9">
        <v>100</v>
      </c>
      <c r="M392" s="10">
        <v>0.15</v>
      </c>
      <c r="N392" s="9">
        <f t="shared" si="82"/>
        <v>100</v>
      </c>
      <c r="O392" s="9">
        <f t="shared" si="72"/>
        <v>85</v>
      </c>
      <c r="P392" s="5" t="s">
        <v>2267</v>
      </c>
      <c r="Q392" s="5" t="s">
        <v>2270</v>
      </c>
      <c r="R392" s="5" t="s">
        <v>2274</v>
      </c>
      <c r="S392" s="5" t="s">
        <v>2283</v>
      </c>
      <c r="T392" s="5" t="s">
        <v>2288</v>
      </c>
      <c r="U392" s="8">
        <v>1</v>
      </c>
      <c r="V392" s="8">
        <v>113</v>
      </c>
      <c r="W392" s="8">
        <v>60</v>
      </c>
      <c r="X392" s="9">
        <v>42.05</v>
      </c>
      <c r="Y392" s="9">
        <f t="shared" si="73"/>
        <v>42.95</v>
      </c>
      <c r="Z392" s="5" t="s">
        <v>2291</v>
      </c>
      <c r="AA392" s="5" t="s">
        <v>2297</v>
      </c>
      <c r="AB392" s="9">
        <f t="shared" si="74"/>
        <v>100</v>
      </c>
      <c r="AC392" s="9">
        <f t="shared" si="75"/>
        <v>15</v>
      </c>
      <c r="AD392" s="9">
        <f t="shared" si="76"/>
        <v>85</v>
      </c>
      <c r="AE392" s="9">
        <f t="shared" si="77"/>
        <v>42.05</v>
      </c>
      <c r="AF392" s="9">
        <f t="shared" si="83"/>
        <v>42.95</v>
      </c>
      <c r="AG392" s="8">
        <f t="shared" si="78"/>
        <v>2024</v>
      </c>
      <c r="AH392" s="8">
        <f t="shared" si="79"/>
        <v>6</v>
      </c>
      <c r="AI392" s="5" t="str">
        <f t="shared" si="80"/>
        <v>Jun</v>
      </c>
      <c r="AJ392" s="5" t="str">
        <f t="shared" si="81"/>
        <v>Sunday</v>
      </c>
    </row>
    <row r="393" spans="1:36" x14ac:dyDescent="0.3">
      <c r="A393" s="5" t="s">
        <v>427</v>
      </c>
      <c r="B393" s="6">
        <v>45363</v>
      </c>
      <c r="C393" s="7">
        <v>0.63541666666666663</v>
      </c>
      <c r="D393" s="5" t="s">
        <v>1768</v>
      </c>
      <c r="E393" s="5" t="s">
        <v>2157</v>
      </c>
      <c r="F393" s="5" t="s">
        <v>2239</v>
      </c>
      <c r="G393" s="5" t="s">
        <v>2255</v>
      </c>
      <c r="H393" s="5" t="s">
        <v>2260</v>
      </c>
      <c r="I393" s="5" t="s">
        <v>2260</v>
      </c>
      <c r="J393" s="5" t="s">
        <v>2265</v>
      </c>
      <c r="K393" s="8">
        <v>1</v>
      </c>
      <c r="L393" s="9">
        <v>180</v>
      </c>
      <c r="M393" s="10">
        <v>0</v>
      </c>
      <c r="N393" s="9">
        <f t="shared" si="82"/>
        <v>180</v>
      </c>
      <c r="O393" s="9">
        <f t="shared" si="72"/>
        <v>180</v>
      </c>
      <c r="P393" s="5" t="s">
        <v>2267</v>
      </c>
      <c r="Q393" s="5" t="s">
        <v>2270</v>
      </c>
      <c r="R393" s="5" t="s">
        <v>2278</v>
      </c>
      <c r="S393" s="5" t="s">
        <v>2286</v>
      </c>
      <c r="T393" s="5" t="s">
        <v>2290</v>
      </c>
      <c r="U393" s="19">
        <v>3</v>
      </c>
      <c r="V393" s="8">
        <v>379</v>
      </c>
      <c r="W393" s="8">
        <v>50</v>
      </c>
      <c r="X393" s="9">
        <v>77.900000000000006</v>
      </c>
      <c r="Y393" s="9">
        <f t="shared" si="73"/>
        <v>102.1</v>
      </c>
      <c r="Z393" s="5" t="s">
        <v>1761</v>
      </c>
      <c r="AA393" s="5" t="s">
        <v>1761</v>
      </c>
      <c r="AB393" s="9">
        <f t="shared" si="74"/>
        <v>180</v>
      </c>
      <c r="AC393" s="9">
        <f t="shared" si="75"/>
        <v>0</v>
      </c>
      <c r="AD393" s="9">
        <f t="shared" si="76"/>
        <v>180</v>
      </c>
      <c r="AE393" s="9">
        <f t="shared" si="77"/>
        <v>77.900000000000006</v>
      </c>
      <c r="AF393" s="9">
        <f t="shared" si="83"/>
        <v>102.1</v>
      </c>
      <c r="AG393" s="8">
        <f t="shared" si="78"/>
        <v>2024</v>
      </c>
      <c r="AH393" s="8">
        <f t="shared" si="79"/>
        <v>3</v>
      </c>
      <c r="AI393" s="5" t="str">
        <f t="shared" si="80"/>
        <v>Mar</v>
      </c>
      <c r="AJ393" s="5" t="str">
        <f t="shared" si="81"/>
        <v>Tuesday</v>
      </c>
    </row>
    <row r="394" spans="1:36" x14ac:dyDescent="0.3">
      <c r="A394" s="5" t="s">
        <v>428</v>
      </c>
      <c r="B394" s="6">
        <v>45448</v>
      </c>
      <c r="C394" s="7">
        <v>0.67361111111111116</v>
      </c>
      <c r="D394" s="5" t="s">
        <v>1748</v>
      </c>
      <c r="E394" s="5" t="s">
        <v>2158</v>
      </c>
      <c r="F394" s="5" t="s">
        <v>2240</v>
      </c>
      <c r="G394" s="5" t="s">
        <v>2256</v>
      </c>
      <c r="H394" s="5" t="s">
        <v>2261</v>
      </c>
      <c r="I394" s="5" t="s">
        <v>2260</v>
      </c>
      <c r="J394" s="5" t="s">
        <v>2266</v>
      </c>
      <c r="K394" s="8">
        <v>2</v>
      </c>
      <c r="L394" s="9">
        <v>195</v>
      </c>
      <c r="M394" s="10">
        <v>0.15</v>
      </c>
      <c r="N394" s="9">
        <f t="shared" si="82"/>
        <v>390</v>
      </c>
      <c r="O394" s="9">
        <f t="shared" si="72"/>
        <v>331.5</v>
      </c>
      <c r="P394" s="5" t="s">
        <v>2269</v>
      </c>
      <c r="Q394" s="5" t="s">
        <v>1761</v>
      </c>
      <c r="R394" s="5" t="s">
        <v>2277</v>
      </c>
      <c r="S394" s="5" t="s">
        <v>2285</v>
      </c>
      <c r="T394" s="5" t="s">
        <v>2288</v>
      </c>
      <c r="U394" s="8">
        <v>1</v>
      </c>
      <c r="V394" s="8">
        <v>155</v>
      </c>
      <c r="W394" s="8">
        <v>19</v>
      </c>
      <c r="X394" s="9">
        <v>92.77</v>
      </c>
      <c r="Y394" s="9">
        <f t="shared" si="73"/>
        <v>145.96</v>
      </c>
      <c r="Z394" s="5" t="s">
        <v>1761</v>
      </c>
      <c r="AA394" s="5" t="s">
        <v>2297</v>
      </c>
      <c r="AB394" s="9">
        <f t="shared" si="74"/>
        <v>390</v>
      </c>
      <c r="AC394" s="9">
        <f t="shared" si="75"/>
        <v>58.5</v>
      </c>
      <c r="AD394" s="9">
        <f t="shared" si="76"/>
        <v>331.5</v>
      </c>
      <c r="AE394" s="9">
        <f t="shared" si="77"/>
        <v>185.54</v>
      </c>
      <c r="AF394" s="9">
        <f t="shared" si="83"/>
        <v>145.96</v>
      </c>
      <c r="AG394" s="8">
        <f t="shared" si="78"/>
        <v>2024</v>
      </c>
      <c r="AH394" s="8">
        <f t="shared" si="79"/>
        <v>6</v>
      </c>
      <c r="AI394" s="5" t="str">
        <f t="shared" si="80"/>
        <v>Jun</v>
      </c>
      <c r="AJ394" s="5" t="str">
        <f t="shared" si="81"/>
        <v>Wednesday</v>
      </c>
    </row>
    <row r="395" spans="1:36" x14ac:dyDescent="0.3">
      <c r="A395" s="5" t="s">
        <v>429</v>
      </c>
      <c r="B395" s="6">
        <v>45508</v>
      </c>
      <c r="C395" s="7">
        <v>0.59375</v>
      </c>
      <c r="D395" s="5" t="s">
        <v>1838</v>
      </c>
      <c r="E395" s="5" t="s">
        <v>2000</v>
      </c>
      <c r="F395" s="5" t="s">
        <v>2239</v>
      </c>
      <c r="G395" s="5" t="s">
        <v>2254</v>
      </c>
      <c r="H395" s="5" t="s">
        <v>2259</v>
      </c>
      <c r="I395" s="5" t="s">
        <v>2263</v>
      </c>
      <c r="J395" s="5" t="s">
        <v>1761</v>
      </c>
      <c r="K395" s="8">
        <v>1</v>
      </c>
      <c r="L395" s="9">
        <v>110</v>
      </c>
      <c r="M395" s="10">
        <v>0.1</v>
      </c>
      <c r="N395" s="9">
        <f t="shared" si="82"/>
        <v>110</v>
      </c>
      <c r="O395" s="9">
        <f t="shared" si="72"/>
        <v>99</v>
      </c>
      <c r="P395" s="5" t="s">
        <v>2269</v>
      </c>
      <c r="Q395" s="5" t="s">
        <v>2272</v>
      </c>
      <c r="R395" s="5" t="s">
        <v>2275</v>
      </c>
      <c r="S395" s="5" t="s">
        <v>2282</v>
      </c>
      <c r="T395" s="5" t="s">
        <v>2289</v>
      </c>
      <c r="U395" s="8">
        <v>5</v>
      </c>
      <c r="V395" s="8">
        <v>11</v>
      </c>
      <c r="W395" s="8">
        <v>52</v>
      </c>
      <c r="X395" s="9">
        <v>40.57</v>
      </c>
      <c r="Y395" s="9">
        <f t="shared" si="73"/>
        <v>58.43</v>
      </c>
      <c r="Z395" s="5" t="s">
        <v>1761</v>
      </c>
      <c r="AA395" s="5" t="s">
        <v>2298</v>
      </c>
      <c r="AB395" s="9">
        <f t="shared" si="74"/>
        <v>110</v>
      </c>
      <c r="AC395" s="9">
        <f t="shared" si="75"/>
        <v>11</v>
      </c>
      <c r="AD395" s="9">
        <f t="shared" si="76"/>
        <v>99</v>
      </c>
      <c r="AE395" s="9">
        <f t="shared" si="77"/>
        <v>40.57</v>
      </c>
      <c r="AF395" s="9">
        <f t="shared" si="83"/>
        <v>58.43</v>
      </c>
      <c r="AG395" s="8">
        <f t="shared" si="78"/>
        <v>2024</v>
      </c>
      <c r="AH395" s="8">
        <f t="shared" si="79"/>
        <v>8</v>
      </c>
      <c r="AI395" s="5" t="str">
        <f t="shared" si="80"/>
        <v>Aug</v>
      </c>
      <c r="AJ395" s="5" t="str">
        <f t="shared" si="81"/>
        <v>Sunday</v>
      </c>
    </row>
    <row r="396" spans="1:36" x14ac:dyDescent="0.3">
      <c r="A396" s="5" t="s">
        <v>430</v>
      </c>
      <c r="B396" s="18">
        <v>45468</v>
      </c>
      <c r="C396" s="7">
        <v>0.63541666666666663</v>
      </c>
      <c r="D396" s="5" t="s">
        <v>1749</v>
      </c>
      <c r="E396" s="5" t="s">
        <v>2022</v>
      </c>
      <c r="F396" s="5" t="s">
        <v>2238</v>
      </c>
      <c r="G396" s="5" t="s">
        <v>2244</v>
      </c>
      <c r="H396" s="5" t="s">
        <v>2257</v>
      </c>
      <c r="I396" s="5" t="s">
        <v>2262</v>
      </c>
      <c r="J396" s="5" t="s">
        <v>2265</v>
      </c>
      <c r="K396" s="8">
        <v>2</v>
      </c>
      <c r="L396" s="9">
        <v>130</v>
      </c>
      <c r="M396" s="10">
        <v>0</v>
      </c>
      <c r="N396" s="9">
        <f t="shared" si="82"/>
        <v>260</v>
      </c>
      <c r="O396" s="9">
        <f t="shared" si="72"/>
        <v>260</v>
      </c>
      <c r="P396" s="5" t="s">
        <v>2269</v>
      </c>
      <c r="Q396" s="5" t="s">
        <v>2270</v>
      </c>
      <c r="R396" s="5" t="s">
        <v>2273</v>
      </c>
      <c r="S396" s="5" t="s">
        <v>2281</v>
      </c>
      <c r="T396" s="5" t="s">
        <v>2288</v>
      </c>
      <c r="U396" s="8">
        <v>2</v>
      </c>
      <c r="V396" s="8">
        <v>438</v>
      </c>
      <c r="W396" s="19">
        <v>34</v>
      </c>
      <c r="X396" s="9">
        <v>67.72</v>
      </c>
      <c r="Y396" s="9">
        <f t="shared" si="73"/>
        <v>124.56</v>
      </c>
      <c r="Z396" s="5" t="s">
        <v>2293</v>
      </c>
      <c r="AA396" s="5" t="s">
        <v>2299</v>
      </c>
      <c r="AB396" s="9">
        <f t="shared" si="74"/>
        <v>260</v>
      </c>
      <c r="AC396" s="9">
        <f t="shared" si="75"/>
        <v>0</v>
      </c>
      <c r="AD396" s="9">
        <f t="shared" si="76"/>
        <v>260</v>
      </c>
      <c r="AE396" s="9">
        <f t="shared" si="77"/>
        <v>135.44</v>
      </c>
      <c r="AF396" s="9">
        <f t="shared" si="83"/>
        <v>124.56</v>
      </c>
      <c r="AG396" s="8">
        <f t="shared" si="78"/>
        <v>2024</v>
      </c>
      <c r="AH396" s="8">
        <f t="shared" si="79"/>
        <v>6</v>
      </c>
      <c r="AI396" s="5" t="str">
        <f t="shared" si="80"/>
        <v>Jun</v>
      </c>
      <c r="AJ396" s="5" t="str">
        <f t="shared" si="81"/>
        <v>Tuesday</v>
      </c>
    </row>
    <row r="397" spans="1:36" x14ac:dyDescent="0.3">
      <c r="A397" s="5" t="s">
        <v>431</v>
      </c>
      <c r="B397" s="6">
        <v>45414</v>
      </c>
      <c r="C397" s="7">
        <v>0.85416666666666663</v>
      </c>
      <c r="D397" s="5" t="s">
        <v>1761</v>
      </c>
      <c r="E397" s="5" t="s">
        <v>1988</v>
      </c>
      <c r="F397" s="5" t="s">
        <v>1761</v>
      </c>
      <c r="G397" s="5" t="s">
        <v>2250</v>
      </c>
      <c r="H397" s="5" t="s">
        <v>2259</v>
      </c>
      <c r="I397" s="5" t="s">
        <v>2262</v>
      </c>
      <c r="J397" s="5" t="s">
        <v>2264</v>
      </c>
      <c r="K397" s="8">
        <v>3</v>
      </c>
      <c r="L397" s="9">
        <v>90</v>
      </c>
      <c r="M397" s="10">
        <v>0</v>
      </c>
      <c r="N397" s="9">
        <f t="shared" si="82"/>
        <v>270</v>
      </c>
      <c r="O397" s="9">
        <f t="shared" si="72"/>
        <v>270</v>
      </c>
      <c r="P397" s="5" t="s">
        <v>1761</v>
      </c>
      <c r="Q397" s="5" t="s">
        <v>2270</v>
      </c>
      <c r="R397" s="5" t="s">
        <v>2274</v>
      </c>
      <c r="S397" s="5" t="s">
        <v>2285</v>
      </c>
      <c r="T397" s="5" t="s">
        <v>2288</v>
      </c>
      <c r="U397" s="8">
        <v>5</v>
      </c>
      <c r="V397" s="8">
        <v>130</v>
      </c>
      <c r="W397" s="19">
        <v>34</v>
      </c>
      <c r="X397" s="9">
        <v>28.98</v>
      </c>
      <c r="Y397" s="9">
        <f t="shared" si="73"/>
        <v>183.06</v>
      </c>
      <c r="Z397" s="5" t="s">
        <v>2293</v>
      </c>
      <c r="AA397" s="5" t="s">
        <v>2296</v>
      </c>
      <c r="AB397" s="9">
        <f t="shared" si="74"/>
        <v>270</v>
      </c>
      <c r="AC397" s="9">
        <f t="shared" si="75"/>
        <v>0</v>
      </c>
      <c r="AD397" s="9">
        <f t="shared" si="76"/>
        <v>270</v>
      </c>
      <c r="AE397" s="9">
        <f t="shared" si="77"/>
        <v>86.94</v>
      </c>
      <c r="AF397" s="9">
        <f t="shared" si="83"/>
        <v>183.06</v>
      </c>
      <c r="AG397" s="8">
        <f t="shared" si="78"/>
        <v>2024</v>
      </c>
      <c r="AH397" s="8">
        <f t="shared" si="79"/>
        <v>5</v>
      </c>
      <c r="AI397" s="5" t="str">
        <f t="shared" si="80"/>
        <v>May</v>
      </c>
      <c r="AJ397" s="5" t="str">
        <f t="shared" si="81"/>
        <v>Thursday</v>
      </c>
    </row>
    <row r="398" spans="1:36" x14ac:dyDescent="0.3">
      <c r="A398" s="5" t="s">
        <v>432</v>
      </c>
      <c r="B398" s="6">
        <v>45344</v>
      </c>
      <c r="C398" s="7">
        <v>0.60416666666666663</v>
      </c>
      <c r="D398" s="5" t="s">
        <v>1871</v>
      </c>
      <c r="E398" s="5" t="s">
        <v>2159</v>
      </c>
      <c r="F398" s="5" t="s">
        <v>2239</v>
      </c>
      <c r="G398" s="5" t="s">
        <v>2255</v>
      </c>
      <c r="H398" s="5" t="s">
        <v>2260</v>
      </c>
      <c r="I398" s="5" t="s">
        <v>2260</v>
      </c>
      <c r="J398" s="5" t="s">
        <v>2265</v>
      </c>
      <c r="K398" s="8">
        <v>3</v>
      </c>
      <c r="L398" s="9">
        <v>190</v>
      </c>
      <c r="M398" s="10">
        <v>0.05</v>
      </c>
      <c r="N398" s="9">
        <f t="shared" si="82"/>
        <v>570</v>
      </c>
      <c r="O398" s="9">
        <f t="shared" si="72"/>
        <v>541.5</v>
      </c>
      <c r="P398" s="5" t="s">
        <v>2269</v>
      </c>
      <c r="Q398" s="5" t="s">
        <v>2270</v>
      </c>
      <c r="R398" s="5" t="s">
        <v>2278</v>
      </c>
      <c r="S398" s="5" t="s">
        <v>2285</v>
      </c>
      <c r="T398" s="5" t="s">
        <v>2288</v>
      </c>
      <c r="U398" s="8">
        <v>2</v>
      </c>
      <c r="V398" s="8">
        <v>376</v>
      </c>
      <c r="W398" s="8">
        <v>16</v>
      </c>
      <c r="X398" s="9">
        <v>64.37</v>
      </c>
      <c r="Y398" s="9">
        <f t="shared" si="73"/>
        <v>348.39</v>
      </c>
      <c r="Z398" s="5" t="s">
        <v>2291</v>
      </c>
      <c r="AA398" s="5" t="s">
        <v>2299</v>
      </c>
      <c r="AB398" s="9">
        <f t="shared" si="74"/>
        <v>570</v>
      </c>
      <c r="AC398" s="9">
        <f t="shared" si="75"/>
        <v>28.5</v>
      </c>
      <c r="AD398" s="9">
        <f t="shared" si="76"/>
        <v>541.5</v>
      </c>
      <c r="AE398" s="9">
        <f t="shared" si="77"/>
        <v>193.11</v>
      </c>
      <c r="AF398" s="9">
        <f t="shared" si="83"/>
        <v>348.39</v>
      </c>
      <c r="AG398" s="8">
        <f t="shared" si="78"/>
        <v>2024</v>
      </c>
      <c r="AH398" s="8">
        <f t="shared" si="79"/>
        <v>2</v>
      </c>
      <c r="AI398" s="5" t="str">
        <f t="shared" si="80"/>
        <v>Feb</v>
      </c>
      <c r="AJ398" s="5" t="str">
        <f t="shared" si="81"/>
        <v>Thursday</v>
      </c>
    </row>
    <row r="399" spans="1:36" x14ac:dyDescent="0.3">
      <c r="A399" s="5" t="s">
        <v>433</v>
      </c>
      <c r="B399" s="6">
        <v>45368</v>
      </c>
      <c r="C399" s="7">
        <v>0.61805555555555558</v>
      </c>
      <c r="D399" s="5" t="s">
        <v>1908</v>
      </c>
      <c r="E399" s="5" t="s">
        <v>1984</v>
      </c>
      <c r="F399" s="5" t="s">
        <v>2240</v>
      </c>
      <c r="G399" s="5" t="s">
        <v>2241</v>
      </c>
      <c r="H399" s="5" t="s">
        <v>2257</v>
      </c>
      <c r="I399" s="5" t="s">
        <v>2262</v>
      </c>
      <c r="J399" s="5" t="s">
        <v>2266</v>
      </c>
      <c r="K399" s="8">
        <v>1</v>
      </c>
      <c r="L399" s="9">
        <v>135</v>
      </c>
      <c r="M399" s="10">
        <v>0</v>
      </c>
      <c r="N399" s="9">
        <f t="shared" si="82"/>
        <v>135</v>
      </c>
      <c r="O399" s="9">
        <f t="shared" si="72"/>
        <v>135</v>
      </c>
      <c r="P399" s="5" t="s">
        <v>2267</v>
      </c>
      <c r="Q399" s="5" t="s">
        <v>2272</v>
      </c>
      <c r="R399" s="5" t="s">
        <v>2273</v>
      </c>
      <c r="S399" s="5" t="s">
        <v>2282</v>
      </c>
      <c r="T399" s="5" t="s">
        <v>2288</v>
      </c>
      <c r="U399" s="8">
        <v>4</v>
      </c>
      <c r="V399" s="8">
        <v>113</v>
      </c>
      <c r="W399" s="8">
        <v>10</v>
      </c>
      <c r="X399" s="9">
        <v>49.74</v>
      </c>
      <c r="Y399" s="9">
        <f t="shared" si="73"/>
        <v>85.259999999999991</v>
      </c>
      <c r="Z399" s="5" t="s">
        <v>1761</v>
      </c>
      <c r="AA399" s="5" t="s">
        <v>2299</v>
      </c>
      <c r="AB399" s="9">
        <f t="shared" si="74"/>
        <v>135</v>
      </c>
      <c r="AC399" s="9">
        <f t="shared" si="75"/>
        <v>0</v>
      </c>
      <c r="AD399" s="9">
        <f t="shared" si="76"/>
        <v>135</v>
      </c>
      <c r="AE399" s="9">
        <f t="shared" si="77"/>
        <v>49.74</v>
      </c>
      <c r="AF399" s="9">
        <f t="shared" si="83"/>
        <v>85.259999999999991</v>
      </c>
      <c r="AG399" s="8">
        <f t="shared" si="78"/>
        <v>2024</v>
      </c>
      <c r="AH399" s="8">
        <f t="shared" si="79"/>
        <v>3</v>
      </c>
      <c r="AI399" s="5" t="str">
        <f t="shared" si="80"/>
        <v>Mar</v>
      </c>
      <c r="AJ399" s="5" t="str">
        <f t="shared" si="81"/>
        <v>Sunday</v>
      </c>
    </row>
    <row r="400" spans="1:36" x14ac:dyDescent="0.3">
      <c r="A400" s="5" t="s">
        <v>434</v>
      </c>
      <c r="B400" s="6">
        <v>45643</v>
      </c>
      <c r="C400" s="7">
        <v>0.57638888888888884</v>
      </c>
      <c r="D400" s="5" t="s">
        <v>1809</v>
      </c>
      <c r="E400" s="5" t="s">
        <v>2064</v>
      </c>
      <c r="F400" s="5" t="s">
        <v>2240</v>
      </c>
      <c r="G400" s="5" t="s">
        <v>2242</v>
      </c>
      <c r="H400" s="5" t="s">
        <v>2258</v>
      </c>
      <c r="I400" s="5" t="s">
        <v>2260</v>
      </c>
      <c r="J400" s="5" t="s">
        <v>1761</v>
      </c>
      <c r="K400" s="8">
        <v>1</v>
      </c>
      <c r="L400" s="9">
        <v>130</v>
      </c>
      <c r="M400" s="10">
        <v>0</v>
      </c>
      <c r="N400" s="9">
        <f t="shared" si="82"/>
        <v>130</v>
      </c>
      <c r="O400" s="9">
        <f t="shared" si="72"/>
        <v>130</v>
      </c>
      <c r="P400" s="5" t="s">
        <v>2269</v>
      </c>
      <c r="Q400" s="5" t="s">
        <v>1761</v>
      </c>
      <c r="R400" s="5" t="s">
        <v>2273</v>
      </c>
      <c r="S400" s="5" t="s">
        <v>2284</v>
      </c>
      <c r="T400" s="5" t="s">
        <v>2290</v>
      </c>
      <c r="U400" s="8">
        <v>5</v>
      </c>
      <c r="V400" s="8">
        <v>153</v>
      </c>
      <c r="W400" s="19">
        <v>36</v>
      </c>
      <c r="X400" s="9">
        <v>55.77</v>
      </c>
      <c r="Y400" s="9">
        <f t="shared" si="73"/>
        <v>74.22999999999999</v>
      </c>
      <c r="Z400" s="5" t="s">
        <v>2293</v>
      </c>
      <c r="AA400" s="5" t="s">
        <v>2296</v>
      </c>
      <c r="AB400" s="9">
        <f t="shared" si="74"/>
        <v>130</v>
      </c>
      <c r="AC400" s="9">
        <f t="shared" si="75"/>
        <v>0</v>
      </c>
      <c r="AD400" s="9">
        <f t="shared" si="76"/>
        <v>130</v>
      </c>
      <c r="AE400" s="9">
        <f t="shared" si="77"/>
        <v>55.77</v>
      </c>
      <c r="AF400" s="9">
        <f t="shared" si="83"/>
        <v>74.22999999999999</v>
      </c>
      <c r="AG400" s="8">
        <f t="shared" si="78"/>
        <v>2024</v>
      </c>
      <c r="AH400" s="8">
        <f t="shared" si="79"/>
        <v>12</v>
      </c>
      <c r="AI400" s="5" t="str">
        <f t="shared" si="80"/>
        <v>Dec</v>
      </c>
      <c r="AJ400" s="5" t="str">
        <f t="shared" si="81"/>
        <v>Tuesday</v>
      </c>
    </row>
    <row r="401" spans="1:36" x14ac:dyDescent="0.3">
      <c r="A401" s="5" t="s">
        <v>435</v>
      </c>
      <c r="B401" s="6">
        <v>45657</v>
      </c>
      <c r="C401" s="7">
        <v>0.75</v>
      </c>
      <c r="D401" s="5" t="s">
        <v>1912</v>
      </c>
      <c r="E401" s="5" t="s">
        <v>1967</v>
      </c>
      <c r="F401" s="5" t="s">
        <v>2240</v>
      </c>
      <c r="G401" s="5" t="s">
        <v>2241</v>
      </c>
      <c r="H401" s="5" t="s">
        <v>2257</v>
      </c>
      <c r="I401" s="5" t="s">
        <v>2262</v>
      </c>
      <c r="J401" s="5" t="s">
        <v>2265</v>
      </c>
      <c r="K401" s="8">
        <v>1</v>
      </c>
      <c r="L401" s="9">
        <v>130</v>
      </c>
      <c r="M401" s="10">
        <v>0</v>
      </c>
      <c r="N401" s="9">
        <f t="shared" si="82"/>
        <v>130</v>
      </c>
      <c r="O401" s="9">
        <f t="shared" si="72"/>
        <v>130</v>
      </c>
      <c r="P401" s="5" t="s">
        <v>1761</v>
      </c>
      <c r="Q401" s="5" t="s">
        <v>2270</v>
      </c>
      <c r="R401" s="5" t="s">
        <v>2274</v>
      </c>
      <c r="S401" s="5" t="s">
        <v>2283</v>
      </c>
      <c r="T401" s="5" t="s">
        <v>2288</v>
      </c>
      <c r="U401" s="19">
        <v>3</v>
      </c>
      <c r="V401" s="8">
        <v>176</v>
      </c>
      <c r="W401" s="19">
        <v>34</v>
      </c>
      <c r="X401" s="9">
        <v>47.89</v>
      </c>
      <c r="Y401" s="9">
        <f t="shared" si="73"/>
        <v>82.11</v>
      </c>
      <c r="Z401" s="5" t="s">
        <v>2293</v>
      </c>
      <c r="AA401" s="5" t="s">
        <v>2297</v>
      </c>
      <c r="AB401" s="9">
        <f t="shared" si="74"/>
        <v>130</v>
      </c>
      <c r="AC401" s="9">
        <f t="shared" si="75"/>
        <v>0</v>
      </c>
      <c r="AD401" s="9">
        <f t="shared" si="76"/>
        <v>130</v>
      </c>
      <c r="AE401" s="9">
        <f t="shared" si="77"/>
        <v>47.89</v>
      </c>
      <c r="AF401" s="9">
        <f t="shared" si="83"/>
        <v>82.11</v>
      </c>
      <c r="AG401" s="8">
        <f t="shared" si="78"/>
        <v>2024</v>
      </c>
      <c r="AH401" s="8">
        <f t="shared" si="79"/>
        <v>12</v>
      </c>
      <c r="AI401" s="5" t="str">
        <f t="shared" si="80"/>
        <v>Dec</v>
      </c>
      <c r="AJ401" s="5" t="str">
        <f t="shared" si="81"/>
        <v>Tuesday</v>
      </c>
    </row>
    <row r="402" spans="1:36" x14ac:dyDescent="0.3">
      <c r="A402" s="5" t="s">
        <v>436</v>
      </c>
      <c r="B402" s="6">
        <v>45627</v>
      </c>
      <c r="C402" s="7">
        <v>0.44791666666666669</v>
      </c>
      <c r="D402" s="5" t="s">
        <v>1796</v>
      </c>
      <c r="E402" s="5" t="s">
        <v>2086</v>
      </c>
      <c r="F402" s="5" t="s">
        <v>1761</v>
      </c>
      <c r="G402" s="5" t="s">
        <v>2250</v>
      </c>
      <c r="H402" s="5" t="s">
        <v>2259</v>
      </c>
      <c r="I402" s="5" t="s">
        <v>2262</v>
      </c>
      <c r="J402" s="5" t="s">
        <v>2266</v>
      </c>
      <c r="K402" s="8">
        <v>2</v>
      </c>
      <c r="L402" s="9">
        <v>75</v>
      </c>
      <c r="M402" s="10">
        <v>0.1</v>
      </c>
      <c r="N402" s="9">
        <f t="shared" si="82"/>
        <v>150</v>
      </c>
      <c r="O402" s="9">
        <f t="shared" si="72"/>
        <v>135</v>
      </c>
      <c r="P402" s="5" t="s">
        <v>1761</v>
      </c>
      <c r="Q402" s="5" t="s">
        <v>1761</v>
      </c>
      <c r="R402" s="5" t="s">
        <v>2273</v>
      </c>
      <c r="S402" s="5" t="s">
        <v>2286</v>
      </c>
      <c r="T402" s="5" t="s">
        <v>2288</v>
      </c>
      <c r="U402" s="19">
        <v>3</v>
      </c>
      <c r="V402" s="8">
        <v>185</v>
      </c>
      <c r="W402" s="8">
        <v>39</v>
      </c>
      <c r="X402" s="9">
        <v>38.200000000000003</v>
      </c>
      <c r="Y402" s="9">
        <f t="shared" si="73"/>
        <v>58.599999999999994</v>
      </c>
      <c r="Z402" s="5" t="s">
        <v>2292</v>
      </c>
      <c r="AA402" s="5" t="s">
        <v>2298</v>
      </c>
      <c r="AB402" s="9">
        <f t="shared" si="74"/>
        <v>150</v>
      </c>
      <c r="AC402" s="9">
        <f t="shared" si="75"/>
        <v>15</v>
      </c>
      <c r="AD402" s="9">
        <f t="shared" si="76"/>
        <v>135</v>
      </c>
      <c r="AE402" s="9">
        <f t="shared" si="77"/>
        <v>76.400000000000006</v>
      </c>
      <c r="AF402" s="9">
        <f t="shared" si="83"/>
        <v>58.599999999999994</v>
      </c>
      <c r="AG402" s="8">
        <f t="shared" si="78"/>
        <v>2024</v>
      </c>
      <c r="AH402" s="8">
        <f t="shared" si="79"/>
        <v>12</v>
      </c>
      <c r="AI402" s="5" t="str">
        <f t="shared" si="80"/>
        <v>Dec</v>
      </c>
      <c r="AJ402" s="5" t="str">
        <f t="shared" si="81"/>
        <v>Sunday</v>
      </c>
    </row>
    <row r="403" spans="1:36" x14ac:dyDescent="0.3">
      <c r="A403" s="5" t="s">
        <v>437</v>
      </c>
      <c r="B403" s="6">
        <v>45420</v>
      </c>
      <c r="C403" s="7">
        <v>0.40972222222222221</v>
      </c>
      <c r="D403" s="5" t="s">
        <v>1913</v>
      </c>
      <c r="E403" s="5" t="s">
        <v>2108</v>
      </c>
      <c r="F403" s="5" t="s">
        <v>1761</v>
      </c>
      <c r="G403" s="5" t="s">
        <v>2242</v>
      </c>
      <c r="H403" s="5" t="s">
        <v>2258</v>
      </c>
      <c r="I403" s="5" t="s">
        <v>2260</v>
      </c>
      <c r="J403" s="5" t="s">
        <v>2264</v>
      </c>
      <c r="K403" s="8">
        <v>4</v>
      </c>
      <c r="L403" s="9">
        <v>130</v>
      </c>
      <c r="M403" s="10">
        <v>0</v>
      </c>
      <c r="N403" s="9">
        <f t="shared" si="82"/>
        <v>520</v>
      </c>
      <c r="O403" s="9">
        <f t="shared" si="72"/>
        <v>520</v>
      </c>
      <c r="P403" s="5" t="s">
        <v>2267</v>
      </c>
      <c r="Q403" s="5" t="s">
        <v>2272</v>
      </c>
      <c r="R403" s="5" t="s">
        <v>2278</v>
      </c>
      <c r="S403" s="5" t="s">
        <v>2282</v>
      </c>
      <c r="T403" s="5" t="s">
        <v>2288</v>
      </c>
      <c r="U403" s="8">
        <v>5</v>
      </c>
      <c r="V403" s="8">
        <v>491</v>
      </c>
      <c r="W403" s="8">
        <v>36</v>
      </c>
      <c r="X403" s="9">
        <v>59.51</v>
      </c>
      <c r="Y403" s="9">
        <f t="shared" si="73"/>
        <v>281.96000000000004</v>
      </c>
      <c r="Z403" s="5" t="s">
        <v>2293</v>
      </c>
      <c r="AA403" s="5" t="s">
        <v>1761</v>
      </c>
      <c r="AB403" s="9">
        <f t="shared" si="74"/>
        <v>520</v>
      </c>
      <c r="AC403" s="9">
        <f t="shared" si="75"/>
        <v>0</v>
      </c>
      <c r="AD403" s="9">
        <f t="shared" si="76"/>
        <v>520</v>
      </c>
      <c r="AE403" s="9">
        <f t="shared" si="77"/>
        <v>238.04</v>
      </c>
      <c r="AF403" s="9">
        <f t="shared" si="83"/>
        <v>281.96000000000004</v>
      </c>
      <c r="AG403" s="8">
        <f t="shared" si="78"/>
        <v>2024</v>
      </c>
      <c r="AH403" s="8">
        <f t="shared" si="79"/>
        <v>5</v>
      </c>
      <c r="AI403" s="5" t="str">
        <f t="shared" si="80"/>
        <v>May</v>
      </c>
      <c r="AJ403" s="5" t="str">
        <f t="shared" si="81"/>
        <v>Wednesday</v>
      </c>
    </row>
    <row r="404" spans="1:36" x14ac:dyDescent="0.3">
      <c r="A404" s="5" t="s">
        <v>438</v>
      </c>
      <c r="B404" s="6">
        <v>45359</v>
      </c>
      <c r="C404" s="7">
        <v>0.29166666666666669</v>
      </c>
      <c r="D404" s="5" t="s">
        <v>1831</v>
      </c>
      <c r="E404" s="5" t="s">
        <v>2020</v>
      </c>
      <c r="F404" s="5" t="s">
        <v>2239</v>
      </c>
      <c r="G404" s="5" t="s">
        <v>2250</v>
      </c>
      <c r="H404" s="5" t="s">
        <v>2259</v>
      </c>
      <c r="I404" s="5" t="s">
        <v>2262</v>
      </c>
      <c r="J404" s="5" t="s">
        <v>2264</v>
      </c>
      <c r="K404" s="8">
        <v>2</v>
      </c>
      <c r="L404" s="9">
        <v>85</v>
      </c>
      <c r="M404" s="10">
        <v>0</v>
      </c>
      <c r="N404" s="9">
        <f t="shared" si="82"/>
        <v>170</v>
      </c>
      <c r="O404" s="9">
        <f t="shared" si="72"/>
        <v>170</v>
      </c>
      <c r="P404" s="5" t="s">
        <v>2267</v>
      </c>
      <c r="Q404" s="5" t="s">
        <v>1761</v>
      </c>
      <c r="R404" s="5" t="s">
        <v>2273</v>
      </c>
      <c r="S404" s="5" t="s">
        <v>2287</v>
      </c>
      <c r="T404" s="5" t="s">
        <v>2288</v>
      </c>
      <c r="U404" s="8">
        <v>5</v>
      </c>
      <c r="V404" s="8">
        <v>72</v>
      </c>
      <c r="W404" s="19">
        <v>36</v>
      </c>
      <c r="X404" s="9">
        <v>36.47</v>
      </c>
      <c r="Y404" s="9">
        <f t="shared" si="73"/>
        <v>97.06</v>
      </c>
      <c r="Z404" s="5" t="s">
        <v>2294</v>
      </c>
      <c r="AA404" s="5" t="s">
        <v>1761</v>
      </c>
      <c r="AB404" s="9">
        <f t="shared" si="74"/>
        <v>170</v>
      </c>
      <c r="AC404" s="9">
        <f t="shared" si="75"/>
        <v>0</v>
      </c>
      <c r="AD404" s="9">
        <f t="shared" si="76"/>
        <v>170</v>
      </c>
      <c r="AE404" s="9">
        <f t="shared" si="77"/>
        <v>72.94</v>
      </c>
      <c r="AF404" s="9">
        <f t="shared" si="83"/>
        <v>97.06</v>
      </c>
      <c r="AG404" s="8">
        <f t="shared" si="78"/>
        <v>2024</v>
      </c>
      <c r="AH404" s="8">
        <f t="shared" si="79"/>
        <v>3</v>
      </c>
      <c r="AI404" s="5" t="str">
        <f t="shared" si="80"/>
        <v>Mar</v>
      </c>
      <c r="AJ404" s="5" t="str">
        <f t="shared" si="81"/>
        <v>Friday</v>
      </c>
    </row>
    <row r="405" spans="1:36" x14ac:dyDescent="0.3">
      <c r="A405" s="5" t="s">
        <v>439</v>
      </c>
      <c r="B405" s="6">
        <v>45555</v>
      </c>
      <c r="C405" s="7">
        <v>0.57638888888888884</v>
      </c>
      <c r="D405" s="5" t="s">
        <v>1773</v>
      </c>
      <c r="E405" s="5" t="s">
        <v>1970</v>
      </c>
      <c r="F405" s="5" t="s">
        <v>2238</v>
      </c>
      <c r="G405" s="5" t="s">
        <v>2252</v>
      </c>
      <c r="H405" s="5" t="s">
        <v>2257</v>
      </c>
      <c r="I405" s="5" t="s">
        <v>2262</v>
      </c>
      <c r="J405" s="5" t="s">
        <v>2266</v>
      </c>
      <c r="K405" s="8">
        <v>1</v>
      </c>
      <c r="L405" s="9">
        <v>95</v>
      </c>
      <c r="M405" s="10">
        <v>0.05</v>
      </c>
      <c r="N405" s="9">
        <f t="shared" si="82"/>
        <v>95</v>
      </c>
      <c r="O405" s="9">
        <f t="shared" si="72"/>
        <v>90.25</v>
      </c>
      <c r="P405" s="5" t="s">
        <v>2267</v>
      </c>
      <c r="Q405" s="5" t="s">
        <v>2271</v>
      </c>
      <c r="R405" s="5" t="s">
        <v>2277</v>
      </c>
      <c r="S405" s="5" t="s">
        <v>2282</v>
      </c>
      <c r="T405" s="5" t="s">
        <v>2290</v>
      </c>
      <c r="U405" s="8">
        <v>5</v>
      </c>
      <c r="V405" s="8">
        <v>209</v>
      </c>
      <c r="W405" s="8">
        <v>33</v>
      </c>
      <c r="X405" s="9">
        <v>51.41</v>
      </c>
      <c r="Y405" s="9">
        <f t="shared" si="73"/>
        <v>38.840000000000003</v>
      </c>
      <c r="Z405" s="5" t="s">
        <v>2294</v>
      </c>
      <c r="AA405" s="5" t="s">
        <v>2296</v>
      </c>
      <c r="AB405" s="9">
        <f t="shared" si="74"/>
        <v>95</v>
      </c>
      <c r="AC405" s="9">
        <f t="shared" si="75"/>
        <v>4.75</v>
      </c>
      <c r="AD405" s="9">
        <f t="shared" si="76"/>
        <v>90.25</v>
      </c>
      <c r="AE405" s="9">
        <f t="shared" si="77"/>
        <v>51.41</v>
      </c>
      <c r="AF405" s="9">
        <f t="shared" si="83"/>
        <v>38.840000000000003</v>
      </c>
      <c r="AG405" s="8">
        <f t="shared" si="78"/>
        <v>2024</v>
      </c>
      <c r="AH405" s="8">
        <f t="shared" si="79"/>
        <v>9</v>
      </c>
      <c r="AI405" s="5" t="str">
        <f t="shared" si="80"/>
        <v>Sep</v>
      </c>
      <c r="AJ405" s="5" t="str">
        <f t="shared" si="81"/>
        <v>Friday</v>
      </c>
    </row>
    <row r="406" spans="1:36" x14ac:dyDescent="0.3">
      <c r="A406" s="5" t="s">
        <v>440</v>
      </c>
      <c r="B406" s="6">
        <v>45598</v>
      </c>
      <c r="C406" s="7">
        <v>0.63888888888888884</v>
      </c>
      <c r="D406" s="5" t="s">
        <v>1906</v>
      </c>
      <c r="E406" s="5" t="s">
        <v>2094</v>
      </c>
      <c r="F406" s="5" t="s">
        <v>2239</v>
      </c>
      <c r="G406" s="5" t="s">
        <v>2241</v>
      </c>
      <c r="H406" s="5" t="s">
        <v>2257</v>
      </c>
      <c r="I406" s="5" t="s">
        <v>2262</v>
      </c>
      <c r="J406" s="5" t="s">
        <v>2266</v>
      </c>
      <c r="K406" s="8">
        <v>2</v>
      </c>
      <c r="L406" s="9">
        <v>130</v>
      </c>
      <c r="M406" s="10">
        <v>0</v>
      </c>
      <c r="N406" s="9">
        <f t="shared" si="82"/>
        <v>260</v>
      </c>
      <c r="O406" s="9">
        <f t="shared" si="72"/>
        <v>260</v>
      </c>
      <c r="P406" s="5" t="s">
        <v>2267</v>
      </c>
      <c r="Q406" s="5" t="s">
        <v>2272</v>
      </c>
      <c r="R406" s="5" t="s">
        <v>2276</v>
      </c>
      <c r="S406" s="5" t="s">
        <v>2283</v>
      </c>
      <c r="T406" s="5" t="s">
        <v>2290</v>
      </c>
      <c r="U406" s="8">
        <v>5</v>
      </c>
      <c r="V406" s="8">
        <v>110</v>
      </c>
      <c r="W406" s="19">
        <v>35</v>
      </c>
      <c r="X406" s="9">
        <v>54.06</v>
      </c>
      <c r="Y406" s="9">
        <f t="shared" si="73"/>
        <v>151.88</v>
      </c>
      <c r="Z406" s="5" t="s">
        <v>2294</v>
      </c>
      <c r="AA406" s="5" t="s">
        <v>2296</v>
      </c>
      <c r="AB406" s="9">
        <f t="shared" si="74"/>
        <v>260</v>
      </c>
      <c r="AC406" s="9">
        <f t="shared" si="75"/>
        <v>0</v>
      </c>
      <c r="AD406" s="9">
        <f t="shared" si="76"/>
        <v>260</v>
      </c>
      <c r="AE406" s="9">
        <f t="shared" si="77"/>
        <v>108.12</v>
      </c>
      <c r="AF406" s="9">
        <f t="shared" si="83"/>
        <v>151.88</v>
      </c>
      <c r="AG406" s="8">
        <f t="shared" si="78"/>
        <v>2024</v>
      </c>
      <c r="AH406" s="8">
        <f t="shared" si="79"/>
        <v>11</v>
      </c>
      <c r="AI406" s="5" t="str">
        <f t="shared" si="80"/>
        <v>Nov</v>
      </c>
      <c r="AJ406" s="5" t="str">
        <f t="shared" si="81"/>
        <v>Saturday</v>
      </c>
    </row>
    <row r="407" spans="1:36" x14ac:dyDescent="0.3">
      <c r="A407" s="5" t="s">
        <v>441</v>
      </c>
      <c r="B407" s="18">
        <v>45468</v>
      </c>
      <c r="C407" s="7">
        <v>0.67361111111111116</v>
      </c>
      <c r="D407" s="5" t="s">
        <v>1756</v>
      </c>
      <c r="E407" s="5" t="s">
        <v>2047</v>
      </c>
      <c r="F407" s="5" t="s">
        <v>1761</v>
      </c>
      <c r="G407" s="5" t="s">
        <v>2256</v>
      </c>
      <c r="H407" s="5" t="s">
        <v>2261</v>
      </c>
      <c r="I407" s="5" t="s">
        <v>2260</v>
      </c>
      <c r="J407" s="5" t="s">
        <v>2266</v>
      </c>
      <c r="K407" s="8">
        <v>2</v>
      </c>
      <c r="L407" s="9">
        <v>195</v>
      </c>
      <c r="M407" s="10">
        <v>0.05</v>
      </c>
      <c r="N407" s="9">
        <f t="shared" si="82"/>
        <v>390</v>
      </c>
      <c r="O407" s="9">
        <f t="shared" si="72"/>
        <v>370.5</v>
      </c>
      <c r="P407" s="5" t="s">
        <v>2269</v>
      </c>
      <c r="Q407" s="5" t="s">
        <v>2272</v>
      </c>
      <c r="R407" s="5" t="s">
        <v>2274</v>
      </c>
      <c r="S407" s="5" t="s">
        <v>2284</v>
      </c>
      <c r="T407" s="5" t="s">
        <v>2288</v>
      </c>
      <c r="U407" s="8">
        <v>2</v>
      </c>
      <c r="V407" s="8">
        <v>240</v>
      </c>
      <c r="W407" s="8">
        <v>23</v>
      </c>
      <c r="X407" s="9">
        <v>101.9</v>
      </c>
      <c r="Y407" s="9">
        <f t="shared" si="73"/>
        <v>166.7</v>
      </c>
      <c r="Z407" s="5" t="s">
        <v>2293</v>
      </c>
      <c r="AA407" s="5" t="s">
        <v>2297</v>
      </c>
      <c r="AB407" s="9">
        <f t="shared" si="74"/>
        <v>390</v>
      </c>
      <c r="AC407" s="9">
        <f t="shared" si="75"/>
        <v>19.5</v>
      </c>
      <c r="AD407" s="9">
        <f t="shared" si="76"/>
        <v>370.5</v>
      </c>
      <c r="AE407" s="9">
        <f t="shared" si="77"/>
        <v>203.8</v>
      </c>
      <c r="AF407" s="9">
        <f t="shared" si="83"/>
        <v>166.7</v>
      </c>
      <c r="AG407" s="8">
        <f t="shared" si="78"/>
        <v>2024</v>
      </c>
      <c r="AH407" s="8">
        <f t="shared" si="79"/>
        <v>6</v>
      </c>
      <c r="AI407" s="5" t="str">
        <f t="shared" si="80"/>
        <v>Jun</v>
      </c>
      <c r="AJ407" s="5" t="str">
        <f t="shared" si="81"/>
        <v>Tuesday</v>
      </c>
    </row>
    <row r="408" spans="1:36" x14ac:dyDescent="0.3">
      <c r="A408" s="5" t="s">
        <v>442</v>
      </c>
      <c r="B408" s="6">
        <v>45381</v>
      </c>
      <c r="C408" s="7">
        <v>0.30208333333333331</v>
      </c>
      <c r="D408" s="5" t="s">
        <v>1882</v>
      </c>
      <c r="E408" s="5" t="s">
        <v>2160</v>
      </c>
      <c r="F408" s="5" t="s">
        <v>2240</v>
      </c>
      <c r="G408" s="5" t="s">
        <v>2248</v>
      </c>
      <c r="H408" s="5" t="s">
        <v>2257</v>
      </c>
      <c r="I408" s="5" t="s">
        <v>2262</v>
      </c>
      <c r="J408" s="5" t="s">
        <v>2266</v>
      </c>
      <c r="K408" s="8">
        <v>1</v>
      </c>
      <c r="L408" s="9">
        <v>145</v>
      </c>
      <c r="M408" s="10">
        <v>0.15</v>
      </c>
      <c r="N408" s="9">
        <f t="shared" si="82"/>
        <v>145</v>
      </c>
      <c r="O408" s="9">
        <f t="shared" si="72"/>
        <v>123.25</v>
      </c>
      <c r="P408" s="5" t="s">
        <v>2268</v>
      </c>
      <c r="Q408" s="5" t="s">
        <v>1761</v>
      </c>
      <c r="R408" s="5" t="s">
        <v>2273</v>
      </c>
      <c r="S408" s="5" t="s">
        <v>2286</v>
      </c>
      <c r="T408" s="5" t="s">
        <v>2288</v>
      </c>
      <c r="U408" s="8">
        <v>2</v>
      </c>
      <c r="V408" s="8">
        <v>166</v>
      </c>
      <c r="W408" s="19">
        <v>36</v>
      </c>
      <c r="X408" s="9">
        <v>59.86</v>
      </c>
      <c r="Y408" s="9">
        <f t="shared" si="73"/>
        <v>63.39</v>
      </c>
      <c r="Z408" s="5" t="s">
        <v>2293</v>
      </c>
      <c r="AA408" s="5" t="s">
        <v>1761</v>
      </c>
      <c r="AB408" s="9">
        <f t="shared" si="74"/>
        <v>145</v>
      </c>
      <c r="AC408" s="9">
        <f t="shared" si="75"/>
        <v>21.75</v>
      </c>
      <c r="AD408" s="9">
        <f t="shared" si="76"/>
        <v>123.25</v>
      </c>
      <c r="AE408" s="9">
        <f t="shared" si="77"/>
        <v>59.86</v>
      </c>
      <c r="AF408" s="9">
        <f t="shared" si="83"/>
        <v>63.39</v>
      </c>
      <c r="AG408" s="8">
        <f t="shared" si="78"/>
        <v>2024</v>
      </c>
      <c r="AH408" s="8">
        <f t="shared" si="79"/>
        <v>3</v>
      </c>
      <c r="AI408" s="5" t="str">
        <f t="shared" si="80"/>
        <v>Mar</v>
      </c>
      <c r="AJ408" s="5" t="str">
        <f t="shared" si="81"/>
        <v>Saturday</v>
      </c>
    </row>
    <row r="409" spans="1:36" x14ac:dyDescent="0.3">
      <c r="A409" s="5" t="s">
        <v>443</v>
      </c>
      <c r="B409" s="6">
        <v>45508</v>
      </c>
      <c r="C409" s="7">
        <v>0.90625</v>
      </c>
      <c r="D409" s="5" t="s">
        <v>1912</v>
      </c>
      <c r="E409" s="5" t="s">
        <v>2109</v>
      </c>
      <c r="F409" s="5" t="s">
        <v>1761</v>
      </c>
      <c r="G409" s="5" t="s">
        <v>2249</v>
      </c>
      <c r="H409" s="5" t="s">
        <v>2257</v>
      </c>
      <c r="I409" s="5" t="s">
        <v>2263</v>
      </c>
      <c r="J409" s="5" t="s">
        <v>2264</v>
      </c>
      <c r="K409" s="8">
        <v>1</v>
      </c>
      <c r="L409" s="9">
        <v>160</v>
      </c>
      <c r="M409" s="10">
        <v>0.15</v>
      </c>
      <c r="N409" s="9">
        <f t="shared" si="82"/>
        <v>160</v>
      </c>
      <c r="O409" s="9">
        <f t="shared" si="72"/>
        <v>136</v>
      </c>
      <c r="P409" s="5" t="s">
        <v>2267</v>
      </c>
      <c r="Q409" s="5" t="s">
        <v>1761</v>
      </c>
      <c r="R409" s="5" t="s">
        <v>2278</v>
      </c>
      <c r="S409" s="5" t="s">
        <v>2282</v>
      </c>
      <c r="T409" s="5" t="s">
        <v>2288</v>
      </c>
      <c r="U409" s="8">
        <v>5</v>
      </c>
      <c r="V409" s="8">
        <v>347</v>
      </c>
      <c r="W409" s="8">
        <v>30</v>
      </c>
      <c r="X409" s="9">
        <v>68.89</v>
      </c>
      <c r="Y409" s="9">
        <f t="shared" si="73"/>
        <v>67.11</v>
      </c>
      <c r="Z409" s="5" t="s">
        <v>2293</v>
      </c>
      <c r="AA409" s="5" t="s">
        <v>2296</v>
      </c>
      <c r="AB409" s="9">
        <f t="shared" si="74"/>
        <v>160</v>
      </c>
      <c r="AC409" s="9">
        <f t="shared" si="75"/>
        <v>24</v>
      </c>
      <c r="AD409" s="9">
        <f t="shared" si="76"/>
        <v>136</v>
      </c>
      <c r="AE409" s="9">
        <f t="shared" si="77"/>
        <v>68.89</v>
      </c>
      <c r="AF409" s="9">
        <f t="shared" si="83"/>
        <v>67.11</v>
      </c>
      <c r="AG409" s="8">
        <f t="shared" si="78"/>
        <v>2024</v>
      </c>
      <c r="AH409" s="8">
        <f t="shared" si="79"/>
        <v>8</v>
      </c>
      <c r="AI409" s="5" t="str">
        <f t="shared" si="80"/>
        <v>Aug</v>
      </c>
      <c r="AJ409" s="5" t="str">
        <f t="shared" si="81"/>
        <v>Sunday</v>
      </c>
    </row>
    <row r="410" spans="1:36" x14ac:dyDescent="0.3">
      <c r="A410" s="5" t="s">
        <v>444</v>
      </c>
      <c r="B410" s="6">
        <v>45322</v>
      </c>
      <c r="C410" s="7">
        <v>0.88194444444444442</v>
      </c>
      <c r="D410" s="5" t="s">
        <v>1823</v>
      </c>
      <c r="E410" s="5" t="s">
        <v>2161</v>
      </c>
      <c r="F410" s="5" t="s">
        <v>2239</v>
      </c>
      <c r="G410" s="5" t="s">
        <v>2244</v>
      </c>
      <c r="H410" s="5" t="s">
        <v>2257</v>
      </c>
      <c r="I410" s="5" t="s">
        <v>2262</v>
      </c>
      <c r="J410" s="5" t="s">
        <v>2266</v>
      </c>
      <c r="K410" s="8">
        <v>1</v>
      </c>
      <c r="L410" s="9">
        <v>130</v>
      </c>
      <c r="M410" s="10">
        <v>0.15</v>
      </c>
      <c r="N410" s="9">
        <f t="shared" si="82"/>
        <v>130</v>
      </c>
      <c r="O410" s="9">
        <f t="shared" si="72"/>
        <v>110.5</v>
      </c>
      <c r="P410" s="5" t="s">
        <v>1761</v>
      </c>
      <c r="Q410" s="5" t="s">
        <v>1761</v>
      </c>
      <c r="R410" s="5" t="s">
        <v>2278</v>
      </c>
      <c r="S410" s="5" t="s">
        <v>2281</v>
      </c>
      <c r="T410" s="5" t="s">
        <v>2288</v>
      </c>
      <c r="U410" s="8">
        <v>4</v>
      </c>
      <c r="V410" s="8">
        <v>112</v>
      </c>
      <c r="W410" s="8">
        <v>59</v>
      </c>
      <c r="X410" s="9">
        <v>69.25</v>
      </c>
      <c r="Y410" s="9">
        <f t="shared" si="73"/>
        <v>41.25</v>
      </c>
      <c r="Z410" s="5" t="s">
        <v>2292</v>
      </c>
      <c r="AA410" s="5" t="s">
        <v>2297</v>
      </c>
      <c r="AB410" s="9">
        <f t="shared" si="74"/>
        <v>130</v>
      </c>
      <c r="AC410" s="9">
        <f t="shared" si="75"/>
        <v>19.5</v>
      </c>
      <c r="AD410" s="9">
        <f t="shared" si="76"/>
        <v>110.5</v>
      </c>
      <c r="AE410" s="9">
        <f t="shared" si="77"/>
        <v>69.25</v>
      </c>
      <c r="AF410" s="9">
        <f t="shared" si="83"/>
        <v>41.25</v>
      </c>
      <c r="AG410" s="8">
        <f t="shared" si="78"/>
        <v>2024</v>
      </c>
      <c r="AH410" s="8">
        <f t="shared" si="79"/>
        <v>1</v>
      </c>
      <c r="AI410" s="5" t="str">
        <f t="shared" si="80"/>
        <v>Jan</v>
      </c>
      <c r="AJ410" s="5" t="str">
        <f t="shared" si="81"/>
        <v>Wednesday</v>
      </c>
    </row>
    <row r="411" spans="1:36" x14ac:dyDescent="0.3">
      <c r="A411" s="5" t="s">
        <v>445</v>
      </c>
      <c r="B411" s="6">
        <v>45381</v>
      </c>
      <c r="C411" s="7">
        <v>0.47222222222222221</v>
      </c>
      <c r="D411" s="5" t="s">
        <v>1761</v>
      </c>
      <c r="E411" s="5" t="s">
        <v>2162</v>
      </c>
      <c r="F411" s="5" t="s">
        <v>2240</v>
      </c>
      <c r="G411" s="5" t="s">
        <v>2243</v>
      </c>
      <c r="H411" s="5" t="s">
        <v>2258</v>
      </c>
      <c r="I411" s="5" t="s">
        <v>2260</v>
      </c>
      <c r="J411" s="5" t="s">
        <v>2265</v>
      </c>
      <c r="K411" s="8">
        <v>1</v>
      </c>
      <c r="L411" s="9">
        <v>65</v>
      </c>
      <c r="M411" s="10">
        <v>0</v>
      </c>
      <c r="N411" s="9">
        <f t="shared" si="82"/>
        <v>65</v>
      </c>
      <c r="O411" s="9">
        <f t="shared" si="72"/>
        <v>65</v>
      </c>
      <c r="P411" s="5" t="s">
        <v>2269</v>
      </c>
      <c r="Q411" s="5" t="s">
        <v>2272</v>
      </c>
      <c r="R411" s="5" t="s">
        <v>2276</v>
      </c>
      <c r="S411" s="5" t="s">
        <v>2280</v>
      </c>
      <c r="T411" s="5" t="s">
        <v>2288</v>
      </c>
      <c r="U411" s="8">
        <v>5</v>
      </c>
      <c r="V411" s="8">
        <v>7</v>
      </c>
      <c r="W411" s="8">
        <v>18</v>
      </c>
      <c r="X411" s="9">
        <v>34.869999999999997</v>
      </c>
      <c r="Y411" s="9">
        <f t="shared" si="73"/>
        <v>30.130000000000003</v>
      </c>
      <c r="Z411" s="5" t="s">
        <v>2294</v>
      </c>
      <c r="AA411" s="5" t="s">
        <v>1761</v>
      </c>
      <c r="AB411" s="9">
        <f t="shared" si="74"/>
        <v>65</v>
      </c>
      <c r="AC411" s="9">
        <f t="shared" si="75"/>
        <v>0</v>
      </c>
      <c r="AD411" s="9">
        <f t="shared" si="76"/>
        <v>65</v>
      </c>
      <c r="AE411" s="9">
        <f t="shared" si="77"/>
        <v>34.869999999999997</v>
      </c>
      <c r="AF411" s="9">
        <f t="shared" si="83"/>
        <v>30.130000000000003</v>
      </c>
      <c r="AG411" s="8">
        <f t="shared" si="78"/>
        <v>2024</v>
      </c>
      <c r="AH411" s="8">
        <f t="shared" si="79"/>
        <v>3</v>
      </c>
      <c r="AI411" s="5" t="str">
        <f t="shared" si="80"/>
        <v>Mar</v>
      </c>
      <c r="AJ411" s="5" t="str">
        <f t="shared" si="81"/>
        <v>Saturday</v>
      </c>
    </row>
    <row r="412" spans="1:36" x14ac:dyDescent="0.3">
      <c r="A412" s="5" t="s">
        <v>446</v>
      </c>
      <c r="B412" s="6">
        <v>45529</v>
      </c>
      <c r="C412" s="7">
        <v>0.65972222222222221</v>
      </c>
      <c r="D412" s="5" t="s">
        <v>1800</v>
      </c>
      <c r="E412" s="5" t="s">
        <v>1990</v>
      </c>
      <c r="F412" s="5" t="s">
        <v>2240</v>
      </c>
      <c r="G412" s="5" t="s">
        <v>2256</v>
      </c>
      <c r="H412" s="5" t="s">
        <v>2261</v>
      </c>
      <c r="I412" s="5" t="s">
        <v>2260</v>
      </c>
      <c r="J412" s="5" t="s">
        <v>2266</v>
      </c>
      <c r="K412" s="8">
        <v>2</v>
      </c>
      <c r="L412" s="9">
        <v>185</v>
      </c>
      <c r="M412" s="10">
        <v>0.05</v>
      </c>
      <c r="N412" s="9">
        <f t="shared" si="82"/>
        <v>370</v>
      </c>
      <c r="O412" s="9">
        <f t="shared" si="72"/>
        <v>351.5</v>
      </c>
      <c r="P412" s="5" t="s">
        <v>1761</v>
      </c>
      <c r="Q412" s="5" t="s">
        <v>2272</v>
      </c>
      <c r="R412" s="5" t="s">
        <v>2276</v>
      </c>
      <c r="S412" s="5" t="s">
        <v>2280</v>
      </c>
      <c r="T412" s="5" t="s">
        <v>2288</v>
      </c>
      <c r="U412" s="19">
        <v>3</v>
      </c>
      <c r="V412" s="19">
        <v>244</v>
      </c>
      <c r="W412" s="8">
        <v>36</v>
      </c>
      <c r="X412" s="9">
        <v>106.47</v>
      </c>
      <c r="Y412" s="9">
        <f t="shared" si="73"/>
        <v>138.56</v>
      </c>
      <c r="Z412" s="5" t="s">
        <v>2293</v>
      </c>
      <c r="AA412" s="5" t="s">
        <v>1761</v>
      </c>
      <c r="AB412" s="9">
        <f t="shared" si="74"/>
        <v>370</v>
      </c>
      <c r="AC412" s="9">
        <f t="shared" si="75"/>
        <v>18.5</v>
      </c>
      <c r="AD412" s="9">
        <f t="shared" si="76"/>
        <v>351.5</v>
      </c>
      <c r="AE412" s="9">
        <f t="shared" si="77"/>
        <v>212.94</v>
      </c>
      <c r="AF412" s="9">
        <f t="shared" si="83"/>
        <v>138.56</v>
      </c>
      <c r="AG412" s="8">
        <f t="shared" si="78"/>
        <v>2024</v>
      </c>
      <c r="AH412" s="8">
        <f t="shared" si="79"/>
        <v>8</v>
      </c>
      <c r="AI412" s="5" t="str">
        <f t="shared" si="80"/>
        <v>Aug</v>
      </c>
      <c r="AJ412" s="5" t="str">
        <f t="shared" si="81"/>
        <v>Sunday</v>
      </c>
    </row>
    <row r="413" spans="1:36" x14ac:dyDescent="0.3">
      <c r="A413" s="5" t="s">
        <v>447</v>
      </c>
      <c r="B413" s="6">
        <v>45407</v>
      </c>
      <c r="C413" s="7">
        <v>0.49305555555555558</v>
      </c>
      <c r="D413" s="5" t="s">
        <v>1784</v>
      </c>
      <c r="E413" s="5" t="s">
        <v>2140</v>
      </c>
      <c r="F413" s="5" t="s">
        <v>2240</v>
      </c>
      <c r="G413" s="5" t="s">
        <v>2256</v>
      </c>
      <c r="H413" s="5" t="s">
        <v>2261</v>
      </c>
      <c r="I413" s="5" t="s">
        <v>2260</v>
      </c>
      <c r="J413" s="5" t="s">
        <v>2265</v>
      </c>
      <c r="K413" s="8">
        <v>1</v>
      </c>
      <c r="L413" s="9">
        <v>200</v>
      </c>
      <c r="M413" s="10">
        <v>0</v>
      </c>
      <c r="N413" s="9">
        <f t="shared" si="82"/>
        <v>200</v>
      </c>
      <c r="O413" s="9">
        <f t="shared" si="72"/>
        <v>200</v>
      </c>
      <c r="P413" s="5" t="s">
        <v>2269</v>
      </c>
      <c r="Q413" s="5" t="s">
        <v>1761</v>
      </c>
      <c r="R413" s="5" t="s">
        <v>2273</v>
      </c>
      <c r="S413" s="5" t="s">
        <v>2286</v>
      </c>
      <c r="T413" s="5" t="s">
        <v>2290</v>
      </c>
      <c r="U413" s="8">
        <v>4</v>
      </c>
      <c r="V413" s="8">
        <v>196</v>
      </c>
      <c r="W413" s="19">
        <v>36</v>
      </c>
      <c r="X413" s="9">
        <v>103.79</v>
      </c>
      <c r="Y413" s="9">
        <f t="shared" si="73"/>
        <v>96.21</v>
      </c>
      <c r="Z413" s="5" t="s">
        <v>1761</v>
      </c>
      <c r="AA413" s="5" t="s">
        <v>2297</v>
      </c>
      <c r="AB413" s="9">
        <f t="shared" si="74"/>
        <v>200</v>
      </c>
      <c r="AC413" s="9">
        <f t="shared" si="75"/>
        <v>0</v>
      </c>
      <c r="AD413" s="9">
        <f t="shared" si="76"/>
        <v>200</v>
      </c>
      <c r="AE413" s="9">
        <f t="shared" si="77"/>
        <v>103.79</v>
      </c>
      <c r="AF413" s="9">
        <f t="shared" si="83"/>
        <v>96.21</v>
      </c>
      <c r="AG413" s="8">
        <f t="shared" si="78"/>
        <v>2024</v>
      </c>
      <c r="AH413" s="8">
        <f t="shared" si="79"/>
        <v>4</v>
      </c>
      <c r="AI413" s="5" t="str">
        <f t="shared" si="80"/>
        <v>Apr</v>
      </c>
      <c r="AJ413" s="5" t="str">
        <f t="shared" si="81"/>
        <v>Thursday</v>
      </c>
    </row>
    <row r="414" spans="1:36" x14ac:dyDescent="0.3">
      <c r="A414" s="5" t="s">
        <v>448</v>
      </c>
      <c r="B414" s="6">
        <v>45294</v>
      </c>
      <c r="C414" s="7">
        <v>0.90625</v>
      </c>
      <c r="D414" s="5" t="s">
        <v>1914</v>
      </c>
      <c r="E414" s="5" t="s">
        <v>1986</v>
      </c>
      <c r="F414" s="5" t="s">
        <v>2239</v>
      </c>
      <c r="G414" s="5" t="s">
        <v>2246</v>
      </c>
      <c r="H414" s="5" t="s">
        <v>2259</v>
      </c>
      <c r="I414" s="5" t="s">
        <v>2262</v>
      </c>
      <c r="J414" s="5" t="s">
        <v>2266</v>
      </c>
      <c r="K414" s="8">
        <v>1</v>
      </c>
      <c r="L414" s="9">
        <v>105</v>
      </c>
      <c r="M414" s="10">
        <v>0</v>
      </c>
      <c r="N414" s="9">
        <f t="shared" si="82"/>
        <v>105</v>
      </c>
      <c r="O414" s="9">
        <f t="shared" si="72"/>
        <v>105</v>
      </c>
      <c r="P414" s="5" t="s">
        <v>2268</v>
      </c>
      <c r="Q414" s="5" t="s">
        <v>2272</v>
      </c>
      <c r="R414" s="5" t="s">
        <v>2277</v>
      </c>
      <c r="S414" s="5" t="s">
        <v>2286</v>
      </c>
      <c r="T414" s="5" t="s">
        <v>2288</v>
      </c>
      <c r="U414" s="8">
        <v>5</v>
      </c>
      <c r="V414" s="8">
        <v>255</v>
      </c>
      <c r="W414" s="8">
        <v>38</v>
      </c>
      <c r="X414" s="9">
        <v>49.08</v>
      </c>
      <c r="Y414" s="9">
        <f t="shared" si="73"/>
        <v>55.92</v>
      </c>
      <c r="Z414" s="5" t="s">
        <v>2291</v>
      </c>
      <c r="AA414" s="5" t="s">
        <v>1761</v>
      </c>
      <c r="AB414" s="9">
        <f t="shared" si="74"/>
        <v>105</v>
      </c>
      <c r="AC414" s="9">
        <f t="shared" si="75"/>
        <v>0</v>
      </c>
      <c r="AD414" s="9">
        <f t="shared" si="76"/>
        <v>105</v>
      </c>
      <c r="AE414" s="9">
        <f t="shared" si="77"/>
        <v>49.08</v>
      </c>
      <c r="AF414" s="9">
        <f t="shared" si="83"/>
        <v>55.92</v>
      </c>
      <c r="AG414" s="8">
        <f t="shared" si="78"/>
        <v>2024</v>
      </c>
      <c r="AH414" s="8">
        <f t="shared" si="79"/>
        <v>1</v>
      </c>
      <c r="AI414" s="5" t="str">
        <f t="shared" si="80"/>
        <v>Jan</v>
      </c>
      <c r="AJ414" s="5" t="str">
        <f t="shared" si="81"/>
        <v>Wednesday</v>
      </c>
    </row>
    <row r="415" spans="1:36" x14ac:dyDescent="0.3">
      <c r="A415" s="5" t="s">
        <v>449</v>
      </c>
      <c r="B415" s="6">
        <v>45326</v>
      </c>
      <c r="C415" s="7">
        <v>0.34027777777777779</v>
      </c>
      <c r="D415" s="5" t="s">
        <v>1866</v>
      </c>
      <c r="E415" s="5" t="s">
        <v>2087</v>
      </c>
      <c r="F415" s="5" t="s">
        <v>1761</v>
      </c>
      <c r="G415" s="5" t="s">
        <v>2253</v>
      </c>
      <c r="H415" s="5" t="s">
        <v>2258</v>
      </c>
      <c r="I415" s="5" t="s">
        <v>2260</v>
      </c>
      <c r="J415" s="5" t="s">
        <v>2265</v>
      </c>
      <c r="K415" s="8">
        <v>1</v>
      </c>
      <c r="L415" s="9">
        <v>100</v>
      </c>
      <c r="M415" s="10">
        <v>0</v>
      </c>
      <c r="N415" s="9">
        <f t="shared" si="82"/>
        <v>100</v>
      </c>
      <c r="O415" s="9">
        <f t="shared" si="72"/>
        <v>100</v>
      </c>
      <c r="P415" s="5" t="s">
        <v>2269</v>
      </c>
      <c r="Q415" s="5" t="s">
        <v>2270</v>
      </c>
      <c r="R415" s="5" t="s">
        <v>2273</v>
      </c>
      <c r="S415" s="5" t="s">
        <v>2287</v>
      </c>
      <c r="T415" s="5" t="s">
        <v>2289</v>
      </c>
      <c r="U415" s="8">
        <v>3</v>
      </c>
      <c r="V415" s="8">
        <v>458</v>
      </c>
      <c r="W415" s="8">
        <v>36</v>
      </c>
      <c r="X415" s="9">
        <v>34.03</v>
      </c>
      <c r="Y415" s="9">
        <f t="shared" si="73"/>
        <v>65.97</v>
      </c>
      <c r="Z415" s="5" t="s">
        <v>2293</v>
      </c>
      <c r="AA415" s="5" t="s">
        <v>2299</v>
      </c>
      <c r="AB415" s="9">
        <f t="shared" si="74"/>
        <v>100</v>
      </c>
      <c r="AC415" s="9">
        <f t="shared" si="75"/>
        <v>0</v>
      </c>
      <c r="AD415" s="9">
        <f t="shared" si="76"/>
        <v>100</v>
      </c>
      <c r="AE415" s="9">
        <f t="shared" si="77"/>
        <v>34.03</v>
      </c>
      <c r="AF415" s="9">
        <f t="shared" si="83"/>
        <v>65.97</v>
      </c>
      <c r="AG415" s="8">
        <f t="shared" si="78"/>
        <v>2024</v>
      </c>
      <c r="AH415" s="8">
        <f t="shared" si="79"/>
        <v>2</v>
      </c>
      <c r="AI415" s="5" t="str">
        <f t="shared" si="80"/>
        <v>Feb</v>
      </c>
      <c r="AJ415" s="5" t="str">
        <f t="shared" si="81"/>
        <v>Sunday</v>
      </c>
    </row>
    <row r="416" spans="1:36" x14ac:dyDescent="0.3">
      <c r="A416" s="5" t="s">
        <v>450</v>
      </c>
      <c r="B416" s="6">
        <v>45343</v>
      </c>
      <c r="C416" s="7">
        <v>0.6875</v>
      </c>
      <c r="D416" s="5" t="s">
        <v>1803</v>
      </c>
      <c r="E416" s="5" t="s">
        <v>2163</v>
      </c>
      <c r="F416" s="5" t="s">
        <v>2239</v>
      </c>
      <c r="G416" s="5" t="s">
        <v>2243</v>
      </c>
      <c r="H416" s="5" t="s">
        <v>2258</v>
      </c>
      <c r="I416" s="5" t="s">
        <v>2260</v>
      </c>
      <c r="J416" s="5" t="s">
        <v>2264</v>
      </c>
      <c r="K416" s="8">
        <v>1</v>
      </c>
      <c r="L416" s="9">
        <v>70</v>
      </c>
      <c r="M416" s="10">
        <v>0</v>
      </c>
      <c r="N416" s="9">
        <f t="shared" si="82"/>
        <v>70</v>
      </c>
      <c r="O416" s="9">
        <f t="shared" si="72"/>
        <v>70</v>
      </c>
      <c r="P416" s="5" t="s">
        <v>2268</v>
      </c>
      <c r="Q416" s="5" t="s">
        <v>1761</v>
      </c>
      <c r="R416" s="5" t="s">
        <v>2279</v>
      </c>
      <c r="S416" s="5" t="s">
        <v>2280</v>
      </c>
      <c r="T416" s="5" t="s">
        <v>2288</v>
      </c>
      <c r="U416" s="8">
        <v>2</v>
      </c>
      <c r="V416" s="8">
        <v>188</v>
      </c>
      <c r="W416" s="8">
        <v>49</v>
      </c>
      <c r="X416" s="9">
        <v>27.49</v>
      </c>
      <c r="Y416" s="9">
        <f t="shared" si="73"/>
        <v>42.510000000000005</v>
      </c>
      <c r="Z416" s="5" t="s">
        <v>2293</v>
      </c>
      <c r="AA416" s="5" t="s">
        <v>1761</v>
      </c>
      <c r="AB416" s="9">
        <f t="shared" si="74"/>
        <v>70</v>
      </c>
      <c r="AC416" s="9">
        <f t="shared" si="75"/>
        <v>0</v>
      </c>
      <c r="AD416" s="9">
        <f t="shared" si="76"/>
        <v>70</v>
      </c>
      <c r="AE416" s="9">
        <f t="shared" si="77"/>
        <v>27.49</v>
      </c>
      <c r="AF416" s="9">
        <f t="shared" si="83"/>
        <v>42.510000000000005</v>
      </c>
      <c r="AG416" s="8">
        <f t="shared" si="78"/>
        <v>2024</v>
      </c>
      <c r="AH416" s="8">
        <f t="shared" si="79"/>
        <v>2</v>
      </c>
      <c r="AI416" s="5" t="str">
        <f t="shared" si="80"/>
        <v>Feb</v>
      </c>
      <c r="AJ416" s="5" t="str">
        <f t="shared" si="81"/>
        <v>Wednesday</v>
      </c>
    </row>
    <row r="417" spans="1:36" x14ac:dyDescent="0.3">
      <c r="A417" s="5" t="s">
        <v>451</v>
      </c>
      <c r="B417" s="6">
        <v>45544</v>
      </c>
      <c r="C417" s="7">
        <v>0.57638888888888884</v>
      </c>
      <c r="D417" s="5" t="s">
        <v>1871</v>
      </c>
      <c r="E417" s="5" t="s">
        <v>2164</v>
      </c>
      <c r="F417" s="5" t="s">
        <v>1761</v>
      </c>
      <c r="G417" s="5" t="s">
        <v>2246</v>
      </c>
      <c r="H417" s="5" t="s">
        <v>2259</v>
      </c>
      <c r="I417" s="5" t="s">
        <v>2262</v>
      </c>
      <c r="J417" s="5" t="s">
        <v>2264</v>
      </c>
      <c r="K417" s="8">
        <v>4</v>
      </c>
      <c r="L417" s="9">
        <v>95</v>
      </c>
      <c r="M417" s="10">
        <v>0</v>
      </c>
      <c r="N417" s="9">
        <f t="shared" si="82"/>
        <v>380</v>
      </c>
      <c r="O417" s="9">
        <f t="shared" si="72"/>
        <v>380</v>
      </c>
      <c r="P417" s="5" t="s">
        <v>2269</v>
      </c>
      <c r="Q417" s="5" t="s">
        <v>2270</v>
      </c>
      <c r="R417" s="5" t="s">
        <v>2276</v>
      </c>
      <c r="S417" s="5" t="s">
        <v>2280</v>
      </c>
      <c r="T417" s="5" t="s">
        <v>2290</v>
      </c>
      <c r="U417" s="8">
        <v>1</v>
      </c>
      <c r="V417" s="8">
        <v>182</v>
      </c>
      <c r="W417" s="8">
        <v>14</v>
      </c>
      <c r="X417" s="9">
        <v>51.54</v>
      </c>
      <c r="Y417" s="9">
        <f t="shared" si="73"/>
        <v>173.84</v>
      </c>
      <c r="Z417" s="5" t="s">
        <v>2295</v>
      </c>
      <c r="AA417" s="5" t="s">
        <v>2297</v>
      </c>
      <c r="AB417" s="9">
        <f t="shared" si="74"/>
        <v>380</v>
      </c>
      <c r="AC417" s="9">
        <f t="shared" si="75"/>
        <v>0</v>
      </c>
      <c r="AD417" s="9">
        <f t="shared" si="76"/>
        <v>380</v>
      </c>
      <c r="AE417" s="9">
        <f t="shared" si="77"/>
        <v>206.16</v>
      </c>
      <c r="AF417" s="9">
        <f t="shared" si="83"/>
        <v>173.84</v>
      </c>
      <c r="AG417" s="8">
        <f t="shared" si="78"/>
        <v>2024</v>
      </c>
      <c r="AH417" s="8">
        <f t="shared" si="79"/>
        <v>9</v>
      </c>
      <c r="AI417" s="5" t="str">
        <f t="shared" si="80"/>
        <v>Sep</v>
      </c>
      <c r="AJ417" s="5" t="str">
        <f t="shared" si="81"/>
        <v>Monday</v>
      </c>
    </row>
    <row r="418" spans="1:36" x14ac:dyDescent="0.3">
      <c r="A418" s="5" t="s">
        <v>452</v>
      </c>
      <c r="B418" s="6">
        <v>45505</v>
      </c>
      <c r="C418" s="7">
        <v>0.76041666666666663</v>
      </c>
      <c r="D418" s="5" t="s">
        <v>1915</v>
      </c>
      <c r="E418" s="5" t="s">
        <v>1950</v>
      </c>
      <c r="F418" s="5" t="s">
        <v>2239</v>
      </c>
      <c r="G418" s="5" t="s">
        <v>2241</v>
      </c>
      <c r="H418" s="5" t="s">
        <v>2257</v>
      </c>
      <c r="I418" s="5" t="s">
        <v>2262</v>
      </c>
      <c r="J418" s="5" t="s">
        <v>2264</v>
      </c>
      <c r="K418" s="8">
        <v>1</v>
      </c>
      <c r="L418" s="9">
        <v>125</v>
      </c>
      <c r="M418" s="10">
        <v>0</v>
      </c>
      <c r="N418" s="9">
        <f t="shared" si="82"/>
        <v>125</v>
      </c>
      <c r="O418" s="9">
        <f t="shared" si="72"/>
        <v>125</v>
      </c>
      <c r="P418" s="5" t="s">
        <v>2267</v>
      </c>
      <c r="Q418" s="5" t="s">
        <v>2271</v>
      </c>
      <c r="R418" s="5" t="s">
        <v>2278</v>
      </c>
      <c r="S418" s="5" t="s">
        <v>2286</v>
      </c>
      <c r="T418" s="5" t="s">
        <v>2290</v>
      </c>
      <c r="U418" s="8">
        <v>5</v>
      </c>
      <c r="V418" s="8">
        <v>412</v>
      </c>
      <c r="W418" s="19">
        <v>37</v>
      </c>
      <c r="X418" s="9">
        <v>75.5</v>
      </c>
      <c r="Y418" s="9">
        <f t="shared" si="73"/>
        <v>49.5</v>
      </c>
      <c r="Z418" s="5" t="s">
        <v>2292</v>
      </c>
      <c r="AA418" s="5" t="s">
        <v>2299</v>
      </c>
      <c r="AB418" s="9">
        <f t="shared" si="74"/>
        <v>125</v>
      </c>
      <c r="AC418" s="9">
        <f t="shared" si="75"/>
        <v>0</v>
      </c>
      <c r="AD418" s="9">
        <f t="shared" si="76"/>
        <v>125</v>
      </c>
      <c r="AE418" s="9">
        <f t="shared" si="77"/>
        <v>75.5</v>
      </c>
      <c r="AF418" s="9">
        <f t="shared" si="83"/>
        <v>49.5</v>
      </c>
      <c r="AG418" s="8">
        <f t="shared" si="78"/>
        <v>2024</v>
      </c>
      <c r="AH418" s="8">
        <f t="shared" si="79"/>
        <v>8</v>
      </c>
      <c r="AI418" s="5" t="str">
        <f t="shared" si="80"/>
        <v>Aug</v>
      </c>
      <c r="AJ418" s="5" t="str">
        <f t="shared" si="81"/>
        <v>Thursday</v>
      </c>
    </row>
    <row r="419" spans="1:36" x14ac:dyDescent="0.3">
      <c r="A419" s="5" t="s">
        <v>453</v>
      </c>
      <c r="B419" s="6">
        <v>45403</v>
      </c>
      <c r="C419" s="7">
        <v>0.71875</v>
      </c>
      <c r="D419" s="5" t="s">
        <v>1798</v>
      </c>
      <c r="E419" s="5" t="s">
        <v>2074</v>
      </c>
      <c r="F419" s="5" t="s">
        <v>2239</v>
      </c>
      <c r="G419" s="5" t="s">
        <v>2241</v>
      </c>
      <c r="H419" s="5" t="s">
        <v>2257</v>
      </c>
      <c r="I419" s="5" t="s">
        <v>2262</v>
      </c>
      <c r="J419" s="5" t="s">
        <v>2266</v>
      </c>
      <c r="K419" s="8">
        <v>1</v>
      </c>
      <c r="L419" s="9">
        <v>125</v>
      </c>
      <c r="M419" s="10">
        <v>0.05</v>
      </c>
      <c r="N419" s="9">
        <f t="shared" si="82"/>
        <v>125</v>
      </c>
      <c r="O419" s="9">
        <f t="shared" si="72"/>
        <v>118.75</v>
      </c>
      <c r="P419" s="5" t="s">
        <v>2267</v>
      </c>
      <c r="Q419" s="5" t="s">
        <v>2271</v>
      </c>
      <c r="R419" s="5" t="s">
        <v>2274</v>
      </c>
      <c r="S419" s="5" t="s">
        <v>2282</v>
      </c>
      <c r="T419" s="5" t="s">
        <v>2288</v>
      </c>
      <c r="U419" s="8">
        <v>5</v>
      </c>
      <c r="V419" s="8">
        <v>156</v>
      </c>
      <c r="W419" s="8">
        <v>48</v>
      </c>
      <c r="X419" s="9">
        <v>50.63</v>
      </c>
      <c r="Y419" s="9">
        <f t="shared" si="73"/>
        <v>68.12</v>
      </c>
      <c r="Z419" s="5" t="s">
        <v>2293</v>
      </c>
      <c r="AA419" s="5" t="s">
        <v>2297</v>
      </c>
      <c r="AB419" s="9">
        <f t="shared" si="74"/>
        <v>125</v>
      </c>
      <c r="AC419" s="9">
        <f t="shared" si="75"/>
        <v>6.25</v>
      </c>
      <c r="AD419" s="9">
        <f t="shared" si="76"/>
        <v>118.75</v>
      </c>
      <c r="AE419" s="9">
        <f t="shared" si="77"/>
        <v>50.63</v>
      </c>
      <c r="AF419" s="9">
        <f t="shared" si="83"/>
        <v>68.12</v>
      </c>
      <c r="AG419" s="8">
        <f t="shared" si="78"/>
        <v>2024</v>
      </c>
      <c r="AH419" s="8">
        <f t="shared" si="79"/>
        <v>4</v>
      </c>
      <c r="AI419" s="5" t="str">
        <f t="shared" si="80"/>
        <v>Apr</v>
      </c>
      <c r="AJ419" s="5" t="str">
        <f t="shared" si="81"/>
        <v>Sunday</v>
      </c>
    </row>
    <row r="420" spans="1:36" x14ac:dyDescent="0.3">
      <c r="A420" s="5" t="s">
        <v>454</v>
      </c>
      <c r="B420" s="6">
        <v>45529</v>
      </c>
      <c r="C420" s="7">
        <v>0.85416666666666663</v>
      </c>
      <c r="D420" s="5" t="s">
        <v>1916</v>
      </c>
      <c r="E420" s="5" t="s">
        <v>1761</v>
      </c>
      <c r="F420" s="5" t="s">
        <v>2239</v>
      </c>
      <c r="G420" s="5" t="s">
        <v>2253</v>
      </c>
      <c r="H420" s="5" t="s">
        <v>2258</v>
      </c>
      <c r="I420" s="5" t="s">
        <v>2260</v>
      </c>
      <c r="J420" s="5" t="s">
        <v>2265</v>
      </c>
      <c r="K420" s="8">
        <v>1</v>
      </c>
      <c r="L420" s="9">
        <v>90</v>
      </c>
      <c r="M420" s="10">
        <v>0</v>
      </c>
      <c r="N420" s="9">
        <f t="shared" si="82"/>
        <v>90</v>
      </c>
      <c r="O420" s="9">
        <f t="shared" si="72"/>
        <v>90</v>
      </c>
      <c r="P420" s="5" t="s">
        <v>2267</v>
      </c>
      <c r="Q420" s="5" t="s">
        <v>2270</v>
      </c>
      <c r="R420" s="5" t="s">
        <v>2274</v>
      </c>
      <c r="S420" s="5" t="s">
        <v>2280</v>
      </c>
      <c r="T420" s="5" t="s">
        <v>2288</v>
      </c>
      <c r="U420" s="8">
        <v>1</v>
      </c>
      <c r="V420" s="8">
        <v>107</v>
      </c>
      <c r="W420" s="8">
        <v>38</v>
      </c>
      <c r="X420" s="9">
        <v>45.88</v>
      </c>
      <c r="Y420" s="9">
        <f t="shared" si="73"/>
        <v>44.12</v>
      </c>
      <c r="Z420" s="5" t="s">
        <v>1761</v>
      </c>
      <c r="AA420" s="5" t="s">
        <v>2297</v>
      </c>
      <c r="AB420" s="9">
        <f t="shared" si="74"/>
        <v>90</v>
      </c>
      <c r="AC420" s="9">
        <f t="shared" si="75"/>
        <v>0</v>
      </c>
      <c r="AD420" s="9">
        <f t="shared" si="76"/>
        <v>90</v>
      </c>
      <c r="AE420" s="9">
        <f t="shared" si="77"/>
        <v>45.88</v>
      </c>
      <c r="AF420" s="9">
        <f t="shared" si="83"/>
        <v>44.12</v>
      </c>
      <c r="AG420" s="8">
        <f t="shared" si="78"/>
        <v>2024</v>
      </c>
      <c r="AH420" s="8">
        <f t="shared" si="79"/>
        <v>8</v>
      </c>
      <c r="AI420" s="5" t="str">
        <f t="shared" si="80"/>
        <v>Aug</v>
      </c>
      <c r="AJ420" s="5" t="str">
        <f t="shared" si="81"/>
        <v>Sunday</v>
      </c>
    </row>
    <row r="421" spans="1:36" x14ac:dyDescent="0.3">
      <c r="A421" s="5" t="s">
        <v>455</v>
      </c>
      <c r="B421" s="6">
        <v>45420</v>
      </c>
      <c r="C421" s="7">
        <v>0.47222222222222221</v>
      </c>
      <c r="D421" s="5" t="s">
        <v>1870</v>
      </c>
      <c r="E421" s="5" t="s">
        <v>1969</v>
      </c>
      <c r="F421" s="5" t="s">
        <v>1761</v>
      </c>
      <c r="G421" s="5" t="s">
        <v>2241</v>
      </c>
      <c r="H421" s="5" t="s">
        <v>2257</v>
      </c>
      <c r="I421" s="5" t="s">
        <v>2262</v>
      </c>
      <c r="J421" s="5" t="s">
        <v>2265</v>
      </c>
      <c r="K421" s="8">
        <v>2</v>
      </c>
      <c r="L421" s="9">
        <v>125</v>
      </c>
      <c r="M421" s="10">
        <v>0</v>
      </c>
      <c r="N421" s="9">
        <f t="shared" si="82"/>
        <v>250</v>
      </c>
      <c r="O421" s="9">
        <f t="shared" si="72"/>
        <v>250</v>
      </c>
      <c r="P421" s="5" t="s">
        <v>2267</v>
      </c>
      <c r="Q421" s="5" t="s">
        <v>2270</v>
      </c>
      <c r="R421" s="5" t="s">
        <v>2278</v>
      </c>
      <c r="S421" s="5" t="s">
        <v>2286</v>
      </c>
      <c r="T421" s="5" t="s">
        <v>2288</v>
      </c>
      <c r="U421" s="8">
        <v>5</v>
      </c>
      <c r="V421" s="8">
        <v>429</v>
      </c>
      <c r="W421" s="8">
        <v>33</v>
      </c>
      <c r="X421" s="9">
        <v>56.51</v>
      </c>
      <c r="Y421" s="9">
        <f t="shared" si="73"/>
        <v>136.98000000000002</v>
      </c>
      <c r="Z421" s="5" t="s">
        <v>2293</v>
      </c>
      <c r="AA421" s="5" t="s">
        <v>2297</v>
      </c>
      <c r="AB421" s="9">
        <f t="shared" si="74"/>
        <v>250</v>
      </c>
      <c r="AC421" s="9">
        <f t="shared" si="75"/>
        <v>0</v>
      </c>
      <c r="AD421" s="9">
        <f t="shared" si="76"/>
        <v>250</v>
      </c>
      <c r="AE421" s="9">
        <f t="shared" si="77"/>
        <v>113.02</v>
      </c>
      <c r="AF421" s="9">
        <f t="shared" si="83"/>
        <v>136.98000000000002</v>
      </c>
      <c r="AG421" s="8">
        <f t="shared" si="78"/>
        <v>2024</v>
      </c>
      <c r="AH421" s="8">
        <f t="shared" si="79"/>
        <v>5</v>
      </c>
      <c r="AI421" s="5" t="str">
        <f t="shared" si="80"/>
        <v>May</v>
      </c>
      <c r="AJ421" s="5" t="str">
        <f t="shared" si="81"/>
        <v>Wednesday</v>
      </c>
    </row>
    <row r="422" spans="1:36" x14ac:dyDescent="0.3">
      <c r="A422" s="5" t="s">
        <v>456</v>
      </c>
      <c r="B422" s="6">
        <v>45586</v>
      </c>
      <c r="C422" s="7">
        <v>0.60416666666666663</v>
      </c>
      <c r="D422" s="5" t="s">
        <v>1761</v>
      </c>
      <c r="E422" s="5" t="s">
        <v>2165</v>
      </c>
      <c r="F422" s="5" t="s">
        <v>2238</v>
      </c>
      <c r="G422" s="5" t="s">
        <v>2254</v>
      </c>
      <c r="H422" s="5" t="s">
        <v>2259</v>
      </c>
      <c r="I422" s="5" t="s">
        <v>2263</v>
      </c>
      <c r="J422" s="5" t="s">
        <v>2264</v>
      </c>
      <c r="K422" s="8">
        <v>1</v>
      </c>
      <c r="L422" s="9">
        <v>110</v>
      </c>
      <c r="M422" s="10">
        <v>0.1</v>
      </c>
      <c r="N422" s="9">
        <f t="shared" si="82"/>
        <v>110</v>
      </c>
      <c r="O422" s="9">
        <f t="shared" si="72"/>
        <v>99</v>
      </c>
      <c r="P422" s="5" t="s">
        <v>1761</v>
      </c>
      <c r="Q422" s="5" t="s">
        <v>2271</v>
      </c>
      <c r="R422" s="5" t="s">
        <v>2279</v>
      </c>
      <c r="S422" s="5" t="s">
        <v>2282</v>
      </c>
      <c r="T422" s="5" t="s">
        <v>2288</v>
      </c>
      <c r="U422" s="8">
        <v>1</v>
      </c>
      <c r="V422" s="8">
        <v>381</v>
      </c>
      <c r="W422" s="8">
        <v>48</v>
      </c>
      <c r="X422" s="9">
        <v>48.14</v>
      </c>
      <c r="Y422" s="9">
        <f t="shared" si="73"/>
        <v>50.86</v>
      </c>
      <c r="Z422" s="5" t="s">
        <v>2294</v>
      </c>
      <c r="AA422" s="5" t="s">
        <v>2297</v>
      </c>
      <c r="AB422" s="9">
        <f t="shared" si="74"/>
        <v>110</v>
      </c>
      <c r="AC422" s="9">
        <f t="shared" si="75"/>
        <v>11</v>
      </c>
      <c r="AD422" s="9">
        <f t="shared" si="76"/>
        <v>99</v>
      </c>
      <c r="AE422" s="9">
        <f t="shared" si="77"/>
        <v>48.14</v>
      </c>
      <c r="AF422" s="9">
        <f t="shared" si="83"/>
        <v>50.86</v>
      </c>
      <c r="AG422" s="8">
        <f t="shared" si="78"/>
        <v>2024</v>
      </c>
      <c r="AH422" s="8">
        <f t="shared" si="79"/>
        <v>10</v>
      </c>
      <c r="AI422" s="5" t="str">
        <f t="shared" si="80"/>
        <v>Oct</v>
      </c>
      <c r="AJ422" s="5" t="str">
        <f t="shared" si="81"/>
        <v>Monday</v>
      </c>
    </row>
    <row r="423" spans="1:36" x14ac:dyDescent="0.3">
      <c r="A423" s="5" t="s">
        <v>457</v>
      </c>
      <c r="B423" s="6">
        <v>45479</v>
      </c>
      <c r="C423" s="7">
        <v>0.57291666666666663</v>
      </c>
      <c r="D423" s="5" t="s">
        <v>1863</v>
      </c>
      <c r="E423" s="5" t="s">
        <v>1942</v>
      </c>
      <c r="F423" s="5" t="s">
        <v>2239</v>
      </c>
      <c r="G423" s="5" t="s">
        <v>2248</v>
      </c>
      <c r="H423" s="5" t="s">
        <v>2257</v>
      </c>
      <c r="I423" s="5" t="s">
        <v>2262</v>
      </c>
      <c r="J423" s="5" t="s">
        <v>2266</v>
      </c>
      <c r="K423" s="8">
        <v>1</v>
      </c>
      <c r="L423" s="9">
        <v>140</v>
      </c>
      <c r="M423" s="10">
        <v>0.1</v>
      </c>
      <c r="N423" s="9">
        <f t="shared" si="82"/>
        <v>140</v>
      </c>
      <c r="O423" s="9">
        <f t="shared" si="72"/>
        <v>126</v>
      </c>
      <c r="P423" s="5" t="s">
        <v>1761</v>
      </c>
      <c r="Q423" s="5" t="s">
        <v>2270</v>
      </c>
      <c r="R423" s="5" t="s">
        <v>2274</v>
      </c>
      <c r="S423" s="5" t="s">
        <v>2287</v>
      </c>
      <c r="T423" s="5" t="s">
        <v>2288</v>
      </c>
      <c r="U423" s="19">
        <v>3</v>
      </c>
      <c r="V423" s="8">
        <v>133</v>
      </c>
      <c r="W423" s="19">
        <v>34</v>
      </c>
      <c r="X423" s="9">
        <v>50.8</v>
      </c>
      <c r="Y423" s="9">
        <f t="shared" si="73"/>
        <v>75.2</v>
      </c>
      <c r="Z423" s="5" t="s">
        <v>2293</v>
      </c>
      <c r="AA423" s="5" t="s">
        <v>2296</v>
      </c>
      <c r="AB423" s="9">
        <f t="shared" si="74"/>
        <v>140</v>
      </c>
      <c r="AC423" s="9">
        <f t="shared" si="75"/>
        <v>14</v>
      </c>
      <c r="AD423" s="9">
        <f t="shared" si="76"/>
        <v>126</v>
      </c>
      <c r="AE423" s="9">
        <f t="shared" si="77"/>
        <v>50.8</v>
      </c>
      <c r="AF423" s="9">
        <f t="shared" si="83"/>
        <v>75.2</v>
      </c>
      <c r="AG423" s="8">
        <f t="shared" si="78"/>
        <v>2024</v>
      </c>
      <c r="AH423" s="8">
        <f t="shared" si="79"/>
        <v>7</v>
      </c>
      <c r="AI423" s="5" t="str">
        <f t="shared" si="80"/>
        <v>Jul</v>
      </c>
      <c r="AJ423" s="5" t="str">
        <f t="shared" si="81"/>
        <v>Saturday</v>
      </c>
    </row>
    <row r="424" spans="1:36" x14ac:dyDescent="0.3">
      <c r="A424" s="5" t="s">
        <v>458</v>
      </c>
      <c r="B424" s="6">
        <v>45489</v>
      </c>
      <c r="C424" s="7">
        <v>0.82638888888888884</v>
      </c>
      <c r="D424" s="5" t="s">
        <v>1838</v>
      </c>
      <c r="E424" s="5" t="s">
        <v>2143</v>
      </c>
      <c r="F424" s="5" t="s">
        <v>2238</v>
      </c>
      <c r="G424" s="5" t="s">
        <v>2243</v>
      </c>
      <c r="H424" s="5" t="s">
        <v>2258</v>
      </c>
      <c r="I424" s="5" t="s">
        <v>2260</v>
      </c>
      <c r="J424" s="5" t="s">
        <v>2264</v>
      </c>
      <c r="K424" s="8">
        <v>2</v>
      </c>
      <c r="L424" s="9">
        <v>65</v>
      </c>
      <c r="M424" s="10">
        <v>0.05</v>
      </c>
      <c r="N424" s="9">
        <f t="shared" si="82"/>
        <v>130</v>
      </c>
      <c r="O424" s="9">
        <f t="shared" si="72"/>
        <v>123.5</v>
      </c>
      <c r="P424" s="5" t="s">
        <v>2267</v>
      </c>
      <c r="Q424" s="5" t="s">
        <v>2270</v>
      </c>
      <c r="R424" s="5" t="s">
        <v>2277</v>
      </c>
      <c r="S424" s="5" t="s">
        <v>2284</v>
      </c>
      <c r="T424" s="5" t="s">
        <v>2288</v>
      </c>
      <c r="U424" s="19">
        <v>3</v>
      </c>
      <c r="V424" s="8">
        <v>163</v>
      </c>
      <c r="W424" s="19">
        <v>34</v>
      </c>
      <c r="X424" s="9">
        <v>35.75</v>
      </c>
      <c r="Y424" s="9">
        <f t="shared" si="73"/>
        <v>52</v>
      </c>
      <c r="Z424" s="5" t="s">
        <v>2291</v>
      </c>
      <c r="AA424" s="5" t="s">
        <v>2298</v>
      </c>
      <c r="AB424" s="9">
        <f t="shared" si="74"/>
        <v>130</v>
      </c>
      <c r="AC424" s="9">
        <f t="shared" si="75"/>
        <v>6.5</v>
      </c>
      <c r="AD424" s="9">
        <f t="shared" si="76"/>
        <v>123.5</v>
      </c>
      <c r="AE424" s="9">
        <f t="shared" si="77"/>
        <v>71.5</v>
      </c>
      <c r="AF424" s="9">
        <f t="shared" si="83"/>
        <v>52</v>
      </c>
      <c r="AG424" s="8">
        <f t="shared" si="78"/>
        <v>2024</v>
      </c>
      <c r="AH424" s="8">
        <f t="shared" si="79"/>
        <v>7</v>
      </c>
      <c r="AI424" s="5" t="str">
        <f t="shared" si="80"/>
        <v>Jul</v>
      </c>
      <c r="AJ424" s="5" t="str">
        <f t="shared" si="81"/>
        <v>Tuesday</v>
      </c>
    </row>
    <row r="425" spans="1:36" x14ac:dyDescent="0.3">
      <c r="A425" s="5" t="s">
        <v>459</v>
      </c>
      <c r="B425" s="6">
        <v>45377</v>
      </c>
      <c r="C425" s="7">
        <v>0.82291666666666663</v>
      </c>
      <c r="D425" s="5" t="s">
        <v>1882</v>
      </c>
      <c r="E425" s="5" t="s">
        <v>2166</v>
      </c>
      <c r="F425" s="5" t="s">
        <v>2240</v>
      </c>
      <c r="G425" s="5" t="s">
        <v>2252</v>
      </c>
      <c r="H425" s="5" t="s">
        <v>2257</v>
      </c>
      <c r="I425" s="5" t="s">
        <v>2262</v>
      </c>
      <c r="J425" s="5" t="s">
        <v>2264</v>
      </c>
      <c r="K425" s="8">
        <v>1</v>
      </c>
      <c r="L425" s="9">
        <v>100</v>
      </c>
      <c r="M425" s="10">
        <v>0</v>
      </c>
      <c r="N425" s="9">
        <f t="shared" si="82"/>
        <v>100</v>
      </c>
      <c r="O425" s="9">
        <f t="shared" si="72"/>
        <v>100</v>
      </c>
      <c r="P425" s="5" t="s">
        <v>2269</v>
      </c>
      <c r="Q425" s="5" t="s">
        <v>2270</v>
      </c>
      <c r="R425" s="5" t="s">
        <v>2277</v>
      </c>
      <c r="S425" s="5" t="s">
        <v>2282</v>
      </c>
      <c r="T425" s="5" t="s">
        <v>2289</v>
      </c>
      <c r="U425" s="8">
        <v>3</v>
      </c>
      <c r="V425" s="8">
        <v>47</v>
      </c>
      <c r="W425" s="19">
        <v>34</v>
      </c>
      <c r="X425" s="9">
        <v>52.31</v>
      </c>
      <c r="Y425" s="9">
        <f t="shared" si="73"/>
        <v>47.69</v>
      </c>
      <c r="Z425" s="5" t="s">
        <v>2293</v>
      </c>
      <c r="AA425" s="5" t="s">
        <v>2296</v>
      </c>
      <c r="AB425" s="9">
        <f t="shared" si="74"/>
        <v>100</v>
      </c>
      <c r="AC425" s="9">
        <f t="shared" si="75"/>
        <v>0</v>
      </c>
      <c r="AD425" s="9">
        <f t="shared" si="76"/>
        <v>100</v>
      </c>
      <c r="AE425" s="9">
        <f t="shared" si="77"/>
        <v>52.31</v>
      </c>
      <c r="AF425" s="9">
        <f t="shared" si="83"/>
        <v>47.69</v>
      </c>
      <c r="AG425" s="8">
        <f t="shared" si="78"/>
        <v>2024</v>
      </c>
      <c r="AH425" s="8">
        <f t="shared" si="79"/>
        <v>3</v>
      </c>
      <c r="AI425" s="5" t="str">
        <f t="shared" si="80"/>
        <v>Mar</v>
      </c>
      <c r="AJ425" s="5" t="str">
        <f t="shared" si="81"/>
        <v>Tuesday</v>
      </c>
    </row>
    <row r="426" spans="1:36" x14ac:dyDescent="0.3">
      <c r="A426" s="5" t="s">
        <v>460</v>
      </c>
      <c r="B426" s="6">
        <v>45564</v>
      </c>
      <c r="C426" s="7">
        <v>0.48958333333333331</v>
      </c>
      <c r="D426" s="5" t="s">
        <v>1850</v>
      </c>
      <c r="E426" s="5" t="s">
        <v>2067</v>
      </c>
      <c r="F426" s="5" t="s">
        <v>2238</v>
      </c>
      <c r="G426" s="5" t="s">
        <v>2243</v>
      </c>
      <c r="H426" s="5" t="s">
        <v>2258</v>
      </c>
      <c r="I426" s="5" t="s">
        <v>2260</v>
      </c>
      <c r="J426" s="5" t="s">
        <v>1761</v>
      </c>
      <c r="K426" s="8">
        <v>1</v>
      </c>
      <c r="L426" s="9">
        <v>70</v>
      </c>
      <c r="M426" s="10">
        <v>0.15</v>
      </c>
      <c r="N426" s="9">
        <f t="shared" si="82"/>
        <v>70</v>
      </c>
      <c r="O426" s="9">
        <f t="shared" si="72"/>
        <v>59.5</v>
      </c>
      <c r="P426" s="5" t="s">
        <v>2267</v>
      </c>
      <c r="Q426" s="5" t="s">
        <v>2270</v>
      </c>
      <c r="R426" s="5" t="s">
        <v>2275</v>
      </c>
      <c r="S426" s="5" t="s">
        <v>2287</v>
      </c>
      <c r="T426" s="5" t="s">
        <v>2289</v>
      </c>
      <c r="U426" s="19">
        <v>3</v>
      </c>
      <c r="V426" s="8">
        <v>405</v>
      </c>
      <c r="W426" s="8">
        <v>31</v>
      </c>
      <c r="X426" s="9">
        <v>40.64</v>
      </c>
      <c r="Y426" s="9">
        <f t="shared" si="73"/>
        <v>18.86</v>
      </c>
      <c r="Z426" s="5" t="s">
        <v>2293</v>
      </c>
      <c r="AA426" s="5" t="s">
        <v>2299</v>
      </c>
      <c r="AB426" s="9">
        <f t="shared" si="74"/>
        <v>70</v>
      </c>
      <c r="AC426" s="9">
        <f t="shared" si="75"/>
        <v>10.5</v>
      </c>
      <c r="AD426" s="9">
        <f t="shared" si="76"/>
        <v>59.5</v>
      </c>
      <c r="AE426" s="9">
        <f t="shared" si="77"/>
        <v>40.64</v>
      </c>
      <c r="AF426" s="9">
        <f t="shared" si="83"/>
        <v>18.86</v>
      </c>
      <c r="AG426" s="8">
        <f t="shared" si="78"/>
        <v>2024</v>
      </c>
      <c r="AH426" s="8">
        <f t="shared" si="79"/>
        <v>9</v>
      </c>
      <c r="AI426" s="5" t="str">
        <f t="shared" si="80"/>
        <v>Sep</v>
      </c>
      <c r="AJ426" s="5" t="str">
        <f t="shared" si="81"/>
        <v>Sunday</v>
      </c>
    </row>
    <row r="427" spans="1:36" x14ac:dyDescent="0.3">
      <c r="A427" s="5" t="s">
        <v>461</v>
      </c>
      <c r="B427" s="6">
        <v>45471</v>
      </c>
      <c r="C427" s="7">
        <v>0.51388888888888884</v>
      </c>
      <c r="D427" s="5" t="s">
        <v>1826</v>
      </c>
      <c r="E427" s="5" t="s">
        <v>2119</v>
      </c>
      <c r="F427" s="5" t="s">
        <v>2238</v>
      </c>
      <c r="G427" s="5" t="s">
        <v>2254</v>
      </c>
      <c r="H427" s="5" t="s">
        <v>2259</v>
      </c>
      <c r="I427" s="5" t="s">
        <v>2263</v>
      </c>
      <c r="J427" s="5" t="s">
        <v>2266</v>
      </c>
      <c r="K427" s="8">
        <v>1</v>
      </c>
      <c r="L427" s="9">
        <v>105</v>
      </c>
      <c r="M427" s="10">
        <v>0</v>
      </c>
      <c r="N427" s="9">
        <f t="shared" si="82"/>
        <v>105</v>
      </c>
      <c r="O427" s="9">
        <f t="shared" si="72"/>
        <v>105</v>
      </c>
      <c r="P427" s="5" t="s">
        <v>2269</v>
      </c>
      <c r="Q427" s="5" t="s">
        <v>2270</v>
      </c>
      <c r="R427" s="5" t="s">
        <v>2277</v>
      </c>
      <c r="S427" s="5" t="s">
        <v>2286</v>
      </c>
      <c r="T427" s="5" t="s">
        <v>2288</v>
      </c>
      <c r="U427" s="8">
        <v>1</v>
      </c>
      <c r="V427" s="8">
        <v>204</v>
      </c>
      <c r="W427" s="8">
        <v>11</v>
      </c>
      <c r="X427" s="9">
        <v>42.87</v>
      </c>
      <c r="Y427" s="9">
        <f t="shared" si="73"/>
        <v>62.13</v>
      </c>
      <c r="Z427" s="5" t="s">
        <v>1761</v>
      </c>
      <c r="AA427" s="5" t="s">
        <v>2296</v>
      </c>
      <c r="AB427" s="9">
        <f t="shared" si="74"/>
        <v>105</v>
      </c>
      <c r="AC427" s="9">
        <f t="shared" si="75"/>
        <v>0</v>
      </c>
      <c r="AD427" s="9">
        <f t="shared" si="76"/>
        <v>105</v>
      </c>
      <c r="AE427" s="9">
        <f t="shared" si="77"/>
        <v>42.87</v>
      </c>
      <c r="AF427" s="9">
        <f t="shared" si="83"/>
        <v>62.13</v>
      </c>
      <c r="AG427" s="8">
        <f t="shared" si="78"/>
        <v>2024</v>
      </c>
      <c r="AH427" s="8">
        <f t="shared" si="79"/>
        <v>6</v>
      </c>
      <c r="AI427" s="5" t="str">
        <f t="shared" si="80"/>
        <v>Jun</v>
      </c>
      <c r="AJ427" s="5" t="str">
        <f t="shared" si="81"/>
        <v>Friday</v>
      </c>
    </row>
    <row r="428" spans="1:36" x14ac:dyDescent="0.3">
      <c r="A428" s="5" t="s">
        <v>462</v>
      </c>
      <c r="B428" s="6">
        <v>45404</v>
      </c>
      <c r="C428" s="7">
        <v>0.57291666666666663</v>
      </c>
      <c r="D428" s="5" t="s">
        <v>1823</v>
      </c>
      <c r="E428" s="5" t="s">
        <v>2072</v>
      </c>
      <c r="F428" s="5" t="s">
        <v>2238</v>
      </c>
      <c r="G428" s="5" t="s">
        <v>2256</v>
      </c>
      <c r="H428" s="5" t="s">
        <v>2261</v>
      </c>
      <c r="I428" s="5" t="s">
        <v>2260</v>
      </c>
      <c r="J428" s="5" t="s">
        <v>2265</v>
      </c>
      <c r="K428" s="8">
        <v>2</v>
      </c>
      <c r="L428" s="9">
        <v>195</v>
      </c>
      <c r="M428" s="10">
        <v>0.05</v>
      </c>
      <c r="N428" s="9">
        <f t="shared" si="82"/>
        <v>390</v>
      </c>
      <c r="O428" s="9">
        <f t="shared" si="72"/>
        <v>370.5</v>
      </c>
      <c r="P428" s="5" t="s">
        <v>2269</v>
      </c>
      <c r="Q428" s="5" t="s">
        <v>2272</v>
      </c>
      <c r="R428" s="5" t="s">
        <v>2274</v>
      </c>
      <c r="S428" s="5" t="s">
        <v>2280</v>
      </c>
      <c r="T428" s="5" t="s">
        <v>2288</v>
      </c>
      <c r="U428" s="8">
        <v>5</v>
      </c>
      <c r="V428" s="8">
        <v>232</v>
      </c>
      <c r="W428" s="8">
        <v>32</v>
      </c>
      <c r="X428" s="9">
        <v>71.91</v>
      </c>
      <c r="Y428" s="9">
        <f t="shared" si="73"/>
        <v>226.68</v>
      </c>
      <c r="Z428" s="5" t="s">
        <v>2292</v>
      </c>
      <c r="AA428" s="5" t="s">
        <v>2296</v>
      </c>
      <c r="AB428" s="9">
        <f t="shared" si="74"/>
        <v>390</v>
      </c>
      <c r="AC428" s="9">
        <f t="shared" si="75"/>
        <v>19.5</v>
      </c>
      <c r="AD428" s="9">
        <f t="shared" si="76"/>
        <v>370.5</v>
      </c>
      <c r="AE428" s="9">
        <f t="shared" si="77"/>
        <v>143.82</v>
      </c>
      <c r="AF428" s="9">
        <f t="shared" si="83"/>
        <v>226.68</v>
      </c>
      <c r="AG428" s="8">
        <f t="shared" si="78"/>
        <v>2024</v>
      </c>
      <c r="AH428" s="8">
        <f t="shared" si="79"/>
        <v>4</v>
      </c>
      <c r="AI428" s="5" t="str">
        <f t="shared" si="80"/>
        <v>Apr</v>
      </c>
      <c r="AJ428" s="5" t="str">
        <f t="shared" si="81"/>
        <v>Monday</v>
      </c>
    </row>
    <row r="429" spans="1:36" x14ac:dyDescent="0.3">
      <c r="A429" s="5" t="s">
        <v>463</v>
      </c>
      <c r="B429" s="6">
        <v>45352</v>
      </c>
      <c r="C429" s="7">
        <v>0.83333333333333337</v>
      </c>
      <c r="D429" s="5" t="s">
        <v>1752</v>
      </c>
      <c r="E429" s="5" t="s">
        <v>2005</v>
      </c>
      <c r="F429" s="5" t="s">
        <v>2239</v>
      </c>
      <c r="G429" s="5" t="s">
        <v>2247</v>
      </c>
      <c r="H429" s="5" t="s">
        <v>2257</v>
      </c>
      <c r="I429" s="5" t="s">
        <v>2262</v>
      </c>
      <c r="J429" s="5" t="s">
        <v>2265</v>
      </c>
      <c r="K429" s="8">
        <v>2</v>
      </c>
      <c r="L429" s="9">
        <v>100</v>
      </c>
      <c r="M429" s="10">
        <v>0.1</v>
      </c>
      <c r="N429" s="9">
        <f t="shared" si="82"/>
        <v>200</v>
      </c>
      <c r="O429" s="9">
        <f t="shared" si="72"/>
        <v>180</v>
      </c>
      <c r="P429" s="5" t="s">
        <v>2267</v>
      </c>
      <c r="Q429" s="5" t="s">
        <v>2271</v>
      </c>
      <c r="R429" s="5" t="s">
        <v>2274</v>
      </c>
      <c r="S429" s="5" t="s">
        <v>2284</v>
      </c>
      <c r="T429" s="5" t="s">
        <v>2288</v>
      </c>
      <c r="U429" s="19">
        <v>3</v>
      </c>
      <c r="V429" s="19">
        <v>244</v>
      </c>
      <c r="W429" s="19">
        <v>37</v>
      </c>
      <c r="X429" s="9">
        <v>49.86</v>
      </c>
      <c r="Y429" s="9">
        <f t="shared" si="73"/>
        <v>80.28</v>
      </c>
      <c r="Z429" s="5" t="s">
        <v>2292</v>
      </c>
      <c r="AA429" s="5" t="s">
        <v>2296</v>
      </c>
      <c r="AB429" s="9">
        <f t="shared" si="74"/>
        <v>200</v>
      </c>
      <c r="AC429" s="9">
        <f t="shared" si="75"/>
        <v>20</v>
      </c>
      <c r="AD429" s="9">
        <f t="shared" si="76"/>
        <v>180</v>
      </c>
      <c r="AE429" s="9">
        <f t="shared" si="77"/>
        <v>99.72</v>
      </c>
      <c r="AF429" s="9">
        <f t="shared" si="83"/>
        <v>80.28</v>
      </c>
      <c r="AG429" s="8">
        <f t="shared" si="78"/>
        <v>2024</v>
      </c>
      <c r="AH429" s="8">
        <f t="shared" si="79"/>
        <v>3</v>
      </c>
      <c r="AI429" s="5" t="str">
        <f t="shared" si="80"/>
        <v>Mar</v>
      </c>
      <c r="AJ429" s="5" t="str">
        <f t="shared" si="81"/>
        <v>Friday</v>
      </c>
    </row>
    <row r="430" spans="1:36" x14ac:dyDescent="0.3">
      <c r="A430" s="5" t="s">
        <v>464</v>
      </c>
      <c r="B430" s="6">
        <v>45510</v>
      </c>
      <c r="C430" s="7">
        <v>0.86805555555555558</v>
      </c>
      <c r="D430" s="5" t="s">
        <v>1891</v>
      </c>
      <c r="E430" s="5" t="s">
        <v>2135</v>
      </c>
      <c r="F430" s="5" t="s">
        <v>2240</v>
      </c>
      <c r="G430" s="5" t="s">
        <v>2254</v>
      </c>
      <c r="H430" s="5" t="s">
        <v>2259</v>
      </c>
      <c r="I430" s="5" t="s">
        <v>2263</v>
      </c>
      <c r="J430" s="5" t="s">
        <v>1761</v>
      </c>
      <c r="K430" s="8">
        <v>2</v>
      </c>
      <c r="L430" s="9">
        <v>110</v>
      </c>
      <c r="M430" s="10">
        <v>0</v>
      </c>
      <c r="N430" s="9">
        <f t="shared" si="82"/>
        <v>220</v>
      </c>
      <c r="O430" s="9">
        <f t="shared" si="72"/>
        <v>220</v>
      </c>
      <c r="P430" s="5" t="s">
        <v>2267</v>
      </c>
      <c r="Q430" s="5" t="s">
        <v>2270</v>
      </c>
      <c r="R430" s="5" t="s">
        <v>2273</v>
      </c>
      <c r="S430" s="5" t="s">
        <v>2281</v>
      </c>
      <c r="T430" s="5" t="s">
        <v>2290</v>
      </c>
      <c r="U430" s="8">
        <v>3</v>
      </c>
      <c r="V430" s="8">
        <v>468</v>
      </c>
      <c r="W430" s="19">
        <v>34</v>
      </c>
      <c r="X430" s="9">
        <v>57.27</v>
      </c>
      <c r="Y430" s="9">
        <f t="shared" si="73"/>
        <v>105.46</v>
      </c>
      <c r="Z430" s="5" t="s">
        <v>1761</v>
      </c>
      <c r="AA430" s="5" t="s">
        <v>2296</v>
      </c>
      <c r="AB430" s="9">
        <f t="shared" si="74"/>
        <v>220</v>
      </c>
      <c r="AC430" s="9">
        <f t="shared" si="75"/>
        <v>0</v>
      </c>
      <c r="AD430" s="9">
        <f t="shared" si="76"/>
        <v>220</v>
      </c>
      <c r="AE430" s="9">
        <f t="shared" si="77"/>
        <v>114.54</v>
      </c>
      <c r="AF430" s="9">
        <f t="shared" si="83"/>
        <v>105.46</v>
      </c>
      <c r="AG430" s="8">
        <f t="shared" si="78"/>
        <v>2024</v>
      </c>
      <c r="AH430" s="8">
        <f t="shared" si="79"/>
        <v>8</v>
      </c>
      <c r="AI430" s="5" t="str">
        <f t="shared" si="80"/>
        <v>Aug</v>
      </c>
      <c r="AJ430" s="5" t="str">
        <f t="shared" si="81"/>
        <v>Tuesday</v>
      </c>
    </row>
    <row r="431" spans="1:36" x14ac:dyDescent="0.3">
      <c r="A431" s="5" t="s">
        <v>465</v>
      </c>
      <c r="B431" s="6">
        <v>45414</v>
      </c>
      <c r="C431" s="7">
        <v>0.71527777777777779</v>
      </c>
      <c r="D431" s="5" t="s">
        <v>1768</v>
      </c>
      <c r="E431" s="5" t="s">
        <v>2063</v>
      </c>
      <c r="F431" s="5" t="s">
        <v>1761</v>
      </c>
      <c r="G431" s="5" t="s">
        <v>2252</v>
      </c>
      <c r="H431" s="5" t="s">
        <v>2257</v>
      </c>
      <c r="I431" s="5" t="s">
        <v>2262</v>
      </c>
      <c r="J431" s="5" t="s">
        <v>1761</v>
      </c>
      <c r="K431" s="8">
        <v>4</v>
      </c>
      <c r="L431" s="9">
        <v>90</v>
      </c>
      <c r="M431" s="10">
        <v>0</v>
      </c>
      <c r="N431" s="9">
        <f t="shared" si="82"/>
        <v>360</v>
      </c>
      <c r="O431" s="9">
        <f t="shared" si="72"/>
        <v>360</v>
      </c>
      <c r="P431" s="5" t="s">
        <v>2267</v>
      </c>
      <c r="Q431" s="5" t="s">
        <v>2271</v>
      </c>
      <c r="R431" s="5" t="s">
        <v>2276</v>
      </c>
      <c r="S431" s="5" t="s">
        <v>2284</v>
      </c>
      <c r="T431" s="5" t="s">
        <v>2290</v>
      </c>
      <c r="U431" s="8">
        <v>3</v>
      </c>
      <c r="V431" s="8">
        <v>295</v>
      </c>
      <c r="W431" s="8">
        <v>59</v>
      </c>
      <c r="X431" s="9">
        <v>40.01</v>
      </c>
      <c r="Y431" s="9">
        <f t="shared" si="73"/>
        <v>199.96</v>
      </c>
      <c r="Z431" s="5" t="s">
        <v>2291</v>
      </c>
      <c r="AA431" s="5" t="s">
        <v>2296</v>
      </c>
      <c r="AB431" s="9">
        <f t="shared" si="74"/>
        <v>360</v>
      </c>
      <c r="AC431" s="9">
        <f t="shared" si="75"/>
        <v>0</v>
      </c>
      <c r="AD431" s="9">
        <f t="shared" si="76"/>
        <v>360</v>
      </c>
      <c r="AE431" s="9">
        <f t="shared" si="77"/>
        <v>160.04</v>
      </c>
      <c r="AF431" s="9">
        <f t="shared" si="83"/>
        <v>199.96</v>
      </c>
      <c r="AG431" s="8">
        <f t="shared" si="78"/>
        <v>2024</v>
      </c>
      <c r="AH431" s="8">
        <f t="shared" si="79"/>
        <v>5</v>
      </c>
      <c r="AI431" s="5" t="str">
        <f t="shared" si="80"/>
        <v>May</v>
      </c>
      <c r="AJ431" s="5" t="str">
        <f t="shared" si="81"/>
        <v>Thursday</v>
      </c>
    </row>
    <row r="432" spans="1:36" x14ac:dyDescent="0.3">
      <c r="A432" s="5" t="s">
        <v>466</v>
      </c>
      <c r="B432" s="6">
        <v>45439</v>
      </c>
      <c r="C432" s="7">
        <v>0.32291666666666669</v>
      </c>
      <c r="D432" s="5" t="s">
        <v>1882</v>
      </c>
      <c r="E432" s="5" t="s">
        <v>1966</v>
      </c>
      <c r="F432" s="5" t="s">
        <v>2239</v>
      </c>
      <c r="G432" s="5" t="s">
        <v>2255</v>
      </c>
      <c r="H432" s="5" t="s">
        <v>2260</v>
      </c>
      <c r="I432" s="5" t="s">
        <v>2260</v>
      </c>
      <c r="J432" s="5" t="s">
        <v>2265</v>
      </c>
      <c r="K432" s="8">
        <v>2</v>
      </c>
      <c r="L432" s="9">
        <v>175</v>
      </c>
      <c r="M432" s="10">
        <v>0</v>
      </c>
      <c r="N432" s="9">
        <f t="shared" si="82"/>
        <v>350</v>
      </c>
      <c r="O432" s="9">
        <f t="shared" si="72"/>
        <v>350</v>
      </c>
      <c r="P432" s="5" t="s">
        <v>2267</v>
      </c>
      <c r="Q432" s="5" t="s">
        <v>2272</v>
      </c>
      <c r="R432" s="5" t="s">
        <v>2279</v>
      </c>
      <c r="S432" s="5" t="s">
        <v>2285</v>
      </c>
      <c r="T432" s="5" t="s">
        <v>2288</v>
      </c>
      <c r="U432" s="8">
        <v>5</v>
      </c>
      <c r="V432" s="8">
        <v>36</v>
      </c>
      <c r="W432" s="19">
        <v>35</v>
      </c>
      <c r="X432" s="9">
        <v>78.72</v>
      </c>
      <c r="Y432" s="9">
        <f t="shared" si="73"/>
        <v>192.56</v>
      </c>
      <c r="Z432" s="5" t="s">
        <v>2293</v>
      </c>
      <c r="AA432" s="5" t="s">
        <v>2296</v>
      </c>
      <c r="AB432" s="9">
        <f t="shared" si="74"/>
        <v>350</v>
      </c>
      <c r="AC432" s="9">
        <f t="shared" si="75"/>
        <v>0</v>
      </c>
      <c r="AD432" s="9">
        <f t="shared" si="76"/>
        <v>350</v>
      </c>
      <c r="AE432" s="9">
        <f t="shared" si="77"/>
        <v>157.44</v>
      </c>
      <c r="AF432" s="9">
        <f t="shared" si="83"/>
        <v>192.56</v>
      </c>
      <c r="AG432" s="8">
        <f t="shared" si="78"/>
        <v>2024</v>
      </c>
      <c r="AH432" s="8">
        <f t="shared" si="79"/>
        <v>5</v>
      </c>
      <c r="AI432" s="5" t="str">
        <f t="shared" si="80"/>
        <v>May</v>
      </c>
      <c r="AJ432" s="5" t="str">
        <f t="shared" si="81"/>
        <v>Monday</v>
      </c>
    </row>
    <row r="433" spans="1:36" x14ac:dyDescent="0.3">
      <c r="A433" s="5" t="s">
        <v>467</v>
      </c>
      <c r="B433" s="6">
        <v>45469</v>
      </c>
      <c r="C433" s="7">
        <v>0.88541666666666663</v>
      </c>
      <c r="D433" s="5" t="s">
        <v>1800</v>
      </c>
      <c r="E433" s="5" t="s">
        <v>2044</v>
      </c>
      <c r="F433" s="5" t="s">
        <v>2239</v>
      </c>
      <c r="G433" s="5" t="s">
        <v>2248</v>
      </c>
      <c r="H433" s="5" t="s">
        <v>2257</v>
      </c>
      <c r="I433" s="5" t="s">
        <v>2262</v>
      </c>
      <c r="J433" s="5" t="s">
        <v>2265</v>
      </c>
      <c r="K433" s="8">
        <v>3</v>
      </c>
      <c r="L433" s="9">
        <v>150</v>
      </c>
      <c r="M433" s="10">
        <v>0.15</v>
      </c>
      <c r="N433" s="9">
        <f t="shared" si="82"/>
        <v>450</v>
      </c>
      <c r="O433" s="9">
        <f t="shared" si="72"/>
        <v>382.5</v>
      </c>
      <c r="P433" s="5" t="s">
        <v>2267</v>
      </c>
      <c r="Q433" s="5" t="s">
        <v>2270</v>
      </c>
      <c r="R433" s="5" t="s">
        <v>2278</v>
      </c>
      <c r="S433" s="5" t="s">
        <v>2284</v>
      </c>
      <c r="T433" s="5" t="s">
        <v>2289</v>
      </c>
      <c r="U433" s="19">
        <v>3</v>
      </c>
      <c r="V433" s="8">
        <v>357</v>
      </c>
      <c r="W433" s="8">
        <v>16</v>
      </c>
      <c r="X433" s="9">
        <v>51.72</v>
      </c>
      <c r="Y433" s="9">
        <f t="shared" si="73"/>
        <v>227.34</v>
      </c>
      <c r="Z433" s="5" t="s">
        <v>2294</v>
      </c>
      <c r="AA433" s="5" t="s">
        <v>2298</v>
      </c>
      <c r="AB433" s="9">
        <f t="shared" si="74"/>
        <v>450</v>
      </c>
      <c r="AC433" s="9">
        <f t="shared" si="75"/>
        <v>67.5</v>
      </c>
      <c r="AD433" s="9">
        <f t="shared" si="76"/>
        <v>382.5</v>
      </c>
      <c r="AE433" s="9">
        <f t="shared" si="77"/>
        <v>155.16</v>
      </c>
      <c r="AF433" s="9">
        <f t="shared" si="83"/>
        <v>227.34</v>
      </c>
      <c r="AG433" s="8">
        <f t="shared" si="78"/>
        <v>2024</v>
      </c>
      <c r="AH433" s="8">
        <f t="shared" si="79"/>
        <v>6</v>
      </c>
      <c r="AI433" s="5" t="str">
        <f t="shared" si="80"/>
        <v>Jun</v>
      </c>
      <c r="AJ433" s="5" t="str">
        <f t="shared" si="81"/>
        <v>Wednesday</v>
      </c>
    </row>
    <row r="434" spans="1:36" x14ac:dyDescent="0.3">
      <c r="A434" s="5" t="s">
        <v>468</v>
      </c>
      <c r="B434" s="18">
        <v>45468</v>
      </c>
      <c r="C434" s="7">
        <v>0.54166666666666663</v>
      </c>
      <c r="D434" s="5" t="s">
        <v>1917</v>
      </c>
      <c r="E434" s="5" t="s">
        <v>2135</v>
      </c>
      <c r="F434" s="5" t="s">
        <v>2238</v>
      </c>
      <c r="G434" s="5" t="s">
        <v>2244</v>
      </c>
      <c r="H434" s="5" t="s">
        <v>2257</v>
      </c>
      <c r="I434" s="5" t="s">
        <v>2262</v>
      </c>
      <c r="J434" s="5" t="s">
        <v>2266</v>
      </c>
      <c r="K434" s="8">
        <v>1</v>
      </c>
      <c r="L434" s="9">
        <v>120</v>
      </c>
      <c r="M434" s="10">
        <v>0</v>
      </c>
      <c r="N434" s="9">
        <f t="shared" si="82"/>
        <v>120</v>
      </c>
      <c r="O434" s="9">
        <f t="shared" si="72"/>
        <v>120</v>
      </c>
      <c r="P434" s="5" t="s">
        <v>1761</v>
      </c>
      <c r="Q434" s="5" t="s">
        <v>2271</v>
      </c>
      <c r="R434" s="5" t="s">
        <v>2275</v>
      </c>
      <c r="S434" s="5" t="s">
        <v>2285</v>
      </c>
      <c r="T434" s="5" t="s">
        <v>2290</v>
      </c>
      <c r="U434" s="8">
        <v>5</v>
      </c>
      <c r="V434" s="8">
        <v>433</v>
      </c>
      <c r="W434" s="19">
        <v>37</v>
      </c>
      <c r="X434" s="9">
        <v>55.77</v>
      </c>
      <c r="Y434" s="9">
        <f t="shared" si="73"/>
        <v>64.22999999999999</v>
      </c>
      <c r="Z434" s="5" t="s">
        <v>2293</v>
      </c>
      <c r="AA434" s="5" t="s">
        <v>2298</v>
      </c>
      <c r="AB434" s="9">
        <f t="shared" si="74"/>
        <v>120</v>
      </c>
      <c r="AC434" s="9">
        <f t="shared" si="75"/>
        <v>0</v>
      </c>
      <c r="AD434" s="9">
        <f t="shared" si="76"/>
        <v>120</v>
      </c>
      <c r="AE434" s="9">
        <f t="shared" si="77"/>
        <v>55.77</v>
      </c>
      <c r="AF434" s="9">
        <f t="shared" si="83"/>
        <v>64.22999999999999</v>
      </c>
      <c r="AG434" s="8">
        <f t="shared" si="78"/>
        <v>2024</v>
      </c>
      <c r="AH434" s="8">
        <f t="shared" si="79"/>
        <v>6</v>
      </c>
      <c r="AI434" s="5" t="str">
        <f t="shared" si="80"/>
        <v>Jun</v>
      </c>
      <c r="AJ434" s="5" t="str">
        <f t="shared" si="81"/>
        <v>Tuesday</v>
      </c>
    </row>
    <row r="435" spans="1:36" x14ac:dyDescent="0.3">
      <c r="A435" s="5" t="s">
        <v>469</v>
      </c>
      <c r="B435" s="6">
        <v>45634</v>
      </c>
      <c r="C435" s="7">
        <v>0.29166666666666669</v>
      </c>
      <c r="D435" s="5" t="s">
        <v>1897</v>
      </c>
      <c r="E435" s="5" t="s">
        <v>2163</v>
      </c>
      <c r="F435" s="5" t="s">
        <v>1761</v>
      </c>
      <c r="G435" s="5" t="s">
        <v>2246</v>
      </c>
      <c r="H435" s="5" t="s">
        <v>2259</v>
      </c>
      <c r="I435" s="5" t="s">
        <v>2262</v>
      </c>
      <c r="J435" s="5" t="s">
        <v>2265</v>
      </c>
      <c r="K435" s="8">
        <v>2</v>
      </c>
      <c r="L435" s="9">
        <v>100</v>
      </c>
      <c r="M435" s="10">
        <v>0</v>
      </c>
      <c r="N435" s="9">
        <f t="shared" si="82"/>
        <v>200</v>
      </c>
      <c r="O435" s="9">
        <f t="shared" si="72"/>
        <v>200</v>
      </c>
      <c r="P435" s="5" t="s">
        <v>2268</v>
      </c>
      <c r="Q435" s="5" t="s">
        <v>2272</v>
      </c>
      <c r="R435" s="5" t="s">
        <v>2275</v>
      </c>
      <c r="S435" s="5" t="s">
        <v>2284</v>
      </c>
      <c r="T435" s="5" t="s">
        <v>2289</v>
      </c>
      <c r="U435" s="8">
        <v>4</v>
      </c>
      <c r="V435" s="8">
        <v>159</v>
      </c>
      <c r="W435" s="8">
        <v>33</v>
      </c>
      <c r="X435" s="9">
        <v>39.020000000000003</v>
      </c>
      <c r="Y435" s="9">
        <f t="shared" si="73"/>
        <v>121.96</v>
      </c>
      <c r="Z435" s="5" t="s">
        <v>2294</v>
      </c>
      <c r="AA435" s="5" t="s">
        <v>2296</v>
      </c>
      <c r="AB435" s="9">
        <f t="shared" si="74"/>
        <v>200</v>
      </c>
      <c r="AC435" s="9">
        <f t="shared" si="75"/>
        <v>0</v>
      </c>
      <c r="AD435" s="9">
        <f t="shared" si="76"/>
        <v>200</v>
      </c>
      <c r="AE435" s="9">
        <f t="shared" si="77"/>
        <v>78.040000000000006</v>
      </c>
      <c r="AF435" s="9">
        <f t="shared" si="83"/>
        <v>121.96</v>
      </c>
      <c r="AG435" s="8">
        <f t="shared" si="78"/>
        <v>2024</v>
      </c>
      <c r="AH435" s="8">
        <f t="shared" si="79"/>
        <v>12</v>
      </c>
      <c r="AI435" s="5" t="str">
        <f t="shared" si="80"/>
        <v>Dec</v>
      </c>
      <c r="AJ435" s="5" t="str">
        <f t="shared" si="81"/>
        <v>Sunday</v>
      </c>
    </row>
    <row r="436" spans="1:36" x14ac:dyDescent="0.3">
      <c r="A436" s="5" t="s">
        <v>470</v>
      </c>
      <c r="B436" s="6">
        <v>45635</v>
      </c>
      <c r="C436" s="7">
        <v>0.39583333333333331</v>
      </c>
      <c r="D436" s="5" t="s">
        <v>1806</v>
      </c>
      <c r="E436" s="5" t="s">
        <v>2146</v>
      </c>
      <c r="F436" s="5" t="s">
        <v>2239</v>
      </c>
      <c r="G436" s="5" t="s">
        <v>2256</v>
      </c>
      <c r="H436" s="5" t="s">
        <v>2261</v>
      </c>
      <c r="I436" s="5" t="s">
        <v>2260</v>
      </c>
      <c r="J436" s="5" t="s">
        <v>2264</v>
      </c>
      <c r="K436" s="8">
        <v>1</v>
      </c>
      <c r="L436" s="9">
        <v>195</v>
      </c>
      <c r="M436" s="10">
        <v>0.1</v>
      </c>
      <c r="N436" s="9">
        <f t="shared" si="82"/>
        <v>195</v>
      </c>
      <c r="O436" s="9">
        <f t="shared" si="72"/>
        <v>175.5</v>
      </c>
      <c r="P436" s="5" t="s">
        <v>2267</v>
      </c>
      <c r="Q436" s="5" t="s">
        <v>2272</v>
      </c>
      <c r="R436" s="5" t="s">
        <v>2276</v>
      </c>
      <c r="S436" s="5" t="s">
        <v>2287</v>
      </c>
      <c r="T436" s="5" t="s">
        <v>2288</v>
      </c>
      <c r="U436" s="8">
        <v>2</v>
      </c>
      <c r="V436" s="8">
        <v>370</v>
      </c>
      <c r="W436" s="8">
        <v>25</v>
      </c>
      <c r="X436" s="9">
        <v>77.95</v>
      </c>
      <c r="Y436" s="9">
        <f t="shared" si="73"/>
        <v>97.55</v>
      </c>
      <c r="Z436" s="5" t="s">
        <v>2294</v>
      </c>
      <c r="AA436" s="5" t="s">
        <v>2297</v>
      </c>
      <c r="AB436" s="9">
        <f t="shared" si="74"/>
        <v>195</v>
      </c>
      <c r="AC436" s="9">
        <f t="shared" si="75"/>
        <v>19.5</v>
      </c>
      <c r="AD436" s="9">
        <f t="shared" si="76"/>
        <v>175.5</v>
      </c>
      <c r="AE436" s="9">
        <f t="shared" si="77"/>
        <v>77.95</v>
      </c>
      <c r="AF436" s="9">
        <f t="shared" si="83"/>
        <v>97.55</v>
      </c>
      <c r="AG436" s="8">
        <f t="shared" si="78"/>
        <v>2024</v>
      </c>
      <c r="AH436" s="8">
        <f t="shared" si="79"/>
        <v>12</v>
      </c>
      <c r="AI436" s="5" t="str">
        <f t="shared" si="80"/>
        <v>Dec</v>
      </c>
      <c r="AJ436" s="5" t="str">
        <f t="shared" si="81"/>
        <v>Monday</v>
      </c>
    </row>
    <row r="437" spans="1:36" x14ac:dyDescent="0.3">
      <c r="A437" s="5" t="s">
        <v>471</v>
      </c>
      <c r="B437" s="6">
        <v>45357</v>
      </c>
      <c r="C437" s="7">
        <v>0.84722222222222221</v>
      </c>
      <c r="D437" s="5" t="s">
        <v>1918</v>
      </c>
      <c r="E437" s="5" t="s">
        <v>1971</v>
      </c>
      <c r="F437" s="5" t="s">
        <v>2240</v>
      </c>
      <c r="G437" s="5" t="s">
        <v>2251</v>
      </c>
      <c r="H437" s="5" t="s">
        <v>2258</v>
      </c>
      <c r="I437" s="5" t="s">
        <v>2260</v>
      </c>
      <c r="J437" s="5" t="s">
        <v>2264</v>
      </c>
      <c r="K437" s="8">
        <v>1</v>
      </c>
      <c r="L437" s="9">
        <v>100</v>
      </c>
      <c r="M437" s="10">
        <v>0</v>
      </c>
      <c r="N437" s="9">
        <f t="shared" si="82"/>
        <v>100</v>
      </c>
      <c r="O437" s="9">
        <f t="shared" si="72"/>
        <v>100</v>
      </c>
      <c r="P437" s="5" t="s">
        <v>2269</v>
      </c>
      <c r="Q437" s="5" t="s">
        <v>2271</v>
      </c>
      <c r="R437" s="5" t="s">
        <v>2279</v>
      </c>
      <c r="S437" s="5" t="s">
        <v>2283</v>
      </c>
      <c r="T437" s="5" t="s">
        <v>2289</v>
      </c>
      <c r="U437" s="8">
        <v>3</v>
      </c>
      <c r="V437" s="8">
        <v>284</v>
      </c>
      <c r="W437" s="8">
        <v>17</v>
      </c>
      <c r="X437" s="9">
        <v>58.95</v>
      </c>
      <c r="Y437" s="9">
        <f t="shared" si="73"/>
        <v>41.05</v>
      </c>
      <c r="Z437" s="5" t="s">
        <v>2292</v>
      </c>
      <c r="AA437" s="5" t="s">
        <v>2296</v>
      </c>
      <c r="AB437" s="9">
        <f t="shared" si="74"/>
        <v>100</v>
      </c>
      <c r="AC437" s="9">
        <f t="shared" si="75"/>
        <v>0</v>
      </c>
      <c r="AD437" s="9">
        <f t="shared" si="76"/>
        <v>100</v>
      </c>
      <c r="AE437" s="9">
        <f t="shared" si="77"/>
        <v>58.95</v>
      </c>
      <c r="AF437" s="9">
        <f t="shared" si="83"/>
        <v>41.05</v>
      </c>
      <c r="AG437" s="8">
        <f t="shared" si="78"/>
        <v>2024</v>
      </c>
      <c r="AH437" s="8">
        <f t="shared" si="79"/>
        <v>3</v>
      </c>
      <c r="AI437" s="5" t="str">
        <f t="shared" si="80"/>
        <v>Mar</v>
      </c>
      <c r="AJ437" s="5" t="str">
        <f t="shared" si="81"/>
        <v>Wednesday</v>
      </c>
    </row>
    <row r="438" spans="1:36" x14ac:dyDescent="0.3">
      <c r="A438" s="5" t="s">
        <v>472</v>
      </c>
      <c r="B438" s="6">
        <v>45301</v>
      </c>
      <c r="C438" s="7">
        <v>0.80208333333333337</v>
      </c>
      <c r="D438" s="5" t="s">
        <v>1860</v>
      </c>
      <c r="E438" s="5" t="s">
        <v>1975</v>
      </c>
      <c r="F438" s="5" t="s">
        <v>2239</v>
      </c>
      <c r="G438" s="5" t="s">
        <v>2255</v>
      </c>
      <c r="H438" s="5" t="s">
        <v>2260</v>
      </c>
      <c r="I438" s="5" t="s">
        <v>2260</v>
      </c>
      <c r="J438" s="5" t="s">
        <v>2265</v>
      </c>
      <c r="K438" s="8">
        <v>1</v>
      </c>
      <c r="L438" s="9">
        <v>190</v>
      </c>
      <c r="M438" s="10">
        <v>0</v>
      </c>
      <c r="N438" s="9">
        <f t="shared" si="82"/>
        <v>190</v>
      </c>
      <c r="O438" s="9">
        <f t="shared" si="72"/>
        <v>190</v>
      </c>
      <c r="P438" s="5" t="s">
        <v>2268</v>
      </c>
      <c r="Q438" s="5" t="s">
        <v>2270</v>
      </c>
      <c r="R438" s="5" t="s">
        <v>2274</v>
      </c>
      <c r="S438" s="5" t="s">
        <v>2282</v>
      </c>
      <c r="T438" s="5" t="s">
        <v>2288</v>
      </c>
      <c r="U438" s="8">
        <v>5</v>
      </c>
      <c r="V438" s="8">
        <v>109</v>
      </c>
      <c r="W438" s="8">
        <v>34</v>
      </c>
      <c r="X438" s="9">
        <v>101.5</v>
      </c>
      <c r="Y438" s="9">
        <f t="shared" si="73"/>
        <v>88.5</v>
      </c>
      <c r="Z438" s="5" t="s">
        <v>2292</v>
      </c>
      <c r="AA438" s="5" t="s">
        <v>2296</v>
      </c>
      <c r="AB438" s="9">
        <f t="shared" si="74"/>
        <v>190</v>
      </c>
      <c r="AC438" s="9">
        <f t="shared" si="75"/>
        <v>0</v>
      </c>
      <c r="AD438" s="9">
        <f t="shared" si="76"/>
        <v>190</v>
      </c>
      <c r="AE438" s="9">
        <f t="shared" si="77"/>
        <v>101.5</v>
      </c>
      <c r="AF438" s="9">
        <f t="shared" si="83"/>
        <v>88.5</v>
      </c>
      <c r="AG438" s="8">
        <f t="shared" si="78"/>
        <v>2024</v>
      </c>
      <c r="AH438" s="8">
        <f t="shared" si="79"/>
        <v>1</v>
      </c>
      <c r="AI438" s="5" t="str">
        <f t="shared" si="80"/>
        <v>Jan</v>
      </c>
      <c r="AJ438" s="5" t="str">
        <f t="shared" si="81"/>
        <v>Wednesday</v>
      </c>
    </row>
    <row r="439" spans="1:36" x14ac:dyDescent="0.3">
      <c r="A439" s="5" t="s">
        <v>473</v>
      </c>
      <c r="B439" s="6">
        <v>45556</v>
      </c>
      <c r="C439" s="7">
        <v>0.8125</v>
      </c>
      <c r="D439" s="5" t="s">
        <v>1825</v>
      </c>
      <c r="E439" s="5" t="s">
        <v>1946</v>
      </c>
      <c r="F439" s="5" t="s">
        <v>2238</v>
      </c>
      <c r="G439" s="5" t="s">
        <v>2247</v>
      </c>
      <c r="H439" s="5" t="s">
        <v>2257</v>
      </c>
      <c r="I439" s="5" t="s">
        <v>2262</v>
      </c>
      <c r="J439" s="5" t="s">
        <v>2264</v>
      </c>
      <c r="K439" s="8">
        <v>1</v>
      </c>
      <c r="L439" s="9">
        <v>95</v>
      </c>
      <c r="M439" s="10">
        <v>0</v>
      </c>
      <c r="N439" s="9">
        <f t="shared" si="82"/>
        <v>95</v>
      </c>
      <c r="O439" s="9">
        <f t="shared" si="72"/>
        <v>95</v>
      </c>
      <c r="P439" s="5" t="s">
        <v>2267</v>
      </c>
      <c r="Q439" s="5" t="s">
        <v>2272</v>
      </c>
      <c r="R439" s="5" t="s">
        <v>2278</v>
      </c>
      <c r="S439" s="5" t="s">
        <v>2280</v>
      </c>
      <c r="T439" s="5" t="s">
        <v>2288</v>
      </c>
      <c r="U439" s="8">
        <v>1</v>
      </c>
      <c r="V439" s="8">
        <v>241</v>
      </c>
      <c r="W439" s="19">
        <v>35</v>
      </c>
      <c r="X439" s="9">
        <v>53.88</v>
      </c>
      <c r="Y439" s="9">
        <f t="shared" si="73"/>
        <v>41.12</v>
      </c>
      <c r="Z439" s="5" t="s">
        <v>2293</v>
      </c>
      <c r="AA439" s="5" t="s">
        <v>2297</v>
      </c>
      <c r="AB439" s="9">
        <f t="shared" si="74"/>
        <v>95</v>
      </c>
      <c r="AC439" s="9">
        <f t="shared" si="75"/>
        <v>0</v>
      </c>
      <c r="AD439" s="9">
        <f t="shared" si="76"/>
        <v>95</v>
      </c>
      <c r="AE439" s="9">
        <f t="shared" si="77"/>
        <v>53.88</v>
      </c>
      <c r="AF439" s="9">
        <f t="shared" si="83"/>
        <v>41.12</v>
      </c>
      <c r="AG439" s="8">
        <f t="shared" si="78"/>
        <v>2024</v>
      </c>
      <c r="AH439" s="8">
        <f t="shared" si="79"/>
        <v>9</v>
      </c>
      <c r="AI439" s="5" t="str">
        <f t="shared" si="80"/>
        <v>Sep</v>
      </c>
      <c r="AJ439" s="5" t="str">
        <f t="shared" si="81"/>
        <v>Saturday</v>
      </c>
    </row>
    <row r="440" spans="1:36" x14ac:dyDescent="0.3">
      <c r="A440" s="5" t="s">
        <v>474</v>
      </c>
      <c r="B440" s="6">
        <v>45614</v>
      </c>
      <c r="C440" s="7">
        <v>0.43055555555555558</v>
      </c>
      <c r="D440" s="5" t="s">
        <v>1839</v>
      </c>
      <c r="E440" s="5" t="s">
        <v>2131</v>
      </c>
      <c r="F440" s="5" t="s">
        <v>1761</v>
      </c>
      <c r="G440" s="5" t="s">
        <v>2242</v>
      </c>
      <c r="H440" s="5" t="s">
        <v>2258</v>
      </c>
      <c r="I440" s="5" t="s">
        <v>2260</v>
      </c>
      <c r="J440" s="5" t="s">
        <v>2264</v>
      </c>
      <c r="K440" s="8">
        <v>1</v>
      </c>
      <c r="L440" s="9">
        <v>120</v>
      </c>
      <c r="M440" s="10">
        <v>0.1</v>
      </c>
      <c r="N440" s="9">
        <f t="shared" si="82"/>
        <v>120</v>
      </c>
      <c r="O440" s="9">
        <f t="shared" si="72"/>
        <v>108</v>
      </c>
      <c r="P440" s="5" t="s">
        <v>2268</v>
      </c>
      <c r="Q440" s="5" t="s">
        <v>2270</v>
      </c>
      <c r="R440" s="5" t="s">
        <v>2273</v>
      </c>
      <c r="S440" s="5" t="s">
        <v>2281</v>
      </c>
      <c r="T440" s="5" t="s">
        <v>2288</v>
      </c>
      <c r="U440" s="8">
        <v>2</v>
      </c>
      <c r="V440" s="8">
        <v>297</v>
      </c>
      <c r="W440" s="8">
        <v>49</v>
      </c>
      <c r="X440" s="9">
        <v>62.09</v>
      </c>
      <c r="Y440" s="9">
        <f t="shared" si="73"/>
        <v>45.91</v>
      </c>
      <c r="Z440" s="5" t="s">
        <v>1761</v>
      </c>
      <c r="AA440" s="5" t="s">
        <v>1761</v>
      </c>
      <c r="AB440" s="9">
        <f t="shared" si="74"/>
        <v>120</v>
      </c>
      <c r="AC440" s="9">
        <f t="shared" si="75"/>
        <v>12</v>
      </c>
      <c r="AD440" s="9">
        <f t="shared" si="76"/>
        <v>108</v>
      </c>
      <c r="AE440" s="9">
        <f t="shared" si="77"/>
        <v>62.09</v>
      </c>
      <c r="AF440" s="9">
        <f t="shared" si="83"/>
        <v>45.91</v>
      </c>
      <c r="AG440" s="8">
        <f t="shared" si="78"/>
        <v>2024</v>
      </c>
      <c r="AH440" s="8">
        <f t="shared" si="79"/>
        <v>11</v>
      </c>
      <c r="AI440" s="5" t="str">
        <f t="shared" si="80"/>
        <v>Nov</v>
      </c>
      <c r="AJ440" s="5" t="str">
        <f t="shared" si="81"/>
        <v>Monday</v>
      </c>
    </row>
    <row r="441" spans="1:36" x14ac:dyDescent="0.3">
      <c r="A441" s="5" t="s">
        <v>475</v>
      </c>
      <c r="B441" s="6">
        <v>45617</v>
      </c>
      <c r="C441" s="7">
        <v>0.49305555555555558</v>
      </c>
      <c r="D441" s="5" t="s">
        <v>1769</v>
      </c>
      <c r="E441" s="5" t="s">
        <v>2108</v>
      </c>
      <c r="F441" s="5" t="s">
        <v>2240</v>
      </c>
      <c r="G441" s="5" t="s">
        <v>2242</v>
      </c>
      <c r="H441" s="5" t="s">
        <v>2258</v>
      </c>
      <c r="I441" s="5" t="s">
        <v>2260</v>
      </c>
      <c r="J441" s="5" t="s">
        <v>2265</v>
      </c>
      <c r="K441" s="8">
        <v>2</v>
      </c>
      <c r="L441" s="9">
        <v>130</v>
      </c>
      <c r="M441" s="10">
        <v>0.05</v>
      </c>
      <c r="N441" s="9">
        <f t="shared" si="82"/>
        <v>260</v>
      </c>
      <c r="O441" s="9">
        <f t="shared" si="72"/>
        <v>247</v>
      </c>
      <c r="P441" s="5" t="s">
        <v>2269</v>
      </c>
      <c r="Q441" s="5" t="s">
        <v>2270</v>
      </c>
      <c r="R441" s="5" t="s">
        <v>2274</v>
      </c>
      <c r="S441" s="5" t="s">
        <v>2286</v>
      </c>
      <c r="T441" s="5" t="s">
        <v>2288</v>
      </c>
      <c r="U441" s="8">
        <v>2</v>
      </c>
      <c r="V441" s="8">
        <v>441</v>
      </c>
      <c r="W441" s="8">
        <v>20</v>
      </c>
      <c r="X441" s="9">
        <v>56.83</v>
      </c>
      <c r="Y441" s="9">
        <f t="shared" si="73"/>
        <v>133.34</v>
      </c>
      <c r="Z441" s="5" t="s">
        <v>2291</v>
      </c>
      <c r="AA441" s="5" t="s">
        <v>2296</v>
      </c>
      <c r="AB441" s="9">
        <f t="shared" si="74"/>
        <v>260</v>
      </c>
      <c r="AC441" s="9">
        <f t="shared" si="75"/>
        <v>13</v>
      </c>
      <c r="AD441" s="9">
        <f t="shared" si="76"/>
        <v>247</v>
      </c>
      <c r="AE441" s="9">
        <f t="shared" si="77"/>
        <v>113.66</v>
      </c>
      <c r="AF441" s="9">
        <f t="shared" si="83"/>
        <v>133.34</v>
      </c>
      <c r="AG441" s="8">
        <f t="shared" si="78"/>
        <v>2024</v>
      </c>
      <c r="AH441" s="8">
        <f t="shared" si="79"/>
        <v>11</v>
      </c>
      <c r="AI441" s="5" t="str">
        <f t="shared" si="80"/>
        <v>Nov</v>
      </c>
      <c r="AJ441" s="5" t="str">
        <f t="shared" si="81"/>
        <v>Thursday</v>
      </c>
    </row>
    <row r="442" spans="1:36" x14ac:dyDescent="0.3">
      <c r="A442" s="5" t="s">
        <v>476</v>
      </c>
      <c r="B442" s="6">
        <v>45603</v>
      </c>
      <c r="C442" s="7">
        <v>0.63541666666666663</v>
      </c>
      <c r="D442" s="5" t="s">
        <v>1821</v>
      </c>
      <c r="E442" s="5" t="s">
        <v>2163</v>
      </c>
      <c r="F442" s="5" t="s">
        <v>2240</v>
      </c>
      <c r="G442" s="5" t="s">
        <v>2249</v>
      </c>
      <c r="H442" s="5" t="s">
        <v>2257</v>
      </c>
      <c r="I442" s="5" t="s">
        <v>2263</v>
      </c>
      <c r="J442" s="5" t="s">
        <v>2265</v>
      </c>
      <c r="K442" s="8">
        <v>2</v>
      </c>
      <c r="L442" s="9">
        <v>165</v>
      </c>
      <c r="M442" s="10">
        <v>0</v>
      </c>
      <c r="N442" s="9">
        <f t="shared" si="82"/>
        <v>330</v>
      </c>
      <c r="O442" s="9">
        <f t="shared" si="72"/>
        <v>330</v>
      </c>
      <c r="P442" s="5" t="s">
        <v>2267</v>
      </c>
      <c r="Q442" s="5" t="s">
        <v>1761</v>
      </c>
      <c r="R442" s="5" t="s">
        <v>2277</v>
      </c>
      <c r="S442" s="5" t="s">
        <v>2282</v>
      </c>
      <c r="T442" s="5" t="s">
        <v>2289</v>
      </c>
      <c r="U442" s="8">
        <v>2</v>
      </c>
      <c r="V442" s="8">
        <v>222</v>
      </c>
      <c r="W442" s="8">
        <v>17</v>
      </c>
      <c r="X442" s="9">
        <v>72.91</v>
      </c>
      <c r="Y442" s="9">
        <f t="shared" si="73"/>
        <v>184.18</v>
      </c>
      <c r="Z442" s="5" t="s">
        <v>2292</v>
      </c>
      <c r="AA442" s="5" t="s">
        <v>2299</v>
      </c>
      <c r="AB442" s="9">
        <f t="shared" si="74"/>
        <v>330</v>
      </c>
      <c r="AC442" s="9">
        <f t="shared" si="75"/>
        <v>0</v>
      </c>
      <c r="AD442" s="9">
        <f t="shared" si="76"/>
        <v>330</v>
      </c>
      <c r="AE442" s="9">
        <f t="shared" si="77"/>
        <v>145.82</v>
      </c>
      <c r="AF442" s="9">
        <f t="shared" si="83"/>
        <v>184.18</v>
      </c>
      <c r="AG442" s="8">
        <f t="shared" si="78"/>
        <v>2024</v>
      </c>
      <c r="AH442" s="8">
        <f t="shared" si="79"/>
        <v>11</v>
      </c>
      <c r="AI442" s="5" t="str">
        <f t="shared" si="80"/>
        <v>Nov</v>
      </c>
      <c r="AJ442" s="5" t="str">
        <f t="shared" si="81"/>
        <v>Thursday</v>
      </c>
    </row>
    <row r="443" spans="1:36" x14ac:dyDescent="0.3">
      <c r="A443" s="5" t="s">
        <v>477</v>
      </c>
      <c r="B443" s="6">
        <v>45467</v>
      </c>
      <c r="C443" s="7">
        <v>0.54166666666666663</v>
      </c>
      <c r="D443" s="5" t="s">
        <v>1741</v>
      </c>
      <c r="E443" s="5" t="s">
        <v>1971</v>
      </c>
      <c r="F443" s="5" t="s">
        <v>2238</v>
      </c>
      <c r="G443" s="5" t="s">
        <v>2247</v>
      </c>
      <c r="H443" s="5" t="s">
        <v>2257</v>
      </c>
      <c r="I443" s="5" t="s">
        <v>2262</v>
      </c>
      <c r="J443" s="5" t="s">
        <v>2265</v>
      </c>
      <c r="K443" s="19">
        <v>5</v>
      </c>
      <c r="L443" s="9">
        <v>95</v>
      </c>
      <c r="M443" s="10">
        <v>0.15</v>
      </c>
      <c r="N443" s="9">
        <f t="shared" si="82"/>
        <v>475</v>
      </c>
      <c r="O443" s="9">
        <f t="shared" si="72"/>
        <v>403.75</v>
      </c>
      <c r="P443" s="5" t="s">
        <v>2267</v>
      </c>
      <c r="Q443" s="5" t="s">
        <v>2272</v>
      </c>
      <c r="R443" s="5" t="s">
        <v>2275</v>
      </c>
      <c r="S443" s="5" t="s">
        <v>2281</v>
      </c>
      <c r="T443" s="5" t="s">
        <v>2288</v>
      </c>
      <c r="U443" s="19">
        <v>3</v>
      </c>
      <c r="V443" s="8">
        <v>85</v>
      </c>
      <c r="W443" s="8">
        <v>47</v>
      </c>
      <c r="X443" s="9">
        <v>55.78</v>
      </c>
      <c r="Y443" s="9">
        <f t="shared" si="73"/>
        <v>124.85000000000002</v>
      </c>
      <c r="Z443" s="5" t="s">
        <v>2294</v>
      </c>
      <c r="AA443" s="5" t="s">
        <v>2296</v>
      </c>
      <c r="AB443" s="9">
        <f t="shared" si="74"/>
        <v>475</v>
      </c>
      <c r="AC443" s="9">
        <f t="shared" si="75"/>
        <v>71.25</v>
      </c>
      <c r="AD443" s="9">
        <f t="shared" si="76"/>
        <v>403.75</v>
      </c>
      <c r="AE443" s="9">
        <f t="shared" si="77"/>
        <v>278.89999999999998</v>
      </c>
      <c r="AF443" s="9">
        <f t="shared" si="83"/>
        <v>124.85000000000002</v>
      </c>
      <c r="AG443" s="8">
        <f t="shared" si="78"/>
        <v>2024</v>
      </c>
      <c r="AH443" s="8">
        <f t="shared" si="79"/>
        <v>6</v>
      </c>
      <c r="AI443" s="5" t="str">
        <f t="shared" si="80"/>
        <v>Jun</v>
      </c>
      <c r="AJ443" s="5" t="str">
        <f t="shared" si="81"/>
        <v>Monday</v>
      </c>
    </row>
    <row r="444" spans="1:36" x14ac:dyDescent="0.3">
      <c r="A444" s="5" t="s">
        <v>478</v>
      </c>
      <c r="B444" s="6">
        <v>45329</v>
      </c>
      <c r="C444" s="7">
        <v>0.4236111111111111</v>
      </c>
      <c r="D444" s="5" t="s">
        <v>1852</v>
      </c>
      <c r="E444" s="5" t="s">
        <v>2119</v>
      </c>
      <c r="F444" s="5" t="s">
        <v>2240</v>
      </c>
      <c r="G444" s="5" t="s">
        <v>2251</v>
      </c>
      <c r="H444" s="5" t="s">
        <v>2258</v>
      </c>
      <c r="I444" s="5" t="s">
        <v>2260</v>
      </c>
      <c r="J444" s="5" t="s">
        <v>2265</v>
      </c>
      <c r="K444" s="8">
        <v>1</v>
      </c>
      <c r="L444" s="9">
        <v>105</v>
      </c>
      <c r="M444" s="10">
        <v>0</v>
      </c>
      <c r="N444" s="9">
        <f t="shared" si="82"/>
        <v>105</v>
      </c>
      <c r="O444" s="9">
        <f t="shared" si="72"/>
        <v>105</v>
      </c>
      <c r="P444" s="5" t="s">
        <v>2269</v>
      </c>
      <c r="Q444" s="5" t="s">
        <v>1761</v>
      </c>
      <c r="R444" s="5" t="s">
        <v>2274</v>
      </c>
      <c r="S444" s="5" t="s">
        <v>2284</v>
      </c>
      <c r="T444" s="5" t="s">
        <v>2288</v>
      </c>
      <c r="U444" s="19">
        <v>3</v>
      </c>
      <c r="V444" s="8">
        <v>161</v>
      </c>
      <c r="W444" s="8">
        <v>11</v>
      </c>
      <c r="X444" s="9">
        <v>44.26</v>
      </c>
      <c r="Y444" s="9">
        <f t="shared" si="73"/>
        <v>60.74</v>
      </c>
      <c r="Z444" s="5" t="s">
        <v>2293</v>
      </c>
      <c r="AA444" s="5" t="s">
        <v>2299</v>
      </c>
      <c r="AB444" s="9">
        <f t="shared" si="74"/>
        <v>105</v>
      </c>
      <c r="AC444" s="9">
        <f t="shared" si="75"/>
        <v>0</v>
      </c>
      <c r="AD444" s="9">
        <f t="shared" si="76"/>
        <v>105</v>
      </c>
      <c r="AE444" s="9">
        <f t="shared" si="77"/>
        <v>44.26</v>
      </c>
      <c r="AF444" s="9">
        <f t="shared" si="83"/>
        <v>60.74</v>
      </c>
      <c r="AG444" s="8">
        <f t="shared" si="78"/>
        <v>2024</v>
      </c>
      <c r="AH444" s="8">
        <f t="shared" si="79"/>
        <v>2</v>
      </c>
      <c r="AI444" s="5" t="str">
        <f t="shared" si="80"/>
        <v>Feb</v>
      </c>
      <c r="AJ444" s="5" t="str">
        <f t="shared" si="81"/>
        <v>Wednesday</v>
      </c>
    </row>
    <row r="445" spans="1:36" x14ac:dyDescent="0.3">
      <c r="A445" s="5" t="s">
        <v>479</v>
      </c>
      <c r="B445" s="6">
        <v>45547</v>
      </c>
      <c r="C445" s="7">
        <v>0.88194444444444442</v>
      </c>
      <c r="D445" s="5" t="s">
        <v>1902</v>
      </c>
      <c r="E445" s="5" t="s">
        <v>1993</v>
      </c>
      <c r="F445" s="5" t="s">
        <v>2240</v>
      </c>
      <c r="G445" s="5" t="s">
        <v>2248</v>
      </c>
      <c r="H445" s="5" t="s">
        <v>2257</v>
      </c>
      <c r="I445" s="5" t="s">
        <v>2262</v>
      </c>
      <c r="J445" s="5" t="s">
        <v>1761</v>
      </c>
      <c r="K445" s="8">
        <v>1</v>
      </c>
      <c r="L445" s="9">
        <v>145</v>
      </c>
      <c r="M445" s="10">
        <v>0</v>
      </c>
      <c r="N445" s="9">
        <f t="shared" si="82"/>
        <v>145</v>
      </c>
      <c r="O445" s="9">
        <f t="shared" si="72"/>
        <v>145</v>
      </c>
      <c r="P445" s="5" t="s">
        <v>2268</v>
      </c>
      <c r="Q445" s="5" t="s">
        <v>2272</v>
      </c>
      <c r="R445" s="5" t="s">
        <v>2274</v>
      </c>
      <c r="S445" s="5" t="s">
        <v>2280</v>
      </c>
      <c r="T445" s="5" t="s">
        <v>2290</v>
      </c>
      <c r="U445" s="8">
        <v>2</v>
      </c>
      <c r="V445" s="8">
        <v>42</v>
      </c>
      <c r="W445" s="8">
        <v>39</v>
      </c>
      <c r="X445" s="9">
        <v>75.069999999999993</v>
      </c>
      <c r="Y445" s="9">
        <f t="shared" si="73"/>
        <v>69.930000000000007</v>
      </c>
      <c r="Z445" s="5" t="s">
        <v>2293</v>
      </c>
      <c r="AA445" s="5" t="s">
        <v>2296</v>
      </c>
      <c r="AB445" s="9">
        <f t="shared" si="74"/>
        <v>145</v>
      </c>
      <c r="AC445" s="9">
        <f t="shared" si="75"/>
        <v>0</v>
      </c>
      <c r="AD445" s="9">
        <f t="shared" si="76"/>
        <v>145</v>
      </c>
      <c r="AE445" s="9">
        <f t="shared" si="77"/>
        <v>75.069999999999993</v>
      </c>
      <c r="AF445" s="9">
        <f t="shared" si="83"/>
        <v>69.930000000000007</v>
      </c>
      <c r="AG445" s="8">
        <f t="shared" si="78"/>
        <v>2024</v>
      </c>
      <c r="AH445" s="8">
        <f t="shared" si="79"/>
        <v>9</v>
      </c>
      <c r="AI445" s="5" t="str">
        <f t="shared" si="80"/>
        <v>Sep</v>
      </c>
      <c r="AJ445" s="5" t="str">
        <f t="shared" si="81"/>
        <v>Thursday</v>
      </c>
    </row>
    <row r="446" spans="1:36" x14ac:dyDescent="0.3">
      <c r="A446" s="5" t="s">
        <v>480</v>
      </c>
      <c r="B446" s="6">
        <v>45346</v>
      </c>
      <c r="C446" s="7">
        <v>0.79861111111111116</v>
      </c>
      <c r="D446" s="5" t="s">
        <v>1853</v>
      </c>
      <c r="E446" s="5" t="s">
        <v>2167</v>
      </c>
      <c r="F446" s="5" t="s">
        <v>2239</v>
      </c>
      <c r="G446" s="5" t="s">
        <v>2246</v>
      </c>
      <c r="H446" s="5" t="s">
        <v>2259</v>
      </c>
      <c r="I446" s="5" t="s">
        <v>2262</v>
      </c>
      <c r="J446" s="5" t="s">
        <v>2266</v>
      </c>
      <c r="K446" s="8">
        <v>1</v>
      </c>
      <c r="L446" s="9">
        <v>95</v>
      </c>
      <c r="M446" s="10">
        <v>0.1</v>
      </c>
      <c r="N446" s="9">
        <f t="shared" si="82"/>
        <v>95</v>
      </c>
      <c r="O446" s="9">
        <f t="shared" si="72"/>
        <v>85.5</v>
      </c>
      <c r="P446" s="5" t="s">
        <v>2268</v>
      </c>
      <c r="Q446" s="5" t="s">
        <v>2272</v>
      </c>
      <c r="R446" s="5" t="s">
        <v>2277</v>
      </c>
      <c r="S446" s="5" t="s">
        <v>2280</v>
      </c>
      <c r="T446" s="5" t="s">
        <v>2288</v>
      </c>
      <c r="U446" s="8">
        <v>3</v>
      </c>
      <c r="V446" s="8">
        <v>325</v>
      </c>
      <c r="W446" s="8">
        <v>40</v>
      </c>
      <c r="X446" s="9">
        <v>47.55</v>
      </c>
      <c r="Y446" s="9">
        <f t="shared" si="73"/>
        <v>37.950000000000003</v>
      </c>
      <c r="Z446" s="5" t="s">
        <v>2292</v>
      </c>
      <c r="AA446" s="5" t="s">
        <v>2296</v>
      </c>
      <c r="AB446" s="9">
        <f t="shared" si="74"/>
        <v>95</v>
      </c>
      <c r="AC446" s="9">
        <f t="shared" si="75"/>
        <v>9.5</v>
      </c>
      <c r="AD446" s="9">
        <f t="shared" si="76"/>
        <v>85.5</v>
      </c>
      <c r="AE446" s="9">
        <f t="shared" si="77"/>
        <v>47.55</v>
      </c>
      <c r="AF446" s="9">
        <f t="shared" si="83"/>
        <v>37.950000000000003</v>
      </c>
      <c r="AG446" s="8">
        <f t="shared" si="78"/>
        <v>2024</v>
      </c>
      <c r="AH446" s="8">
        <f t="shared" si="79"/>
        <v>2</v>
      </c>
      <c r="AI446" s="5" t="str">
        <f t="shared" si="80"/>
        <v>Feb</v>
      </c>
      <c r="AJ446" s="5" t="str">
        <f t="shared" si="81"/>
        <v>Saturday</v>
      </c>
    </row>
    <row r="447" spans="1:36" x14ac:dyDescent="0.3">
      <c r="A447" s="5" t="s">
        <v>481</v>
      </c>
      <c r="B447" s="18">
        <v>45468</v>
      </c>
      <c r="C447" s="7">
        <v>0.66666666666666663</v>
      </c>
      <c r="D447" s="5" t="s">
        <v>1850</v>
      </c>
      <c r="E447" s="5" t="s">
        <v>1957</v>
      </c>
      <c r="F447" s="5" t="s">
        <v>2240</v>
      </c>
      <c r="G447" s="5" t="s">
        <v>2254</v>
      </c>
      <c r="H447" s="5" t="s">
        <v>2259</v>
      </c>
      <c r="I447" s="5" t="s">
        <v>2263</v>
      </c>
      <c r="J447" s="5" t="s">
        <v>2266</v>
      </c>
      <c r="K447" s="8">
        <v>2</v>
      </c>
      <c r="L447" s="9">
        <v>120</v>
      </c>
      <c r="M447" s="10">
        <v>0.15</v>
      </c>
      <c r="N447" s="9">
        <f t="shared" si="82"/>
        <v>240</v>
      </c>
      <c r="O447" s="9">
        <f t="shared" si="72"/>
        <v>204</v>
      </c>
      <c r="P447" s="5" t="s">
        <v>2269</v>
      </c>
      <c r="Q447" s="5" t="s">
        <v>1761</v>
      </c>
      <c r="R447" s="5" t="s">
        <v>2273</v>
      </c>
      <c r="S447" s="5" t="s">
        <v>2287</v>
      </c>
      <c r="T447" s="5" t="s">
        <v>2290</v>
      </c>
      <c r="U447" s="19">
        <v>3</v>
      </c>
      <c r="V447" s="8">
        <v>254</v>
      </c>
      <c r="W447" s="8">
        <v>29</v>
      </c>
      <c r="X447" s="9">
        <v>52.28</v>
      </c>
      <c r="Y447" s="9">
        <f t="shared" si="73"/>
        <v>99.44</v>
      </c>
      <c r="Z447" s="5" t="s">
        <v>1761</v>
      </c>
      <c r="AA447" s="5" t="s">
        <v>2296</v>
      </c>
      <c r="AB447" s="9">
        <f t="shared" si="74"/>
        <v>240</v>
      </c>
      <c r="AC447" s="9">
        <f t="shared" si="75"/>
        <v>36</v>
      </c>
      <c r="AD447" s="9">
        <f t="shared" si="76"/>
        <v>204</v>
      </c>
      <c r="AE447" s="9">
        <f t="shared" si="77"/>
        <v>104.56</v>
      </c>
      <c r="AF447" s="9">
        <f t="shared" si="83"/>
        <v>99.44</v>
      </c>
      <c r="AG447" s="8">
        <f t="shared" si="78"/>
        <v>2024</v>
      </c>
      <c r="AH447" s="8">
        <f t="shared" si="79"/>
        <v>6</v>
      </c>
      <c r="AI447" s="5" t="str">
        <f t="shared" si="80"/>
        <v>Jun</v>
      </c>
      <c r="AJ447" s="5" t="str">
        <f t="shared" si="81"/>
        <v>Tuesday</v>
      </c>
    </row>
    <row r="448" spans="1:36" x14ac:dyDescent="0.3">
      <c r="A448" s="5" t="s">
        <v>482</v>
      </c>
      <c r="B448" s="6">
        <v>45371</v>
      </c>
      <c r="C448" s="7">
        <v>0.48958333333333331</v>
      </c>
      <c r="D448" s="5" t="s">
        <v>1899</v>
      </c>
      <c r="E448" s="5" t="s">
        <v>2168</v>
      </c>
      <c r="F448" s="5" t="s">
        <v>2240</v>
      </c>
      <c r="G448" s="5" t="s">
        <v>2241</v>
      </c>
      <c r="H448" s="5" t="s">
        <v>2257</v>
      </c>
      <c r="I448" s="5" t="s">
        <v>2262</v>
      </c>
      <c r="J448" s="5" t="s">
        <v>1761</v>
      </c>
      <c r="K448" s="8">
        <v>1</v>
      </c>
      <c r="L448" s="9">
        <v>130</v>
      </c>
      <c r="M448" s="10">
        <v>0.1</v>
      </c>
      <c r="N448" s="9">
        <f t="shared" si="82"/>
        <v>130</v>
      </c>
      <c r="O448" s="9">
        <f t="shared" si="72"/>
        <v>117</v>
      </c>
      <c r="P448" s="5" t="s">
        <v>1761</v>
      </c>
      <c r="Q448" s="5" t="s">
        <v>2272</v>
      </c>
      <c r="R448" s="5" t="s">
        <v>2276</v>
      </c>
      <c r="S448" s="5" t="s">
        <v>2286</v>
      </c>
      <c r="T448" s="5" t="s">
        <v>2288</v>
      </c>
      <c r="U448" s="8">
        <v>5</v>
      </c>
      <c r="V448" s="8">
        <v>247</v>
      </c>
      <c r="W448" s="19">
        <v>35</v>
      </c>
      <c r="X448" s="9">
        <v>66.44</v>
      </c>
      <c r="Y448" s="9">
        <f t="shared" si="73"/>
        <v>50.56</v>
      </c>
      <c r="Z448" s="5" t="s">
        <v>1761</v>
      </c>
      <c r="AA448" s="5" t="s">
        <v>2298</v>
      </c>
      <c r="AB448" s="9">
        <f t="shared" si="74"/>
        <v>130</v>
      </c>
      <c r="AC448" s="9">
        <f t="shared" si="75"/>
        <v>13</v>
      </c>
      <c r="AD448" s="9">
        <f t="shared" si="76"/>
        <v>117</v>
      </c>
      <c r="AE448" s="9">
        <f t="shared" si="77"/>
        <v>66.44</v>
      </c>
      <c r="AF448" s="9">
        <f t="shared" si="83"/>
        <v>50.56</v>
      </c>
      <c r="AG448" s="8">
        <f t="shared" si="78"/>
        <v>2024</v>
      </c>
      <c r="AH448" s="8">
        <f t="shared" si="79"/>
        <v>3</v>
      </c>
      <c r="AI448" s="5" t="str">
        <f t="shared" si="80"/>
        <v>Mar</v>
      </c>
      <c r="AJ448" s="5" t="str">
        <f t="shared" si="81"/>
        <v>Wednesday</v>
      </c>
    </row>
    <row r="449" spans="1:36" x14ac:dyDescent="0.3">
      <c r="A449" s="5" t="s">
        <v>483</v>
      </c>
      <c r="B449" s="6">
        <v>45347</v>
      </c>
      <c r="C449" s="7">
        <v>0.77083333333333337</v>
      </c>
      <c r="D449" s="5" t="s">
        <v>1812</v>
      </c>
      <c r="E449" s="5" t="s">
        <v>2138</v>
      </c>
      <c r="F449" s="5" t="s">
        <v>2239</v>
      </c>
      <c r="G449" s="5" t="s">
        <v>2249</v>
      </c>
      <c r="H449" s="5" t="s">
        <v>2257</v>
      </c>
      <c r="I449" s="5" t="s">
        <v>2263</v>
      </c>
      <c r="J449" s="5" t="s">
        <v>2264</v>
      </c>
      <c r="K449" s="8">
        <v>2</v>
      </c>
      <c r="L449" s="9">
        <v>160</v>
      </c>
      <c r="M449" s="10">
        <v>0</v>
      </c>
      <c r="N449" s="9">
        <f t="shared" si="82"/>
        <v>320</v>
      </c>
      <c r="O449" s="9">
        <f t="shared" si="72"/>
        <v>320</v>
      </c>
      <c r="P449" s="5" t="s">
        <v>2267</v>
      </c>
      <c r="Q449" s="5" t="s">
        <v>2270</v>
      </c>
      <c r="R449" s="5" t="s">
        <v>2273</v>
      </c>
      <c r="S449" s="5" t="s">
        <v>2283</v>
      </c>
      <c r="T449" s="5" t="s">
        <v>2289</v>
      </c>
      <c r="U449" s="8">
        <v>5</v>
      </c>
      <c r="V449" s="8">
        <v>258</v>
      </c>
      <c r="W449" s="8">
        <v>12</v>
      </c>
      <c r="X449" s="9">
        <v>84.86</v>
      </c>
      <c r="Y449" s="9">
        <f t="shared" si="73"/>
        <v>150.28</v>
      </c>
      <c r="Z449" s="5" t="s">
        <v>2294</v>
      </c>
      <c r="AA449" s="5" t="s">
        <v>2298</v>
      </c>
      <c r="AB449" s="9">
        <f t="shared" si="74"/>
        <v>320</v>
      </c>
      <c r="AC449" s="9">
        <f t="shared" si="75"/>
        <v>0</v>
      </c>
      <c r="AD449" s="9">
        <f t="shared" si="76"/>
        <v>320</v>
      </c>
      <c r="AE449" s="9">
        <f t="shared" si="77"/>
        <v>169.72</v>
      </c>
      <c r="AF449" s="9">
        <f t="shared" si="83"/>
        <v>150.28</v>
      </c>
      <c r="AG449" s="8">
        <f t="shared" si="78"/>
        <v>2024</v>
      </c>
      <c r="AH449" s="8">
        <f t="shared" si="79"/>
        <v>2</v>
      </c>
      <c r="AI449" s="5" t="str">
        <f t="shared" si="80"/>
        <v>Feb</v>
      </c>
      <c r="AJ449" s="5" t="str">
        <f t="shared" si="81"/>
        <v>Sunday</v>
      </c>
    </row>
    <row r="450" spans="1:36" x14ac:dyDescent="0.3">
      <c r="A450" s="5" t="s">
        <v>484</v>
      </c>
      <c r="B450" s="6">
        <v>45318</v>
      </c>
      <c r="C450" s="7">
        <v>0.35416666666666669</v>
      </c>
      <c r="D450" s="5" t="s">
        <v>1765</v>
      </c>
      <c r="E450" s="5" t="s">
        <v>2169</v>
      </c>
      <c r="F450" s="5" t="s">
        <v>2240</v>
      </c>
      <c r="G450" s="5" t="s">
        <v>2250</v>
      </c>
      <c r="H450" s="5" t="s">
        <v>2259</v>
      </c>
      <c r="I450" s="5" t="s">
        <v>2262</v>
      </c>
      <c r="J450" s="5" t="s">
        <v>2264</v>
      </c>
      <c r="K450" s="8">
        <v>1</v>
      </c>
      <c r="L450" s="9">
        <v>85</v>
      </c>
      <c r="M450" s="10">
        <v>0.05</v>
      </c>
      <c r="N450" s="9">
        <f t="shared" si="82"/>
        <v>85</v>
      </c>
      <c r="O450" s="9">
        <f t="shared" ref="O450:O513" si="84">IF(N450="","",N450*(1-IF(M450="",0,M450)))</f>
        <v>80.75</v>
      </c>
      <c r="P450" s="5" t="s">
        <v>2267</v>
      </c>
      <c r="Q450" s="5" t="s">
        <v>2272</v>
      </c>
      <c r="R450" s="5" t="s">
        <v>2273</v>
      </c>
      <c r="S450" s="5" t="s">
        <v>2282</v>
      </c>
      <c r="T450" s="5" t="s">
        <v>2289</v>
      </c>
      <c r="U450" s="8">
        <v>2</v>
      </c>
      <c r="V450" s="8">
        <v>412</v>
      </c>
      <c r="W450" s="8">
        <v>13</v>
      </c>
      <c r="X450" s="9">
        <v>38.549999999999997</v>
      </c>
      <c r="Y450" s="9">
        <f t="shared" ref="Y450:Y513" si="85">IF(OR(O450="",K450="",X450=""),"",O450-K450*X450)</f>
        <v>42.2</v>
      </c>
      <c r="Z450" s="5" t="s">
        <v>2293</v>
      </c>
      <c r="AA450" s="5" t="s">
        <v>2296</v>
      </c>
      <c r="AB450" s="9">
        <f t="shared" ref="AB450:AB513" si="86">N450</f>
        <v>85</v>
      </c>
      <c r="AC450" s="9">
        <f t="shared" ref="AC450:AC513" si="87">IF(N450="","",N450*IF(M450="",0,M450))</f>
        <v>4.25</v>
      </c>
      <c r="AD450" s="9">
        <f t="shared" ref="AD450:AD513" si="88">O450</f>
        <v>80.75</v>
      </c>
      <c r="AE450" s="9">
        <f t="shared" ref="AE450:AE513" si="89">IF(OR(K450="",X450=""),"",K450*X450)</f>
        <v>38.549999999999997</v>
      </c>
      <c r="AF450" s="9">
        <f t="shared" si="83"/>
        <v>42.2</v>
      </c>
      <c r="AG450" s="8">
        <f t="shared" ref="AG450:AG513" si="90">IF(B450="","",YEAR(B450))</f>
        <v>2024</v>
      </c>
      <c r="AH450" s="8">
        <f t="shared" ref="AH450:AH513" si="91">IF(B450="","",MONTH(B450))</f>
        <v>1</v>
      </c>
      <c r="AI450" s="5" t="str">
        <f t="shared" ref="AI450:AI513" si="92">IF(B450="","",TEXT(B450,"mmm"))</f>
        <v>Jan</v>
      </c>
      <c r="AJ450" s="5" t="str">
        <f t="shared" ref="AJ450:AJ513" si="93">IF(B450="","",TEXT(B450,"dddd"))</f>
        <v>Saturday</v>
      </c>
    </row>
    <row r="451" spans="1:36" x14ac:dyDescent="0.3">
      <c r="A451" s="5" t="s">
        <v>485</v>
      </c>
      <c r="B451" s="6">
        <v>45524</v>
      </c>
      <c r="C451" s="7">
        <v>0.70138888888888884</v>
      </c>
      <c r="D451" s="5" t="s">
        <v>1877</v>
      </c>
      <c r="E451" s="5" t="s">
        <v>2137</v>
      </c>
      <c r="F451" s="5" t="s">
        <v>2238</v>
      </c>
      <c r="G451" s="5" t="s">
        <v>2249</v>
      </c>
      <c r="H451" s="5" t="s">
        <v>2257</v>
      </c>
      <c r="I451" s="5" t="s">
        <v>2263</v>
      </c>
      <c r="J451" s="5" t="s">
        <v>2266</v>
      </c>
      <c r="K451" s="8">
        <v>5</v>
      </c>
      <c r="L451" s="9">
        <v>165</v>
      </c>
      <c r="M451" s="10">
        <v>0.1</v>
      </c>
      <c r="N451" s="9">
        <f t="shared" ref="N451:N514" si="94">IFERROR(K451*L451,"")</f>
        <v>825</v>
      </c>
      <c r="O451" s="9">
        <f t="shared" si="84"/>
        <v>742.5</v>
      </c>
      <c r="P451" s="5" t="s">
        <v>2267</v>
      </c>
      <c r="Q451" s="5" t="s">
        <v>2272</v>
      </c>
      <c r="R451" s="5" t="s">
        <v>2276</v>
      </c>
      <c r="S451" s="5" t="s">
        <v>2284</v>
      </c>
      <c r="T451" s="5" t="s">
        <v>2289</v>
      </c>
      <c r="U451" s="8">
        <v>5</v>
      </c>
      <c r="V451" s="8">
        <v>430</v>
      </c>
      <c r="W451" s="19">
        <v>35</v>
      </c>
      <c r="X451" s="9">
        <v>79.959999999999994</v>
      </c>
      <c r="Y451" s="9">
        <f t="shared" si="85"/>
        <v>342.70000000000005</v>
      </c>
      <c r="Z451" s="5" t="s">
        <v>2294</v>
      </c>
      <c r="AA451" s="5" t="s">
        <v>2296</v>
      </c>
      <c r="AB451" s="9">
        <f t="shared" si="86"/>
        <v>825</v>
      </c>
      <c r="AC451" s="9">
        <f t="shared" si="87"/>
        <v>82.5</v>
      </c>
      <c r="AD451" s="9">
        <f t="shared" si="88"/>
        <v>742.5</v>
      </c>
      <c r="AE451" s="9">
        <f t="shared" si="89"/>
        <v>399.79999999999995</v>
      </c>
      <c r="AF451" s="9">
        <f t="shared" ref="AF451:AF514" si="95">Y451</f>
        <v>342.70000000000005</v>
      </c>
      <c r="AG451" s="8">
        <f t="shared" si="90"/>
        <v>2024</v>
      </c>
      <c r="AH451" s="8">
        <f t="shared" si="91"/>
        <v>8</v>
      </c>
      <c r="AI451" s="5" t="str">
        <f t="shared" si="92"/>
        <v>Aug</v>
      </c>
      <c r="AJ451" s="5" t="str">
        <f t="shared" si="93"/>
        <v>Tuesday</v>
      </c>
    </row>
    <row r="452" spans="1:36" x14ac:dyDescent="0.3">
      <c r="A452" s="5" t="s">
        <v>486</v>
      </c>
      <c r="B452" s="6">
        <v>45360</v>
      </c>
      <c r="C452" s="7">
        <v>0.59722222222222221</v>
      </c>
      <c r="D452" s="5" t="s">
        <v>1919</v>
      </c>
      <c r="E452" s="5" t="s">
        <v>2170</v>
      </c>
      <c r="F452" s="5" t="s">
        <v>2240</v>
      </c>
      <c r="G452" s="5" t="s">
        <v>2249</v>
      </c>
      <c r="H452" s="5" t="s">
        <v>2257</v>
      </c>
      <c r="I452" s="5" t="s">
        <v>2263</v>
      </c>
      <c r="J452" s="5" t="s">
        <v>2266</v>
      </c>
      <c r="K452" s="8">
        <v>3</v>
      </c>
      <c r="L452" s="9">
        <v>160</v>
      </c>
      <c r="M452" s="10">
        <v>0.1</v>
      </c>
      <c r="N452" s="9">
        <f t="shared" si="94"/>
        <v>480</v>
      </c>
      <c r="O452" s="9">
        <f t="shared" si="84"/>
        <v>432</v>
      </c>
      <c r="P452" s="5" t="s">
        <v>2269</v>
      </c>
      <c r="Q452" s="5" t="s">
        <v>2272</v>
      </c>
      <c r="R452" s="5" t="s">
        <v>2274</v>
      </c>
      <c r="S452" s="5" t="s">
        <v>2284</v>
      </c>
      <c r="T452" s="5" t="s">
        <v>2289</v>
      </c>
      <c r="U452" s="8">
        <v>1</v>
      </c>
      <c r="V452" s="8">
        <v>168</v>
      </c>
      <c r="W452" s="19">
        <v>35</v>
      </c>
      <c r="X452" s="9">
        <v>94.31</v>
      </c>
      <c r="Y452" s="9">
        <f t="shared" si="85"/>
        <v>149.07</v>
      </c>
      <c r="Z452" s="5" t="s">
        <v>1761</v>
      </c>
      <c r="AA452" s="5" t="s">
        <v>2296</v>
      </c>
      <c r="AB452" s="9">
        <f t="shared" si="86"/>
        <v>480</v>
      </c>
      <c r="AC452" s="9">
        <f t="shared" si="87"/>
        <v>48</v>
      </c>
      <c r="AD452" s="9">
        <f t="shared" si="88"/>
        <v>432</v>
      </c>
      <c r="AE452" s="9">
        <f t="shared" si="89"/>
        <v>282.93</v>
      </c>
      <c r="AF452" s="9">
        <f t="shared" si="95"/>
        <v>149.07</v>
      </c>
      <c r="AG452" s="8">
        <f t="shared" si="90"/>
        <v>2024</v>
      </c>
      <c r="AH452" s="8">
        <f t="shared" si="91"/>
        <v>3</v>
      </c>
      <c r="AI452" s="5" t="str">
        <f t="shared" si="92"/>
        <v>Mar</v>
      </c>
      <c r="AJ452" s="5" t="str">
        <f t="shared" si="93"/>
        <v>Saturday</v>
      </c>
    </row>
    <row r="453" spans="1:36" x14ac:dyDescent="0.3">
      <c r="A453" s="5" t="s">
        <v>487</v>
      </c>
      <c r="B453" s="6">
        <v>45315</v>
      </c>
      <c r="C453" s="7">
        <v>0.58333333333333337</v>
      </c>
      <c r="D453" s="5" t="s">
        <v>1865</v>
      </c>
      <c r="E453" s="5" t="s">
        <v>2171</v>
      </c>
      <c r="F453" s="5" t="s">
        <v>1761</v>
      </c>
      <c r="G453" s="5" t="s">
        <v>2256</v>
      </c>
      <c r="H453" s="5" t="s">
        <v>2261</v>
      </c>
      <c r="I453" s="5" t="s">
        <v>2260</v>
      </c>
      <c r="J453" s="5" t="s">
        <v>1761</v>
      </c>
      <c r="K453" s="8">
        <v>1</v>
      </c>
      <c r="L453" s="9">
        <v>195</v>
      </c>
      <c r="M453" s="10">
        <v>0</v>
      </c>
      <c r="N453" s="9">
        <f t="shared" si="94"/>
        <v>195</v>
      </c>
      <c r="O453" s="9">
        <f t="shared" si="84"/>
        <v>195</v>
      </c>
      <c r="P453" s="5" t="s">
        <v>2267</v>
      </c>
      <c r="Q453" s="5" t="s">
        <v>2272</v>
      </c>
      <c r="R453" s="5" t="s">
        <v>2278</v>
      </c>
      <c r="S453" s="5" t="s">
        <v>2286</v>
      </c>
      <c r="T453" s="5" t="s">
        <v>2289</v>
      </c>
      <c r="U453" s="8">
        <v>4</v>
      </c>
      <c r="V453" s="8">
        <v>132</v>
      </c>
      <c r="W453" s="8">
        <v>28</v>
      </c>
      <c r="X453" s="9">
        <v>85.99</v>
      </c>
      <c r="Y453" s="9">
        <f t="shared" si="85"/>
        <v>109.01</v>
      </c>
      <c r="Z453" s="5" t="s">
        <v>2293</v>
      </c>
      <c r="AA453" s="5" t="s">
        <v>2296</v>
      </c>
      <c r="AB453" s="9">
        <f t="shared" si="86"/>
        <v>195</v>
      </c>
      <c r="AC453" s="9">
        <f t="shared" si="87"/>
        <v>0</v>
      </c>
      <c r="AD453" s="9">
        <f t="shared" si="88"/>
        <v>195</v>
      </c>
      <c r="AE453" s="9">
        <f t="shared" si="89"/>
        <v>85.99</v>
      </c>
      <c r="AF453" s="9">
        <f t="shared" si="95"/>
        <v>109.01</v>
      </c>
      <c r="AG453" s="8">
        <f t="shared" si="90"/>
        <v>2024</v>
      </c>
      <c r="AH453" s="8">
        <f t="shared" si="91"/>
        <v>1</v>
      </c>
      <c r="AI453" s="5" t="str">
        <f t="shared" si="92"/>
        <v>Jan</v>
      </c>
      <c r="AJ453" s="5" t="str">
        <f t="shared" si="93"/>
        <v>Wednesday</v>
      </c>
    </row>
    <row r="454" spans="1:36" x14ac:dyDescent="0.3">
      <c r="A454" s="5" t="s">
        <v>488</v>
      </c>
      <c r="B454" s="18">
        <v>45468</v>
      </c>
      <c r="C454" s="7">
        <v>0.59375</v>
      </c>
      <c r="D454" s="5" t="s">
        <v>1912</v>
      </c>
      <c r="E454" s="5" t="s">
        <v>2074</v>
      </c>
      <c r="F454" s="5" t="s">
        <v>1761</v>
      </c>
      <c r="G454" s="5" t="s">
        <v>2252</v>
      </c>
      <c r="H454" s="5" t="s">
        <v>2257</v>
      </c>
      <c r="I454" s="5" t="s">
        <v>2262</v>
      </c>
      <c r="J454" s="5" t="s">
        <v>2265</v>
      </c>
      <c r="K454" s="8">
        <v>1</v>
      </c>
      <c r="L454" s="9">
        <v>90</v>
      </c>
      <c r="M454" s="10">
        <v>0</v>
      </c>
      <c r="N454" s="9">
        <f t="shared" si="94"/>
        <v>90</v>
      </c>
      <c r="O454" s="9">
        <f t="shared" si="84"/>
        <v>90</v>
      </c>
      <c r="P454" s="5" t="s">
        <v>2267</v>
      </c>
      <c r="Q454" s="5" t="s">
        <v>1761</v>
      </c>
      <c r="R454" s="5" t="s">
        <v>2276</v>
      </c>
      <c r="S454" s="5" t="s">
        <v>2282</v>
      </c>
      <c r="T454" s="5" t="s">
        <v>2288</v>
      </c>
      <c r="U454" s="8">
        <v>2</v>
      </c>
      <c r="V454" s="8">
        <v>233</v>
      </c>
      <c r="W454" s="8">
        <v>43</v>
      </c>
      <c r="X454" s="9">
        <v>44.06</v>
      </c>
      <c r="Y454" s="9">
        <f t="shared" si="85"/>
        <v>45.94</v>
      </c>
      <c r="Z454" s="5" t="s">
        <v>2292</v>
      </c>
      <c r="AA454" s="5" t="s">
        <v>2296</v>
      </c>
      <c r="AB454" s="9">
        <f t="shared" si="86"/>
        <v>90</v>
      </c>
      <c r="AC454" s="9">
        <f t="shared" si="87"/>
        <v>0</v>
      </c>
      <c r="AD454" s="9">
        <f t="shared" si="88"/>
        <v>90</v>
      </c>
      <c r="AE454" s="9">
        <f t="shared" si="89"/>
        <v>44.06</v>
      </c>
      <c r="AF454" s="9">
        <f t="shared" si="95"/>
        <v>45.94</v>
      </c>
      <c r="AG454" s="8">
        <f t="shared" si="90"/>
        <v>2024</v>
      </c>
      <c r="AH454" s="8">
        <f t="shared" si="91"/>
        <v>6</v>
      </c>
      <c r="AI454" s="5" t="str">
        <f t="shared" si="92"/>
        <v>Jun</v>
      </c>
      <c r="AJ454" s="5" t="str">
        <f t="shared" si="93"/>
        <v>Tuesday</v>
      </c>
    </row>
    <row r="455" spans="1:36" x14ac:dyDescent="0.3">
      <c r="A455" s="5" t="s">
        <v>489</v>
      </c>
      <c r="B455" s="6">
        <v>45560</v>
      </c>
      <c r="C455" s="7">
        <v>0.59722222222222221</v>
      </c>
      <c r="D455" s="5" t="s">
        <v>1851</v>
      </c>
      <c r="E455" s="5" t="s">
        <v>2172</v>
      </c>
      <c r="F455" s="5" t="s">
        <v>2238</v>
      </c>
      <c r="G455" s="5" t="s">
        <v>2247</v>
      </c>
      <c r="H455" s="5" t="s">
        <v>2257</v>
      </c>
      <c r="I455" s="5" t="s">
        <v>2262</v>
      </c>
      <c r="J455" s="5" t="s">
        <v>2266</v>
      </c>
      <c r="K455" s="8">
        <v>1</v>
      </c>
      <c r="L455" s="9">
        <v>100</v>
      </c>
      <c r="M455" s="10">
        <v>0</v>
      </c>
      <c r="N455" s="9">
        <f t="shared" si="94"/>
        <v>100</v>
      </c>
      <c r="O455" s="9">
        <f t="shared" si="84"/>
        <v>100</v>
      </c>
      <c r="P455" s="5" t="s">
        <v>2267</v>
      </c>
      <c r="Q455" s="5" t="s">
        <v>2272</v>
      </c>
      <c r="R455" s="5" t="s">
        <v>2276</v>
      </c>
      <c r="S455" s="5" t="s">
        <v>2287</v>
      </c>
      <c r="T455" s="5" t="s">
        <v>2290</v>
      </c>
      <c r="U455" s="8">
        <v>2</v>
      </c>
      <c r="V455" s="8">
        <v>497</v>
      </c>
      <c r="W455" s="8">
        <v>60</v>
      </c>
      <c r="X455" s="9">
        <v>38.090000000000003</v>
      </c>
      <c r="Y455" s="9">
        <f t="shared" si="85"/>
        <v>61.91</v>
      </c>
      <c r="Z455" s="5" t="s">
        <v>2294</v>
      </c>
      <c r="AA455" s="5" t="s">
        <v>2298</v>
      </c>
      <c r="AB455" s="9">
        <f t="shared" si="86"/>
        <v>100</v>
      </c>
      <c r="AC455" s="9">
        <f t="shared" si="87"/>
        <v>0</v>
      </c>
      <c r="AD455" s="9">
        <f t="shared" si="88"/>
        <v>100</v>
      </c>
      <c r="AE455" s="9">
        <f t="shared" si="89"/>
        <v>38.090000000000003</v>
      </c>
      <c r="AF455" s="9">
        <f t="shared" si="95"/>
        <v>61.91</v>
      </c>
      <c r="AG455" s="8">
        <f t="shared" si="90"/>
        <v>2024</v>
      </c>
      <c r="AH455" s="8">
        <f t="shared" si="91"/>
        <v>9</v>
      </c>
      <c r="AI455" s="5" t="str">
        <f t="shared" si="92"/>
        <v>Sep</v>
      </c>
      <c r="AJ455" s="5" t="str">
        <f t="shared" si="93"/>
        <v>Wednesday</v>
      </c>
    </row>
    <row r="456" spans="1:36" x14ac:dyDescent="0.3">
      <c r="A456" s="5" t="s">
        <v>490</v>
      </c>
      <c r="B456" s="6">
        <v>45359</v>
      </c>
      <c r="C456" s="7">
        <v>0.82291666666666663</v>
      </c>
      <c r="D456" s="5" t="s">
        <v>1795</v>
      </c>
      <c r="E456" s="5" t="s">
        <v>2092</v>
      </c>
      <c r="F456" s="5" t="s">
        <v>1761</v>
      </c>
      <c r="G456" s="5" t="s">
        <v>2250</v>
      </c>
      <c r="H456" s="5" t="s">
        <v>2259</v>
      </c>
      <c r="I456" s="5" t="s">
        <v>2262</v>
      </c>
      <c r="J456" s="5" t="s">
        <v>2266</v>
      </c>
      <c r="K456" s="8">
        <v>1</v>
      </c>
      <c r="L456" s="9">
        <v>85</v>
      </c>
      <c r="M456" s="10">
        <v>0.05</v>
      </c>
      <c r="N456" s="9">
        <f t="shared" si="94"/>
        <v>85</v>
      </c>
      <c r="O456" s="9">
        <f t="shared" si="84"/>
        <v>80.75</v>
      </c>
      <c r="P456" s="5" t="s">
        <v>2268</v>
      </c>
      <c r="Q456" s="5" t="s">
        <v>2272</v>
      </c>
      <c r="R456" s="5" t="s">
        <v>2273</v>
      </c>
      <c r="S456" s="5" t="s">
        <v>2282</v>
      </c>
      <c r="T456" s="5" t="s">
        <v>2288</v>
      </c>
      <c r="U456" s="8">
        <v>5</v>
      </c>
      <c r="V456" s="8">
        <v>147</v>
      </c>
      <c r="W456" s="19">
        <v>35</v>
      </c>
      <c r="X456" s="9">
        <v>39.049999999999997</v>
      </c>
      <c r="Y456" s="9">
        <f t="shared" si="85"/>
        <v>41.7</v>
      </c>
      <c r="Z456" s="5" t="s">
        <v>1761</v>
      </c>
      <c r="AA456" s="5" t="s">
        <v>2298</v>
      </c>
      <c r="AB456" s="9">
        <f t="shared" si="86"/>
        <v>85</v>
      </c>
      <c r="AC456" s="9">
        <f t="shared" si="87"/>
        <v>4.25</v>
      </c>
      <c r="AD456" s="9">
        <f t="shared" si="88"/>
        <v>80.75</v>
      </c>
      <c r="AE456" s="9">
        <f t="shared" si="89"/>
        <v>39.049999999999997</v>
      </c>
      <c r="AF456" s="9">
        <f t="shared" si="95"/>
        <v>41.7</v>
      </c>
      <c r="AG456" s="8">
        <f t="shared" si="90"/>
        <v>2024</v>
      </c>
      <c r="AH456" s="8">
        <f t="shared" si="91"/>
        <v>3</v>
      </c>
      <c r="AI456" s="5" t="str">
        <f t="shared" si="92"/>
        <v>Mar</v>
      </c>
      <c r="AJ456" s="5" t="str">
        <f t="shared" si="93"/>
        <v>Friday</v>
      </c>
    </row>
    <row r="457" spans="1:36" x14ac:dyDescent="0.3">
      <c r="A457" s="5" t="s">
        <v>491</v>
      </c>
      <c r="B457" s="6">
        <v>45345</v>
      </c>
      <c r="C457" s="7">
        <v>0.5</v>
      </c>
      <c r="D457" s="5" t="s">
        <v>1777</v>
      </c>
      <c r="E457" s="5" t="s">
        <v>2151</v>
      </c>
      <c r="F457" s="5" t="s">
        <v>2239</v>
      </c>
      <c r="G457" s="5" t="s">
        <v>2253</v>
      </c>
      <c r="H457" s="5" t="s">
        <v>2258</v>
      </c>
      <c r="I457" s="5" t="s">
        <v>2260</v>
      </c>
      <c r="J457" s="5" t="s">
        <v>2265</v>
      </c>
      <c r="K457" s="8">
        <v>1</v>
      </c>
      <c r="L457" s="9">
        <v>90</v>
      </c>
      <c r="M457" s="10">
        <v>0.05</v>
      </c>
      <c r="N457" s="9">
        <f t="shared" si="94"/>
        <v>90</v>
      </c>
      <c r="O457" s="9">
        <f t="shared" si="84"/>
        <v>85.5</v>
      </c>
      <c r="P457" s="5" t="s">
        <v>2267</v>
      </c>
      <c r="Q457" s="5" t="s">
        <v>2272</v>
      </c>
      <c r="R457" s="5" t="s">
        <v>2276</v>
      </c>
      <c r="S457" s="5" t="s">
        <v>2286</v>
      </c>
      <c r="T457" s="5" t="s">
        <v>2288</v>
      </c>
      <c r="U457" s="8">
        <v>5</v>
      </c>
      <c r="V457" s="8">
        <v>494</v>
      </c>
      <c r="W457" s="8">
        <v>44</v>
      </c>
      <c r="X457" s="9">
        <v>49.36</v>
      </c>
      <c r="Y457" s="9">
        <f t="shared" si="85"/>
        <v>36.14</v>
      </c>
      <c r="Z457" s="5" t="s">
        <v>1761</v>
      </c>
      <c r="AA457" s="5" t="s">
        <v>1761</v>
      </c>
      <c r="AB457" s="9">
        <f t="shared" si="86"/>
        <v>90</v>
      </c>
      <c r="AC457" s="9">
        <f t="shared" si="87"/>
        <v>4.5</v>
      </c>
      <c r="AD457" s="9">
        <f t="shared" si="88"/>
        <v>85.5</v>
      </c>
      <c r="AE457" s="9">
        <f t="shared" si="89"/>
        <v>49.36</v>
      </c>
      <c r="AF457" s="9">
        <f t="shared" si="95"/>
        <v>36.14</v>
      </c>
      <c r="AG457" s="8">
        <f t="shared" si="90"/>
        <v>2024</v>
      </c>
      <c r="AH457" s="8">
        <f t="shared" si="91"/>
        <v>2</v>
      </c>
      <c r="AI457" s="5" t="str">
        <f t="shared" si="92"/>
        <v>Feb</v>
      </c>
      <c r="AJ457" s="5" t="str">
        <f t="shared" si="93"/>
        <v>Friday</v>
      </c>
    </row>
    <row r="458" spans="1:36" x14ac:dyDescent="0.3">
      <c r="A458" s="5" t="s">
        <v>492</v>
      </c>
      <c r="B458" s="6">
        <v>45301</v>
      </c>
      <c r="C458" s="7">
        <v>0.42708333333333331</v>
      </c>
      <c r="D458" s="5" t="s">
        <v>1807</v>
      </c>
      <c r="E458" s="5" t="s">
        <v>1761</v>
      </c>
      <c r="F458" s="5" t="s">
        <v>1761</v>
      </c>
      <c r="G458" s="5" t="s">
        <v>2245</v>
      </c>
      <c r="H458" s="5" t="s">
        <v>2257</v>
      </c>
      <c r="I458" s="5" t="s">
        <v>2263</v>
      </c>
      <c r="J458" s="5" t="s">
        <v>2265</v>
      </c>
      <c r="K458" s="8">
        <v>1</v>
      </c>
      <c r="L458" s="9">
        <v>150</v>
      </c>
      <c r="M458" s="10">
        <v>0.1</v>
      </c>
      <c r="N458" s="9">
        <f t="shared" si="94"/>
        <v>150</v>
      </c>
      <c r="O458" s="9">
        <f t="shared" si="84"/>
        <v>135</v>
      </c>
      <c r="P458" s="5" t="s">
        <v>2267</v>
      </c>
      <c r="Q458" s="5" t="s">
        <v>2272</v>
      </c>
      <c r="R458" s="5" t="s">
        <v>2278</v>
      </c>
      <c r="S458" s="5" t="s">
        <v>2281</v>
      </c>
      <c r="T458" s="5" t="s">
        <v>2288</v>
      </c>
      <c r="U458" s="8">
        <v>5</v>
      </c>
      <c r="V458" s="8">
        <v>121</v>
      </c>
      <c r="W458" s="8">
        <v>10</v>
      </c>
      <c r="X458" s="9">
        <v>82.72</v>
      </c>
      <c r="Y458" s="9">
        <f t="shared" si="85"/>
        <v>52.28</v>
      </c>
      <c r="Z458" s="5" t="s">
        <v>2293</v>
      </c>
      <c r="AA458" s="5" t="s">
        <v>2297</v>
      </c>
      <c r="AB458" s="9">
        <f t="shared" si="86"/>
        <v>150</v>
      </c>
      <c r="AC458" s="9">
        <f t="shared" si="87"/>
        <v>15</v>
      </c>
      <c r="AD458" s="9">
        <f t="shared" si="88"/>
        <v>135</v>
      </c>
      <c r="AE458" s="9">
        <f t="shared" si="89"/>
        <v>82.72</v>
      </c>
      <c r="AF458" s="9">
        <f t="shared" si="95"/>
        <v>52.28</v>
      </c>
      <c r="AG458" s="8">
        <f t="shared" si="90"/>
        <v>2024</v>
      </c>
      <c r="AH458" s="8">
        <f t="shared" si="91"/>
        <v>1</v>
      </c>
      <c r="AI458" s="5" t="str">
        <f t="shared" si="92"/>
        <v>Jan</v>
      </c>
      <c r="AJ458" s="5" t="str">
        <f t="shared" si="93"/>
        <v>Wednesday</v>
      </c>
    </row>
    <row r="459" spans="1:36" x14ac:dyDescent="0.3">
      <c r="A459" s="5" t="s">
        <v>493</v>
      </c>
      <c r="B459" s="6">
        <v>45303</v>
      </c>
      <c r="C459" s="7">
        <v>0.65972222222222221</v>
      </c>
      <c r="D459" s="5" t="s">
        <v>1745</v>
      </c>
      <c r="E459" s="5" t="s">
        <v>2023</v>
      </c>
      <c r="F459" s="5" t="s">
        <v>2239</v>
      </c>
      <c r="G459" s="5" t="s">
        <v>2253</v>
      </c>
      <c r="H459" s="5" t="s">
        <v>2258</v>
      </c>
      <c r="I459" s="5" t="s">
        <v>2260</v>
      </c>
      <c r="J459" s="5" t="s">
        <v>2264</v>
      </c>
      <c r="K459" s="8">
        <v>2</v>
      </c>
      <c r="L459" s="9">
        <v>90</v>
      </c>
      <c r="M459" s="10">
        <v>0</v>
      </c>
      <c r="N459" s="9">
        <f t="shared" si="94"/>
        <v>180</v>
      </c>
      <c r="O459" s="9">
        <f t="shared" si="84"/>
        <v>180</v>
      </c>
      <c r="P459" s="5" t="s">
        <v>2269</v>
      </c>
      <c r="Q459" s="5" t="s">
        <v>2271</v>
      </c>
      <c r="R459" s="5" t="s">
        <v>2279</v>
      </c>
      <c r="S459" s="5" t="s">
        <v>2284</v>
      </c>
      <c r="T459" s="5" t="s">
        <v>2288</v>
      </c>
      <c r="U459" s="8">
        <v>1</v>
      </c>
      <c r="V459" s="8">
        <v>319</v>
      </c>
      <c r="W459" s="8">
        <v>17</v>
      </c>
      <c r="X459" s="9">
        <v>42.92</v>
      </c>
      <c r="Y459" s="9">
        <f t="shared" si="85"/>
        <v>94.16</v>
      </c>
      <c r="Z459" s="5" t="s">
        <v>1761</v>
      </c>
      <c r="AA459" s="5" t="s">
        <v>2298</v>
      </c>
      <c r="AB459" s="9">
        <f t="shared" si="86"/>
        <v>180</v>
      </c>
      <c r="AC459" s="9">
        <f t="shared" si="87"/>
        <v>0</v>
      </c>
      <c r="AD459" s="9">
        <f t="shared" si="88"/>
        <v>180</v>
      </c>
      <c r="AE459" s="9">
        <f t="shared" si="89"/>
        <v>85.84</v>
      </c>
      <c r="AF459" s="9">
        <f t="shared" si="95"/>
        <v>94.16</v>
      </c>
      <c r="AG459" s="8">
        <f t="shared" si="90"/>
        <v>2024</v>
      </c>
      <c r="AH459" s="8">
        <f t="shared" si="91"/>
        <v>1</v>
      </c>
      <c r="AI459" s="5" t="str">
        <f t="shared" si="92"/>
        <v>Jan</v>
      </c>
      <c r="AJ459" s="5" t="str">
        <f t="shared" si="93"/>
        <v>Friday</v>
      </c>
    </row>
    <row r="460" spans="1:36" x14ac:dyDescent="0.3">
      <c r="A460" s="5" t="s">
        <v>494</v>
      </c>
      <c r="B460" s="6">
        <v>45413</v>
      </c>
      <c r="C460" s="7">
        <v>0.46527777777777779</v>
      </c>
      <c r="D460" s="5" t="s">
        <v>1815</v>
      </c>
      <c r="E460" s="5" t="s">
        <v>2157</v>
      </c>
      <c r="F460" s="5" t="s">
        <v>2239</v>
      </c>
      <c r="G460" s="5" t="s">
        <v>2255</v>
      </c>
      <c r="H460" s="5" t="s">
        <v>2260</v>
      </c>
      <c r="I460" s="5" t="s">
        <v>2260</v>
      </c>
      <c r="J460" s="5" t="s">
        <v>2264</v>
      </c>
      <c r="K460" s="8">
        <v>1</v>
      </c>
      <c r="L460" s="9">
        <v>185</v>
      </c>
      <c r="M460" s="10">
        <v>0</v>
      </c>
      <c r="N460" s="9">
        <f t="shared" si="94"/>
        <v>185</v>
      </c>
      <c r="O460" s="9">
        <f t="shared" si="84"/>
        <v>185</v>
      </c>
      <c r="P460" s="5" t="s">
        <v>2267</v>
      </c>
      <c r="Q460" s="5" t="s">
        <v>2270</v>
      </c>
      <c r="R460" s="5" t="s">
        <v>2279</v>
      </c>
      <c r="S460" s="5" t="s">
        <v>2285</v>
      </c>
      <c r="T460" s="5" t="s">
        <v>2289</v>
      </c>
      <c r="U460" s="8">
        <v>5</v>
      </c>
      <c r="V460" s="8">
        <v>322</v>
      </c>
      <c r="W460" s="8">
        <v>20</v>
      </c>
      <c r="X460" s="9">
        <v>79.19</v>
      </c>
      <c r="Y460" s="9">
        <f t="shared" si="85"/>
        <v>105.81</v>
      </c>
      <c r="Z460" s="5" t="s">
        <v>2291</v>
      </c>
      <c r="AA460" s="5" t="s">
        <v>2298</v>
      </c>
      <c r="AB460" s="9">
        <f t="shared" si="86"/>
        <v>185</v>
      </c>
      <c r="AC460" s="9">
        <f t="shared" si="87"/>
        <v>0</v>
      </c>
      <c r="AD460" s="9">
        <f t="shared" si="88"/>
        <v>185</v>
      </c>
      <c r="AE460" s="9">
        <f t="shared" si="89"/>
        <v>79.19</v>
      </c>
      <c r="AF460" s="9">
        <f t="shared" si="95"/>
        <v>105.81</v>
      </c>
      <c r="AG460" s="8">
        <f t="shared" si="90"/>
        <v>2024</v>
      </c>
      <c r="AH460" s="8">
        <f t="shared" si="91"/>
        <v>5</v>
      </c>
      <c r="AI460" s="5" t="str">
        <f t="shared" si="92"/>
        <v>May</v>
      </c>
      <c r="AJ460" s="5" t="str">
        <f t="shared" si="93"/>
        <v>Wednesday</v>
      </c>
    </row>
    <row r="461" spans="1:36" x14ac:dyDescent="0.3">
      <c r="A461" s="5" t="s">
        <v>495</v>
      </c>
      <c r="B461" s="6">
        <v>45309</v>
      </c>
      <c r="C461" s="7">
        <v>0.35416666666666669</v>
      </c>
      <c r="D461" s="5" t="s">
        <v>1855</v>
      </c>
      <c r="E461" s="5" t="s">
        <v>2061</v>
      </c>
      <c r="F461" s="5" t="s">
        <v>2239</v>
      </c>
      <c r="G461" s="5" t="s">
        <v>2243</v>
      </c>
      <c r="H461" s="5" t="s">
        <v>2258</v>
      </c>
      <c r="I461" s="5" t="s">
        <v>2260</v>
      </c>
      <c r="J461" s="5" t="s">
        <v>2266</v>
      </c>
      <c r="K461" s="8">
        <v>2</v>
      </c>
      <c r="L461" s="9">
        <v>65</v>
      </c>
      <c r="M461" s="10">
        <v>0.05</v>
      </c>
      <c r="N461" s="9">
        <f t="shared" si="94"/>
        <v>130</v>
      </c>
      <c r="O461" s="9">
        <f t="shared" si="84"/>
        <v>123.5</v>
      </c>
      <c r="P461" s="5" t="s">
        <v>2269</v>
      </c>
      <c r="Q461" s="5" t="s">
        <v>2270</v>
      </c>
      <c r="R461" s="5" t="s">
        <v>2275</v>
      </c>
      <c r="S461" s="5" t="s">
        <v>2287</v>
      </c>
      <c r="T461" s="5" t="s">
        <v>2288</v>
      </c>
      <c r="U461" s="8">
        <v>4</v>
      </c>
      <c r="V461" s="8">
        <v>271</v>
      </c>
      <c r="W461" s="8">
        <v>10</v>
      </c>
      <c r="X461" s="9">
        <v>26.2</v>
      </c>
      <c r="Y461" s="9">
        <f t="shared" si="85"/>
        <v>71.099999999999994</v>
      </c>
      <c r="Z461" s="5" t="s">
        <v>2293</v>
      </c>
      <c r="AA461" s="5" t="s">
        <v>2296</v>
      </c>
      <c r="AB461" s="9">
        <f t="shared" si="86"/>
        <v>130</v>
      </c>
      <c r="AC461" s="9">
        <f t="shared" si="87"/>
        <v>6.5</v>
      </c>
      <c r="AD461" s="9">
        <f t="shared" si="88"/>
        <v>123.5</v>
      </c>
      <c r="AE461" s="9">
        <f t="shared" si="89"/>
        <v>52.4</v>
      </c>
      <c r="AF461" s="9">
        <f t="shared" si="95"/>
        <v>71.099999999999994</v>
      </c>
      <c r="AG461" s="8">
        <f t="shared" si="90"/>
        <v>2024</v>
      </c>
      <c r="AH461" s="8">
        <f t="shared" si="91"/>
        <v>1</v>
      </c>
      <c r="AI461" s="5" t="str">
        <f t="shared" si="92"/>
        <v>Jan</v>
      </c>
      <c r="AJ461" s="5" t="str">
        <f t="shared" si="93"/>
        <v>Thursday</v>
      </c>
    </row>
    <row r="462" spans="1:36" x14ac:dyDescent="0.3">
      <c r="A462" s="5" t="s">
        <v>496</v>
      </c>
      <c r="B462" s="6">
        <v>45352</v>
      </c>
      <c r="C462" s="7">
        <v>0.72916666666666663</v>
      </c>
      <c r="D462" s="5" t="s">
        <v>1787</v>
      </c>
      <c r="E462" s="5" t="s">
        <v>1761</v>
      </c>
      <c r="F462" s="5" t="s">
        <v>2239</v>
      </c>
      <c r="G462" s="5" t="s">
        <v>2249</v>
      </c>
      <c r="H462" s="5" t="s">
        <v>2257</v>
      </c>
      <c r="I462" s="5" t="s">
        <v>2263</v>
      </c>
      <c r="J462" s="5" t="s">
        <v>2266</v>
      </c>
      <c r="K462" s="8">
        <v>1</v>
      </c>
      <c r="L462" s="9">
        <v>160</v>
      </c>
      <c r="M462" s="10">
        <v>0</v>
      </c>
      <c r="N462" s="9">
        <f t="shared" si="94"/>
        <v>160</v>
      </c>
      <c r="O462" s="9">
        <f t="shared" si="84"/>
        <v>160</v>
      </c>
      <c r="P462" s="5" t="s">
        <v>2267</v>
      </c>
      <c r="Q462" s="5" t="s">
        <v>2270</v>
      </c>
      <c r="R462" s="5" t="s">
        <v>2275</v>
      </c>
      <c r="S462" s="5" t="s">
        <v>2283</v>
      </c>
      <c r="T462" s="5" t="s">
        <v>2289</v>
      </c>
      <c r="U462" s="8">
        <v>5</v>
      </c>
      <c r="V462" s="8">
        <v>196</v>
      </c>
      <c r="W462" s="19">
        <v>34</v>
      </c>
      <c r="X462" s="9">
        <v>89.62</v>
      </c>
      <c r="Y462" s="9">
        <f t="shared" si="85"/>
        <v>70.38</v>
      </c>
      <c r="Z462" s="5" t="s">
        <v>2293</v>
      </c>
      <c r="AA462" s="5" t="s">
        <v>2298</v>
      </c>
      <c r="AB462" s="9">
        <f t="shared" si="86"/>
        <v>160</v>
      </c>
      <c r="AC462" s="9">
        <f t="shared" si="87"/>
        <v>0</v>
      </c>
      <c r="AD462" s="9">
        <f t="shared" si="88"/>
        <v>160</v>
      </c>
      <c r="AE462" s="9">
        <f t="shared" si="89"/>
        <v>89.62</v>
      </c>
      <c r="AF462" s="9">
        <f t="shared" si="95"/>
        <v>70.38</v>
      </c>
      <c r="AG462" s="8">
        <f t="shared" si="90"/>
        <v>2024</v>
      </c>
      <c r="AH462" s="8">
        <f t="shared" si="91"/>
        <v>3</v>
      </c>
      <c r="AI462" s="5" t="str">
        <f t="shared" si="92"/>
        <v>Mar</v>
      </c>
      <c r="AJ462" s="5" t="str">
        <f t="shared" si="93"/>
        <v>Friday</v>
      </c>
    </row>
    <row r="463" spans="1:36" x14ac:dyDescent="0.3">
      <c r="A463" s="5" t="s">
        <v>497</v>
      </c>
      <c r="B463" s="6">
        <v>45397</v>
      </c>
      <c r="C463" s="7">
        <v>0.78125</v>
      </c>
      <c r="D463" s="5" t="s">
        <v>1872</v>
      </c>
      <c r="E463" s="5" t="s">
        <v>1975</v>
      </c>
      <c r="F463" s="5" t="s">
        <v>2238</v>
      </c>
      <c r="G463" s="5" t="s">
        <v>2248</v>
      </c>
      <c r="H463" s="5" t="s">
        <v>2257</v>
      </c>
      <c r="I463" s="5" t="s">
        <v>2262</v>
      </c>
      <c r="J463" s="5" t="s">
        <v>2266</v>
      </c>
      <c r="K463" s="8">
        <v>1</v>
      </c>
      <c r="L463" s="9">
        <v>155</v>
      </c>
      <c r="M463" s="10">
        <v>0</v>
      </c>
      <c r="N463" s="9">
        <f t="shared" si="94"/>
        <v>155</v>
      </c>
      <c r="O463" s="9">
        <f t="shared" si="84"/>
        <v>155</v>
      </c>
      <c r="P463" s="5" t="s">
        <v>1761</v>
      </c>
      <c r="Q463" s="5" t="s">
        <v>2271</v>
      </c>
      <c r="R463" s="5" t="s">
        <v>2279</v>
      </c>
      <c r="S463" s="5" t="s">
        <v>2287</v>
      </c>
      <c r="T463" s="5" t="s">
        <v>2288</v>
      </c>
      <c r="U463" s="8">
        <v>5</v>
      </c>
      <c r="V463" s="8">
        <v>286</v>
      </c>
      <c r="W463" s="8">
        <v>38</v>
      </c>
      <c r="X463" s="9">
        <v>51.3</v>
      </c>
      <c r="Y463" s="9">
        <f t="shared" si="85"/>
        <v>103.7</v>
      </c>
      <c r="Z463" s="5" t="s">
        <v>2293</v>
      </c>
      <c r="AA463" s="5" t="s">
        <v>2296</v>
      </c>
      <c r="AB463" s="9">
        <f t="shared" si="86"/>
        <v>155</v>
      </c>
      <c r="AC463" s="9">
        <f t="shared" si="87"/>
        <v>0</v>
      </c>
      <c r="AD463" s="9">
        <f t="shared" si="88"/>
        <v>155</v>
      </c>
      <c r="AE463" s="9">
        <f t="shared" si="89"/>
        <v>51.3</v>
      </c>
      <c r="AF463" s="9">
        <f t="shared" si="95"/>
        <v>103.7</v>
      </c>
      <c r="AG463" s="8">
        <f t="shared" si="90"/>
        <v>2024</v>
      </c>
      <c r="AH463" s="8">
        <f t="shared" si="91"/>
        <v>4</v>
      </c>
      <c r="AI463" s="5" t="str">
        <f t="shared" si="92"/>
        <v>Apr</v>
      </c>
      <c r="AJ463" s="5" t="str">
        <f t="shared" si="93"/>
        <v>Monday</v>
      </c>
    </row>
    <row r="464" spans="1:36" x14ac:dyDescent="0.3">
      <c r="A464" s="5" t="s">
        <v>498</v>
      </c>
      <c r="B464" s="6">
        <v>45621</v>
      </c>
      <c r="C464" s="7">
        <v>0.40972222222222221</v>
      </c>
      <c r="D464" s="5" t="s">
        <v>1857</v>
      </c>
      <c r="E464" s="5" t="s">
        <v>2173</v>
      </c>
      <c r="F464" s="5" t="s">
        <v>2240</v>
      </c>
      <c r="G464" s="5" t="s">
        <v>2252</v>
      </c>
      <c r="H464" s="5" t="s">
        <v>2257</v>
      </c>
      <c r="I464" s="5" t="s">
        <v>2262</v>
      </c>
      <c r="J464" s="5" t="s">
        <v>2266</v>
      </c>
      <c r="K464" s="8">
        <v>1</v>
      </c>
      <c r="L464" s="9">
        <v>90</v>
      </c>
      <c r="M464" s="10">
        <v>0</v>
      </c>
      <c r="N464" s="9">
        <f t="shared" si="94"/>
        <v>90</v>
      </c>
      <c r="O464" s="9">
        <f t="shared" si="84"/>
        <v>90</v>
      </c>
      <c r="P464" s="5" t="s">
        <v>2268</v>
      </c>
      <c r="Q464" s="5" t="s">
        <v>2270</v>
      </c>
      <c r="R464" s="5" t="s">
        <v>2279</v>
      </c>
      <c r="S464" s="5" t="s">
        <v>2287</v>
      </c>
      <c r="T464" s="5" t="s">
        <v>2288</v>
      </c>
      <c r="U464" s="8">
        <v>5</v>
      </c>
      <c r="V464" s="8">
        <v>2</v>
      </c>
      <c r="W464" s="8">
        <v>53</v>
      </c>
      <c r="X464" s="9">
        <v>50.33</v>
      </c>
      <c r="Y464" s="9">
        <f t="shared" si="85"/>
        <v>39.67</v>
      </c>
      <c r="Z464" s="5" t="s">
        <v>2293</v>
      </c>
      <c r="AA464" s="5" t="s">
        <v>2296</v>
      </c>
      <c r="AB464" s="9">
        <f t="shared" si="86"/>
        <v>90</v>
      </c>
      <c r="AC464" s="9">
        <f t="shared" si="87"/>
        <v>0</v>
      </c>
      <c r="AD464" s="9">
        <f t="shared" si="88"/>
        <v>90</v>
      </c>
      <c r="AE464" s="9">
        <f t="shared" si="89"/>
        <v>50.33</v>
      </c>
      <c r="AF464" s="9">
        <f t="shared" si="95"/>
        <v>39.67</v>
      </c>
      <c r="AG464" s="8">
        <f t="shared" si="90"/>
        <v>2024</v>
      </c>
      <c r="AH464" s="8">
        <f t="shared" si="91"/>
        <v>11</v>
      </c>
      <c r="AI464" s="5" t="str">
        <f t="shared" si="92"/>
        <v>Nov</v>
      </c>
      <c r="AJ464" s="5" t="str">
        <f t="shared" si="93"/>
        <v>Monday</v>
      </c>
    </row>
    <row r="465" spans="1:36" x14ac:dyDescent="0.3">
      <c r="A465" s="5" t="s">
        <v>499</v>
      </c>
      <c r="B465" s="6">
        <v>45626</v>
      </c>
      <c r="C465" s="7">
        <v>0.86458333333333337</v>
      </c>
      <c r="D465" s="5" t="s">
        <v>1844</v>
      </c>
      <c r="E465" s="5" t="s">
        <v>2016</v>
      </c>
      <c r="F465" s="5" t="s">
        <v>2239</v>
      </c>
      <c r="G465" s="5" t="s">
        <v>2252</v>
      </c>
      <c r="H465" s="5" t="s">
        <v>2257</v>
      </c>
      <c r="I465" s="5" t="s">
        <v>2262</v>
      </c>
      <c r="J465" s="5" t="s">
        <v>2265</v>
      </c>
      <c r="K465" s="8">
        <v>2</v>
      </c>
      <c r="L465" s="9">
        <v>100</v>
      </c>
      <c r="M465" s="10">
        <v>0.1</v>
      </c>
      <c r="N465" s="9">
        <f t="shared" si="94"/>
        <v>200</v>
      </c>
      <c r="O465" s="9">
        <f t="shared" si="84"/>
        <v>180</v>
      </c>
      <c r="P465" s="5" t="s">
        <v>1761</v>
      </c>
      <c r="Q465" s="5" t="s">
        <v>2272</v>
      </c>
      <c r="R465" s="5" t="s">
        <v>2273</v>
      </c>
      <c r="S465" s="5" t="s">
        <v>2284</v>
      </c>
      <c r="T465" s="5" t="s">
        <v>2288</v>
      </c>
      <c r="U465" s="8">
        <v>2</v>
      </c>
      <c r="V465" s="8">
        <v>126</v>
      </c>
      <c r="W465" s="8">
        <v>20</v>
      </c>
      <c r="X465" s="9">
        <v>46.84</v>
      </c>
      <c r="Y465" s="9">
        <f t="shared" si="85"/>
        <v>86.32</v>
      </c>
      <c r="Z465" s="5" t="s">
        <v>2294</v>
      </c>
      <c r="AA465" s="5" t="s">
        <v>2298</v>
      </c>
      <c r="AB465" s="9">
        <f t="shared" si="86"/>
        <v>200</v>
      </c>
      <c r="AC465" s="9">
        <f t="shared" si="87"/>
        <v>20</v>
      </c>
      <c r="AD465" s="9">
        <f t="shared" si="88"/>
        <v>180</v>
      </c>
      <c r="AE465" s="9">
        <f t="shared" si="89"/>
        <v>93.68</v>
      </c>
      <c r="AF465" s="9">
        <f t="shared" si="95"/>
        <v>86.32</v>
      </c>
      <c r="AG465" s="8">
        <f t="shared" si="90"/>
        <v>2024</v>
      </c>
      <c r="AH465" s="8">
        <f t="shared" si="91"/>
        <v>11</v>
      </c>
      <c r="AI465" s="5" t="str">
        <f t="shared" si="92"/>
        <v>Nov</v>
      </c>
      <c r="AJ465" s="5" t="str">
        <f t="shared" si="93"/>
        <v>Saturday</v>
      </c>
    </row>
    <row r="466" spans="1:36" x14ac:dyDescent="0.3">
      <c r="A466" s="5" t="s">
        <v>500</v>
      </c>
      <c r="B466" s="6">
        <v>45642</v>
      </c>
      <c r="C466" s="7">
        <v>0.5</v>
      </c>
      <c r="D466" s="5" t="s">
        <v>1867</v>
      </c>
      <c r="E466" s="5" t="s">
        <v>2174</v>
      </c>
      <c r="F466" s="5" t="s">
        <v>2240</v>
      </c>
      <c r="G466" s="5" t="s">
        <v>2256</v>
      </c>
      <c r="H466" s="5" t="s">
        <v>2261</v>
      </c>
      <c r="I466" s="5" t="s">
        <v>2260</v>
      </c>
      <c r="J466" s="5" t="s">
        <v>1761</v>
      </c>
      <c r="K466" s="8">
        <v>1</v>
      </c>
      <c r="L466" s="9">
        <v>200</v>
      </c>
      <c r="M466" s="10">
        <v>0.15</v>
      </c>
      <c r="N466" s="9">
        <f t="shared" si="94"/>
        <v>200</v>
      </c>
      <c r="O466" s="9">
        <f t="shared" si="84"/>
        <v>170</v>
      </c>
      <c r="P466" s="5" t="s">
        <v>2269</v>
      </c>
      <c r="Q466" s="5" t="s">
        <v>2271</v>
      </c>
      <c r="R466" s="5" t="s">
        <v>2274</v>
      </c>
      <c r="S466" s="5" t="s">
        <v>2280</v>
      </c>
      <c r="T466" s="5" t="s">
        <v>2290</v>
      </c>
      <c r="U466" s="8">
        <v>1</v>
      </c>
      <c r="V466" s="8">
        <v>480</v>
      </c>
      <c r="W466" s="8">
        <v>19</v>
      </c>
      <c r="X466" s="9">
        <v>91.36</v>
      </c>
      <c r="Y466" s="9">
        <f t="shared" si="85"/>
        <v>78.64</v>
      </c>
      <c r="Z466" s="5" t="s">
        <v>1761</v>
      </c>
      <c r="AA466" s="5" t="s">
        <v>2297</v>
      </c>
      <c r="AB466" s="9">
        <f t="shared" si="86"/>
        <v>200</v>
      </c>
      <c r="AC466" s="9">
        <f t="shared" si="87"/>
        <v>30</v>
      </c>
      <c r="AD466" s="9">
        <f t="shared" si="88"/>
        <v>170</v>
      </c>
      <c r="AE466" s="9">
        <f t="shared" si="89"/>
        <v>91.36</v>
      </c>
      <c r="AF466" s="9">
        <f t="shared" si="95"/>
        <v>78.64</v>
      </c>
      <c r="AG466" s="8">
        <f t="shared" si="90"/>
        <v>2024</v>
      </c>
      <c r="AH466" s="8">
        <f t="shared" si="91"/>
        <v>12</v>
      </c>
      <c r="AI466" s="5" t="str">
        <f t="shared" si="92"/>
        <v>Dec</v>
      </c>
      <c r="AJ466" s="5" t="str">
        <f t="shared" si="93"/>
        <v>Monday</v>
      </c>
    </row>
    <row r="467" spans="1:36" x14ac:dyDescent="0.3">
      <c r="A467" s="5" t="s">
        <v>501</v>
      </c>
      <c r="B467" s="6">
        <v>45552</v>
      </c>
      <c r="C467" s="7">
        <v>0.65625</v>
      </c>
      <c r="D467" s="5" t="s">
        <v>1788</v>
      </c>
      <c r="E467" s="5" t="s">
        <v>2025</v>
      </c>
      <c r="F467" s="5" t="s">
        <v>2240</v>
      </c>
      <c r="G467" s="5" t="s">
        <v>2242</v>
      </c>
      <c r="H467" s="5" t="s">
        <v>2258</v>
      </c>
      <c r="I467" s="5" t="s">
        <v>2260</v>
      </c>
      <c r="J467" s="5" t="s">
        <v>2266</v>
      </c>
      <c r="K467" s="8">
        <v>4</v>
      </c>
      <c r="L467" s="9">
        <v>120</v>
      </c>
      <c r="M467" s="10">
        <v>0.05</v>
      </c>
      <c r="N467" s="9">
        <f t="shared" si="94"/>
        <v>480</v>
      </c>
      <c r="O467" s="9">
        <f t="shared" si="84"/>
        <v>456</v>
      </c>
      <c r="P467" s="5" t="s">
        <v>2267</v>
      </c>
      <c r="Q467" s="5" t="s">
        <v>2270</v>
      </c>
      <c r="R467" s="5" t="s">
        <v>2274</v>
      </c>
      <c r="S467" s="5" t="s">
        <v>2283</v>
      </c>
      <c r="T467" s="5" t="s">
        <v>2288</v>
      </c>
      <c r="U467" s="8">
        <v>3</v>
      </c>
      <c r="V467" s="8">
        <v>455</v>
      </c>
      <c r="W467" s="8">
        <v>17</v>
      </c>
      <c r="X467" s="9">
        <v>43.88</v>
      </c>
      <c r="Y467" s="9">
        <f t="shared" si="85"/>
        <v>280.48</v>
      </c>
      <c r="Z467" s="5" t="s">
        <v>2293</v>
      </c>
      <c r="AA467" s="5" t="s">
        <v>2298</v>
      </c>
      <c r="AB467" s="9">
        <f t="shared" si="86"/>
        <v>480</v>
      </c>
      <c r="AC467" s="9">
        <f t="shared" si="87"/>
        <v>24</v>
      </c>
      <c r="AD467" s="9">
        <f t="shared" si="88"/>
        <v>456</v>
      </c>
      <c r="AE467" s="9">
        <f t="shared" si="89"/>
        <v>175.52</v>
      </c>
      <c r="AF467" s="9">
        <f t="shared" si="95"/>
        <v>280.48</v>
      </c>
      <c r="AG467" s="8">
        <f t="shared" si="90"/>
        <v>2024</v>
      </c>
      <c r="AH467" s="8">
        <f t="shared" si="91"/>
        <v>9</v>
      </c>
      <c r="AI467" s="5" t="str">
        <f t="shared" si="92"/>
        <v>Sep</v>
      </c>
      <c r="AJ467" s="5" t="str">
        <f t="shared" si="93"/>
        <v>Tuesday</v>
      </c>
    </row>
    <row r="468" spans="1:36" x14ac:dyDescent="0.3">
      <c r="A468" s="5" t="s">
        <v>502</v>
      </c>
      <c r="B468" s="6">
        <v>45477</v>
      </c>
      <c r="C468" s="7">
        <v>0.43055555555555558</v>
      </c>
      <c r="D468" s="5" t="s">
        <v>1816</v>
      </c>
      <c r="E468" s="5" t="s">
        <v>2100</v>
      </c>
      <c r="F468" s="5" t="s">
        <v>2239</v>
      </c>
      <c r="G468" s="5" t="s">
        <v>2248</v>
      </c>
      <c r="H468" s="5" t="s">
        <v>2257</v>
      </c>
      <c r="I468" s="5" t="s">
        <v>2262</v>
      </c>
      <c r="J468" s="5" t="s">
        <v>2266</v>
      </c>
      <c r="K468" s="8">
        <v>1</v>
      </c>
      <c r="L468" s="9">
        <v>145</v>
      </c>
      <c r="M468" s="10">
        <v>0.1</v>
      </c>
      <c r="N468" s="9">
        <f t="shared" si="94"/>
        <v>145</v>
      </c>
      <c r="O468" s="9">
        <f t="shared" si="84"/>
        <v>130.5</v>
      </c>
      <c r="P468" s="5" t="s">
        <v>2269</v>
      </c>
      <c r="Q468" s="5" t="s">
        <v>1761</v>
      </c>
      <c r="R468" s="5" t="s">
        <v>2274</v>
      </c>
      <c r="S468" s="5" t="s">
        <v>2283</v>
      </c>
      <c r="T468" s="5" t="s">
        <v>2288</v>
      </c>
      <c r="U468" s="8">
        <v>5</v>
      </c>
      <c r="V468" s="19">
        <v>244</v>
      </c>
      <c r="W468" s="19">
        <v>36</v>
      </c>
      <c r="X468" s="9">
        <v>81.69</v>
      </c>
      <c r="Y468" s="9">
        <f t="shared" si="85"/>
        <v>48.81</v>
      </c>
      <c r="Z468" s="5" t="s">
        <v>2291</v>
      </c>
      <c r="AA468" s="5" t="s">
        <v>2297</v>
      </c>
      <c r="AB468" s="9">
        <f t="shared" si="86"/>
        <v>145</v>
      </c>
      <c r="AC468" s="9">
        <f t="shared" si="87"/>
        <v>14.5</v>
      </c>
      <c r="AD468" s="9">
        <f t="shared" si="88"/>
        <v>130.5</v>
      </c>
      <c r="AE468" s="9">
        <f t="shared" si="89"/>
        <v>81.69</v>
      </c>
      <c r="AF468" s="9">
        <f t="shared" si="95"/>
        <v>48.81</v>
      </c>
      <c r="AG468" s="8">
        <f t="shared" si="90"/>
        <v>2024</v>
      </c>
      <c r="AH468" s="8">
        <f t="shared" si="91"/>
        <v>7</v>
      </c>
      <c r="AI468" s="5" t="str">
        <f t="shared" si="92"/>
        <v>Jul</v>
      </c>
      <c r="AJ468" s="5" t="str">
        <f t="shared" si="93"/>
        <v>Thursday</v>
      </c>
    </row>
    <row r="469" spans="1:36" x14ac:dyDescent="0.3">
      <c r="A469" s="5" t="s">
        <v>503</v>
      </c>
      <c r="B469" s="6">
        <v>45390</v>
      </c>
      <c r="C469" s="7">
        <v>0.90972222222222221</v>
      </c>
      <c r="D469" s="5" t="s">
        <v>1832</v>
      </c>
      <c r="E469" s="5" t="s">
        <v>2060</v>
      </c>
      <c r="F469" s="5" t="s">
        <v>2240</v>
      </c>
      <c r="G469" s="5" t="s">
        <v>2249</v>
      </c>
      <c r="H469" s="5" t="s">
        <v>2257</v>
      </c>
      <c r="I469" s="5" t="s">
        <v>2263</v>
      </c>
      <c r="J469" s="5" t="s">
        <v>2265</v>
      </c>
      <c r="K469" s="8">
        <v>1</v>
      </c>
      <c r="L469" s="9">
        <v>155</v>
      </c>
      <c r="M469" s="10">
        <v>0</v>
      </c>
      <c r="N469" s="9">
        <f t="shared" si="94"/>
        <v>155</v>
      </c>
      <c r="O469" s="9">
        <f t="shared" si="84"/>
        <v>155</v>
      </c>
      <c r="P469" s="5" t="s">
        <v>2267</v>
      </c>
      <c r="Q469" s="5" t="s">
        <v>1761</v>
      </c>
      <c r="R469" s="5" t="s">
        <v>2278</v>
      </c>
      <c r="S469" s="5" t="s">
        <v>2280</v>
      </c>
      <c r="T469" s="5" t="s">
        <v>2288</v>
      </c>
      <c r="U469" s="8">
        <v>5</v>
      </c>
      <c r="V469" s="19">
        <v>244</v>
      </c>
      <c r="W469" s="8">
        <v>57</v>
      </c>
      <c r="X469" s="9">
        <v>88.11</v>
      </c>
      <c r="Y469" s="9">
        <f t="shared" si="85"/>
        <v>66.89</v>
      </c>
      <c r="Z469" s="5" t="s">
        <v>2293</v>
      </c>
      <c r="AA469" s="5" t="s">
        <v>2297</v>
      </c>
      <c r="AB469" s="9">
        <f t="shared" si="86"/>
        <v>155</v>
      </c>
      <c r="AC469" s="9">
        <f t="shared" si="87"/>
        <v>0</v>
      </c>
      <c r="AD469" s="9">
        <f t="shared" si="88"/>
        <v>155</v>
      </c>
      <c r="AE469" s="9">
        <f t="shared" si="89"/>
        <v>88.11</v>
      </c>
      <c r="AF469" s="9">
        <f t="shared" si="95"/>
        <v>66.89</v>
      </c>
      <c r="AG469" s="8">
        <f t="shared" si="90"/>
        <v>2024</v>
      </c>
      <c r="AH469" s="8">
        <f t="shared" si="91"/>
        <v>4</v>
      </c>
      <c r="AI469" s="5" t="str">
        <f t="shared" si="92"/>
        <v>Apr</v>
      </c>
      <c r="AJ469" s="5" t="str">
        <f t="shared" si="93"/>
        <v>Monday</v>
      </c>
    </row>
    <row r="470" spans="1:36" x14ac:dyDescent="0.3">
      <c r="A470" s="5" t="s">
        <v>504</v>
      </c>
      <c r="B470" s="6">
        <v>45327</v>
      </c>
      <c r="C470" s="7">
        <v>0.57291666666666663</v>
      </c>
      <c r="D470" s="5" t="s">
        <v>1902</v>
      </c>
      <c r="E470" s="5" t="s">
        <v>2175</v>
      </c>
      <c r="F470" s="5" t="s">
        <v>2240</v>
      </c>
      <c r="G470" s="5" t="s">
        <v>2243</v>
      </c>
      <c r="H470" s="5" t="s">
        <v>2258</v>
      </c>
      <c r="I470" s="5" t="s">
        <v>2260</v>
      </c>
      <c r="J470" s="5" t="s">
        <v>2265</v>
      </c>
      <c r="K470" s="8">
        <v>1</v>
      </c>
      <c r="L470" s="9">
        <v>65</v>
      </c>
      <c r="M470" s="10">
        <v>0</v>
      </c>
      <c r="N470" s="9">
        <f t="shared" si="94"/>
        <v>65</v>
      </c>
      <c r="O470" s="9">
        <f t="shared" si="84"/>
        <v>65</v>
      </c>
      <c r="P470" s="5" t="s">
        <v>1761</v>
      </c>
      <c r="Q470" s="5" t="s">
        <v>2272</v>
      </c>
      <c r="R470" s="5" t="s">
        <v>2273</v>
      </c>
      <c r="S470" s="5" t="s">
        <v>2282</v>
      </c>
      <c r="T470" s="5" t="s">
        <v>2288</v>
      </c>
      <c r="U470" s="8">
        <v>2</v>
      </c>
      <c r="V470" s="8">
        <v>280</v>
      </c>
      <c r="W470" s="8">
        <v>48</v>
      </c>
      <c r="X470" s="9">
        <v>27.95</v>
      </c>
      <c r="Y470" s="9">
        <f t="shared" si="85"/>
        <v>37.049999999999997</v>
      </c>
      <c r="Z470" s="5" t="s">
        <v>1761</v>
      </c>
      <c r="AA470" s="5" t="s">
        <v>2296</v>
      </c>
      <c r="AB470" s="9">
        <f t="shared" si="86"/>
        <v>65</v>
      </c>
      <c r="AC470" s="9">
        <f t="shared" si="87"/>
        <v>0</v>
      </c>
      <c r="AD470" s="9">
        <f t="shared" si="88"/>
        <v>65</v>
      </c>
      <c r="AE470" s="9">
        <f t="shared" si="89"/>
        <v>27.95</v>
      </c>
      <c r="AF470" s="9">
        <f t="shared" si="95"/>
        <v>37.049999999999997</v>
      </c>
      <c r="AG470" s="8">
        <f t="shared" si="90"/>
        <v>2024</v>
      </c>
      <c r="AH470" s="8">
        <f t="shared" si="91"/>
        <v>2</v>
      </c>
      <c r="AI470" s="5" t="str">
        <f t="shared" si="92"/>
        <v>Feb</v>
      </c>
      <c r="AJ470" s="5" t="str">
        <f t="shared" si="93"/>
        <v>Monday</v>
      </c>
    </row>
    <row r="471" spans="1:36" x14ac:dyDescent="0.3">
      <c r="A471" s="5" t="s">
        <v>505</v>
      </c>
      <c r="B471" s="6">
        <v>45469</v>
      </c>
      <c r="C471" s="7">
        <v>0.82291666666666663</v>
      </c>
      <c r="D471" s="5" t="s">
        <v>1762</v>
      </c>
      <c r="E471" s="5" t="s">
        <v>2176</v>
      </c>
      <c r="F471" s="5" t="s">
        <v>2239</v>
      </c>
      <c r="G471" s="5" t="s">
        <v>2247</v>
      </c>
      <c r="H471" s="5" t="s">
        <v>2257</v>
      </c>
      <c r="I471" s="5" t="s">
        <v>2262</v>
      </c>
      <c r="J471" s="5" t="s">
        <v>2265</v>
      </c>
      <c r="K471" s="8">
        <v>1</v>
      </c>
      <c r="L471" s="9">
        <v>95</v>
      </c>
      <c r="M471" s="10">
        <v>0.05</v>
      </c>
      <c r="N471" s="9">
        <f t="shared" si="94"/>
        <v>95</v>
      </c>
      <c r="O471" s="9">
        <f t="shared" si="84"/>
        <v>90.25</v>
      </c>
      <c r="P471" s="5" t="s">
        <v>2269</v>
      </c>
      <c r="Q471" s="5" t="s">
        <v>2270</v>
      </c>
      <c r="R471" s="5" t="s">
        <v>2274</v>
      </c>
      <c r="S471" s="5" t="s">
        <v>2285</v>
      </c>
      <c r="T471" s="5" t="s">
        <v>2288</v>
      </c>
      <c r="U471" s="19">
        <v>3</v>
      </c>
      <c r="V471" s="8">
        <v>200</v>
      </c>
      <c r="W471" s="8">
        <v>49</v>
      </c>
      <c r="X471" s="9">
        <v>55.77</v>
      </c>
      <c r="Y471" s="9">
        <f t="shared" si="85"/>
        <v>34.479999999999997</v>
      </c>
      <c r="Z471" s="5" t="s">
        <v>1761</v>
      </c>
      <c r="AA471" s="5" t="s">
        <v>1761</v>
      </c>
      <c r="AB471" s="9">
        <f t="shared" si="86"/>
        <v>95</v>
      </c>
      <c r="AC471" s="9">
        <f t="shared" si="87"/>
        <v>4.75</v>
      </c>
      <c r="AD471" s="9">
        <f t="shared" si="88"/>
        <v>90.25</v>
      </c>
      <c r="AE471" s="9">
        <f t="shared" si="89"/>
        <v>55.77</v>
      </c>
      <c r="AF471" s="9">
        <f t="shared" si="95"/>
        <v>34.479999999999997</v>
      </c>
      <c r="AG471" s="8">
        <f t="shared" si="90"/>
        <v>2024</v>
      </c>
      <c r="AH471" s="8">
        <f t="shared" si="91"/>
        <v>6</v>
      </c>
      <c r="AI471" s="5" t="str">
        <f t="shared" si="92"/>
        <v>Jun</v>
      </c>
      <c r="AJ471" s="5" t="str">
        <f t="shared" si="93"/>
        <v>Wednesday</v>
      </c>
    </row>
    <row r="472" spans="1:36" x14ac:dyDescent="0.3">
      <c r="A472" s="5" t="s">
        <v>506</v>
      </c>
      <c r="B472" s="6">
        <v>45628</v>
      </c>
      <c r="C472" s="7">
        <v>0.47222222222222221</v>
      </c>
      <c r="D472" s="5" t="s">
        <v>1812</v>
      </c>
      <c r="E472" s="5" t="s">
        <v>2141</v>
      </c>
      <c r="F472" s="5" t="s">
        <v>2240</v>
      </c>
      <c r="G472" s="5" t="s">
        <v>2243</v>
      </c>
      <c r="H472" s="5" t="s">
        <v>2258</v>
      </c>
      <c r="I472" s="5" t="s">
        <v>2260</v>
      </c>
      <c r="J472" s="5" t="s">
        <v>2264</v>
      </c>
      <c r="K472" s="8">
        <v>2</v>
      </c>
      <c r="L472" s="9">
        <v>70</v>
      </c>
      <c r="M472" s="10">
        <v>0</v>
      </c>
      <c r="N472" s="9">
        <f t="shared" si="94"/>
        <v>140</v>
      </c>
      <c r="O472" s="9">
        <f t="shared" si="84"/>
        <v>140</v>
      </c>
      <c r="P472" s="5" t="s">
        <v>2269</v>
      </c>
      <c r="Q472" s="5" t="s">
        <v>2272</v>
      </c>
      <c r="R472" s="5" t="s">
        <v>2275</v>
      </c>
      <c r="S472" s="5" t="s">
        <v>2284</v>
      </c>
      <c r="T472" s="5" t="s">
        <v>2288</v>
      </c>
      <c r="U472" s="8">
        <v>1</v>
      </c>
      <c r="V472" s="8">
        <v>404</v>
      </c>
      <c r="W472" s="8">
        <v>41</v>
      </c>
      <c r="X472" s="9">
        <v>37.94</v>
      </c>
      <c r="Y472" s="9">
        <f t="shared" si="85"/>
        <v>64.12</v>
      </c>
      <c r="Z472" s="5" t="s">
        <v>2293</v>
      </c>
      <c r="AA472" s="5" t="s">
        <v>2299</v>
      </c>
      <c r="AB472" s="9">
        <f t="shared" si="86"/>
        <v>140</v>
      </c>
      <c r="AC472" s="9">
        <f t="shared" si="87"/>
        <v>0</v>
      </c>
      <c r="AD472" s="9">
        <f t="shared" si="88"/>
        <v>140</v>
      </c>
      <c r="AE472" s="9">
        <f t="shared" si="89"/>
        <v>75.88</v>
      </c>
      <c r="AF472" s="9">
        <f t="shared" si="95"/>
        <v>64.12</v>
      </c>
      <c r="AG472" s="8">
        <f t="shared" si="90"/>
        <v>2024</v>
      </c>
      <c r="AH472" s="8">
        <f t="shared" si="91"/>
        <v>12</v>
      </c>
      <c r="AI472" s="5" t="str">
        <f t="shared" si="92"/>
        <v>Dec</v>
      </c>
      <c r="AJ472" s="5" t="str">
        <f t="shared" si="93"/>
        <v>Monday</v>
      </c>
    </row>
    <row r="473" spans="1:36" x14ac:dyDescent="0.3">
      <c r="A473" s="5" t="s">
        <v>507</v>
      </c>
      <c r="B473" s="6">
        <v>45358</v>
      </c>
      <c r="C473" s="7">
        <v>0.78125</v>
      </c>
      <c r="D473" s="5" t="s">
        <v>1920</v>
      </c>
      <c r="E473" s="5" t="s">
        <v>1947</v>
      </c>
      <c r="F473" s="5" t="s">
        <v>2240</v>
      </c>
      <c r="G473" s="5" t="s">
        <v>2245</v>
      </c>
      <c r="H473" s="5" t="s">
        <v>2257</v>
      </c>
      <c r="I473" s="5" t="s">
        <v>2263</v>
      </c>
      <c r="J473" s="5" t="s">
        <v>2265</v>
      </c>
      <c r="K473" s="8">
        <v>2</v>
      </c>
      <c r="L473" s="9">
        <v>160</v>
      </c>
      <c r="M473" s="10">
        <v>0.05</v>
      </c>
      <c r="N473" s="9">
        <f t="shared" si="94"/>
        <v>320</v>
      </c>
      <c r="O473" s="9">
        <f t="shared" si="84"/>
        <v>304</v>
      </c>
      <c r="P473" s="5" t="s">
        <v>2269</v>
      </c>
      <c r="Q473" s="5" t="s">
        <v>1761</v>
      </c>
      <c r="R473" s="5" t="s">
        <v>2278</v>
      </c>
      <c r="S473" s="5" t="s">
        <v>2284</v>
      </c>
      <c r="T473" s="5" t="s">
        <v>2288</v>
      </c>
      <c r="U473" s="8">
        <v>4</v>
      </c>
      <c r="V473" s="8">
        <v>239</v>
      </c>
      <c r="W473" s="8">
        <v>57</v>
      </c>
      <c r="X473" s="9">
        <v>66.31</v>
      </c>
      <c r="Y473" s="9">
        <f t="shared" si="85"/>
        <v>171.38</v>
      </c>
      <c r="Z473" s="5" t="s">
        <v>1761</v>
      </c>
      <c r="AA473" s="5" t="s">
        <v>2298</v>
      </c>
      <c r="AB473" s="9">
        <f t="shared" si="86"/>
        <v>320</v>
      </c>
      <c r="AC473" s="9">
        <f t="shared" si="87"/>
        <v>16</v>
      </c>
      <c r="AD473" s="9">
        <f t="shared" si="88"/>
        <v>304</v>
      </c>
      <c r="AE473" s="9">
        <f t="shared" si="89"/>
        <v>132.62</v>
      </c>
      <c r="AF473" s="9">
        <f t="shared" si="95"/>
        <v>171.38</v>
      </c>
      <c r="AG473" s="8">
        <f t="shared" si="90"/>
        <v>2024</v>
      </c>
      <c r="AH473" s="8">
        <f t="shared" si="91"/>
        <v>3</v>
      </c>
      <c r="AI473" s="5" t="str">
        <f t="shared" si="92"/>
        <v>Mar</v>
      </c>
      <c r="AJ473" s="5" t="str">
        <f t="shared" si="93"/>
        <v>Thursday</v>
      </c>
    </row>
    <row r="474" spans="1:36" x14ac:dyDescent="0.3">
      <c r="A474" s="5" t="s">
        <v>508</v>
      </c>
      <c r="B474" s="6">
        <v>45626</v>
      </c>
      <c r="C474" s="7">
        <v>0.90625</v>
      </c>
      <c r="D474" s="5" t="s">
        <v>1876</v>
      </c>
      <c r="E474" s="5" t="s">
        <v>2076</v>
      </c>
      <c r="F474" s="5" t="s">
        <v>2238</v>
      </c>
      <c r="G474" s="5" t="s">
        <v>2241</v>
      </c>
      <c r="H474" s="5" t="s">
        <v>2257</v>
      </c>
      <c r="I474" s="5" t="s">
        <v>2262</v>
      </c>
      <c r="J474" s="5" t="s">
        <v>2265</v>
      </c>
      <c r="K474" s="8">
        <v>2</v>
      </c>
      <c r="L474" s="9">
        <v>140</v>
      </c>
      <c r="M474" s="10">
        <v>0.05</v>
      </c>
      <c r="N474" s="9">
        <f t="shared" si="94"/>
        <v>280</v>
      </c>
      <c r="O474" s="9">
        <f t="shared" si="84"/>
        <v>266</v>
      </c>
      <c r="P474" s="5" t="s">
        <v>2268</v>
      </c>
      <c r="Q474" s="5" t="s">
        <v>1761</v>
      </c>
      <c r="R474" s="5" t="s">
        <v>2275</v>
      </c>
      <c r="S474" s="5" t="s">
        <v>2284</v>
      </c>
      <c r="T474" s="5" t="s">
        <v>2288</v>
      </c>
      <c r="U474" s="19">
        <v>3</v>
      </c>
      <c r="V474" s="8">
        <v>226</v>
      </c>
      <c r="W474" s="19">
        <v>36</v>
      </c>
      <c r="X474" s="9">
        <v>63.59</v>
      </c>
      <c r="Y474" s="9">
        <f t="shared" si="85"/>
        <v>138.82</v>
      </c>
      <c r="Z474" s="5" t="s">
        <v>2291</v>
      </c>
      <c r="AA474" s="5" t="s">
        <v>2296</v>
      </c>
      <c r="AB474" s="9">
        <f t="shared" si="86"/>
        <v>280</v>
      </c>
      <c r="AC474" s="9">
        <f t="shared" si="87"/>
        <v>14</v>
      </c>
      <c r="AD474" s="9">
        <f t="shared" si="88"/>
        <v>266</v>
      </c>
      <c r="AE474" s="9">
        <f t="shared" si="89"/>
        <v>127.18</v>
      </c>
      <c r="AF474" s="9">
        <f t="shared" si="95"/>
        <v>138.82</v>
      </c>
      <c r="AG474" s="8">
        <f t="shared" si="90"/>
        <v>2024</v>
      </c>
      <c r="AH474" s="8">
        <f t="shared" si="91"/>
        <v>11</v>
      </c>
      <c r="AI474" s="5" t="str">
        <f t="shared" si="92"/>
        <v>Nov</v>
      </c>
      <c r="AJ474" s="5" t="str">
        <f t="shared" si="93"/>
        <v>Saturday</v>
      </c>
    </row>
    <row r="475" spans="1:36" x14ac:dyDescent="0.3">
      <c r="A475" s="5" t="s">
        <v>509</v>
      </c>
      <c r="B475" s="6">
        <v>45567</v>
      </c>
      <c r="C475" s="7">
        <v>0.90625</v>
      </c>
      <c r="D475" s="5" t="s">
        <v>1768</v>
      </c>
      <c r="E475" s="5" t="s">
        <v>2170</v>
      </c>
      <c r="F475" s="5" t="s">
        <v>2240</v>
      </c>
      <c r="G475" s="5" t="s">
        <v>2252</v>
      </c>
      <c r="H475" s="5" t="s">
        <v>2257</v>
      </c>
      <c r="I475" s="5" t="s">
        <v>2262</v>
      </c>
      <c r="J475" s="5" t="s">
        <v>2265</v>
      </c>
      <c r="K475" s="8">
        <v>2</v>
      </c>
      <c r="L475" s="9">
        <v>90</v>
      </c>
      <c r="M475" s="10">
        <v>0</v>
      </c>
      <c r="N475" s="9">
        <f t="shared" si="94"/>
        <v>180</v>
      </c>
      <c r="O475" s="9">
        <f t="shared" si="84"/>
        <v>180</v>
      </c>
      <c r="P475" s="5" t="s">
        <v>1761</v>
      </c>
      <c r="Q475" s="5" t="s">
        <v>2272</v>
      </c>
      <c r="R475" s="5" t="s">
        <v>2279</v>
      </c>
      <c r="S475" s="5" t="s">
        <v>2282</v>
      </c>
      <c r="T475" s="5" t="s">
        <v>2289</v>
      </c>
      <c r="U475" s="8">
        <v>1</v>
      </c>
      <c r="V475" s="19">
        <v>244</v>
      </c>
      <c r="W475" s="8">
        <v>28</v>
      </c>
      <c r="X475" s="9">
        <v>44.51</v>
      </c>
      <c r="Y475" s="9">
        <f t="shared" si="85"/>
        <v>90.98</v>
      </c>
      <c r="Z475" s="5" t="s">
        <v>1761</v>
      </c>
      <c r="AA475" s="5" t="s">
        <v>2297</v>
      </c>
      <c r="AB475" s="9">
        <f t="shared" si="86"/>
        <v>180</v>
      </c>
      <c r="AC475" s="9">
        <f t="shared" si="87"/>
        <v>0</v>
      </c>
      <c r="AD475" s="9">
        <f t="shared" si="88"/>
        <v>180</v>
      </c>
      <c r="AE475" s="9">
        <f t="shared" si="89"/>
        <v>89.02</v>
      </c>
      <c r="AF475" s="9">
        <f t="shared" si="95"/>
        <v>90.98</v>
      </c>
      <c r="AG475" s="8">
        <f t="shared" si="90"/>
        <v>2024</v>
      </c>
      <c r="AH475" s="8">
        <f t="shared" si="91"/>
        <v>10</v>
      </c>
      <c r="AI475" s="5" t="str">
        <f t="shared" si="92"/>
        <v>Oct</v>
      </c>
      <c r="AJ475" s="5" t="str">
        <f t="shared" si="93"/>
        <v>Wednesday</v>
      </c>
    </row>
    <row r="476" spans="1:36" x14ac:dyDescent="0.3">
      <c r="A476" s="5" t="s">
        <v>510</v>
      </c>
      <c r="B476" s="6">
        <v>45454</v>
      </c>
      <c r="C476" s="7">
        <v>0.29166666666666669</v>
      </c>
      <c r="D476" s="5" t="s">
        <v>1921</v>
      </c>
      <c r="E476" s="5" t="s">
        <v>2162</v>
      </c>
      <c r="F476" s="5" t="s">
        <v>2239</v>
      </c>
      <c r="G476" s="5" t="s">
        <v>2246</v>
      </c>
      <c r="H476" s="5" t="s">
        <v>2259</v>
      </c>
      <c r="I476" s="5" t="s">
        <v>2262</v>
      </c>
      <c r="J476" s="5" t="s">
        <v>2264</v>
      </c>
      <c r="K476" s="8">
        <v>1</v>
      </c>
      <c r="L476" s="9">
        <v>95</v>
      </c>
      <c r="M476" s="10">
        <v>0</v>
      </c>
      <c r="N476" s="9">
        <f t="shared" si="94"/>
        <v>95</v>
      </c>
      <c r="O476" s="9">
        <f t="shared" si="84"/>
        <v>95</v>
      </c>
      <c r="P476" s="5" t="s">
        <v>2269</v>
      </c>
      <c r="Q476" s="5" t="s">
        <v>2270</v>
      </c>
      <c r="R476" s="5" t="s">
        <v>2273</v>
      </c>
      <c r="S476" s="5" t="s">
        <v>2285</v>
      </c>
      <c r="T476" s="5" t="s">
        <v>2290</v>
      </c>
      <c r="U476" s="8">
        <v>5</v>
      </c>
      <c r="V476" s="8">
        <v>486</v>
      </c>
      <c r="W476" s="8">
        <v>43</v>
      </c>
      <c r="X476" s="9">
        <v>47.33</v>
      </c>
      <c r="Y476" s="9">
        <f t="shared" si="85"/>
        <v>47.67</v>
      </c>
      <c r="Z476" s="5" t="s">
        <v>2293</v>
      </c>
      <c r="AA476" s="5" t="s">
        <v>2296</v>
      </c>
      <c r="AB476" s="9">
        <f t="shared" si="86"/>
        <v>95</v>
      </c>
      <c r="AC476" s="9">
        <f t="shared" si="87"/>
        <v>0</v>
      </c>
      <c r="AD476" s="9">
        <f t="shared" si="88"/>
        <v>95</v>
      </c>
      <c r="AE476" s="9">
        <f t="shared" si="89"/>
        <v>47.33</v>
      </c>
      <c r="AF476" s="9">
        <f t="shared" si="95"/>
        <v>47.67</v>
      </c>
      <c r="AG476" s="8">
        <f t="shared" si="90"/>
        <v>2024</v>
      </c>
      <c r="AH476" s="8">
        <f t="shared" si="91"/>
        <v>6</v>
      </c>
      <c r="AI476" s="5" t="str">
        <f t="shared" si="92"/>
        <v>Jun</v>
      </c>
      <c r="AJ476" s="5" t="str">
        <f t="shared" si="93"/>
        <v>Tuesday</v>
      </c>
    </row>
    <row r="477" spans="1:36" x14ac:dyDescent="0.3">
      <c r="A477" s="5" t="s">
        <v>511</v>
      </c>
      <c r="B477" s="6">
        <v>45304</v>
      </c>
      <c r="C477" s="7">
        <v>0.47222222222222221</v>
      </c>
      <c r="D477" s="5" t="s">
        <v>1844</v>
      </c>
      <c r="E477" s="5" t="s">
        <v>1977</v>
      </c>
      <c r="F477" s="5" t="s">
        <v>2239</v>
      </c>
      <c r="G477" s="5" t="s">
        <v>2243</v>
      </c>
      <c r="H477" s="5" t="s">
        <v>2258</v>
      </c>
      <c r="I477" s="5" t="s">
        <v>2260</v>
      </c>
      <c r="J477" s="5" t="s">
        <v>1761</v>
      </c>
      <c r="K477" s="8">
        <v>1</v>
      </c>
      <c r="L477" s="9">
        <v>70</v>
      </c>
      <c r="M477" s="10">
        <v>0</v>
      </c>
      <c r="N477" s="9">
        <f t="shared" si="94"/>
        <v>70</v>
      </c>
      <c r="O477" s="9">
        <f t="shared" si="84"/>
        <v>70</v>
      </c>
      <c r="P477" s="5" t="s">
        <v>2268</v>
      </c>
      <c r="Q477" s="5" t="s">
        <v>2270</v>
      </c>
      <c r="R477" s="5" t="s">
        <v>2278</v>
      </c>
      <c r="S477" s="5" t="s">
        <v>2286</v>
      </c>
      <c r="T477" s="5" t="s">
        <v>2288</v>
      </c>
      <c r="U477" s="19">
        <v>3</v>
      </c>
      <c r="V477" s="8">
        <v>350</v>
      </c>
      <c r="W477" s="19">
        <v>34</v>
      </c>
      <c r="X477" s="9">
        <v>31.85</v>
      </c>
      <c r="Y477" s="9">
        <f t="shared" si="85"/>
        <v>38.15</v>
      </c>
      <c r="Z477" s="5" t="s">
        <v>2292</v>
      </c>
      <c r="AA477" s="5" t="s">
        <v>2298</v>
      </c>
      <c r="AB477" s="9">
        <f t="shared" si="86"/>
        <v>70</v>
      </c>
      <c r="AC477" s="9">
        <f t="shared" si="87"/>
        <v>0</v>
      </c>
      <c r="AD477" s="9">
        <f t="shared" si="88"/>
        <v>70</v>
      </c>
      <c r="AE477" s="9">
        <f t="shared" si="89"/>
        <v>31.85</v>
      </c>
      <c r="AF477" s="9">
        <f t="shared" si="95"/>
        <v>38.15</v>
      </c>
      <c r="AG477" s="8">
        <f t="shared" si="90"/>
        <v>2024</v>
      </c>
      <c r="AH477" s="8">
        <f t="shared" si="91"/>
        <v>1</v>
      </c>
      <c r="AI477" s="5" t="str">
        <f t="shared" si="92"/>
        <v>Jan</v>
      </c>
      <c r="AJ477" s="5" t="str">
        <f t="shared" si="93"/>
        <v>Saturday</v>
      </c>
    </row>
    <row r="478" spans="1:36" x14ac:dyDescent="0.3">
      <c r="A478" s="5" t="s">
        <v>512</v>
      </c>
      <c r="B478" s="6">
        <v>45591</v>
      </c>
      <c r="C478" s="7">
        <v>0.84722222222222221</v>
      </c>
      <c r="D478" s="5" t="s">
        <v>1863</v>
      </c>
      <c r="E478" s="5" t="s">
        <v>2177</v>
      </c>
      <c r="F478" s="5" t="s">
        <v>2240</v>
      </c>
      <c r="G478" s="5" t="s">
        <v>2251</v>
      </c>
      <c r="H478" s="5" t="s">
        <v>2258</v>
      </c>
      <c r="I478" s="5" t="s">
        <v>2260</v>
      </c>
      <c r="J478" s="5" t="s">
        <v>2265</v>
      </c>
      <c r="K478" s="8">
        <v>1</v>
      </c>
      <c r="L478" s="9">
        <v>105</v>
      </c>
      <c r="M478" s="10">
        <v>0.05</v>
      </c>
      <c r="N478" s="9">
        <f t="shared" si="94"/>
        <v>105</v>
      </c>
      <c r="O478" s="9">
        <f t="shared" si="84"/>
        <v>99.75</v>
      </c>
      <c r="P478" s="5" t="s">
        <v>2268</v>
      </c>
      <c r="Q478" s="5" t="s">
        <v>2270</v>
      </c>
      <c r="R478" s="5" t="s">
        <v>2276</v>
      </c>
      <c r="S478" s="5" t="s">
        <v>2282</v>
      </c>
      <c r="T478" s="5" t="s">
        <v>2288</v>
      </c>
      <c r="U478" s="8">
        <v>5</v>
      </c>
      <c r="V478" s="8">
        <v>338</v>
      </c>
      <c r="W478" s="19">
        <v>34</v>
      </c>
      <c r="X478" s="9">
        <v>47.76</v>
      </c>
      <c r="Y478" s="9">
        <f t="shared" si="85"/>
        <v>51.99</v>
      </c>
      <c r="Z478" s="5" t="s">
        <v>2294</v>
      </c>
      <c r="AA478" s="5" t="s">
        <v>2296</v>
      </c>
      <c r="AB478" s="9">
        <f t="shared" si="86"/>
        <v>105</v>
      </c>
      <c r="AC478" s="9">
        <f t="shared" si="87"/>
        <v>5.25</v>
      </c>
      <c r="AD478" s="9">
        <f t="shared" si="88"/>
        <v>99.75</v>
      </c>
      <c r="AE478" s="9">
        <f t="shared" si="89"/>
        <v>47.76</v>
      </c>
      <c r="AF478" s="9">
        <f t="shared" si="95"/>
        <v>51.99</v>
      </c>
      <c r="AG478" s="8">
        <f t="shared" si="90"/>
        <v>2024</v>
      </c>
      <c r="AH478" s="8">
        <f t="shared" si="91"/>
        <v>10</v>
      </c>
      <c r="AI478" s="5" t="str">
        <f t="shared" si="92"/>
        <v>Oct</v>
      </c>
      <c r="AJ478" s="5" t="str">
        <f t="shared" si="93"/>
        <v>Saturday</v>
      </c>
    </row>
    <row r="479" spans="1:36" x14ac:dyDescent="0.3">
      <c r="A479" s="5" t="s">
        <v>513</v>
      </c>
      <c r="B479" s="6">
        <v>45387</v>
      </c>
      <c r="C479" s="7">
        <v>0.84722222222222221</v>
      </c>
      <c r="D479" s="5" t="s">
        <v>1802</v>
      </c>
      <c r="E479" s="5" t="s">
        <v>2013</v>
      </c>
      <c r="F479" s="5" t="s">
        <v>2239</v>
      </c>
      <c r="G479" s="5" t="s">
        <v>2254</v>
      </c>
      <c r="H479" s="5" t="s">
        <v>2259</v>
      </c>
      <c r="I479" s="5" t="s">
        <v>2263</v>
      </c>
      <c r="J479" s="5" t="s">
        <v>2264</v>
      </c>
      <c r="K479" s="8">
        <v>2</v>
      </c>
      <c r="L479" s="9">
        <v>110</v>
      </c>
      <c r="M479" s="10">
        <v>0.1</v>
      </c>
      <c r="N479" s="9">
        <f t="shared" si="94"/>
        <v>220</v>
      </c>
      <c r="O479" s="9">
        <f t="shared" si="84"/>
        <v>198</v>
      </c>
      <c r="P479" s="5" t="s">
        <v>2267</v>
      </c>
      <c r="Q479" s="5" t="s">
        <v>2272</v>
      </c>
      <c r="R479" s="5" t="s">
        <v>2275</v>
      </c>
      <c r="S479" s="5" t="s">
        <v>2284</v>
      </c>
      <c r="T479" s="5" t="s">
        <v>2288</v>
      </c>
      <c r="U479" s="8">
        <v>3</v>
      </c>
      <c r="V479" s="8">
        <v>21</v>
      </c>
      <c r="W479" s="8">
        <v>46</v>
      </c>
      <c r="X479" s="9">
        <v>48.31</v>
      </c>
      <c r="Y479" s="9">
        <f t="shared" si="85"/>
        <v>101.38</v>
      </c>
      <c r="Z479" s="5" t="s">
        <v>2292</v>
      </c>
      <c r="AA479" s="5" t="s">
        <v>2296</v>
      </c>
      <c r="AB479" s="9">
        <f t="shared" si="86"/>
        <v>220</v>
      </c>
      <c r="AC479" s="9">
        <f t="shared" si="87"/>
        <v>22</v>
      </c>
      <c r="AD479" s="9">
        <f t="shared" si="88"/>
        <v>198</v>
      </c>
      <c r="AE479" s="9">
        <f t="shared" si="89"/>
        <v>96.62</v>
      </c>
      <c r="AF479" s="9">
        <f t="shared" si="95"/>
        <v>101.38</v>
      </c>
      <c r="AG479" s="8">
        <f t="shared" si="90"/>
        <v>2024</v>
      </c>
      <c r="AH479" s="8">
        <f t="shared" si="91"/>
        <v>4</v>
      </c>
      <c r="AI479" s="5" t="str">
        <f t="shared" si="92"/>
        <v>Apr</v>
      </c>
      <c r="AJ479" s="5" t="str">
        <f t="shared" si="93"/>
        <v>Friday</v>
      </c>
    </row>
    <row r="480" spans="1:36" x14ac:dyDescent="0.3">
      <c r="A480" s="5" t="s">
        <v>514</v>
      </c>
      <c r="B480" s="6">
        <v>45364</v>
      </c>
      <c r="C480" s="7">
        <v>0.88888888888888884</v>
      </c>
      <c r="D480" s="5" t="s">
        <v>1850</v>
      </c>
      <c r="E480" s="5" t="s">
        <v>2025</v>
      </c>
      <c r="F480" s="5" t="s">
        <v>2239</v>
      </c>
      <c r="G480" s="5" t="s">
        <v>2253</v>
      </c>
      <c r="H480" s="5" t="s">
        <v>2258</v>
      </c>
      <c r="I480" s="5" t="s">
        <v>2260</v>
      </c>
      <c r="J480" s="5" t="s">
        <v>2265</v>
      </c>
      <c r="K480" s="8">
        <v>1</v>
      </c>
      <c r="L480" s="9">
        <v>95</v>
      </c>
      <c r="M480" s="10">
        <v>0.1</v>
      </c>
      <c r="N480" s="9">
        <f t="shared" si="94"/>
        <v>95</v>
      </c>
      <c r="O480" s="9">
        <f t="shared" si="84"/>
        <v>85.5</v>
      </c>
      <c r="P480" s="5" t="s">
        <v>2269</v>
      </c>
      <c r="Q480" s="5" t="s">
        <v>2272</v>
      </c>
      <c r="R480" s="5" t="s">
        <v>2275</v>
      </c>
      <c r="S480" s="5" t="s">
        <v>2285</v>
      </c>
      <c r="T480" s="5" t="s">
        <v>2290</v>
      </c>
      <c r="U480" s="8">
        <v>1</v>
      </c>
      <c r="V480" s="8">
        <v>464</v>
      </c>
      <c r="W480" s="8">
        <v>31</v>
      </c>
      <c r="X480" s="9">
        <v>33.76</v>
      </c>
      <c r="Y480" s="9">
        <f t="shared" si="85"/>
        <v>51.74</v>
      </c>
      <c r="Z480" s="5" t="s">
        <v>2291</v>
      </c>
      <c r="AA480" s="5" t="s">
        <v>2298</v>
      </c>
      <c r="AB480" s="9">
        <f t="shared" si="86"/>
        <v>95</v>
      </c>
      <c r="AC480" s="9">
        <f t="shared" si="87"/>
        <v>9.5</v>
      </c>
      <c r="AD480" s="9">
        <f t="shared" si="88"/>
        <v>85.5</v>
      </c>
      <c r="AE480" s="9">
        <f t="shared" si="89"/>
        <v>33.76</v>
      </c>
      <c r="AF480" s="9">
        <f t="shared" si="95"/>
        <v>51.74</v>
      </c>
      <c r="AG480" s="8">
        <f t="shared" si="90"/>
        <v>2024</v>
      </c>
      <c r="AH480" s="8">
        <f t="shared" si="91"/>
        <v>3</v>
      </c>
      <c r="AI480" s="5" t="str">
        <f t="shared" si="92"/>
        <v>Mar</v>
      </c>
      <c r="AJ480" s="5" t="str">
        <f t="shared" si="93"/>
        <v>Wednesday</v>
      </c>
    </row>
    <row r="481" spans="1:36" x14ac:dyDescent="0.3">
      <c r="A481" s="5" t="s">
        <v>515</v>
      </c>
      <c r="B481" s="6">
        <v>45591</v>
      </c>
      <c r="C481" s="7">
        <v>0.72916666666666663</v>
      </c>
      <c r="D481" s="5" t="s">
        <v>1783</v>
      </c>
      <c r="E481" s="5" t="s">
        <v>2005</v>
      </c>
      <c r="F481" s="5" t="s">
        <v>2238</v>
      </c>
      <c r="G481" s="5" t="s">
        <v>2241</v>
      </c>
      <c r="H481" s="5" t="s">
        <v>2257</v>
      </c>
      <c r="I481" s="5" t="s">
        <v>2262</v>
      </c>
      <c r="J481" s="5" t="s">
        <v>2266</v>
      </c>
      <c r="K481" s="8">
        <v>1</v>
      </c>
      <c r="L481" s="9">
        <v>135</v>
      </c>
      <c r="M481" s="10">
        <v>0.1</v>
      </c>
      <c r="N481" s="9">
        <f t="shared" si="94"/>
        <v>135</v>
      </c>
      <c r="O481" s="9">
        <f t="shared" si="84"/>
        <v>121.5</v>
      </c>
      <c r="P481" s="5" t="s">
        <v>2269</v>
      </c>
      <c r="Q481" s="5" t="s">
        <v>2272</v>
      </c>
      <c r="R481" s="5" t="s">
        <v>2275</v>
      </c>
      <c r="S481" s="5" t="s">
        <v>2285</v>
      </c>
      <c r="T481" s="5" t="s">
        <v>2288</v>
      </c>
      <c r="U481" s="8">
        <v>4</v>
      </c>
      <c r="V481" s="19">
        <v>244</v>
      </c>
      <c r="W481" s="8">
        <v>25</v>
      </c>
      <c r="X481" s="9">
        <v>51.86</v>
      </c>
      <c r="Y481" s="9">
        <f t="shared" si="85"/>
        <v>69.64</v>
      </c>
      <c r="Z481" s="5" t="s">
        <v>1761</v>
      </c>
      <c r="AA481" s="5" t="s">
        <v>2298</v>
      </c>
      <c r="AB481" s="9">
        <f t="shared" si="86"/>
        <v>135</v>
      </c>
      <c r="AC481" s="9">
        <f t="shared" si="87"/>
        <v>13.5</v>
      </c>
      <c r="AD481" s="9">
        <f t="shared" si="88"/>
        <v>121.5</v>
      </c>
      <c r="AE481" s="9">
        <f t="shared" si="89"/>
        <v>51.86</v>
      </c>
      <c r="AF481" s="9">
        <f t="shared" si="95"/>
        <v>69.64</v>
      </c>
      <c r="AG481" s="8">
        <f t="shared" si="90"/>
        <v>2024</v>
      </c>
      <c r="AH481" s="8">
        <f t="shared" si="91"/>
        <v>10</v>
      </c>
      <c r="AI481" s="5" t="str">
        <f t="shared" si="92"/>
        <v>Oct</v>
      </c>
      <c r="AJ481" s="5" t="str">
        <f t="shared" si="93"/>
        <v>Saturday</v>
      </c>
    </row>
    <row r="482" spans="1:36" x14ac:dyDescent="0.3">
      <c r="A482" s="5" t="s">
        <v>516</v>
      </c>
      <c r="B482" s="6">
        <v>45607</v>
      </c>
      <c r="C482" s="7">
        <v>0.57638888888888884</v>
      </c>
      <c r="D482" s="5" t="s">
        <v>1831</v>
      </c>
      <c r="E482" s="5" t="s">
        <v>2178</v>
      </c>
      <c r="F482" s="5" t="s">
        <v>2240</v>
      </c>
      <c r="G482" s="5" t="s">
        <v>2247</v>
      </c>
      <c r="H482" s="5" t="s">
        <v>2257</v>
      </c>
      <c r="I482" s="5" t="s">
        <v>2262</v>
      </c>
      <c r="J482" s="5" t="s">
        <v>2264</v>
      </c>
      <c r="K482" s="8">
        <v>1</v>
      </c>
      <c r="L482" s="9">
        <v>105</v>
      </c>
      <c r="M482" s="10">
        <v>0.05</v>
      </c>
      <c r="N482" s="9">
        <f t="shared" si="94"/>
        <v>105</v>
      </c>
      <c r="O482" s="9">
        <f t="shared" si="84"/>
        <v>99.75</v>
      </c>
      <c r="P482" s="5" t="s">
        <v>2269</v>
      </c>
      <c r="Q482" s="5" t="s">
        <v>2270</v>
      </c>
      <c r="R482" s="5" t="s">
        <v>2279</v>
      </c>
      <c r="S482" s="5" t="s">
        <v>2281</v>
      </c>
      <c r="T482" s="5" t="s">
        <v>2288</v>
      </c>
      <c r="U482" s="8">
        <v>3</v>
      </c>
      <c r="V482" s="8">
        <v>159</v>
      </c>
      <c r="W482" s="19">
        <v>34</v>
      </c>
      <c r="X482" s="9">
        <v>35.270000000000003</v>
      </c>
      <c r="Y482" s="9">
        <f t="shared" si="85"/>
        <v>64.47999999999999</v>
      </c>
      <c r="Z482" s="5" t="s">
        <v>1761</v>
      </c>
      <c r="AA482" s="5" t="s">
        <v>2299</v>
      </c>
      <c r="AB482" s="9">
        <f t="shared" si="86"/>
        <v>105</v>
      </c>
      <c r="AC482" s="9">
        <f t="shared" si="87"/>
        <v>5.25</v>
      </c>
      <c r="AD482" s="9">
        <f t="shared" si="88"/>
        <v>99.75</v>
      </c>
      <c r="AE482" s="9">
        <f t="shared" si="89"/>
        <v>35.270000000000003</v>
      </c>
      <c r="AF482" s="9">
        <f t="shared" si="95"/>
        <v>64.47999999999999</v>
      </c>
      <c r="AG482" s="8">
        <f t="shared" si="90"/>
        <v>2024</v>
      </c>
      <c r="AH482" s="8">
        <f t="shared" si="91"/>
        <v>11</v>
      </c>
      <c r="AI482" s="5" t="str">
        <f t="shared" si="92"/>
        <v>Nov</v>
      </c>
      <c r="AJ482" s="5" t="str">
        <f t="shared" si="93"/>
        <v>Monday</v>
      </c>
    </row>
    <row r="483" spans="1:36" x14ac:dyDescent="0.3">
      <c r="A483" s="5" t="s">
        <v>517</v>
      </c>
      <c r="B483" s="6">
        <v>45569</v>
      </c>
      <c r="C483" s="7">
        <v>0.53472222222222221</v>
      </c>
      <c r="D483" s="5" t="s">
        <v>1877</v>
      </c>
      <c r="E483" s="5" t="s">
        <v>2034</v>
      </c>
      <c r="F483" s="5" t="s">
        <v>1761</v>
      </c>
      <c r="G483" s="5" t="s">
        <v>2248</v>
      </c>
      <c r="H483" s="5" t="s">
        <v>2257</v>
      </c>
      <c r="I483" s="5" t="s">
        <v>2262</v>
      </c>
      <c r="J483" s="5" t="s">
        <v>2266</v>
      </c>
      <c r="K483" s="8">
        <v>2</v>
      </c>
      <c r="L483" s="9">
        <v>145</v>
      </c>
      <c r="M483" s="10">
        <v>0</v>
      </c>
      <c r="N483" s="9">
        <f t="shared" si="94"/>
        <v>290</v>
      </c>
      <c r="O483" s="9">
        <f t="shared" si="84"/>
        <v>290</v>
      </c>
      <c r="P483" s="5" t="s">
        <v>1761</v>
      </c>
      <c r="Q483" s="5" t="s">
        <v>1761</v>
      </c>
      <c r="R483" s="5" t="s">
        <v>2276</v>
      </c>
      <c r="S483" s="5" t="s">
        <v>2283</v>
      </c>
      <c r="T483" s="5" t="s">
        <v>2288</v>
      </c>
      <c r="U483" s="8">
        <v>4</v>
      </c>
      <c r="V483" s="8">
        <v>277</v>
      </c>
      <c r="W483" s="8">
        <v>42</v>
      </c>
      <c r="X483" s="9">
        <v>53.8</v>
      </c>
      <c r="Y483" s="9">
        <f t="shared" si="85"/>
        <v>182.4</v>
      </c>
      <c r="Z483" s="5" t="s">
        <v>2293</v>
      </c>
      <c r="AA483" s="5" t="s">
        <v>2296</v>
      </c>
      <c r="AB483" s="9">
        <f t="shared" si="86"/>
        <v>290</v>
      </c>
      <c r="AC483" s="9">
        <f t="shared" si="87"/>
        <v>0</v>
      </c>
      <c r="AD483" s="9">
        <f t="shared" si="88"/>
        <v>290</v>
      </c>
      <c r="AE483" s="9">
        <f t="shared" si="89"/>
        <v>107.6</v>
      </c>
      <c r="AF483" s="9">
        <f t="shared" si="95"/>
        <v>182.4</v>
      </c>
      <c r="AG483" s="8">
        <f t="shared" si="90"/>
        <v>2024</v>
      </c>
      <c r="AH483" s="8">
        <f t="shared" si="91"/>
        <v>10</v>
      </c>
      <c r="AI483" s="5" t="str">
        <f t="shared" si="92"/>
        <v>Oct</v>
      </c>
      <c r="AJ483" s="5" t="str">
        <f t="shared" si="93"/>
        <v>Friday</v>
      </c>
    </row>
    <row r="484" spans="1:36" x14ac:dyDescent="0.3">
      <c r="A484" s="5" t="s">
        <v>518</v>
      </c>
      <c r="B484" s="6">
        <v>45298</v>
      </c>
      <c r="C484" s="7">
        <v>0.41666666666666669</v>
      </c>
      <c r="D484" s="5" t="s">
        <v>1755</v>
      </c>
      <c r="E484" s="5" t="s">
        <v>2145</v>
      </c>
      <c r="F484" s="5" t="s">
        <v>2238</v>
      </c>
      <c r="G484" s="5" t="s">
        <v>2247</v>
      </c>
      <c r="H484" s="5" t="s">
        <v>2257</v>
      </c>
      <c r="I484" s="5" t="s">
        <v>2262</v>
      </c>
      <c r="J484" s="5" t="s">
        <v>2266</v>
      </c>
      <c r="K484" s="8">
        <v>3</v>
      </c>
      <c r="L484" s="9">
        <v>100</v>
      </c>
      <c r="M484" s="10">
        <v>0</v>
      </c>
      <c r="N484" s="9">
        <f t="shared" si="94"/>
        <v>300</v>
      </c>
      <c r="O484" s="9">
        <f t="shared" si="84"/>
        <v>300</v>
      </c>
      <c r="P484" s="5" t="s">
        <v>2269</v>
      </c>
      <c r="Q484" s="5" t="s">
        <v>2271</v>
      </c>
      <c r="R484" s="5" t="s">
        <v>2276</v>
      </c>
      <c r="S484" s="5" t="s">
        <v>2280</v>
      </c>
      <c r="T484" s="5" t="s">
        <v>2289</v>
      </c>
      <c r="U484" s="8">
        <v>2</v>
      </c>
      <c r="V484" s="8">
        <v>268</v>
      </c>
      <c r="W484" s="19">
        <v>37</v>
      </c>
      <c r="X484" s="9">
        <v>48.41</v>
      </c>
      <c r="Y484" s="9">
        <f t="shared" si="85"/>
        <v>154.77000000000001</v>
      </c>
      <c r="Z484" s="5" t="s">
        <v>2293</v>
      </c>
      <c r="AA484" s="5" t="s">
        <v>2296</v>
      </c>
      <c r="AB484" s="9">
        <f t="shared" si="86"/>
        <v>300</v>
      </c>
      <c r="AC484" s="9">
        <f t="shared" si="87"/>
        <v>0</v>
      </c>
      <c r="AD484" s="9">
        <f t="shared" si="88"/>
        <v>300</v>
      </c>
      <c r="AE484" s="9">
        <f t="shared" si="89"/>
        <v>145.22999999999999</v>
      </c>
      <c r="AF484" s="9">
        <f t="shared" si="95"/>
        <v>154.77000000000001</v>
      </c>
      <c r="AG484" s="8">
        <f t="shared" si="90"/>
        <v>2024</v>
      </c>
      <c r="AH484" s="8">
        <f t="shared" si="91"/>
        <v>1</v>
      </c>
      <c r="AI484" s="5" t="str">
        <f t="shared" si="92"/>
        <v>Jan</v>
      </c>
      <c r="AJ484" s="5" t="str">
        <f t="shared" si="93"/>
        <v>Sunday</v>
      </c>
    </row>
    <row r="485" spans="1:36" x14ac:dyDescent="0.3">
      <c r="A485" s="5" t="s">
        <v>519</v>
      </c>
      <c r="B485" s="6">
        <v>45405</v>
      </c>
      <c r="C485" s="7">
        <v>0.53472222222222221</v>
      </c>
      <c r="D485" s="5" t="s">
        <v>1834</v>
      </c>
      <c r="E485" s="5" t="s">
        <v>2142</v>
      </c>
      <c r="F485" s="5" t="s">
        <v>2238</v>
      </c>
      <c r="G485" s="5" t="s">
        <v>2250</v>
      </c>
      <c r="H485" s="5" t="s">
        <v>2259</v>
      </c>
      <c r="I485" s="5" t="s">
        <v>2262</v>
      </c>
      <c r="J485" s="5" t="s">
        <v>2265</v>
      </c>
      <c r="K485" s="8">
        <v>1</v>
      </c>
      <c r="L485" s="9">
        <v>80</v>
      </c>
      <c r="M485" s="10">
        <v>0</v>
      </c>
      <c r="N485" s="9">
        <f t="shared" si="94"/>
        <v>80</v>
      </c>
      <c r="O485" s="9">
        <f t="shared" si="84"/>
        <v>80</v>
      </c>
      <c r="P485" s="5" t="s">
        <v>2269</v>
      </c>
      <c r="Q485" s="5" t="s">
        <v>2271</v>
      </c>
      <c r="R485" s="5" t="s">
        <v>2277</v>
      </c>
      <c r="S485" s="5" t="s">
        <v>2281</v>
      </c>
      <c r="T485" s="5" t="s">
        <v>2288</v>
      </c>
      <c r="U485" s="8">
        <v>2</v>
      </c>
      <c r="V485" s="8">
        <v>97</v>
      </c>
      <c r="W485" s="8">
        <v>43</v>
      </c>
      <c r="X485" s="9">
        <v>32.76</v>
      </c>
      <c r="Y485" s="9">
        <f t="shared" si="85"/>
        <v>47.24</v>
      </c>
      <c r="Z485" s="5" t="s">
        <v>1761</v>
      </c>
      <c r="AA485" s="5" t="s">
        <v>2297</v>
      </c>
      <c r="AB485" s="9">
        <f t="shared" si="86"/>
        <v>80</v>
      </c>
      <c r="AC485" s="9">
        <f t="shared" si="87"/>
        <v>0</v>
      </c>
      <c r="AD485" s="9">
        <f t="shared" si="88"/>
        <v>80</v>
      </c>
      <c r="AE485" s="9">
        <f t="shared" si="89"/>
        <v>32.76</v>
      </c>
      <c r="AF485" s="9">
        <f t="shared" si="95"/>
        <v>47.24</v>
      </c>
      <c r="AG485" s="8">
        <f t="shared" si="90"/>
        <v>2024</v>
      </c>
      <c r="AH485" s="8">
        <f t="shared" si="91"/>
        <v>4</v>
      </c>
      <c r="AI485" s="5" t="str">
        <f t="shared" si="92"/>
        <v>Apr</v>
      </c>
      <c r="AJ485" s="5" t="str">
        <f t="shared" si="93"/>
        <v>Tuesday</v>
      </c>
    </row>
    <row r="486" spans="1:36" x14ac:dyDescent="0.3">
      <c r="A486" s="5" t="s">
        <v>520</v>
      </c>
      <c r="B486" s="6">
        <v>45644</v>
      </c>
      <c r="C486" s="7">
        <v>0.40625</v>
      </c>
      <c r="D486" s="5" t="s">
        <v>1922</v>
      </c>
      <c r="E486" s="5" t="s">
        <v>2056</v>
      </c>
      <c r="F486" s="5" t="s">
        <v>2239</v>
      </c>
      <c r="G486" s="5" t="s">
        <v>2252</v>
      </c>
      <c r="H486" s="5" t="s">
        <v>2257</v>
      </c>
      <c r="I486" s="5" t="s">
        <v>2262</v>
      </c>
      <c r="J486" s="5" t="s">
        <v>2265</v>
      </c>
      <c r="K486" s="19">
        <v>2</v>
      </c>
      <c r="L486" s="9">
        <v>90</v>
      </c>
      <c r="M486" s="10">
        <v>0.05</v>
      </c>
      <c r="N486" s="9">
        <f t="shared" si="94"/>
        <v>180</v>
      </c>
      <c r="O486" s="9">
        <f t="shared" si="84"/>
        <v>171</v>
      </c>
      <c r="P486" s="5" t="s">
        <v>1761</v>
      </c>
      <c r="Q486" s="5" t="s">
        <v>1761</v>
      </c>
      <c r="R486" s="5" t="s">
        <v>2277</v>
      </c>
      <c r="S486" s="5" t="s">
        <v>2287</v>
      </c>
      <c r="T486" s="5" t="s">
        <v>2288</v>
      </c>
      <c r="U486" s="8">
        <v>5</v>
      </c>
      <c r="V486" s="8">
        <v>159</v>
      </c>
      <c r="W486" s="8">
        <v>37</v>
      </c>
      <c r="X486" s="9">
        <v>37.43</v>
      </c>
      <c r="Y486" s="9">
        <f t="shared" si="85"/>
        <v>96.14</v>
      </c>
      <c r="Z486" s="5" t="s">
        <v>2294</v>
      </c>
      <c r="AA486" s="5" t="s">
        <v>2298</v>
      </c>
      <c r="AB486" s="9">
        <f t="shared" si="86"/>
        <v>180</v>
      </c>
      <c r="AC486" s="9">
        <f t="shared" si="87"/>
        <v>9</v>
      </c>
      <c r="AD486" s="9">
        <f t="shared" si="88"/>
        <v>171</v>
      </c>
      <c r="AE486" s="9">
        <f t="shared" si="89"/>
        <v>74.86</v>
      </c>
      <c r="AF486" s="9">
        <f t="shared" si="95"/>
        <v>96.14</v>
      </c>
      <c r="AG486" s="8">
        <f t="shared" si="90"/>
        <v>2024</v>
      </c>
      <c r="AH486" s="8">
        <f t="shared" si="91"/>
        <v>12</v>
      </c>
      <c r="AI486" s="5" t="str">
        <f t="shared" si="92"/>
        <v>Dec</v>
      </c>
      <c r="AJ486" s="5" t="str">
        <f t="shared" si="93"/>
        <v>Wednesday</v>
      </c>
    </row>
    <row r="487" spans="1:36" x14ac:dyDescent="0.3">
      <c r="A487" s="5" t="s">
        <v>521</v>
      </c>
      <c r="B487" s="6">
        <v>45498</v>
      </c>
      <c r="C487" s="7">
        <v>0.63888888888888884</v>
      </c>
      <c r="D487" s="5" t="s">
        <v>1868</v>
      </c>
      <c r="E487" s="5" t="s">
        <v>2061</v>
      </c>
      <c r="F487" s="5" t="s">
        <v>1761</v>
      </c>
      <c r="G487" s="5" t="s">
        <v>2241</v>
      </c>
      <c r="H487" s="5" t="s">
        <v>2257</v>
      </c>
      <c r="I487" s="5" t="s">
        <v>2262</v>
      </c>
      <c r="J487" s="5" t="s">
        <v>2264</v>
      </c>
      <c r="K487" s="8">
        <v>1</v>
      </c>
      <c r="L487" s="9">
        <v>125</v>
      </c>
      <c r="M487" s="10">
        <v>0.05</v>
      </c>
      <c r="N487" s="9">
        <f t="shared" si="94"/>
        <v>125</v>
      </c>
      <c r="O487" s="9">
        <f t="shared" si="84"/>
        <v>118.75</v>
      </c>
      <c r="P487" s="5" t="s">
        <v>1761</v>
      </c>
      <c r="Q487" s="5" t="s">
        <v>2272</v>
      </c>
      <c r="R487" s="5" t="s">
        <v>2279</v>
      </c>
      <c r="S487" s="5" t="s">
        <v>2284</v>
      </c>
      <c r="T487" s="5" t="s">
        <v>2289</v>
      </c>
      <c r="U487" s="8">
        <v>1</v>
      </c>
      <c r="V487" s="8">
        <v>252</v>
      </c>
      <c r="W487" s="19">
        <v>35</v>
      </c>
      <c r="X487" s="9">
        <v>75.89</v>
      </c>
      <c r="Y487" s="9">
        <f t="shared" si="85"/>
        <v>42.86</v>
      </c>
      <c r="Z487" s="5" t="s">
        <v>2292</v>
      </c>
      <c r="AA487" s="5" t="s">
        <v>2299</v>
      </c>
      <c r="AB487" s="9">
        <f t="shared" si="86"/>
        <v>125</v>
      </c>
      <c r="AC487" s="9">
        <f t="shared" si="87"/>
        <v>6.25</v>
      </c>
      <c r="AD487" s="9">
        <f t="shared" si="88"/>
        <v>118.75</v>
      </c>
      <c r="AE487" s="9">
        <f t="shared" si="89"/>
        <v>75.89</v>
      </c>
      <c r="AF487" s="9">
        <f t="shared" si="95"/>
        <v>42.86</v>
      </c>
      <c r="AG487" s="8">
        <f t="shared" si="90"/>
        <v>2024</v>
      </c>
      <c r="AH487" s="8">
        <f t="shared" si="91"/>
        <v>7</v>
      </c>
      <c r="AI487" s="5" t="str">
        <f t="shared" si="92"/>
        <v>Jul</v>
      </c>
      <c r="AJ487" s="5" t="str">
        <f t="shared" si="93"/>
        <v>Thursday</v>
      </c>
    </row>
    <row r="488" spans="1:36" x14ac:dyDescent="0.3">
      <c r="A488" s="5" t="s">
        <v>522</v>
      </c>
      <c r="B488" s="6">
        <v>45462</v>
      </c>
      <c r="C488" s="7">
        <v>0.79861111111111116</v>
      </c>
      <c r="D488" s="5" t="s">
        <v>1888</v>
      </c>
      <c r="E488" s="5" t="s">
        <v>2147</v>
      </c>
      <c r="F488" s="5" t="s">
        <v>2239</v>
      </c>
      <c r="G488" s="5" t="s">
        <v>2245</v>
      </c>
      <c r="H488" s="5" t="s">
        <v>2257</v>
      </c>
      <c r="I488" s="5" t="s">
        <v>2263</v>
      </c>
      <c r="J488" s="5" t="s">
        <v>2264</v>
      </c>
      <c r="K488" s="8">
        <v>5</v>
      </c>
      <c r="L488" s="9">
        <v>145</v>
      </c>
      <c r="M488" s="10">
        <v>0.1</v>
      </c>
      <c r="N488" s="9">
        <f t="shared" si="94"/>
        <v>725</v>
      </c>
      <c r="O488" s="9">
        <f t="shared" si="84"/>
        <v>652.5</v>
      </c>
      <c r="P488" s="5" t="s">
        <v>2267</v>
      </c>
      <c r="Q488" s="5" t="s">
        <v>2272</v>
      </c>
      <c r="R488" s="5" t="s">
        <v>2279</v>
      </c>
      <c r="S488" s="5" t="s">
        <v>2284</v>
      </c>
      <c r="T488" s="5" t="s">
        <v>2288</v>
      </c>
      <c r="U488" s="8">
        <v>2</v>
      </c>
      <c r="V488" s="8">
        <v>205</v>
      </c>
      <c r="W488" s="8">
        <v>23</v>
      </c>
      <c r="X488" s="9">
        <v>80.42</v>
      </c>
      <c r="Y488" s="9">
        <f t="shared" si="85"/>
        <v>250.39999999999998</v>
      </c>
      <c r="Z488" s="5" t="s">
        <v>2293</v>
      </c>
      <c r="AA488" s="5" t="s">
        <v>2296</v>
      </c>
      <c r="AB488" s="9">
        <f t="shared" si="86"/>
        <v>725</v>
      </c>
      <c r="AC488" s="9">
        <f t="shared" si="87"/>
        <v>72.5</v>
      </c>
      <c r="AD488" s="9">
        <f t="shared" si="88"/>
        <v>652.5</v>
      </c>
      <c r="AE488" s="9">
        <f t="shared" si="89"/>
        <v>402.1</v>
      </c>
      <c r="AF488" s="9">
        <f t="shared" si="95"/>
        <v>250.39999999999998</v>
      </c>
      <c r="AG488" s="8">
        <f t="shared" si="90"/>
        <v>2024</v>
      </c>
      <c r="AH488" s="8">
        <f t="shared" si="91"/>
        <v>6</v>
      </c>
      <c r="AI488" s="5" t="str">
        <f t="shared" si="92"/>
        <v>Jun</v>
      </c>
      <c r="AJ488" s="5" t="str">
        <f t="shared" si="93"/>
        <v>Wednesday</v>
      </c>
    </row>
    <row r="489" spans="1:36" x14ac:dyDescent="0.3">
      <c r="A489" s="5" t="s">
        <v>523</v>
      </c>
      <c r="B489" s="6">
        <v>45444</v>
      </c>
      <c r="C489" s="7">
        <v>0.30555555555555558</v>
      </c>
      <c r="D489" s="5" t="s">
        <v>1796</v>
      </c>
      <c r="E489" s="5" t="s">
        <v>2046</v>
      </c>
      <c r="F489" s="5" t="s">
        <v>2238</v>
      </c>
      <c r="G489" s="5" t="s">
        <v>2244</v>
      </c>
      <c r="H489" s="5" t="s">
        <v>2257</v>
      </c>
      <c r="I489" s="5" t="s">
        <v>2262</v>
      </c>
      <c r="J489" s="5" t="s">
        <v>2265</v>
      </c>
      <c r="K489" s="8">
        <v>2</v>
      </c>
      <c r="L489" s="9">
        <v>130</v>
      </c>
      <c r="M489" s="10">
        <v>0</v>
      </c>
      <c r="N489" s="9">
        <f t="shared" si="94"/>
        <v>260</v>
      </c>
      <c r="O489" s="9">
        <f t="shared" si="84"/>
        <v>260</v>
      </c>
      <c r="P489" s="5" t="s">
        <v>2268</v>
      </c>
      <c r="Q489" s="5" t="s">
        <v>2270</v>
      </c>
      <c r="R489" s="5" t="s">
        <v>2279</v>
      </c>
      <c r="S489" s="5" t="s">
        <v>2287</v>
      </c>
      <c r="T489" s="5" t="s">
        <v>2288</v>
      </c>
      <c r="U489" s="19">
        <v>3</v>
      </c>
      <c r="V489" s="8">
        <v>154</v>
      </c>
      <c r="W489" s="8">
        <v>48</v>
      </c>
      <c r="X489" s="9">
        <v>49.05</v>
      </c>
      <c r="Y489" s="9">
        <f t="shared" si="85"/>
        <v>161.9</v>
      </c>
      <c r="Z489" s="5" t="s">
        <v>1761</v>
      </c>
      <c r="AA489" s="5" t="s">
        <v>2297</v>
      </c>
      <c r="AB489" s="9">
        <f t="shared" si="86"/>
        <v>260</v>
      </c>
      <c r="AC489" s="9">
        <f t="shared" si="87"/>
        <v>0</v>
      </c>
      <c r="AD489" s="9">
        <f t="shared" si="88"/>
        <v>260</v>
      </c>
      <c r="AE489" s="9">
        <f t="shared" si="89"/>
        <v>98.1</v>
      </c>
      <c r="AF489" s="9">
        <f t="shared" si="95"/>
        <v>161.9</v>
      </c>
      <c r="AG489" s="8">
        <f t="shared" si="90"/>
        <v>2024</v>
      </c>
      <c r="AH489" s="8">
        <f t="shared" si="91"/>
        <v>6</v>
      </c>
      <c r="AI489" s="5" t="str">
        <f t="shared" si="92"/>
        <v>Jun</v>
      </c>
      <c r="AJ489" s="5" t="str">
        <f t="shared" si="93"/>
        <v>Saturday</v>
      </c>
    </row>
    <row r="490" spans="1:36" x14ac:dyDescent="0.3">
      <c r="A490" s="5" t="s">
        <v>524</v>
      </c>
      <c r="B490" s="6">
        <v>45599</v>
      </c>
      <c r="C490" s="7">
        <v>0.4236111111111111</v>
      </c>
      <c r="D490" s="5" t="s">
        <v>1760</v>
      </c>
      <c r="E490" s="5" t="s">
        <v>1966</v>
      </c>
      <c r="F490" s="5" t="s">
        <v>2240</v>
      </c>
      <c r="G490" s="5" t="s">
        <v>2244</v>
      </c>
      <c r="H490" s="5" t="s">
        <v>2257</v>
      </c>
      <c r="I490" s="5" t="s">
        <v>2262</v>
      </c>
      <c r="J490" s="5" t="s">
        <v>2266</v>
      </c>
      <c r="K490" s="19">
        <v>1</v>
      </c>
      <c r="L490" s="9">
        <v>120</v>
      </c>
      <c r="M490" s="10">
        <v>0.1</v>
      </c>
      <c r="N490" s="9">
        <f t="shared" si="94"/>
        <v>120</v>
      </c>
      <c r="O490" s="9">
        <f t="shared" si="84"/>
        <v>108</v>
      </c>
      <c r="P490" s="5" t="s">
        <v>2267</v>
      </c>
      <c r="Q490" s="5" t="s">
        <v>2272</v>
      </c>
      <c r="R490" s="5" t="s">
        <v>2278</v>
      </c>
      <c r="S490" s="5" t="s">
        <v>2284</v>
      </c>
      <c r="T490" s="5" t="s">
        <v>2288</v>
      </c>
      <c r="U490" s="8">
        <v>2</v>
      </c>
      <c r="V490" s="8">
        <v>271</v>
      </c>
      <c r="W490" s="8">
        <v>40</v>
      </c>
      <c r="X490" s="9">
        <v>64.36</v>
      </c>
      <c r="Y490" s="9">
        <f t="shared" si="85"/>
        <v>43.64</v>
      </c>
      <c r="Z490" s="5" t="s">
        <v>1761</v>
      </c>
      <c r="AA490" s="5" t="s">
        <v>2297</v>
      </c>
      <c r="AB490" s="9">
        <f t="shared" si="86"/>
        <v>120</v>
      </c>
      <c r="AC490" s="9">
        <f t="shared" si="87"/>
        <v>12</v>
      </c>
      <c r="AD490" s="9">
        <f t="shared" si="88"/>
        <v>108</v>
      </c>
      <c r="AE490" s="9">
        <f t="shared" si="89"/>
        <v>64.36</v>
      </c>
      <c r="AF490" s="9">
        <f t="shared" si="95"/>
        <v>43.64</v>
      </c>
      <c r="AG490" s="8">
        <f t="shared" si="90"/>
        <v>2024</v>
      </c>
      <c r="AH490" s="8">
        <f t="shared" si="91"/>
        <v>11</v>
      </c>
      <c r="AI490" s="5" t="str">
        <f t="shared" si="92"/>
        <v>Nov</v>
      </c>
      <c r="AJ490" s="5" t="str">
        <f t="shared" si="93"/>
        <v>Sunday</v>
      </c>
    </row>
    <row r="491" spans="1:36" x14ac:dyDescent="0.3">
      <c r="A491" s="5" t="s">
        <v>525</v>
      </c>
      <c r="B491" s="6">
        <v>45453</v>
      </c>
      <c r="C491" s="7">
        <v>0.88888888888888884</v>
      </c>
      <c r="D491" s="5" t="s">
        <v>1912</v>
      </c>
      <c r="E491" s="5" t="s">
        <v>2054</v>
      </c>
      <c r="F491" s="5" t="s">
        <v>2240</v>
      </c>
      <c r="G491" s="5" t="s">
        <v>2251</v>
      </c>
      <c r="H491" s="5" t="s">
        <v>2258</v>
      </c>
      <c r="I491" s="5" t="s">
        <v>2260</v>
      </c>
      <c r="J491" s="5" t="s">
        <v>2266</v>
      </c>
      <c r="K491" s="8">
        <v>1</v>
      </c>
      <c r="L491" s="9">
        <v>95</v>
      </c>
      <c r="M491" s="10">
        <v>0.05</v>
      </c>
      <c r="N491" s="9">
        <f t="shared" si="94"/>
        <v>95</v>
      </c>
      <c r="O491" s="9">
        <f t="shared" si="84"/>
        <v>90.25</v>
      </c>
      <c r="P491" s="5" t="s">
        <v>2269</v>
      </c>
      <c r="Q491" s="5" t="s">
        <v>2272</v>
      </c>
      <c r="R491" s="5" t="s">
        <v>2279</v>
      </c>
      <c r="S491" s="5" t="s">
        <v>2283</v>
      </c>
      <c r="T491" s="5" t="s">
        <v>2289</v>
      </c>
      <c r="U491" s="8">
        <v>2</v>
      </c>
      <c r="V491" s="8">
        <v>36</v>
      </c>
      <c r="W491" s="19">
        <v>35</v>
      </c>
      <c r="X491" s="9">
        <v>53.82</v>
      </c>
      <c r="Y491" s="9">
        <f t="shared" si="85"/>
        <v>36.43</v>
      </c>
      <c r="Z491" s="5" t="s">
        <v>2293</v>
      </c>
      <c r="AA491" s="5" t="s">
        <v>2299</v>
      </c>
      <c r="AB491" s="9">
        <f t="shared" si="86"/>
        <v>95</v>
      </c>
      <c r="AC491" s="9">
        <f t="shared" si="87"/>
        <v>4.75</v>
      </c>
      <c r="AD491" s="9">
        <f t="shared" si="88"/>
        <v>90.25</v>
      </c>
      <c r="AE491" s="9">
        <f t="shared" si="89"/>
        <v>53.82</v>
      </c>
      <c r="AF491" s="9">
        <f t="shared" si="95"/>
        <v>36.43</v>
      </c>
      <c r="AG491" s="8">
        <f t="shared" si="90"/>
        <v>2024</v>
      </c>
      <c r="AH491" s="8">
        <f t="shared" si="91"/>
        <v>6</v>
      </c>
      <c r="AI491" s="5" t="str">
        <f t="shared" si="92"/>
        <v>Jun</v>
      </c>
      <c r="AJ491" s="5" t="str">
        <f t="shared" si="93"/>
        <v>Monday</v>
      </c>
    </row>
    <row r="492" spans="1:36" x14ac:dyDescent="0.3">
      <c r="A492" s="5" t="s">
        <v>526</v>
      </c>
      <c r="B492" s="6">
        <v>45526</v>
      </c>
      <c r="C492" s="7">
        <v>0.84375</v>
      </c>
      <c r="D492" s="5" t="s">
        <v>1923</v>
      </c>
      <c r="E492" s="5" t="s">
        <v>2144</v>
      </c>
      <c r="F492" s="5" t="s">
        <v>2239</v>
      </c>
      <c r="G492" s="5" t="s">
        <v>2255</v>
      </c>
      <c r="H492" s="5" t="s">
        <v>2260</v>
      </c>
      <c r="I492" s="5" t="s">
        <v>2260</v>
      </c>
      <c r="J492" s="5" t="s">
        <v>2264</v>
      </c>
      <c r="K492" s="8">
        <v>1</v>
      </c>
      <c r="L492" s="9">
        <v>185</v>
      </c>
      <c r="M492" s="10">
        <v>0.15</v>
      </c>
      <c r="N492" s="9">
        <f t="shared" si="94"/>
        <v>185</v>
      </c>
      <c r="O492" s="9">
        <f t="shared" si="84"/>
        <v>157.25</v>
      </c>
      <c r="P492" s="5" t="s">
        <v>2269</v>
      </c>
      <c r="Q492" s="5" t="s">
        <v>1761</v>
      </c>
      <c r="R492" s="5" t="s">
        <v>2279</v>
      </c>
      <c r="S492" s="5" t="s">
        <v>2284</v>
      </c>
      <c r="T492" s="5" t="s">
        <v>2289</v>
      </c>
      <c r="U492" s="8">
        <v>5</v>
      </c>
      <c r="V492" s="8">
        <v>416</v>
      </c>
      <c r="W492" s="8">
        <v>43</v>
      </c>
      <c r="X492" s="9">
        <v>101.62</v>
      </c>
      <c r="Y492" s="9">
        <f t="shared" si="85"/>
        <v>55.629999999999995</v>
      </c>
      <c r="Z492" s="5" t="s">
        <v>2292</v>
      </c>
      <c r="AA492" s="5" t="s">
        <v>2298</v>
      </c>
      <c r="AB492" s="9">
        <f t="shared" si="86"/>
        <v>185</v>
      </c>
      <c r="AC492" s="9">
        <f t="shared" si="87"/>
        <v>27.75</v>
      </c>
      <c r="AD492" s="9">
        <f t="shared" si="88"/>
        <v>157.25</v>
      </c>
      <c r="AE492" s="9">
        <f t="shared" si="89"/>
        <v>101.62</v>
      </c>
      <c r="AF492" s="9">
        <f t="shared" si="95"/>
        <v>55.629999999999995</v>
      </c>
      <c r="AG492" s="8">
        <f t="shared" si="90"/>
        <v>2024</v>
      </c>
      <c r="AH492" s="8">
        <f t="shared" si="91"/>
        <v>8</v>
      </c>
      <c r="AI492" s="5" t="str">
        <f t="shared" si="92"/>
        <v>Aug</v>
      </c>
      <c r="AJ492" s="5" t="str">
        <f t="shared" si="93"/>
        <v>Thursday</v>
      </c>
    </row>
    <row r="493" spans="1:36" x14ac:dyDescent="0.3">
      <c r="A493" s="5" t="s">
        <v>527</v>
      </c>
      <c r="B493" s="6">
        <v>45632</v>
      </c>
      <c r="C493" s="7">
        <v>0.89583333333333337</v>
      </c>
      <c r="D493" s="5" t="s">
        <v>1813</v>
      </c>
      <c r="E493" s="5" t="s">
        <v>2179</v>
      </c>
      <c r="F493" s="5" t="s">
        <v>2239</v>
      </c>
      <c r="G493" s="5" t="s">
        <v>2253</v>
      </c>
      <c r="H493" s="5" t="s">
        <v>2258</v>
      </c>
      <c r="I493" s="5" t="s">
        <v>2260</v>
      </c>
      <c r="J493" s="5" t="s">
        <v>2264</v>
      </c>
      <c r="K493" s="8">
        <v>3</v>
      </c>
      <c r="L493" s="9">
        <v>95</v>
      </c>
      <c r="M493" s="10">
        <v>0</v>
      </c>
      <c r="N493" s="9">
        <f t="shared" si="94"/>
        <v>285</v>
      </c>
      <c r="O493" s="9">
        <f t="shared" si="84"/>
        <v>285</v>
      </c>
      <c r="P493" s="5" t="s">
        <v>2267</v>
      </c>
      <c r="Q493" s="5" t="s">
        <v>2270</v>
      </c>
      <c r="R493" s="5" t="s">
        <v>2278</v>
      </c>
      <c r="S493" s="5" t="s">
        <v>2285</v>
      </c>
      <c r="T493" s="5" t="s">
        <v>2289</v>
      </c>
      <c r="U493" s="8">
        <v>5</v>
      </c>
      <c r="V493" s="8">
        <v>193</v>
      </c>
      <c r="W493" s="19">
        <v>34</v>
      </c>
      <c r="X493" s="9">
        <v>52.18</v>
      </c>
      <c r="Y493" s="9">
        <f t="shared" si="85"/>
        <v>128.46</v>
      </c>
      <c r="Z493" s="5" t="s">
        <v>1761</v>
      </c>
      <c r="AA493" s="5" t="s">
        <v>2296</v>
      </c>
      <c r="AB493" s="9">
        <f t="shared" si="86"/>
        <v>285</v>
      </c>
      <c r="AC493" s="9">
        <f t="shared" si="87"/>
        <v>0</v>
      </c>
      <c r="AD493" s="9">
        <f t="shared" si="88"/>
        <v>285</v>
      </c>
      <c r="AE493" s="9">
        <f t="shared" si="89"/>
        <v>156.54</v>
      </c>
      <c r="AF493" s="9">
        <f t="shared" si="95"/>
        <v>128.46</v>
      </c>
      <c r="AG493" s="8">
        <f t="shared" si="90"/>
        <v>2024</v>
      </c>
      <c r="AH493" s="8">
        <f t="shared" si="91"/>
        <v>12</v>
      </c>
      <c r="AI493" s="5" t="str">
        <f t="shared" si="92"/>
        <v>Dec</v>
      </c>
      <c r="AJ493" s="5" t="str">
        <f t="shared" si="93"/>
        <v>Friday</v>
      </c>
    </row>
    <row r="494" spans="1:36" x14ac:dyDescent="0.3">
      <c r="A494" s="5" t="s">
        <v>528</v>
      </c>
      <c r="B494" s="6">
        <v>45476</v>
      </c>
      <c r="C494" s="7">
        <v>0.86805555555555558</v>
      </c>
      <c r="D494" s="5" t="s">
        <v>1924</v>
      </c>
      <c r="E494" s="5" t="s">
        <v>1761</v>
      </c>
      <c r="F494" s="5" t="s">
        <v>2239</v>
      </c>
      <c r="G494" s="5" t="s">
        <v>2254</v>
      </c>
      <c r="H494" s="5" t="s">
        <v>2259</v>
      </c>
      <c r="I494" s="5" t="s">
        <v>2263</v>
      </c>
      <c r="J494" s="5" t="s">
        <v>2264</v>
      </c>
      <c r="K494" s="8">
        <v>2</v>
      </c>
      <c r="L494" s="9">
        <v>110</v>
      </c>
      <c r="M494" s="10">
        <v>0</v>
      </c>
      <c r="N494" s="9">
        <f t="shared" si="94"/>
        <v>220</v>
      </c>
      <c r="O494" s="9">
        <f t="shared" si="84"/>
        <v>220</v>
      </c>
      <c r="P494" s="5" t="s">
        <v>2267</v>
      </c>
      <c r="Q494" s="5" t="s">
        <v>2270</v>
      </c>
      <c r="R494" s="5" t="s">
        <v>2277</v>
      </c>
      <c r="S494" s="5" t="s">
        <v>2280</v>
      </c>
      <c r="T494" s="5" t="s">
        <v>2288</v>
      </c>
      <c r="U494" s="8">
        <v>1</v>
      </c>
      <c r="V494" s="19">
        <v>244</v>
      </c>
      <c r="W494" s="8">
        <v>38</v>
      </c>
      <c r="X494" s="9">
        <v>56</v>
      </c>
      <c r="Y494" s="9">
        <f t="shared" si="85"/>
        <v>108</v>
      </c>
      <c r="Z494" s="5" t="s">
        <v>1761</v>
      </c>
      <c r="AA494" s="5" t="s">
        <v>2297</v>
      </c>
      <c r="AB494" s="9">
        <f t="shared" si="86"/>
        <v>220</v>
      </c>
      <c r="AC494" s="9">
        <f t="shared" si="87"/>
        <v>0</v>
      </c>
      <c r="AD494" s="9">
        <f t="shared" si="88"/>
        <v>220</v>
      </c>
      <c r="AE494" s="9">
        <f t="shared" si="89"/>
        <v>112</v>
      </c>
      <c r="AF494" s="9">
        <f t="shared" si="95"/>
        <v>108</v>
      </c>
      <c r="AG494" s="8">
        <f t="shared" si="90"/>
        <v>2024</v>
      </c>
      <c r="AH494" s="8">
        <f t="shared" si="91"/>
        <v>7</v>
      </c>
      <c r="AI494" s="5" t="str">
        <f t="shared" si="92"/>
        <v>Jul</v>
      </c>
      <c r="AJ494" s="5" t="str">
        <f t="shared" si="93"/>
        <v>Wednesday</v>
      </c>
    </row>
    <row r="495" spans="1:36" x14ac:dyDescent="0.3">
      <c r="A495" s="5" t="s">
        <v>529</v>
      </c>
      <c r="B495" s="6">
        <v>45304</v>
      </c>
      <c r="C495" s="7">
        <v>0.36458333333333331</v>
      </c>
      <c r="D495" s="5" t="s">
        <v>1780</v>
      </c>
      <c r="E495" s="5" t="s">
        <v>2085</v>
      </c>
      <c r="F495" s="5" t="s">
        <v>2238</v>
      </c>
      <c r="G495" s="5" t="s">
        <v>2253</v>
      </c>
      <c r="H495" s="5" t="s">
        <v>2258</v>
      </c>
      <c r="I495" s="5" t="s">
        <v>2260</v>
      </c>
      <c r="J495" s="5" t="s">
        <v>2265</v>
      </c>
      <c r="K495" s="8">
        <v>1</v>
      </c>
      <c r="L495" s="9">
        <v>95</v>
      </c>
      <c r="M495" s="10">
        <v>0.1</v>
      </c>
      <c r="N495" s="9">
        <f t="shared" si="94"/>
        <v>95</v>
      </c>
      <c r="O495" s="9">
        <f t="shared" si="84"/>
        <v>85.5</v>
      </c>
      <c r="P495" s="5" t="s">
        <v>2267</v>
      </c>
      <c r="Q495" s="5" t="s">
        <v>2270</v>
      </c>
      <c r="R495" s="5" t="s">
        <v>2278</v>
      </c>
      <c r="S495" s="5" t="s">
        <v>2281</v>
      </c>
      <c r="T495" s="5" t="s">
        <v>2288</v>
      </c>
      <c r="U495" s="8">
        <v>4</v>
      </c>
      <c r="V495" s="8">
        <v>387</v>
      </c>
      <c r="W495" s="8">
        <v>59</v>
      </c>
      <c r="X495" s="9">
        <v>33.92</v>
      </c>
      <c r="Y495" s="9">
        <f t="shared" si="85"/>
        <v>51.58</v>
      </c>
      <c r="Z495" s="5" t="s">
        <v>2291</v>
      </c>
      <c r="AA495" s="5" t="s">
        <v>2297</v>
      </c>
      <c r="AB495" s="9">
        <f t="shared" si="86"/>
        <v>95</v>
      </c>
      <c r="AC495" s="9">
        <f t="shared" si="87"/>
        <v>9.5</v>
      </c>
      <c r="AD495" s="9">
        <f t="shared" si="88"/>
        <v>85.5</v>
      </c>
      <c r="AE495" s="9">
        <f t="shared" si="89"/>
        <v>33.92</v>
      </c>
      <c r="AF495" s="9">
        <f t="shared" si="95"/>
        <v>51.58</v>
      </c>
      <c r="AG495" s="8">
        <f t="shared" si="90"/>
        <v>2024</v>
      </c>
      <c r="AH495" s="8">
        <f t="shared" si="91"/>
        <v>1</v>
      </c>
      <c r="AI495" s="5" t="str">
        <f t="shared" si="92"/>
        <v>Jan</v>
      </c>
      <c r="AJ495" s="5" t="str">
        <f t="shared" si="93"/>
        <v>Saturday</v>
      </c>
    </row>
    <row r="496" spans="1:36" x14ac:dyDescent="0.3">
      <c r="A496" s="5" t="s">
        <v>530</v>
      </c>
      <c r="B496" s="6">
        <v>45490</v>
      </c>
      <c r="C496" s="7">
        <v>0.40972222222222221</v>
      </c>
      <c r="D496" s="5" t="s">
        <v>1892</v>
      </c>
      <c r="E496" s="5" t="s">
        <v>2119</v>
      </c>
      <c r="F496" s="5" t="s">
        <v>2240</v>
      </c>
      <c r="G496" s="5" t="s">
        <v>2255</v>
      </c>
      <c r="H496" s="5" t="s">
        <v>2260</v>
      </c>
      <c r="I496" s="5" t="s">
        <v>2260</v>
      </c>
      <c r="J496" s="5" t="s">
        <v>2265</v>
      </c>
      <c r="K496" s="8">
        <v>1</v>
      </c>
      <c r="L496" s="9">
        <v>175</v>
      </c>
      <c r="M496" s="10">
        <v>0</v>
      </c>
      <c r="N496" s="9">
        <f t="shared" si="94"/>
        <v>175</v>
      </c>
      <c r="O496" s="9">
        <f t="shared" si="84"/>
        <v>175</v>
      </c>
      <c r="P496" s="5" t="s">
        <v>2267</v>
      </c>
      <c r="Q496" s="5" t="s">
        <v>2272</v>
      </c>
      <c r="R496" s="5" t="s">
        <v>2277</v>
      </c>
      <c r="S496" s="5" t="s">
        <v>2285</v>
      </c>
      <c r="T496" s="5" t="s">
        <v>2288</v>
      </c>
      <c r="U496" s="8">
        <v>4</v>
      </c>
      <c r="V496" s="8">
        <v>112</v>
      </c>
      <c r="W496" s="8">
        <v>15</v>
      </c>
      <c r="X496" s="9">
        <v>104.48</v>
      </c>
      <c r="Y496" s="9">
        <f t="shared" si="85"/>
        <v>70.52</v>
      </c>
      <c r="Z496" s="5" t="s">
        <v>2291</v>
      </c>
      <c r="AA496" s="5" t="s">
        <v>2296</v>
      </c>
      <c r="AB496" s="9">
        <f t="shared" si="86"/>
        <v>175</v>
      </c>
      <c r="AC496" s="9">
        <f t="shared" si="87"/>
        <v>0</v>
      </c>
      <c r="AD496" s="9">
        <f t="shared" si="88"/>
        <v>175</v>
      </c>
      <c r="AE496" s="9">
        <f t="shared" si="89"/>
        <v>104.48</v>
      </c>
      <c r="AF496" s="9">
        <f t="shared" si="95"/>
        <v>70.52</v>
      </c>
      <c r="AG496" s="8">
        <f t="shared" si="90"/>
        <v>2024</v>
      </c>
      <c r="AH496" s="8">
        <f t="shared" si="91"/>
        <v>7</v>
      </c>
      <c r="AI496" s="5" t="str">
        <f t="shared" si="92"/>
        <v>Jul</v>
      </c>
      <c r="AJ496" s="5" t="str">
        <f t="shared" si="93"/>
        <v>Wednesday</v>
      </c>
    </row>
    <row r="497" spans="1:36" x14ac:dyDescent="0.3">
      <c r="A497" s="5" t="s">
        <v>531</v>
      </c>
      <c r="B497" s="6">
        <v>45354</v>
      </c>
      <c r="C497" s="7">
        <v>0.39583333333333331</v>
      </c>
      <c r="D497" s="5" t="s">
        <v>1776</v>
      </c>
      <c r="E497" s="5" t="s">
        <v>2009</v>
      </c>
      <c r="F497" s="5" t="s">
        <v>2240</v>
      </c>
      <c r="G497" s="5" t="s">
        <v>2253</v>
      </c>
      <c r="H497" s="5" t="s">
        <v>2258</v>
      </c>
      <c r="I497" s="5" t="s">
        <v>2260</v>
      </c>
      <c r="J497" s="5" t="s">
        <v>2266</v>
      </c>
      <c r="K497" s="8">
        <v>3</v>
      </c>
      <c r="L497" s="9">
        <v>90</v>
      </c>
      <c r="M497" s="10">
        <v>0</v>
      </c>
      <c r="N497" s="9">
        <f t="shared" si="94"/>
        <v>270</v>
      </c>
      <c r="O497" s="9">
        <f t="shared" si="84"/>
        <v>270</v>
      </c>
      <c r="P497" s="5" t="s">
        <v>1761</v>
      </c>
      <c r="Q497" s="5" t="s">
        <v>2270</v>
      </c>
      <c r="R497" s="5" t="s">
        <v>2279</v>
      </c>
      <c r="S497" s="5" t="s">
        <v>2283</v>
      </c>
      <c r="T497" s="5" t="s">
        <v>2288</v>
      </c>
      <c r="U497" s="8">
        <v>3</v>
      </c>
      <c r="V497" s="8">
        <v>216</v>
      </c>
      <c r="W497" s="8">
        <v>13</v>
      </c>
      <c r="X497" s="9">
        <v>34.270000000000003</v>
      </c>
      <c r="Y497" s="9">
        <f t="shared" si="85"/>
        <v>167.19</v>
      </c>
      <c r="Z497" s="5" t="s">
        <v>2293</v>
      </c>
      <c r="AA497" s="5" t="s">
        <v>2299</v>
      </c>
      <c r="AB497" s="9">
        <f t="shared" si="86"/>
        <v>270</v>
      </c>
      <c r="AC497" s="9">
        <f t="shared" si="87"/>
        <v>0</v>
      </c>
      <c r="AD497" s="9">
        <f t="shared" si="88"/>
        <v>270</v>
      </c>
      <c r="AE497" s="9">
        <f t="shared" si="89"/>
        <v>102.81</v>
      </c>
      <c r="AF497" s="9">
        <f t="shared" si="95"/>
        <v>167.19</v>
      </c>
      <c r="AG497" s="8">
        <f t="shared" si="90"/>
        <v>2024</v>
      </c>
      <c r="AH497" s="8">
        <f t="shared" si="91"/>
        <v>3</v>
      </c>
      <c r="AI497" s="5" t="str">
        <f t="shared" si="92"/>
        <v>Mar</v>
      </c>
      <c r="AJ497" s="5" t="str">
        <f t="shared" si="93"/>
        <v>Sunday</v>
      </c>
    </row>
    <row r="498" spans="1:36" x14ac:dyDescent="0.3">
      <c r="A498" s="5" t="s">
        <v>532</v>
      </c>
      <c r="B498" s="18">
        <v>45468</v>
      </c>
      <c r="C498" s="7">
        <v>0.88194444444444442</v>
      </c>
      <c r="D498" s="5" t="s">
        <v>1823</v>
      </c>
      <c r="E498" s="5" t="s">
        <v>2022</v>
      </c>
      <c r="F498" s="5" t="s">
        <v>2240</v>
      </c>
      <c r="G498" s="5" t="s">
        <v>2255</v>
      </c>
      <c r="H498" s="5" t="s">
        <v>2260</v>
      </c>
      <c r="I498" s="5" t="s">
        <v>2260</v>
      </c>
      <c r="J498" s="5" t="s">
        <v>1761</v>
      </c>
      <c r="K498" s="8">
        <v>1</v>
      </c>
      <c r="L498" s="9">
        <v>185</v>
      </c>
      <c r="M498" s="10">
        <v>0.05</v>
      </c>
      <c r="N498" s="9">
        <f t="shared" si="94"/>
        <v>185</v>
      </c>
      <c r="O498" s="9">
        <f t="shared" si="84"/>
        <v>175.75</v>
      </c>
      <c r="P498" s="5" t="s">
        <v>2269</v>
      </c>
      <c r="Q498" s="5" t="s">
        <v>2270</v>
      </c>
      <c r="R498" s="5" t="s">
        <v>2276</v>
      </c>
      <c r="S498" s="5" t="s">
        <v>2285</v>
      </c>
      <c r="T498" s="5" t="s">
        <v>2289</v>
      </c>
      <c r="U498" s="8">
        <v>3</v>
      </c>
      <c r="V498" s="8">
        <v>172</v>
      </c>
      <c r="W498" s="8">
        <v>12</v>
      </c>
      <c r="X498" s="9">
        <v>99.26</v>
      </c>
      <c r="Y498" s="9">
        <f t="shared" si="85"/>
        <v>76.489999999999995</v>
      </c>
      <c r="Z498" s="5" t="s">
        <v>2293</v>
      </c>
      <c r="AA498" s="5" t="s">
        <v>2296</v>
      </c>
      <c r="AB498" s="9">
        <f t="shared" si="86"/>
        <v>185</v>
      </c>
      <c r="AC498" s="9">
        <f t="shared" si="87"/>
        <v>9.25</v>
      </c>
      <c r="AD498" s="9">
        <f t="shared" si="88"/>
        <v>175.75</v>
      </c>
      <c r="AE498" s="9">
        <f t="shared" si="89"/>
        <v>99.26</v>
      </c>
      <c r="AF498" s="9">
        <f t="shared" si="95"/>
        <v>76.489999999999995</v>
      </c>
      <c r="AG498" s="8">
        <f t="shared" si="90"/>
        <v>2024</v>
      </c>
      <c r="AH498" s="8">
        <f t="shared" si="91"/>
        <v>6</v>
      </c>
      <c r="AI498" s="5" t="str">
        <f t="shared" si="92"/>
        <v>Jun</v>
      </c>
      <c r="AJ498" s="5" t="str">
        <f t="shared" si="93"/>
        <v>Tuesday</v>
      </c>
    </row>
    <row r="499" spans="1:36" x14ac:dyDescent="0.3">
      <c r="A499" s="5" t="s">
        <v>533</v>
      </c>
      <c r="B499" s="6">
        <v>45653</v>
      </c>
      <c r="C499" s="7">
        <v>0.84375</v>
      </c>
      <c r="D499" s="5" t="s">
        <v>1837</v>
      </c>
      <c r="E499" s="5" t="s">
        <v>1761</v>
      </c>
      <c r="F499" s="5" t="s">
        <v>2240</v>
      </c>
      <c r="G499" s="5" t="s">
        <v>2242</v>
      </c>
      <c r="H499" s="5" t="s">
        <v>2258</v>
      </c>
      <c r="I499" s="5" t="s">
        <v>2260</v>
      </c>
      <c r="J499" s="5" t="s">
        <v>2264</v>
      </c>
      <c r="K499" s="8">
        <v>4</v>
      </c>
      <c r="L499" s="9">
        <v>125</v>
      </c>
      <c r="M499" s="10">
        <v>0</v>
      </c>
      <c r="N499" s="9">
        <f t="shared" si="94"/>
        <v>500</v>
      </c>
      <c r="O499" s="9">
        <f t="shared" si="84"/>
        <v>500</v>
      </c>
      <c r="P499" s="5" t="s">
        <v>2267</v>
      </c>
      <c r="Q499" s="5" t="s">
        <v>1761</v>
      </c>
      <c r="R499" s="5" t="s">
        <v>2278</v>
      </c>
      <c r="S499" s="5" t="s">
        <v>2281</v>
      </c>
      <c r="T499" s="5" t="s">
        <v>2288</v>
      </c>
      <c r="U499" s="8">
        <v>3</v>
      </c>
      <c r="V499" s="8">
        <v>293</v>
      </c>
      <c r="W499" s="8">
        <v>13</v>
      </c>
      <c r="X499" s="9">
        <v>57.28</v>
      </c>
      <c r="Y499" s="9">
        <f t="shared" si="85"/>
        <v>270.88</v>
      </c>
      <c r="Z499" s="5" t="s">
        <v>2291</v>
      </c>
      <c r="AA499" s="5" t="s">
        <v>2296</v>
      </c>
      <c r="AB499" s="9">
        <f t="shared" si="86"/>
        <v>500</v>
      </c>
      <c r="AC499" s="9">
        <f t="shared" si="87"/>
        <v>0</v>
      </c>
      <c r="AD499" s="9">
        <f t="shared" si="88"/>
        <v>500</v>
      </c>
      <c r="AE499" s="9">
        <f t="shared" si="89"/>
        <v>229.12</v>
      </c>
      <c r="AF499" s="9">
        <f t="shared" si="95"/>
        <v>270.88</v>
      </c>
      <c r="AG499" s="8">
        <f t="shared" si="90"/>
        <v>2024</v>
      </c>
      <c r="AH499" s="8">
        <f t="shared" si="91"/>
        <v>12</v>
      </c>
      <c r="AI499" s="5" t="str">
        <f t="shared" si="92"/>
        <v>Dec</v>
      </c>
      <c r="AJ499" s="5" t="str">
        <f t="shared" si="93"/>
        <v>Friday</v>
      </c>
    </row>
    <row r="500" spans="1:36" x14ac:dyDescent="0.3">
      <c r="A500" s="5" t="s">
        <v>534</v>
      </c>
      <c r="B500" s="18">
        <v>45468</v>
      </c>
      <c r="C500" s="7">
        <v>0.39583333333333331</v>
      </c>
      <c r="D500" s="5" t="s">
        <v>1908</v>
      </c>
      <c r="E500" s="5" t="s">
        <v>1761</v>
      </c>
      <c r="F500" s="5" t="s">
        <v>2239</v>
      </c>
      <c r="G500" s="5" t="s">
        <v>2247</v>
      </c>
      <c r="H500" s="5" t="s">
        <v>2257</v>
      </c>
      <c r="I500" s="5" t="s">
        <v>2262</v>
      </c>
      <c r="J500" s="5" t="s">
        <v>2265</v>
      </c>
      <c r="K500" s="8">
        <v>1</v>
      </c>
      <c r="L500" s="9">
        <v>95</v>
      </c>
      <c r="M500" s="10">
        <v>0.05</v>
      </c>
      <c r="N500" s="9">
        <f t="shared" si="94"/>
        <v>95</v>
      </c>
      <c r="O500" s="9">
        <f t="shared" si="84"/>
        <v>90.25</v>
      </c>
      <c r="P500" s="5" t="s">
        <v>1761</v>
      </c>
      <c r="Q500" s="5" t="s">
        <v>2271</v>
      </c>
      <c r="R500" s="5" t="s">
        <v>2278</v>
      </c>
      <c r="S500" s="5" t="s">
        <v>2282</v>
      </c>
      <c r="T500" s="5" t="s">
        <v>2290</v>
      </c>
      <c r="U500" s="8">
        <v>5</v>
      </c>
      <c r="V500" s="8">
        <v>285</v>
      </c>
      <c r="W500" s="19">
        <v>37</v>
      </c>
      <c r="X500" s="9">
        <v>42.87</v>
      </c>
      <c r="Y500" s="9">
        <f t="shared" si="85"/>
        <v>47.38</v>
      </c>
      <c r="Z500" s="5" t="s">
        <v>2294</v>
      </c>
      <c r="AA500" s="5" t="s">
        <v>2299</v>
      </c>
      <c r="AB500" s="9">
        <f t="shared" si="86"/>
        <v>95</v>
      </c>
      <c r="AC500" s="9">
        <f t="shared" si="87"/>
        <v>4.75</v>
      </c>
      <c r="AD500" s="9">
        <f t="shared" si="88"/>
        <v>90.25</v>
      </c>
      <c r="AE500" s="9">
        <f t="shared" si="89"/>
        <v>42.87</v>
      </c>
      <c r="AF500" s="9">
        <f t="shared" si="95"/>
        <v>47.38</v>
      </c>
      <c r="AG500" s="8">
        <f t="shared" si="90"/>
        <v>2024</v>
      </c>
      <c r="AH500" s="8">
        <f t="shared" si="91"/>
        <v>6</v>
      </c>
      <c r="AI500" s="5" t="str">
        <f t="shared" si="92"/>
        <v>Jun</v>
      </c>
      <c r="AJ500" s="5" t="str">
        <f t="shared" si="93"/>
        <v>Tuesday</v>
      </c>
    </row>
    <row r="501" spans="1:36" x14ac:dyDescent="0.3">
      <c r="A501" s="5" t="s">
        <v>535</v>
      </c>
      <c r="B501" s="6">
        <v>45369</v>
      </c>
      <c r="C501" s="7">
        <v>0.88194444444444442</v>
      </c>
      <c r="D501" s="5" t="s">
        <v>1813</v>
      </c>
      <c r="E501" s="5" t="s">
        <v>2139</v>
      </c>
      <c r="F501" s="5" t="s">
        <v>2239</v>
      </c>
      <c r="G501" s="5" t="s">
        <v>2241</v>
      </c>
      <c r="H501" s="5" t="s">
        <v>2257</v>
      </c>
      <c r="I501" s="5" t="s">
        <v>2262</v>
      </c>
      <c r="J501" s="5" t="s">
        <v>2266</v>
      </c>
      <c r="K501" s="8">
        <v>1</v>
      </c>
      <c r="L501" s="9">
        <v>125</v>
      </c>
      <c r="M501" s="10">
        <v>0.1</v>
      </c>
      <c r="N501" s="9">
        <f t="shared" si="94"/>
        <v>125</v>
      </c>
      <c r="O501" s="9">
        <f t="shared" si="84"/>
        <v>112.5</v>
      </c>
      <c r="P501" s="5" t="s">
        <v>1761</v>
      </c>
      <c r="Q501" s="5" t="s">
        <v>2270</v>
      </c>
      <c r="R501" s="5" t="s">
        <v>2276</v>
      </c>
      <c r="S501" s="5" t="s">
        <v>2287</v>
      </c>
      <c r="T501" s="5" t="s">
        <v>2289</v>
      </c>
      <c r="U501" s="8">
        <v>2</v>
      </c>
      <c r="V501" s="8">
        <v>468</v>
      </c>
      <c r="W501" s="8">
        <v>39</v>
      </c>
      <c r="X501" s="9">
        <v>55.34</v>
      </c>
      <c r="Y501" s="9">
        <f t="shared" si="85"/>
        <v>57.16</v>
      </c>
      <c r="Z501" s="5" t="s">
        <v>1761</v>
      </c>
      <c r="AA501" s="5" t="s">
        <v>1761</v>
      </c>
      <c r="AB501" s="9">
        <f t="shared" si="86"/>
        <v>125</v>
      </c>
      <c r="AC501" s="9">
        <f t="shared" si="87"/>
        <v>12.5</v>
      </c>
      <c r="AD501" s="9">
        <f t="shared" si="88"/>
        <v>112.5</v>
      </c>
      <c r="AE501" s="9">
        <f t="shared" si="89"/>
        <v>55.34</v>
      </c>
      <c r="AF501" s="9">
        <f t="shared" si="95"/>
        <v>57.16</v>
      </c>
      <c r="AG501" s="8">
        <f t="shared" si="90"/>
        <v>2024</v>
      </c>
      <c r="AH501" s="8">
        <f t="shared" si="91"/>
        <v>3</v>
      </c>
      <c r="AI501" s="5" t="str">
        <f t="shared" si="92"/>
        <v>Mar</v>
      </c>
      <c r="AJ501" s="5" t="str">
        <f t="shared" si="93"/>
        <v>Monday</v>
      </c>
    </row>
    <row r="502" spans="1:36" x14ac:dyDescent="0.3">
      <c r="A502" s="5" t="s">
        <v>536</v>
      </c>
      <c r="B502" s="6">
        <v>45393</v>
      </c>
      <c r="C502" s="7">
        <v>0.63888888888888884</v>
      </c>
      <c r="D502" s="5" t="s">
        <v>1891</v>
      </c>
      <c r="E502" s="5" t="s">
        <v>1997</v>
      </c>
      <c r="F502" s="5" t="s">
        <v>2240</v>
      </c>
      <c r="G502" s="5" t="s">
        <v>2250</v>
      </c>
      <c r="H502" s="5" t="s">
        <v>2259</v>
      </c>
      <c r="I502" s="5" t="s">
        <v>2262</v>
      </c>
      <c r="J502" s="5" t="s">
        <v>2265</v>
      </c>
      <c r="K502" s="8">
        <v>2</v>
      </c>
      <c r="L502" s="9">
        <v>75</v>
      </c>
      <c r="M502" s="10">
        <v>0</v>
      </c>
      <c r="N502" s="9">
        <f t="shared" si="94"/>
        <v>150</v>
      </c>
      <c r="O502" s="9">
        <f t="shared" si="84"/>
        <v>150</v>
      </c>
      <c r="P502" s="5" t="s">
        <v>2269</v>
      </c>
      <c r="Q502" s="5" t="s">
        <v>2272</v>
      </c>
      <c r="R502" s="5" t="s">
        <v>2274</v>
      </c>
      <c r="S502" s="5" t="s">
        <v>2280</v>
      </c>
      <c r="T502" s="5" t="s">
        <v>2289</v>
      </c>
      <c r="U502" s="8">
        <v>2</v>
      </c>
      <c r="V502" s="8">
        <v>466</v>
      </c>
      <c r="W502" s="8">
        <v>15</v>
      </c>
      <c r="X502" s="9">
        <v>34.71</v>
      </c>
      <c r="Y502" s="9">
        <f t="shared" si="85"/>
        <v>80.58</v>
      </c>
      <c r="Z502" s="5" t="s">
        <v>2293</v>
      </c>
      <c r="AA502" s="5" t="s">
        <v>2296</v>
      </c>
      <c r="AB502" s="9">
        <f t="shared" si="86"/>
        <v>150</v>
      </c>
      <c r="AC502" s="9">
        <f t="shared" si="87"/>
        <v>0</v>
      </c>
      <c r="AD502" s="9">
        <f t="shared" si="88"/>
        <v>150</v>
      </c>
      <c r="AE502" s="9">
        <f t="shared" si="89"/>
        <v>69.42</v>
      </c>
      <c r="AF502" s="9">
        <f t="shared" si="95"/>
        <v>80.58</v>
      </c>
      <c r="AG502" s="8">
        <f t="shared" si="90"/>
        <v>2024</v>
      </c>
      <c r="AH502" s="8">
        <f t="shared" si="91"/>
        <v>4</v>
      </c>
      <c r="AI502" s="5" t="str">
        <f t="shared" si="92"/>
        <v>Apr</v>
      </c>
      <c r="AJ502" s="5" t="str">
        <f t="shared" si="93"/>
        <v>Thursday</v>
      </c>
    </row>
    <row r="503" spans="1:36" x14ac:dyDescent="0.3">
      <c r="A503" s="5" t="s">
        <v>537</v>
      </c>
      <c r="B503" s="6">
        <v>45307</v>
      </c>
      <c r="C503" s="7">
        <v>0.78125</v>
      </c>
      <c r="D503" s="5" t="s">
        <v>1849</v>
      </c>
      <c r="E503" s="5" t="s">
        <v>2007</v>
      </c>
      <c r="F503" s="5" t="s">
        <v>2239</v>
      </c>
      <c r="G503" s="5" t="s">
        <v>2242</v>
      </c>
      <c r="H503" s="5" t="s">
        <v>2258</v>
      </c>
      <c r="I503" s="5" t="s">
        <v>2260</v>
      </c>
      <c r="J503" s="5" t="s">
        <v>2266</v>
      </c>
      <c r="K503" s="8">
        <v>2</v>
      </c>
      <c r="L503" s="9">
        <v>120</v>
      </c>
      <c r="M503" s="10">
        <v>0.15</v>
      </c>
      <c r="N503" s="9">
        <f t="shared" si="94"/>
        <v>240</v>
      </c>
      <c r="O503" s="9">
        <f t="shared" si="84"/>
        <v>204</v>
      </c>
      <c r="P503" s="5" t="s">
        <v>2267</v>
      </c>
      <c r="Q503" s="5" t="s">
        <v>2270</v>
      </c>
      <c r="R503" s="5" t="s">
        <v>2275</v>
      </c>
      <c r="S503" s="5" t="s">
        <v>2281</v>
      </c>
      <c r="T503" s="5" t="s">
        <v>2288</v>
      </c>
      <c r="U503" s="19">
        <v>3</v>
      </c>
      <c r="V503" s="8">
        <v>365</v>
      </c>
      <c r="W503" s="8">
        <v>55</v>
      </c>
      <c r="X503" s="9">
        <v>54.52</v>
      </c>
      <c r="Y503" s="9">
        <f t="shared" si="85"/>
        <v>94.96</v>
      </c>
      <c r="Z503" s="5" t="s">
        <v>2292</v>
      </c>
      <c r="AA503" s="5" t="s">
        <v>2299</v>
      </c>
      <c r="AB503" s="9">
        <f t="shared" si="86"/>
        <v>240</v>
      </c>
      <c r="AC503" s="9">
        <f t="shared" si="87"/>
        <v>36</v>
      </c>
      <c r="AD503" s="9">
        <f t="shared" si="88"/>
        <v>204</v>
      </c>
      <c r="AE503" s="9">
        <f t="shared" si="89"/>
        <v>109.04</v>
      </c>
      <c r="AF503" s="9">
        <f t="shared" si="95"/>
        <v>94.96</v>
      </c>
      <c r="AG503" s="8">
        <f t="shared" si="90"/>
        <v>2024</v>
      </c>
      <c r="AH503" s="8">
        <f t="shared" si="91"/>
        <v>1</v>
      </c>
      <c r="AI503" s="5" t="str">
        <f t="shared" si="92"/>
        <v>Jan</v>
      </c>
      <c r="AJ503" s="5" t="str">
        <f t="shared" si="93"/>
        <v>Tuesday</v>
      </c>
    </row>
    <row r="504" spans="1:36" x14ac:dyDescent="0.3">
      <c r="A504" s="5" t="s">
        <v>538</v>
      </c>
      <c r="B504" s="6">
        <v>45322</v>
      </c>
      <c r="C504" s="7">
        <v>0.58333333333333337</v>
      </c>
      <c r="D504" s="5" t="s">
        <v>1893</v>
      </c>
      <c r="E504" s="5" t="s">
        <v>2113</v>
      </c>
      <c r="F504" s="5" t="s">
        <v>2240</v>
      </c>
      <c r="G504" s="5" t="s">
        <v>2244</v>
      </c>
      <c r="H504" s="5" t="s">
        <v>2257</v>
      </c>
      <c r="I504" s="5" t="s">
        <v>2262</v>
      </c>
      <c r="J504" s="5" t="s">
        <v>2265</v>
      </c>
      <c r="K504" s="8">
        <v>1</v>
      </c>
      <c r="L504" s="9">
        <v>130</v>
      </c>
      <c r="M504" s="10">
        <v>0.1</v>
      </c>
      <c r="N504" s="9">
        <f t="shared" si="94"/>
        <v>130</v>
      </c>
      <c r="O504" s="9">
        <f t="shared" si="84"/>
        <v>117</v>
      </c>
      <c r="P504" s="5" t="s">
        <v>2267</v>
      </c>
      <c r="Q504" s="5" t="s">
        <v>2272</v>
      </c>
      <c r="R504" s="5" t="s">
        <v>2273</v>
      </c>
      <c r="S504" s="5" t="s">
        <v>2286</v>
      </c>
      <c r="T504" s="5" t="s">
        <v>2290</v>
      </c>
      <c r="U504" s="19">
        <v>3</v>
      </c>
      <c r="V504" s="8">
        <v>176</v>
      </c>
      <c r="W504" s="8">
        <v>52</v>
      </c>
      <c r="X504" s="9">
        <v>42.29</v>
      </c>
      <c r="Y504" s="9">
        <f t="shared" si="85"/>
        <v>74.710000000000008</v>
      </c>
      <c r="Z504" s="5" t="s">
        <v>2293</v>
      </c>
      <c r="AA504" s="5" t="s">
        <v>2297</v>
      </c>
      <c r="AB504" s="9">
        <f t="shared" si="86"/>
        <v>130</v>
      </c>
      <c r="AC504" s="9">
        <f t="shared" si="87"/>
        <v>13</v>
      </c>
      <c r="AD504" s="9">
        <f t="shared" si="88"/>
        <v>117</v>
      </c>
      <c r="AE504" s="9">
        <f t="shared" si="89"/>
        <v>42.29</v>
      </c>
      <c r="AF504" s="9">
        <f t="shared" si="95"/>
        <v>74.710000000000008</v>
      </c>
      <c r="AG504" s="8">
        <f t="shared" si="90"/>
        <v>2024</v>
      </c>
      <c r="AH504" s="8">
        <f t="shared" si="91"/>
        <v>1</v>
      </c>
      <c r="AI504" s="5" t="str">
        <f t="shared" si="92"/>
        <v>Jan</v>
      </c>
      <c r="AJ504" s="5" t="str">
        <f t="shared" si="93"/>
        <v>Wednesday</v>
      </c>
    </row>
    <row r="505" spans="1:36" x14ac:dyDescent="0.3">
      <c r="A505" s="5" t="s">
        <v>539</v>
      </c>
      <c r="B505" s="6">
        <v>45357</v>
      </c>
      <c r="C505" s="7">
        <v>0.66666666666666663</v>
      </c>
      <c r="D505" s="5" t="s">
        <v>1752</v>
      </c>
      <c r="E505" s="5" t="s">
        <v>2164</v>
      </c>
      <c r="F505" s="5" t="s">
        <v>2240</v>
      </c>
      <c r="G505" s="5" t="s">
        <v>2256</v>
      </c>
      <c r="H505" s="5" t="s">
        <v>2261</v>
      </c>
      <c r="I505" s="5" t="s">
        <v>2260</v>
      </c>
      <c r="J505" s="5" t="s">
        <v>1761</v>
      </c>
      <c r="K505" s="8">
        <v>1</v>
      </c>
      <c r="L505" s="9">
        <v>190</v>
      </c>
      <c r="M505" s="10">
        <v>0</v>
      </c>
      <c r="N505" s="9">
        <f t="shared" si="94"/>
        <v>190</v>
      </c>
      <c r="O505" s="9">
        <f t="shared" si="84"/>
        <v>190</v>
      </c>
      <c r="P505" s="5" t="s">
        <v>2267</v>
      </c>
      <c r="Q505" s="5" t="s">
        <v>1761</v>
      </c>
      <c r="R505" s="5" t="s">
        <v>2275</v>
      </c>
      <c r="S505" s="5" t="s">
        <v>2284</v>
      </c>
      <c r="T505" s="5" t="s">
        <v>2288</v>
      </c>
      <c r="U505" s="19">
        <v>3</v>
      </c>
      <c r="V505" s="8">
        <v>445</v>
      </c>
      <c r="W505" s="8">
        <v>28</v>
      </c>
      <c r="X505" s="9">
        <v>109.4</v>
      </c>
      <c r="Y505" s="9">
        <f t="shared" si="85"/>
        <v>80.599999999999994</v>
      </c>
      <c r="Z505" s="5" t="s">
        <v>2293</v>
      </c>
      <c r="AA505" s="5" t="s">
        <v>2297</v>
      </c>
      <c r="AB505" s="9">
        <f t="shared" si="86"/>
        <v>190</v>
      </c>
      <c r="AC505" s="9">
        <f t="shared" si="87"/>
        <v>0</v>
      </c>
      <c r="AD505" s="9">
        <f t="shared" si="88"/>
        <v>190</v>
      </c>
      <c r="AE505" s="9">
        <f t="shared" si="89"/>
        <v>109.4</v>
      </c>
      <c r="AF505" s="9">
        <f t="shared" si="95"/>
        <v>80.599999999999994</v>
      </c>
      <c r="AG505" s="8">
        <f t="shared" si="90"/>
        <v>2024</v>
      </c>
      <c r="AH505" s="8">
        <f t="shared" si="91"/>
        <v>3</v>
      </c>
      <c r="AI505" s="5" t="str">
        <f t="shared" si="92"/>
        <v>Mar</v>
      </c>
      <c r="AJ505" s="5" t="str">
        <f t="shared" si="93"/>
        <v>Wednesday</v>
      </c>
    </row>
    <row r="506" spans="1:36" x14ac:dyDescent="0.3">
      <c r="A506" s="5" t="s">
        <v>540</v>
      </c>
      <c r="B506" s="6">
        <v>45383</v>
      </c>
      <c r="C506" s="7">
        <v>0.29166666666666669</v>
      </c>
      <c r="D506" s="5" t="s">
        <v>1901</v>
      </c>
      <c r="E506" s="5" t="s">
        <v>2140</v>
      </c>
      <c r="F506" s="5" t="s">
        <v>2239</v>
      </c>
      <c r="G506" s="5" t="s">
        <v>2248</v>
      </c>
      <c r="H506" s="5" t="s">
        <v>2257</v>
      </c>
      <c r="I506" s="5" t="s">
        <v>2262</v>
      </c>
      <c r="J506" s="5" t="s">
        <v>2265</v>
      </c>
      <c r="K506" s="19">
        <v>2</v>
      </c>
      <c r="L506" s="9">
        <v>145</v>
      </c>
      <c r="M506" s="10">
        <v>0.05</v>
      </c>
      <c r="N506" s="9">
        <f t="shared" si="94"/>
        <v>290</v>
      </c>
      <c r="O506" s="9">
        <f t="shared" si="84"/>
        <v>275.5</v>
      </c>
      <c r="P506" s="5" t="s">
        <v>2269</v>
      </c>
      <c r="Q506" s="5" t="s">
        <v>1761</v>
      </c>
      <c r="R506" s="5" t="s">
        <v>2273</v>
      </c>
      <c r="S506" s="5" t="s">
        <v>2285</v>
      </c>
      <c r="T506" s="5" t="s">
        <v>2288</v>
      </c>
      <c r="U506" s="8">
        <v>3</v>
      </c>
      <c r="V506" s="19">
        <v>244</v>
      </c>
      <c r="W506" s="8">
        <v>20</v>
      </c>
      <c r="X506" s="9">
        <v>83.06</v>
      </c>
      <c r="Y506" s="9">
        <f t="shared" si="85"/>
        <v>109.38</v>
      </c>
      <c r="Z506" s="5" t="s">
        <v>1761</v>
      </c>
      <c r="AA506" s="5" t="s">
        <v>2297</v>
      </c>
      <c r="AB506" s="9">
        <f t="shared" si="86"/>
        <v>290</v>
      </c>
      <c r="AC506" s="9">
        <f t="shared" si="87"/>
        <v>14.5</v>
      </c>
      <c r="AD506" s="9">
        <f t="shared" si="88"/>
        <v>275.5</v>
      </c>
      <c r="AE506" s="9">
        <f t="shared" si="89"/>
        <v>166.12</v>
      </c>
      <c r="AF506" s="9">
        <f t="shared" si="95"/>
        <v>109.38</v>
      </c>
      <c r="AG506" s="8">
        <f t="shared" si="90"/>
        <v>2024</v>
      </c>
      <c r="AH506" s="8">
        <f t="shared" si="91"/>
        <v>4</v>
      </c>
      <c r="AI506" s="5" t="str">
        <f t="shared" si="92"/>
        <v>Apr</v>
      </c>
      <c r="AJ506" s="5" t="str">
        <f t="shared" si="93"/>
        <v>Monday</v>
      </c>
    </row>
    <row r="507" spans="1:36" x14ac:dyDescent="0.3">
      <c r="A507" s="5" t="s">
        <v>541</v>
      </c>
      <c r="B507" s="6">
        <v>45649</v>
      </c>
      <c r="C507" s="7">
        <v>0.88541666666666663</v>
      </c>
      <c r="D507" s="5" t="s">
        <v>1925</v>
      </c>
      <c r="E507" s="5" t="s">
        <v>1980</v>
      </c>
      <c r="F507" s="5" t="s">
        <v>1761</v>
      </c>
      <c r="G507" s="5" t="s">
        <v>2242</v>
      </c>
      <c r="H507" s="5" t="s">
        <v>2258</v>
      </c>
      <c r="I507" s="5" t="s">
        <v>2260</v>
      </c>
      <c r="J507" s="5" t="s">
        <v>2265</v>
      </c>
      <c r="K507" s="8">
        <v>2</v>
      </c>
      <c r="L507" s="9">
        <v>115</v>
      </c>
      <c r="M507" s="10">
        <v>0.1</v>
      </c>
      <c r="N507" s="9">
        <f t="shared" si="94"/>
        <v>230</v>
      </c>
      <c r="O507" s="9">
        <f t="shared" si="84"/>
        <v>207</v>
      </c>
      <c r="P507" s="5" t="s">
        <v>2267</v>
      </c>
      <c r="Q507" s="5" t="s">
        <v>2272</v>
      </c>
      <c r="R507" s="5" t="s">
        <v>2279</v>
      </c>
      <c r="S507" s="5" t="s">
        <v>2284</v>
      </c>
      <c r="T507" s="5" t="s">
        <v>2288</v>
      </c>
      <c r="U507" s="8">
        <v>1</v>
      </c>
      <c r="V507" s="8">
        <v>329</v>
      </c>
      <c r="W507" s="8">
        <v>46</v>
      </c>
      <c r="X507" s="9">
        <v>42.68</v>
      </c>
      <c r="Y507" s="9">
        <f t="shared" si="85"/>
        <v>121.64</v>
      </c>
      <c r="Z507" s="5" t="s">
        <v>2293</v>
      </c>
      <c r="AA507" s="5" t="s">
        <v>1761</v>
      </c>
      <c r="AB507" s="9">
        <f t="shared" si="86"/>
        <v>230</v>
      </c>
      <c r="AC507" s="9">
        <f t="shared" si="87"/>
        <v>23</v>
      </c>
      <c r="AD507" s="9">
        <f t="shared" si="88"/>
        <v>207</v>
      </c>
      <c r="AE507" s="9">
        <f t="shared" si="89"/>
        <v>85.36</v>
      </c>
      <c r="AF507" s="9">
        <f t="shared" si="95"/>
        <v>121.64</v>
      </c>
      <c r="AG507" s="8">
        <f t="shared" si="90"/>
        <v>2024</v>
      </c>
      <c r="AH507" s="8">
        <f t="shared" si="91"/>
        <v>12</v>
      </c>
      <c r="AI507" s="5" t="str">
        <f t="shared" si="92"/>
        <v>Dec</v>
      </c>
      <c r="AJ507" s="5" t="str">
        <f t="shared" si="93"/>
        <v>Monday</v>
      </c>
    </row>
    <row r="508" spans="1:36" x14ac:dyDescent="0.3">
      <c r="A508" s="5" t="s">
        <v>542</v>
      </c>
      <c r="B508" s="6">
        <v>45634</v>
      </c>
      <c r="C508" s="7">
        <v>0.3125</v>
      </c>
      <c r="D508" s="5" t="s">
        <v>1779</v>
      </c>
      <c r="E508" s="5" t="s">
        <v>2073</v>
      </c>
      <c r="F508" s="5" t="s">
        <v>2239</v>
      </c>
      <c r="G508" s="5" t="s">
        <v>2248</v>
      </c>
      <c r="H508" s="5" t="s">
        <v>2257</v>
      </c>
      <c r="I508" s="5" t="s">
        <v>2262</v>
      </c>
      <c r="J508" s="5" t="s">
        <v>2265</v>
      </c>
      <c r="K508" s="8">
        <v>1</v>
      </c>
      <c r="L508" s="9">
        <v>140</v>
      </c>
      <c r="M508" s="10">
        <v>0.1</v>
      </c>
      <c r="N508" s="9">
        <f t="shared" si="94"/>
        <v>140</v>
      </c>
      <c r="O508" s="9">
        <f t="shared" si="84"/>
        <v>126</v>
      </c>
      <c r="P508" s="5" t="s">
        <v>2267</v>
      </c>
      <c r="Q508" s="5" t="s">
        <v>2270</v>
      </c>
      <c r="R508" s="5" t="s">
        <v>2275</v>
      </c>
      <c r="S508" s="5" t="s">
        <v>2286</v>
      </c>
      <c r="T508" s="5" t="s">
        <v>2290</v>
      </c>
      <c r="U508" s="8">
        <v>3</v>
      </c>
      <c r="V508" s="8">
        <v>38</v>
      </c>
      <c r="W508" s="8">
        <v>46</v>
      </c>
      <c r="X508" s="9">
        <v>63.51</v>
      </c>
      <c r="Y508" s="9">
        <f t="shared" si="85"/>
        <v>62.49</v>
      </c>
      <c r="Z508" s="5" t="s">
        <v>1761</v>
      </c>
      <c r="AA508" s="5" t="s">
        <v>2297</v>
      </c>
      <c r="AB508" s="9">
        <f t="shared" si="86"/>
        <v>140</v>
      </c>
      <c r="AC508" s="9">
        <f t="shared" si="87"/>
        <v>14</v>
      </c>
      <c r="AD508" s="9">
        <f t="shared" si="88"/>
        <v>126</v>
      </c>
      <c r="AE508" s="9">
        <f t="shared" si="89"/>
        <v>63.51</v>
      </c>
      <c r="AF508" s="9">
        <f t="shared" si="95"/>
        <v>62.49</v>
      </c>
      <c r="AG508" s="8">
        <f t="shared" si="90"/>
        <v>2024</v>
      </c>
      <c r="AH508" s="8">
        <f t="shared" si="91"/>
        <v>12</v>
      </c>
      <c r="AI508" s="5" t="str">
        <f t="shared" si="92"/>
        <v>Dec</v>
      </c>
      <c r="AJ508" s="5" t="str">
        <f t="shared" si="93"/>
        <v>Sunday</v>
      </c>
    </row>
    <row r="509" spans="1:36" x14ac:dyDescent="0.3">
      <c r="A509" s="5" t="s">
        <v>543</v>
      </c>
      <c r="B509" s="6">
        <v>45369</v>
      </c>
      <c r="C509" s="7">
        <v>0.60416666666666663</v>
      </c>
      <c r="D509" s="5" t="s">
        <v>1772</v>
      </c>
      <c r="E509" s="5" t="s">
        <v>2180</v>
      </c>
      <c r="F509" s="5" t="s">
        <v>2239</v>
      </c>
      <c r="G509" s="5" t="s">
        <v>2244</v>
      </c>
      <c r="H509" s="5" t="s">
        <v>2257</v>
      </c>
      <c r="I509" s="5" t="s">
        <v>2262</v>
      </c>
      <c r="J509" s="5" t="s">
        <v>2264</v>
      </c>
      <c r="K509" s="8">
        <v>4</v>
      </c>
      <c r="L509" s="9">
        <v>120</v>
      </c>
      <c r="M509" s="10">
        <v>0.1</v>
      </c>
      <c r="N509" s="9">
        <f t="shared" si="94"/>
        <v>480</v>
      </c>
      <c r="O509" s="9">
        <f t="shared" si="84"/>
        <v>432</v>
      </c>
      <c r="P509" s="5" t="s">
        <v>2269</v>
      </c>
      <c r="Q509" s="5" t="s">
        <v>2270</v>
      </c>
      <c r="R509" s="5" t="s">
        <v>2274</v>
      </c>
      <c r="S509" s="5" t="s">
        <v>2285</v>
      </c>
      <c r="T509" s="5" t="s">
        <v>2288</v>
      </c>
      <c r="U509" s="8">
        <v>1</v>
      </c>
      <c r="V509" s="8">
        <v>83</v>
      </c>
      <c r="W509" s="19">
        <v>34</v>
      </c>
      <c r="X509" s="9">
        <v>65.599999999999994</v>
      </c>
      <c r="Y509" s="9">
        <f t="shared" si="85"/>
        <v>169.60000000000002</v>
      </c>
      <c r="Z509" s="5" t="s">
        <v>2291</v>
      </c>
      <c r="AA509" s="5" t="s">
        <v>2296</v>
      </c>
      <c r="AB509" s="9">
        <f t="shared" si="86"/>
        <v>480</v>
      </c>
      <c r="AC509" s="9">
        <f t="shared" si="87"/>
        <v>48</v>
      </c>
      <c r="AD509" s="9">
        <f t="shared" si="88"/>
        <v>432</v>
      </c>
      <c r="AE509" s="9">
        <f t="shared" si="89"/>
        <v>262.39999999999998</v>
      </c>
      <c r="AF509" s="9">
        <f t="shared" si="95"/>
        <v>169.60000000000002</v>
      </c>
      <c r="AG509" s="8">
        <f t="shared" si="90"/>
        <v>2024</v>
      </c>
      <c r="AH509" s="8">
        <f t="shared" si="91"/>
        <v>3</v>
      </c>
      <c r="AI509" s="5" t="str">
        <f t="shared" si="92"/>
        <v>Mar</v>
      </c>
      <c r="AJ509" s="5" t="str">
        <f t="shared" si="93"/>
        <v>Monday</v>
      </c>
    </row>
    <row r="510" spans="1:36" x14ac:dyDescent="0.3">
      <c r="A510" s="5" t="s">
        <v>544</v>
      </c>
      <c r="B510" s="6">
        <v>45383</v>
      </c>
      <c r="C510" s="7">
        <v>0.88888888888888884</v>
      </c>
      <c r="D510" s="5" t="s">
        <v>1761</v>
      </c>
      <c r="E510" s="5" t="s">
        <v>2102</v>
      </c>
      <c r="F510" s="5" t="s">
        <v>2240</v>
      </c>
      <c r="G510" s="5" t="s">
        <v>2249</v>
      </c>
      <c r="H510" s="5" t="s">
        <v>2257</v>
      </c>
      <c r="I510" s="5" t="s">
        <v>2263</v>
      </c>
      <c r="J510" s="5" t="s">
        <v>2266</v>
      </c>
      <c r="K510" s="8">
        <v>2</v>
      </c>
      <c r="L510" s="9">
        <v>170</v>
      </c>
      <c r="M510" s="10">
        <v>0</v>
      </c>
      <c r="N510" s="9">
        <f t="shared" si="94"/>
        <v>340</v>
      </c>
      <c r="O510" s="9">
        <f t="shared" si="84"/>
        <v>340</v>
      </c>
      <c r="P510" s="5" t="s">
        <v>2268</v>
      </c>
      <c r="Q510" s="5" t="s">
        <v>2271</v>
      </c>
      <c r="R510" s="5" t="s">
        <v>2275</v>
      </c>
      <c r="S510" s="5" t="s">
        <v>2280</v>
      </c>
      <c r="T510" s="5" t="s">
        <v>2288</v>
      </c>
      <c r="U510" s="8">
        <v>5</v>
      </c>
      <c r="V510" s="8">
        <v>498</v>
      </c>
      <c r="W510" s="19">
        <v>37</v>
      </c>
      <c r="X510" s="9">
        <v>89.46</v>
      </c>
      <c r="Y510" s="9">
        <f t="shared" si="85"/>
        <v>161.08000000000001</v>
      </c>
      <c r="Z510" s="5" t="s">
        <v>2293</v>
      </c>
      <c r="AA510" s="5" t="s">
        <v>1761</v>
      </c>
      <c r="AB510" s="9">
        <f t="shared" si="86"/>
        <v>340</v>
      </c>
      <c r="AC510" s="9">
        <f t="shared" si="87"/>
        <v>0</v>
      </c>
      <c r="AD510" s="9">
        <f t="shared" si="88"/>
        <v>340</v>
      </c>
      <c r="AE510" s="9">
        <f t="shared" si="89"/>
        <v>178.92</v>
      </c>
      <c r="AF510" s="9">
        <f t="shared" si="95"/>
        <v>161.08000000000001</v>
      </c>
      <c r="AG510" s="8">
        <f t="shared" si="90"/>
        <v>2024</v>
      </c>
      <c r="AH510" s="8">
        <f t="shared" si="91"/>
        <v>4</v>
      </c>
      <c r="AI510" s="5" t="str">
        <f t="shared" si="92"/>
        <v>Apr</v>
      </c>
      <c r="AJ510" s="5" t="str">
        <f t="shared" si="93"/>
        <v>Monday</v>
      </c>
    </row>
    <row r="511" spans="1:36" x14ac:dyDescent="0.3">
      <c r="A511" s="5" t="s">
        <v>545</v>
      </c>
      <c r="B511" s="6">
        <v>45568</v>
      </c>
      <c r="C511" s="7">
        <v>0.63888888888888884</v>
      </c>
      <c r="D511" s="5" t="s">
        <v>1798</v>
      </c>
      <c r="E511" s="5" t="s">
        <v>1957</v>
      </c>
      <c r="F511" s="5" t="s">
        <v>2240</v>
      </c>
      <c r="G511" s="5" t="s">
        <v>2245</v>
      </c>
      <c r="H511" s="5" t="s">
        <v>2257</v>
      </c>
      <c r="I511" s="5" t="s">
        <v>2263</v>
      </c>
      <c r="J511" s="5" t="s">
        <v>2266</v>
      </c>
      <c r="K511" s="8">
        <v>1</v>
      </c>
      <c r="L511" s="9">
        <v>150</v>
      </c>
      <c r="M511" s="10">
        <v>0.1</v>
      </c>
      <c r="N511" s="9">
        <f t="shared" si="94"/>
        <v>150</v>
      </c>
      <c r="O511" s="9">
        <f t="shared" si="84"/>
        <v>135</v>
      </c>
      <c r="P511" s="5" t="s">
        <v>1761</v>
      </c>
      <c r="Q511" s="5" t="s">
        <v>2270</v>
      </c>
      <c r="R511" s="5" t="s">
        <v>2279</v>
      </c>
      <c r="S511" s="5" t="s">
        <v>2280</v>
      </c>
      <c r="T511" s="5" t="s">
        <v>2288</v>
      </c>
      <c r="U511" s="19">
        <v>3</v>
      </c>
      <c r="V511" s="19">
        <v>244</v>
      </c>
      <c r="W511" s="19">
        <v>34</v>
      </c>
      <c r="X511" s="9">
        <v>83.41</v>
      </c>
      <c r="Y511" s="9">
        <f t="shared" si="85"/>
        <v>51.59</v>
      </c>
      <c r="Z511" s="5" t="s">
        <v>1761</v>
      </c>
      <c r="AA511" s="5" t="s">
        <v>2297</v>
      </c>
      <c r="AB511" s="9">
        <f t="shared" si="86"/>
        <v>150</v>
      </c>
      <c r="AC511" s="9">
        <f t="shared" si="87"/>
        <v>15</v>
      </c>
      <c r="AD511" s="9">
        <f t="shared" si="88"/>
        <v>135</v>
      </c>
      <c r="AE511" s="9">
        <f t="shared" si="89"/>
        <v>83.41</v>
      </c>
      <c r="AF511" s="9">
        <f t="shared" si="95"/>
        <v>51.59</v>
      </c>
      <c r="AG511" s="8">
        <f t="shared" si="90"/>
        <v>2024</v>
      </c>
      <c r="AH511" s="8">
        <f t="shared" si="91"/>
        <v>10</v>
      </c>
      <c r="AI511" s="5" t="str">
        <f t="shared" si="92"/>
        <v>Oct</v>
      </c>
      <c r="AJ511" s="5" t="str">
        <f t="shared" si="93"/>
        <v>Thursday</v>
      </c>
    </row>
    <row r="512" spans="1:36" x14ac:dyDescent="0.3">
      <c r="A512" s="5" t="s">
        <v>546</v>
      </c>
      <c r="B512" s="6">
        <v>45378</v>
      </c>
      <c r="C512" s="7">
        <v>0.75</v>
      </c>
      <c r="D512" s="5" t="s">
        <v>1745</v>
      </c>
      <c r="E512" s="5" t="s">
        <v>1761</v>
      </c>
      <c r="F512" s="5" t="s">
        <v>2240</v>
      </c>
      <c r="G512" s="5" t="s">
        <v>2248</v>
      </c>
      <c r="H512" s="5" t="s">
        <v>2257</v>
      </c>
      <c r="I512" s="5" t="s">
        <v>2262</v>
      </c>
      <c r="J512" s="5" t="s">
        <v>2266</v>
      </c>
      <c r="K512" s="8">
        <v>2</v>
      </c>
      <c r="L512" s="9">
        <v>150</v>
      </c>
      <c r="M512" s="10">
        <v>0</v>
      </c>
      <c r="N512" s="9">
        <f t="shared" si="94"/>
        <v>300</v>
      </c>
      <c r="O512" s="9">
        <f t="shared" si="84"/>
        <v>300</v>
      </c>
      <c r="P512" s="5" t="s">
        <v>2269</v>
      </c>
      <c r="Q512" s="5" t="s">
        <v>2272</v>
      </c>
      <c r="R512" s="5" t="s">
        <v>2278</v>
      </c>
      <c r="S512" s="5" t="s">
        <v>2283</v>
      </c>
      <c r="T512" s="5" t="s">
        <v>2288</v>
      </c>
      <c r="U512" s="8">
        <v>3</v>
      </c>
      <c r="V512" s="8">
        <v>158</v>
      </c>
      <c r="W512" s="19">
        <v>35</v>
      </c>
      <c r="X512" s="9">
        <v>81.239999999999995</v>
      </c>
      <c r="Y512" s="9">
        <f t="shared" si="85"/>
        <v>137.52000000000001</v>
      </c>
      <c r="Z512" s="5" t="s">
        <v>2292</v>
      </c>
      <c r="AA512" s="5" t="s">
        <v>1761</v>
      </c>
      <c r="AB512" s="9">
        <f t="shared" si="86"/>
        <v>300</v>
      </c>
      <c r="AC512" s="9">
        <f t="shared" si="87"/>
        <v>0</v>
      </c>
      <c r="AD512" s="9">
        <f t="shared" si="88"/>
        <v>300</v>
      </c>
      <c r="AE512" s="9">
        <f t="shared" si="89"/>
        <v>162.47999999999999</v>
      </c>
      <c r="AF512" s="9">
        <f t="shared" si="95"/>
        <v>137.52000000000001</v>
      </c>
      <c r="AG512" s="8">
        <f t="shared" si="90"/>
        <v>2024</v>
      </c>
      <c r="AH512" s="8">
        <f t="shared" si="91"/>
        <v>3</v>
      </c>
      <c r="AI512" s="5" t="str">
        <f t="shared" si="92"/>
        <v>Mar</v>
      </c>
      <c r="AJ512" s="5" t="str">
        <f t="shared" si="93"/>
        <v>Wednesday</v>
      </c>
    </row>
    <row r="513" spans="1:36" x14ac:dyDescent="0.3">
      <c r="A513" s="5" t="s">
        <v>547</v>
      </c>
      <c r="B513" s="6">
        <v>45421</v>
      </c>
      <c r="C513" s="7">
        <v>0.74305555555555558</v>
      </c>
      <c r="D513" s="5" t="s">
        <v>1818</v>
      </c>
      <c r="E513" s="5" t="s">
        <v>1949</v>
      </c>
      <c r="F513" s="5" t="s">
        <v>2239</v>
      </c>
      <c r="G513" s="5" t="s">
        <v>2247</v>
      </c>
      <c r="H513" s="5" t="s">
        <v>2257</v>
      </c>
      <c r="I513" s="5" t="s">
        <v>2262</v>
      </c>
      <c r="J513" s="5" t="s">
        <v>1761</v>
      </c>
      <c r="K513" s="8">
        <v>1</v>
      </c>
      <c r="L513" s="9">
        <v>100</v>
      </c>
      <c r="M513" s="10">
        <v>0.1</v>
      </c>
      <c r="N513" s="9">
        <f t="shared" si="94"/>
        <v>100</v>
      </c>
      <c r="O513" s="9">
        <f t="shared" si="84"/>
        <v>90</v>
      </c>
      <c r="P513" s="5" t="s">
        <v>2269</v>
      </c>
      <c r="Q513" s="5" t="s">
        <v>2272</v>
      </c>
      <c r="R513" s="5" t="s">
        <v>2273</v>
      </c>
      <c r="S513" s="5" t="s">
        <v>2285</v>
      </c>
      <c r="T513" s="5" t="s">
        <v>2288</v>
      </c>
      <c r="U513" s="8">
        <v>4</v>
      </c>
      <c r="V513" s="8">
        <v>126</v>
      </c>
      <c r="W513" s="8">
        <v>25</v>
      </c>
      <c r="X513" s="9">
        <v>51.38</v>
      </c>
      <c r="Y513" s="9">
        <f t="shared" si="85"/>
        <v>38.619999999999997</v>
      </c>
      <c r="Z513" s="5" t="s">
        <v>1761</v>
      </c>
      <c r="AA513" s="5" t="s">
        <v>2299</v>
      </c>
      <c r="AB513" s="9">
        <f t="shared" si="86"/>
        <v>100</v>
      </c>
      <c r="AC513" s="9">
        <f t="shared" si="87"/>
        <v>10</v>
      </c>
      <c r="AD513" s="9">
        <f t="shared" si="88"/>
        <v>90</v>
      </c>
      <c r="AE513" s="9">
        <f t="shared" si="89"/>
        <v>51.38</v>
      </c>
      <c r="AF513" s="9">
        <f t="shared" si="95"/>
        <v>38.619999999999997</v>
      </c>
      <c r="AG513" s="8">
        <f t="shared" si="90"/>
        <v>2024</v>
      </c>
      <c r="AH513" s="8">
        <f t="shared" si="91"/>
        <v>5</v>
      </c>
      <c r="AI513" s="5" t="str">
        <f t="shared" si="92"/>
        <v>May</v>
      </c>
      <c r="AJ513" s="5" t="str">
        <f t="shared" si="93"/>
        <v>Thursday</v>
      </c>
    </row>
    <row r="514" spans="1:36" x14ac:dyDescent="0.3">
      <c r="A514" s="5" t="s">
        <v>548</v>
      </c>
      <c r="B514" s="6">
        <v>45390</v>
      </c>
      <c r="C514" s="7">
        <v>0.78125</v>
      </c>
      <c r="D514" s="5" t="s">
        <v>1907</v>
      </c>
      <c r="E514" s="5" t="s">
        <v>1761</v>
      </c>
      <c r="F514" s="5" t="s">
        <v>1761</v>
      </c>
      <c r="G514" s="5" t="s">
        <v>2251</v>
      </c>
      <c r="H514" s="5" t="s">
        <v>2258</v>
      </c>
      <c r="I514" s="5" t="s">
        <v>2260</v>
      </c>
      <c r="J514" s="5" t="s">
        <v>2265</v>
      </c>
      <c r="K514" s="8">
        <v>1</v>
      </c>
      <c r="L514" s="9">
        <v>110</v>
      </c>
      <c r="M514" s="10">
        <v>0.05</v>
      </c>
      <c r="N514" s="9">
        <f t="shared" si="94"/>
        <v>110</v>
      </c>
      <c r="O514" s="9">
        <f t="shared" ref="O514:O577" si="96">IF(N514="","",N514*(1-IF(M514="",0,M514)))</f>
        <v>104.5</v>
      </c>
      <c r="P514" s="5" t="s">
        <v>2269</v>
      </c>
      <c r="Q514" s="5" t="s">
        <v>2270</v>
      </c>
      <c r="R514" s="5" t="s">
        <v>2276</v>
      </c>
      <c r="S514" s="5" t="s">
        <v>2285</v>
      </c>
      <c r="T514" s="5" t="s">
        <v>2288</v>
      </c>
      <c r="U514" s="8">
        <v>3</v>
      </c>
      <c r="V514" s="8">
        <v>263</v>
      </c>
      <c r="W514" s="19">
        <v>34</v>
      </c>
      <c r="X514" s="9">
        <v>52.72</v>
      </c>
      <c r="Y514" s="9">
        <f t="shared" ref="Y514:Y577" si="97">IF(OR(O514="",K514="",X514=""),"",O514-K514*X514)</f>
        <v>51.78</v>
      </c>
      <c r="Z514" s="5" t="s">
        <v>2293</v>
      </c>
      <c r="AA514" s="5" t="s">
        <v>1761</v>
      </c>
      <c r="AB514" s="9">
        <f t="shared" ref="AB514:AB577" si="98">N514</f>
        <v>110</v>
      </c>
      <c r="AC514" s="9">
        <f t="shared" ref="AC514:AC577" si="99">IF(N514="","",N514*IF(M514="",0,M514))</f>
        <v>5.5</v>
      </c>
      <c r="AD514" s="9">
        <f t="shared" ref="AD514:AD577" si="100">O514</f>
        <v>104.5</v>
      </c>
      <c r="AE514" s="9">
        <f t="shared" ref="AE514:AE577" si="101">IF(OR(K514="",X514=""),"",K514*X514)</f>
        <v>52.72</v>
      </c>
      <c r="AF514" s="9">
        <f t="shared" si="95"/>
        <v>51.78</v>
      </c>
      <c r="AG514" s="8">
        <f t="shared" ref="AG514:AG577" si="102">IF(B514="","",YEAR(B514))</f>
        <v>2024</v>
      </c>
      <c r="AH514" s="8">
        <f t="shared" ref="AH514:AH577" si="103">IF(B514="","",MONTH(B514))</f>
        <v>4</v>
      </c>
      <c r="AI514" s="5" t="str">
        <f t="shared" ref="AI514:AI577" si="104">IF(B514="","",TEXT(B514,"mmm"))</f>
        <v>Apr</v>
      </c>
      <c r="AJ514" s="5" t="str">
        <f t="shared" ref="AJ514:AJ577" si="105">IF(B514="","",TEXT(B514,"dddd"))</f>
        <v>Monday</v>
      </c>
    </row>
    <row r="515" spans="1:36" x14ac:dyDescent="0.3">
      <c r="A515" s="5" t="s">
        <v>549</v>
      </c>
      <c r="B515" s="6">
        <v>45466</v>
      </c>
      <c r="C515" s="7">
        <v>0.76041666666666663</v>
      </c>
      <c r="D515" s="5" t="s">
        <v>1923</v>
      </c>
      <c r="E515" s="5" t="s">
        <v>2127</v>
      </c>
      <c r="F515" s="5" t="s">
        <v>2240</v>
      </c>
      <c r="G515" s="5" t="s">
        <v>2249</v>
      </c>
      <c r="H515" s="5" t="s">
        <v>2257</v>
      </c>
      <c r="I515" s="5" t="s">
        <v>2263</v>
      </c>
      <c r="J515" s="5" t="s">
        <v>2266</v>
      </c>
      <c r="K515" s="8">
        <v>4</v>
      </c>
      <c r="L515" s="9">
        <v>155</v>
      </c>
      <c r="M515" s="10">
        <v>0.1</v>
      </c>
      <c r="N515" s="9">
        <f t="shared" ref="N515:N578" si="106">IFERROR(K515*L515,"")</f>
        <v>620</v>
      </c>
      <c r="O515" s="9">
        <f t="shared" si="96"/>
        <v>558</v>
      </c>
      <c r="P515" s="5" t="s">
        <v>2268</v>
      </c>
      <c r="Q515" s="5" t="s">
        <v>2271</v>
      </c>
      <c r="R515" s="5" t="s">
        <v>2273</v>
      </c>
      <c r="S515" s="5" t="s">
        <v>2284</v>
      </c>
      <c r="T515" s="5" t="s">
        <v>2290</v>
      </c>
      <c r="U515" s="8">
        <v>1</v>
      </c>
      <c r="V515" s="8">
        <v>145</v>
      </c>
      <c r="W515" s="8">
        <v>13</v>
      </c>
      <c r="X515" s="9">
        <v>91.85</v>
      </c>
      <c r="Y515" s="9">
        <f t="shared" si="97"/>
        <v>190.60000000000002</v>
      </c>
      <c r="Z515" s="5" t="s">
        <v>2293</v>
      </c>
      <c r="AA515" s="5" t="s">
        <v>2299</v>
      </c>
      <c r="AB515" s="9">
        <f t="shared" si="98"/>
        <v>620</v>
      </c>
      <c r="AC515" s="9">
        <f t="shared" si="99"/>
        <v>62</v>
      </c>
      <c r="AD515" s="9">
        <f t="shared" si="100"/>
        <v>558</v>
      </c>
      <c r="AE515" s="9">
        <f t="shared" si="101"/>
        <v>367.4</v>
      </c>
      <c r="AF515" s="9">
        <f t="shared" ref="AF515:AF578" si="107">Y515</f>
        <v>190.60000000000002</v>
      </c>
      <c r="AG515" s="8">
        <f t="shared" si="102"/>
        <v>2024</v>
      </c>
      <c r="AH515" s="8">
        <f t="shared" si="103"/>
        <v>6</v>
      </c>
      <c r="AI515" s="5" t="str">
        <f t="shared" si="104"/>
        <v>Jun</v>
      </c>
      <c r="AJ515" s="5" t="str">
        <f t="shared" si="105"/>
        <v>Sunday</v>
      </c>
    </row>
    <row r="516" spans="1:36" x14ac:dyDescent="0.3">
      <c r="A516" s="5" t="s">
        <v>550</v>
      </c>
      <c r="B516" s="6">
        <v>45654</v>
      </c>
      <c r="C516" s="7">
        <v>0.66666666666666663</v>
      </c>
      <c r="D516" s="5" t="s">
        <v>1826</v>
      </c>
      <c r="E516" s="5" t="s">
        <v>2181</v>
      </c>
      <c r="F516" s="5" t="s">
        <v>2239</v>
      </c>
      <c r="G516" s="5" t="s">
        <v>2254</v>
      </c>
      <c r="H516" s="5" t="s">
        <v>2259</v>
      </c>
      <c r="I516" s="5" t="s">
        <v>2263</v>
      </c>
      <c r="J516" s="5" t="s">
        <v>2265</v>
      </c>
      <c r="K516" s="8">
        <v>2</v>
      </c>
      <c r="L516" s="9">
        <v>115</v>
      </c>
      <c r="M516" s="10">
        <v>0.1</v>
      </c>
      <c r="N516" s="9">
        <f t="shared" si="106"/>
        <v>230</v>
      </c>
      <c r="O516" s="9">
        <f t="shared" si="96"/>
        <v>207</v>
      </c>
      <c r="P516" s="5" t="s">
        <v>2268</v>
      </c>
      <c r="Q516" s="5" t="s">
        <v>2271</v>
      </c>
      <c r="R516" s="5" t="s">
        <v>2279</v>
      </c>
      <c r="S516" s="5" t="s">
        <v>2285</v>
      </c>
      <c r="T516" s="5" t="s">
        <v>2288</v>
      </c>
      <c r="U516" s="8">
        <v>5</v>
      </c>
      <c r="V516" s="8">
        <v>412</v>
      </c>
      <c r="W516" s="8">
        <v>43</v>
      </c>
      <c r="X516" s="9">
        <v>44.03</v>
      </c>
      <c r="Y516" s="9">
        <f t="shared" si="97"/>
        <v>118.94</v>
      </c>
      <c r="Z516" s="5" t="s">
        <v>2291</v>
      </c>
      <c r="AA516" s="5" t="s">
        <v>2296</v>
      </c>
      <c r="AB516" s="9">
        <f t="shared" si="98"/>
        <v>230</v>
      </c>
      <c r="AC516" s="9">
        <f t="shared" si="99"/>
        <v>23</v>
      </c>
      <c r="AD516" s="9">
        <f t="shared" si="100"/>
        <v>207</v>
      </c>
      <c r="AE516" s="9">
        <f t="shared" si="101"/>
        <v>88.06</v>
      </c>
      <c r="AF516" s="9">
        <f t="shared" si="107"/>
        <v>118.94</v>
      </c>
      <c r="AG516" s="8">
        <f t="shared" si="102"/>
        <v>2024</v>
      </c>
      <c r="AH516" s="8">
        <f t="shared" si="103"/>
        <v>12</v>
      </c>
      <c r="AI516" s="5" t="str">
        <f t="shared" si="104"/>
        <v>Dec</v>
      </c>
      <c r="AJ516" s="5" t="str">
        <f t="shared" si="105"/>
        <v>Saturday</v>
      </c>
    </row>
    <row r="517" spans="1:36" x14ac:dyDescent="0.3">
      <c r="A517" s="5" t="s">
        <v>551</v>
      </c>
      <c r="B517" s="6">
        <v>45398</v>
      </c>
      <c r="C517" s="7">
        <v>0.84027777777777779</v>
      </c>
      <c r="D517" s="5" t="s">
        <v>1926</v>
      </c>
      <c r="E517" s="5" t="s">
        <v>2182</v>
      </c>
      <c r="F517" s="5" t="s">
        <v>2239</v>
      </c>
      <c r="G517" s="5" t="s">
        <v>2243</v>
      </c>
      <c r="H517" s="5" t="s">
        <v>2258</v>
      </c>
      <c r="I517" s="5" t="s">
        <v>2260</v>
      </c>
      <c r="J517" s="5" t="s">
        <v>2264</v>
      </c>
      <c r="K517" s="8">
        <v>1</v>
      </c>
      <c r="L517" s="9">
        <v>70</v>
      </c>
      <c r="M517" s="10">
        <v>0.05</v>
      </c>
      <c r="N517" s="9">
        <f t="shared" si="106"/>
        <v>70</v>
      </c>
      <c r="O517" s="9">
        <f t="shared" si="96"/>
        <v>66.5</v>
      </c>
      <c r="P517" s="5" t="s">
        <v>2267</v>
      </c>
      <c r="Q517" s="5" t="s">
        <v>2270</v>
      </c>
      <c r="R517" s="5" t="s">
        <v>2276</v>
      </c>
      <c r="S517" s="5" t="s">
        <v>2280</v>
      </c>
      <c r="T517" s="5" t="s">
        <v>2288</v>
      </c>
      <c r="U517" s="8">
        <v>5</v>
      </c>
      <c r="V517" s="8">
        <v>255</v>
      </c>
      <c r="W517" s="8">
        <v>45</v>
      </c>
      <c r="X517" s="9">
        <v>34.46</v>
      </c>
      <c r="Y517" s="9">
        <f t="shared" si="97"/>
        <v>32.04</v>
      </c>
      <c r="Z517" s="5" t="s">
        <v>2294</v>
      </c>
      <c r="AA517" s="5" t="s">
        <v>2296</v>
      </c>
      <c r="AB517" s="9">
        <f t="shared" si="98"/>
        <v>70</v>
      </c>
      <c r="AC517" s="9">
        <f t="shared" si="99"/>
        <v>3.5</v>
      </c>
      <c r="AD517" s="9">
        <f t="shared" si="100"/>
        <v>66.5</v>
      </c>
      <c r="AE517" s="9">
        <f t="shared" si="101"/>
        <v>34.46</v>
      </c>
      <c r="AF517" s="9">
        <f t="shared" si="107"/>
        <v>32.04</v>
      </c>
      <c r="AG517" s="8">
        <f t="shared" si="102"/>
        <v>2024</v>
      </c>
      <c r="AH517" s="8">
        <f t="shared" si="103"/>
        <v>4</v>
      </c>
      <c r="AI517" s="5" t="str">
        <f t="shared" si="104"/>
        <v>Apr</v>
      </c>
      <c r="AJ517" s="5" t="str">
        <f t="shared" si="105"/>
        <v>Tuesday</v>
      </c>
    </row>
    <row r="518" spans="1:36" x14ac:dyDescent="0.3">
      <c r="A518" s="5" t="s">
        <v>552</v>
      </c>
      <c r="B518" s="6">
        <v>45479</v>
      </c>
      <c r="C518" s="7">
        <v>0.85416666666666663</v>
      </c>
      <c r="D518" s="5" t="s">
        <v>1846</v>
      </c>
      <c r="E518" s="5" t="s">
        <v>2093</v>
      </c>
      <c r="F518" s="5" t="s">
        <v>1761</v>
      </c>
      <c r="G518" s="5" t="s">
        <v>2253</v>
      </c>
      <c r="H518" s="5" t="s">
        <v>2258</v>
      </c>
      <c r="I518" s="5" t="s">
        <v>2260</v>
      </c>
      <c r="J518" s="5" t="s">
        <v>1761</v>
      </c>
      <c r="K518" s="8">
        <v>2</v>
      </c>
      <c r="L518" s="9">
        <v>90</v>
      </c>
      <c r="M518" s="10">
        <v>0</v>
      </c>
      <c r="N518" s="9">
        <f t="shared" si="106"/>
        <v>180</v>
      </c>
      <c r="O518" s="9">
        <f t="shared" si="96"/>
        <v>180</v>
      </c>
      <c r="P518" s="5" t="s">
        <v>2267</v>
      </c>
      <c r="Q518" s="5" t="s">
        <v>2270</v>
      </c>
      <c r="R518" s="5" t="s">
        <v>2276</v>
      </c>
      <c r="S518" s="5" t="s">
        <v>2285</v>
      </c>
      <c r="T518" s="5" t="s">
        <v>2289</v>
      </c>
      <c r="U518" s="8">
        <v>5</v>
      </c>
      <c r="V518" s="8">
        <v>401</v>
      </c>
      <c r="W518" s="8">
        <v>47</v>
      </c>
      <c r="X518" s="9">
        <v>44.72</v>
      </c>
      <c r="Y518" s="9">
        <f t="shared" si="97"/>
        <v>90.56</v>
      </c>
      <c r="Z518" s="5" t="s">
        <v>2291</v>
      </c>
      <c r="AA518" s="5" t="s">
        <v>2296</v>
      </c>
      <c r="AB518" s="9">
        <f t="shared" si="98"/>
        <v>180</v>
      </c>
      <c r="AC518" s="9">
        <f t="shared" si="99"/>
        <v>0</v>
      </c>
      <c r="AD518" s="9">
        <f t="shared" si="100"/>
        <v>180</v>
      </c>
      <c r="AE518" s="9">
        <f t="shared" si="101"/>
        <v>89.44</v>
      </c>
      <c r="AF518" s="9">
        <f t="shared" si="107"/>
        <v>90.56</v>
      </c>
      <c r="AG518" s="8">
        <f t="shared" si="102"/>
        <v>2024</v>
      </c>
      <c r="AH518" s="8">
        <f t="shared" si="103"/>
        <v>7</v>
      </c>
      <c r="AI518" s="5" t="str">
        <f t="shared" si="104"/>
        <v>Jul</v>
      </c>
      <c r="AJ518" s="5" t="str">
        <f t="shared" si="105"/>
        <v>Saturday</v>
      </c>
    </row>
    <row r="519" spans="1:36" x14ac:dyDescent="0.3">
      <c r="A519" s="5" t="s">
        <v>553</v>
      </c>
      <c r="B519" s="6">
        <v>45443</v>
      </c>
      <c r="C519" s="7">
        <v>0.51388888888888884</v>
      </c>
      <c r="D519" s="5" t="s">
        <v>1773</v>
      </c>
      <c r="E519" s="5" t="s">
        <v>2106</v>
      </c>
      <c r="F519" s="5" t="s">
        <v>2238</v>
      </c>
      <c r="G519" s="5" t="s">
        <v>2251</v>
      </c>
      <c r="H519" s="5" t="s">
        <v>2258</v>
      </c>
      <c r="I519" s="5" t="s">
        <v>2260</v>
      </c>
      <c r="J519" s="5" t="s">
        <v>2265</v>
      </c>
      <c r="K519" s="8">
        <v>2</v>
      </c>
      <c r="L519" s="9">
        <v>95</v>
      </c>
      <c r="M519" s="10">
        <v>0.05</v>
      </c>
      <c r="N519" s="9">
        <f t="shared" si="106"/>
        <v>190</v>
      </c>
      <c r="O519" s="9">
        <f t="shared" si="96"/>
        <v>180.5</v>
      </c>
      <c r="P519" s="5" t="s">
        <v>2269</v>
      </c>
      <c r="Q519" s="5" t="s">
        <v>1761</v>
      </c>
      <c r="R519" s="5" t="s">
        <v>2273</v>
      </c>
      <c r="S519" s="5" t="s">
        <v>2283</v>
      </c>
      <c r="T519" s="5" t="s">
        <v>2290</v>
      </c>
      <c r="U519" s="8">
        <v>3</v>
      </c>
      <c r="V519" s="8">
        <v>120</v>
      </c>
      <c r="W519" s="8">
        <v>17</v>
      </c>
      <c r="X519" s="9">
        <v>36.57</v>
      </c>
      <c r="Y519" s="9">
        <f t="shared" si="97"/>
        <v>107.36</v>
      </c>
      <c r="Z519" s="5" t="s">
        <v>2291</v>
      </c>
      <c r="AA519" s="5" t="s">
        <v>2297</v>
      </c>
      <c r="AB519" s="9">
        <f t="shared" si="98"/>
        <v>190</v>
      </c>
      <c r="AC519" s="9">
        <f t="shared" si="99"/>
        <v>9.5</v>
      </c>
      <c r="AD519" s="9">
        <f t="shared" si="100"/>
        <v>180.5</v>
      </c>
      <c r="AE519" s="9">
        <f t="shared" si="101"/>
        <v>73.14</v>
      </c>
      <c r="AF519" s="9">
        <f t="shared" si="107"/>
        <v>107.36</v>
      </c>
      <c r="AG519" s="8">
        <f t="shared" si="102"/>
        <v>2024</v>
      </c>
      <c r="AH519" s="8">
        <f t="shared" si="103"/>
        <v>5</v>
      </c>
      <c r="AI519" s="5" t="str">
        <f t="shared" si="104"/>
        <v>May</v>
      </c>
      <c r="AJ519" s="5" t="str">
        <f t="shared" si="105"/>
        <v>Friday</v>
      </c>
    </row>
    <row r="520" spans="1:36" x14ac:dyDescent="0.3">
      <c r="A520" s="5" t="s">
        <v>554</v>
      </c>
      <c r="B520" s="6">
        <v>45372</v>
      </c>
      <c r="C520" s="7">
        <v>0.88541666666666663</v>
      </c>
      <c r="D520" s="5" t="s">
        <v>1820</v>
      </c>
      <c r="E520" s="5" t="s">
        <v>2070</v>
      </c>
      <c r="F520" s="5" t="s">
        <v>2240</v>
      </c>
      <c r="G520" s="5" t="s">
        <v>2244</v>
      </c>
      <c r="H520" s="5" t="s">
        <v>2257</v>
      </c>
      <c r="I520" s="5" t="s">
        <v>2262</v>
      </c>
      <c r="J520" s="5" t="s">
        <v>2266</v>
      </c>
      <c r="K520" s="8">
        <v>1</v>
      </c>
      <c r="L520" s="9">
        <v>125</v>
      </c>
      <c r="M520" s="10">
        <v>0.05</v>
      </c>
      <c r="N520" s="9">
        <f t="shared" si="106"/>
        <v>125</v>
      </c>
      <c r="O520" s="9">
        <f t="shared" si="96"/>
        <v>118.75</v>
      </c>
      <c r="P520" s="5" t="s">
        <v>1761</v>
      </c>
      <c r="Q520" s="5" t="s">
        <v>2272</v>
      </c>
      <c r="R520" s="5" t="s">
        <v>2276</v>
      </c>
      <c r="S520" s="5" t="s">
        <v>2286</v>
      </c>
      <c r="T520" s="5" t="s">
        <v>2290</v>
      </c>
      <c r="U520" s="8">
        <v>5</v>
      </c>
      <c r="V520" s="8">
        <v>133</v>
      </c>
      <c r="W520" s="8">
        <v>37</v>
      </c>
      <c r="X520" s="9">
        <v>68.22</v>
      </c>
      <c r="Y520" s="9">
        <f t="shared" si="97"/>
        <v>50.53</v>
      </c>
      <c r="Z520" s="5" t="s">
        <v>1761</v>
      </c>
      <c r="AA520" s="5" t="s">
        <v>2299</v>
      </c>
      <c r="AB520" s="9">
        <f t="shared" si="98"/>
        <v>125</v>
      </c>
      <c r="AC520" s="9">
        <f t="shared" si="99"/>
        <v>6.25</v>
      </c>
      <c r="AD520" s="9">
        <f t="shared" si="100"/>
        <v>118.75</v>
      </c>
      <c r="AE520" s="9">
        <f t="shared" si="101"/>
        <v>68.22</v>
      </c>
      <c r="AF520" s="9">
        <f t="shared" si="107"/>
        <v>50.53</v>
      </c>
      <c r="AG520" s="8">
        <f t="shared" si="102"/>
        <v>2024</v>
      </c>
      <c r="AH520" s="8">
        <f t="shared" si="103"/>
        <v>3</v>
      </c>
      <c r="AI520" s="5" t="str">
        <f t="shared" si="104"/>
        <v>Mar</v>
      </c>
      <c r="AJ520" s="5" t="str">
        <f t="shared" si="105"/>
        <v>Thursday</v>
      </c>
    </row>
    <row r="521" spans="1:36" x14ac:dyDescent="0.3">
      <c r="A521" s="5" t="s">
        <v>555</v>
      </c>
      <c r="B521" s="6">
        <v>45626</v>
      </c>
      <c r="C521" s="7">
        <v>0.50694444444444442</v>
      </c>
      <c r="D521" s="5" t="s">
        <v>1760</v>
      </c>
      <c r="E521" s="5" t="s">
        <v>2183</v>
      </c>
      <c r="F521" s="5" t="s">
        <v>2239</v>
      </c>
      <c r="G521" s="5" t="s">
        <v>2243</v>
      </c>
      <c r="H521" s="5" t="s">
        <v>2258</v>
      </c>
      <c r="I521" s="5" t="s">
        <v>2260</v>
      </c>
      <c r="J521" s="5" t="s">
        <v>2266</v>
      </c>
      <c r="K521" s="8">
        <v>1</v>
      </c>
      <c r="L521" s="9">
        <v>75</v>
      </c>
      <c r="M521" s="10">
        <v>0</v>
      </c>
      <c r="N521" s="9">
        <f t="shared" si="106"/>
        <v>75</v>
      </c>
      <c r="O521" s="9">
        <f t="shared" si="96"/>
        <v>75</v>
      </c>
      <c r="P521" s="5" t="s">
        <v>2267</v>
      </c>
      <c r="Q521" s="5" t="s">
        <v>2270</v>
      </c>
      <c r="R521" s="5" t="s">
        <v>2278</v>
      </c>
      <c r="S521" s="5" t="s">
        <v>2284</v>
      </c>
      <c r="T521" s="5" t="s">
        <v>2289</v>
      </c>
      <c r="U521" s="8">
        <v>1</v>
      </c>
      <c r="V521" s="8">
        <v>165</v>
      </c>
      <c r="W521" s="8">
        <v>15</v>
      </c>
      <c r="X521" s="9">
        <v>27.13</v>
      </c>
      <c r="Y521" s="9">
        <f t="shared" si="97"/>
        <v>47.870000000000005</v>
      </c>
      <c r="Z521" s="5" t="s">
        <v>1761</v>
      </c>
      <c r="AA521" s="5" t="s">
        <v>2296</v>
      </c>
      <c r="AB521" s="9">
        <f t="shared" si="98"/>
        <v>75</v>
      </c>
      <c r="AC521" s="9">
        <f t="shared" si="99"/>
        <v>0</v>
      </c>
      <c r="AD521" s="9">
        <f t="shared" si="100"/>
        <v>75</v>
      </c>
      <c r="AE521" s="9">
        <f t="shared" si="101"/>
        <v>27.13</v>
      </c>
      <c r="AF521" s="9">
        <f t="shared" si="107"/>
        <v>47.870000000000005</v>
      </c>
      <c r="AG521" s="8">
        <f t="shared" si="102"/>
        <v>2024</v>
      </c>
      <c r="AH521" s="8">
        <f t="shared" si="103"/>
        <v>11</v>
      </c>
      <c r="AI521" s="5" t="str">
        <f t="shared" si="104"/>
        <v>Nov</v>
      </c>
      <c r="AJ521" s="5" t="str">
        <f t="shared" si="105"/>
        <v>Saturday</v>
      </c>
    </row>
    <row r="522" spans="1:36" x14ac:dyDescent="0.3">
      <c r="A522" s="5" t="s">
        <v>556</v>
      </c>
      <c r="B522" s="6">
        <v>45479</v>
      </c>
      <c r="C522" s="7">
        <v>0.61458333333333337</v>
      </c>
      <c r="D522" s="5" t="s">
        <v>1789</v>
      </c>
      <c r="E522" s="5" t="s">
        <v>2020</v>
      </c>
      <c r="F522" s="5" t="s">
        <v>1761</v>
      </c>
      <c r="G522" s="5" t="s">
        <v>2253</v>
      </c>
      <c r="H522" s="5" t="s">
        <v>2258</v>
      </c>
      <c r="I522" s="5" t="s">
        <v>2260</v>
      </c>
      <c r="J522" s="5" t="s">
        <v>2266</v>
      </c>
      <c r="K522" s="8">
        <v>1</v>
      </c>
      <c r="L522" s="9">
        <v>95</v>
      </c>
      <c r="M522" s="10">
        <v>0.1</v>
      </c>
      <c r="N522" s="9">
        <f t="shared" si="106"/>
        <v>95</v>
      </c>
      <c r="O522" s="9">
        <f t="shared" si="96"/>
        <v>85.5</v>
      </c>
      <c r="P522" s="5" t="s">
        <v>2267</v>
      </c>
      <c r="Q522" s="5" t="s">
        <v>2272</v>
      </c>
      <c r="R522" s="5" t="s">
        <v>2276</v>
      </c>
      <c r="S522" s="5" t="s">
        <v>2287</v>
      </c>
      <c r="T522" s="5" t="s">
        <v>2288</v>
      </c>
      <c r="U522" s="8">
        <v>5</v>
      </c>
      <c r="V522" s="8">
        <v>248</v>
      </c>
      <c r="W522" s="19">
        <v>35</v>
      </c>
      <c r="X522" s="9">
        <v>36.119999999999997</v>
      </c>
      <c r="Y522" s="9">
        <f t="shared" si="97"/>
        <v>49.38</v>
      </c>
      <c r="Z522" s="5" t="s">
        <v>2293</v>
      </c>
      <c r="AA522" s="5" t="s">
        <v>2296</v>
      </c>
      <c r="AB522" s="9">
        <f t="shared" si="98"/>
        <v>95</v>
      </c>
      <c r="AC522" s="9">
        <f t="shared" si="99"/>
        <v>9.5</v>
      </c>
      <c r="AD522" s="9">
        <f t="shared" si="100"/>
        <v>85.5</v>
      </c>
      <c r="AE522" s="9">
        <f t="shared" si="101"/>
        <v>36.119999999999997</v>
      </c>
      <c r="AF522" s="9">
        <f t="shared" si="107"/>
        <v>49.38</v>
      </c>
      <c r="AG522" s="8">
        <f t="shared" si="102"/>
        <v>2024</v>
      </c>
      <c r="AH522" s="8">
        <f t="shared" si="103"/>
        <v>7</v>
      </c>
      <c r="AI522" s="5" t="str">
        <f t="shared" si="104"/>
        <v>Jul</v>
      </c>
      <c r="AJ522" s="5" t="str">
        <f t="shared" si="105"/>
        <v>Saturday</v>
      </c>
    </row>
    <row r="523" spans="1:36" x14ac:dyDescent="0.3">
      <c r="A523" s="5" t="s">
        <v>557</v>
      </c>
      <c r="B523" s="6">
        <v>45392</v>
      </c>
      <c r="C523" s="7">
        <v>0.38194444444444442</v>
      </c>
      <c r="D523" s="5" t="s">
        <v>1882</v>
      </c>
      <c r="E523" s="5" t="s">
        <v>2184</v>
      </c>
      <c r="F523" s="5" t="s">
        <v>2240</v>
      </c>
      <c r="G523" s="5" t="s">
        <v>2242</v>
      </c>
      <c r="H523" s="5" t="s">
        <v>2258</v>
      </c>
      <c r="I523" s="5" t="s">
        <v>2260</v>
      </c>
      <c r="J523" s="5" t="s">
        <v>2264</v>
      </c>
      <c r="K523" s="8">
        <v>3</v>
      </c>
      <c r="L523" s="9">
        <v>120</v>
      </c>
      <c r="M523" s="10">
        <v>0.1</v>
      </c>
      <c r="N523" s="9">
        <f t="shared" si="106"/>
        <v>360</v>
      </c>
      <c r="O523" s="9">
        <f t="shared" si="96"/>
        <v>324</v>
      </c>
      <c r="P523" s="5" t="s">
        <v>2268</v>
      </c>
      <c r="Q523" s="5" t="s">
        <v>2272</v>
      </c>
      <c r="R523" s="5" t="s">
        <v>2273</v>
      </c>
      <c r="S523" s="5" t="s">
        <v>2281</v>
      </c>
      <c r="T523" s="5" t="s">
        <v>2289</v>
      </c>
      <c r="U523" s="8">
        <v>4</v>
      </c>
      <c r="V523" s="8">
        <v>393</v>
      </c>
      <c r="W523" s="8">
        <v>12</v>
      </c>
      <c r="X523" s="9">
        <v>69.010000000000005</v>
      </c>
      <c r="Y523" s="9">
        <f t="shared" si="97"/>
        <v>116.96999999999997</v>
      </c>
      <c r="Z523" s="5" t="s">
        <v>2291</v>
      </c>
      <c r="AA523" s="5" t="s">
        <v>2298</v>
      </c>
      <c r="AB523" s="9">
        <f t="shared" si="98"/>
        <v>360</v>
      </c>
      <c r="AC523" s="9">
        <f t="shared" si="99"/>
        <v>36</v>
      </c>
      <c r="AD523" s="9">
        <f t="shared" si="100"/>
        <v>324</v>
      </c>
      <c r="AE523" s="9">
        <f t="shared" si="101"/>
        <v>207.03000000000003</v>
      </c>
      <c r="AF523" s="9">
        <f t="shared" si="107"/>
        <v>116.96999999999997</v>
      </c>
      <c r="AG523" s="8">
        <f t="shared" si="102"/>
        <v>2024</v>
      </c>
      <c r="AH523" s="8">
        <f t="shared" si="103"/>
        <v>4</v>
      </c>
      <c r="AI523" s="5" t="str">
        <f t="shared" si="104"/>
        <v>Apr</v>
      </c>
      <c r="AJ523" s="5" t="str">
        <f t="shared" si="105"/>
        <v>Wednesday</v>
      </c>
    </row>
    <row r="524" spans="1:36" x14ac:dyDescent="0.3">
      <c r="A524" s="5" t="s">
        <v>558</v>
      </c>
      <c r="B524" s="6">
        <v>45429</v>
      </c>
      <c r="C524" s="7">
        <v>0.40972222222222221</v>
      </c>
      <c r="D524" s="5" t="s">
        <v>1885</v>
      </c>
      <c r="E524" s="5" t="s">
        <v>2185</v>
      </c>
      <c r="F524" s="5" t="s">
        <v>1761</v>
      </c>
      <c r="G524" s="5" t="s">
        <v>2251</v>
      </c>
      <c r="H524" s="5" t="s">
        <v>2258</v>
      </c>
      <c r="I524" s="5" t="s">
        <v>2260</v>
      </c>
      <c r="J524" s="5" t="s">
        <v>2264</v>
      </c>
      <c r="K524" s="8">
        <v>1</v>
      </c>
      <c r="L524" s="9">
        <v>110</v>
      </c>
      <c r="M524" s="10">
        <v>0.15</v>
      </c>
      <c r="N524" s="9">
        <f t="shared" si="106"/>
        <v>110</v>
      </c>
      <c r="O524" s="9">
        <f t="shared" si="96"/>
        <v>93.5</v>
      </c>
      <c r="P524" s="5" t="s">
        <v>2267</v>
      </c>
      <c r="Q524" s="5" t="s">
        <v>2270</v>
      </c>
      <c r="R524" s="5" t="s">
        <v>2278</v>
      </c>
      <c r="S524" s="5" t="s">
        <v>2281</v>
      </c>
      <c r="T524" s="5" t="s">
        <v>2289</v>
      </c>
      <c r="U524" s="8">
        <v>4</v>
      </c>
      <c r="V524" s="8">
        <v>303</v>
      </c>
      <c r="W524" s="8">
        <v>39</v>
      </c>
      <c r="X524" s="9">
        <v>53.29</v>
      </c>
      <c r="Y524" s="9">
        <f t="shared" si="97"/>
        <v>40.21</v>
      </c>
      <c r="Z524" s="5" t="s">
        <v>1761</v>
      </c>
      <c r="AA524" s="5" t="s">
        <v>2297</v>
      </c>
      <c r="AB524" s="9">
        <f t="shared" si="98"/>
        <v>110</v>
      </c>
      <c r="AC524" s="9">
        <f t="shared" si="99"/>
        <v>16.5</v>
      </c>
      <c r="AD524" s="9">
        <f t="shared" si="100"/>
        <v>93.5</v>
      </c>
      <c r="AE524" s="9">
        <f t="shared" si="101"/>
        <v>53.29</v>
      </c>
      <c r="AF524" s="9">
        <f t="shared" si="107"/>
        <v>40.21</v>
      </c>
      <c r="AG524" s="8">
        <f t="shared" si="102"/>
        <v>2024</v>
      </c>
      <c r="AH524" s="8">
        <f t="shared" si="103"/>
        <v>5</v>
      </c>
      <c r="AI524" s="5" t="str">
        <f t="shared" si="104"/>
        <v>May</v>
      </c>
      <c r="AJ524" s="5" t="str">
        <f t="shared" si="105"/>
        <v>Friday</v>
      </c>
    </row>
    <row r="525" spans="1:36" x14ac:dyDescent="0.3">
      <c r="A525" s="5" t="s">
        <v>559</v>
      </c>
      <c r="B525" s="6">
        <v>45450</v>
      </c>
      <c r="C525" s="7">
        <v>0.4375</v>
      </c>
      <c r="D525" s="5" t="s">
        <v>1829</v>
      </c>
      <c r="E525" s="5" t="s">
        <v>2186</v>
      </c>
      <c r="F525" s="5" t="s">
        <v>2239</v>
      </c>
      <c r="G525" s="5" t="s">
        <v>2242</v>
      </c>
      <c r="H525" s="5" t="s">
        <v>2258</v>
      </c>
      <c r="I525" s="5" t="s">
        <v>2260</v>
      </c>
      <c r="J525" s="5" t="s">
        <v>2265</v>
      </c>
      <c r="K525" s="8">
        <v>1</v>
      </c>
      <c r="L525" s="9">
        <v>115</v>
      </c>
      <c r="M525" s="10">
        <v>0</v>
      </c>
      <c r="N525" s="9">
        <f t="shared" si="106"/>
        <v>115</v>
      </c>
      <c r="O525" s="9">
        <f t="shared" si="96"/>
        <v>115</v>
      </c>
      <c r="P525" s="5" t="s">
        <v>2267</v>
      </c>
      <c r="Q525" s="5" t="s">
        <v>2272</v>
      </c>
      <c r="R525" s="5" t="s">
        <v>2278</v>
      </c>
      <c r="S525" s="5" t="s">
        <v>2284</v>
      </c>
      <c r="T525" s="5" t="s">
        <v>2288</v>
      </c>
      <c r="U525" s="8">
        <v>4</v>
      </c>
      <c r="V525" s="8">
        <v>329</v>
      </c>
      <c r="W525" s="8">
        <v>17</v>
      </c>
      <c r="X525" s="9">
        <v>50.06</v>
      </c>
      <c r="Y525" s="9">
        <f t="shared" si="97"/>
        <v>64.94</v>
      </c>
      <c r="Z525" s="5" t="s">
        <v>2293</v>
      </c>
      <c r="AA525" s="5" t="s">
        <v>2296</v>
      </c>
      <c r="AB525" s="9">
        <f t="shared" si="98"/>
        <v>115</v>
      </c>
      <c r="AC525" s="9">
        <f t="shared" si="99"/>
        <v>0</v>
      </c>
      <c r="AD525" s="9">
        <f t="shared" si="100"/>
        <v>115</v>
      </c>
      <c r="AE525" s="9">
        <f t="shared" si="101"/>
        <v>50.06</v>
      </c>
      <c r="AF525" s="9">
        <f t="shared" si="107"/>
        <v>64.94</v>
      </c>
      <c r="AG525" s="8">
        <f t="shared" si="102"/>
        <v>2024</v>
      </c>
      <c r="AH525" s="8">
        <f t="shared" si="103"/>
        <v>6</v>
      </c>
      <c r="AI525" s="5" t="str">
        <f t="shared" si="104"/>
        <v>Jun</v>
      </c>
      <c r="AJ525" s="5" t="str">
        <f t="shared" si="105"/>
        <v>Friday</v>
      </c>
    </row>
    <row r="526" spans="1:36" x14ac:dyDescent="0.3">
      <c r="A526" s="5" t="s">
        <v>560</v>
      </c>
      <c r="B526" s="6">
        <v>45647</v>
      </c>
      <c r="C526" s="7">
        <v>0.36805555555555558</v>
      </c>
      <c r="D526" s="5" t="s">
        <v>1846</v>
      </c>
      <c r="E526" s="5" t="s">
        <v>2149</v>
      </c>
      <c r="F526" s="5" t="s">
        <v>2239</v>
      </c>
      <c r="G526" s="5" t="s">
        <v>2256</v>
      </c>
      <c r="H526" s="5" t="s">
        <v>2261</v>
      </c>
      <c r="I526" s="5" t="s">
        <v>2260</v>
      </c>
      <c r="J526" s="5" t="s">
        <v>2266</v>
      </c>
      <c r="K526" s="8">
        <v>1</v>
      </c>
      <c r="L526" s="9">
        <v>185</v>
      </c>
      <c r="M526" s="10">
        <v>0.15</v>
      </c>
      <c r="N526" s="9">
        <f t="shared" si="106"/>
        <v>185</v>
      </c>
      <c r="O526" s="9">
        <f t="shared" si="96"/>
        <v>157.25</v>
      </c>
      <c r="P526" s="5" t="s">
        <v>2268</v>
      </c>
      <c r="Q526" s="5" t="s">
        <v>2271</v>
      </c>
      <c r="R526" s="5" t="s">
        <v>2273</v>
      </c>
      <c r="S526" s="5" t="s">
        <v>2282</v>
      </c>
      <c r="T526" s="5" t="s">
        <v>2288</v>
      </c>
      <c r="U526" s="8">
        <v>3</v>
      </c>
      <c r="V526" s="8">
        <v>436</v>
      </c>
      <c r="W526" s="8">
        <v>12</v>
      </c>
      <c r="X526" s="9">
        <v>66.510000000000005</v>
      </c>
      <c r="Y526" s="9">
        <f t="shared" si="97"/>
        <v>90.74</v>
      </c>
      <c r="Z526" s="5" t="s">
        <v>2294</v>
      </c>
      <c r="AA526" s="5" t="s">
        <v>2298</v>
      </c>
      <c r="AB526" s="9">
        <f t="shared" si="98"/>
        <v>185</v>
      </c>
      <c r="AC526" s="9">
        <f t="shared" si="99"/>
        <v>27.75</v>
      </c>
      <c r="AD526" s="9">
        <f t="shared" si="100"/>
        <v>157.25</v>
      </c>
      <c r="AE526" s="9">
        <f t="shared" si="101"/>
        <v>66.510000000000005</v>
      </c>
      <c r="AF526" s="9">
        <f t="shared" si="107"/>
        <v>90.74</v>
      </c>
      <c r="AG526" s="8">
        <f t="shared" si="102"/>
        <v>2024</v>
      </c>
      <c r="AH526" s="8">
        <f t="shared" si="103"/>
        <v>12</v>
      </c>
      <c r="AI526" s="5" t="str">
        <f t="shared" si="104"/>
        <v>Dec</v>
      </c>
      <c r="AJ526" s="5" t="str">
        <f t="shared" si="105"/>
        <v>Saturday</v>
      </c>
    </row>
    <row r="527" spans="1:36" x14ac:dyDescent="0.3">
      <c r="A527" s="5" t="s">
        <v>561</v>
      </c>
      <c r="B527" s="6">
        <v>45409</v>
      </c>
      <c r="C527" s="7">
        <v>0.45833333333333331</v>
      </c>
      <c r="D527" s="5" t="s">
        <v>1844</v>
      </c>
      <c r="E527" s="5" t="s">
        <v>2068</v>
      </c>
      <c r="F527" s="5" t="s">
        <v>2240</v>
      </c>
      <c r="G527" s="5" t="s">
        <v>2245</v>
      </c>
      <c r="H527" s="5" t="s">
        <v>2257</v>
      </c>
      <c r="I527" s="5" t="s">
        <v>2263</v>
      </c>
      <c r="J527" s="5" t="s">
        <v>2264</v>
      </c>
      <c r="K527" s="8">
        <v>2</v>
      </c>
      <c r="L527" s="9">
        <v>145</v>
      </c>
      <c r="M527" s="10">
        <v>0</v>
      </c>
      <c r="N527" s="9">
        <f t="shared" si="106"/>
        <v>290</v>
      </c>
      <c r="O527" s="9">
        <f t="shared" si="96"/>
        <v>290</v>
      </c>
      <c r="P527" s="5" t="s">
        <v>2267</v>
      </c>
      <c r="Q527" s="5" t="s">
        <v>2271</v>
      </c>
      <c r="R527" s="5" t="s">
        <v>2279</v>
      </c>
      <c r="S527" s="5" t="s">
        <v>2280</v>
      </c>
      <c r="T527" s="5" t="s">
        <v>2288</v>
      </c>
      <c r="U527" s="8">
        <v>5</v>
      </c>
      <c r="V527" s="8">
        <v>37</v>
      </c>
      <c r="W527" s="8">
        <v>42</v>
      </c>
      <c r="X527" s="9">
        <v>74.77</v>
      </c>
      <c r="Y527" s="9">
        <f t="shared" si="97"/>
        <v>140.46</v>
      </c>
      <c r="Z527" s="5" t="s">
        <v>2293</v>
      </c>
      <c r="AA527" s="5" t="s">
        <v>2296</v>
      </c>
      <c r="AB527" s="9">
        <f t="shared" si="98"/>
        <v>290</v>
      </c>
      <c r="AC527" s="9">
        <f t="shared" si="99"/>
        <v>0</v>
      </c>
      <c r="AD527" s="9">
        <f t="shared" si="100"/>
        <v>290</v>
      </c>
      <c r="AE527" s="9">
        <f t="shared" si="101"/>
        <v>149.54</v>
      </c>
      <c r="AF527" s="9">
        <f t="shared" si="107"/>
        <v>140.46</v>
      </c>
      <c r="AG527" s="8">
        <f t="shared" si="102"/>
        <v>2024</v>
      </c>
      <c r="AH527" s="8">
        <f t="shared" si="103"/>
        <v>4</v>
      </c>
      <c r="AI527" s="5" t="str">
        <f t="shared" si="104"/>
        <v>Apr</v>
      </c>
      <c r="AJ527" s="5" t="str">
        <f t="shared" si="105"/>
        <v>Saturday</v>
      </c>
    </row>
    <row r="528" spans="1:36" x14ac:dyDescent="0.3">
      <c r="A528" s="5" t="s">
        <v>562</v>
      </c>
      <c r="B528" s="6">
        <v>45292</v>
      </c>
      <c r="C528" s="7">
        <v>0.52083333333333337</v>
      </c>
      <c r="D528" s="5" t="s">
        <v>1844</v>
      </c>
      <c r="E528" s="5" t="s">
        <v>2122</v>
      </c>
      <c r="F528" s="5" t="s">
        <v>2239</v>
      </c>
      <c r="G528" s="5" t="s">
        <v>2256</v>
      </c>
      <c r="H528" s="5" t="s">
        <v>2261</v>
      </c>
      <c r="I528" s="5" t="s">
        <v>2260</v>
      </c>
      <c r="J528" s="5" t="s">
        <v>2264</v>
      </c>
      <c r="K528" s="8">
        <v>1</v>
      </c>
      <c r="L528" s="9">
        <v>190</v>
      </c>
      <c r="M528" s="10">
        <v>0</v>
      </c>
      <c r="N528" s="9">
        <f t="shared" si="106"/>
        <v>190</v>
      </c>
      <c r="O528" s="9">
        <f t="shared" si="96"/>
        <v>190</v>
      </c>
      <c r="P528" s="5" t="s">
        <v>2269</v>
      </c>
      <c r="Q528" s="5" t="s">
        <v>2270</v>
      </c>
      <c r="R528" s="5" t="s">
        <v>2279</v>
      </c>
      <c r="S528" s="5" t="s">
        <v>2282</v>
      </c>
      <c r="T528" s="5" t="s">
        <v>2288</v>
      </c>
      <c r="U528" s="8">
        <v>1</v>
      </c>
      <c r="V528" s="8">
        <v>418</v>
      </c>
      <c r="W528" s="19">
        <v>34</v>
      </c>
      <c r="X528" s="9">
        <v>103.47</v>
      </c>
      <c r="Y528" s="9">
        <f t="shared" si="97"/>
        <v>86.53</v>
      </c>
      <c r="Z528" s="5" t="s">
        <v>1761</v>
      </c>
      <c r="AA528" s="5" t="s">
        <v>2296</v>
      </c>
      <c r="AB528" s="9">
        <f t="shared" si="98"/>
        <v>190</v>
      </c>
      <c r="AC528" s="9">
        <f t="shared" si="99"/>
        <v>0</v>
      </c>
      <c r="AD528" s="9">
        <f t="shared" si="100"/>
        <v>190</v>
      </c>
      <c r="AE528" s="9">
        <f t="shared" si="101"/>
        <v>103.47</v>
      </c>
      <c r="AF528" s="9">
        <f t="shared" si="107"/>
        <v>86.53</v>
      </c>
      <c r="AG528" s="8">
        <f t="shared" si="102"/>
        <v>2024</v>
      </c>
      <c r="AH528" s="8">
        <f t="shared" si="103"/>
        <v>1</v>
      </c>
      <c r="AI528" s="5" t="str">
        <f t="shared" si="104"/>
        <v>Jan</v>
      </c>
      <c r="AJ528" s="5" t="str">
        <f t="shared" si="105"/>
        <v>Monday</v>
      </c>
    </row>
    <row r="529" spans="1:36" x14ac:dyDescent="0.3">
      <c r="A529" s="5" t="s">
        <v>563</v>
      </c>
      <c r="B529" s="6">
        <v>45428</v>
      </c>
      <c r="C529" s="7">
        <v>0.51041666666666663</v>
      </c>
      <c r="D529" s="5" t="s">
        <v>1793</v>
      </c>
      <c r="E529" s="5" t="s">
        <v>2182</v>
      </c>
      <c r="F529" s="5" t="s">
        <v>2240</v>
      </c>
      <c r="G529" s="5" t="s">
        <v>2251</v>
      </c>
      <c r="H529" s="5" t="s">
        <v>2258</v>
      </c>
      <c r="I529" s="5" t="s">
        <v>2260</v>
      </c>
      <c r="J529" s="5" t="s">
        <v>2266</v>
      </c>
      <c r="K529" s="8">
        <v>1</v>
      </c>
      <c r="L529" s="9">
        <v>95</v>
      </c>
      <c r="M529" s="10">
        <v>0.05</v>
      </c>
      <c r="N529" s="9">
        <f t="shared" si="106"/>
        <v>95</v>
      </c>
      <c r="O529" s="9">
        <f t="shared" si="96"/>
        <v>90.25</v>
      </c>
      <c r="P529" s="5" t="s">
        <v>2267</v>
      </c>
      <c r="Q529" s="5" t="s">
        <v>1761</v>
      </c>
      <c r="R529" s="5" t="s">
        <v>2276</v>
      </c>
      <c r="S529" s="5" t="s">
        <v>2287</v>
      </c>
      <c r="T529" s="5" t="s">
        <v>2288</v>
      </c>
      <c r="U529" s="8">
        <v>1</v>
      </c>
      <c r="V529" s="8">
        <v>280</v>
      </c>
      <c r="W529" s="8">
        <v>24</v>
      </c>
      <c r="X529" s="9">
        <v>43.9</v>
      </c>
      <c r="Y529" s="9">
        <f t="shared" si="97"/>
        <v>46.35</v>
      </c>
      <c r="Z529" s="5" t="s">
        <v>1761</v>
      </c>
      <c r="AA529" s="5" t="s">
        <v>2298</v>
      </c>
      <c r="AB529" s="9">
        <f t="shared" si="98"/>
        <v>95</v>
      </c>
      <c r="AC529" s="9">
        <f t="shared" si="99"/>
        <v>4.75</v>
      </c>
      <c r="AD529" s="9">
        <f t="shared" si="100"/>
        <v>90.25</v>
      </c>
      <c r="AE529" s="9">
        <f t="shared" si="101"/>
        <v>43.9</v>
      </c>
      <c r="AF529" s="9">
        <f t="shared" si="107"/>
        <v>46.35</v>
      </c>
      <c r="AG529" s="8">
        <f t="shared" si="102"/>
        <v>2024</v>
      </c>
      <c r="AH529" s="8">
        <f t="shared" si="103"/>
        <v>5</v>
      </c>
      <c r="AI529" s="5" t="str">
        <f t="shared" si="104"/>
        <v>May</v>
      </c>
      <c r="AJ529" s="5" t="str">
        <f t="shared" si="105"/>
        <v>Thursday</v>
      </c>
    </row>
    <row r="530" spans="1:36" x14ac:dyDescent="0.3">
      <c r="A530" s="5" t="s">
        <v>564</v>
      </c>
      <c r="B530" s="6">
        <v>45514</v>
      </c>
      <c r="C530" s="7">
        <v>0.3888888888888889</v>
      </c>
      <c r="D530" s="5" t="s">
        <v>1755</v>
      </c>
      <c r="E530" s="5" t="s">
        <v>2165</v>
      </c>
      <c r="F530" s="5" t="s">
        <v>2240</v>
      </c>
      <c r="G530" s="5" t="s">
        <v>2246</v>
      </c>
      <c r="H530" s="5" t="s">
        <v>2259</v>
      </c>
      <c r="I530" s="5" t="s">
        <v>2262</v>
      </c>
      <c r="J530" s="5" t="s">
        <v>2264</v>
      </c>
      <c r="K530" s="8">
        <v>2</v>
      </c>
      <c r="L530" s="9">
        <v>105</v>
      </c>
      <c r="M530" s="10">
        <v>0.05</v>
      </c>
      <c r="N530" s="9">
        <f t="shared" si="106"/>
        <v>210</v>
      </c>
      <c r="O530" s="9">
        <f t="shared" si="96"/>
        <v>199.5</v>
      </c>
      <c r="P530" s="5" t="s">
        <v>2267</v>
      </c>
      <c r="Q530" s="5" t="s">
        <v>2272</v>
      </c>
      <c r="R530" s="5" t="s">
        <v>2278</v>
      </c>
      <c r="S530" s="5" t="s">
        <v>2281</v>
      </c>
      <c r="T530" s="5" t="s">
        <v>2288</v>
      </c>
      <c r="U530" s="19">
        <v>3</v>
      </c>
      <c r="V530" s="8">
        <v>424</v>
      </c>
      <c r="W530" s="8">
        <v>28</v>
      </c>
      <c r="X530" s="9">
        <v>52.39</v>
      </c>
      <c r="Y530" s="9">
        <f t="shared" si="97"/>
        <v>94.72</v>
      </c>
      <c r="Z530" s="5" t="s">
        <v>2291</v>
      </c>
      <c r="AA530" s="5" t="s">
        <v>2297</v>
      </c>
      <c r="AB530" s="9">
        <f t="shared" si="98"/>
        <v>210</v>
      </c>
      <c r="AC530" s="9">
        <f t="shared" si="99"/>
        <v>10.5</v>
      </c>
      <c r="AD530" s="9">
        <f t="shared" si="100"/>
        <v>199.5</v>
      </c>
      <c r="AE530" s="9">
        <f t="shared" si="101"/>
        <v>104.78</v>
      </c>
      <c r="AF530" s="9">
        <f t="shared" si="107"/>
        <v>94.72</v>
      </c>
      <c r="AG530" s="8">
        <f t="shared" si="102"/>
        <v>2024</v>
      </c>
      <c r="AH530" s="8">
        <f t="shared" si="103"/>
        <v>8</v>
      </c>
      <c r="AI530" s="5" t="str">
        <f t="shared" si="104"/>
        <v>Aug</v>
      </c>
      <c r="AJ530" s="5" t="str">
        <f t="shared" si="105"/>
        <v>Saturday</v>
      </c>
    </row>
    <row r="531" spans="1:36" x14ac:dyDescent="0.3">
      <c r="A531" s="5" t="s">
        <v>565</v>
      </c>
      <c r="B531" s="6">
        <v>45317</v>
      </c>
      <c r="C531" s="7">
        <v>0.59722222222222221</v>
      </c>
      <c r="D531" s="5" t="s">
        <v>1894</v>
      </c>
      <c r="E531" s="5" t="s">
        <v>2171</v>
      </c>
      <c r="F531" s="5" t="s">
        <v>2238</v>
      </c>
      <c r="G531" s="5" t="s">
        <v>2250</v>
      </c>
      <c r="H531" s="5" t="s">
        <v>2259</v>
      </c>
      <c r="I531" s="5" t="s">
        <v>2262</v>
      </c>
      <c r="J531" s="5" t="s">
        <v>2265</v>
      </c>
      <c r="K531" s="8">
        <v>3</v>
      </c>
      <c r="L531" s="9">
        <v>90</v>
      </c>
      <c r="M531" s="10">
        <v>0</v>
      </c>
      <c r="N531" s="9">
        <f t="shared" si="106"/>
        <v>270</v>
      </c>
      <c r="O531" s="9">
        <f t="shared" si="96"/>
        <v>270</v>
      </c>
      <c r="P531" s="5" t="s">
        <v>2269</v>
      </c>
      <c r="Q531" s="5" t="s">
        <v>1761</v>
      </c>
      <c r="R531" s="5" t="s">
        <v>2276</v>
      </c>
      <c r="S531" s="5" t="s">
        <v>2287</v>
      </c>
      <c r="T531" s="5" t="s">
        <v>2288</v>
      </c>
      <c r="U531" s="8">
        <v>1</v>
      </c>
      <c r="V531" s="8">
        <v>63</v>
      </c>
      <c r="W531" s="8">
        <v>53</v>
      </c>
      <c r="X531" s="9">
        <v>42.76</v>
      </c>
      <c r="Y531" s="9">
        <f t="shared" si="97"/>
        <v>141.72</v>
      </c>
      <c r="Z531" s="5" t="s">
        <v>2292</v>
      </c>
      <c r="AA531" s="5" t="s">
        <v>2299</v>
      </c>
      <c r="AB531" s="9">
        <f t="shared" si="98"/>
        <v>270</v>
      </c>
      <c r="AC531" s="9">
        <f t="shared" si="99"/>
        <v>0</v>
      </c>
      <c r="AD531" s="9">
        <f t="shared" si="100"/>
        <v>270</v>
      </c>
      <c r="AE531" s="9">
        <f t="shared" si="101"/>
        <v>128.28</v>
      </c>
      <c r="AF531" s="9">
        <f t="shared" si="107"/>
        <v>141.72</v>
      </c>
      <c r="AG531" s="8">
        <f t="shared" si="102"/>
        <v>2024</v>
      </c>
      <c r="AH531" s="8">
        <f t="shared" si="103"/>
        <v>1</v>
      </c>
      <c r="AI531" s="5" t="str">
        <f t="shared" si="104"/>
        <v>Jan</v>
      </c>
      <c r="AJ531" s="5" t="str">
        <f t="shared" si="105"/>
        <v>Friday</v>
      </c>
    </row>
    <row r="532" spans="1:36" x14ac:dyDescent="0.3">
      <c r="A532" s="5" t="s">
        <v>566</v>
      </c>
      <c r="B532" s="6">
        <v>45362</v>
      </c>
      <c r="C532" s="7">
        <v>0.65625</v>
      </c>
      <c r="D532" s="5" t="s">
        <v>1779</v>
      </c>
      <c r="E532" s="5" t="s">
        <v>2008</v>
      </c>
      <c r="F532" s="5" t="s">
        <v>2238</v>
      </c>
      <c r="G532" s="5" t="s">
        <v>2254</v>
      </c>
      <c r="H532" s="5" t="s">
        <v>2259</v>
      </c>
      <c r="I532" s="5" t="s">
        <v>2263</v>
      </c>
      <c r="J532" s="5" t="s">
        <v>2264</v>
      </c>
      <c r="K532" s="8">
        <v>2</v>
      </c>
      <c r="L532" s="9">
        <v>110</v>
      </c>
      <c r="M532" s="10">
        <v>0.1</v>
      </c>
      <c r="N532" s="9">
        <f t="shared" si="106"/>
        <v>220</v>
      </c>
      <c r="O532" s="9">
        <f t="shared" si="96"/>
        <v>198</v>
      </c>
      <c r="P532" s="5" t="s">
        <v>2269</v>
      </c>
      <c r="Q532" s="5" t="s">
        <v>2272</v>
      </c>
      <c r="R532" s="5" t="s">
        <v>2279</v>
      </c>
      <c r="S532" s="5" t="s">
        <v>2281</v>
      </c>
      <c r="T532" s="5" t="s">
        <v>2288</v>
      </c>
      <c r="U532" s="8">
        <v>3</v>
      </c>
      <c r="V532" s="8">
        <v>321</v>
      </c>
      <c r="W532" s="8">
        <v>50</v>
      </c>
      <c r="X532" s="9">
        <v>51.16</v>
      </c>
      <c r="Y532" s="9">
        <f t="shared" si="97"/>
        <v>95.68</v>
      </c>
      <c r="Z532" s="5" t="s">
        <v>2291</v>
      </c>
      <c r="AA532" s="5" t="s">
        <v>1761</v>
      </c>
      <c r="AB532" s="9">
        <f t="shared" si="98"/>
        <v>220</v>
      </c>
      <c r="AC532" s="9">
        <f t="shared" si="99"/>
        <v>22</v>
      </c>
      <c r="AD532" s="9">
        <f t="shared" si="100"/>
        <v>198</v>
      </c>
      <c r="AE532" s="9">
        <f t="shared" si="101"/>
        <v>102.32</v>
      </c>
      <c r="AF532" s="9">
        <f t="shared" si="107"/>
        <v>95.68</v>
      </c>
      <c r="AG532" s="8">
        <f t="shared" si="102"/>
        <v>2024</v>
      </c>
      <c r="AH532" s="8">
        <f t="shared" si="103"/>
        <v>3</v>
      </c>
      <c r="AI532" s="5" t="str">
        <f t="shared" si="104"/>
        <v>Mar</v>
      </c>
      <c r="AJ532" s="5" t="str">
        <f t="shared" si="105"/>
        <v>Monday</v>
      </c>
    </row>
    <row r="533" spans="1:36" x14ac:dyDescent="0.3">
      <c r="A533" s="5" t="s">
        <v>567</v>
      </c>
      <c r="B533" s="6">
        <v>45642</v>
      </c>
      <c r="C533" s="7">
        <v>0.8125</v>
      </c>
      <c r="D533" s="5" t="s">
        <v>1876</v>
      </c>
      <c r="E533" s="5" t="s">
        <v>1761</v>
      </c>
      <c r="F533" s="5" t="s">
        <v>2240</v>
      </c>
      <c r="G533" s="5" t="s">
        <v>2244</v>
      </c>
      <c r="H533" s="5" t="s">
        <v>2257</v>
      </c>
      <c r="I533" s="5" t="s">
        <v>2262</v>
      </c>
      <c r="J533" s="5" t="s">
        <v>2265</v>
      </c>
      <c r="K533" s="8">
        <v>1</v>
      </c>
      <c r="L533" s="9">
        <v>120</v>
      </c>
      <c r="M533" s="10">
        <v>0.1</v>
      </c>
      <c r="N533" s="9">
        <f t="shared" si="106"/>
        <v>120</v>
      </c>
      <c r="O533" s="9">
        <f t="shared" si="96"/>
        <v>108</v>
      </c>
      <c r="P533" s="5" t="s">
        <v>1761</v>
      </c>
      <c r="Q533" s="5" t="s">
        <v>2271</v>
      </c>
      <c r="R533" s="5" t="s">
        <v>2278</v>
      </c>
      <c r="S533" s="5" t="s">
        <v>2281</v>
      </c>
      <c r="T533" s="5" t="s">
        <v>2288</v>
      </c>
      <c r="U533" s="8">
        <v>3</v>
      </c>
      <c r="V533" s="8">
        <v>209</v>
      </c>
      <c r="W533" s="8">
        <v>28</v>
      </c>
      <c r="X533" s="9">
        <v>64</v>
      </c>
      <c r="Y533" s="9">
        <f t="shared" si="97"/>
        <v>44</v>
      </c>
      <c r="Z533" s="5" t="s">
        <v>2293</v>
      </c>
      <c r="AA533" s="5" t="s">
        <v>1761</v>
      </c>
      <c r="AB533" s="9">
        <f t="shared" si="98"/>
        <v>120</v>
      </c>
      <c r="AC533" s="9">
        <f t="shared" si="99"/>
        <v>12</v>
      </c>
      <c r="AD533" s="9">
        <f t="shared" si="100"/>
        <v>108</v>
      </c>
      <c r="AE533" s="9">
        <f t="shared" si="101"/>
        <v>64</v>
      </c>
      <c r="AF533" s="9">
        <f t="shared" si="107"/>
        <v>44</v>
      </c>
      <c r="AG533" s="8">
        <f t="shared" si="102"/>
        <v>2024</v>
      </c>
      <c r="AH533" s="8">
        <f t="shared" si="103"/>
        <v>12</v>
      </c>
      <c r="AI533" s="5" t="str">
        <f t="shared" si="104"/>
        <v>Dec</v>
      </c>
      <c r="AJ533" s="5" t="str">
        <f t="shared" si="105"/>
        <v>Monday</v>
      </c>
    </row>
    <row r="534" spans="1:36" x14ac:dyDescent="0.3">
      <c r="A534" s="5" t="s">
        <v>568</v>
      </c>
      <c r="B534" s="6">
        <v>45627</v>
      </c>
      <c r="C534" s="7">
        <v>0.78125</v>
      </c>
      <c r="D534" s="5" t="s">
        <v>1836</v>
      </c>
      <c r="E534" s="5" t="s">
        <v>2115</v>
      </c>
      <c r="F534" s="5" t="s">
        <v>2239</v>
      </c>
      <c r="G534" s="5" t="s">
        <v>2247</v>
      </c>
      <c r="H534" s="5" t="s">
        <v>2257</v>
      </c>
      <c r="I534" s="5" t="s">
        <v>2262</v>
      </c>
      <c r="J534" s="5" t="s">
        <v>1761</v>
      </c>
      <c r="K534" s="8">
        <v>1</v>
      </c>
      <c r="L534" s="9">
        <v>100</v>
      </c>
      <c r="M534" s="10">
        <v>0</v>
      </c>
      <c r="N534" s="9">
        <f t="shared" si="106"/>
        <v>100</v>
      </c>
      <c r="O534" s="9">
        <f t="shared" si="96"/>
        <v>100</v>
      </c>
      <c r="P534" s="5" t="s">
        <v>2269</v>
      </c>
      <c r="Q534" s="5" t="s">
        <v>2270</v>
      </c>
      <c r="R534" s="5" t="s">
        <v>2274</v>
      </c>
      <c r="S534" s="5" t="s">
        <v>2286</v>
      </c>
      <c r="T534" s="5" t="s">
        <v>2288</v>
      </c>
      <c r="U534" s="8">
        <v>5</v>
      </c>
      <c r="V534" s="8">
        <v>13</v>
      </c>
      <c r="W534" s="8">
        <v>59</v>
      </c>
      <c r="X534" s="9">
        <v>48.89</v>
      </c>
      <c r="Y534" s="9">
        <f t="shared" si="97"/>
        <v>51.11</v>
      </c>
      <c r="Z534" s="5" t="s">
        <v>2293</v>
      </c>
      <c r="AA534" s="5" t="s">
        <v>2296</v>
      </c>
      <c r="AB534" s="9">
        <f t="shared" si="98"/>
        <v>100</v>
      </c>
      <c r="AC534" s="9">
        <f t="shared" si="99"/>
        <v>0</v>
      </c>
      <c r="AD534" s="9">
        <f t="shared" si="100"/>
        <v>100</v>
      </c>
      <c r="AE534" s="9">
        <f t="shared" si="101"/>
        <v>48.89</v>
      </c>
      <c r="AF534" s="9">
        <f t="shared" si="107"/>
        <v>51.11</v>
      </c>
      <c r="AG534" s="8">
        <f t="shared" si="102"/>
        <v>2024</v>
      </c>
      <c r="AH534" s="8">
        <f t="shared" si="103"/>
        <v>12</v>
      </c>
      <c r="AI534" s="5" t="str">
        <f t="shared" si="104"/>
        <v>Dec</v>
      </c>
      <c r="AJ534" s="5" t="str">
        <f t="shared" si="105"/>
        <v>Sunday</v>
      </c>
    </row>
    <row r="535" spans="1:36" x14ac:dyDescent="0.3">
      <c r="A535" s="5" t="s">
        <v>569</v>
      </c>
      <c r="B535" s="6">
        <v>45323</v>
      </c>
      <c r="C535" s="7">
        <v>0.86458333333333337</v>
      </c>
      <c r="D535" s="5" t="s">
        <v>1866</v>
      </c>
      <c r="E535" s="5" t="s">
        <v>1761</v>
      </c>
      <c r="F535" s="5" t="s">
        <v>2239</v>
      </c>
      <c r="G535" s="5" t="s">
        <v>2242</v>
      </c>
      <c r="H535" s="5" t="s">
        <v>2258</v>
      </c>
      <c r="I535" s="5" t="s">
        <v>2260</v>
      </c>
      <c r="J535" s="5" t="s">
        <v>2264</v>
      </c>
      <c r="K535" s="8">
        <v>1</v>
      </c>
      <c r="L535" s="9">
        <v>115</v>
      </c>
      <c r="M535" s="10">
        <v>0.05</v>
      </c>
      <c r="N535" s="9">
        <f t="shared" si="106"/>
        <v>115</v>
      </c>
      <c r="O535" s="9">
        <f t="shared" si="96"/>
        <v>109.25</v>
      </c>
      <c r="P535" s="5" t="s">
        <v>2267</v>
      </c>
      <c r="Q535" s="5" t="s">
        <v>2270</v>
      </c>
      <c r="R535" s="5" t="s">
        <v>2279</v>
      </c>
      <c r="S535" s="5" t="s">
        <v>2282</v>
      </c>
      <c r="T535" s="5" t="s">
        <v>2288</v>
      </c>
      <c r="U535" s="8">
        <v>4</v>
      </c>
      <c r="V535" s="8">
        <v>390</v>
      </c>
      <c r="W535" s="8">
        <v>55</v>
      </c>
      <c r="X535" s="9">
        <v>59.26</v>
      </c>
      <c r="Y535" s="9">
        <f t="shared" si="97"/>
        <v>49.99</v>
      </c>
      <c r="Z535" s="5" t="s">
        <v>2293</v>
      </c>
      <c r="AA535" s="5" t="s">
        <v>2296</v>
      </c>
      <c r="AB535" s="9">
        <f t="shared" si="98"/>
        <v>115</v>
      </c>
      <c r="AC535" s="9">
        <f t="shared" si="99"/>
        <v>5.75</v>
      </c>
      <c r="AD535" s="9">
        <f t="shared" si="100"/>
        <v>109.25</v>
      </c>
      <c r="AE535" s="9">
        <f t="shared" si="101"/>
        <v>59.26</v>
      </c>
      <c r="AF535" s="9">
        <f t="shared" si="107"/>
        <v>49.99</v>
      </c>
      <c r="AG535" s="8">
        <f t="shared" si="102"/>
        <v>2024</v>
      </c>
      <c r="AH535" s="8">
        <f t="shared" si="103"/>
        <v>2</v>
      </c>
      <c r="AI535" s="5" t="str">
        <f t="shared" si="104"/>
        <v>Feb</v>
      </c>
      <c r="AJ535" s="5" t="str">
        <f t="shared" si="105"/>
        <v>Thursday</v>
      </c>
    </row>
    <row r="536" spans="1:36" x14ac:dyDescent="0.3">
      <c r="A536" s="5" t="s">
        <v>570</v>
      </c>
      <c r="B536" s="18">
        <v>45468</v>
      </c>
      <c r="C536" s="7">
        <v>0.54166666666666663</v>
      </c>
      <c r="D536" s="5" t="s">
        <v>1761</v>
      </c>
      <c r="E536" s="5" t="s">
        <v>2178</v>
      </c>
      <c r="F536" s="5" t="s">
        <v>2239</v>
      </c>
      <c r="G536" s="5" t="s">
        <v>2242</v>
      </c>
      <c r="H536" s="5" t="s">
        <v>2258</v>
      </c>
      <c r="I536" s="5" t="s">
        <v>2260</v>
      </c>
      <c r="J536" s="5" t="s">
        <v>2264</v>
      </c>
      <c r="K536" s="8">
        <v>2</v>
      </c>
      <c r="L536" s="9">
        <v>120</v>
      </c>
      <c r="M536" s="10">
        <v>0.05</v>
      </c>
      <c r="N536" s="9">
        <f t="shared" si="106"/>
        <v>240</v>
      </c>
      <c r="O536" s="9">
        <f t="shared" si="96"/>
        <v>228</v>
      </c>
      <c r="P536" s="5" t="s">
        <v>2269</v>
      </c>
      <c r="Q536" s="5" t="s">
        <v>2272</v>
      </c>
      <c r="R536" s="5" t="s">
        <v>2273</v>
      </c>
      <c r="S536" s="5" t="s">
        <v>2282</v>
      </c>
      <c r="T536" s="5" t="s">
        <v>2288</v>
      </c>
      <c r="U536" s="8">
        <v>5</v>
      </c>
      <c r="V536" s="8">
        <v>12</v>
      </c>
      <c r="W536" s="8">
        <v>59</v>
      </c>
      <c r="X536" s="9">
        <v>60.8</v>
      </c>
      <c r="Y536" s="9">
        <f t="shared" si="97"/>
        <v>106.4</v>
      </c>
      <c r="Z536" s="5" t="s">
        <v>2293</v>
      </c>
      <c r="AA536" s="5" t="s">
        <v>2298</v>
      </c>
      <c r="AB536" s="9">
        <f t="shared" si="98"/>
        <v>240</v>
      </c>
      <c r="AC536" s="9">
        <f t="shared" si="99"/>
        <v>12</v>
      </c>
      <c r="AD536" s="9">
        <f t="shared" si="100"/>
        <v>228</v>
      </c>
      <c r="AE536" s="9">
        <f t="shared" si="101"/>
        <v>121.6</v>
      </c>
      <c r="AF536" s="9">
        <f t="shared" si="107"/>
        <v>106.4</v>
      </c>
      <c r="AG536" s="8">
        <f t="shared" si="102"/>
        <v>2024</v>
      </c>
      <c r="AH536" s="8">
        <f t="shared" si="103"/>
        <v>6</v>
      </c>
      <c r="AI536" s="5" t="str">
        <f t="shared" si="104"/>
        <v>Jun</v>
      </c>
      <c r="AJ536" s="5" t="str">
        <f t="shared" si="105"/>
        <v>Tuesday</v>
      </c>
    </row>
    <row r="537" spans="1:36" x14ac:dyDescent="0.3">
      <c r="A537" s="5" t="s">
        <v>571</v>
      </c>
      <c r="B537" s="6">
        <v>45508</v>
      </c>
      <c r="C537" s="7">
        <v>0.67708333333333337</v>
      </c>
      <c r="D537" s="5" t="s">
        <v>1818</v>
      </c>
      <c r="E537" s="5" t="s">
        <v>2173</v>
      </c>
      <c r="F537" s="5" t="s">
        <v>1761</v>
      </c>
      <c r="G537" s="5" t="s">
        <v>2252</v>
      </c>
      <c r="H537" s="5" t="s">
        <v>2257</v>
      </c>
      <c r="I537" s="5" t="s">
        <v>2262</v>
      </c>
      <c r="J537" s="5" t="s">
        <v>2264</v>
      </c>
      <c r="K537" s="8">
        <v>1</v>
      </c>
      <c r="L537" s="9">
        <v>85</v>
      </c>
      <c r="M537" s="10">
        <v>0</v>
      </c>
      <c r="N537" s="9">
        <f t="shared" si="106"/>
        <v>85</v>
      </c>
      <c r="O537" s="9">
        <f t="shared" si="96"/>
        <v>85</v>
      </c>
      <c r="P537" s="5" t="s">
        <v>2268</v>
      </c>
      <c r="Q537" s="5" t="s">
        <v>2270</v>
      </c>
      <c r="R537" s="5" t="s">
        <v>2273</v>
      </c>
      <c r="S537" s="5" t="s">
        <v>2285</v>
      </c>
      <c r="T537" s="5" t="s">
        <v>2288</v>
      </c>
      <c r="U537" s="8">
        <v>4</v>
      </c>
      <c r="V537" s="8">
        <v>147</v>
      </c>
      <c r="W537" s="8">
        <v>23</v>
      </c>
      <c r="X537" s="9">
        <v>48.43</v>
      </c>
      <c r="Y537" s="9">
        <f t="shared" si="97"/>
        <v>36.57</v>
      </c>
      <c r="Z537" s="5" t="s">
        <v>1761</v>
      </c>
      <c r="AA537" s="5" t="s">
        <v>2297</v>
      </c>
      <c r="AB537" s="9">
        <f t="shared" si="98"/>
        <v>85</v>
      </c>
      <c r="AC537" s="9">
        <f t="shared" si="99"/>
        <v>0</v>
      </c>
      <c r="AD537" s="9">
        <f t="shared" si="100"/>
        <v>85</v>
      </c>
      <c r="AE537" s="9">
        <f t="shared" si="101"/>
        <v>48.43</v>
      </c>
      <c r="AF537" s="9">
        <f t="shared" si="107"/>
        <v>36.57</v>
      </c>
      <c r="AG537" s="8">
        <f t="shared" si="102"/>
        <v>2024</v>
      </c>
      <c r="AH537" s="8">
        <f t="shared" si="103"/>
        <v>8</v>
      </c>
      <c r="AI537" s="5" t="str">
        <f t="shared" si="104"/>
        <v>Aug</v>
      </c>
      <c r="AJ537" s="5" t="str">
        <f t="shared" si="105"/>
        <v>Sunday</v>
      </c>
    </row>
    <row r="538" spans="1:36" x14ac:dyDescent="0.3">
      <c r="A538" s="5" t="s">
        <v>572</v>
      </c>
      <c r="B538" s="6">
        <v>45303</v>
      </c>
      <c r="C538" s="7">
        <v>0.34722222222222221</v>
      </c>
      <c r="D538" s="5" t="s">
        <v>1917</v>
      </c>
      <c r="E538" s="5" t="s">
        <v>1958</v>
      </c>
      <c r="F538" s="5" t="s">
        <v>1761</v>
      </c>
      <c r="G538" s="5" t="s">
        <v>2256</v>
      </c>
      <c r="H538" s="5" t="s">
        <v>2261</v>
      </c>
      <c r="I538" s="5" t="s">
        <v>2260</v>
      </c>
      <c r="J538" s="5" t="s">
        <v>2266</v>
      </c>
      <c r="K538" s="8">
        <v>2</v>
      </c>
      <c r="L538" s="9">
        <v>200</v>
      </c>
      <c r="M538" s="10">
        <v>0.05</v>
      </c>
      <c r="N538" s="9">
        <f t="shared" si="106"/>
        <v>400</v>
      </c>
      <c r="O538" s="9">
        <f t="shared" si="96"/>
        <v>380</v>
      </c>
      <c r="P538" s="5" t="s">
        <v>2268</v>
      </c>
      <c r="Q538" s="5" t="s">
        <v>2272</v>
      </c>
      <c r="R538" s="5" t="s">
        <v>2273</v>
      </c>
      <c r="S538" s="5" t="s">
        <v>2280</v>
      </c>
      <c r="T538" s="5" t="s">
        <v>2288</v>
      </c>
      <c r="U538" s="8">
        <v>5</v>
      </c>
      <c r="V538" s="8">
        <v>264</v>
      </c>
      <c r="W538" s="19">
        <v>35</v>
      </c>
      <c r="X538" s="9">
        <v>70.37</v>
      </c>
      <c r="Y538" s="9">
        <f t="shared" si="97"/>
        <v>239.26</v>
      </c>
      <c r="Z538" s="5" t="s">
        <v>2293</v>
      </c>
      <c r="AA538" s="5" t="s">
        <v>2298</v>
      </c>
      <c r="AB538" s="9">
        <f t="shared" si="98"/>
        <v>400</v>
      </c>
      <c r="AC538" s="9">
        <f t="shared" si="99"/>
        <v>20</v>
      </c>
      <c r="AD538" s="9">
        <f t="shared" si="100"/>
        <v>380</v>
      </c>
      <c r="AE538" s="9">
        <f t="shared" si="101"/>
        <v>140.74</v>
      </c>
      <c r="AF538" s="9">
        <f t="shared" si="107"/>
        <v>239.26</v>
      </c>
      <c r="AG538" s="8">
        <f t="shared" si="102"/>
        <v>2024</v>
      </c>
      <c r="AH538" s="8">
        <f t="shared" si="103"/>
        <v>1</v>
      </c>
      <c r="AI538" s="5" t="str">
        <f t="shared" si="104"/>
        <v>Jan</v>
      </c>
      <c r="AJ538" s="5" t="str">
        <f t="shared" si="105"/>
        <v>Friday</v>
      </c>
    </row>
    <row r="539" spans="1:36" x14ac:dyDescent="0.3">
      <c r="A539" s="5" t="s">
        <v>573</v>
      </c>
      <c r="B539" s="6">
        <v>45582</v>
      </c>
      <c r="C539" s="7">
        <v>0.46527777777777779</v>
      </c>
      <c r="D539" s="5" t="s">
        <v>1859</v>
      </c>
      <c r="E539" s="5" t="s">
        <v>2187</v>
      </c>
      <c r="F539" s="5" t="s">
        <v>2240</v>
      </c>
      <c r="G539" s="5" t="s">
        <v>2245</v>
      </c>
      <c r="H539" s="5" t="s">
        <v>2257</v>
      </c>
      <c r="I539" s="5" t="s">
        <v>2263</v>
      </c>
      <c r="J539" s="5" t="s">
        <v>2266</v>
      </c>
      <c r="K539" s="8">
        <v>1</v>
      </c>
      <c r="L539" s="9">
        <v>150</v>
      </c>
      <c r="M539" s="10">
        <v>0</v>
      </c>
      <c r="N539" s="9">
        <f t="shared" si="106"/>
        <v>150</v>
      </c>
      <c r="O539" s="9">
        <f t="shared" si="96"/>
        <v>150</v>
      </c>
      <c r="P539" s="5" t="s">
        <v>2267</v>
      </c>
      <c r="Q539" s="5" t="s">
        <v>2272</v>
      </c>
      <c r="R539" s="5" t="s">
        <v>2274</v>
      </c>
      <c r="S539" s="5" t="s">
        <v>2286</v>
      </c>
      <c r="T539" s="5" t="s">
        <v>2288</v>
      </c>
      <c r="U539" s="8">
        <v>5</v>
      </c>
      <c r="V539" s="19">
        <v>244</v>
      </c>
      <c r="W539" s="19">
        <v>35</v>
      </c>
      <c r="X539" s="9">
        <v>63.06</v>
      </c>
      <c r="Y539" s="9">
        <f t="shared" si="97"/>
        <v>86.94</v>
      </c>
      <c r="Z539" s="5" t="s">
        <v>2292</v>
      </c>
      <c r="AA539" s="5" t="s">
        <v>1761</v>
      </c>
      <c r="AB539" s="9">
        <f t="shared" si="98"/>
        <v>150</v>
      </c>
      <c r="AC539" s="9">
        <f t="shared" si="99"/>
        <v>0</v>
      </c>
      <c r="AD539" s="9">
        <f t="shared" si="100"/>
        <v>150</v>
      </c>
      <c r="AE539" s="9">
        <f t="shared" si="101"/>
        <v>63.06</v>
      </c>
      <c r="AF539" s="9">
        <f t="shared" si="107"/>
        <v>86.94</v>
      </c>
      <c r="AG539" s="8">
        <f t="shared" si="102"/>
        <v>2024</v>
      </c>
      <c r="AH539" s="8">
        <f t="shared" si="103"/>
        <v>10</v>
      </c>
      <c r="AI539" s="5" t="str">
        <f t="shared" si="104"/>
        <v>Oct</v>
      </c>
      <c r="AJ539" s="5" t="str">
        <f t="shared" si="105"/>
        <v>Thursday</v>
      </c>
    </row>
    <row r="540" spans="1:36" x14ac:dyDescent="0.3">
      <c r="A540" s="5" t="s">
        <v>574</v>
      </c>
      <c r="B540" s="6">
        <v>45448</v>
      </c>
      <c r="C540" s="7">
        <v>0.89583333333333337</v>
      </c>
      <c r="D540" s="5" t="s">
        <v>1879</v>
      </c>
      <c r="E540" s="5" t="s">
        <v>2051</v>
      </c>
      <c r="F540" s="5" t="s">
        <v>2239</v>
      </c>
      <c r="G540" s="5" t="s">
        <v>2243</v>
      </c>
      <c r="H540" s="5" t="s">
        <v>2258</v>
      </c>
      <c r="I540" s="5" t="s">
        <v>2260</v>
      </c>
      <c r="J540" s="5" t="s">
        <v>2266</v>
      </c>
      <c r="K540" s="8">
        <v>1</v>
      </c>
      <c r="L540" s="9">
        <v>80</v>
      </c>
      <c r="M540" s="10">
        <v>0</v>
      </c>
      <c r="N540" s="9">
        <f t="shared" si="106"/>
        <v>80</v>
      </c>
      <c r="O540" s="9">
        <f t="shared" si="96"/>
        <v>80</v>
      </c>
      <c r="P540" s="5" t="s">
        <v>2269</v>
      </c>
      <c r="Q540" s="5" t="s">
        <v>2272</v>
      </c>
      <c r="R540" s="5" t="s">
        <v>2273</v>
      </c>
      <c r="S540" s="5" t="s">
        <v>2287</v>
      </c>
      <c r="T540" s="5" t="s">
        <v>2290</v>
      </c>
      <c r="U540" s="19">
        <v>3</v>
      </c>
      <c r="V540" s="8">
        <v>112</v>
      </c>
      <c r="W540" s="8">
        <v>42</v>
      </c>
      <c r="X540" s="9">
        <v>26.97</v>
      </c>
      <c r="Y540" s="9">
        <f t="shared" si="97"/>
        <v>53.03</v>
      </c>
      <c r="Z540" s="5" t="s">
        <v>1761</v>
      </c>
      <c r="AA540" s="5" t="s">
        <v>2297</v>
      </c>
      <c r="AB540" s="9">
        <f t="shared" si="98"/>
        <v>80</v>
      </c>
      <c r="AC540" s="9">
        <f t="shared" si="99"/>
        <v>0</v>
      </c>
      <c r="AD540" s="9">
        <f t="shared" si="100"/>
        <v>80</v>
      </c>
      <c r="AE540" s="9">
        <f t="shared" si="101"/>
        <v>26.97</v>
      </c>
      <c r="AF540" s="9">
        <f t="shared" si="107"/>
        <v>53.03</v>
      </c>
      <c r="AG540" s="8">
        <f t="shared" si="102"/>
        <v>2024</v>
      </c>
      <c r="AH540" s="8">
        <f t="shared" si="103"/>
        <v>6</v>
      </c>
      <c r="AI540" s="5" t="str">
        <f t="shared" si="104"/>
        <v>Jun</v>
      </c>
      <c r="AJ540" s="5" t="str">
        <f t="shared" si="105"/>
        <v>Wednesday</v>
      </c>
    </row>
    <row r="541" spans="1:36" x14ac:dyDescent="0.3">
      <c r="A541" s="5" t="s">
        <v>575</v>
      </c>
      <c r="B541" s="6">
        <v>45300</v>
      </c>
      <c r="C541" s="7">
        <v>0.71875</v>
      </c>
      <c r="D541" s="5" t="s">
        <v>1888</v>
      </c>
      <c r="E541" s="5" t="s">
        <v>2098</v>
      </c>
      <c r="F541" s="5" t="s">
        <v>1761</v>
      </c>
      <c r="G541" s="5" t="s">
        <v>2247</v>
      </c>
      <c r="H541" s="5" t="s">
        <v>2257</v>
      </c>
      <c r="I541" s="5" t="s">
        <v>2262</v>
      </c>
      <c r="J541" s="5" t="s">
        <v>2266</v>
      </c>
      <c r="K541" s="8">
        <v>1</v>
      </c>
      <c r="L541" s="9">
        <v>110</v>
      </c>
      <c r="M541" s="10">
        <v>0.1</v>
      </c>
      <c r="N541" s="9">
        <f t="shared" si="106"/>
        <v>110</v>
      </c>
      <c r="O541" s="9">
        <f t="shared" si="96"/>
        <v>99</v>
      </c>
      <c r="P541" s="5" t="s">
        <v>2267</v>
      </c>
      <c r="Q541" s="5" t="s">
        <v>2272</v>
      </c>
      <c r="R541" s="5" t="s">
        <v>2279</v>
      </c>
      <c r="S541" s="5" t="s">
        <v>2282</v>
      </c>
      <c r="T541" s="5" t="s">
        <v>2288</v>
      </c>
      <c r="U541" s="8">
        <v>5</v>
      </c>
      <c r="V541" s="19">
        <v>244</v>
      </c>
      <c r="W541" s="8">
        <v>14</v>
      </c>
      <c r="X541" s="9">
        <v>36.01</v>
      </c>
      <c r="Y541" s="9">
        <f t="shared" si="97"/>
        <v>62.99</v>
      </c>
      <c r="Z541" s="5" t="s">
        <v>2293</v>
      </c>
      <c r="AA541" s="5" t="s">
        <v>2297</v>
      </c>
      <c r="AB541" s="9">
        <f t="shared" si="98"/>
        <v>110</v>
      </c>
      <c r="AC541" s="9">
        <f t="shared" si="99"/>
        <v>11</v>
      </c>
      <c r="AD541" s="9">
        <f t="shared" si="100"/>
        <v>99</v>
      </c>
      <c r="AE541" s="9">
        <f t="shared" si="101"/>
        <v>36.01</v>
      </c>
      <c r="AF541" s="9">
        <f t="shared" si="107"/>
        <v>62.99</v>
      </c>
      <c r="AG541" s="8">
        <f t="shared" si="102"/>
        <v>2024</v>
      </c>
      <c r="AH541" s="8">
        <f t="shared" si="103"/>
        <v>1</v>
      </c>
      <c r="AI541" s="5" t="str">
        <f t="shared" si="104"/>
        <v>Jan</v>
      </c>
      <c r="AJ541" s="5" t="str">
        <f t="shared" si="105"/>
        <v>Tuesday</v>
      </c>
    </row>
    <row r="542" spans="1:36" x14ac:dyDescent="0.3">
      <c r="A542" s="5" t="s">
        <v>576</v>
      </c>
      <c r="B542" s="6">
        <v>45623</v>
      </c>
      <c r="C542" s="7">
        <v>0.53125</v>
      </c>
      <c r="D542" s="5" t="s">
        <v>1853</v>
      </c>
      <c r="E542" s="5" t="s">
        <v>2188</v>
      </c>
      <c r="F542" s="5" t="s">
        <v>1761</v>
      </c>
      <c r="G542" s="5" t="s">
        <v>2252</v>
      </c>
      <c r="H542" s="5" t="s">
        <v>2257</v>
      </c>
      <c r="I542" s="5" t="s">
        <v>2262</v>
      </c>
      <c r="J542" s="5" t="s">
        <v>2265</v>
      </c>
      <c r="K542" s="8">
        <v>1</v>
      </c>
      <c r="L542" s="9">
        <v>95</v>
      </c>
      <c r="M542" s="10">
        <v>0.05</v>
      </c>
      <c r="N542" s="9">
        <f t="shared" si="106"/>
        <v>95</v>
      </c>
      <c r="O542" s="9">
        <f t="shared" si="96"/>
        <v>90.25</v>
      </c>
      <c r="P542" s="5" t="s">
        <v>2267</v>
      </c>
      <c r="Q542" s="5" t="s">
        <v>2271</v>
      </c>
      <c r="R542" s="5" t="s">
        <v>2279</v>
      </c>
      <c r="S542" s="5" t="s">
        <v>2285</v>
      </c>
      <c r="T542" s="5" t="s">
        <v>2290</v>
      </c>
      <c r="U542" s="8">
        <v>1</v>
      </c>
      <c r="V542" s="8">
        <v>105</v>
      </c>
      <c r="W542" s="19">
        <v>37</v>
      </c>
      <c r="X542" s="9">
        <v>35.51</v>
      </c>
      <c r="Y542" s="9">
        <f t="shared" si="97"/>
        <v>54.74</v>
      </c>
      <c r="Z542" s="5" t="s">
        <v>2291</v>
      </c>
      <c r="AA542" s="5" t="s">
        <v>2297</v>
      </c>
      <c r="AB542" s="9">
        <f t="shared" si="98"/>
        <v>95</v>
      </c>
      <c r="AC542" s="9">
        <f t="shared" si="99"/>
        <v>4.75</v>
      </c>
      <c r="AD542" s="9">
        <f t="shared" si="100"/>
        <v>90.25</v>
      </c>
      <c r="AE542" s="9">
        <f t="shared" si="101"/>
        <v>35.51</v>
      </c>
      <c r="AF542" s="9">
        <f t="shared" si="107"/>
        <v>54.74</v>
      </c>
      <c r="AG542" s="8">
        <f t="shared" si="102"/>
        <v>2024</v>
      </c>
      <c r="AH542" s="8">
        <f t="shared" si="103"/>
        <v>11</v>
      </c>
      <c r="AI542" s="5" t="str">
        <f t="shared" si="104"/>
        <v>Nov</v>
      </c>
      <c r="AJ542" s="5" t="str">
        <f t="shared" si="105"/>
        <v>Wednesday</v>
      </c>
    </row>
    <row r="543" spans="1:36" x14ac:dyDescent="0.3">
      <c r="A543" s="5" t="s">
        <v>577</v>
      </c>
      <c r="B543" s="6">
        <v>45574</v>
      </c>
      <c r="C543" s="7">
        <v>0.60416666666666663</v>
      </c>
      <c r="D543" s="5" t="s">
        <v>1799</v>
      </c>
      <c r="E543" s="5" t="s">
        <v>2184</v>
      </c>
      <c r="F543" s="5" t="s">
        <v>1761</v>
      </c>
      <c r="G543" s="5" t="s">
        <v>2248</v>
      </c>
      <c r="H543" s="5" t="s">
        <v>2257</v>
      </c>
      <c r="I543" s="5" t="s">
        <v>2262</v>
      </c>
      <c r="J543" s="5" t="s">
        <v>2265</v>
      </c>
      <c r="K543" s="8">
        <v>1</v>
      </c>
      <c r="L543" s="9">
        <v>155</v>
      </c>
      <c r="M543" s="10">
        <v>0</v>
      </c>
      <c r="N543" s="9">
        <f t="shared" si="106"/>
        <v>155</v>
      </c>
      <c r="O543" s="9">
        <f t="shared" si="96"/>
        <v>155</v>
      </c>
      <c r="P543" s="5" t="s">
        <v>2268</v>
      </c>
      <c r="Q543" s="5" t="s">
        <v>2270</v>
      </c>
      <c r="R543" s="5" t="s">
        <v>2277</v>
      </c>
      <c r="S543" s="5" t="s">
        <v>2281</v>
      </c>
      <c r="T543" s="5" t="s">
        <v>2288</v>
      </c>
      <c r="U543" s="8">
        <v>5</v>
      </c>
      <c r="V543" s="8">
        <v>465</v>
      </c>
      <c r="W543" s="8">
        <v>45</v>
      </c>
      <c r="X543" s="9">
        <v>51.95</v>
      </c>
      <c r="Y543" s="9">
        <f t="shared" si="97"/>
        <v>103.05</v>
      </c>
      <c r="Z543" s="5" t="s">
        <v>2292</v>
      </c>
      <c r="AA543" s="5" t="s">
        <v>1761</v>
      </c>
      <c r="AB543" s="9">
        <f t="shared" si="98"/>
        <v>155</v>
      </c>
      <c r="AC543" s="9">
        <f t="shared" si="99"/>
        <v>0</v>
      </c>
      <c r="AD543" s="9">
        <f t="shared" si="100"/>
        <v>155</v>
      </c>
      <c r="AE543" s="9">
        <f t="shared" si="101"/>
        <v>51.95</v>
      </c>
      <c r="AF543" s="9">
        <f t="shared" si="107"/>
        <v>103.05</v>
      </c>
      <c r="AG543" s="8">
        <f t="shared" si="102"/>
        <v>2024</v>
      </c>
      <c r="AH543" s="8">
        <f t="shared" si="103"/>
        <v>10</v>
      </c>
      <c r="AI543" s="5" t="str">
        <f t="shared" si="104"/>
        <v>Oct</v>
      </c>
      <c r="AJ543" s="5" t="str">
        <f t="shared" si="105"/>
        <v>Wednesday</v>
      </c>
    </row>
    <row r="544" spans="1:36" x14ac:dyDescent="0.3">
      <c r="A544" s="5" t="s">
        <v>578</v>
      </c>
      <c r="B544" s="6">
        <v>45480</v>
      </c>
      <c r="C544" s="7">
        <v>0.84027777777777779</v>
      </c>
      <c r="D544" s="5" t="s">
        <v>1867</v>
      </c>
      <c r="E544" s="5" t="s">
        <v>2092</v>
      </c>
      <c r="F544" s="5" t="s">
        <v>2239</v>
      </c>
      <c r="G544" s="5" t="s">
        <v>2244</v>
      </c>
      <c r="H544" s="5" t="s">
        <v>2257</v>
      </c>
      <c r="I544" s="5" t="s">
        <v>2262</v>
      </c>
      <c r="J544" s="5" t="s">
        <v>2265</v>
      </c>
      <c r="K544" s="8">
        <v>1</v>
      </c>
      <c r="L544" s="9">
        <v>120</v>
      </c>
      <c r="M544" s="10">
        <v>0</v>
      </c>
      <c r="N544" s="9">
        <f t="shared" si="106"/>
        <v>120</v>
      </c>
      <c r="O544" s="9">
        <f t="shared" si="96"/>
        <v>120</v>
      </c>
      <c r="P544" s="5" t="s">
        <v>2269</v>
      </c>
      <c r="Q544" s="5" t="s">
        <v>2270</v>
      </c>
      <c r="R544" s="5" t="s">
        <v>2274</v>
      </c>
      <c r="S544" s="5" t="s">
        <v>2287</v>
      </c>
      <c r="T544" s="5" t="s">
        <v>2288</v>
      </c>
      <c r="U544" s="8">
        <v>5</v>
      </c>
      <c r="V544" s="8">
        <v>351</v>
      </c>
      <c r="W544" s="8">
        <v>39</v>
      </c>
      <c r="X544" s="9">
        <v>52.9</v>
      </c>
      <c r="Y544" s="9">
        <f t="shared" si="97"/>
        <v>67.099999999999994</v>
      </c>
      <c r="Z544" s="5" t="s">
        <v>1761</v>
      </c>
      <c r="AA544" s="5" t="s">
        <v>2296</v>
      </c>
      <c r="AB544" s="9">
        <f t="shared" si="98"/>
        <v>120</v>
      </c>
      <c r="AC544" s="9">
        <f t="shared" si="99"/>
        <v>0</v>
      </c>
      <c r="AD544" s="9">
        <f t="shared" si="100"/>
        <v>120</v>
      </c>
      <c r="AE544" s="9">
        <f t="shared" si="101"/>
        <v>52.9</v>
      </c>
      <c r="AF544" s="9">
        <f t="shared" si="107"/>
        <v>67.099999999999994</v>
      </c>
      <c r="AG544" s="8">
        <f t="shared" si="102"/>
        <v>2024</v>
      </c>
      <c r="AH544" s="8">
        <f t="shared" si="103"/>
        <v>7</v>
      </c>
      <c r="AI544" s="5" t="str">
        <f t="shared" si="104"/>
        <v>Jul</v>
      </c>
      <c r="AJ544" s="5" t="str">
        <f t="shared" si="105"/>
        <v>Sunday</v>
      </c>
    </row>
    <row r="545" spans="1:36" x14ac:dyDescent="0.3">
      <c r="A545" s="5" t="s">
        <v>579</v>
      </c>
      <c r="B545" s="6">
        <v>45300</v>
      </c>
      <c r="C545" s="7">
        <v>0.84722222222222221</v>
      </c>
      <c r="D545" s="5" t="s">
        <v>1871</v>
      </c>
      <c r="E545" s="5" t="s">
        <v>2066</v>
      </c>
      <c r="F545" s="5" t="s">
        <v>2240</v>
      </c>
      <c r="G545" s="5" t="s">
        <v>2250</v>
      </c>
      <c r="H545" s="5" t="s">
        <v>2259</v>
      </c>
      <c r="I545" s="5" t="s">
        <v>2262</v>
      </c>
      <c r="J545" s="5" t="s">
        <v>2266</v>
      </c>
      <c r="K545" s="8">
        <v>2</v>
      </c>
      <c r="L545" s="9">
        <v>80</v>
      </c>
      <c r="M545" s="10">
        <v>0</v>
      </c>
      <c r="N545" s="9">
        <f t="shared" si="106"/>
        <v>160</v>
      </c>
      <c r="O545" s="9">
        <f t="shared" si="96"/>
        <v>160</v>
      </c>
      <c r="P545" s="5" t="s">
        <v>2269</v>
      </c>
      <c r="Q545" s="5" t="s">
        <v>2272</v>
      </c>
      <c r="R545" s="5" t="s">
        <v>2277</v>
      </c>
      <c r="S545" s="5" t="s">
        <v>2286</v>
      </c>
      <c r="T545" s="5" t="s">
        <v>2288</v>
      </c>
      <c r="U545" s="8">
        <v>5</v>
      </c>
      <c r="V545" s="8">
        <v>184</v>
      </c>
      <c r="W545" s="8">
        <v>43</v>
      </c>
      <c r="X545" s="9">
        <v>47.88</v>
      </c>
      <c r="Y545" s="9">
        <f t="shared" si="97"/>
        <v>64.239999999999995</v>
      </c>
      <c r="Z545" s="5" t="s">
        <v>2293</v>
      </c>
      <c r="AA545" s="5" t="s">
        <v>2296</v>
      </c>
      <c r="AB545" s="9">
        <f t="shared" si="98"/>
        <v>160</v>
      </c>
      <c r="AC545" s="9">
        <f t="shared" si="99"/>
        <v>0</v>
      </c>
      <c r="AD545" s="9">
        <f t="shared" si="100"/>
        <v>160</v>
      </c>
      <c r="AE545" s="9">
        <f t="shared" si="101"/>
        <v>95.76</v>
      </c>
      <c r="AF545" s="9">
        <f t="shared" si="107"/>
        <v>64.239999999999995</v>
      </c>
      <c r="AG545" s="8">
        <f t="shared" si="102"/>
        <v>2024</v>
      </c>
      <c r="AH545" s="8">
        <f t="shared" si="103"/>
        <v>1</v>
      </c>
      <c r="AI545" s="5" t="str">
        <f t="shared" si="104"/>
        <v>Jan</v>
      </c>
      <c r="AJ545" s="5" t="str">
        <f t="shared" si="105"/>
        <v>Tuesday</v>
      </c>
    </row>
    <row r="546" spans="1:36" x14ac:dyDescent="0.3">
      <c r="A546" s="5" t="s">
        <v>580</v>
      </c>
      <c r="B546" s="6">
        <v>45368</v>
      </c>
      <c r="C546" s="7">
        <v>0.38541666666666669</v>
      </c>
      <c r="D546" s="5" t="s">
        <v>1874</v>
      </c>
      <c r="E546" s="5" t="s">
        <v>2107</v>
      </c>
      <c r="F546" s="5" t="s">
        <v>2239</v>
      </c>
      <c r="G546" s="5" t="s">
        <v>2256</v>
      </c>
      <c r="H546" s="5" t="s">
        <v>2261</v>
      </c>
      <c r="I546" s="5" t="s">
        <v>2260</v>
      </c>
      <c r="J546" s="5" t="s">
        <v>2265</v>
      </c>
      <c r="K546" s="8">
        <v>1</v>
      </c>
      <c r="L546" s="9">
        <v>190</v>
      </c>
      <c r="M546" s="10">
        <v>0</v>
      </c>
      <c r="N546" s="9">
        <f t="shared" si="106"/>
        <v>190</v>
      </c>
      <c r="O546" s="9">
        <f t="shared" si="96"/>
        <v>190</v>
      </c>
      <c r="P546" s="5" t="s">
        <v>2269</v>
      </c>
      <c r="Q546" s="5" t="s">
        <v>1761</v>
      </c>
      <c r="R546" s="5" t="s">
        <v>2273</v>
      </c>
      <c r="S546" s="5" t="s">
        <v>2282</v>
      </c>
      <c r="T546" s="5" t="s">
        <v>2288</v>
      </c>
      <c r="U546" s="8">
        <v>5</v>
      </c>
      <c r="V546" s="8">
        <v>118</v>
      </c>
      <c r="W546" s="8">
        <v>47</v>
      </c>
      <c r="X546" s="9">
        <v>73.97</v>
      </c>
      <c r="Y546" s="9">
        <f t="shared" si="97"/>
        <v>116.03</v>
      </c>
      <c r="Z546" s="5" t="s">
        <v>2291</v>
      </c>
      <c r="AA546" s="5" t="s">
        <v>1761</v>
      </c>
      <c r="AB546" s="9">
        <f t="shared" si="98"/>
        <v>190</v>
      </c>
      <c r="AC546" s="9">
        <f t="shared" si="99"/>
        <v>0</v>
      </c>
      <c r="AD546" s="9">
        <f t="shared" si="100"/>
        <v>190</v>
      </c>
      <c r="AE546" s="9">
        <f t="shared" si="101"/>
        <v>73.97</v>
      </c>
      <c r="AF546" s="9">
        <f t="shared" si="107"/>
        <v>116.03</v>
      </c>
      <c r="AG546" s="8">
        <f t="shared" si="102"/>
        <v>2024</v>
      </c>
      <c r="AH546" s="8">
        <f t="shared" si="103"/>
        <v>3</v>
      </c>
      <c r="AI546" s="5" t="str">
        <f t="shared" si="104"/>
        <v>Mar</v>
      </c>
      <c r="AJ546" s="5" t="str">
        <f t="shared" si="105"/>
        <v>Sunday</v>
      </c>
    </row>
    <row r="547" spans="1:36" x14ac:dyDescent="0.3">
      <c r="A547" s="5" t="s">
        <v>581</v>
      </c>
      <c r="B547" s="6">
        <v>45559</v>
      </c>
      <c r="C547" s="7">
        <v>0.71875</v>
      </c>
      <c r="D547" s="5" t="s">
        <v>1807</v>
      </c>
      <c r="E547" s="5" t="s">
        <v>2075</v>
      </c>
      <c r="F547" s="5" t="s">
        <v>2239</v>
      </c>
      <c r="G547" s="5" t="s">
        <v>2248</v>
      </c>
      <c r="H547" s="5" t="s">
        <v>2257</v>
      </c>
      <c r="I547" s="5" t="s">
        <v>2262</v>
      </c>
      <c r="J547" s="5" t="s">
        <v>1761</v>
      </c>
      <c r="K547" s="8">
        <v>2</v>
      </c>
      <c r="L547" s="9">
        <v>140</v>
      </c>
      <c r="M547" s="10">
        <v>0</v>
      </c>
      <c r="N547" s="9">
        <f t="shared" si="106"/>
        <v>280</v>
      </c>
      <c r="O547" s="9">
        <f t="shared" si="96"/>
        <v>280</v>
      </c>
      <c r="P547" s="5" t="s">
        <v>2268</v>
      </c>
      <c r="Q547" s="5" t="s">
        <v>2271</v>
      </c>
      <c r="R547" s="5" t="s">
        <v>2279</v>
      </c>
      <c r="S547" s="5" t="s">
        <v>2284</v>
      </c>
      <c r="T547" s="5" t="s">
        <v>2288</v>
      </c>
      <c r="U547" s="19">
        <v>3</v>
      </c>
      <c r="V547" s="8">
        <v>432</v>
      </c>
      <c r="W547" s="8">
        <v>19</v>
      </c>
      <c r="X547" s="9">
        <v>73.739999999999995</v>
      </c>
      <c r="Y547" s="9">
        <f t="shared" si="97"/>
        <v>132.52000000000001</v>
      </c>
      <c r="Z547" s="5" t="s">
        <v>2293</v>
      </c>
      <c r="AA547" s="5" t="s">
        <v>2297</v>
      </c>
      <c r="AB547" s="9">
        <f t="shared" si="98"/>
        <v>280</v>
      </c>
      <c r="AC547" s="9">
        <f t="shared" si="99"/>
        <v>0</v>
      </c>
      <c r="AD547" s="9">
        <f t="shared" si="100"/>
        <v>280</v>
      </c>
      <c r="AE547" s="9">
        <f t="shared" si="101"/>
        <v>147.47999999999999</v>
      </c>
      <c r="AF547" s="9">
        <f t="shared" si="107"/>
        <v>132.52000000000001</v>
      </c>
      <c r="AG547" s="8">
        <f t="shared" si="102"/>
        <v>2024</v>
      </c>
      <c r="AH547" s="8">
        <f t="shared" si="103"/>
        <v>9</v>
      </c>
      <c r="AI547" s="5" t="str">
        <f t="shared" si="104"/>
        <v>Sep</v>
      </c>
      <c r="AJ547" s="5" t="str">
        <f t="shared" si="105"/>
        <v>Tuesday</v>
      </c>
    </row>
    <row r="548" spans="1:36" x14ac:dyDescent="0.3">
      <c r="A548" s="5" t="s">
        <v>582</v>
      </c>
      <c r="B548" s="6">
        <v>45492</v>
      </c>
      <c r="C548" s="7">
        <v>0.3125</v>
      </c>
      <c r="D548" s="5" t="s">
        <v>1753</v>
      </c>
      <c r="E548" s="5" t="s">
        <v>2114</v>
      </c>
      <c r="F548" s="5" t="s">
        <v>2239</v>
      </c>
      <c r="G548" s="5" t="s">
        <v>2255</v>
      </c>
      <c r="H548" s="5" t="s">
        <v>2260</v>
      </c>
      <c r="I548" s="5" t="s">
        <v>2260</v>
      </c>
      <c r="J548" s="5" t="s">
        <v>2264</v>
      </c>
      <c r="K548" s="8">
        <v>1</v>
      </c>
      <c r="L548" s="9">
        <v>185</v>
      </c>
      <c r="M548" s="10">
        <v>0</v>
      </c>
      <c r="N548" s="9">
        <f t="shared" si="106"/>
        <v>185</v>
      </c>
      <c r="O548" s="9">
        <f t="shared" si="96"/>
        <v>185</v>
      </c>
      <c r="P548" s="5" t="s">
        <v>2267</v>
      </c>
      <c r="Q548" s="5" t="s">
        <v>2270</v>
      </c>
      <c r="R548" s="5" t="s">
        <v>2274</v>
      </c>
      <c r="S548" s="5" t="s">
        <v>2282</v>
      </c>
      <c r="T548" s="5" t="s">
        <v>2290</v>
      </c>
      <c r="U548" s="8">
        <v>2</v>
      </c>
      <c r="V548" s="8">
        <v>73</v>
      </c>
      <c r="W548" s="8">
        <v>25</v>
      </c>
      <c r="X548" s="9">
        <v>88.59</v>
      </c>
      <c r="Y548" s="9">
        <f t="shared" si="97"/>
        <v>96.41</v>
      </c>
      <c r="Z548" s="5" t="s">
        <v>2293</v>
      </c>
      <c r="AA548" s="5" t="s">
        <v>2296</v>
      </c>
      <c r="AB548" s="9">
        <f t="shared" si="98"/>
        <v>185</v>
      </c>
      <c r="AC548" s="9">
        <f t="shared" si="99"/>
        <v>0</v>
      </c>
      <c r="AD548" s="9">
        <f t="shared" si="100"/>
        <v>185</v>
      </c>
      <c r="AE548" s="9">
        <f t="shared" si="101"/>
        <v>88.59</v>
      </c>
      <c r="AF548" s="9">
        <f t="shared" si="107"/>
        <v>96.41</v>
      </c>
      <c r="AG548" s="8">
        <f t="shared" si="102"/>
        <v>2024</v>
      </c>
      <c r="AH548" s="8">
        <f t="shared" si="103"/>
        <v>7</v>
      </c>
      <c r="AI548" s="5" t="str">
        <f t="shared" si="104"/>
        <v>Jul</v>
      </c>
      <c r="AJ548" s="5" t="str">
        <f t="shared" si="105"/>
        <v>Friday</v>
      </c>
    </row>
    <row r="549" spans="1:36" x14ac:dyDescent="0.3">
      <c r="A549" s="5" t="s">
        <v>583</v>
      </c>
      <c r="B549" s="18">
        <v>45468</v>
      </c>
      <c r="C549" s="7">
        <v>0.30208333333333331</v>
      </c>
      <c r="D549" s="5" t="s">
        <v>1842</v>
      </c>
      <c r="E549" s="5" t="s">
        <v>2189</v>
      </c>
      <c r="F549" s="5" t="s">
        <v>2240</v>
      </c>
      <c r="G549" s="5" t="s">
        <v>2241</v>
      </c>
      <c r="H549" s="5" t="s">
        <v>2257</v>
      </c>
      <c r="I549" s="5" t="s">
        <v>2262</v>
      </c>
      <c r="J549" s="5" t="s">
        <v>2266</v>
      </c>
      <c r="K549" s="8">
        <v>1</v>
      </c>
      <c r="L549" s="9">
        <v>140</v>
      </c>
      <c r="M549" s="10">
        <v>0.05</v>
      </c>
      <c r="N549" s="9">
        <f t="shared" si="106"/>
        <v>140</v>
      </c>
      <c r="O549" s="9">
        <f t="shared" si="96"/>
        <v>133</v>
      </c>
      <c r="P549" s="5" t="s">
        <v>2268</v>
      </c>
      <c r="Q549" s="5" t="s">
        <v>2270</v>
      </c>
      <c r="R549" s="5" t="s">
        <v>2274</v>
      </c>
      <c r="S549" s="5" t="s">
        <v>2280</v>
      </c>
      <c r="T549" s="5" t="s">
        <v>2289</v>
      </c>
      <c r="U549" s="8">
        <v>2</v>
      </c>
      <c r="V549" s="8">
        <v>255</v>
      </c>
      <c r="W549" s="8">
        <v>13</v>
      </c>
      <c r="X549" s="9">
        <v>45.89</v>
      </c>
      <c r="Y549" s="9">
        <f t="shared" si="97"/>
        <v>87.11</v>
      </c>
      <c r="Z549" s="5" t="s">
        <v>1761</v>
      </c>
      <c r="AA549" s="5" t="s">
        <v>2296</v>
      </c>
      <c r="AB549" s="9">
        <f t="shared" si="98"/>
        <v>140</v>
      </c>
      <c r="AC549" s="9">
        <f t="shared" si="99"/>
        <v>7</v>
      </c>
      <c r="AD549" s="9">
        <f t="shared" si="100"/>
        <v>133</v>
      </c>
      <c r="AE549" s="9">
        <f t="shared" si="101"/>
        <v>45.89</v>
      </c>
      <c r="AF549" s="9">
        <f t="shared" si="107"/>
        <v>87.11</v>
      </c>
      <c r="AG549" s="8">
        <f t="shared" si="102"/>
        <v>2024</v>
      </c>
      <c r="AH549" s="8">
        <f t="shared" si="103"/>
        <v>6</v>
      </c>
      <c r="AI549" s="5" t="str">
        <f t="shared" si="104"/>
        <v>Jun</v>
      </c>
      <c r="AJ549" s="5" t="str">
        <f t="shared" si="105"/>
        <v>Tuesday</v>
      </c>
    </row>
    <row r="550" spans="1:36" x14ac:dyDescent="0.3">
      <c r="A550" s="5" t="s">
        <v>584</v>
      </c>
      <c r="B550" s="6">
        <v>45451</v>
      </c>
      <c r="C550" s="7">
        <v>0.59375</v>
      </c>
      <c r="D550" s="5" t="s">
        <v>1761</v>
      </c>
      <c r="E550" s="5" t="s">
        <v>2073</v>
      </c>
      <c r="F550" s="5" t="s">
        <v>2239</v>
      </c>
      <c r="G550" s="5" t="s">
        <v>2241</v>
      </c>
      <c r="H550" s="5" t="s">
        <v>2257</v>
      </c>
      <c r="I550" s="5" t="s">
        <v>2262</v>
      </c>
      <c r="J550" s="5" t="s">
        <v>1761</v>
      </c>
      <c r="K550" s="8">
        <v>4</v>
      </c>
      <c r="L550" s="9">
        <v>140</v>
      </c>
      <c r="M550" s="10">
        <v>0</v>
      </c>
      <c r="N550" s="9">
        <f t="shared" si="106"/>
        <v>560</v>
      </c>
      <c r="O550" s="9">
        <f t="shared" si="96"/>
        <v>560</v>
      </c>
      <c r="P550" s="5" t="s">
        <v>2269</v>
      </c>
      <c r="Q550" s="5" t="s">
        <v>2270</v>
      </c>
      <c r="R550" s="5" t="s">
        <v>2274</v>
      </c>
      <c r="S550" s="5" t="s">
        <v>2280</v>
      </c>
      <c r="T550" s="5" t="s">
        <v>2288</v>
      </c>
      <c r="U550" s="8">
        <v>5</v>
      </c>
      <c r="V550" s="19">
        <v>244</v>
      </c>
      <c r="W550" s="19">
        <v>34</v>
      </c>
      <c r="X550" s="9">
        <v>73.489999999999995</v>
      </c>
      <c r="Y550" s="9">
        <f t="shared" si="97"/>
        <v>266.04000000000002</v>
      </c>
      <c r="Z550" s="5" t="s">
        <v>2293</v>
      </c>
      <c r="AA550" s="5" t="s">
        <v>2296</v>
      </c>
      <c r="AB550" s="9">
        <f t="shared" si="98"/>
        <v>560</v>
      </c>
      <c r="AC550" s="9">
        <f t="shared" si="99"/>
        <v>0</v>
      </c>
      <c r="AD550" s="9">
        <f t="shared" si="100"/>
        <v>560</v>
      </c>
      <c r="AE550" s="9">
        <f t="shared" si="101"/>
        <v>293.95999999999998</v>
      </c>
      <c r="AF550" s="9">
        <f t="shared" si="107"/>
        <v>266.04000000000002</v>
      </c>
      <c r="AG550" s="8">
        <f t="shared" si="102"/>
        <v>2024</v>
      </c>
      <c r="AH550" s="8">
        <f t="shared" si="103"/>
        <v>6</v>
      </c>
      <c r="AI550" s="5" t="str">
        <f t="shared" si="104"/>
        <v>Jun</v>
      </c>
      <c r="AJ550" s="5" t="str">
        <f t="shared" si="105"/>
        <v>Saturday</v>
      </c>
    </row>
    <row r="551" spans="1:36" x14ac:dyDescent="0.3">
      <c r="A551" s="5" t="s">
        <v>585</v>
      </c>
      <c r="B551" s="6">
        <v>45641</v>
      </c>
      <c r="C551" s="7">
        <v>0.4236111111111111</v>
      </c>
      <c r="D551" s="5" t="s">
        <v>1884</v>
      </c>
      <c r="E551" s="5" t="s">
        <v>2162</v>
      </c>
      <c r="F551" s="5" t="s">
        <v>2239</v>
      </c>
      <c r="G551" s="5" t="s">
        <v>2247</v>
      </c>
      <c r="H551" s="5" t="s">
        <v>2257</v>
      </c>
      <c r="I551" s="5" t="s">
        <v>2262</v>
      </c>
      <c r="J551" s="5" t="s">
        <v>2265</v>
      </c>
      <c r="K551" s="8">
        <v>1</v>
      </c>
      <c r="L551" s="9">
        <v>105</v>
      </c>
      <c r="M551" s="10">
        <v>0.1</v>
      </c>
      <c r="N551" s="9">
        <f t="shared" si="106"/>
        <v>105</v>
      </c>
      <c r="O551" s="9">
        <f t="shared" si="96"/>
        <v>94.5</v>
      </c>
      <c r="P551" s="5" t="s">
        <v>2268</v>
      </c>
      <c r="Q551" s="5" t="s">
        <v>1761</v>
      </c>
      <c r="R551" s="5" t="s">
        <v>2278</v>
      </c>
      <c r="S551" s="5" t="s">
        <v>2280</v>
      </c>
      <c r="T551" s="5" t="s">
        <v>2288</v>
      </c>
      <c r="U551" s="8">
        <v>4</v>
      </c>
      <c r="V551" s="8">
        <v>344</v>
      </c>
      <c r="W551" s="8">
        <v>28</v>
      </c>
      <c r="X551" s="9">
        <v>57.9</v>
      </c>
      <c r="Y551" s="9">
        <f t="shared" si="97"/>
        <v>36.6</v>
      </c>
      <c r="Z551" s="5" t="s">
        <v>2294</v>
      </c>
      <c r="AA551" s="5" t="s">
        <v>1761</v>
      </c>
      <c r="AB551" s="9">
        <f t="shared" si="98"/>
        <v>105</v>
      </c>
      <c r="AC551" s="9">
        <f t="shared" si="99"/>
        <v>10.5</v>
      </c>
      <c r="AD551" s="9">
        <f t="shared" si="100"/>
        <v>94.5</v>
      </c>
      <c r="AE551" s="9">
        <f t="shared" si="101"/>
        <v>57.9</v>
      </c>
      <c r="AF551" s="9">
        <f t="shared" si="107"/>
        <v>36.6</v>
      </c>
      <c r="AG551" s="8">
        <f t="shared" si="102"/>
        <v>2024</v>
      </c>
      <c r="AH551" s="8">
        <f t="shared" si="103"/>
        <v>12</v>
      </c>
      <c r="AI551" s="5" t="str">
        <f t="shared" si="104"/>
        <v>Dec</v>
      </c>
      <c r="AJ551" s="5" t="str">
        <f t="shared" si="105"/>
        <v>Sunday</v>
      </c>
    </row>
    <row r="552" spans="1:36" x14ac:dyDescent="0.3">
      <c r="A552" s="5" t="s">
        <v>586</v>
      </c>
      <c r="B552" s="6">
        <v>45474</v>
      </c>
      <c r="C552" s="7">
        <v>0.59375</v>
      </c>
      <c r="D552" s="5" t="s">
        <v>1927</v>
      </c>
      <c r="E552" s="5" t="s">
        <v>2030</v>
      </c>
      <c r="F552" s="5" t="s">
        <v>2239</v>
      </c>
      <c r="G552" s="5" t="s">
        <v>2246</v>
      </c>
      <c r="H552" s="5" t="s">
        <v>2259</v>
      </c>
      <c r="I552" s="5" t="s">
        <v>2262</v>
      </c>
      <c r="J552" s="5" t="s">
        <v>2264</v>
      </c>
      <c r="K552" s="8">
        <v>1</v>
      </c>
      <c r="L552" s="9">
        <v>95</v>
      </c>
      <c r="M552" s="10">
        <v>0.05</v>
      </c>
      <c r="N552" s="9">
        <f t="shared" si="106"/>
        <v>95</v>
      </c>
      <c r="O552" s="9">
        <f t="shared" si="96"/>
        <v>90.25</v>
      </c>
      <c r="P552" s="5" t="s">
        <v>2267</v>
      </c>
      <c r="Q552" s="5" t="s">
        <v>2270</v>
      </c>
      <c r="R552" s="5" t="s">
        <v>2276</v>
      </c>
      <c r="S552" s="5" t="s">
        <v>2281</v>
      </c>
      <c r="T552" s="5" t="s">
        <v>2290</v>
      </c>
      <c r="U552" s="19">
        <v>3</v>
      </c>
      <c r="V552" s="8">
        <v>209</v>
      </c>
      <c r="W552" s="8">
        <v>55</v>
      </c>
      <c r="X552" s="9">
        <v>52.58</v>
      </c>
      <c r="Y552" s="9">
        <f t="shared" si="97"/>
        <v>37.67</v>
      </c>
      <c r="Z552" s="5" t="s">
        <v>2293</v>
      </c>
      <c r="AA552" s="5" t="s">
        <v>2298</v>
      </c>
      <c r="AB552" s="9">
        <f t="shared" si="98"/>
        <v>95</v>
      </c>
      <c r="AC552" s="9">
        <f t="shared" si="99"/>
        <v>4.75</v>
      </c>
      <c r="AD552" s="9">
        <f t="shared" si="100"/>
        <v>90.25</v>
      </c>
      <c r="AE552" s="9">
        <f t="shared" si="101"/>
        <v>52.58</v>
      </c>
      <c r="AF552" s="9">
        <f t="shared" si="107"/>
        <v>37.67</v>
      </c>
      <c r="AG552" s="8">
        <f t="shared" si="102"/>
        <v>2024</v>
      </c>
      <c r="AH552" s="8">
        <f t="shared" si="103"/>
        <v>7</v>
      </c>
      <c r="AI552" s="5" t="str">
        <f t="shared" si="104"/>
        <v>Jul</v>
      </c>
      <c r="AJ552" s="5" t="str">
        <f t="shared" si="105"/>
        <v>Monday</v>
      </c>
    </row>
    <row r="553" spans="1:36" x14ac:dyDescent="0.3">
      <c r="A553" s="5" t="s">
        <v>587</v>
      </c>
      <c r="B553" s="6">
        <v>45394</v>
      </c>
      <c r="C553" s="7">
        <v>0.46875</v>
      </c>
      <c r="D553" s="5" t="s">
        <v>1900</v>
      </c>
      <c r="E553" s="5" t="s">
        <v>2142</v>
      </c>
      <c r="F553" s="5" t="s">
        <v>2238</v>
      </c>
      <c r="G553" s="5" t="s">
        <v>2255</v>
      </c>
      <c r="H553" s="5" t="s">
        <v>2260</v>
      </c>
      <c r="I553" s="5" t="s">
        <v>2260</v>
      </c>
      <c r="J553" s="5" t="s">
        <v>2265</v>
      </c>
      <c r="K553" s="8">
        <v>2</v>
      </c>
      <c r="L553" s="9">
        <v>190</v>
      </c>
      <c r="M553" s="10">
        <v>0.15</v>
      </c>
      <c r="N553" s="9">
        <f t="shared" si="106"/>
        <v>380</v>
      </c>
      <c r="O553" s="9">
        <f t="shared" si="96"/>
        <v>323</v>
      </c>
      <c r="P553" s="5" t="s">
        <v>2269</v>
      </c>
      <c r="Q553" s="5" t="s">
        <v>2271</v>
      </c>
      <c r="R553" s="5" t="s">
        <v>2279</v>
      </c>
      <c r="S553" s="5" t="s">
        <v>2282</v>
      </c>
      <c r="T553" s="5" t="s">
        <v>2289</v>
      </c>
      <c r="U553" s="8">
        <v>3</v>
      </c>
      <c r="V553" s="19">
        <v>244</v>
      </c>
      <c r="W553" s="8">
        <v>24</v>
      </c>
      <c r="X553" s="9">
        <v>69.27</v>
      </c>
      <c r="Y553" s="9">
        <f t="shared" si="97"/>
        <v>184.46</v>
      </c>
      <c r="Z553" s="5" t="s">
        <v>2293</v>
      </c>
      <c r="AA553" s="5" t="s">
        <v>2296</v>
      </c>
      <c r="AB553" s="9">
        <f t="shared" si="98"/>
        <v>380</v>
      </c>
      <c r="AC553" s="9">
        <f t="shared" si="99"/>
        <v>57</v>
      </c>
      <c r="AD553" s="9">
        <f t="shared" si="100"/>
        <v>323</v>
      </c>
      <c r="AE553" s="9">
        <f t="shared" si="101"/>
        <v>138.54</v>
      </c>
      <c r="AF553" s="9">
        <f t="shared" si="107"/>
        <v>184.46</v>
      </c>
      <c r="AG553" s="8">
        <f t="shared" si="102"/>
        <v>2024</v>
      </c>
      <c r="AH553" s="8">
        <f t="shared" si="103"/>
        <v>4</v>
      </c>
      <c r="AI553" s="5" t="str">
        <f t="shared" si="104"/>
        <v>Apr</v>
      </c>
      <c r="AJ553" s="5" t="str">
        <f t="shared" si="105"/>
        <v>Friday</v>
      </c>
    </row>
    <row r="554" spans="1:36" x14ac:dyDescent="0.3">
      <c r="A554" s="5" t="s">
        <v>588</v>
      </c>
      <c r="B554" s="6">
        <v>45449</v>
      </c>
      <c r="C554" s="7">
        <v>0.30555555555555558</v>
      </c>
      <c r="D554" s="5" t="s">
        <v>1778</v>
      </c>
      <c r="E554" s="5" t="s">
        <v>2190</v>
      </c>
      <c r="F554" s="5" t="s">
        <v>2239</v>
      </c>
      <c r="G554" s="5" t="s">
        <v>2247</v>
      </c>
      <c r="H554" s="5" t="s">
        <v>2257</v>
      </c>
      <c r="I554" s="5" t="s">
        <v>2262</v>
      </c>
      <c r="J554" s="5" t="s">
        <v>2266</v>
      </c>
      <c r="K554" s="8">
        <v>1</v>
      </c>
      <c r="L554" s="9">
        <v>105</v>
      </c>
      <c r="M554" s="10">
        <v>0.1</v>
      </c>
      <c r="N554" s="9">
        <f t="shared" si="106"/>
        <v>105</v>
      </c>
      <c r="O554" s="9">
        <f t="shared" si="96"/>
        <v>94.5</v>
      </c>
      <c r="P554" s="5" t="s">
        <v>2267</v>
      </c>
      <c r="Q554" s="5" t="s">
        <v>2272</v>
      </c>
      <c r="R554" s="5" t="s">
        <v>2274</v>
      </c>
      <c r="S554" s="5" t="s">
        <v>2285</v>
      </c>
      <c r="T554" s="5" t="s">
        <v>2288</v>
      </c>
      <c r="U554" s="19">
        <v>3</v>
      </c>
      <c r="V554" s="8">
        <v>126</v>
      </c>
      <c r="W554" s="19">
        <v>35</v>
      </c>
      <c r="X554" s="9">
        <v>50.1</v>
      </c>
      <c r="Y554" s="9">
        <f t="shared" si="97"/>
        <v>44.4</v>
      </c>
      <c r="Z554" s="5" t="s">
        <v>2291</v>
      </c>
      <c r="AA554" s="5" t="s">
        <v>2298</v>
      </c>
      <c r="AB554" s="9">
        <f t="shared" si="98"/>
        <v>105</v>
      </c>
      <c r="AC554" s="9">
        <f t="shared" si="99"/>
        <v>10.5</v>
      </c>
      <c r="AD554" s="9">
        <f t="shared" si="100"/>
        <v>94.5</v>
      </c>
      <c r="AE554" s="9">
        <f t="shared" si="101"/>
        <v>50.1</v>
      </c>
      <c r="AF554" s="9">
        <f t="shared" si="107"/>
        <v>44.4</v>
      </c>
      <c r="AG554" s="8">
        <f t="shared" si="102"/>
        <v>2024</v>
      </c>
      <c r="AH554" s="8">
        <f t="shared" si="103"/>
        <v>6</v>
      </c>
      <c r="AI554" s="5" t="str">
        <f t="shared" si="104"/>
        <v>Jun</v>
      </c>
      <c r="AJ554" s="5" t="str">
        <f t="shared" si="105"/>
        <v>Thursday</v>
      </c>
    </row>
    <row r="555" spans="1:36" x14ac:dyDescent="0.3">
      <c r="A555" s="5" t="s">
        <v>589</v>
      </c>
      <c r="B555" s="6">
        <v>45550</v>
      </c>
      <c r="C555" s="7">
        <v>0.73958333333333337</v>
      </c>
      <c r="D555" s="5" t="s">
        <v>1807</v>
      </c>
      <c r="E555" s="5" t="s">
        <v>2085</v>
      </c>
      <c r="F555" s="5" t="s">
        <v>2240</v>
      </c>
      <c r="G555" s="5" t="s">
        <v>2253</v>
      </c>
      <c r="H555" s="5" t="s">
        <v>2258</v>
      </c>
      <c r="I555" s="5" t="s">
        <v>2260</v>
      </c>
      <c r="J555" s="5" t="s">
        <v>2265</v>
      </c>
      <c r="K555" s="8">
        <v>2</v>
      </c>
      <c r="L555" s="9">
        <v>100</v>
      </c>
      <c r="M555" s="10">
        <v>0.05</v>
      </c>
      <c r="N555" s="9">
        <f t="shared" si="106"/>
        <v>200</v>
      </c>
      <c r="O555" s="9">
        <f t="shared" si="96"/>
        <v>190</v>
      </c>
      <c r="P555" s="5" t="s">
        <v>2269</v>
      </c>
      <c r="Q555" s="5" t="s">
        <v>2272</v>
      </c>
      <c r="R555" s="5" t="s">
        <v>2273</v>
      </c>
      <c r="S555" s="5" t="s">
        <v>2282</v>
      </c>
      <c r="T555" s="5" t="s">
        <v>2288</v>
      </c>
      <c r="U555" s="19">
        <v>3</v>
      </c>
      <c r="V555" s="8">
        <v>70</v>
      </c>
      <c r="W555" s="8">
        <v>49</v>
      </c>
      <c r="X555" s="9">
        <v>47.49</v>
      </c>
      <c r="Y555" s="9">
        <f t="shared" si="97"/>
        <v>95.02</v>
      </c>
      <c r="Z555" s="5" t="s">
        <v>2294</v>
      </c>
      <c r="AA555" s="5" t="s">
        <v>2299</v>
      </c>
      <c r="AB555" s="9">
        <f t="shared" si="98"/>
        <v>200</v>
      </c>
      <c r="AC555" s="9">
        <f t="shared" si="99"/>
        <v>10</v>
      </c>
      <c r="AD555" s="9">
        <f t="shared" si="100"/>
        <v>190</v>
      </c>
      <c r="AE555" s="9">
        <f t="shared" si="101"/>
        <v>94.98</v>
      </c>
      <c r="AF555" s="9">
        <f t="shared" si="107"/>
        <v>95.02</v>
      </c>
      <c r="AG555" s="8">
        <f t="shared" si="102"/>
        <v>2024</v>
      </c>
      <c r="AH555" s="8">
        <f t="shared" si="103"/>
        <v>9</v>
      </c>
      <c r="AI555" s="5" t="str">
        <f t="shared" si="104"/>
        <v>Sep</v>
      </c>
      <c r="AJ555" s="5" t="str">
        <f t="shared" si="105"/>
        <v>Sunday</v>
      </c>
    </row>
    <row r="556" spans="1:36" x14ac:dyDescent="0.3">
      <c r="A556" s="5" t="s">
        <v>590</v>
      </c>
      <c r="B556" s="6">
        <v>45440</v>
      </c>
      <c r="C556" s="7">
        <v>0.48958333333333331</v>
      </c>
      <c r="D556" s="5" t="s">
        <v>1924</v>
      </c>
      <c r="E556" s="5" t="s">
        <v>2121</v>
      </c>
      <c r="F556" s="5" t="s">
        <v>2239</v>
      </c>
      <c r="G556" s="5" t="s">
        <v>2244</v>
      </c>
      <c r="H556" s="5" t="s">
        <v>2257</v>
      </c>
      <c r="I556" s="5" t="s">
        <v>2262</v>
      </c>
      <c r="J556" s="5" t="s">
        <v>2265</v>
      </c>
      <c r="K556" s="8">
        <v>1</v>
      </c>
      <c r="L556" s="9">
        <v>130</v>
      </c>
      <c r="M556" s="10">
        <v>0</v>
      </c>
      <c r="N556" s="9">
        <f t="shared" si="106"/>
        <v>130</v>
      </c>
      <c r="O556" s="9">
        <f t="shared" si="96"/>
        <v>130</v>
      </c>
      <c r="P556" s="5" t="s">
        <v>2269</v>
      </c>
      <c r="Q556" s="5" t="s">
        <v>2272</v>
      </c>
      <c r="R556" s="5" t="s">
        <v>2279</v>
      </c>
      <c r="S556" s="5" t="s">
        <v>2283</v>
      </c>
      <c r="T556" s="5" t="s">
        <v>2290</v>
      </c>
      <c r="U556" s="19">
        <v>3</v>
      </c>
      <c r="V556" s="8">
        <v>27</v>
      </c>
      <c r="W556" s="8">
        <v>52</v>
      </c>
      <c r="X556" s="9">
        <v>42.82</v>
      </c>
      <c r="Y556" s="9">
        <f t="shared" si="97"/>
        <v>87.18</v>
      </c>
      <c r="Z556" s="5" t="s">
        <v>1761</v>
      </c>
      <c r="AA556" s="5" t="s">
        <v>2298</v>
      </c>
      <c r="AB556" s="9">
        <f t="shared" si="98"/>
        <v>130</v>
      </c>
      <c r="AC556" s="9">
        <f t="shared" si="99"/>
        <v>0</v>
      </c>
      <c r="AD556" s="9">
        <f t="shared" si="100"/>
        <v>130</v>
      </c>
      <c r="AE556" s="9">
        <f t="shared" si="101"/>
        <v>42.82</v>
      </c>
      <c r="AF556" s="9">
        <f t="shared" si="107"/>
        <v>87.18</v>
      </c>
      <c r="AG556" s="8">
        <f t="shared" si="102"/>
        <v>2024</v>
      </c>
      <c r="AH556" s="8">
        <f t="shared" si="103"/>
        <v>5</v>
      </c>
      <c r="AI556" s="5" t="str">
        <f t="shared" si="104"/>
        <v>May</v>
      </c>
      <c r="AJ556" s="5" t="str">
        <f t="shared" si="105"/>
        <v>Tuesday</v>
      </c>
    </row>
    <row r="557" spans="1:36" x14ac:dyDescent="0.3">
      <c r="A557" s="5" t="s">
        <v>591</v>
      </c>
      <c r="B557" s="18">
        <v>45468</v>
      </c>
      <c r="C557" s="7">
        <v>0.47916666666666669</v>
      </c>
      <c r="D557" s="5" t="s">
        <v>1877</v>
      </c>
      <c r="E557" s="5" t="s">
        <v>2139</v>
      </c>
      <c r="F557" s="5" t="s">
        <v>2238</v>
      </c>
      <c r="G557" s="5" t="s">
        <v>2256</v>
      </c>
      <c r="H557" s="5" t="s">
        <v>2261</v>
      </c>
      <c r="I557" s="5" t="s">
        <v>2260</v>
      </c>
      <c r="J557" s="5" t="s">
        <v>2265</v>
      </c>
      <c r="K557" s="8">
        <v>1</v>
      </c>
      <c r="L557" s="9">
        <v>185</v>
      </c>
      <c r="M557" s="10">
        <v>0</v>
      </c>
      <c r="N557" s="9">
        <f t="shared" si="106"/>
        <v>185</v>
      </c>
      <c r="O557" s="9">
        <f t="shared" si="96"/>
        <v>185</v>
      </c>
      <c r="P557" s="5" t="s">
        <v>2268</v>
      </c>
      <c r="Q557" s="5" t="s">
        <v>2271</v>
      </c>
      <c r="R557" s="5" t="s">
        <v>2275</v>
      </c>
      <c r="S557" s="5" t="s">
        <v>2282</v>
      </c>
      <c r="T557" s="5" t="s">
        <v>2288</v>
      </c>
      <c r="U557" s="8">
        <v>2</v>
      </c>
      <c r="V557" s="8">
        <v>346</v>
      </c>
      <c r="W557" s="8">
        <v>39</v>
      </c>
      <c r="X557" s="9">
        <v>68.959999999999994</v>
      </c>
      <c r="Y557" s="9">
        <f t="shared" si="97"/>
        <v>116.04</v>
      </c>
      <c r="Z557" s="5" t="s">
        <v>2292</v>
      </c>
      <c r="AA557" s="5" t="s">
        <v>2296</v>
      </c>
      <c r="AB557" s="9">
        <f t="shared" si="98"/>
        <v>185</v>
      </c>
      <c r="AC557" s="9">
        <f t="shared" si="99"/>
        <v>0</v>
      </c>
      <c r="AD557" s="9">
        <f t="shared" si="100"/>
        <v>185</v>
      </c>
      <c r="AE557" s="9">
        <f t="shared" si="101"/>
        <v>68.959999999999994</v>
      </c>
      <c r="AF557" s="9">
        <f t="shared" si="107"/>
        <v>116.04</v>
      </c>
      <c r="AG557" s="8">
        <f t="shared" si="102"/>
        <v>2024</v>
      </c>
      <c r="AH557" s="8">
        <f t="shared" si="103"/>
        <v>6</v>
      </c>
      <c r="AI557" s="5" t="str">
        <f t="shared" si="104"/>
        <v>Jun</v>
      </c>
      <c r="AJ557" s="5" t="str">
        <f t="shared" si="105"/>
        <v>Tuesday</v>
      </c>
    </row>
    <row r="558" spans="1:36" x14ac:dyDescent="0.3">
      <c r="A558" s="5" t="s">
        <v>592</v>
      </c>
      <c r="B558" s="6">
        <v>45422</v>
      </c>
      <c r="C558" s="7">
        <v>0.71875</v>
      </c>
      <c r="D558" s="5" t="s">
        <v>1903</v>
      </c>
      <c r="E558" s="5" t="s">
        <v>1992</v>
      </c>
      <c r="F558" s="5" t="s">
        <v>2240</v>
      </c>
      <c r="G558" s="5" t="s">
        <v>2253</v>
      </c>
      <c r="H558" s="5" t="s">
        <v>2258</v>
      </c>
      <c r="I558" s="5" t="s">
        <v>2260</v>
      </c>
      <c r="J558" s="5" t="s">
        <v>2266</v>
      </c>
      <c r="K558" s="8">
        <v>2</v>
      </c>
      <c r="L558" s="9">
        <v>95</v>
      </c>
      <c r="M558" s="10">
        <v>0</v>
      </c>
      <c r="N558" s="9">
        <f t="shared" si="106"/>
        <v>190</v>
      </c>
      <c r="O558" s="9">
        <f t="shared" si="96"/>
        <v>190</v>
      </c>
      <c r="P558" s="5" t="s">
        <v>2269</v>
      </c>
      <c r="Q558" s="5" t="s">
        <v>2272</v>
      </c>
      <c r="R558" s="5" t="s">
        <v>2278</v>
      </c>
      <c r="S558" s="5" t="s">
        <v>2283</v>
      </c>
      <c r="T558" s="5" t="s">
        <v>2288</v>
      </c>
      <c r="U558" s="8">
        <v>3</v>
      </c>
      <c r="V558" s="8">
        <v>50</v>
      </c>
      <c r="W558" s="8">
        <v>16</v>
      </c>
      <c r="X558" s="9">
        <v>49.02</v>
      </c>
      <c r="Y558" s="9">
        <f t="shared" si="97"/>
        <v>91.96</v>
      </c>
      <c r="Z558" s="5" t="s">
        <v>1761</v>
      </c>
      <c r="AA558" s="5" t="s">
        <v>2296</v>
      </c>
      <c r="AB558" s="9">
        <f t="shared" si="98"/>
        <v>190</v>
      </c>
      <c r="AC558" s="9">
        <f t="shared" si="99"/>
        <v>0</v>
      </c>
      <c r="AD558" s="9">
        <f t="shared" si="100"/>
        <v>190</v>
      </c>
      <c r="AE558" s="9">
        <f t="shared" si="101"/>
        <v>98.04</v>
      </c>
      <c r="AF558" s="9">
        <f t="shared" si="107"/>
        <v>91.96</v>
      </c>
      <c r="AG558" s="8">
        <f t="shared" si="102"/>
        <v>2024</v>
      </c>
      <c r="AH558" s="8">
        <f t="shared" si="103"/>
        <v>5</v>
      </c>
      <c r="AI558" s="5" t="str">
        <f t="shared" si="104"/>
        <v>May</v>
      </c>
      <c r="AJ558" s="5" t="str">
        <f t="shared" si="105"/>
        <v>Friday</v>
      </c>
    </row>
    <row r="559" spans="1:36" x14ac:dyDescent="0.3">
      <c r="A559" s="5" t="s">
        <v>593</v>
      </c>
      <c r="B559" s="6">
        <v>45614</v>
      </c>
      <c r="C559" s="7">
        <v>0.80555555555555558</v>
      </c>
      <c r="D559" s="5" t="s">
        <v>1834</v>
      </c>
      <c r="E559" s="5" t="s">
        <v>2113</v>
      </c>
      <c r="F559" s="5" t="s">
        <v>2240</v>
      </c>
      <c r="G559" s="5" t="s">
        <v>2243</v>
      </c>
      <c r="H559" s="5" t="s">
        <v>2258</v>
      </c>
      <c r="I559" s="5" t="s">
        <v>2260</v>
      </c>
      <c r="J559" s="5" t="s">
        <v>1761</v>
      </c>
      <c r="K559" s="8">
        <v>2</v>
      </c>
      <c r="L559" s="9">
        <v>70</v>
      </c>
      <c r="M559" s="10">
        <v>0.15</v>
      </c>
      <c r="N559" s="9">
        <f t="shared" si="106"/>
        <v>140</v>
      </c>
      <c r="O559" s="9">
        <f t="shared" si="96"/>
        <v>119</v>
      </c>
      <c r="P559" s="5" t="s">
        <v>2269</v>
      </c>
      <c r="Q559" s="5" t="s">
        <v>2271</v>
      </c>
      <c r="R559" s="5" t="s">
        <v>2277</v>
      </c>
      <c r="S559" s="5" t="s">
        <v>2287</v>
      </c>
      <c r="T559" s="5" t="s">
        <v>2289</v>
      </c>
      <c r="U559" s="8">
        <v>4</v>
      </c>
      <c r="V559" s="8">
        <v>301</v>
      </c>
      <c r="W559" s="8">
        <v>12</v>
      </c>
      <c r="X559" s="9">
        <v>27.45</v>
      </c>
      <c r="Y559" s="9">
        <f t="shared" si="97"/>
        <v>64.099999999999994</v>
      </c>
      <c r="Z559" s="5" t="s">
        <v>2293</v>
      </c>
      <c r="AA559" s="5" t="s">
        <v>2298</v>
      </c>
      <c r="AB559" s="9">
        <f t="shared" si="98"/>
        <v>140</v>
      </c>
      <c r="AC559" s="9">
        <f t="shared" si="99"/>
        <v>21</v>
      </c>
      <c r="AD559" s="9">
        <f t="shared" si="100"/>
        <v>119</v>
      </c>
      <c r="AE559" s="9">
        <f t="shared" si="101"/>
        <v>54.9</v>
      </c>
      <c r="AF559" s="9">
        <f t="shared" si="107"/>
        <v>64.099999999999994</v>
      </c>
      <c r="AG559" s="8">
        <f t="shared" si="102"/>
        <v>2024</v>
      </c>
      <c r="AH559" s="8">
        <f t="shared" si="103"/>
        <v>11</v>
      </c>
      <c r="AI559" s="5" t="str">
        <f t="shared" si="104"/>
        <v>Nov</v>
      </c>
      <c r="AJ559" s="5" t="str">
        <f t="shared" si="105"/>
        <v>Monday</v>
      </c>
    </row>
    <row r="560" spans="1:36" x14ac:dyDescent="0.3">
      <c r="A560" s="5" t="s">
        <v>594</v>
      </c>
      <c r="B560" s="6">
        <v>45531</v>
      </c>
      <c r="C560" s="7">
        <v>0.3125</v>
      </c>
      <c r="D560" s="5" t="s">
        <v>1759</v>
      </c>
      <c r="E560" s="5" t="s">
        <v>2109</v>
      </c>
      <c r="F560" s="5" t="s">
        <v>2240</v>
      </c>
      <c r="G560" s="5" t="s">
        <v>2248</v>
      </c>
      <c r="H560" s="5" t="s">
        <v>2257</v>
      </c>
      <c r="I560" s="5" t="s">
        <v>2262</v>
      </c>
      <c r="J560" s="5" t="s">
        <v>2264</v>
      </c>
      <c r="K560" s="19">
        <v>2</v>
      </c>
      <c r="L560" s="9">
        <v>145</v>
      </c>
      <c r="M560" s="10">
        <v>0</v>
      </c>
      <c r="N560" s="9">
        <f t="shared" si="106"/>
        <v>290</v>
      </c>
      <c r="O560" s="9">
        <f t="shared" si="96"/>
        <v>290</v>
      </c>
      <c r="P560" s="5" t="s">
        <v>2268</v>
      </c>
      <c r="Q560" s="5" t="s">
        <v>1761</v>
      </c>
      <c r="R560" s="5" t="s">
        <v>2276</v>
      </c>
      <c r="S560" s="5" t="s">
        <v>2285</v>
      </c>
      <c r="T560" s="5" t="s">
        <v>2288</v>
      </c>
      <c r="U560" s="8">
        <v>2</v>
      </c>
      <c r="V560" s="8">
        <v>362</v>
      </c>
      <c r="W560" s="8">
        <v>56</v>
      </c>
      <c r="X560" s="9">
        <v>52.76</v>
      </c>
      <c r="Y560" s="9">
        <f t="shared" si="97"/>
        <v>184.48000000000002</v>
      </c>
      <c r="Z560" s="5" t="s">
        <v>1761</v>
      </c>
      <c r="AA560" s="5" t="s">
        <v>2296</v>
      </c>
      <c r="AB560" s="9">
        <f t="shared" si="98"/>
        <v>290</v>
      </c>
      <c r="AC560" s="9">
        <f t="shared" si="99"/>
        <v>0</v>
      </c>
      <c r="AD560" s="9">
        <f t="shared" si="100"/>
        <v>290</v>
      </c>
      <c r="AE560" s="9">
        <f t="shared" si="101"/>
        <v>105.52</v>
      </c>
      <c r="AF560" s="9">
        <f t="shared" si="107"/>
        <v>184.48000000000002</v>
      </c>
      <c r="AG560" s="8">
        <f t="shared" si="102"/>
        <v>2024</v>
      </c>
      <c r="AH560" s="8">
        <f t="shared" si="103"/>
        <v>8</v>
      </c>
      <c r="AI560" s="5" t="str">
        <f t="shared" si="104"/>
        <v>Aug</v>
      </c>
      <c r="AJ560" s="5" t="str">
        <f t="shared" si="105"/>
        <v>Tuesday</v>
      </c>
    </row>
    <row r="561" spans="1:36" x14ac:dyDescent="0.3">
      <c r="A561" s="5" t="s">
        <v>595</v>
      </c>
      <c r="B561" s="6">
        <v>45371</v>
      </c>
      <c r="C561" s="7">
        <v>0.80555555555555558</v>
      </c>
      <c r="D561" s="5" t="s">
        <v>1865</v>
      </c>
      <c r="E561" s="5" t="s">
        <v>1761</v>
      </c>
      <c r="F561" s="5" t="s">
        <v>2239</v>
      </c>
      <c r="G561" s="5" t="s">
        <v>2255</v>
      </c>
      <c r="H561" s="5" t="s">
        <v>2260</v>
      </c>
      <c r="I561" s="5" t="s">
        <v>2260</v>
      </c>
      <c r="J561" s="5" t="s">
        <v>2266</v>
      </c>
      <c r="K561" s="8">
        <v>3</v>
      </c>
      <c r="L561" s="9">
        <v>190</v>
      </c>
      <c r="M561" s="10">
        <v>0</v>
      </c>
      <c r="N561" s="9">
        <f t="shared" si="106"/>
        <v>570</v>
      </c>
      <c r="O561" s="9">
        <f t="shared" si="96"/>
        <v>570</v>
      </c>
      <c r="P561" s="5" t="s">
        <v>2269</v>
      </c>
      <c r="Q561" s="5" t="s">
        <v>2272</v>
      </c>
      <c r="R561" s="5" t="s">
        <v>2274</v>
      </c>
      <c r="S561" s="5" t="s">
        <v>2286</v>
      </c>
      <c r="T561" s="5" t="s">
        <v>2290</v>
      </c>
      <c r="U561" s="8">
        <v>2</v>
      </c>
      <c r="V561" s="19">
        <v>244</v>
      </c>
      <c r="W561" s="8">
        <v>54</v>
      </c>
      <c r="X561" s="9">
        <v>90.62</v>
      </c>
      <c r="Y561" s="9">
        <f t="shared" si="97"/>
        <v>298.14</v>
      </c>
      <c r="Z561" s="5" t="s">
        <v>1761</v>
      </c>
      <c r="AA561" s="5" t="s">
        <v>2298</v>
      </c>
      <c r="AB561" s="9">
        <f t="shared" si="98"/>
        <v>570</v>
      </c>
      <c r="AC561" s="9">
        <f t="shared" si="99"/>
        <v>0</v>
      </c>
      <c r="AD561" s="9">
        <f t="shared" si="100"/>
        <v>570</v>
      </c>
      <c r="AE561" s="9">
        <f t="shared" si="101"/>
        <v>271.86</v>
      </c>
      <c r="AF561" s="9">
        <f t="shared" si="107"/>
        <v>298.14</v>
      </c>
      <c r="AG561" s="8">
        <f t="shared" si="102"/>
        <v>2024</v>
      </c>
      <c r="AH561" s="8">
        <f t="shared" si="103"/>
        <v>3</v>
      </c>
      <c r="AI561" s="5" t="str">
        <f t="shared" si="104"/>
        <v>Mar</v>
      </c>
      <c r="AJ561" s="5" t="str">
        <f t="shared" si="105"/>
        <v>Wednesday</v>
      </c>
    </row>
    <row r="562" spans="1:36" x14ac:dyDescent="0.3">
      <c r="A562" s="5" t="s">
        <v>596</v>
      </c>
      <c r="B562" s="6">
        <v>45395</v>
      </c>
      <c r="C562" s="7">
        <v>0.70833333333333337</v>
      </c>
      <c r="D562" s="5" t="s">
        <v>1851</v>
      </c>
      <c r="E562" s="5" t="s">
        <v>2191</v>
      </c>
      <c r="F562" s="5" t="s">
        <v>2239</v>
      </c>
      <c r="G562" s="5" t="s">
        <v>2254</v>
      </c>
      <c r="H562" s="5" t="s">
        <v>2259</v>
      </c>
      <c r="I562" s="5" t="s">
        <v>2263</v>
      </c>
      <c r="J562" s="5" t="s">
        <v>1761</v>
      </c>
      <c r="K562" s="8">
        <v>1</v>
      </c>
      <c r="L562" s="9">
        <v>105</v>
      </c>
      <c r="M562" s="10">
        <v>0</v>
      </c>
      <c r="N562" s="9">
        <f t="shared" si="106"/>
        <v>105</v>
      </c>
      <c r="O562" s="9">
        <f t="shared" si="96"/>
        <v>105</v>
      </c>
      <c r="P562" s="5" t="s">
        <v>2268</v>
      </c>
      <c r="Q562" s="5" t="s">
        <v>2272</v>
      </c>
      <c r="R562" s="5" t="s">
        <v>2278</v>
      </c>
      <c r="S562" s="5" t="s">
        <v>2280</v>
      </c>
      <c r="T562" s="5" t="s">
        <v>2288</v>
      </c>
      <c r="U562" s="8">
        <v>4</v>
      </c>
      <c r="V562" s="8">
        <v>353</v>
      </c>
      <c r="W562" s="8">
        <v>26</v>
      </c>
      <c r="X562" s="9">
        <v>47.63</v>
      </c>
      <c r="Y562" s="9">
        <f t="shared" si="97"/>
        <v>57.37</v>
      </c>
      <c r="Z562" s="5" t="s">
        <v>2294</v>
      </c>
      <c r="AA562" s="5" t="s">
        <v>2298</v>
      </c>
      <c r="AB562" s="9">
        <f t="shared" si="98"/>
        <v>105</v>
      </c>
      <c r="AC562" s="9">
        <f t="shared" si="99"/>
        <v>0</v>
      </c>
      <c r="AD562" s="9">
        <f t="shared" si="100"/>
        <v>105</v>
      </c>
      <c r="AE562" s="9">
        <f t="shared" si="101"/>
        <v>47.63</v>
      </c>
      <c r="AF562" s="9">
        <f t="shared" si="107"/>
        <v>57.37</v>
      </c>
      <c r="AG562" s="8">
        <f t="shared" si="102"/>
        <v>2024</v>
      </c>
      <c r="AH562" s="8">
        <f t="shared" si="103"/>
        <v>4</v>
      </c>
      <c r="AI562" s="5" t="str">
        <f t="shared" si="104"/>
        <v>Apr</v>
      </c>
      <c r="AJ562" s="5" t="str">
        <f t="shared" si="105"/>
        <v>Saturday</v>
      </c>
    </row>
    <row r="563" spans="1:36" x14ac:dyDescent="0.3">
      <c r="A563" s="5" t="s">
        <v>597</v>
      </c>
      <c r="B563" s="6">
        <v>45335</v>
      </c>
      <c r="C563" s="7">
        <v>0.375</v>
      </c>
      <c r="D563" s="5" t="s">
        <v>1882</v>
      </c>
      <c r="E563" s="5" t="s">
        <v>2192</v>
      </c>
      <c r="F563" s="5" t="s">
        <v>2238</v>
      </c>
      <c r="G563" s="5" t="s">
        <v>2244</v>
      </c>
      <c r="H563" s="5" t="s">
        <v>2257</v>
      </c>
      <c r="I563" s="5" t="s">
        <v>2262</v>
      </c>
      <c r="J563" s="5" t="s">
        <v>2264</v>
      </c>
      <c r="K563" s="8">
        <v>2</v>
      </c>
      <c r="L563" s="9">
        <v>120</v>
      </c>
      <c r="M563" s="10">
        <v>0.05</v>
      </c>
      <c r="N563" s="9">
        <f t="shared" si="106"/>
        <v>240</v>
      </c>
      <c r="O563" s="9">
        <f t="shared" si="96"/>
        <v>228</v>
      </c>
      <c r="P563" s="5" t="s">
        <v>2267</v>
      </c>
      <c r="Q563" s="5" t="s">
        <v>2272</v>
      </c>
      <c r="R563" s="5" t="s">
        <v>2275</v>
      </c>
      <c r="S563" s="5" t="s">
        <v>2285</v>
      </c>
      <c r="T563" s="5" t="s">
        <v>2288</v>
      </c>
      <c r="U563" s="8">
        <v>3</v>
      </c>
      <c r="V563" s="8">
        <v>92</v>
      </c>
      <c r="W563" s="8">
        <v>47</v>
      </c>
      <c r="X563" s="9">
        <v>55.99</v>
      </c>
      <c r="Y563" s="9">
        <f t="shared" si="97"/>
        <v>116.02</v>
      </c>
      <c r="Z563" s="5" t="s">
        <v>2293</v>
      </c>
      <c r="AA563" s="5" t="s">
        <v>2297</v>
      </c>
      <c r="AB563" s="9">
        <f t="shared" si="98"/>
        <v>240</v>
      </c>
      <c r="AC563" s="9">
        <f t="shared" si="99"/>
        <v>12</v>
      </c>
      <c r="AD563" s="9">
        <f t="shared" si="100"/>
        <v>228</v>
      </c>
      <c r="AE563" s="9">
        <f t="shared" si="101"/>
        <v>111.98</v>
      </c>
      <c r="AF563" s="9">
        <f t="shared" si="107"/>
        <v>116.02</v>
      </c>
      <c r="AG563" s="8">
        <f t="shared" si="102"/>
        <v>2024</v>
      </c>
      <c r="AH563" s="8">
        <f t="shared" si="103"/>
        <v>2</v>
      </c>
      <c r="AI563" s="5" t="str">
        <f t="shared" si="104"/>
        <v>Feb</v>
      </c>
      <c r="AJ563" s="5" t="str">
        <f t="shared" si="105"/>
        <v>Tuesday</v>
      </c>
    </row>
    <row r="564" spans="1:36" x14ac:dyDescent="0.3">
      <c r="A564" s="5" t="s">
        <v>598</v>
      </c>
      <c r="B564" s="6">
        <v>45309</v>
      </c>
      <c r="C564" s="7">
        <v>0.46875</v>
      </c>
      <c r="D564" s="5" t="s">
        <v>1904</v>
      </c>
      <c r="E564" s="5" t="s">
        <v>2110</v>
      </c>
      <c r="F564" s="5" t="s">
        <v>2239</v>
      </c>
      <c r="G564" s="5" t="s">
        <v>2241</v>
      </c>
      <c r="H564" s="5" t="s">
        <v>2257</v>
      </c>
      <c r="I564" s="5" t="s">
        <v>2262</v>
      </c>
      <c r="J564" s="5" t="s">
        <v>2264</v>
      </c>
      <c r="K564" s="8">
        <v>2</v>
      </c>
      <c r="L564" s="9">
        <v>125</v>
      </c>
      <c r="M564" s="10">
        <v>0</v>
      </c>
      <c r="N564" s="9">
        <f t="shared" si="106"/>
        <v>250</v>
      </c>
      <c r="O564" s="9">
        <f t="shared" si="96"/>
        <v>250</v>
      </c>
      <c r="P564" s="5" t="s">
        <v>2267</v>
      </c>
      <c r="Q564" s="5" t="s">
        <v>2272</v>
      </c>
      <c r="R564" s="5" t="s">
        <v>2276</v>
      </c>
      <c r="S564" s="5" t="s">
        <v>2287</v>
      </c>
      <c r="T564" s="5" t="s">
        <v>2290</v>
      </c>
      <c r="U564" s="8">
        <v>3</v>
      </c>
      <c r="V564" s="8">
        <v>210</v>
      </c>
      <c r="W564" s="8">
        <v>20</v>
      </c>
      <c r="X564" s="9">
        <v>50.2</v>
      </c>
      <c r="Y564" s="9">
        <f t="shared" si="97"/>
        <v>149.6</v>
      </c>
      <c r="Z564" s="5" t="s">
        <v>2293</v>
      </c>
      <c r="AA564" s="5" t="s">
        <v>2296</v>
      </c>
      <c r="AB564" s="9">
        <f t="shared" si="98"/>
        <v>250</v>
      </c>
      <c r="AC564" s="9">
        <f t="shared" si="99"/>
        <v>0</v>
      </c>
      <c r="AD564" s="9">
        <f t="shared" si="100"/>
        <v>250</v>
      </c>
      <c r="AE564" s="9">
        <f t="shared" si="101"/>
        <v>100.4</v>
      </c>
      <c r="AF564" s="9">
        <f t="shared" si="107"/>
        <v>149.6</v>
      </c>
      <c r="AG564" s="8">
        <f t="shared" si="102"/>
        <v>2024</v>
      </c>
      <c r="AH564" s="8">
        <f t="shared" si="103"/>
        <v>1</v>
      </c>
      <c r="AI564" s="5" t="str">
        <f t="shared" si="104"/>
        <v>Jan</v>
      </c>
      <c r="AJ564" s="5" t="str">
        <f t="shared" si="105"/>
        <v>Thursday</v>
      </c>
    </row>
    <row r="565" spans="1:36" x14ac:dyDescent="0.3">
      <c r="A565" s="5" t="s">
        <v>599</v>
      </c>
      <c r="B565" s="6">
        <v>45515</v>
      </c>
      <c r="C565" s="7">
        <v>0.29166666666666669</v>
      </c>
      <c r="D565" s="5" t="s">
        <v>1882</v>
      </c>
      <c r="E565" s="5" t="s">
        <v>2193</v>
      </c>
      <c r="F565" s="5" t="s">
        <v>2240</v>
      </c>
      <c r="G565" s="5" t="s">
        <v>2256</v>
      </c>
      <c r="H565" s="5" t="s">
        <v>2261</v>
      </c>
      <c r="I565" s="5" t="s">
        <v>2260</v>
      </c>
      <c r="J565" s="5" t="s">
        <v>2264</v>
      </c>
      <c r="K565" s="8">
        <v>2</v>
      </c>
      <c r="L565" s="9">
        <v>185</v>
      </c>
      <c r="M565" s="10">
        <v>0</v>
      </c>
      <c r="N565" s="9">
        <f t="shared" si="106"/>
        <v>370</v>
      </c>
      <c r="O565" s="9">
        <f t="shared" si="96"/>
        <v>370</v>
      </c>
      <c r="P565" s="5" t="s">
        <v>2267</v>
      </c>
      <c r="Q565" s="5" t="s">
        <v>1761</v>
      </c>
      <c r="R565" s="5" t="s">
        <v>2279</v>
      </c>
      <c r="S565" s="5" t="s">
        <v>2281</v>
      </c>
      <c r="T565" s="5" t="s">
        <v>2288</v>
      </c>
      <c r="U565" s="8">
        <v>5</v>
      </c>
      <c r="V565" s="8">
        <v>5</v>
      </c>
      <c r="W565" s="8">
        <v>37</v>
      </c>
      <c r="X565" s="9">
        <v>66.56</v>
      </c>
      <c r="Y565" s="9">
        <f t="shared" si="97"/>
        <v>236.88</v>
      </c>
      <c r="Z565" s="5" t="s">
        <v>2291</v>
      </c>
      <c r="AA565" s="5" t="s">
        <v>1761</v>
      </c>
      <c r="AB565" s="9">
        <f t="shared" si="98"/>
        <v>370</v>
      </c>
      <c r="AC565" s="9">
        <f t="shared" si="99"/>
        <v>0</v>
      </c>
      <c r="AD565" s="9">
        <f t="shared" si="100"/>
        <v>370</v>
      </c>
      <c r="AE565" s="9">
        <f t="shared" si="101"/>
        <v>133.12</v>
      </c>
      <c r="AF565" s="9">
        <f t="shared" si="107"/>
        <v>236.88</v>
      </c>
      <c r="AG565" s="8">
        <f t="shared" si="102"/>
        <v>2024</v>
      </c>
      <c r="AH565" s="8">
        <f t="shared" si="103"/>
        <v>8</v>
      </c>
      <c r="AI565" s="5" t="str">
        <f t="shared" si="104"/>
        <v>Aug</v>
      </c>
      <c r="AJ565" s="5" t="str">
        <f t="shared" si="105"/>
        <v>Sunday</v>
      </c>
    </row>
    <row r="566" spans="1:36" x14ac:dyDescent="0.3">
      <c r="A566" s="5" t="s">
        <v>600</v>
      </c>
      <c r="B566" s="6">
        <v>45414</v>
      </c>
      <c r="C566" s="7">
        <v>0.76388888888888884</v>
      </c>
      <c r="D566" s="5" t="s">
        <v>1755</v>
      </c>
      <c r="E566" s="5" t="s">
        <v>2111</v>
      </c>
      <c r="F566" s="5" t="s">
        <v>2240</v>
      </c>
      <c r="G566" s="5" t="s">
        <v>2241</v>
      </c>
      <c r="H566" s="5" t="s">
        <v>2257</v>
      </c>
      <c r="I566" s="5" t="s">
        <v>2262</v>
      </c>
      <c r="J566" s="5" t="s">
        <v>2266</v>
      </c>
      <c r="K566" s="8">
        <v>1</v>
      </c>
      <c r="L566" s="9">
        <v>140</v>
      </c>
      <c r="M566" s="10">
        <v>0.1</v>
      </c>
      <c r="N566" s="9">
        <f t="shared" si="106"/>
        <v>140</v>
      </c>
      <c r="O566" s="9">
        <f t="shared" si="96"/>
        <v>126</v>
      </c>
      <c r="P566" s="5" t="s">
        <v>2267</v>
      </c>
      <c r="Q566" s="5" t="s">
        <v>2272</v>
      </c>
      <c r="R566" s="5" t="s">
        <v>2278</v>
      </c>
      <c r="S566" s="5" t="s">
        <v>2283</v>
      </c>
      <c r="T566" s="5" t="s">
        <v>2288</v>
      </c>
      <c r="U566" s="8">
        <v>5</v>
      </c>
      <c r="V566" s="8">
        <v>160</v>
      </c>
      <c r="W566" s="19">
        <v>35</v>
      </c>
      <c r="X566" s="9">
        <v>63.56</v>
      </c>
      <c r="Y566" s="9">
        <f t="shared" si="97"/>
        <v>62.44</v>
      </c>
      <c r="Z566" s="5" t="s">
        <v>2292</v>
      </c>
      <c r="AA566" s="5" t="s">
        <v>2296</v>
      </c>
      <c r="AB566" s="9">
        <f t="shared" si="98"/>
        <v>140</v>
      </c>
      <c r="AC566" s="9">
        <f t="shared" si="99"/>
        <v>14</v>
      </c>
      <c r="AD566" s="9">
        <f t="shared" si="100"/>
        <v>126</v>
      </c>
      <c r="AE566" s="9">
        <f t="shared" si="101"/>
        <v>63.56</v>
      </c>
      <c r="AF566" s="9">
        <f t="shared" si="107"/>
        <v>62.44</v>
      </c>
      <c r="AG566" s="8">
        <f t="shared" si="102"/>
        <v>2024</v>
      </c>
      <c r="AH566" s="8">
        <f t="shared" si="103"/>
        <v>5</v>
      </c>
      <c r="AI566" s="5" t="str">
        <f t="shared" si="104"/>
        <v>May</v>
      </c>
      <c r="AJ566" s="5" t="str">
        <f t="shared" si="105"/>
        <v>Thursday</v>
      </c>
    </row>
    <row r="567" spans="1:36" x14ac:dyDescent="0.3">
      <c r="A567" s="5" t="s">
        <v>601</v>
      </c>
      <c r="B567" s="6">
        <v>45388</v>
      </c>
      <c r="C567" s="7">
        <v>0.41666666666666669</v>
      </c>
      <c r="D567" s="5" t="s">
        <v>1885</v>
      </c>
      <c r="E567" s="5" t="s">
        <v>1761</v>
      </c>
      <c r="F567" s="5" t="s">
        <v>2240</v>
      </c>
      <c r="G567" s="5" t="s">
        <v>2249</v>
      </c>
      <c r="H567" s="5" t="s">
        <v>2257</v>
      </c>
      <c r="I567" s="5" t="s">
        <v>2263</v>
      </c>
      <c r="J567" s="5" t="s">
        <v>2264</v>
      </c>
      <c r="K567" s="8">
        <v>1</v>
      </c>
      <c r="L567" s="9">
        <v>155</v>
      </c>
      <c r="M567" s="10">
        <v>0</v>
      </c>
      <c r="N567" s="9">
        <f t="shared" si="106"/>
        <v>155</v>
      </c>
      <c r="O567" s="9">
        <f t="shared" si="96"/>
        <v>155</v>
      </c>
      <c r="P567" s="5" t="s">
        <v>2267</v>
      </c>
      <c r="Q567" s="5" t="s">
        <v>2272</v>
      </c>
      <c r="R567" s="5" t="s">
        <v>2278</v>
      </c>
      <c r="S567" s="5" t="s">
        <v>2287</v>
      </c>
      <c r="T567" s="5" t="s">
        <v>2290</v>
      </c>
      <c r="U567" s="8">
        <v>5</v>
      </c>
      <c r="V567" s="8">
        <v>347</v>
      </c>
      <c r="W567" s="8">
        <v>21</v>
      </c>
      <c r="X567" s="9">
        <v>82.54</v>
      </c>
      <c r="Y567" s="9">
        <f t="shared" si="97"/>
        <v>72.459999999999994</v>
      </c>
      <c r="Z567" s="5" t="s">
        <v>2293</v>
      </c>
      <c r="AA567" s="5" t="s">
        <v>2297</v>
      </c>
      <c r="AB567" s="9">
        <f t="shared" si="98"/>
        <v>155</v>
      </c>
      <c r="AC567" s="9">
        <f t="shared" si="99"/>
        <v>0</v>
      </c>
      <c r="AD567" s="9">
        <f t="shared" si="100"/>
        <v>155</v>
      </c>
      <c r="AE567" s="9">
        <f t="shared" si="101"/>
        <v>82.54</v>
      </c>
      <c r="AF567" s="9">
        <f t="shared" si="107"/>
        <v>72.459999999999994</v>
      </c>
      <c r="AG567" s="8">
        <f t="shared" si="102"/>
        <v>2024</v>
      </c>
      <c r="AH567" s="8">
        <f t="shared" si="103"/>
        <v>4</v>
      </c>
      <c r="AI567" s="5" t="str">
        <f t="shared" si="104"/>
        <v>Apr</v>
      </c>
      <c r="AJ567" s="5" t="str">
        <f t="shared" si="105"/>
        <v>Saturday</v>
      </c>
    </row>
    <row r="568" spans="1:36" x14ac:dyDescent="0.3">
      <c r="A568" s="5" t="s">
        <v>602</v>
      </c>
      <c r="B568" s="6">
        <v>45463</v>
      </c>
      <c r="C568" s="7">
        <v>0.71875</v>
      </c>
      <c r="D568" s="5" t="s">
        <v>1824</v>
      </c>
      <c r="E568" s="5" t="s">
        <v>2174</v>
      </c>
      <c r="F568" s="5" t="s">
        <v>1761</v>
      </c>
      <c r="G568" s="5" t="s">
        <v>2246</v>
      </c>
      <c r="H568" s="5" t="s">
        <v>2259</v>
      </c>
      <c r="I568" s="5" t="s">
        <v>2262</v>
      </c>
      <c r="J568" s="5" t="s">
        <v>2265</v>
      </c>
      <c r="K568" s="8">
        <v>1</v>
      </c>
      <c r="L568" s="9">
        <v>95</v>
      </c>
      <c r="M568" s="10">
        <v>0.15</v>
      </c>
      <c r="N568" s="9">
        <f t="shared" si="106"/>
        <v>95</v>
      </c>
      <c r="O568" s="9">
        <f t="shared" si="96"/>
        <v>80.75</v>
      </c>
      <c r="P568" s="5" t="s">
        <v>2268</v>
      </c>
      <c r="Q568" s="5" t="s">
        <v>2272</v>
      </c>
      <c r="R568" s="5" t="s">
        <v>2276</v>
      </c>
      <c r="S568" s="5" t="s">
        <v>2286</v>
      </c>
      <c r="T568" s="5" t="s">
        <v>2288</v>
      </c>
      <c r="U568" s="8">
        <v>4</v>
      </c>
      <c r="V568" s="8">
        <v>44</v>
      </c>
      <c r="W568" s="19">
        <v>35</v>
      </c>
      <c r="X568" s="9">
        <v>38.01</v>
      </c>
      <c r="Y568" s="9">
        <f t="shared" si="97"/>
        <v>42.74</v>
      </c>
      <c r="Z568" s="5" t="s">
        <v>2294</v>
      </c>
      <c r="AA568" s="5" t="s">
        <v>2298</v>
      </c>
      <c r="AB568" s="9">
        <f t="shared" si="98"/>
        <v>95</v>
      </c>
      <c r="AC568" s="9">
        <f t="shared" si="99"/>
        <v>14.25</v>
      </c>
      <c r="AD568" s="9">
        <f t="shared" si="100"/>
        <v>80.75</v>
      </c>
      <c r="AE568" s="9">
        <f t="shared" si="101"/>
        <v>38.01</v>
      </c>
      <c r="AF568" s="9">
        <f t="shared" si="107"/>
        <v>42.74</v>
      </c>
      <c r="AG568" s="8">
        <f t="shared" si="102"/>
        <v>2024</v>
      </c>
      <c r="AH568" s="8">
        <f t="shared" si="103"/>
        <v>6</v>
      </c>
      <c r="AI568" s="5" t="str">
        <f t="shared" si="104"/>
        <v>Jun</v>
      </c>
      <c r="AJ568" s="5" t="str">
        <f t="shared" si="105"/>
        <v>Thursday</v>
      </c>
    </row>
    <row r="569" spans="1:36" x14ac:dyDescent="0.3">
      <c r="A569" s="5" t="s">
        <v>603</v>
      </c>
      <c r="B569" s="6">
        <v>45423</v>
      </c>
      <c r="C569" s="7">
        <v>0.86805555555555558</v>
      </c>
      <c r="D569" s="5" t="s">
        <v>1928</v>
      </c>
      <c r="E569" s="5" t="s">
        <v>2021</v>
      </c>
      <c r="F569" s="5" t="s">
        <v>2240</v>
      </c>
      <c r="G569" s="5" t="s">
        <v>2255</v>
      </c>
      <c r="H569" s="5" t="s">
        <v>2260</v>
      </c>
      <c r="I569" s="5" t="s">
        <v>2260</v>
      </c>
      <c r="J569" s="5" t="s">
        <v>2264</v>
      </c>
      <c r="K569" s="8">
        <v>1</v>
      </c>
      <c r="L569" s="9">
        <v>180</v>
      </c>
      <c r="M569" s="10">
        <v>0.15</v>
      </c>
      <c r="N569" s="9">
        <f t="shared" si="106"/>
        <v>180</v>
      </c>
      <c r="O569" s="9">
        <f t="shared" si="96"/>
        <v>153</v>
      </c>
      <c r="P569" s="5" t="s">
        <v>2269</v>
      </c>
      <c r="Q569" s="5" t="s">
        <v>2270</v>
      </c>
      <c r="R569" s="5" t="s">
        <v>2275</v>
      </c>
      <c r="S569" s="5" t="s">
        <v>2280</v>
      </c>
      <c r="T569" s="5" t="s">
        <v>2288</v>
      </c>
      <c r="U569" s="8">
        <v>1</v>
      </c>
      <c r="V569" s="19">
        <v>244</v>
      </c>
      <c r="W569" s="8">
        <v>32</v>
      </c>
      <c r="X569" s="9">
        <v>107.54</v>
      </c>
      <c r="Y569" s="9">
        <f t="shared" si="97"/>
        <v>45.459999999999994</v>
      </c>
      <c r="Z569" s="5" t="s">
        <v>1761</v>
      </c>
      <c r="AA569" s="5" t="s">
        <v>2299</v>
      </c>
      <c r="AB569" s="9">
        <f t="shared" si="98"/>
        <v>180</v>
      </c>
      <c r="AC569" s="9">
        <f t="shared" si="99"/>
        <v>27</v>
      </c>
      <c r="AD569" s="9">
        <f t="shared" si="100"/>
        <v>153</v>
      </c>
      <c r="AE569" s="9">
        <f t="shared" si="101"/>
        <v>107.54</v>
      </c>
      <c r="AF569" s="9">
        <f t="shared" si="107"/>
        <v>45.459999999999994</v>
      </c>
      <c r="AG569" s="8">
        <f t="shared" si="102"/>
        <v>2024</v>
      </c>
      <c r="AH569" s="8">
        <f t="shared" si="103"/>
        <v>5</v>
      </c>
      <c r="AI569" s="5" t="str">
        <f t="shared" si="104"/>
        <v>May</v>
      </c>
      <c r="AJ569" s="5" t="str">
        <f t="shared" si="105"/>
        <v>Saturday</v>
      </c>
    </row>
    <row r="570" spans="1:36" x14ac:dyDescent="0.3">
      <c r="A570" s="5" t="s">
        <v>604</v>
      </c>
      <c r="B570" s="6">
        <v>45447</v>
      </c>
      <c r="C570" s="7">
        <v>0.52083333333333337</v>
      </c>
      <c r="D570" s="5" t="s">
        <v>1921</v>
      </c>
      <c r="E570" s="5" t="s">
        <v>2188</v>
      </c>
      <c r="F570" s="5" t="s">
        <v>1761</v>
      </c>
      <c r="G570" s="5" t="s">
        <v>2243</v>
      </c>
      <c r="H570" s="5" t="s">
        <v>2258</v>
      </c>
      <c r="I570" s="5" t="s">
        <v>2260</v>
      </c>
      <c r="J570" s="5" t="s">
        <v>2265</v>
      </c>
      <c r="K570" s="8">
        <v>3</v>
      </c>
      <c r="L570" s="9">
        <v>65</v>
      </c>
      <c r="M570" s="10">
        <v>0.1</v>
      </c>
      <c r="N570" s="9">
        <f t="shared" si="106"/>
        <v>195</v>
      </c>
      <c r="O570" s="9">
        <f t="shared" si="96"/>
        <v>175.5</v>
      </c>
      <c r="P570" s="5" t="s">
        <v>2267</v>
      </c>
      <c r="Q570" s="5" t="s">
        <v>2272</v>
      </c>
      <c r="R570" s="5" t="s">
        <v>2275</v>
      </c>
      <c r="S570" s="5" t="s">
        <v>2281</v>
      </c>
      <c r="T570" s="5" t="s">
        <v>2288</v>
      </c>
      <c r="U570" s="8">
        <v>4</v>
      </c>
      <c r="V570" s="8">
        <v>318</v>
      </c>
      <c r="W570" s="19">
        <v>35</v>
      </c>
      <c r="X570" s="9">
        <v>41.53</v>
      </c>
      <c r="Y570" s="9">
        <f t="shared" si="97"/>
        <v>50.91</v>
      </c>
      <c r="Z570" s="5" t="s">
        <v>2293</v>
      </c>
      <c r="AA570" s="5" t="s">
        <v>2296</v>
      </c>
      <c r="AB570" s="9">
        <f t="shared" si="98"/>
        <v>195</v>
      </c>
      <c r="AC570" s="9">
        <f t="shared" si="99"/>
        <v>19.5</v>
      </c>
      <c r="AD570" s="9">
        <f t="shared" si="100"/>
        <v>175.5</v>
      </c>
      <c r="AE570" s="9">
        <f t="shared" si="101"/>
        <v>124.59</v>
      </c>
      <c r="AF570" s="9">
        <f t="shared" si="107"/>
        <v>50.91</v>
      </c>
      <c r="AG570" s="8">
        <f t="shared" si="102"/>
        <v>2024</v>
      </c>
      <c r="AH570" s="8">
        <f t="shared" si="103"/>
        <v>6</v>
      </c>
      <c r="AI570" s="5" t="str">
        <f t="shared" si="104"/>
        <v>Jun</v>
      </c>
      <c r="AJ570" s="5" t="str">
        <f t="shared" si="105"/>
        <v>Tuesday</v>
      </c>
    </row>
    <row r="571" spans="1:36" x14ac:dyDescent="0.3">
      <c r="A571" s="5" t="s">
        <v>605</v>
      </c>
      <c r="B571" s="6">
        <v>45440</v>
      </c>
      <c r="C571" s="7">
        <v>0.86458333333333337</v>
      </c>
      <c r="D571" s="5" t="s">
        <v>1904</v>
      </c>
      <c r="E571" s="5" t="s">
        <v>2193</v>
      </c>
      <c r="F571" s="5" t="s">
        <v>2238</v>
      </c>
      <c r="G571" s="5" t="s">
        <v>2242</v>
      </c>
      <c r="H571" s="5" t="s">
        <v>2258</v>
      </c>
      <c r="I571" s="5" t="s">
        <v>2260</v>
      </c>
      <c r="J571" s="5" t="s">
        <v>1761</v>
      </c>
      <c r="K571" s="8">
        <v>1</v>
      </c>
      <c r="L571" s="9">
        <v>125</v>
      </c>
      <c r="M571" s="10">
        <v>0.1</v>
      </c>
      <c r="N571" s="9">
        <f t="shared" si="106"/>
        <v>125</v>
      </c>
      <c r="O571" s="9">
        <f t="shared" si="96"/>
        <v>112.5</v>
      </c>
      <c r="P571" s="5" t="s">
        <v>2267</v>
      </c>
      <c r="Q571" s="5" t="s">
        <v>2270</v>
      </c>
      <c r="R571" s="5" t="s">
        <v>2276</v>
      </c>
      <c r="S571" s="5" t="s">
        <v>2283</v>
      </c>
      <c r="T571" s="5" t="s">
        <v>2289</v>
      </c>
      <c r="U571" s="8">
        <v>4</v>
      </c>
      <c r="V571" s="8">
        <v>235</v>
      </c>
      <c r="W571" s="19">
        <v>34</v>
      </c>
      <c r="X571" s="9">
        <v>44.59</v>
      </c>
      <c r="Y571" s="9">
        <f t="shared" si="97"/>
        <v>67.91</v>
      </c>
      <c r="Z571" s="5" t="s">
        <v>1761</v>
      </c>
      <c r="AA571" s="5" t="s">
        <v>2299</v>
      </c>
      <c r="AB571" s="9">
        <f t="shared" si="98"/>
        <v>125</v>
      </c>
      <c r="AC571" s="9">
        <f t="shared" si="99"/>
        <v>12.5</v>
      </c>
      <c r="AD571" s="9">
        <f t="shared" si="100"/>
        <v>112.5</v>
      </c>
      <c r="AE571" s="9">
        <f t="shared" si="101"/>
        <v>44.59</v>
      </c>
      <c r="AF571" s="9">
        <f t="shared" si="107"/>
        <v>67.91</v>
      </c>
      <c r="AG571" s="8">
        <f t="shared" si="102"/>
        <v>2024</v>
      </c>
      <c r="AH571" s="8">
        <f t="shared" si="103"/>
        <v>5</v>
      </c>
      <c r="AI571" s="5" t="str">
        <f t="shared" si="104"/>
        <v>May</v>
      </c>
      <c r="AJ571" s="5" t="str">
        <f t="shared" si="105"/>
        <v>Tuesday</v>
      </c>
    </row>
    <row r="572" spans="1:36" x14ac:dyDescent="0.3">
      <c r="A572" s="5" t="s">
        <v>606</v>
      </c>
      <c r="B572" s="6">
        <v>45507</v>
      </c>
      <c r="C572" s="7">
        <v>0.54166666666666663</v>
      </c>
      <c r="D572" s="5" t="s">
        <v>1761</v>
      </c>
      <c r="E572" s="5" t="s">
        <v>2072</v>
      </c>
      <c r="F572" s="5" t="s">
        <v>2240</v>
      </c>
      <c r="G572" s="5" t="s">
        <v>2244</v>
      </c>
      <c r="H572" s="5" t="s">
        <v>2257</v>
      </c>
      <c r="I572" s="5" t="s">
        <v>2262</v>
      </c>
      <c r="J572" s="5" t="s">
        <v>1761</v>
      </c>
      <c r="K572" s="8">
        <v>1</v>
      </c>
      <c r="L572" s="9">
        <v>130</v>
      </c>
      <c r="M572" s="10">
        <v>0</v>
      </c>
      <c r="N572" s="9">
        <f t="shared" si="106"/>
        <v>130</v>
      </c>
      <c r="O572" s="9">
        <f t="shared" si="96"/>
        <v>130</v>
      </c>
      <c r="P572" s="5" t="s">
        <v>1761</v>
      </c>
      <c r="Q572" s="5" t="s">
        <v>1761</v>
      </c>
      <c r="R572" s="5" t="s">
        <v>2275</v>
      </c>
      <c r="S572" s="5" t="s">
        <v>2280</v>
      </c>
      <c r="T572" s="5" t="s">
        <v>2288</v>
      </c>
      <c r="U572" s="8">
        <v>3</v>
      </c>
      <c r="V572" s="8">
        <v>267</v>
      </c>
      <c r="W572" s="8">
        <v>31</v>
      </c>
      <c r="X572" s="9">
        <v>52.55</v>
      </c>
      <c r="Y572" s="9">
        <f t="shared" si="97"/>
        <v>77.45</v>
      </c>
      <c r="Z572" s="5" t="s">
        <v>2291</v>
      </c>
      <c r="AA572" s="5" t="s">
        <v>2297</v>
      </c>
      <c r="AB572" s="9">
        <f t="shared" si="98"/>
        <v>130</v>
      </c>
      <c r="AC572" s="9">
        <f t="shared" si="99"/>
        <v>0</v>
      </c>
      <c r="AD572" s="9">
        <f t="shared" si="100"/>
        <v>130</v>
      </c>
      <c r="AE572" s="9">
        <f t="shared" si="101"/>
        <v>52.55</v>
      </c>
      <c r="AF572" s="9">
        <f t="shared" si="107"/>
        <v>77.45</v>
      </c>
      <c r="AG572" s="8">
        <f t="shared" si="102"/>
        <v>2024</v>
      </c>
      <c r="AH572" s="8">
        <f t="shared" si="103"/>
        <v>8</v>
      </c>
      <c r="AI572" s="5" t="str">
        <f t="shared" si="104"/>
        <v>Aug</v>
      </c>
      <c r="AJ572" s="5" t="str">
        <f t="shared" si="105"/>
        <v>Saturday</v>
      </c>
    </row>
    <row r="573" spans="1:36" x14ac:dyDescent="0.3">
      <c r="A573" s="5" t="s">
        <v>607</v>
      </c>
      <c r="B573" s="6">
        <v>45331</v>
      </c>
      <c r="C573" s="7">
        <v>0.67361111111111116</v>
      </c>
      <c r="D573" s="5" t="s">
        <v>1811</v>
      </c>
      <c r="E573" s="5" t="s">
        <v>1761</v>
      </c>
      <c r="F573" s="5" t="s">
        <v>2239</v>
      </c>
      <c r="G573" s="5" t="s">
        <v>2255</v>
      </c>
      <c r="H573" s="5" t="s">
        <v>2260</v>
      </c>
      <c r="I573" s="5" t="s">
        <v>2260</v>
      </c>
      <c r="J573" s="5" t="s">
        <v>2266</v>
      </c>
      <c r="K573" s="19">
        <v>1</v>
      </c>
      <c r="L573" s="9">
        <v>175</v>
      </c>
      <c r="M573" s="10">
        <v>0</v>
      </c>
      <c r="N573" s="9">
        <f t="shared" si="106"/>
        <v>175</v>
      </c>
      <c r="O573" s="9">
        <f t="shared" si="96"/>
        <v>175</v>
      </c>
      <c r="P573" s="5" t="s">
        <v>2269</v>
      </c>
      <c r="Q573" s="5" t="s">
        <v>2272</v>
      </c>
      <c r="R573" s="5" t="s">
        <v>2274</v>
      </c>
      <c r="S573" s="5" t="s">
        <v>2281</v>
      </c>
      <c r="T573" s="5" t="s">
        <v>2288</v>
      </c>
      <c r="U573" s="8">
        <v>5</v>
      </c>
      <c r="V573" s="19">
        <v>244</v>
      </c>
      <c r="W573" s="19">
        <v>35</v>
      </c>
      <c r="X573" s="9">
        <v>103.13</v>
      </c>
      <c r="Y573" s="9">
        <f t="shared" si="97"/>
        <v>71.87</v>
      </c>
      <c r="Z573" s="5" t="s">
        <v>2294</v>
      </c>
      <c r="AA573" s="5" t="s">
        <v>1761</v>
      </c>
      <c r="AB573" s="9">
        <f t="shared" si="98"/>
        <v>175</v>
      </c>
      <c r="AC573" s="9">
        <f t="shared" si="99"/>
        <v>0</v>
      </c>
      <c r="AD573" s="9">
        <f t="shared" si="100"/>
        <v>175</v>
      </c>
      <c r="AE573" s="9">
        <f t="shared" si="101"/>
        <v>103.13</v>
      </c>
      <c r="AF573" s="9">
        <f t="shared" si="107"/>
        <v>71.87</v>
      </c>
      <c r="AG573" s="8">
        <f t="shared" si="102"/>
        <v>2024</v>
      </c>
      <c r="AH573" s="8">
        <f t="shared" si="103"/>
        <v>2</v>
      </c>
      <c r="AI573" s="5" t="str">
        <f t="shared" si="104"/>
        <v>Feb</v>
      </c>
      <c r="AJ573" s="5" t="str">
        <f t="shared" si="105"/>
        <v>Friday</v>
      </c>
    </row>
    <row r="574" spans="1:36" x14ac:dyDescent="0.3">
      <c r="A574" s="5" t="s">
        <v>608</v>
      </c>
      <c r="B574" s="6">
        <v>45524</v>
      </c>
      <c r="C574" s="7">
        <v>0.77083333333333337</v>
      </c>
      <c r="D574" s="5" t="s">
        <v>1887</v>
      </c>
      <c r="E574" s="5" t="s">
        <v>2033</v>
      </c>
      <c r="F574" s="5" t="s">
        <v>2240</v>
      </c>
      <c r="G574" s="5" t="s">
        <v>2249</v>
      </c>
      <c r="H574" s="5" t="s">
        <v>2257</v>
      </c>
      <c r="I574" s="5" t="s">
        <v>2263</v>
      </c>
      <c r="J574" s="5" t="s">
        <v>2266</v>
      </c>
      <c r="K574" s="8">
        <v>1</v>
      </c>
      <c r="L574" s="9">
        <v>170</v>
      </c>
      <c r="M574" s="10">
        <v>0.1</v>
      </c>
      <c r="N574" s="9">
        <f t="shared" si="106"/>
        <v>170</v>
      </c>
      <c r="O574" s="9">
        <f t="shared" si="96"/>
        <v>153</v>
      </c>
      <c r="P574" s="5" t="s">
        <v>2269</v>
      </c>
      <c r="Q574" s="5" t="s">
        <v>2271</v>
      </c>
      <c r="R574" s="5" t="s">
        <v>2273</v>
      </c>
      <c r="S574" s="5" t="s">
        <v>2284</v>
      </c>
      <c r="T574" s="5" t="s">
        <v>2288</v>
      </c>
      <c r="U574" s="19">
        <v>3</v>
      </c>
      <c r="V574" s="8">
        <v>75</v>
      </c>
      <c r="W574" s="19">
        <v>37</v>
      </c>
      <c r="X574" s="9">
        <v>63.34</v>
      </c>
      <c r="Y574" s="9">
        <f t="shared" si="97"/>
        <v>89.66</v>
      </c>
      <c r="Z574" s="5" t="s">
        <v>2294</v>
      </c>
      <c r="AA574" s="5" t="s">
        <v>2296</v>
      </c>
      <c r="AB574" s="9">
        <f t="shared" si="98"/>
        <v>170</v>
      </c>
      <c r="AC574" s="9">
        <f t="shared" si="99"/>
        <v>17</v>
      </c>
      <c r="AD574" s="9">
        <f t="shared" si="100"/>
        <v>153</v>
      </c>
      <c r="AE574" s="9">
        <f t="shared" si="101"/>
        <v>63.34</v>
      </c>
      <c r="AF574" s="9">
        <f t="shared" si="107"/>
        <v>89.66</v>
      </c>
      <c r="AG574" s="8">
        <f t="shared" si="102"/>
        <v>2024</v>
      </c>
      <c r="AH574" s="8">
        <f t="shared" si="103"/>
        <v>8</v>
      </c>
      <c r="AI574" s="5" t="str">
        <f t="shared" si="104"/>
        <v>Aug</v>
      </c>
      <c r="AJ574" s="5" t="str">
        <f t="shared" si="105"/>
        <v>Tuesday</v>
      </c>
    </row>
    <row r="575" spans="1:36" x14ac:dyDescent="0.3">
      <c r="A575" s="5" t="s">
        <v>609</v>
      </c>
      <c r="B575" s="6">
        <v>45519</v>
      </c>
      <c r="C575" s="7">
        <v>0.89583333333333337</v>
      </c>
      <c r="D575" s="5" t="s">
        <v>1749</v>
      </c>
      <c r="E575" s="5" t="s">
        <v>1990</v>
      </c>
      <c r="F575" s="5" t="s">
        <v>2240</v>
      </c>
      <c r="G575" s="5" t="s">
        <v>2255</v>
      </c>
      <c r="H575" s="5" t="s">
        <v>2260</v>
      </c>
      <c r="I575" s="5" t="s">
        <v>2260</v>
      </c>
      <c r="J575" s="5" t="s">
        <v>2264</v>
      </c>
      <c r="K575" s="8">
        <v>1</v>
      </c>
      <c r="L575" s="9">
        <v>175</v>
      </c>
      <c r="M575" s="10">
        <v>0</v>
      </c>
      <c r="N575" s="9">
        <f t="shared" si="106"/>
        <v>175</v>
      </c>
      <c r="O575" s="9">
        <f t="shared" si="96"/>
        <v>175</v>
      </c>
      <c r="P575" s="5" t="s">
        <v>2269</v>
      </c>
      <c r="Q575" s="5" t="s">
        <v>2272</v>
      </c>
      <c r="R575" s="5" t="s">
        <v>2274</v>
      </c>
      <c r="S575" s="5" t="s">
        <v>2283</v>
      </c>
      <c r="T575" s="5" t="s">
        <v>2290</v>
      </c>
      <c r="U575" s="8">
        <v>5</v>
      </c>
      <c r="V575" s="8">
        <v>178</v>
      </c>
      <c r="W575" s="19">
        <v>35</v>
      </c>
      <c r="X575" s="9">
        <v>82.88</v>
      </c>
      <c r="Y575" s="9">
        <f t="shared" si="97"/>
        <v>92.12</v>
      </c>
      <c r="Z575" s="5" t="s">
        <v>2295</v>
      </c>
      <c r="AA575" s="5" t="s">
        <v>2296</v>
      </c>
      <c r="AB575" s="9">
        <f t="shared" si="98"/>
        <v>175</v>
      </c>
      <c r="AC575" s="9">
        <f t="shared" si="99"/>
        <v>0</v>
      </c>
      <c r="AD575" s="9">
        <f t="shared" si="100"/>
        <v>175</v>
      </c>
      <c r="AE575" s="9">
        <f t="shared" si="101"/>
        <v>82.88</v>
      </c>
      <c r="AF575" s="9">
        <f t="shared" si="107"/>
        <v>92.12</v>
      </c>
      <c r="AG575" s="8">
        <f t="shared" si="102"/>
        <v>2024</v>
      </c>
      <c r="AH575" s="8">
        <f t="shared" si="103"/>
        <v>8</v>
      </c>
      <c r="AI575" s="5" t="str">
        <f t="shared" si="104"/>
        <v>Aug</v>
      </c>
      <c r="AJ575" s="5" t="str">
        <f t="shared" si="105"/>
        <v>Thursday</v>
      </c>
    </row>
    <row r="576" spans="1:36" x14ac:dyDescent="0.3">
      <c r="A576" s="5" t="s">
        <v>610</v>
      </c>
      <c r="B576" s="6">
        <v>45443</v>
      </c>
      <c r="C576" s="7">
        <v>0.88888888888888884</v>
      </c>
      <c r="D576" s="5" t="s">
        <v>1915</v>
      </c>
      <c r="E576" s="5" t="s">
        <v>2039</v>
      </c>
      <c r="F576" s="5" t="s">
        <v>2240</v>
      </c>
      <c r="G576" s="5" t="s">
        <v>2252</v>
      </c>
      <c r="H576" s="5" t="s">
        <v>2257</v>
      </c>
      <c r="I576" s="5" t="s">
        <v>2262</v>
      </c>
      <c r="J576" s="5" t="s">
        <v>2264</v>
      </c>
      <c r="K576" s="8">
        <v>4</v>
      </c>
      <c r="L576" s="9">
        <v>90</v>
      </c>
      <c r="M576" s="10">
        <v>0.05</v>
      </c>
      <c r="N576" s="9">
        <f t="shared" si="106"/>
        <v>360</v>
      </c>
      <c r="O576" s="9">
        <f t="shared" si="96"/>
        <v>342</v>
      </c>
      <c r="P576" s="5" t="s">
        <v>2267</v>
      </c>
      <c r="Q576" s="5" t="s">
        <v>2270</v>
      </c>
      <c r="R576" s="5" t="s">
        <v>2275</v>
      </c>
      <c r="S576" s="5" t="s">
        <v>2286</v>
      </c>
      <c r="T576" s="5" t="s">
        <v>2290</v>
      </c>
      <c r="U576" s="8">
        <v>3</v>
      </c>
      <c r="V576" s="8">
        <v>294</v>
      </c>
      <c r="W576" s="8">
        <v>60</v>
      </c>
      <c r="X576" s="9">
        <v>32.049999999999997</v>
      </c>
      <c r="Y576" s="9">
        <f t="shared" si="97"/>
        <v>213.8</v>
      </c>
      <c r="Z576" s="5" t="s">
        <v>2291</v>
      </c>
      <c r="AA576" s="5" t="s">
        <v>2296</v>
      </c>
      <c r="AB576" s="9">
        <f t="shared" si="98"/>
        <v>360</v>
      </c>
      <c r="AC576" s="9">
        <f t="shared" si="99"/>
        <v>18</v>
      </c>
      <c r="AD576" s="9">
        <f t="shared" si="100"/>
        <v>342</v>
      </c>
      <c r="AE576" s="9">
        <f t="shared" si="101"/>
        <v>128.19999999999999</v>
      </c>
      <c r="AF576" s="9">
        <f t="shared" si="107"/>
        <v>213.8</v>
      </c>
      <c r="AG576" s="8">
        <f t="shared" si="102"/>
        <v>2024</v>
      </c>
      <c r="AH576" s="8">
        <f t="shared" si="103"/>
        <v>5</v>
      </c>
      <c r="AI576" s="5" t="str">
        <f t="shared" si="104"/>
        <v>May</v>
      </c>
      <c r="AJ576" s="5" t="str">
        <f t="shared" si="105"/>
        <v>Friday</v>
      </c>
    </row>
    <row r="577" spans="1:36" x14ac:dyDescent="0.3">
      <c r="A577" s="5" t="s">
        <v>611</v>
      </c>
      <c r="B577" s="6">
        <v>45296</v>
      </c>
      <c r="C577" s="7">
        <v>0.85416666666666663</v>
      </c>
      <c r="D577" s="5" t="s">
        <v>1886</v>
      </c>
      <c r="E577" s="5" t="s">
        <v>2194</v>
      </c>
      <c r="F577" s="5" t="s">
        <v>2239</v>
      </c>
      <c r="G577" s="5" t="s">
        <v>2256</v>
      </c>
      <c r="H577" s="5" t="s">
        <v>2261</v>
      </c>
      <c r="I577" s="5" t="s">
        <v>2260</v>
      </c>
      <c r="J577" s="5" t="s">
        <v>2265</v>
      </c>
      <c r="K577" s="8">
        <v>1</v>
      </c>
      <c r="L577" s="9">
        <v>190</v>
      </c>
      <c r="M577" s="10">
        <v>0.1</v>
      </c>
      <c r="N577" s="9">
        <f t="shared" si="106"/>
        <v>190</v>
      </c>
      <c r="O577" s="9">
        <f t="shared" si="96"/>
        <v>171</v>
      </c>
      <c r="P577" s="5" t="s">
        <v>2268</v>
      </c>
      <c r="Q577" s="5" t="s">
        <v>2270</v>
      </c>
      <c r="R577" s="5" t="s">
        <v>2274</v>
      </c>
      <c r="S577" s="5" t="s">
        <v>2285</v>
      </c>
      <c r="T577" s="5" t="s">
        <v>2289</v>
      </c>
      <c r="U577" s="19">
        <v>3</v>
      </c>
      <c r="V577" s="8">
        <v>127</v>
      </c>
      <c r="W577" s="19">
        <v>34</v>
      </c>
      <c r="X577" s="9">
        <v>74.790000000000006</v>
      </c>
      <c r="Y577" s="9">
        <f t="shared" si="97"/>
        <v>96.21</v>
      </c>
      <c r="Z577" s="5" t="s">
        <v>2294</v>
      </c>
      <c r="AA577" s="5" t="s">
        <v>2299</v>
      </c>
      <c r="AB577" s="9">
        <f t="shared" si="98"/>
        <v>190</v>
      </c>
      <c r="AC577" s="9">
        <f t="shared" si="99"/>
        <v>19</v>
      </c>
      <c r="AD577" s="9">
        <f t="shared" si="100"/>
        <v>171</v>
      </c>
      <c r="AE577" s="9">
        <f t="shared" si="101"/>
        <v>74.790000000000006</v>
      </c>
      <c r="AF577" s="9">
        <f t="shared" si="107"/>
        <v>96.21</v>
      </c>
      <c r="AG577" s="8">
        <f t="shared" si="102"/>
        <v>2024</v>
      </c>
      <c r="AH577" s="8">
        <f t="shared" si="103"/>
        <v>1</v>
      </c>
      <c r="AI577" s="5" t="str">
        <f t="shared" si="104"/>
        <v>Jan</v>
      </c>
      <c r="AJ577" s="5" t="str">
        <f t="shared" si="105"/>
        <v>Friday</v>
      </c>
    </row>
    <row r="578" spans="1:36" x14ac:dyDescent="0.3">
      <c r="A578" s="5" t="s">
        <v>612</v>
      </c>
      <c r="B578" s="6">
        <v>45522</v>
      </c>
      <c r="C578" s="7">
        <v>0.3125</v>
      </c>
      <c r="D578" s="5" t="s">
        <v>1836</v>
      </c>
      <c r="E578" s="5" t="s">
        <v>1976</v>
      </c>
      <c r="F578" s="5" t="s">
        <v>2239</v>
      </c>
      <c r="G578" s="5" t="s">
        <v>2250</v>
      </c>
      <c r="H578" s="5" t="s">
        <v>2259</v>
      </c>
      <c r="I578" s="5" t="s">
        <v>2262</v>
      </c>
      <c r="J578" s="5" t="s">
        <v>2265</v>
      </c>
      <c r="K578" s="8">
        <v>1</v>
      </c>
      <c r="L578" s="9">
        <v>90</v>
      </c>
      <c r="M578" s="10">
        <v>0</v>
      </c>
      <c r="N578" s="9">
        <f t="shared" si="106"/>
        <v>90</v>
      </c>
      <c r="O578" s="9">
        <f t="shared" ref="O578:O641" si="108">IF(N578="","",N578*(1-IF(M578="",0,M578)))</f>
        <v>90</v>
      </c>
      <c r="P578" s="5" t="s">
        <v>2268</v>
      </c>
      <c r="Q578" s="5" t="s">
        <v>2272</v>
      </c>
      <c r="R578" s="5" t="s">
        <v>2274</v>
      </c>
      <c r="S578" s="5" t="s">
        <v>2282</v>
      </c>
      <c r="T578" s="5" t="s">
        <v>2288</v>
      </c>
      <c r="U578" s="19">
        <v>3</v>
      </c>
      <c r="V578" s="8">
        <v>383</v>
      </c>
      <c r="W578" s="19">
        <v>35</v>
      </c>
      <c r="X578" s="9">
        <v>40.1</v>
      </c>
      <c r="Y578" s="9">
        <f t="shared" ref="Y578:Y641" si="109">IF(OR(O578="",K578="",X578=""),"",O578-K578*X578)</f>
        <v>49.9</v>
      </c>
      <c r="Z578" s="5" t="s">
        <v>2292</v>
      </c>
      <c r="AA578" s="5" t="s">
        <v>2296</v>
      </c>
      <c r="AB578" s="9">
        <f t="shared" ref="AB578:AB641" si="110">N578</f>
        <v>90</v>
      </c>
      <c r="AC578" s="9">
        <f t="shared" ref="AC578:AC641" si="111">IF(N578="","",N578*IF(M578="",0,M578))</f>
        <v>0</v>
      </c>
      <c r="AD578" s="9">
        <f t="shared" ref="AD578:AD641" si="112">O578</f>
        <v>90</v>
      </c>
      <c r="AE578" s="9">
        <f t="shared" ref="AE578:AE641" si="113">IF(OR(K578="",X578=""),"",K578*X578)</f>
        <v>40.1</v>
      </c>
      <c r="AF578" s="9">
        <f t="shared" si="107"/>
        <v>49.9</v>
      </c>
      <c r="AG578" s="8">
        <f t="shared" ref="AG578:AG641" si="114">IF(B578="","",YEAR(B578))</f>
        <v>2024</v>
      </c>
      <c r="AH578" s="8">
        <f t="shared" ref="AH578:AH641" si="115">IF(B578="","",MONTH(B578))</f>
        <v>8</v>
      </c>
      <c r="AI578" s="5" t="str">
        <f t="shared" ref="AI578:AI641" si="116">IF(B578="","",TEXT(B578,"mmm"))</f>
        <v>Aug</v>
      </c>
      <c r="AJ578" s="5" t="str">
        <f t="shared" ref="AJ578:AJ641" si="117">IF(B578="","",TEXT(B578,"dddd"))</f>
        <v>Sunday</v>
      </c>
    </row>
    <row r="579" spans="1:36" x14ac:dyDescent="0.3">
      <c r="A579" s="5" t="s">
        <v>613</v>
      </c>
      <c r="B579" s="6">
        <v>45432</v>
      </c>
      <c r="C579" s="7">
        <v>0.88194444444444442</v>
      </c>
      <c r="D579" s="5" t="s">
        <v>1928</v>
      </c>
      <c r="E579" s="5" t="s">
        <v>2121</v>
      </c>
      <c r="F579" s="5" t="s">
        <v>2239</v>
      </c>
      <c r="G579" s="5" t="s">
        <v>2248</v>
      </c>
      <c r="H579" s="5" t="s">
        <v>2257</v>
      </c>
      <c r="I579" s="5" t="s">
        <v>2262</v>
      </c>
      <c r="J579" s="5" t="s">
        <v>2266</v>
      </c>
      <c r="K579" s="8">
        <v>1</v>
      </c>
      <c r="L579" s="9">
        <v>145</v>
      </c>
      <c r="M579" s="10">
        <v>0</v>
      </c>
      <c r="N579" s="9">
        <f t="shared" ref="N579:N642" si="118">IFERROR(K579*L579,"")</f>
        <v>145</v>
      </c>
      <c r="O579" s="9">
        <f t="shared" si="108"/>
        <v>145</v>
      </c>
      <c r="P579" s="5" t="s">
        <v>2268</v>
      </c>
      <c r="Q579" s="5" t="s">
        <v>2272</v>
      </c>
      <c r="R579" s="5" t="s">
        <v>2275</v>
      </c>
      <c r="S579" s="5" t="s">
        <v>2284</v>
      </c>
      <c r="T579" s="5" t="s">
        <v>2288</v>
      </c>
      <c r="U579" s="8">
        <v>2</v>
      </c>
      <c r="V579" s="8">
        <v>445</v>
      </c>
      <c r="W579" s="8">
        <v>11</v>
      </c>
      <c r="X579" s="9">
        <v>55.27</v>
      </c>
      <c r="Y579" s="9">
        <f t="shared" si="109"/>
        <v>89.72999999999999</v>
      </c>
      <c r="Z579" s="5" t="s">
        <v>2293</v>
      </c>
      <c r="AA579" s="5" t="s">
        <v>2299</v>
      </c>
      <c r="AB579" s="9">
        <f t="shared" si="110"/>
        <v>145</v>
      </c>
      <c r="AC579" s="9">
        <f t="shared" si="111"/>
        <v>0</v>
      </c>
      <c r="AD579" s="9">
        <f t="shared" si="112"/>
        <v>145</v>
      </c>
      <c r="AE579" s="9">
        <f t="shared" si="113"/>
        <v>55.27</v>
      </c>
      <c r="AF579" s="9">
        <f t="shared" ref="AF579:AF642" si="119">Y579</f>
        <v>89.72999999999999</v>
      </c>
      <c r="AG579" s="8">
        <f t="shared" si="114"/>
        <v>2024</v>
      </c>
      <c r="AH579" s="8">
        <f t="shared" si="115"/>
        <v>5</v>
      </c>
      <c r="AI579" s="5" t="str">
        <f t="shared" si="116"/>
        <v>May</v>
      </c>
      <c r="AJ579" s="5" t="str">
        <f t="shared" si="117"/>
        <v>Monday</v>
      </c>
    </row>
    <row r="580" spans="1:36" x14ac:dyDescent="0.3">
      <c r="A580" s="5" t="s">
        <v>614</v>
      </c>
      <c r="B580" s="6">
        <v>45414</v>
      </c>
      <c r="C580" s="7">
        <v>0.40972222222222221</v>
      </c>
      <c r="D580" s="5" t="s">
        <v>1807</v>
      </c>
      <c r="E580" s="5" t="s">
        <v>2188</v>
      </c>
      <c r="F580" s="5" t="s">
        <v>2239</v>
      </c>
      <c r="G580" s="5" t="s">
        <v>2253</v>
      </c>
      <c r="H580" s="5" t="s">
        <v>2258</v>
      </c>
      <c r="I580" s="5" t="s">
        <v>2260</v>
      </c>
      <c r="J580" s="5" t="s">
        <v>2265</v>
      </c>
      <c r="K580" s="8">
        <v>2</v>
      </c>
      <c r="L580" s="9">
        <v>100</v>
      </c>
      <c r="M580" s="10">
        <v>0</v>
      </c>
      <c r="N580" s="9">
        <f t="shared" si="118"/>
        <v>200</v>
      </c>
      <c r="O580" s="9">
        <f t="shared" si="108"/>
        <v>200</v>
      </c>
      <c r="P580" s="5" t="s">
        <v>2268</v>
      </c>
      <c r="Q580" s="5" t="s">
        <v>2271</v>
      </c>
      <c r="R580" s="5" t="s">
        <v>2276</v>
      </c>
      <c r="S580" s="5" t="s">
        <v>2287</v>
      </c>
      <c r="T580" s="5" t="s">
        <v>2290</v>
      </c>
      <c r="U580" s="19">
        <v>3</v>
      </c>
      <c r="V580" s="8">
        <v>498</v>
      </c>
      <c r="W580" s="8">
        <v>52</v>
      </c>
      <c r="X580" s="9">
        <v>38.81</v>
      </c>
      <c r="Y580" s="9">
        <f t="shared" si="109"/>
        <v>122.38</v>
      </c>
      <c r="Z580" s="5" t="s">
        <v>2293</v>
      </c>
      <c r="AA580" s="5" t="s">
        <v>2296</v>
      </c>
      <c r="AB580" s="9">
        <f t="shared" si="110"/>
        <v>200</v>
      </c>
      <c r="AC580" s="9">
        <f t="shared" si="111"/>
        <v>0</v>
      </c>
      <c r="AD580" s="9">
        <f t="shared" si="112"/>
        <v>200</v>
      </c>
      <c r="AE580" s="9">
        <f t="shared" si="113"/>
        <v>77.62</v>
      </c>
      <c r="AF580" s="9">
        <f t="shared" si="119"/>
        <v>122.38</v>
      </c>
      <c r="AG580" s="8">
        <f t="shared" si="114"/>
        <v>2024</v>
      </c>
      <c r="AH580" s="8">
        <f t="shared" si="115"/>
        <v>5</v>
      </c>
      <c r="AI580" s="5" t="str">
        <f t="shared" si="116"/>
        <v>May</v>
      </c>
      <c r="AJ580" s="5" t="str">
        <f t="shared" si="117"/>
        <v>Thursday</v>
      </c>
    </row>
    <row r="581" spans="1:36" x14ac:dyDescent="0.3">
      <c r="A581" s="5" t="s">
        <v>615</v>
      </c>
      <c r="B581" s="6">
        <v>45510</v>
      </c>
      <c r="C581" s="7">
        <v>0.55208333333333337</v>
      </c>
      <c r="D581" s="5" t="s">
        <v>1855</v>
      </c>
      <c r="E581" s="5" t="s">
        <v>2005</v>
      </c>
      <c r="F581" s="5" t="s">
        <v>2238</v>
      </c>
      <c r="G581" s="5" t="s">
        <v>2255</v>
      </c>
      <c r="H581" s="5" t="s">
        <v>2260</v>
      </c>
      <c r="I581" s="5" t="s">
        <v>2260</v>
      </c>
      <c r="J581" s="5" t="s">
        <v>1761</v>
      </c>
      <c r="K581" s="8">
        <v>2</v>
      </c>
      <c r="L581" s="9">
        <v>180</v>
      </c>
      <c r="M581" s="10">
        <v>0</v>
      </c>
      <c r="N581" s="9">
        <f t="shared" si="118"/>
        <v>360</v>
      </c>
      <c r="O581" s="9">
        <f t="shared" si="108"/>
        <v>360</v>
      </c>
      <c r="P581" s="5" t="s">
        <v>2269</v>
      </c>
      <c r="Q581" s="5" t="s">
        <v>1761</v>
      </c>
      <c r="R581" s="5" t="s">
        <v>2274</v>
      </c>
      <c r="S581" s="5" t="s">
        <v>2284</v>
      </c>
      <c r="T581" s="5" t="s">
        <v>2288</v>
      </c>
      <c r="U581" s="8">
        <v>5</v>
      </c>
      <c r="V581" s="8">
        <v>16</v>
      </c>
      <c r="W581" s="8">
        <v>48</v>
      </c>
      <c r="X581" s="9">
        <v>95.25</v>
      </c>
      <c r="Y581" s="9">
        <f t="shared" si="109"/>
        <v>169.5</v>
      </c>
      <c r="Z581" s="5" t="s">
        <v>2293</v>
      </c>
      <c r="AA581" s="5" t="s">
        <v>2299</v>
      </c>
      <c r="AB581" s="9">
        <f t="shared" si="110"/>
        <v>360</v>
      </c>
      <c r="AC581" s="9">
        <f t="shared" si="111"/>
        <v>0</v>
      </c>
      <c r="AD581" s="9">
        <f t="shared" si="112"/>
        <v>360</v>
      </c>
      <c r="AE581" s="9">
        <f t="shared" si="113"/>
        <v>190.5</v>
      </c>
      <c r="AF581" s="9">
        <f t="shared" si="119"/>
        <v>169.5</v>
      </c>
      <c r="AG581" s="8">
        <f t="shared" si="114"/>
        <v>2024</v>
      </c>
      <c r="AH581" s="8">
        <f t="shared" si="115"/>
        <v>8</v>
      </c>
      <c r="AI581" s="5" t="str">
        <f t="shared" si="116"/>
        <v>Aug</v>
      </c>
      <c r="AJ581" s="5" t="str">
        <f t="shared" si="117"/>
        <v>Tuesday</v>
      </c>
    </row>
    <row r="582" spans="1:36" x14ac:dyDescent="0.3">
      <c r="A582" s="5" t="s">
        <v>616</v>
      </c>
      <c r="B582" s="6">
        <v>45518</v>
      </c>
      <c r="C582" s="7">
        <v>0.63888888888888884</v>
      </c>
      <c r="D582" s="5" t="s">
        <v>1822</v>
      </c>
      <c r="E582" s="5" t="s">
        <v>2036</v>
      </c>
      <c r="F582" s="5" t="s">
        <v>2240</v>
      </c>
      <c r="G582" s="5" t="s">
        <v>2244</v>
      </c>
      <c r="H582" s="5" t="s">
        <v>2257</v>
      </c>
      <c r="I582" s="5" t="s">
        <v>2262</v>
      </c>
      <c r="J582" s="5" t="s">
        <v>2264</v>
      </c>
      <c r="K582" s="8">
        <v>3</v>
      </c>
      <c r="L582" s="9">
        <v>120</v>
      </c>
      <c r="M582" s="10">
        <v>0</v>
      </c>
      <c r="N582" s="9">
        <f t="shared" si="118"/>
        <v>360</v>
      </c>
      <c r="O582" s="9">
        <f t="shared" si="108"/>
        <v>360</v>
      </c>
      <c r="P582" s="5" t="s">
        <v>2268</v>
      </c>
      <c r="Q582" s="5" t="s">
        <v>2272</v>
      </c>
      <c r="R582" s="5" t="s">
        <v>2275</v>
      </c>
      <c r="S582" s="5" t="s">
        <v>2281</v>
      </c>
      <c r="T582" s="5" t="s">
        <v>2288</v>
      </c>
      <c r="U582" s="8">
        <v>2</v>
      </c>
      <c r="V582" s="8">
        <v>100</v>
      </c>
      <c r="W582" s="8">
        <v>54</v>
      </c>
      <c r="X582" s="9">
        <v>51.28</v>
      </c>
      <c r="Y582" s="9">
        <f t="shared" si="109"/>
        <v>206.16</v>
      </c>
      <c r="Z582" s="5" t="s">
        <v>1761</v>
      </c>
      <c r="AA582" s="5" t="s">
        <v>1761</v>
      </c>
      <c r="AB582" s="9">
        <f t="shared" si="110"/>
        <v>360</v>
      </c>
      <c r="AC582" s="9">
        <f t="shared" si="111"/>
        <v>0</v>
      </c>
      <c r="AD582" s="9">
        <f t="shared" si="112"/>
        <v>360</v>
      </c>
      <c r="AE582" s="9">
        <f t="shared" si="113"/>
        <v>153.84</v>
      </c>
      <c r="AF582" s="9">
        <f t="shared" si="119"/>
        <v>206.16</v>
      </c>
      <c r="AG582" s="8">
        <f t="shared" si="114"/>
        <v>2024</v>
      </c>
      <c r="AH582" s="8">
        <f t="shared" si="115"/>
        <v>8</v>
      </c>
      <c r="AI582" s="5" t="str">
        <f t="shared" si="116"/>
        <v>Aug</v>
      </c>
      <c r="AJ582" s="5" t="str">
        <f t="shared" si="117"/>
        <v>Wednesday</v>
      </c>
    </row>
    <row r="583" spans="1:36" x14ac:dyDescent="0.3">
      <c r="A583" s="5" t="s">
        <v>617</v>
      </c>
      <c r="B583" s="6">
        <v>45563</v>
      </c>
      <c r="C583" s="7">
        <v>0.71527777777777779</v>
      </c>
      <c r="D583" s="5" t="s">
        <v>1831</v>
      </c>
      <c r="E583" s="5" t="s">
        <v>1965</v>
      </c>
      <c r="F583" s="5" t="s">
        <v>2240</v>
      </c>
      <c r="G583" s="5" t="s">
        <v>2243</v>
      </c>
      <c r="H583" s="5" t="s">
        <v>2258</v>
      </c>
      <c r="I583" s="5" t="s">
        <v>2260</v>
      </c>
      <c r="J583" s="5" t="s">
        <v>2266</v>
      </c>
      <c r="K583" s="8">
        <v>1</v>
      </c>
      <c r="L583" s="9">
        <v>80</v>
      </c>
      <c r="M583" s="10">
        <v>0</v>
      </c>
      <c r="N583" s="9">
        <f t="shared" si="118"/>
        <v>80</v>
      </c>
      <c r="O583" s="9">
        <f t="shared" si="108"/>
        <v>80</v>
      </c>
      <c r="P583" s="5" t="s">
        <v>2268</v>
      </c>
      <c r="Q583" s="5" t="s">
        <v>2270</v>
      </c>
      <c r="R583" s="5" t="s">
        <v>2276</v>
      </c>
      <c r="S583" s="5" t="s">
        <v>2283</v>
      </c>
      <c r="T583" s="5" t="s">
        <v>2288</v>
      </c>
      <c r="U583" s="8">
        <v>5</v>
      </c>
      <c r="V583" s="8">
        <v>197</v>
      </c>
      <c r="W583" s="19">
        <v>34</v>
      </c>
      <c r="X583" s="9">
        <v>41.45</v>
      </c>
      <c r="Y583" s="9">
        <f t="shared" si="109"/>
        <v>38.549999999999997</v>
      </c>
      <c r="Z583" s="5" t="s">
        <v>2293</v>
      </c>
      <c r="AA583" s="5" t="s">
        <v>2298</v>
      </c>
      <c r="AB583" s="9">
        <f t="shared" si="110"/>
        <v>80</v>
      </c>
      <c r="AC583" s="9">
        <f t="shared" si="111"/>
        <v>0</v>
      </c>
      <c r="AD583" s="9">
        <f t="shared" si="112"/>
        <v>80</v>
      </c>
      <c r="AE583" s="9">
        <f t="shared" si="113"/>
        <v>41.45</v>
      </c>
      <c r="AF583" s="9">
        <f t="shared" si="119"/>
        <v>38.549999999999997</v>
      </c>
      <c r="AG583" s="8">
        <f t="shared" si="114"/>
        <v>2024</v>
      </c>
      <c r="AH583" s="8">
        <f t="shared" si="115"/>
        <v>9</v>
      </c>
      <c r="AI583" s="5" t="str">
        <f t="shared" si="116"/>
        <v>Sep</v>
      </c>
      <c r="AJ583" s="5" t="str">
        <f t="shared" si="117"/>
        <v>Saturday</v>
      </c>
    </row>
    <row r="584" spans="1:36" x14ac:dyDescent="0.3">
      <c r="A584" s="5" t="s">
        <v>618</v>
      </c>
      <c r="B584" s="6">
        <v>45456</v>
      </c>
      <c r="C584" s="7">
        <v>0.4375</v>
      </c>
      <c r="D584" s="5" t="s">
        <v>1774</v>
      </c>
      <c r="E584" s="5" t="s">
        <v>2139</v>
      </c>
      <c r="F584" s="5" t="s">
        <v>1761</v>
      </c>
      <c r="G584" s="5" t="s">
        <v>2245</v>
      </c>
      <c r="H584" s="5" t="s">
        <v>2257</v>
      </c>
      <c r="I584" s="5" t="s">
        <v>2263</v>
      </c>
      <c r="J584" s="5" t="s">
        <v>2264</v>
      </c>
      <c r="K584" s="8">
        <v>4</v>
      </c>
      <c r="L584" s="9">
        <v>150</v>
      </c>
      <c r="M584" s="10">
        <v>0.05</v>
      </c>
      <c r="N584" s="9">
        <f t="shared" si="118"/>
        <v>600</v>
      </c>
      <c r="O584" s="9">
        <f t="shared" si="108"/>
        <v>570</v>
      </c>
      <c r="P584" s="5" t="s">
        <v>2269</v>
      </c>
      <c r="Q584" s="5" t="s">
        <v>2270</v>
      </c>
      <c r="R584" s="5" t="s">
        <v>2277</v>
      </c>
      <c r="S584" s="5" t="s">
        <v>2284</v>
      </c>
      <c r="T584" s="5" t="s">
        <v>2288</v>
      </c>
      <c r="U584" s="8">
        <v>5</v>
      </c>
      <c r="V584" s="8">
        <v>376</v>
      </c>
      <c r="W584" s="19">
        <v>34</v>
      </c>
      <c r="X584" s="9">
        <v>63.19</v>
      </c>
      <c r="Y584" s="9">
        <f t="shared" si="109"/>
        <v>317.24</v>
      </c>
      <c r="Z584" s="5" t="s">
        <v>2293</v>
      </c>
      <c r="AA584" s="5" t="s">
        <v>1761</v>
      </c>
      <c r="AB584" s="9">
        <f t="shared" si="110"/>
        <v>600</v>
      </c>
      <c r="AC584" s="9">
        <f t="shared" si="111"/>
        <v>30</v>
      </c>
      <c r="AD584" s="9">
        <f t="shared" si="112"/>
        <v>570</v>
      </c>
      <c r="AE584" s="9">
        <f t="shared" si="113"/>
        <v>252.76</v>
      </c>
      <c r="AF584" s="9">
        <f t="shared" si="119"/>
        <v>317.24</v>
      </c>
      <c r="AG584" s="8">
        <f t="shared" si="114"/>
        <v>2024</v>
      </c>
      <c r="AH584" s="8">
        <f t="shared" si="115"/>
        <v>6</v>
      </c>
      <c r="AI584" s="5" t="str">
        <f t="shared" si="116"/>
        <v>Jun</v>
      </c>
      <c r="AJ584" s="5" t="str">
        <f t="shared" si="117"/>
        <v>Thursday</v>
      </c>
    </row>
    <row r="585" spans="1:36" x14ac:dyDescent="0.3">
      <c r="A585" s="5" t="s">
        <v>619</v>
      </c>
      <c r="B585" s="6">
        <v>45378</v>
      </c>
      <c r="C585" s="7">
        <v>0.80208333333333337</v>
      </c>
      <c r="D585" s="5" t="s">
        <v>1824</v>
      </c>
      <c r="E585" s="5" t="s">
        <v>2026</v>
      </c>
      <c r="F585" s="5" t="s">
        <v>2239</v>
      </c>
      <c r="G585" s="5" t="s">
        <v>2255</v>
      </c>
      <c r="H585" s="5" t="s">
        <v>2260</v>
      </c>
      <c r="I585" s="5" t="s">
        <v>2260</v>
      </c>
      <c r="J585" s="5" t="s">
        <v>1761</v>
      </c>
      <c r="K585" s="8">
        <v>2</v>
      </c>
      <c r="L585" s="9">
        <v>180</v>
      </c>
      <c r="M585" s="10">
        <v>0</v>
      </c>
      <c r="N585" s="9">
        <f t="shared" si="118"/>
        <v>360</v>
      </c>
      <c r="O585" s="9">
        <f t="shared" si="108"/>
        <v>360</v>
      </c>
      <c r="P585" s="5" t="s">
        <v>2267</v>
      </c>
      <c r="Q585" s="5" t="s">
        <v>2271</v>
      </c>
      <c r="R585" s="5" t="s">
        <v>2278</v>
      </c>
      <c r="S585" s="5" t="s">
        <v>2285</v>
      </c>
      <c r="T585" s="5" t="s">
        <v>2288</v>
      </c>
      <c r="U585" s="8">
        <v>3</v>
      </c>
      <c r="V585" s="8">
        <v>157</v>
      </c>
      <c r="W585" s="8">
        <v>25</v>
      </c>
      <c r="X585" s="9">
        <v>70.67</v>
      </c>
      <c r="Y585" s="9">
        <f t="shared" si="109"/>
        <v>218.66</v>
      </c>
      <c r="Z585" s="5" t="s">
        <v>2293</v>
      </c>
      <c r="AA585" s="5" t="s">
        <v>2296</v>
      </c>
      <c r="AB585" s="9">
        <f t="shared" si="110"/>
        <v>360</v>
      </c>
      <c r="AC585" s="9">
        <f t="shared" si="111"/>
        <v>0</v>
      </c>
      <c r="AD585" s="9">
        <f t="shared" si="112"/>
        <v>360</v>
      </c>
      <c r="AE585" s="9">
        <f t="shared" si="113"/>
        <v>141.34</v>
      </c>
      <c r="AF585" s="9">
        <f t="shared" si="119"/>
        <v>218.66</v>
      </c>
      <c r="AG585" s="8">
        <f t="shared" si="114"/>
        <v>2024</v>
      </c>
      <c r="AH585" s="8">
        <f t="shared" si="115"/>
        <v>3</v>
      </c>
      <c r="AI585" s="5" t="str">
        <f t="shared" si="116"/>
        <v>Mar</v>
      </c>
      <c r="AJ585" s="5" t="str">
        <f t="shared" si="117"/>
        <v>Wednesday</v>
      </c>
    </row>
    <row r="586" spans="1:36" x14ac:dyDescent="0.3">
      <c r="A586" s="5" t="s">
        <v>620</v>
      </c>
      <c r="B586" s="6">
        <v>45458</v>
      </c>
      <c r="C586" s="7">
        <v>0.80208333333333337</v>
      </c>
      <c r="D586" s="5" t="s">
        <v>1788</v>
      </c>
      <c r="E586" s="5" t="s">
        <v>2137</v>
      </c>
      <c r="F586" s="5" t="s">
        <v>2240</v>
      </c>
      <c r="G586" s="5" t="s">
        <v>2245</v>
      </c>
      <c r="H586" s="5" t="s">
        <v>2257</v>
      </c>
      <c r="I586" s="5" t="s">
        <v>2263</v>
      </c>
      <c r="J586" s="5" t="s">
        <v>2264</v>
      </c>
      <c r="K586" s="8">
        <v>1</v>
      </c>
      <c r="L586" s="9">
        <v>150</v>
      </c>
      <c r="M586" s="10">
        <v>0.1</v>
      </c>
      <c r="N586" s="9">
        <f t="shared" si="118"/>
        <v>150</v>
      </c>
      <c r="O586" s="9">
        <f t="shared" si="108"/>
        <v>135</v>
      </c>
      <c r="P586" s="5" t="s">
        <v>2269</v>
      </c>
      <c r="Q586" s="5" t="s">
        <v>1761</v>
      </c>
      <c r="R586" s="5" t="s">
        <v>2275</v>
      </c>
      <c r="S586" s="5" t="s">
        <v>2286</v>
      </c>
      <c r="T586" s="5" t="s">
        <v>2288</v>
      </c>
      <c r="U586" s="8">
        <v>5</v>
      </c>
      <c r="V586" s="8">
        <v>477</v>
      </c>
      <c r="W586" s="8">
        <v>54</v>
      </c>
      <c r="X586" s="9">
        <v>77.319999999999993</v>
      </c>
      <c r="Y586" s="9">
        <f t="shared" si="109"/>
        <v>57.680000000000007</v>
      </c>
      <c r="Z586" s="5" t="s">
        <v>2293</v>
      </c>
      <c r="AA586" s="5" t="s">
        <v>2297</v>
      </c>
      <c r="AB586" s="9">
        <f t="shared" si="110"/>
        <v>150</v>
      </c>
      <c r="AC586" s="9">
        <f t="shared" si="111"/>
        <v>15</v>
      </c>
      <c r="AD586" s="9">
        <f t="shared" si="112"/>
        <v>135</v>
      </c>
      <c r="AE586" s="9">
        <f t="shared" si="113"/>
        <v>77.319999999999993</v>
      </c>
      <c r="AF586" s="9">
        <f t="shared" si="119"/>
        <v>57.680000000000007</v>
      </c>
      <c r="AG586" s="8">
        <f t="shared" si="114"/>
        <v>2024</v>
      </c>
      <c r="AH586" s="8">
        <f t="shared" si="115"/>
        <v>6</v>
      </c>
      <c r="AI586" s="5" t="str">
        <f t="shared" si="116"/>
        <v>Jun</v>
      </c>
      <c r="AJ586" s="5" t="str">
        <f t="shared" si="117"/>
        <v>Saturday</v>
      </c>
    </row>
    <row r="587" spans="1:36" x14ac:dyDescent="0.3">
      <c r="A587" s="5" t="s">
        <v>621</v>
      </c>
      <c r="B587" s="6">
        <v>45523</v>
      </c>
      <c r="C587" s="7">
        <v>0.67361111111111116</v>
      </c>
      <c r="D587" s="5" t="s">
        <v>1751</v>
      </c>
      <c r="E587" s="5" t="s">
        <v>1970</v>
      </c>
      <c r="F587" s="5" t="s">
        <v>2238</v>
      </c>
      <c r="G587" s="5" t="s">
        <v>2248</v>
      </c>
      <c r="H587" s="5" t="s">
        <v>2257</v>
      </c>
      <c r="I587" s="5" t="s">
        <v>2262</v>
      </c>
      <c r="J587" s="5" t="s">
        <v>2264</v>
      </c>
      <c r="K587" s="8">
        <v>4</v>
      </c>
      <c r="L587" s="9">
        <v>155</v>
      </c>
      <c r="M587" s="10">
        <v>0.05</v>
      </c>
      <c r="N587" s="9">
        <f t="shared" si="118"/>
        <v>620</v>
      </c>
      <c r="O587" s="9">
        <f t="shared" si="108"/>
        <v>589</v>
      </c>
      <c r="P587" s="5" t="s">
        <v>2268</v>
      </c>
      <c r="Q587" s="5" t="s">
        <v>2270</v>
      </c>
      <c r="R587" s="5" t="s">
        <v>2276</v>
      </c>
      <c r="S587" s="5" t="s">
        <v>2285</v>
      </c>
      <c r="T587" s="5" t="s">
        <v>2288</v>
      </c>
      <c r="U587" s="8">
        <v>3</v>
      </c>
      <c r="V587" s="8">
        <v>289</v>
      </c>
      <c r="W587" s="19">
        <v>34</v>
      </c>
      <c r="X587" s="9">
        <v>62.57</v>
      </c>
      <c r="Y587" s="9">
        <f t="shared" si="109"/>
        <v>338.72</v>
      </c>
      <c r="Z587" s="5" t="s">
        <v>2292</v>
      </c>
      <c r="AA587" s="5" t="s">
        <v>2298</v>
      </c>
      <c r="AB587" s="9">
        <f t="shared" si="110"/>
        <v>620</v>
      </c>
      <c r="AC587" s="9">
        <f t="shared" si="111"/>
        <v>31</v>
      </c>
      <c r="AD587" s="9">
        <f t="shared" si="112"/>
        <v>589</v>
      </c>
      <c r="AE587" s="9">
        <f t="shared" si="113"/>
        <v>250.28</v>
      </c>
      <c r="AF587" s="9">
        <f t="shared" si="119"/>
        <v>338.72</v>
      </c>
      <c r="AG587" s="8">
        <f t="shared" si="114"/>
        <v>2024</v>
      </c>
      <c r="AH587" s="8">
        <f t="shared" si="115"/>
        <v>8</v>
      </c>
      <c r="AI587" s="5" t="str">
        <f t="shared" si="116"/>
        <v>Aug</v>
      </c>
      <c r="AJ587" s="5" t="str">
        <f t="shared" si="117"/>
        <v>Monday</v>
      </c>
    </row>
    <row r="588" spans="1:36" x14ac:dyDescent="0.3">
      <c r="A588" s="5" t="s">
        <v>622</v>
      </c>
      <c r="B588" s="6">
        <v>45467</v>
      </c>
      <c r="C588" s="7">
        <v>0.88888888888888884</v>
      </c>
      <c r="D588" s="5" t="s">
        <v>1751</v>
      </c>
      <c r="E588" s="5" t="s">
        <v>2181</v>
      </c>
      <c r="F588" s="5" t="s">
        <v>2240</v>
      </c>
      <c r="G588" s="5" t="s">
        <v>2247</v>
      </c>
      <c r="H588" s="5" t="s">
        <v>2257</v>
      </c>
      <c r="I588" s="5" t="s">
        <v>2262</v>
      </c>
      <c r="J588" s="5" t="s">
        <v>2265</v>
      </c>
      <c r="K588" s="8">
        <v>1</v>
      </c>
      <c r="L588" s="9">
        <v>105</v>
      </c>
      <c r="M588" s="10">
        <v>0.1</v>
      </c>
      <c r="N588" s="9">
        <f t="shared" si="118"/>
        <v>105</v>
      </c>
      <c r="O588" s="9">
        <f t="shared" si="108"/>
        <v>94.5</v>
      </c>
      <c r="P588" s="5" t="s">
        <v>2269</v>
      </c>
      <c r="Q588" s="5" t="s">
        <v>2271</v>
      </c>
      <c r="R588" s="5" t="s">
        <v>2273</v>
      </c>
      <c r="S588" s="5" t="s">
        <v>2287</v>
      </c>
      <c r="T588" s="5" t="s">
        <v>2288</v>
      </c>
      <c r="U588" s="8">
        <v>3</v>
      </c>
      <c r="V588" s="8">
        <v>497</v>
      </c>
      <c r="W588" s="8">
        <v>23</v>
      </c>
      <c r="X588" s="9">
        <v>55.8</v>
      </c>
      <c r="Y588" s="9">
        <f t="shared" si="109"/>
        <v>38.700000000000003</v>
      </c>
      <c r="Z588" s="5" t="s">
        <v>2294</v>
      </c>
      <c r="AA588" s="5" t="s">
        <v>2298</v>
      </c>
      <c r="AB588" s="9">
        <f t="shared" si="110"/>
        <v>105</v>
      </c>
      <c r="AC588" s="9">
        <f t="shared" si="111"/>
        <v>10.5</v>
      </c>
      <c r="AD588" s="9">
        <f t="shared" si="112"/>
        <v>94.5</v>
      </c>
      <c r="AE588" s="9">
        <f t="shared" si="113"/>
        <v>55.8</v>
      </c>
      <c r="AF588" s="9">
        <f t="shared" si="119"/>
        <v>38.700000000000003</v>
      </c>
      <c r="AG588" s="8">
        <f t="shared" si="114"/>
        <v>2024</v>
      </c>
      <c r="AH588" s="8">
        <f t="shared" si="115"/>
        <v>6</v>
      </c>
      <c r="AI588" s="5" t="str">
        <f t="shared" si="116"/>
        <v>Jun</v>
      </c>
      <c r="AJ588" s="5" t="str">
        <f t="shared" si="117"/>
        <v>Monday</v>
      </c>
    </row>
    <row r="589" spans="1:36" x14ac:dyDescent="0.3">
      <c r="A589" s="5" t="s">
        <v>623</v>
      </c>
      <c r="B589" s="6">
        <v>45630</v>
      </c>
      <c r="C589" s="7">
        <v>0.4375</v>
      </c>
      <c r="D589" s="5" t="s">
        <v>1779</v>
      </c>
      <c r="E589" s="5" t="s">
        <v>2190</v>
      </c>
      <c r="F589" s="5" t="s">
        <v>2239</v>
      </c>
      <c r="G589" s="5" t="s">
        <v>2256</v>
      </c>
      <c r="H589" s="5" t="s">
        <v>2261</v>
      </c>
      <c r="I589" s="5" t="s">
        <v>2260</v>
      </c>
      <c r="J589" s="5" t="s">
        <v>2266</v>
      </c>
      <c r="K589" s="8">
        <v>2</v>
      </c>
      <c r="L589" s="9">
        <v>190</v>
      </c>
      <c r="M589" s="10">
        <v>0</v>
      </c>
      <c r="N589" s="9">
        <f t="shared" si="118"/>
        <v>380</v>
      </c>
      <c r="O589" s="9">
        <f t="shared" si="108"/>
        <v>380</v>
      </c>
      <c r="P589" s="5" t="s">
        <v>1761</v>
      </c>
      <c r="Q589" s="5" t="s">
        <v>2272</v>
      </c>
      <c r="R589" s="5" t="s">
        <v>2276</v>
      </c>
      <c r="S589" s="5" t="s">
        <v>2287</v>
      </c>
      <c r="T589" s="5" t="s">
        <v>2288</v>
      </c>
      <c r="U589" s="8">
        <v>3</v>
      </c>
      <c r="V589" s="8">
        <v>175</v>
      </c>
      <c r="W589" s="8">
        <v>14</v>
      </c>
      <c r="X589" s="9">
        <v>68.2</v>
      </c>
      <c r="Y589" s="9">
        <f t="shared" si="109"/>
        <v>243.6</v>
      </c>
      <c r="Z589" s="5" t="s">
        <v>2293</v>
      </c>
      <c r="AA589" s="5" t="s">
        <v>1761</v>
      </c>
      <c r="AB589" s="9">
        <f t="shared" si="110"/>
        <v>380</v>
      </c>
      <c r="AC589" s="9">
        <f t="shared" si="111"/>
        <v>0</v>
      </c>
      <c r="AD589" s="9">
        <f t="shared" si="112"/>
        <v>380</v>
      </c>
      <c r="AE589" s="9">
        <f t="shared" si="113"/>
        <v>136.4</v>
      </c>
      <c r="AF589" s="9">
        <f t="shared" si="119"/>
        <v>243.6</v>
      </c>
      <c r="AG589" s="8">
        <f t="shared" si="114"/>
        <v>2024</v>
      </c>
      <c r="AH589" s="8">
        <f t="shared" si="115"/>
        <v>12</v>
      </c>
      <c r="AI589" s="5" t="str">
        <f t="shared" si="116"/>
        <v>Dec</v>
      </c>
      <c r="AJ589" s="5" t="str">
        <f t="shared" si="117"/>
        <v>Wednesday</v>
      </c>
    </row>
    <row r="590" spans="1:36" x14ac:dyDescent="0.3">
      <c r="A590" s="5" t="s">
        <v>624</v>
      </c>
      <c r="B590" s="6">
        <v>45359</v>
      </c>
      <c r="C590" s="7">
        <v>0.34027777777777779</v>
      </c>
      <c r="D590" s="5" t="s">
        <v>1842</v>
      </c>
      <c r="E590" s="5" t="s">
        <v>1971</v>
      </c>
      <c r="F590" s="5" t="s">
        <v>2239</v>
      </c>
      <c r="G590" s="5" t="s">
        <v>2252</v>
      </c>
      <c r="H590" s="5" t="s">
        <v>2257</v>
      </c>
      <c r="I590" s="5" t="s">
        <v>2262</v>
      </c>
      <c r="J590" s="5" t="s">
        <v>2266</v>
      </c>
      <c r="K590" s="8">
        <v>2</v>
      </c>
      <c r="L590" s="9">
        <v>90</v>
      </c>
      <c r="M590" s="10">
        <v>0</v>
      </c>
      <c r="N590" s="9">
        <f t="shared" si="118"/>
        <v>180</v>
      </c>
      <c r="O590" s="9">
        <f t="shared" si="108"/>
        <v>180</v>
      </c>
      <c r="P590" s="5" t="s">
        <v>2268</v>
      </c>
      <c r="Q590" s="5" t="s">
        <v>2272</v>
      </c>
      <c r="R590" s="5" t="s">
        <v>2273</v>
      </c>
      <c r="S590" s="5" t="s">
        <v>2282</v>
      </c>
      <c r="T590" s="5" t="s">
        <v>2288</v>
      </c>
      <c r="U590" s="19">
        <v>3</v>
      </c>
      <c r="V590" s="8">
        <v>344</v>
      </c>
      <c r="W590" s="8">
        <v>60</v>
      </c>
      <c r="X590" s="9">
        <v>52.99</v>
      </c>
      <c r="Y590" s="9">
        <f t="shared" si="109"/>
        <v>74.02</v>
      </c>
      <c r="Z590" s="5" t="s">
        <v>1761</v>
      </c>
      <c r="AA590" s="5" t="s">
        <v>1761</v>
      </c>
      <c r="AB590" s="9">
        <f t="shared" si="110"/>
        <v>180</v>
      </c>
      <c r="AC590" s="9">
        <f t="shared" si="111"/>
        <v>0</v>
      </c>
      <c r="AD590" s="9">
        <f t="shared" si="112"/>
        <v>180</v>
      </c>
      <c r="AE590" s="9">
        <f t="shared" si="113"/>
        <v>105.98</v>
      </c>
      <c r="AF590" s="9">
        <f t="shared" si="119"/>
        <v>74.02</v>
      </c>
      <c r="AG590" s="8">
        <f t="shared" si="114"/>
        <v>2024</v>
      </c>
      <c r="AH590" s="8">
        <f t="shared" si="115"/>
        <v>3</v>
      </c>
      <c r="AI590" s="5" t="str">
        <f t="shared" si="116"/>
        <v>Mar</v>
      </c>
      <c r="AJ590" s="5" t="str">
        <f t="shared" si="117"/>
        <v>Friday</v>
      </c>
    </row>
    <row r="591" spans="1:36" x14ac:dyDescent="0.3">
      <c r="A591" s="5" t="s">
        <v>625</v>
      </c>
      <c r="B591" s="6">
        <v>45550</v>
      </c>
      <c r="C591" s="7">
        <v>0.55555555555555558</v>
      </c>
      <c r="D591" s="5" t="s">
        <v>1892</v>
      </c>
      <c r="E591" s="5" t="s">
        <v>2150</v>
      </c>
      <c r="F591" s="5" t="s">
        <v>1761</v>
      </c>
      <c r="G591" s="5" t="s">
        <v>2252</v>
      </c>
      <c r="H591" s="5" t="s">
        <v>2257</v>
      </c>
      <c r="I591" s="5" t="s">
        <v>2262</v>
      </c>
      <c r="J591" s="5" t="s">
        <v>2264</v>
      </c>
      <c r="K591" s="8">
        <v>2</v>
      </c>
      <c r="L591" s="9">
        <v>85</v>
      </c>
      <c r="M591" s="10">
        <v>0</v>
      </c>
      <c r="N591" s="9">
        <f t="shared" si="118"/>
        <v>170</v>
      </c>
      <c r="O591" s="9">
        <f t="shared" si="108"/>
        <v>170</v>
      </c>
      <c r="P591" s="5" t="s">
        <v>2269</v>
      </c>
      <c r="Q591" s="5" t="s">
        <v>2270</v>
      </c>
      <c r="R591" s="5" t="s">
        <v>2276</v>
      </c>
      <c r="S591" s="5" t="s">
        <v>2280</v>
      </c>
      <c r="T591" s="5" t="s">
        <v>2290</v>
      </c>
      <c r="U591" s="8">
        <v>1</v>
      </c>
      <c r="V591" s="8">
        <v>78</v>
      </c>
      <c r="W591" s="19">
        <v>34</v>
      </c>
      <c r="X591" s="9">
        <v>37.11</v>
      </c>
      <c r="Y591" s="9">
        <f t="shared" si="109"/>
        <v>95.78</v>
      </c>
      <c r="Z591" s="5" t="s">
        <v>2292</v>
      </c>
      <c r="AA591" s="5" t="s">
        <v>1761</v>
      </c>
      <c r="AB591" s="9">
        <f t="shared" si="110"/>
        <v>170</v>
      </c>
      <c r="AC591" s="9">
        <f t="shared" si="111"/>
        <v>0</v>
      </c>
      <c r="AD591" s="9">
        <f t="shared" si="112"/>
        <v>170</v>
      </c>
      <c r="AE591" s="9">
        <f t="shared" si="113"/>
        <v>74.22</v>
      </c>
      <c r="AF591" s="9">
        <f t="shared" si="119"/>
        <v>95.78</v>
      </c>
      <c r="AG591" s="8">
        <f t="shared" si="114"/>
        <v>2024</v>
      </c>
      <c r="AH591" s="8">
        <f t="shared" si="115"/>
        <v>9</v>
      </c>
      <c r="AI591" s="5" t="str">
        <f t="shared" si="116"/>
        <v>Sep</v>
      </c>
      <c r="AJ591" s="5" t="str">
        <f t="shared" si="117"/>
        <v>Sunday</v>
      </c>
    </row>
    <row r="592" spans="1:36" x14ac:dyDescent="0.3">
      <c r="A592" s="5" t="s">
        <v>626</v>
      </c>
      <c r="B592" s="6">
        <v>45494</v>
      </c>
      <c r="C592" s="7">
        <v>0.69791666666666663</v>
      </c>
      <c r="D592" s="5" t="s">
        <v>1890</v>
      </c>
      <c r="E592" s="5" t="s">
        <v>2068</v>
      </c>
      <c r="F592" s="5" t="s">
        <v>2240</v>
      </c>
      <c r="G592" s="5" t="s">
        <v>2249</v>
      </c>
      <c r="H592" s="5" t="s">
        <v>2257</v>
      </c>
      <c r="I592" s="5" t="s">
        <v>2263</v>
      </c>
      <c r="J592" s="5" t="s">
        <v>2265</v>
      </c>
      <c r="K592" s="8">
        <v>1</v>
      </c>
      <c r="L592" s="9">
        <v>165</v>
      </c>
      <c r="M592" s="10">
        <v>0</v>
      </c>
      <c r="N592" s="9">
        <f t="shared" si="118"/>
        <v>165</v>
      </c>
      <c r="O592" s="9">
        <f t="shared" si="108"/>
        <v>165</v>
      </c>
      <c r="P592" s="5" t="s">
        <v>2269</v>
      </c>
      <c r="Q592" s="5" t="s">
        <v>2271</v>
      </c>
      <c r="R592" s="5" t="s">
        <v>2273</v>
      </c>
      <c r="S592" s="5" t="s">
        <v>2284</v>
      </c>
      <c r="T592" s="5" t="s">
        <v>2288</v>
      </c>
      <c r="U592" s="8">
        <v>5</v>
      </c>
      <c r="V592" s="8">
        <v>83</v>
      </c>
      <c r="W592" s="8">
        <v>24</v>
      </c>
      <c r="X592" s="9">
        <v>86.54</v>
      </c>
      <c r="Y592" s="9">
        <f t="shared" si="109"/>
        <v>78.459999999999994</v>
      </c>
      <c r="Z592" s="5" t="s">
        <v>2291</v>
      </c>
      <c r="AA592" s="5" t="s">
        <v>2297</v>
      </c>
      <c r="AB592" s="9">
        <f t="shared" si="110"/>
        <v>165</v>
      </c>
      <c r="AC592" s="9">
        <f t="shared" si="111"/>
        <v>0</v>
      </c>
      <c r="AD592" s="9">
        <f t="shared" si="112"/>
        <v>165</v>
      </c>
      <c r="AE592" s="9">
        <f t="shared" si="113"/>
        <v>86.54</v>
      </c>
      <c r="AF592" s="9">
        <f t="shared" si="119"/>
        <v>78.459999999999994</v>
      </c>
      <c r="AG592" s="8">
        <f t="shared" si="114"/>
        <v>2024</v>
      </c>
      <c r="AH592" s="8">
        <f t="shared" si="115"/>
        <v>7</v>
      </c>
      <c r="AI592" s="5" t="str">
        <f t="shared" si="116"/>
        <v>Jul</v>
      </c>
      <c r="AJ592" s="5" t="str">
        <f t="shared" si="117"/>
        <v>Sunday</v>
      </c>
    </row>
    <row r="593" spans="1:36" x14ac:dyDescent="0.3">
      <c r="A593" s="5" t="s">
        <v>627</v>
      </c>
      <c r="B593" s="6">
        <v>45514</v>
      </c>
      <c r="C593" s="7">
        <v>0.78125</v>
      </c>
      <c r="D593" s="5" t="s">
        <v>1927</v>
      </c>
      <c r="E593" s="5" t="s">
        <v>2124</v>
      </c>
      <c r="F593" s="5" t="s">
        <v>1761</v>
      </c>
      <c r="G593" s="5" t="s">
        <v>2251</v>
      </c>
      <c r="H593" s="5" t="s">
        <v>2258</v>
      </c>
      <c r="I593" s="5" t="s">
        <v>2260</v>
      </c>
      <c r="J593" s="5" t="s">
        <v>2265</v>
      </c>
      <c r="K593" s="8">
        <v>1</v>
      </c>
      <c r="L593" s="9">
        <v>105</v>
      </c>
      <c r="M593" s="10">
        <v>0.1</v>
      </c>
      <c r="N593" s="9">
        <f t="shared" si="118"/>
        <v>105</v>
      </c>
      <c r="O593" s="9">
        <f t="shared" si="108"/>
        <v>94.5</v>
      </c>
      <c r="P593" s="5" t="s">
        <v>2269</v>
      </c>
      <c r="Q593" s="5" t="s">
        <v>2272</v>
      </c>
      <c r="R593" s="5" t="s">
        <v>2274</v>
      </c>
      <c r="S593" s="5" t="s">
        <v>2280</v>
      </c>
      <c r="T593" s="5" t="s">
        <v>2288</v>
      </c>
      <c r="U593" s="8">
        <v>3</v>
      </c>
      <c r="V593" s="8">
        <v>182</v>
      </c>
      <c r="W593" s="8">
        <v>22</v>
      </c>
      <c r="X593" s="9">
        <v>53.26</v>
      </c>
      <c r="Y593" s="9">
        <f t="shared" si="109"/>
        <v>41.24</v>
      </c>
      <c r="Z593" s="5" t="s">
        <v>2293</v>
      </c>
      <c r="AA593" s="5" t="s">
        <v>2296</v>
      </c>
      <c r="AB593" s="9">
        <f t="shared" si="110"/>
        <v>105</v>
      </c>
      <c r="AC593" s="9">
        <f t="shared" si="111"/>
        <v>10.5</v>
      </c>
      <c r="AD593" s="9">
        <f t="shared" si="112"/>
        <v>94.5</v>
      </c>
      <c r="AE593" s="9">
        <f t="shared" si="113"/>
        <v>53.26</v>
      </c>
      <c r="AF593" s="9">
        <f t="shared" si="119"/>
        <v>41.24</v>
      </c>
      <c r="AG593" s="8">
        <f t="shared" si="114"/>
        <v>2024</v>
      </c>
      <c r="AH593" s="8">
        <f t="shared" si="115"/>
        <v>8</v>
      </c>
      <c r="AI593" s="5" t="str">
        <f t="shared" si="116"/>
        <v>Aug</v>
      </c>
      <c r="AJ593" s="5" t="str">
        <f t="shared" si="117"/>
        <v>Saturday</v>
      </c>
    </row>
    <row r="594" spans="1:36" x14ac:dyDescent="0.3">
      <c r="A594" s="5" t="s">
        <v>628</v>
      </c>
      <c r="B594" s="6">
        <v>45656</v>
      </c>
      <c r="C594" s="7">
        <v>0.3263888888888889</v>
      </c>
      <c r="D594" s="5" t="s">
        <v>1853</v>
      </c>
      <c r="E594" s="5" t="s">
        <v>2190</v>
      </c>
      <c r="F594" s="5" t="s">
        <v>2239</v>
      </c>
      <c r="G594" s="5" t="s">
        <v>2244</v>
      </c>
      <c r="H594" s="5" t="s">
        <v>2257</v>
      </c>
      <c r="I594" s="5" t="s">
        <v>2262</v>
      </c>
      <c r="J594" s="5" t="s">
        <v>2265</v>
      </c>
      <c r="K594" s="8">
        <v>1</v>
      </c>
      <c r="L594" s="9">
        <v>120</v>
      </c>
      <c r="M594" s="10">
        <v>0.1</v>
      </c>
      <c r="N594" s="9">
        <f t="shared" si="118"/>
        <v>120</v>
      </c>
      <c r="O594" s="9">
        <f t="shared" si="108"/>
        <v>108</v>
      </c>
      <c r="P594" s="5" t="s">
        <v>2268</v>
      </c>
      <c r="Q594" s="5" t="s">
        <v>2270</v>
      </c>
      <c r="R594" s="5" t="s">
        <v>2273</v>
      </c>
      <c r="S594" s="5" t="s">
        <v>2284</v>
      </c>
      <c r="T594" s="5" t="s">
        <v>2288</v>
      </c>
      <c r="U594" s="8">
        <v>5</v>
      </c>
      <c r="V594" s="8">
        <v>364</v>
      </c>
      <c r="W594" s="19">
        <v>34</v>
      </c>
      <c r="X594" s="9">
        <v>57.8</v>
      </c>
      <c r="Y594" s="9">
        <f t="shared" si="109"/>
        <v>50.2</v>
      </c>
      <c r="Z594" s="5" t="s">
        <v>1761</v>
      </c>
      <c r="AA594" s="5" t="s">
        <v>2299</v>
      </c>
      <c r="AB594" s="9">
        <f t="shared" si="110"/>
        <v>120</v>
      </c>
      <c r="AC594" s="9">
        <f t="shared" si="111"/>
        <v>12</v>
      </c>
      <c r="AD594" s="9">
        <f t="shared" si="112"/>
        <v>108</v>
      </c>
      <c r="AE594" s="9">
        <f t="shared" si="113"/>
        <v>57.8</v>
      </c>
      <c r="AF594" s="9">
        <f t="shared" si="119"/>
        <v>50.2</v>
      </c>
      <c r="AG594" s="8">
        <f t="shared" si="114"/>
        <v>2024</v>
      </c>
      <c r="AH594" s="8">
        <f t="shared" si="115"/>
        <v>12</v>
      </c>
      <c r="AI594" s="5" t="str">
        <f t="shared" si="116"/>
        <v>Dec</v>
      </c>
      <c r="AJ594" s="5" t="str">
        <f t="shared" si="117"/>
        <v>Monday</v>
      </c>
    </row>
    <row r="595" spans="1:36" x14ac:dyDescent="0.3">
      <c r="A595" s="5" t="s">
        <v>629</v>
      </c>
      <c r="B595" s="6">
        <v>45398</v>
      </c>
      <c r="C595" s="7">
        <v>0.57291666666666663</v>
      </c>
      <c r="D595" s="5" t="s">
        <v>1833</v>
      </c>
      <c r="E595" s="5" t="s">
        <v>1954</v>
      </c>
      <c r="F595" s="5" t="s">
        <v>2239</v>
      </c>
      <c r="G595" s="5" t="s">
        <v>2255</v>
      </c>
      <c r="H595" s="5" t="s">
        <v>2260</v>
      </c>
      <c r="I595" s="5" t="s">
        <v>2260</v>
      </c>
      <c r="J595" s="5" t="s">
        <v>2266</v>
      </c>
      <c r="K595" s="8">
        <v>2</v>
      </c>
      <c r="L595" s="9">
        <v>180</v>
      </c>
      <c r="M595" s="10">
        <v>0.1</v>
      </c>
      <c r="N595" s="9">
        <f t="shared" si="118"/>
        <v>360</v>
      </c>
      <c r="O595" s="9">
        <f t="shared" si="108"/>
        <v>324</v>
      </c>
      <c r="P595" s="5" t="s">
        <v>2267</v>
      </c>
      <c r="Q595" s="5" t="s">
        <v>2272</v>
      </c>
      <c r="R595" s="5" t="s">
        <v>2279</v>
      </c>
      <c r="S595" s="5" t="s">
        <v>2284</v>
      </c>
      <c r="T595" s="5" t="s">
        <v>2290</v>
      </c>
      <c r="U595" s="8">
        <v>5</v>
      </c>
      <c r="V595" s="8">
        <v>325</v>
      </c>
      <c r="W595" s="8">
        <v>56</v>
      </c>
      <c r="X595" s="9">
        <v>98.57</v>
      </c>
      <c r="Y595" s="9">
        <f t="shared" si="109"/>
        <v>126.86000000000001</v>
      </c>
      <c r="Z595" s="5" t="s">
        <v>2292</v>
      </c>
      <c r="AA595" s="5" t="s">
        <v>2296</v>
      </c>
      <c r="AB595" s="9">
        <f t="shared" si="110"/>
        <v>360</v>
      </c>
      <c r="AC595" s="9">
        <f t="shared" si="111"/>
        <v>36</v>
      </c>
      <c r="AD595" s="9">
        <f t="shared" si="112"/>
        <v>324</v>
      </c>
      <c r="AE595" s="9">
        <f t="shared" si="113"/>
        <v>197.14</v>
      </c>
      <c r="AF595" s="9">
        <f t="shared" si="119"/>
        <v>126.86000000000001</v>
      </c>
      <c r="AG595" s="8">
        <f t="shared" si="114"/>
        <v>2024</v>
      </c>
      <c r="AH595" s="8">
        <f t="shared" si="115"/>
        <v>4</v>
      </c>
      <c r="AI595" s="5" t="str">
        <f t="shared" si="116"/>
        <v>Apr</v>
      </c>
      <c r="AJ595" s="5" t="str">
        <f t="shared" si="117"/>
        <v>Tuesday</v>
      </c>
    </row>
    <row r="596" spans="1:36" x14ac:dyDescent="0.3">
      <c r="A596" s="5" t="s">
        <v>630</v>
      </c>
      <c r="B596" s="6">
        <v>45397</v>
      </c>
      <c r="C596" s="7">
        <v>0.47916666666666669</v>
      </c>
      <c r="D596" s="5" t="s">
        <v>1778</v>
      </c>
      <c r="E596" s="5" t="s">
        <v>1761</v>
      </c>
      <c r="F596" s="5" t="s">
        <v>2240</v>
      </c>
      <c r="G596" s="5" t="s">
        <v>2246</v>
      </c>
      <c r="H596" s="5" t="s">
        <v>2259</v>
      </c>
      <c r="I596" s="5" t="s">
        <v>2262</v>
      </c>
      <c r="J596" s="5" t="s">
        <v>1761</v>
      </c>
      <c r="K596" s="8">
        <v>1</v>
      </c>
      <c r="L596" s="9">
        <v>100</v>
      </c>
      <c r="M596" s="10">
        <v>0.05</v>
      </c>
      <c r="N596" s="9">
        <f t="shared" si="118"/>
        <v>100</v>
      </c>
      <c r="O596" s="9">
        <f t="shared" si="108"/>
        <v>95</v>
      </c>
      <c r="P596" s="5" t="s">
        <v>2267</v>
      </c>
      <c r="Q596" s="5" t="s">
        <v>2270</v>
      </c>
      <c r="R596" s="5" t="s">
        <v>2273</v>
      </c>
      <c r="S596" s="5" t="s">
        <v>2280</v>
      </c>
      <c r="T596" s="5" t="s">
        <v>2288</v>
      </c>
      <c r="U596" s="8">
        <v>4</v>
      </c>
      <c r="V596" s="8">
        <v>3</v>
      </c>
      <c r="W596" s="19">
        <v>34</v>
      </c>
      <c r="X596" s="9">
        <v>37.520000000000003</v>
      </c>
      <c r="Y596" s="9">
        <f t="shared" si="109"/>
        <v>57.48</v>
      </c>
      <c r="Z596" s="5" t="s">
        <v>2291</v>
      </c>
      <c r="AA596" s="5" t="s">
        <v>1761</v>
      </c>
      <c r="AB596" s="9">
        <f t="shared" si="110"/>
        <v>100</v>
      </c>
      <c r="AC596" s="9">
        <f t="shared" si="111"/>
        <v>5</v>
      </c>
      <c r="AD596" s="9">
        <f t="shared" si="112"/>
        <v>95</v>
      </c>
      <c r="AE596" s="9">
        <f t="shared" si="113"/>
        <v>37.520000000000003</v>
      </c>
      <c r="AF596" s="9">
        <f t="shared" si="119"/>
        <v>57.48</v>
      </c>
      <c r="AG596" s="8">
        <f t="shared" si="114"/>
        <v>2024</v>
      </c>
      <c r="AH596" s="8">
        <f t="shared" si="115"/>
        <v>4</v>
      </c>
      <c r="AI596" s="5" t="str">
        <f t="shared" si="116"/>
        <v>Apr</v>
      </c>
      <c r="AJ596" s="5" t="str">
        <f t="shared" si="117"/>
        <v>Monday</v>
      </c>
    </row>
    <row r="597" spans="1:36" x14ac:dyDescent="0.3">
      <c r="A597" s="5" t="s">
        <v>631</v>
      </c>
      <c r="B597" s="6">
        <v>45414</v>
      </c>
      <c r="C597" s="7">
        <v>0.77083333333333337</v>
      </c>
      <c r="D597" s="5" t="s">
        <v>1807</v>
      </c>
      <c r="E597" s="5" t="s">
        <v>1983</v>
      </c>
      <c r="F597" s="5" t="s">
        <v>2238</v>
      </c>
      <c r="G597" s="5" t="s">
        <v>2246</v>
      </c>
      <c r="H597" s="5" t="s">
        <v>2259</v>
      </c>
      <c r="I597" s="5" t="s">
        <v>2262</v>
      </c>
      <c r="J597" s="5" t="s">
        <v>2264</v>
      </c>
      <c r="K597" s="8">
        <v>2</v>
      </c>
      <c r="L597" s="9">
        <v>100</v>
      </c>
      <c r="M597" s="10">
        <v>0.05</v>
      </c>
      <c r="N597" s="9">
        <f t="shared" si="118"/>
        <v>200</v>
      </c>
      <c r="O597" s="9">
        <f t="shared" si="108"/>
        <v>190</v>
      </c>
      <c r="P597" s="5" t="s">
        <v>2269</v>
      </c>
      <c r="Q597" s="5" t="s">
        <v>2270</v>
      </c>
      <c r="R597" s="5" t="s">
        <v>2275</v>
      </c>
      <c r="S597" s="5" t="s">
        <v>2287</v>
      </c>
      <c r="T597" s="5" t="s">
        <v>2288</v>
      </c>
      <c r="U597" s="8">
        <v>4</v>
      </c>
      <c r="V597" s="8">
        <v>367</v>
      </c>
      <c r="W597" s="8">
        <v>56</v>
      </c>
      <c r="X597" s="9">
        <v>40.89</v>
      </c>
      <c r="Y597" s="9">
        <f t="shared" si="109"/>
        <v>108.22</v>
      </c>
      <c r="Z597" s="5" t="s">
        <v>2291</v>
      </c>
      <c r="AA597" s="5" t="s">
        <v>2298</v>
      </c>
      <c r="AB597" s="9">
        <f t="shared" si="110"/>
        <v>200</v>
      </c>
      <c r="AC597" s="9">
        <f t="shared" si="111"/>
        <v>10</v>
      </c>
      <c r="AD597" s="9">
        <f t="shared" si="112"/>
        <v>190</v>
      </c>
      <c r="AE597" s="9">
        <f t="shared" si="113"/>
        <v>81.78</v>
      </c>
      <c r="AF597" s="9">
        <f t="shared" si="119"/>
        <v>108.22</v>
      </c>
      <c r="AG597" s="8">
        <f t="shared" si="114"/>
        <v>2024</v>
      </c>
      <c r="AH597" s="8">
        <f t="shared" si="115"/>
        <v>5</v>
      </c>
      <c r="AI597" s="5" t="str">
        <f t="shared" si="116"/>
        <v>May</v>
      </c>
      <c r="AJ597" s="5" t="str">
        <f t="shared" si="117"/>
        <v>Thursday</v>
      </c>
    </row>
    <row r="598" spans="1:36" x14ac:dyDescent="0.3">
      <c r="A598" s="5" t="s">
        <v>632</v>
      </c>
      <c r="B598" s="6">
        <v>45427</v>
      </c>
      <c r="C598" s="7">
        <v>0.58333333333333337</v>
      </c>
      <c r="D598" s="5" t="s">
        <v>1752</v>
      </c>
      <c r="E598" s="5" t="s">
        <v>2101</v>
      </c>
      <c r="F598" s="5" t="s">
        <v>1761</v>
      </c>
      <c r="G598" s="5" t="s">
        <v>2248</v>
      </c>
      <c r="H598" s="5" t="s">
        <v>2257</v>
      </c>
      <c r="I598" s="5" t="s">
        <v>2262</v>
      </c>
      <c r="J598" s="5" t="s">
        <v>2264</v>
      </c>
      <c r="K598" s="8">
        <v>1</v>
      </c>
      <c r="L598" s="9">
        <v>145</v>
      </c>
      <c r="M598" s="10">
        <v>0</v>
      </c>
      <c r="N598" s="9">
        <f t="shared" si="118"/>
        <v>145</v>
      </c>
      <c r="O598" s="9">
        <f t="shared" si="108"/>
        <v>145</v>
      </c>
      <c r="P598" s="5" t="s">
        <v>2268</v>
      </c>
      <c r="Q598" s="5" t="s">
        <v>2270</v>
      </c>
      <c r="R598" s="5" t="s">
        <v>2273</v>
      </c>
      <c r="S598" s="5" t="s">
        <v>2283</v>
      </c>
      <c r="T598" s="5" t="s">
        <v>2289</v>
      </c>
      <c r="U598" s="8">
        <v>4</v>
      </c>
      <c r="V598" s="8">
        <v>247</v>
      </c>
      <c r="W598" s="8">
        <v>38</v>
      </c>
      <c r="X598" s="9">
        <v>79.02</v>
      </c>
      <c r="Y598" s="9">
        <f t="shared" si="109"/>
        <v>65.98</v>
      </c>
      <c r="Z598" s="5" t="s">
        <v>2294</v>
      </c>
      <c r="AA598" s="5" t="s">
        <v>2299</v>
      </c>
      <c r="AB598" s="9">
        <f t="shared" si="110"/>
        <v>145</v>
      </c>
      <c r="AC598" s="9">
        <f t="shared" si="111"/>
        <v>0</v>
      </c>
      <c r="AD598" s="9">
        <f t="shared" si="112"/>
        <v>145</v>
      </c>
      <c r="AE598" s="9">
        <f t="shared" si="113"/>
        <v>79.02</v>
      </c>
      <c r="AF598" s="9">
        <f t="shared" si="119"/>
        <v>65.98</v>
      </c>
      <c r="AG598" s="8">
        <f t="shared" si="114"/>
        <v>2024</v>
      </c>
      <c r="AH598" s="8">
        <f t="shared" si="115"/>
        <v>5</v>
      </c>
      <c r="AI598" s="5" t="str">
        <f t="shared" si="116"/>
        <v>May</v>
      </c>
      <c r="AJ598" s="5" t="str">
        <f t="shared" si="117"/>
        <v>Wednesday</v>
      </c>
    </row>
    <row r="599" spans="1:36" x14ac:dyDescent="0.3">
      <c r="A599" s="5" t="s">
        <v>633</v>
      </c>
      <c r="B599" s="6">
        <v>45640</v>
      </c>
      <c r="C599" s="7">
        <v>0.5</v>
      </c>
      <c r="D599" s="5" t="s">
        <v>1929</v>
      </c>
      <c r="E599" s="5" t="s">
        <v>2166</v>
      </c>
      <c r="F599" s="5" t="s">
        <v>2239</v>
      </c>
      <c r="G599" s="5" t="s">
        <v>2242</v>
      </c>
      <c r="H599" s="5" t="s">
        <v>2258</v>
      </c>
      <c r="I599" s="5" t="s">
        <v>2260</v>
      </c>
      <c r="J599" s="5" t="s">
        <v>2266</v>
      </c>
      <c r="K599" s="8">
        <v>5</v>
      </c>
      <c r="L599" s="9">
        <v>125</v>
      </c>
      <c r="M599" s="10">
        <v>0.05</v>
      </c>
      <c r="N599" s="9">
        <f t="shared" si="118"/>
        <v>625</v>
      </c>
      <c r="O599" s="9">
        <f t="shared" si="108"/>
        <v>593.75</v>
      </c>
      <c r="P599" s="5" t="s">
        <v>2268</v>
      </c>
      <c r="Q599" s="5" t="s">
        <v>2272</v>
      </c>
      <c r="R599" s="5" t="s">
        <v>2278</v>
      </c>
      <c r="S599" s="5" t="s">
        <v>2283</v>
      </c>
      <c r="T599" s="5" t="s">
        <v>2290</v>
      </c>
      <c r="U599" s="8">
        <v>4</v>
      </c>
      <c r="V599" s="19">
        <v>244</v>
      </c>
      <c r="W599" s="8">
        <v>50</v>
      </c>
      <c r="X599" s="9">
        <v>65.239999999999995</v>
      </c>
      <c r="Y599" s="9">
        <f t="shared" si="109"/>
        <v>267.55</v>
      </c>
      <c r="Z599" s="5" t="s">
        <v>2292</v>
      </c>
      <c r="AA599" s="5" t="s">
        <v>2297</v>
      </c>
      <c r="AB599" s="9">
        <f t="shared" si="110"/>
        <v>625</v>
      </c>
      <c r="AC599" s="9">
        <f t="shared" si="111"/>
        <v>31.25</v>
      </c>
      <c r="AD599" s="9">
        <f t="shared" si="112"/>
        <v>593.75</v>
      </c>
      <c r="AE599" s="9">
        <f t="shared" si="113"/>
        <v>326.2</v>
      </c>
      <c r="AF599" s="9">
        <f t="shared" si="119"/>
        <v>267.55</v>
      </c>
      <c r="AG599" s="8">
        <f t="shared" si="114"/>
        <v>2024</v>
      </c>
      <c r="AH599" s="8">
        <f t="shared" si="115"/>
        <v>12</v>
      </c>
      <c r="AI599" s="5" t="str">
        <f t="shared" si="116"/>
        <v>Dec</v>
      </c>
      <c r="AJ599" s="5" t="str">
        <f t="shared" si="117"/>
        <v>Saturday</v>
      </c>
    </row>
    <row r="600" spans="1:36" x14ac:dyDescent="0.3">
      <c r="A600" s="5" t="s">
        <v>634</v>
      </c>
      <c r="B600" s="6">
        <v>45297</v>
      </c>
      <c r="C600" s="7">
        <v>0.51041666666666663</v>
      </c>
      <c r="D600" s="5" t="s">
        <v>1913</v>
      </c>
      <c r="E600" s="5" t="s">
        <v>2023</v>
      </c>
      <c r="F600" s="5" t="s">
        <v>2239</v>
      </c>
      <c r="G600" s="5" t="s">
        <v>2251</v>
      </c>
      <c r="H600" s="5" t="s">
        <v>2258</v>
      </c>
      <c r="I600" s="5" t="s">
        <v>2260</v>
      </c>
      <c r="J600" s="5" t="s">
        <v>2264</v>
      </c>
      <c r="K600" s="8">
        <v>1</v>
      </c>
      <c r="L600" s="9">
        <v>105</v>
      </c>
      <c r="M600" s="10">
        <v>0</v>
      </c>
      <c r="N600" s="9">
        <f t="shared" si="118"/>
        <v>105</v>
      </c>
      <c r="O600" s="9">
        <f t="shared" si="108"/>
        <v>105</v>
      </c>
      <c r="P600" s="5" t="s">
        <v>2269</v>
      </c>
      <c r="Q600" s="5" t="s">
        <v>2271</v>
      </c>
      <c r="R600" s="5" t="s">
        <v>2276</v>
      </c>
      <c r="S600" s="5" t="s">
        <v>2281</v>
      </c>
      <c r="T600" s="5" t="s">
        <v>2288</v>
      </c>
      <c r="U600" s="8">
        <v>2</v>
      </c>
      <c r="V600" s="8">
        <v>323</v>
      </c>
      <c r="W600" s="19">
        <v>37</v>
      </c>
      <c r="X600" s="9">
        <v>38.5</v>
      </c>
      <c r="Y600" s="9">
        <f t="shared" si="109"/>
        <v>66.5</v>
      </c>
      <c r="Z600" s="5" t="s">
        <v>1761</v>
      </c>
      <c r="AA600" s="5" t="s">
        <v>2296</v>
      </c>
      <c r="AB600" s="9">
        <f t="shared" si="110"/>
        <v>105</v>
      </c>
      <c r="AC600" s="9">
        <f t="shared" si="111"/>
        <v>0</v>
      </c>
      <c r="AD600" s="9">
        <f t="shared" si="112"/>
        <v>105</v>
      </c>
      <c r="AE600" s="9">
        <f t="shared" si="113"/>
        <v>38.5</v>
      </c>
      <c r="AF600" s="9">
        <f t="shared" si="119"/>
        <v>66.5</v>
      </c>
      <c r="AG600" s="8">
        <f t="shared" si="114"/>
        <v>2024</v>
      </c>
      <c r="AH600" s="8">
        <f t="shared" si="115"/>
        <v>1</v>
      </c>
      <c r="AI600" s="5" t="str">
        <f t="shared" si="116"/>
        <v>Jan</v>
      </c>
      <c r="AJ600" s="5" t="str">
        <f t="shared" si="117"/>
        <v>Saturday</v>
      </c>
    </row>
    <row r="601" spans="1:36" x14ac:dyDescent="0.3">
      <c r="A601" s="5" t="s">
        <v>635</v>
      </c>
      <c r="B601" s="6">
        <v>45387</v>
      </c>
      <c r="C601" s="7">
        <v>0.72916666666666663</v>
      </c>
      <c r="D601" s="5" t="s">
        <v>1838</v>
      </c>
      <c r="E601" s="5" t="s">
        <v>1999</v>
      </c>
      <c r="F601" s="5" t="s">
        <v>2239</v>
      </c>
      <c r="G601" s="5" t="s">
        <v>2254</v>
      </c>
      <c r="H601" s="5" t="s">
        <v>2259</v>
      </c>
      <c r="I601" s="5" t="s">
        <v>2263</v>
      </c>
      <c r="J601" s="5" t="s">
        <v>2266</v>
      </c>
      <c r="K601" s="8">
        <v>3</v>
      </c>
      <c r="L601" s="9">
        <v>115</v>
      </c>
      <c r="M601" s="10">
        <v>0</v>
      </c>
      <c r="N601" s="9">
        <f t="shared" si="118"/>
        <v>345</v>
      </c>
      <c r="O601" s="9">
        <f t="shared" si="108"/>
        <v>345</v>
      </c>
      <c r="P601" s="5" t="s">
        <v>2269</v>
      </c>
      <c r="Q601" s="5" t="s">
        <v>2272</v>
      </c>
      <c r="R601" s="5" t="s">
        <v>2279</v>
      </c>
      <c r="S601" s="5" t="s">
        <v>2286</v>
      </c>
      <c r="T601" s="5" t="s">
        <v>2290</v>
      </c>
      <c r="U601" s="8">
        <v>1</v>
      </c>
      <c r="V601" s="8">
        <v>59</v>
      </c>
      <c r="W601" s="19">
        <v>35</v>
      </c>
      <c r="X601" s="9">
        <v>61.93</v>
      </c>
      <c r="Y601" s="9">
        <f t="shared" si="109"/>
        <v>159.21</v>
      </c>
      <c r="Z601" s="5" t="s">
        <v>2294</v>
      </c>
      <c r="AA601" s="5" t="s">
        <v>2299</v>
      </c>
      <c r="AB601" s="9">
        <f t="shared" si="110"/>
        <v>345</v>
      </c>
      <c r="AC601" s="9">
        <f t="shared" si="111"/>
        <v>0</v>
      </c>
      <c r="AD601" s="9">
        <f t="shared" si="112"/>
        <v>345</v>
      </c>
      <c r="AE601" s="9">
        <f t="shared" si="113"/>
        <v>185.79</v>
      </c>
      <c r="AF601" s="9">
        <f t="shared" si="119"/>
        <v>159.21</v>
      </c>
      <c r="AG601" s="8">
        <f t="shared" si="114"/>
        <v>2024</v>
      </c>
      <c r="AH601" s="8">
        <f t="shared" si="115"/>
        <v>4</v>
      </c>
      <c r="AI601" s="5" t="str">
        <f t="shared" si="116"/>
        <v>Apr</v>
      </c>
      <c r="AJ601" s="5" t="str">
        <f t="shared" si="117"/>
        <v>Friday</v>
      </c>
    </row>
    <row r="602" spans="1:36" x14ac:dyDescent="0.3">
      <c r="A602" s="5" t="s">
        <v>636</v>
      </c>
      <c r="B602" s="6">
        <v>45529</v>
      </c>
      <c r="C602" s="7">
        <v>0.57638888888888884</v>
      </c>
      <c r="D602" s="5" t="s">
        <v>1807</v>
      </c>
      <c r="E602" s="5" t="s">
        <v>2041</v>
      </c>
      <c r="F602" s="5" t="s">
        <v>2240</v>
      </c>
      <c r="G602" s="5" t="s">
        <v>2256</v>
      </c>
      <c r="H602" s="5" t="s">
        <v>2261</v>
      </c>
      <c r="I602" s="5" t="s">
        <v>2260</v>
      </c>
      <c r="J602" s="5" t="s">
        <v>1761</v>
      </c>
      <c r="K602" s="8">
        <v>2</v>
      </c>
      <c r="L602" s="9">
        <v>190</v>
      </c>
      <c r="M602" s="10">
        <v>0</v>
      </c>
      <c r="N602" s="9">
        <f t="shared" si="118"/>
        <v>380</v>
      </c>
      <c r="O602" s="9">
        <f t="shared" si="108"/>
        <v>380</v>
      </c>
      <c r="P602" s="5" t="s">
        <v>2267</v>
      </c>
      <c r="Q602" s="5" t="s">
        <v>2270</v>
      </c>
      <c r="R602" s="5" t="s">
        <v>2275</v>
      </c>
      <c r="S602" s="5" t="s">
        <v>2286</v>
      </c>
      <c r="T602" s="5" t="s">
        <v>2289</v>
      </c>
      <c r="U602" s="8">
        <v>3</v>
      </c>
      <c r="V602" s="8">
        <v>44</v>
      </c>
      <c r="W602" s="19">
        <v>34</v>
      </c>
      <c r="X602" s="9">
        <v>70.459999999999994</v>
      </c>
      <c r="Y602" s="9">
        <f t="shared" si="109"/>
        <v>239.08</v>
      </c>
      <c r="Z602" s="5" t="s">
        <v>2291</v>
      </c>
      <c r="AA602" s="5" t="s">
        <v>2299</v>
      </c>
      <c r="AB602" s="9">
        <f t="shared" si="110"/>
        <v>380</v>
      </c>
      <c r="AC602" s="9">
        <f t="shared" si="111"/>
        <v>0</v>
      </c>
      <c r="AD602" s="9">
        <f t="shared" si="112"/>
        <v>380</v>
      </c>
      <c r="AE602" s="9">
        <f t="shared" si="113"/>
        <v>140.91999999999999</v>
      </c>
      <c r="AF602" s="9">
        <f t="shared" si="119"/>
        <v>239.08</v>
      </c>
      <c r="AG602" s="8">
        <f t="shared" si="114"/>
        <v>2024</v>
      </c>
      <c r="AH602" s="8">
        <f t="shared" si="115"/>
        <v>8</v>
      </c>
      <c r="AI602" s="5" t="str">
        <f t="shared" si="116"/>
        <v>Aug</v>
      </c>
      <c r="AJ602" s="5" t="str">
        <f t="shared" si="117"/>
        <v>Sunday</v>
      </c>
    </row>
    <row r="603" spans="1:36" x14ac:dyDescent="0.3">
      <c r="A603" s="5" t="s">
        <v>637</v>
      </c>
      <c r="B603" s="6">
        <v>45426</v>
      </c>
      <c r="C603" s="7">
        <v>0.90625</v>
      </c>
      <c r="D603" s="5" t="s">
        <v>1865</v>
      </c>
      <c r="E603" s="5" t="s">
        <v>2026</v>
      </c>
      <c r="F603" s="5" t="s">
        <v>2238</v>
      </c>
      <c r="G603" s="5" t="s">
        <v>2242</v>
      </c>
      <c r="H603" s="5" t="s">
        <v>2258</v>
      </c>
      <c r="I603" s="5" t="s">
        <v>2260</v>
      </c>
      <c r="J603" s="5" t="s">
        <v>2265</v>
      </c>
      <c r="K603" s="8">
        <v>3</v>
      </c>
      <c r="L603" s="9">
        <v>130</v>
      </c>
      <c r="M603" s="10">
        <v>0.05</v>
      </c>
      <c r="N603" s="9">
        <f t="shared" si="118"/>
        <v>390</v>
      </c>
      <c r="O603" s="9">
        <f t="shared" si="108"/>
        <v>370.5</v>
      </c>
      <c r="P603" s="5" t="s">
        <v>2267</v>
      </c>
      <c r="Q603" s="5" t="s">
        <v>2271</v>
      </c>
      <c r="R603" s="5" t="s">
        <v>2279</v>
      </c>
      <c r="S603" s="5" t="s">
        <v>2287</v>
      </c>
      <c r="T603" s="5" t="s">
        <v>2288</v>
      </c>
      <c r="U603" s="8">
        <v>5</v>
      </c>
      <c r="V603" s="19">
        <v>244</v>
      </c>
      <c r="W603" s="8">
        <v>60</v>
      </c>
      <c r="X603" s="9">
        <v>65.27</v>
      </c>
      <c r="Y603" s="9">
        <f t="shared" si="109"/>
        <v>174.69</v>
      </c>
      <c r="Z603" s="5" t="s">
        <v>2294</v>
      </c>
      <c r="AA603" s="5" t="s">
        <v>2296</v>
      </c>
      <c r="AB603" s="9">
        <f t="shared" si="110"/>
        <v>390</v>
      </c>
      <c r="AC603" s="9">
        <f t="shared" si="111"/>
        <v>19.5</v>
      </c>
      <c r="AD603" s="9">
        <f t="shared" si="112"/>
        <v>370.5</v>
      </c>
      <c r="AE603" s="9">
        <f t="shared" si="113"/>
        <v>195.81</v>
      </c>
      <c r="AF603" s="9">
        <f t="shared" si="119"/>
        <v>174.69</v>
      </c>
      <c r="AG603" s="8">
        <f t="shared" si="114"/>
        <v>2024</v>
      </c>
      <c r="AH603" s="8">
        <f t="shared" si="115"/>
        <v>5</v>
      </c>
      <c r="AI603" s="5" t="str">
        <f t="shared" si="116"/>
        <v>May</v>
      </c>
      <c r="AJ603" s="5" t="str">
        <f t="shared" si="117"/>
        <v>Tuesday</v>
      </c>
    </row>
    <row r="604" spans="1:36" x14ac:dyDescent="0.3">
      <c r="A604" s="5" t="s">
        <v>638</v>
      </c>
      <c r="B604" s="6">
        <v>45494</v>
      </c>
      <c r="C604" s="7">
        <v>0.625</v>
      </c>
      <c r="D604" s="5" t="s">
        <v>1823</v>
      </c>
      <c r="E604" s="5" t="s">
        <v>2007</v>
      </c>
      <c r="F604" s="5" t="s">
        <v>2240</v>
      </c>
      <c r="G604" s="5" t="s">
        <v>2243</v>
      </c>
      <c r="H604" s="5" t="s">
        <v>2258</v>
      </c>
      <c r="I604" s="5" t="s">
        <v>2260</v>
      </c>
      <c r="J604" s="5" t="s">
        <v>2266</v>
      </c>
      <c r="K604" s="8">
        <v>1</v>
      </c>
      <c r="L604" s="9">
        <v>75</v>
      </c>
      <c r="M604" s="10">
        <v>0</v>
      </c>
      <c r="N604" s="9">
        <f t="shared" si="118"/>
        <v>75</v>
      </c>
      <c r="O604" s="9">
        <f t="shared" si="108"/>
        <v>75</v>
      </c>
      <c r="P604" s="5" t="s">
        <v>2267</v>
      </c>
      <c r="Q604" s="5" t="s">
        <v>2270</v>
      </c>
      <c r="R604" s="5" t="s">
        <v>2274</v>
      </c>
      <c r="S604" s="5" t="s">
        <v>2284</v>
      </c>
      <c r="T604" s="5" t="s">
        <v>2289</v>
      </c>
      <c r="U604" s="19">
        <v>3</v>
      </c>
      <c r="V604" s="8">
        <v>468</v>
      </c>
      <c r="W604" s="19">
        <v>34</v>
      </c>
      <c r="X604" s="9">
        <v>28.73</v>
      </c>
      <c r="Y604" s="9">
        <f t="shared" si="109"/>
        <v>46.269999999999996</v>
      </c>
      <c r="Z604" s="5" t="s">
        <v>2293</v>
      </c>
      <c r="AA604" s="5" t="s">
        <v>2298</v>
      </c>
      <c r="AB604" s="9">
        <f t="shared" si="110"/>
        <v>75</v>
      </c>
      <c r="AC604" s="9">
        <f t="shared" si="111"/>
        <v>0</v>
      </c>
      <c r="AD604" s="9">
        <f t="shared" si="112"/>
        <v>75</v>
      </c>
      <c r="AE604" s="9">
        <f t="shared" si="113"/>
        <v>28.73</v>
      </c>
      <c r="AF604" s="9">
        <f t="shared" si="119"/>
        <v>46.269999999999996</v>
      </c>
      <c r="AG604" s="8">
        <f t="shared" si="114"/>
        <v>2024</v>
      </c>
      <c r="AH604" s="8">
        <f t="shared" si="115"/>
        <v>7</v>
      </c>
      <c r="AI604" s="5" t="str">
        <f t="shared" si="116"/>
        <v>Jul</v>
      </c>
      <c r="AJ604" s="5" t="str">
        <f t="shared" si="117"/>
        <v>Sunday</v>
      </c>
    </row>
    <row r="605" spans="1:36" x14ac:dyDescent="0.3">
      <c r="A605" s="5" t="s">
        <v>639</v>
      </c>
      <c r="B605" s="6">
        <v>45540</v>
      </c>
      <c r="C605" s="7">
        <v>0.59027777777777779</v>
      </c>
      <c r="D605" s="5" t="s">
        <v>1804</v>
      </c>
      <c r="E605" s="5" t="s">
        <v>2106</v>
      </c>
      <c r="F605" s="5" t="s">
        <v>2240</v>
      </c>
      <c r="G605" s="5" t="s">
        <v>2246</v>
      </c>
      <c r="H605" s="5" t="s">
        <v>2259</v>
      </c>
      <c r="I605" s="5" t="s">
        <v>2262</v>
      </c>
      <c r="J605" s="5" t="s">
        <v>2264</v>
      </c>
      <c r="K605" s="19">
        <v>1</v>
      </c>
      <c r="L605" s="9">
        <v>95</v>
      </c>
      <c r="M605" s="10">
        <v>0</v>
      </c>
      <c r="N605" s="9">
        <f t="shared" si="118"/>
        <v>95</v>
      </c>
      <c r="O605" s="9">
        <f t="shared" si="108"/>
        <v>95</v>
      </c>
      <c r="P605" s="5" t="s">
        <v>2269</v>
      </c>
      <c r="Q605" s="5" t="s">
        <v>2270</v>
      </c>
      <c r="R605" s="5" t="s">
        <v>2277</v>
      </c>
      <c r="S605" s="5" t="s">
        <v>2285</v>
      </c>
      <c r="T605" s="5" t="s">
        <v>2288</v>
      </c>
      <c r="U605" s="8">
        <v>3</v>
      </c>
      <c r="V605" s="8">
        <v>321</v>
      </c>
      <c r="W605" s="8">
        <v>41</v>
      </c>
      <c r="X605" s="9">
        <v>46.35</v>
      </c>
      <c r="Y605" s="9">
        <f t="shared" si="109"/>
        <v>48.65</v>
      </c>
      <c r="Z605" s="5" t="s">
        <v>2293</v>
      </c>
      <c r="AA605" s="5" t="s">
        <v>2297</v>
      </c>
      <c r="AB605" s="9">
        <f t="shared" si="110"/>
        <v>95</v>
      </c>
      <c r="AC605" s="9">
        <f t="shared" si="111"/>
        <v>0</v>
      </c>
      <c r="AD605" s="9">
        <f t="shared" si="112"/>
        <v>95</v>
      </c>
      <c r="AE605" s="9">
        <f t="shared" si="113"/>
        <v>46.35</v>
      </c>
      <c r="AF605" s="9">
        <f t="shared" si="119"/>
        <v>48.65</v>
      </c>
      <c r="AG605" s="8">
        <f t="shared" si="114"/>
        <v>2024</v>
      </c>
      <c r="AH605" s="8">
        <f t="shared" si="115"/>
        <v>9</v>
      </c>
      <c r="AI605" s="5" t="str">
        <f t="shared" si="116"/>
        <v>Sep</v>
      </c>
      <c r="AJ605" s="5" t="str">
        <f t="shared" si="117"/>
        <v>Thursday</v>
      </c>
    </row>
    <row r="606" spans="1:36" x14ac:dyDescent="0.3">
      <c r="A606" s="5" t="s">
        <v>640</v>
      </c>
      <c r="B606" s="6">
        <v>45527</v>
      </c>
      <c r="C606" s="7">
        <v>0.4236111111111111</v>
      </c>
      <c r="D606" s="5" t="s">
        <v>1882</v>
      </c>
      <c r="E606" s="5" t="s">
        <v>1987</v>
      </c>
      <c r="F606" s="5" t="s">
        <v>1761</v>
      </c>
      <c r="G606" s="5" t="s">
        <v>2248</v>
      </c>
      <c r="H606" s="5" t="s">
        <v>2257</v>
      </c>
      <c r="I606" s="5" t="s">
        <v>2262</v>
      </c>
      <c r="J606" s="5" t="s">
        <v>2264</v>
      </c>
      <c r="K606" s="8">
        <v>1</v>
      </c>
      <c r="L606" s="9">
        <v>150</v>
      </c>
      <c r="M606" s="10">
        <v>0</v>
      </c>
      <c r="N606" s="9">
        <f t="shared" si="118"/>
        <v>150</v>
      </c>
      <c r="O606" s="9">
        <f t="shared" si="108"/>
        <v>150</v>
      </c>
      <c r="P606" s="5" t="s">
        <v>2267</v>
      </c>
      <c r="Q606" s="5" t="s">
        <v>1761</v>
      </c>
      <c r="R606" s="5" t="s">
        <v>2278</v>
      </c>
      <c r="S606" s="5" t="s">
        <v>2286</v>
      </c>
      <c r="T606" s="5" t="s">
        <v>2289</v>
      </c>
      <c r="U606" s="8">
        <v>2</v>
      </c>
      <c r="V606" s="19">
        <v>244</v>
      </c>
      <c r="W606" s="8">
        <v>23</v>
      </c>
      <c r="X606" s="9">
        <v>56.42</v>
      </c>
      <c r="Y606" s="9">
        <f t="shared" si="109"/>
        <v>93.58</v>
      </c>
      <c r="Z606" s="5" t="s">
        <v>1761</v>
      </c>
      <c r="AA606" s="5" t="s">
        <v>2298</v>
      </c>
      <c r="AB606" s="9">
        <f t="shared" si="110"/>
        <v>150</v>
      </c>
      <c r="AC606" s="9">
        <f t="shared" si="111"/>
        <v>0</v>
      </c>
      <c r="AD606" s="9">
        <f t="shared" si="112"/>
        <v>150</v>
      </c>
      <c r="AE606" s="9">
        <f t="shared" si="113"/>
        <v>56.42</v>
      </c>
      <c r="AF606" s="9">
        <f t="shared" si="119"/>
        <v>93.58</v>
      </c>
      <c r="AG606" s="8">
        <f t="shared" si="114"/>
        <v>2024</v>
      </c>
      <c r="AH606" s="8">
        <f t="shared" si="115"/>
        <v>8</v>
      </c>
      <c r="AI606" s="5" t="str">
        <f t="shared" si="116"/>
        <v>Aug</v>
      </c>
      <c r="AJ606" s="5" t="str">
        <f t="shared" si="117"/>
        <v>Friday</v>
      </c>
    </row>
    <row r="607" spans="1:36" x14ac:dyDescent="0.3">
      <c r="A607" s="5" t="s">
        <v>641</v>
      </c>
      <c r="B607" s="6">
        <v>45624</v>
      </c>
      <c r="C607" s="7">
        <v>0.74305555555555558</v>
      </c>
      <c r="D607" s="5" t="s">
        <v>1836</v>
      </c>
      <c r="E607" s="5" t="s">
        <v>2069</v>
      </c>
      <c r="F607" s="5" t="s">
        <v>1761</v>
      </c>
      <c r="G607" s="5" t="s">
        <v>2255</v>
      </c>
      <c r="H607" s="5" t="s">
        <v>2260</v>
      </c>
      <c r="I607" s="5" t="s">
        <v>2260</v>
      </c>
      <c r="J607" s="5" t="s">
        <v>2266</v>
      </c>
      <c r="K607" s="19">
        <v>1</v>
      </c>
      <c r="L607" s="9">
        <v>180</v>
      </c>
      <c r="M607" s="10">
        <v>0.05</v>
      </c>
      <c r="N607" s="9">
        <f t="shared" si="118"/>
        <v>180</v>
      </c>
      <c r="O607" s="9">
        <f t="shared" si="108"/>
        <v>171</v>
      </c>
      <c r="P607" s="5" t="s">
        <v>2267</v>
      </c>
      <c r="Q607" s="5" t="s">
        <v>1761</v>
      </c>
      <c r="R607" s="5" t="s">
        <v>2277</v>
      </c>
      <c r="S607" s="5" t="s">
        <v>2280</v>
      </c>
      <c r="T607" s="5" t="s">
        <v>2290</v>
      </c>
      <c r="U607" s="8">
        <v>5</v>
      </c>
      <c r="V607" s="8">
        <v>25</v>
      </c>
      <c r="W607" s="19">
        <v>36</v>
      </c>
      <c r="X607" s="9">
        <v>92.04</v>
      </c>
      <c r="Y607" s="9">
        <f t="shared" si="109"/>
        <v>78.959999999999994</v>
      </c>
      <c r="Z607" s="5" t="s">
        <v>2291</v>
      </c>
      <c r="AA607" s="5" t="s">
        <v>2296</v>
      </c>
      <c r="AB607" s="9">
        <f t="shared" si="110"/>
        <v>180</v>
      </c>
      <c r="AC607" s="9">
        <f t="shared" si="111"/>
        <v>9</v>
      </c>
      <c r="AD607" s="9">
        <f t="shared" si="112"/>
        <v>171</v>
      </c>
      <c r="AE607" s="9">
        <f t="shared" si="113"/>
        <v>92.04</v>
      </c>
      <c r="AF607" s="9">
        <f t="shared" si="119"/>
        <v>78.959999999999994</v>
      </c>
      <c r="AG607" s="8">
        <f t="shared" si="114"/>
        <v>2024</v>
      </c>
      <c r="AH607" s="8">
        <f t="shared" si="115"/>
        <v>11</v>
      </c>
      <c r="AI607" s="5" t="str">
        <f t="shared" si="116"/>
        <v>Nov</v>
      </c>
      <c r="AJ607" s="5" t="str">
        <f t="shared" si="117"/>
        <v>Thursday</v>
      </c>
    </row>
    <row r="608" spans="1:36" x14ac:dyDescent="0.3">
      <c r="A608" s="5" t="s">
        <v>642</v>
      </c>
      <c r="B608" s="6">
        <v>45467</v>
      </c>
      <c r="C608" s="7">
        <v>0.68055555555555558</v>
      </c>
      <c r="D608" s="5" t="s">
        <v>1774</v>
      </c>
      <c r="E608" s="5" t="s">
        <v>2195</v>
      </c>
      <c r="F608" s="5" t="s">
        <v>2240</v>
      </c>
      <c r="G608" s="5" t="s">
        <v>2251</v>
      </c>
      <c r="H608" s="5" t="s">
        <v>2258</v>
      </c>
      <c r="I608" s="5" t="s">
        <v>2260</v>
      </c>
      <c r="J608" s="5" t="s">
        <v>2266</v>
      </c>
      <c r="K608" s="8">
        <v>2</v>
      </c>
      <c r="L608" s="9">
        <v>110</v>
      </c>
      <c r="M608" s="10">
        <v>0</v>
      </c>
      <c r="N608" s="9">
        <f t="shared" si="118"/>
        <v>220</v>
      </c>
      <c r="O608" s="9">
        <f t="shared" si="108"/>
        <v>220</v>
      </c>
      <c r="P608" s="5" t="s">
        <v>2267</v>
      </c>
      <c r="Q608" s="5" t="s">
        <v>2270</v>
      </c>
      <c r="R608" s="5" t="s">
        <v>2278</v>
      </c>
      <c r="S608" s="5" t="s">
        <v>2287</v>
      </c>
      <c r="T608" s="5" t="s">
        <v>2288</v>
      </c>
      <c r="U608" s="19">
        <v>3</v>
      </c>
      <c r="V608" s="8">
        <v>319</v>
      </c>
      <c r="W608" s="8">
        <v>53</v>
      </c>
      <c r="X608" s="9">
        <v>46.45</v>
      </c>
      <c r="Y608" s="9">
        <f t="shared" si="109"/>
        <v>127.1</v>
      </c>
      <c r="Z608" s="5" t="s">
        <v>2292</v>
      </c>
      <c r="AA608" s="5" t="s">
        <v>2298</v>
      </c>
      <c r="AB608" s="9">
        <f t="shared" si="110"/>
        <v>220</v>
      </c>
      <c r="AC608" s="9">
        <f t="shared" si="111"/>
        <v>0</v>
      </c>
      <c r="AD608" s="9">
        <f t="shared" si="112"/>
        <v>220</v>
      </c>
      <c r="AE608" s="9">
        <f t="shared" si="113"/>
        <v>92.9</v>
      </c>
      <c r="AF608" s="9">
        <f t="shared" si="119"/>
        <v>127.1</v>
      </c>
      <c r="AG608" s="8">
        <f t="shared" si="114"/>
        <v>2024</v>
      </c>
      <c r="AH608" s="8">
        <f t="shared" si="115"/>
        <v>6</v>
      </c>
      <c r="AI608" s="5" t="str">
        <f t="shared" si="116"/>
        <v>Jun</v>
      </c>
      <c r="AJ608" s="5" t="str">
        <f t="shared" si="117"/>
        <v>Monday</v>
      </c>
    </row>
    <row r="609" spans="1:36" x14ac:dyDescent="0.3">
      <c r="A609" s="5" t="s">
        <v>643</v>
      </c>
      <c r="B609" s="6">
        <v>45382</v>
      </c>
      <c r="C609" s="7">
        <v>0.41666666666666669</v>
      </c>
      <c r="D609" s="5" t="s">
        <v>1844</v>
      </c>
      <c r="E609" s="5" t="s">
        <v>2122</v>
      </c>
      <c r="F609" s="5" t="s">
        <v>1761</v>
      </c>
      <c r="G609" s="5" t="s">
        <v>2246</v>
      </c>
      <c r="H609" s="5" t="s">
        <v>2259</v>
      </c>
      <c r="I609" s="5" t="s">
        <v>2262</v>
      </c>
      <c r="J609" s="5" t="s">
        <v>2264</v>
      </c>
      <c r="K609" s="8">
        <v>1</v>
      </c>
      <c r="L609" s="9">
        <v>95</v>
      </c>
      <c r="M609" s="10">
        <v>0.1</v>
      </c>
      <c r="N609" s="9">
        <f t="shared" si="118"/>
        <v>95</v>
      </c>
      <c r="O609" s="9">
        <f t="shared" si="108"/>
        <v>85.5</v>
      </c>
      <c r="P609" s="5" t="s">
        <v>2268</v>
      </c>
      <c r="Q609" s="5" t="s">
        <v>2272</v>
      </c>
      <c r="R609" s="5" t="s">
        <v>2277</v>
      </c>
      <c r="S609" s="5" t="s">
        <v>2287</v>
      </c>
      <c r="T609" s="5" t="s">
        <v>2288</v>
      </c>
      <c r="U609" s="8">
        <v>2</v>
      </c>
      <c r="V609" s="8">
        <v>166</v>
      </c>
      <c r="W609" s="8">
        <v>26</v>
      </c>
      <c r="X609" s="9">
        <v>39.56</v>
      </c>
      <c r="Y609" s="9">
        <f t="shared" si="109"/>
        <v>45.94</v>
      </c>
      <c r="Z609" s="5" t="s">
        <v>2291</v>
      </c>
      <c r="AA609" s="5" t="s">
        <v>2297</v>
      </c>
      <c r="AB609" s="9">
        <f t="shared" si="110"/>
        <v>95</v>
      </c>
      <c r="AC609" s="9">
        <f t="shared" si="111"/>
        <v>9.5</v>
      </c>
      <c r="AD609" s="9">
        <f t="shared" si="112"/>
        <v>85.5</v>
      </c>
      <c r="AE609" s="9">
        <f t="shared" si="113"/>
        <v>39.56</v>
      </c>
      <c r="AF609" s="9">
        <f t="shared" si="119"/>
        <v>45.94</v>
      </c>
      <c r="AG609" s="8">
        <f t="shared" si="114"/>
        <v>2024</v>
      </c>
      <c r="AH609" s="8">
        <f t="shared" si="115"/>
        <v>3</v>
      </c>
      <c r="AI609" s="5" t="str">
        <f t="shared" si="116"/>
        <v>Mar</v>
      </c>
      <c r="AJ609" s="5" t="str">
        <f t="shared" si="117"/>
        <v>Sunday</v>
      </c>
    </row>
    <row r="610" spans="1:36" x14ac:dyDescent="0.3">
      <c r="A610" s="5" t="s">
        <v>644</v>
      </c>
      <c r="B610" s="6">
        <v>45639</v>
      </c>
      <c r="C610" s="7">
        <v>0.3125</v>
      </c>
      <c r="D610" s="5" t="s">
        <v>1811</v>
      </c>
      <c r="E610" s="5" t="s">
        <v>2099</v>
      </c>
      <c r="F610" s="5" t="s">
        <v>1761</v>
      </c>
      <c r="G610" s="5" t="s">
        <v>2249</v>
      </c>
      <c r="H610" s="5" t="s">
        <v>2257</v>
      </c>
      <c r="I610" s="5" t="s">
        <v>2263</v>
      </c>
      <c r="J610" s="5" t="s">
        <v>2265</v>
      </c>
      <c r="K610" s="8">
        <v>2</v>
      </c>
      <c r="L610" s="9">
        <v>160</v>
      </c>
      <c r="M610" s="10">
        <v>0.1</v>
      </c>
      <c r="N610" s="9">
        <f t="shared" si="118"/>
        <v>320</v>
      </c>
      <c r="O610" s="9">
        <f t="shared" si="108"/>
        <v>288</v>
      </c>
      <c r="P610" s="5" t="s">
        <v>2268</v>
      </c>
      <c r="Q610" s="5" t="s">
        <v>2272</v>
      </c>
      <c r="R610" s="5" t="s">
        <v>2275</v>
      </c>
      <c r="S610" s="5" t="s">
        <v>2280</v>
      </c>
      <c r="T610" s="5" t="s">
        <v>2288</v>
      </c>
      <c r="U610" s="8">
        <v>5</v>
      </c>
      <c r="V610" s="8">
        <v>493</v>
      </c>
      <c r="W610" s="8">
        <v>21</v>
      </c>
      <c r="X610" s="9">
        <v>62.84</v>
      </c>
      <c r="Y610" s="9">
        <f t="shared" si="109"/>
        <v>162.32</v>
      </c>
      <c r="Z610" s="5" t="s">
        <v>2291</v>
      </c>
      <c r="AA610" s="5" t="s">
        <v>2299</v>
      </c>
      <c r="AB610" s="9">
        <f t="shared" si="110"/>
        <v>320</v>
      </c>
      <c r="AC610" s="9">
        <f t="shared" si="111"/>
        <v>32</v>
      </c>
      <c r="AD610" s="9">
        <f t="shared" si="112"/>
        <v>288</v>
      </c>
      <c r="AE610" s="9">
        <f t="shared" si="113"/>
        <v>125.68</v>
      </c>
      <c r="AF610" s="9">
        <f t="shared" si="119"/>
        <v>162.32</v>
      </c>
      <c r="AG610" s="8">
        <f t="shared" si="114"/>
        <v>2024</v>
      </c>
      <c r="AH610" s="8">
        <f t="shared" si="115"/>
        <v>12</v>
      </c>
      <c r="AI610" s="5" t="str">
        <f t="shared" si="116"/>
        <v>Dec</v>
      </c>
      <c r="AJ610" s="5" t="str">
        <f t="shared" si="117"/>
        <v>Friday</v>
      </c>
    </row>
    <row r="611" spans="1:36" x14ac:dyDescent="0.3">
      <c r="A611" s="5" t="s">
        <v>645</v>
      </c>
      <c r="B611" s="6">
        <v>45331</v>
      </c>
      <c r="C611" s="7">
        <v>0.4513888888888889</v>
      </c>
      <c r="D611" s="5" t="s">
        <v>1864</v>
      </c>
      <c r="E611" s="5" t="s">
        <v>2100</v>
      </c>
      <c r="F611" s="5" t="s">
        <v>2240</v>
      </c>
      <c r="G611" s="5" t="s">
        <v>2252</v>
      </c>
      <c r="H611" s="5" t="s">
        <v>2257</v>
      </c>
      <c r="I611" s="5" t="s">
        <v>2262</v>
      </c>
      <c r="J611" s="5" t="s">
        <v>2265</v>
      </c>
      <c r="K611" s="8">
        <v>4</v>
      </c>
      <c r="L611" s="9">
        <v>90</v>
      </c>
      <c r="M611" s="10">
        <v>0.05</v>
      </c>
      <c r="N611" s="9">
        <f t="shared" si="118"/>
        <v>360</v>
      </c>
      <c r="O611" s="9">
        <f t="shared" si="108"/>
        <v>342</v>
      </c>
      <c r="P611" s="5" t="s">
        <v>2269</v>
      </c>
      <c r="Q611" s="5" t="s">
        <v>2270</v>
      </c>
      <c r="R611" s="5" t="s">
        <v>2277</v>
      </c>
      <c r="S611" s="5" t="s">
        <v>2282</v>
      </c>
      <c r="T611" s="5" t="s">
        <v>2289</v>
      </c>
      <c r="U611" s="8">
        <v>5</v>
      </c>
      <c r="V611" s="8">
        <v>20</v>
      </c>
      <c r="W611" s="8">
        <v>34</v>
      </c>
      <c r="X611" s="9">
        <v>36.549999999999997</v>
      </c>
      <c r="Y611" s="9">
        <f t="shared" si="109"/>
        <v>195.8</v>
      </c>
      <c r="Z611" s="5" t="s">
        <v>2292</v>
      </c>
      <c r="AA611" s="5" t="s">
        <v>2299</v>
      </c>
      <c r="AB611" s="9">
        <f t="shared" si="110"/>
        <v>360</v>
      </c>
      <c r="AC611" s="9">
        <f t="shared" si="111"/>
        <v>18</v>
      </c>
      <c r="AD611" s="9">
        <f t="shared" si="112"/>
        <v>342</v>
      </c>
      <c r="AE611" s="9">
        <f t="shared" si="113"/>
        <v>146.19999999999999</v>
      </c>
      <c r="AF611" s="9">
        <f t="shared" si="119"/>
        <v>195.8</v>
      </c>
      <c r="AG611" s="8">
        <f t="shared" si="114"/>
        <v>2024</v>
      </c>
      <c r="AH611" s="8">
        <f t="shared" si="115"/>
        <v>2</v>
      </c>
      <c r="AI611" s="5" t="str">
        <f t="shared" si="116"/>
        <v>Feb</v>
      </c>
      <c r="AJ611" s="5" t="str">
        <f t="shared" si="117"/>
        <v>Friday</v>
      </c>
    </row>
    <row r="612" spans="1:36" x14ac:dyDescent="0.3">
      <c r="A612" s="5" t="s">
        <v>646</v>
      </c>
      <c r="B612" s="6">
        <v>45424</v>
      </c>
      <c r="C612" s="7">
        <v>0.8125</v>
      </c>
      <c r="D612" s="5" t="s">
        <v>1760</v>
      </c>
      <c r="E612" s="5" t="s">
        <v>2044</v>
      </c>
      <c r="F612" s="5" t="s">
        <v>2239</v>
      </c>
      <c r="G612" s="5" t="s">
        <v>2245</v>
      </c>
      <c r="H612" s="5" t="s">
        <v>2257</v>
      </c>
      <c r="I612" s="5" t="s">
        <v>2263</v>
      </c>
      <c r="J612" s="5" t="s">
        <v>2266</v>
      </c>
      <c r="K612" s="8">
        <v>1</v>
      </c>
      <c r="L612" s="9">
        <v>150</v>
      </c>
      <c r="M612" s="10">
        <v>0.05</v>
      </c>
      <c r="N612" s="9">
        <f t="shared" si="118"/>
        <v>150</v>
      </c>
      <c r="O612" s="9">
        <f t="shared" si="108"/>
        <v>142.5</v>
      </c>
      <c r="P612" s="5" t="s">
        <v>2269</v>
      </c>
      <c r="Q612" s="5" t="s">
        <v>2272</v>
      </c>
      <c r="R612" s="5" t="s">
        <v>2275</v>
      </c>
      <c r="S612" s="5" t="s">
        <v>2286</v>
      </c>
      <c r="T612" s="5" t="s">
        <v>2288</v>
      </c>
      <c r="U612" s="19">
        <v>3</v>
      </c>
      <c r="V612" s="19">
        <v>244</v>
      </c>
      <c r="W612" s="8">
        <v>41</v>
      </c>
      <c r="X612" s="9">
        <v>63.97</v>
      </c>
      <c r="Y612" s="9">
        <f t="shared" si="109"/>
        <v>78.53</v>
      </c>
      <c r="Z612" s="5" t="s">
        <v>2294</v>
      </c>
      <c r="AA612" s="5" t="s">
        <v>2299</v>
      </c>
      <c r="AB612" s="9">
        <f t="shared" si="110"/>
        <v>150</v>
      </c>
      <c r="AC612" s="9">
        <f t="shared" si="111"/>
        <v>7.5</v>
      </c>
      <c r="AD612" s="9">
        <f t="shared" si="112"/>
        <v>142.5</v>
      </c>
      <c r="AE612" s="9">
        <f t="shared" si="113"/>
        <v>63.97</v>
      </c>
      <c r="AF612" s="9">
        <f t="shared" si="119"/>
        <v>78.53</v>
      </c>
      <c r="AG612" s="8">
        <f t="shared" si="114"/>
        <v>2024</v>
      </c>
      <c r="AH612" s="8">
        <f t="shared" si="115"/>
        <v>5</v>
      </c>
      <c r="AI612" s="5" t="str">
        <f t="shared" si="116"/>
        <v>May</v>
      </c>
      <c r="AJ612" s="5" t="str">
        <f t="shared" si="117"/>
        <v>Sunday</v>
      </c>
    </row>
    <row r="613" spans="1:36" x14ac:dyDescent="0.3">
      <c r="A613" s="5" t="s">
        <v>647</v>
      </c>
      <c r="B613" s="6">
        <v>45439</v>
      </c>
      <c r="C613" s="7">
        <v>0.36458333333333331</v>
      </c>
      <c r="D613" s="5" t="s">
        <v>1782</v>
      </c>
      <c r="E613" s="5" t="s">
        <v>2128</v>
      </c>
      <c r="F613" s="5" t="s">
        <v>2239</v>
      </c>
      <c r="G613" s="5" t="s">
        <v>2254</v>
      </c>
      <c r="H613" s="5" t="s">
        <v>2259</v>
      </c>
      <c r="I613" s="5" t="s">
        <v>2263</v>
      </c>
      <c r="J613" s="5" t="s">
        <v>1761</v>
      </c>
      <c r="K613" s="8">
        <v>1</v>
      </c>
      <c r="L613" s="9">
        <v>110</v>
      </c>
      <c r="M613" s="10">
        <v>0.15</v>
      </c>
      <c r="N613" s="9">
        <f t="shared" si="118"/>
        <v>110</v>
      </c>
      <c r="O613" s="9">
        <f t="shared" si="108"/>
        <v>93.5</v>
      </c>
      <c r="P613" s="5" t="s">
        <v>2269</v>
      </c>
      <c r="Q613" s="5" t="s">
        <v>2270</v>
      </c>
      <c r="R613" s="5" t="s">
        <v>2276</v>
      </c>
      <c r="S613" s="5" t="s">
        <v>2280</v>
      </c>
      <c r="T613" s="5" t="s">
        <v>2290</v>
      </c>
      <c r="U613" s="8">
        <v>2</v>
      </c>
      <c r="V613" s="8">
        <v>385</v>
      </c>
      <c r="W613" s="8">
        <v>40</v>
      </c>
      <c r="X613" s="9">
        <v>39.01</v>
      </c>
      <c r="Y613" s="9">
        <f t="shared" si="109"/>
        <v>54.49</v>
      </c>
      <c r="Z613" s="5" t="s">
        <v>1761</v>
      </c>
      <c r="AA613" s="5" t="s">
        <v>2299</v>
      </c>
      <c r="AB613" s="9">
        <f t="shared" si="110"/>
        <v>110</v>
      </c>
      <c r="AC613" s="9">
        <f t="shared" si="111"/>
        <v>16.5</v>
      </c>
      <c r="AD613" s="9">
        <f t="shared" si="112"/>
        <v>93.5</v>
      </c>
      <c r="AE613" s="9">
        <f t="shared" si="113"/>
        <v>39.01</v>
      </c>
      <c r="AF613" s="9">
        <f t="shared" si="119"/>
        <v>54.49</v>
      </c>
      <c r="AG613" s="8">
        <f t="shared" si="114"/>
        <v>2024</v>
      </c>
      <c r="AH613" s="8">
        <f t="shared" si="115"/>
        <v>5</v>
      </c>
      <c r="AI613" s="5" t="str">
        <f t="shared" si="116"/>
        <v>May</v>
      </c>
      <c r="AJ613" s="5" t="str">
        <f t="shared" si="117"/>
        <v>Monday</v>
      </c>
    </row>
    <row r="614" spans="1:36" x14ac:dyDescent="0.3">
      <c r="A614" s="5" t="s">
        <v>648</v>
      </c>
      <c r="B614" s="6">
        <v>45621</v>
      </c>
      <c r="C614" s="7">
        <v>0.36458333333333331</v>
      </c>
      <c r="D614" s="5" t="s">
        <v>1895</v>
      </c>
      <c r="E614" s="5" t="s">
        <v>2031</v>
      </c>
      <c r="F614" s="5" t="s">
        <v>2240</v>
      </c>
      <c r="G614" s="5" t="s">
        <v>2254</v>
      </c>
      <c r="H614" s="5" t="s">
        <v>2259</v>
      </c>
      <c r="I614" s="5" t="s">
        <v>2263</v>
      </c>
      <c r="J614" s="5" t="s">
        <v>2264</v>
      </c>
      <c r="K614" s="8">
        <v>1</v>
      </c>
      <c r="L614" s="9">
        <v>110</v>
      </c>
      <c r="M614" s="10">
        <v>0</v>
      </c>
      <c r="N614" s="9">
        <f t="shared" si="118"/>
        <v>110</v>
      </c>
      <c r="O614" s="9">
        <f t="shared" si="108"/>
        <v>110</v>
      </c>
      <c r="P614" s="5" t="s">
        <v>1761</v>
      </c>
      <c r="Q614" s="5" t="s">
        <v>2271</v>
      </c>
      <c r="R614" s="5" t="s">
        <v>2274</v>
      </c>
      <c r="S614" s="5" t="s">
        <v>2285</v>
      </c>
      <c r="T614" s="5" t="s">
        <v>2288</v>
      </c>
      <c r="U614" s="8">
        <v>2</v>
      </c>
      <c r="V614" s="8">
        <v>286</v>
      </c>
      <c r="W614" s="8">
        <v>53</v>
      </c>
      <c r="X614" s="9">
        <v>53.67</v>
      </c>
      <c r="Y614" s="9">
        <f t="shared" si="109"/>
        <v>56.33</v>
      </c>
      <c r="Z614" s="5" t="s">
        <v>2294</v>
      </c>
      <c r="AA614" s="5" t="s">
        <v>2299</v>
      </c>
      <c r="AB614" s="9">
        <f t="shared" si="110"/>
        <v>110</v>
      </c>
      <c r="AC614" s="9">
        <f t="shared" si="111"/>
        <v>0</v>
      </c>
      <c r="AD614" s="9">
        <f t="shared" si="112"/>
        <v>110</v>
      </c>
      <c r="AE614" s="9">
        <f t="shared" si="113"/>
        <v>53.67</v>
      </c>
      <c r="AF614" s="9">
        <f t="shared" si="119"/>
        <v>56.33</v>
      </c>
      <c r="AG614" s="8">
        <f t="shared" si="114"/>
        <v>2024</v>
      </c>
      <c r="AH614" s="8">
        <f t="shared" si="115"/>
        <v>11</v>
      </c>
      <c r="AI614" s="5" t="str">
        <f t="shared" si="116"/>
        <v>Nov</v>
      </c>
      <c r="AJ614" s="5" t="str">
        <f t="shared" si="117"/>
        <v>Monday</v>
      </c>
    </row>
    <row r="615" spans="1:36" x14ac:dyDescent="0.3">
      <c r="A615" s="5" t="s">
        <v>649</v>
      </c>
      <c r="B615" s="6">
        <v>45413</v>
      </c>
      <c r="C615" s="7">
        <v>0.40625</v>
      </c>
      <c r="D615" s="5" t="s">
        <v>1826</v>
      </c>
      <c r="E615" s="5" t="s">
        <v>2067</v>
      </c>
      <c r="F615" s="5" t="s">
        <v>2239</v>
      </c>
      <c r="G615" s="5" t="s">
        <v>2244</v>
      </c>
      <c r="H615" s="5" t="s">
        <v>2257</v>
      </c>
      <c r="I615" s="5" t="s">
        <v>2262</v>
      </c>
      <c r="J615" s="5" t="s">
        <v>2266</v>
      </c>
      <c r="K615" s="8">
        <v>3</v>
      </c>
      <c r="L615" s="9">
        <v>120</v>
      </c>
      <c r="M615" s="10">
        <v>0</v>
      </c>
      <c r="N615" s="9">
        <f t="shared" si="118"/>
        <v>360</v>
      </c>
      <c r="O615" s="9">
        <f t="shared" si="108"/>
        <v>360</v>
      </c>
      <c r="P615" s="5" t="s">
        <v>1761</v>
      </c>
      <c r="Q615" s="5" t="s">
        <v>1761</v>
      </c>
      <c r="R615" s="5" t="s">
        <v>2273</v>
      </c>
      <c r="S615" s="5" t="s">
        <v>2285</v>
      </c>
      <c r="T615" s="5" t="s">
        <v>2288</v>
      </c>
      <c r="U615" s="8">
        <v>4</v>
      </c>
      <c r="V615" s="8">
        <v>85</v>
      </c>
      <c r="W615" s="19">
        <v>36</v>
      </c>
      <c r="X615" s="9">
        <v>55.4</v>
      </c>
      <c r="Y615" s="9">
        <f t="shared" si="109"/>
        <v>193.8</v>
      </c>
      <c r="Z615" s="5" t="s">
        <v>1761</v>
      </c>
      <c r="AA615" s="5" t="s">
        <v>1761</v>
      </c>
      <c r="AB615" s="9">
        <f t="shared" si="110"/>
        <v>360</v>
      </c>
      <c r="AC615" s="9">
        <f t="shared" si="111"/>
        <v>0</v>
      </c>
      <c r="AD615" s="9">
        <f t="shared" si="112"/>
        <v>360</v>
      </c>
      <c r="AE615" s="9">
        <f t="shared" si="113"/>
        <v>166.2</v>
      </c>
      <c r="AF615" s="9">
        <f t="shared" si="119"/>
        <v>193.8</v>
      </c>
      <c r="AG615" s="8">
        <f t="shared" si="114"/>
        <v>2024</v>
      </c>
      <c r="AH615" s="8">
        <f t="shared" si="115"/>
        <v>5</v>
      </c>
      <c r="AI615" s="5" t="str">
        <f t="shared" si="116"/>
        <v>May</v>
      </c>
      <c r="AJ615" s="5" t="str">
        <f t="shared" si="117"/>
        <v>Wednesday</v>
      </c>
    </row>
    <row r="616" spans="1:36" x14ac:dyDescent="0.3">
      <c r="A616" s="5" t="s">
        <v>650</v>
      </c>
      <c r="B616" s="6">
        <v>45344</v>
      </c>
      <c r="C616" s="7">
        <v>0.35416666666666669</v>
      </c>
      <c r="D616" s="5" t="s">
        <v>1783</v>
      </c>
      <c r="E616" s="5" t="s">
        <v>2155</v>
      </c>
      <c r="F616" s="5" t="s">
        <v>2239</v>
      </c>
      <c r="G616" s="5" t="s">
        <v>2243</v>
      </c>
      <c r="H616" s="5" t="s">
        <v>2258</v>
      </c>
      <c r="I616" s="5" t="s">
        <v>2260</v>
      </c>
      <c r="J616" s="5" t="s">
        <v>2265</v>
      </c>
      <c r="K616" s="8">
        <v>1</v>
      </c>
      <c r="L616" s="9">
        <v>70</v>
      </c>
      <c r="M616" s="10">
        <v>0</v>
      </c>
      <c r="N616" s="9">
        <f t="shared" si="118"/>
        <v>70</v>
      </c>
      <c r="O616" s="9">
        <f t="shared" si="108"/>
        <v>70</v>
      </c>
      <c r="P616" s="5" t="s">
        <v>2267</v>
      </c>
      <c r="Q616" s="5" t="s">
        <v>2270</v>
      </c>
      <c r="R616" s="5" t="s">
        <v>2276</v>
      </c>
      <c r="S616" s="5" t="s">
        <v>2282</v>
      </c>
      <c r="T616" s="5" t="s">
        <v>2289</v>
      </c>
      <c r="U616" s="8">
        <v>4</v>
      </c>
      <c r="V616" s="8">
        <v>53</v>
      </c>
      <c r="W616" s="19">
        <v>34</v>
      </c>
      <c r="X616" s="9">
        <v>30.82</v>
      </c>
      <c r="Y616" s="9">
        <f t="shared" si="109"/>
        <v>39.18</v>
      </c>
      <c r="Z616" s="5" t="s">
        <v>2291</v>
      </c>
      <c r="AA616" s="5" t="s">
        <v>2296</v>
      </c>
      <c r="AB616" s="9">
        <f t="shared" si="110"/>
        <v>70</v>
      </c>
      <c r="AC616" s="9">
        <f t="shared" si="111"/>
        <v>0</v>
      </c>
      <c r="AD616" s="9">
        <f t="shared" si="112"/>
        <v>70</v>
      </c>
      <c r="AE616" s="9">
        <f t="shared" si="113"/>
        <v>30.82</v>
      </c>
      <c r="AF616" s="9">
        <f t="shared" si="119"/>
        <v>39.18</v>
      </c>
      <c r="AG616" s="8">
        <f t="shared" si="114"/>
        <v>2024</v>
      </c>
      <c r="AH616" s="8">
        <f t="shared" si="115"/>
        <v>2</v>
      </c>
      <c r="AI616" s="5" t="str">
        <f t="shared" si="116"/>
        <v>Feb</v>
      </c>
      <c r="AJ616" s="5" t="str">
        <f t="shared" si="117"/>
        <v>Thursday</v>
      </c>
    </row>
    <row r="617" spans="1:36" x14ac:dyDescent="0.3">
      <c r="A617" s="5" t="s">
        <v>651</v>
      </c>
      <c r="B617" s="6">
        <v>45600</v>
      </c>
      <c r="C617" s="7">
        <v>0.71527777777777779</v>
      </c>
      <c r="D617" s="5" t="s">
        <v>1770</v>
      </c>
      <c r="E617" s="5" t="s">
        <v>2097</v>
      </c>
      <c r="F617" s="5" t="s">
        <v>2240</v>
      </c>
      <c r="G617" s="5" t="s">
        <v>2256</v>
      </c>
      <c r="H617" s="5" t="s">
        <v>2261</v>
      </c>
      <c r="I617" s="5" t="s">
        <v>2260</v>
      </c>
      <c r="J617" s="5" t="s">
        <v>2264</v>
      </c>
      <c r="K617" s="8">
        <v>2</v>
      </c>
      <c r="L617" s="9">
        <v>190</v>
      </c>
      <c r="M617" s="10">
        <v>0</v>
      </c>
      <c r="N617" s="9">
        <f t="shared" si="118"/>
        <v>380</v>
      </c>
      <c r="O617" s="9">
        <f t="shared" si="108"/>
        <v>380</v>
      </c>
      <c r="P617" s="5" t="s">
        <v>2269</v>
      </c>
      <c r="Q617" s="5" t="s">
        <v>2272</v>
      </c>
      <c r="R617" s="5" t="s">
        <v>2273</v>
      </c>
      <c r="S617" s="5" t="s">
        <v>2280</v>
      </c>
      <c r="T617" s="5" t="s">
        <v>2288</v>
      </c>
      <c r="U617" s="8">
        <v>2</v>
      </c>
      <c r="V617" s="8">
        <v>349</v>
      </c>
      <c r="W617" s="8">
        <v>48</v>
      </c>
      <c r="X617" s="9">
        <v>86.45</v>
      </c>
      <c r="Y617" s="9">
        <f t="shared" si="109"/>
        <v>207.1</v>
      </c>
      <c r="Z617" s="5" t="s">
        <v>2293</v>
      </c>
      <c r="AA617" s="5" t="s">
        <v>1761</v>
      </c>
      <c r="AB617" s="9">
        <f t="shared" si="110"/>
        <v>380</v>
      </c>
      <c r="AC617" s="9">
        <f t="shared" si="111"/>
        <v>0</v>
      </c>
      <c r="AD617" s="9">
        <f t="shared" si="112"/>
        <v>380</v>
      </c>
      <c r="AE617" s="9">
        <f t="shared" si="113"/>
        <v>172.9</v>
      </c>
      <c r="AF617" s="9">
        <f t="shared" si="119"/>
        <v>207.1</v>
      </c>
      <c r="AG617" s="8">
        <f t="shared" si="114"/>
        <v>2024</v>
      </c>
      <c r="AH617" s="8">
        <f t="shared" si="115"/>
        <v>11</v>
      </c>
      <c r="AI617" s="5" t="str">
        <f t="shared" si="116"/>
        <v>Nov</v>
      </c>
      <c r="AJ617" s="5" t="str">
        <f t="shared" si="117"/>
        <v>Monday</v>
      </c>
    </row>
    <row r="618" spans="1:36" x14ac:dyDescent="0.3">
      <c r="A618" s="5" t="s">
        <v>652</v>
      </c>
      <c r="B618" s="6">
        <v>45546</v>
      </c>
      <c r="C618" s="7">
        <v>0.5625</v>
      </c>
      <c r="D618" s="5" t="s">
        <v>1885</v>
      </c>
      <c r="E618" s="5" t="s">
        <v>2012</v>
      </c>
      <c r="F618" s="5" t="s">
        <v>2239</v>
      </c>
      <c r="G618" s="5" t="s">
        <v>2250</v>
      </c>
      <c r="H618" s="5" t="s">
        <v>2259</v>
      </c>
      <c r="I618" s="5" t="s">
        <v>2262</v>
      </c>
      <c r="J618" s="5" t="s">
        <v>2264</v>
      </c>
      <c r="K618" s="8">
        <v>2</v>
      </c>
      <c r="L618" s="9">
        <v>80</v>
      </c>
      <c r="M618" s="10">
        <v>0.1</v>
      </c>
      <c r="N618" s="9">
        <f t="shared" si="118"/>
        <v>160</v>
      </c>
      <c r="O618" s="9">
        <f t="shared" si="108"/>
        <v>144</v>
      </c>
      <c r="P618" s="5" t="s">
        <v>2267</v>
      </c>
      <c r="Q618" s="5" t="s">
        <v>2272</v>
      </c>
      <c r="R618" s="5" t="s">
        <v>2278</v>
      </c>
      <c r="S618" s="5" t="s">
        <v>2286</v>
      </c>
      <c r="T618" s="5" t="s">
        <v>2290</v>
      </c>
      <c r="U618" s="8">
        <v>4</v>
      </c>
      <c r="V618" s="8">
        <v>336</v>
      </c>
      <c r="W618" s="8">
        <v>11</v>
      </c>
      <c r="X618" s="9">
        <v>40.479999999999997</v>
      </c>
      <c r="Y618" s="9">
        <f t="shared" si="109"/>
        <v>63.040000000000006</v>
      </c>
      <c r="Z618" s="5" t="s">
        <v>2294</v>
      </c>
      <c r="AA618" s="5" t="s">
        <v>2296</v>
      </c>
      <c r="AB618" s="9">
        <f t="shared" si="110"/>
        <v>160</v>
      </c>
      <c r="AC618" s="9">
        <f t="shared" si="111"/>
        <v>16</v>
      </c>
      <c r="AD618" s="9">
        <f t="shared" si="112"/>
        <v>144</v>
      </c>
      <c r="AE618" s="9">
        <f t="shared" si="113"/>
        <v>80.959999999999994</v>
      </c>
      <c r="AF618" s="9">
        <f t="shared" si="119"/>
        <v>63.040000000000006</v>
      </c>
      <c r="AG618" s="8">
        <f t="shared" si="114"/>
        <v>2024</v>
      </c>
      <c r="AH618" s="8">
        <f t="shared" si="115"/>
        <v>9</v>
      </c>
      <c r="AI618" s="5" t="str">
        <f t="shared" si="116"/>
        <v>Sep</v>
      </c>
      <c r="AJ618" s="5" t="str">
        <f t="shared" si="117"/>
        <v>Wednesday</v>
      </c>
    </row>
    <row r="619" spans="1:36" x14ac:dyDescent="0.3">
      <c r="A619" s="5" t="s">
        <v>653</v>
      </c>
      <c r="B619" s="6">
        <v>45373</v>
      </c>
      <c r="C619" s="7">
        <v>0.45833333333333331</v>
      </c>
      <c r="D619" s="5" t="s">
        <v>1928</v>
      </c>
      <c r="E619" s="5" t="s">
        <v>1965</v>
      </c>
      <c r="F619" s="5" t="s">
        <v>2240</v>
      </c>
      <c r="G619" s="5" t="s">
        <v>2251</v>
      </c>
      <c r="H619" s="5" t="s">
        <v>2258</v>
      </c>
      <c r="I619" s="5" t="s">
        <v>2260</v>
      </c>
      <c r="J619" s="5" t="s">
        <v>2265</v>
      </c>
      <c r="K619" s="8">
        <v>1</v>
      </c>
      <c r="L619" s="9">
        <v>105</v>
      </c>
      <c r="M619" s="10">
        <v>0</v>
      </c>
      <c r="N619" s="9">
        <f t="shared" si="118"/>
        <v>105</v>
      </c>
      <c r="O619" s="9">
        <f t="shared" si="108"/>
        <v>105</v>
      </c>
      <c r="P619" s="5" t="s">
        <v>2267</v>
      </c>
      <c r="Q619" s="5" t="s">
        <v>2270</v>
      </c>
      <c r="R619" s="5" t="s">
        <v>2279</v>
      </c>
      <c r="S619" s="5" t="s">
        <v>2281</v>
      </c>
      <c r="T619" s="5" t="s">
        <v>2288</v>
      </c>
      <c r="U619" s="8">
        <v>5</v>
      </c>
      <c r="V619" s="8">
        <v>472</v>
      </c>
      <c r="W619" s="19">
        <v>34</v>
      </c>
      <c r="X619" s="9">
        <v>39.130000000000003</v>
      </c>
      <c r="Y619" s="9">
        <f t="shared" si="109"/>
        <v>65.87</v>
      </c>
      <c r="Z619" s="5" t="s">
        <v>2293</v>
      </c>
      <c r="AA619" s="5" t="s">
        <v>2298</v>
      </c>
      <c r="AB619" s="9">
        <f t="shared" si="110"/>
        <v>105</v>
      </c>
      <c r="AC619" s="9">
        <f t="shared" si="111"/>
        <v>0</v>
      </c>
      <c r="AD619" s="9">
        <f t="shared" si="112"/>
        <v>105</v>
      </c>
      <c r="AE619" s="9">
        <f t="shared" si="113"/>
        <v>39.130000000000003</v>
      </c>
      <c r="AF619" s="9">
        <f t="shared" si="119"/>
        <v>65.87</v>
      </c>
      <c r="AG619" s="8">
        <f t="shared" si="114"/>
        <v>2024</v>
      </c>
      <c r="AH619" s="8">
        <f t="shared" si="115"/>
        <v>3</v>
      </c>
      <c r="AI619" s="5" t="str">
        <f t="shared" si="116"/>
        <v>Mar</v>
      </c>
      <c r="AJ619" s="5" t="str">
        <f t="shared" si="117"/>
        <v>Friday</v>
      </c>
    </row>
    <row r="620" spans="1:36" x14ac:dyDescent="0.3">
      <c r="A620" s="5" t="s">
        <v>654</v>
      </c>
      <c r="B620" s="6">
        <v>45294</v>
      </c>
      <c r="C620" s="7">
        <v>0.86805555555555558</v>
      </c>
      <c r="D620" s="5" t="s">
        <v>1928</v>
      </c>
      <c r="E620" s="5" t="s">
        <v>2196</v>
      </c>
      <c r="F620" s="5" t="s">
        <v>2238</v>
      </c>
      <c r="G620" s="5" t="s">
        <v>2242</v>
      </c>
      <c r="H620" s="5" t="s">
        <v>2258</v>
      </c>
      <c r="I620" s="5" t="s">
        <v>2260</v>
      </c>
      <c r="J620" s="5" t="s">
        <v>1761</v>
      </c>
      <c r="K620" s="8">
        <v>1</v>
      </c>
      <c r="L620" s="9">
        <v>130</v>
      </c>
      <c r="M620" s="10">
        <v>0.1</v>
      </c>
      <c r="N620" s="9">
        <f t="shared" si="118"/>
        <v>130</v>
      </c>
      <c r="O620" s="9">
        <f t="shared" si="108"/>
        <v>117</v>
      </c>
      <c r="P620" s="5" t="s">
        <v>2269</v>
      </c>
      <c r="Q620" s="5" t="s">
        <v>2270</v>
      </c>
      <c r="R620" s="5" t="s">
        <v>2274</v>
      </c>
      <c r="S620" s="5" t="s">
        <v>2286</v>
      </c>
      <c r="T620" s="5" t="s">
        <v>2288</v>
      </c>
      <c r="U620" s="8">
        <v>5</v>
      </c>
      <c r="V620" s="8">
        <v>428</v>
      </c>
      <c r="W620" s="19">
        <v>34</v>
      </c>
      <c r="X620" s="9">
        <v>53.16</v>
      </c>
      <c r="Y620" s="9">
        <f t="shared" si="109"/>
        <v>63.84</v>
      </c>
      <c r="Z620" s="5" t="s">
        <v>1761</v>
      </c>
      <c r="AA620" s="5" t="s">
        <v>2297</v>
      </c>
      <c r="AB620" s="9">
        <f t="shared" si="110"/>
        <v>130</v>
      </c>
      <c r="AC620" s="9">
        <f t="shared" si="111"/>
        <v>13</v>
      </c>
      <c r="AD620" s="9">
        <f t="shared" si="112"/>
        <v>117</v>
      </c>
      <c r="AE620" s="9">
        <f t="shared" si="113"/>
        <v>53.16</v>
      </c>
      <c r="AF620" s="9">
        <f t="shared" si="119"/>
        <v>63.84</v>
      </c>
      <c r="AG620" s="8">
        <f t="shared" si="114"/>
        <v>2024</v>
      </c>
      <c r="AH620" s="8">
        <f t="shared" si="115"/>
        <v>1</v>
      </c>
      <c r="AI620" s="5" t="str">
        <f t="shared" si="116"/>
        <v>Jan</v>
      </c>
      <c r="AJ620" s="5" t="str">
        <f t="shared" si="117"/>
        <v>Wednesday</v>
      </c>
    </row>
    <row r="621" spans="1:36" x14ac:dyDescent="0.3">
      <c r="A621" s="5" t="s">
        <v>655</v>
      </c>
      <c r="B621" s="6">
        <v>45321</v>
      </c>
      <c r="C621" s="7">
        <v>0.84722222222222221</v>
      </c>
      <c r="D621" s="5" t="s">
        <v>1826</v>
      </c>
      <c r="E621" s="5" t="s">
        <v>1963</v>
      </c>
      <c r="F621" s="5" t="s">
        <v>2240</v>
      </c>
      <c r="G621" s="5" t="s">
        <v>2241</v>
      </c>
      <c r="H621" s="5" t="s">
        <v>2257</v>
      </c>
      <c r="I621" s="5" t="s">
        <v>2262</v>
      </c>
      <c r="J621" s="5" t="s">
        <v>2264</v>
      </c>
      <c r="K621" s="8">
        <v>1</v>
      </c>
      <c r="L621" s="9">
        <v>130</v>
      </c>
      <c r="M621" s="10">
        <v>0.15</v>
      </c>
      <c r="N621" s="9">
        <f t="shared" si="118"/>
        <v>130</v>
      </c>
      <c r="O621" s="9">
        <f t="shared" si="108"/>
        <v>110.5</v>
      </c>
      <c r="P621" s="5" t="s">
        <v>2269</v>
      </c>
      <c r="Q621" s="5" t="s">
        <v>2272</v>
      </c>
      <c r="R621" s="5" t="s">
        <v>2275</v>
      </c>
      <c r="S621" s="5" t="s">
        <v>2282</v>
      </c>
      <c r="T621" s="5" t="s">
        <v>2288</v>
      </c>
      <c r="U621" s="8">
        <v>5</v>
      </c>
      <c r="V621" s="19">
        <v>244</v>
      </c>
      <c r="W621" s="19">
        <v>35</v>
      </c>
      <c r="X621" s="9">
        <v>54.76</v>
      </c>
      <c r="Y621" s="9">
        <f t="shared" si="109"/>
        <v>55.74</v>
      </c>
      <c r="Z621" s="5" t="s">
        <v>2293</v>
      </c>
      <c r="AA621" s="5" t="s">
        <v>2296</v>
      </c>
      <c r="AB621" s="9">
        <f t="shared" si="110"/>
        <v>130</v>
      </c>
      <c r="AC621" s="9">
        <f t="shared" si="111"/>
        <v>19.5</v>
      </c>
      <c r="AD621" s="9">
        <f t="shared" si="112"/>
        <v>110.5</v>
      </c>
      <c r="AE621" s="9">
        <f t="shared" si="113"/>
        <v>54.76</v>
      </c>
      <c r="AF621" s="9">
        <f t="shared" si="119"/>
        <v>55.74</v>
      </c>
      <c r="AG621" s="8">
        <f t="shared" si="114"/>
        <v>2024</v>
      </c>
      <c r="AH621" s="8">
        <f t="shared" si="115"/>
        <v>1</v>
      </c>
      <c r="AI621" s="5" t="str">
        <f t="shared" si="116"/>
        <v>Jan</v>
      </c>
      <c r="AJ621" s="5" t="str">
        <f t="shared" si="117"/>
        <v>Tuesday</v>
      </c>
    </row>
    <row r="622" spans="1:36" x14ac:dyDescent="0.3">
      <c r="A622" s="5" t="s">
        <v>656</v>
      </c>
      <c r="B622" s="6">
        <v>45580</v>
      </c>
      <c r="C622" s="7">
        <v>0.66666666666666663</v>
      </c>
      <c r="D622" s="5" t="s">
        <v>1818</v>
      </c>
      <c r="E622" s="5" t="s">
        <v>2197</v>
      </c>
      <c r="F622" s="5" t="s">
        <v>1761</v>
      </c>
      <c r="G622" s="5" t="s">
        <v>2244</v>
      </c>
      <c r="H622" s="5" t="s">
        <v>2257</v>
      </c>
      <c r="I622" s="5" t="s">
        <v>2262</v>
      </c>
      <c r="J622" s="5" t="s">
        <v>2266</v>
      </c>
      <c r="K622" s="8">
        <v>2</v>
      </c>
      <c r="L622" s="9">
        <v>120</v>
      </c>
      <c r="M622" s="10">
        <v>0</v>
      </c>
      <c r="N622" s="9">
        <f t="shared" si="118"/>
        <v>240</v>
      </c>
      <c r="O622" s="9">
        <f t="shared" si="108"/>
        <v>240</v>
      </c>
      <c r="P622" s="5" t="s">
        <v>2267</v>
      </c>
      <c r="Q622" s="5" t="s">
        <v>1761</v>
      </c>
      <c r="R622" s="5" t="s">
        <v>2275</v>
      </c>
      <c r="S622" s="5" t="s">
        <v>2280</v>
      </c>
      <c r="T622" s="5" t="s">
        <v>2288</v>
      </c>
      <c r="U622" s="8">
        <v>5</v>
      </c>
      <c r="V622" s="8">
        <v>409</v>
      </c>
      <c r="W622" s="8">
        <v>18</v>
      </c>
      <c r="X622" s="9">
        <v>45.64</v>
      </c>
      <c r="Y622" s="9">
        <f t="shared" si="109"/>
        <v>148.72</v>
      </c>
      <c r="Z622" s="5" t="s">
        <v>2291</v>
      </c>
      <c r="AA622" s="5" t="s">
        <v>2297</v>
      </c>
      <c r="AB622" s="9">
        <f t="shared" si="110"/>
        <v>240</v>
      </c>
      <c r="AC622" s="9">
        <f t="shared" si="111"/>
        <v>0</v>
      </c>
      <c r="AD622" s="9">
        <f t="shared" si="112"/>
        <v>240</v>
      </c>
      <c r="AE622" s="9">
        <f t="shared" si="113"/>
        <v>91.28</v>
      </c>
      <c r="AF622" s="9">
        <f t="shared" si="119"/>
        <v>148.72</v>
      </c>
      <c r="AG622" s="8">
        <f t="shared" si="114"/>
        <v>2024</v>
      </c>
      <c r="AH622" s="8">
        <f t="shared" si="115"/>
        <v>10</v>
      </c>
      <c r="AI622" s="5" t="str">
        <f t="shared" si="116"/>
        <v>Oct</v>
      </c>
      <c r="AJ622" s="5" t="str">
        <f t="shared" si="117"/>
        <v>Tuesday</v>
      </c>
    </row>
    <row r="623" spans="1:36" x14ac:dyDescent="0.3">
      <c r="A623" s="5" t="s">
        <v>657</v>
      </c>
      <c r="B623" s="6">
        <v>45332</v>
      </c>
      <c r="C623" s="7">
        <v>0.29166666666666669</v>
      </c>
      <c r="D623" s="5" t="s">
        <v>1926</v>
      </c>
      <c r="E623" s="5" t="s">
        <v>2006</v>
      </c>
      <c r="F623" s="5" t="s">
        <v>2240</v>
      </c>
      <c r="G623" s="5" t="s">
        <v>2250</v>
      </c>
      <c r="H623" s="5" t="s">
        <v>2259</v>
      </c>
      <c r="I623" s="5" t="s">
        <v>2262</v>
      </c>
      <c r="J623" s="5" t="s">
        <v>2266</v>
      </c>
      <c r="K623" s="8">
        <v>1</v>
      </c>
      <c r="L623" s="9">
        <v>80</v>
      </c>
      <c r="M623" s="10">
        <v>0</v>
      </c>
      <c r="N623" s="9">
        <f t="shared" si="118"/>
        <v>80</v>
      </c>
      <c r="O623" s="9">
        <f t="shared" si="108"/>
        <v>80</v>
      </c>
      <c r="P623" s="5" t="s">
        <v>2267</v>
      </c>
      <c r="Q623" s="5" t="s">
        <v>2272</v>
      </c>
      <c r="R623" s="5" t="s">
        <v>2279</v>
      </c>
      <c r="S623" s="5" t="s">
        <v>2281</v>
      </c>
      <c r="T623" s="5" t="s">
        <v>2290</v>
      </c>
      <c r="U623" s="8">
        <v>5</v>
      </c>
      <c r="V623" s="8">
        <v>178</v>
      </c>
      <c r="W623" s="8">
        <v>53</v>
      </c>
      <c r="X623" s="9">
        <v>47.11</v>
      </c>
      <c r="Y623" s="9">
        <f t="shared" si="109"/>
        <v>32.89</v>
      </c>
      <c r="Z623" s="5" t="s">
        <v>2291</v>
      </c>
      <c r="AA623" s="5" t="s">
        <v>2299</v>
      </c>
      <c r="AB623" s="9">
        <f t="shared" si="110"/>
        <v>80</v>
      </c>
      <c r="AC623" s="9">
        <f t="shared" si="111"/>
        <v>0</v>
      </c>
      <c r="AD623" s="9">
        <f t="shared" si="112"/>
        <v>80</v>
      </c>
      <c r="AE623" s="9">
        <f t="shared" si="113"/>
        <v>47.11</v>
      </c>
      <c r="AF623" s="9">
        <f t="shared" si="119"/>
        <v>32.89</v>
      </c>
      <c r="AG623" s="8">
        <f t="shared" si="114"/>
        <v>2024</v>
      </c>
      <c r="AH623" s="8">
        <f t="shared" si="115"/>
        <v>2</v>
      </c>
      <c r="AI623" s="5" t="str">
        <f t="shared" si="116"/>
        <v>Feb</v>
      </c>
      <c r="AJ623" s="5" t="str">
        <f t="shared" si="117"/>
        <v>Saturday</v>
      </c>
    </row>
    <row r="624" spans="1:36" x14ac:dyDescent="0.3">
      <c r="A624" s="5" t="s">
        <v>658</v>
      </c>
      <c r="B624" s="6">
        <v>45558</v>
      </c>
      <c r="C624" s="7">
        <v>0.88541666666666663</v>
      </c>
      <c r="D624" s="5" t="s">
        <v>1840</v>
      </c>
      <c r="E624" s="5" t="s">
        <v>2139</v>
      </c>
      <c r="F624" s="5" t="s">
        <v>2239</v>
      </c>
      <c r="G624" s="5" t="s">
        <v>2249</v>
      </c>
      <c r="H624" s="5" t="s">
        <v>2257</v>
      </c>
      <c r="I624" s="5" t="s">
        <v>2263</v>
      </c>
      <c r="J624" s="5" t="s">
        <v>1761</v>
      </c>
      <c r="K624" s="8">
        <v>1</v>
      </c>
      <c r="L624" s="9">
        <v>165</v>
      </c>
      <c r="M624" s="10">
        <v>0.05</v>
      </c>
      <c r="N624" s="9">
        <f t="shared" si="118"/>
        <v>165</v>
      </c>
      <c r="O624" s="9">
        <f t="shared" si="108"/>
        <v>156.75</v>
      </c>
      <c r="P624" s="5" t="s">
        <v>2269</v>
      </c>
      <c r="Q624" s="5" t="s">
        <v>2272</v>
      </c>
      <c r="R624" s="5" t="s">
        <v>2278</v>
      </c>
      <c r="S624" s="5" t="s">
        <v>2286</v>
      </c>
      <c r="T624" s="5" t="s">
        <v>2288</v>
      </c>
      <c r="U624" s="19">
        <v>3</v>
      </c>
      <c r="V624" s="8">
        <v>26</v>
      </c>
      <c r="W624" s="8">
        <v>14</v>
      </c>
      <c r="X624" s="9">
        <v>91.04</v>
      </c>
      <c r="Y624" s="9">
        <f t="shared" si="109"/>
        <v>65.709999999999994</v>
      </c>
      <c r="Z624" s="5" t="s">
        <v>2291</v>
      </c>
      <c r="AA624" s="5" t="s">
        <v>2298</v>
      </c>
      <c r="AB624" s="9">
        <f t="shared" si="110"/>
        <v>165</v>
      </c>
      <c r="AC624" s="9">
        <f t="shared" si="111"/>
        <v>8.25</v>
      </c>
      <c r="AD624" s="9">
        <f t="shared" si="112"/>
        <v>156.75</v>
      </c>
      <c r="AE624" s="9">
        <f t="shared" si="113"/>
        <v>91.04</v>
      </c>
      <c r="AF624" s="9">
        <f t="shared" si="119"/>
        <v>65.709999999999994</v>
      </c>
      <c r="AG624" s="8">
        <f t="shared" si="114"/>
        <v>2024</v>
      </c>
      <c r="AH624" s="8">
        <f t="shared" si="115"/>
        <v>9</v>
      </c>
      <c r="AI624" s="5" t="str">
        <f t="shared" si="116"/>
        <v>Sep</v>
      </c>
      <c r="AJ624" s="5" t="str">
        <f t="shared" si="117"/>
        <v>Monday</v>
      </c>
    </row>
    <row r="625" spans="1:36" x14ac:dyDescent="0.3">
      <c r="A625" s="5" t="s">
        <v>659</v>
      </c>
      <c r="B625" s="6">
        <v>45382</v>
      </c>
      <c r="C625" s="7">
        <v>0.46527777777777779</v>
      </c>
      <c r="D625" s="5" t="s">
        <v>1920</v>
      </c>
      <c r="E625" s="5" t="s">
        <v>1761</v>
      </c>
      <c r="F625" s="5" t="s">
        <v>2240</v>
      </c>
      <c r="G625" s="5" t="s">
        <v>2245</v>
      </c>
      <c r="H625" s="5" t="s">
        <v>2257</v>
      </c>
      <c r="I625" s="5" t="s">
        <v>2263</v>
      </c>
      <c r="J625" s="5" t="s">
        <v>2265</v>
      </c>
      <c r="K625" s="8">
        <v>1</v>
      </c>
      <c r="L625" s="9">
        <v>160</v>
      </c>
      <c r="M625" s="10">
        <v>0.1</v>
      </c>
      <c r="N625" s="9">
        <f t="shared" si="118"/>
        <v>160</v>
      </c>
      <c r="O625" s="9">
        <f t="shared" si="108"/>
        <v>144</v>
      </c>
      <c r="P625" s="5" t="s">
        <v>2269</v>
      </c>
      <c r="Q625" s="5" t="s">
        <v>2271</v>
      </c>
      <c r="R625" s="5" t="s">
        <v>2276</v>
      </c>
      <c r="S625" s="5" t="s">
        <v>2282</v>
      </c>
      <c r="T625" s="5" t="s">
        <v>2288</v>
      </c>
      <c r="U625" s="8">
        <v>4</v>
      </c>
      <c r="V625" s="8">
        <v>471</v>
      </c>
      <c r="W625" s="8">
        <v>13</v>
      </c>
      <c r="X625" s="9">
        <v>55.63</v>
      </c>
      <c r="Y625" s="9">
        <f t="shared" si="109"/>
        <v>88.37</v>
      </c>
      <c r="Z625" s="5" t="s">
        <v>2293</v>
      </c>
      <c r="AA625" s="5" t="s">
        <v>2296</v>
      </c>
      <c r="AB625" s="9">
        <f t="shared" si="110"/>
        <v>160</v>
      </c>
      <c r="AC625" s="9">
        <f t="shared" si="111"/>
        <v>16</v>
      </c>
      <c r="AD625" s="9">
        <f t="shared" si="112"/>
        <v>144</v>
      </c>
      <c r="AE625" s="9">
        <f t="shared" si="113"/>
        <v>55.63</v>
      </c>
      <c r="AF625" s="9">
        <f t="shared" si="119"/>
        <v>88.37</v>
      </c>
      <c r="AG625" s="8">
        <f t="shared" si="114"/>
        <v>2024</v>
      </c>
      <c r="AH625" s="8">
        <f t="shared" si="115"/>
        <v>3</v>
      </c>
      <c r="AI625" s="5" t="str">
        <f t="shared" si="116"/>
        <v>Mar</v>
      </c>
      <c r="AJ625" s="5" t="str">
        <f t="shared" si="117"/>
        <v>Sunday</v>
      </c>
    </row>
    <row r="626" spans="1:36" x14ac:dyDescent="0.3">
      <c r="A626" s="5" t="s">
        <v>660</v>
      </c>
      <c r="B626" s="6">
        <v>45471</v>
      </c>
      <c r="C626" s="7">
        <v>0.69791666666666663</v>
      </c>
      <c r="D626" s="5" t="s">
        <v>1761</v>
      </c>
      <c r="E626" s="5" t="s">
        <v>2061</v>
      </c>
      <c r="F626" s="5" t="s">
        <v>1761</v>
      </c>
      <c r="G626" s="5" t="s">
        <v>2249</v>
      </c>
      <c r="H626" s="5" t="s">
        <v>2257</v>
      </c>
      <c r="I626" s="5" t="s">
        <v>2263</v>
      </c>
      <c r="J626" s="5" t="s">
        <v>2266</v>
      </c>
      <c r="K626" s="8">
        <v>2</v>
      </c>
      <c r="L626" s="9">
        <v>155</v>
      </c>
      <c r="M626" s="10">
        <v>0</v>
      </c>
      <c r="N626" s="9">
        <f t="shared" si="118"/>
        <v>310</v>
      </c>
      <c r="O626" s="9">
        <f t="shared" si="108"/>
        <v>310</v>
      </c>
      <c r="P626" s="5" t="s">
        <v>2269</v>
      </c>
      <c r="Q626" s="5" t="s">
        <v>1761</v>
      </c>
      <c r="R626" s="5" t="s">
        <v>2275</v>
      </c>
      <c r="S626" s="5" t="s">
        <v>2281</v>
      </c>
      <c r="T626" s="5" t="s">
        <v>2288</v>
      </c>
      <c r="U626" s="8">
        <v>5</v>
      </c>
      <c r="V626" s="19">
        <v>244</v>
      </c>
      <c r="W626" s="8">
        <v>17</v>
      </c>
      <c r="X626" s="9">
        <v>64.11</v>
      </c>
      <c r="Y626" s="9">
        <f t="shared" si="109"/>
        <v>181.78</v>
      </c>
      <c r="Z626" s="5" t="s">
        <v>2291</v>
      </c>
      <c r="AA626" s="5" t="s">
        <v>1761</v>
      </c>
      <c r="AB626" s="9">
        <f t="shared" si="110"/>
        <v>310</v>
      </c>
      <c r="AC626" s="9">
        <f t="shared" si="111"/>
        <v>0</v>
      </c>
      <c r="AD626" s="9">
        <f t="shared" si="112"/>
        <v>310</v>
      </c>
      <c r="AE626" s="9">
        <f t="shared" si="113"/>
        <v>128.22</v>
      </c>
      <c r="AF626" s="9">
        <f t="shared" si="119"/>
        <v>181.78</v>
      </c>
      <c r="AG626" s="8">
        <f t="shared" si="114"/>
        <v>2024</v>
      </c>
      <c r="AH626" s="8">
        <f t="shared" si="115"/>
        <v>6</v>
      </c>
      <c r="AI626" s="5" t="str">
        <f t="shared" si="116"/>
        <v>Jun</v>
      </c>
      <c r="AJ626" s="5" t="str">
        <f t="shared" si="117"/>
        <v>Friday</v>
      </c>
    </row>
    <row r="627" spans="1:36" x14ac:dyDescent="0.3">
      <c r="A627" s="5" t="s">
        <v>661</v>
      </c>
      <c r="B627" s="6">
        <v>45638</v>
      </c>
      <c r="C627" s="7">
        <v>0.88194444444444442</v>
      </c>
      <c r="D627" s="5" t="s">
        <v>1906</v>
      </c>
      <c r="E627" s="5" t="s">
        <v>2074</v>
      </c>
      <c r="F627" s="5" t="s">
        <v>2239</v>
      </c>
      <c r="G627" s="5" t="s">
        <v>2244</v>
      </c>
      <c r="H627" s="5" t="s">
        <v>2257</v>
      </c>
      <c r="I627" s="5" t="s">
        <v>2262</v>
      </c>
      <c r="J627" s="5" t="s">
        <v>1761</v>
      </c>
      <c r="K627" s="8">
        <v>4</v>
      </c>
      <c r="L627" s="9">
        <v>125</v>
      </c>
      <c r="M627" s="10">
        <v>0</v>
      </c>
      <c r="N627" s="9">
        <f t="shared" si="118"/>
        <v>500</v>
      </c>
      <c r="O627" s="9">
        <f t="shared" si="108"/>
        <v>500</v>
      </c>
      <c r="P627" s="5" t="s">
        <v>1761</v>
      </c>
      <c r="Q627" s="5" t="s">
        <v>2270</v>
      </c>
      <c r="R627" s="5" t="s">
        <v>2275</v>
      </c>
      <c r="S627" s="5" t="s">
        <v>2280</v>
      </c>
      <c r="T627" s="5" t="s">
        <v>2288</v>
      </c>
      <c r="U627" s="8">
        <v>4</v>
      </c>
      <c r="V627" s="8">
        <v>358</v>
      </c>
      <c r="W627" s="8">
        <v>50</v>
      </c>
      <c r="X627" s="9">
        <v>45.72</v>
      </c>
      <c r="Y627" s="9">
        <f t="shared" si="109"/>
        <v>317.12</v>
      </c>
      <c r="Z627" s="5" t="s">
        <v>2293</v>
      </c>
      <c r="AA627" s="5" t="s">
        <v>2297</v>
      </c>
      <c r="AB627" s="9">
        <f t="shared" si="110"/>
        <v>500</v>
      </c>
      <c r="AC627" s="9">
        <f t="shared" si="111"/>
        <v>0</v>
      </c>
      <c r="AD627" s="9">
        <f t="shared" si="112"/>
        <v>500</v>
      </c>
      <c r="AE627" s="9">
        <f t="shared" si="113"/>
        <v>182.88</v>
      </c>
      <c r="AF627" s="9">
        <f t="shared" si="119"/>
        <v>317.12</v>
      </c>
      <c r="AG627" s="8">
        <f t="shared" si="114"/>
        <v>2024</v>
      </c>
      <c r="AH627" s="8">
        <f t="shared" si="115"/>
        <v>12</v>
      </c>
      <c r="AI627" s="5" t="str">
        <f t="shared" si="116"/>
        <v>Dec</v>
      </c>
      <c r="AJ627" s="5" t="str">
        <f t="shared" si="117"/>
        <v>Thursday</v>
      </c>
    </row>
    <row r="628" spans="1:36" x14ac:dyDescent="0.3">
      <c r="A628" s="5" t="s">
        <v>662</v>
      </c>
      <c r="B628" s="6">
        <v>45436</v>
      </c>
      <c r="C628" s="7">
        <v>0.64583333333333337</v>
      </c>
      <c r="D628" s="5" t="s">
        <v>1798</v>
      </c>
      <c r="E628" s="5" t="s">
        <v>2140</v>
      </c>
      <c r="F628" s="5" t="s">
        <v>2239</v>
      </c>
      <c r="G628" s="5" t="s">
        <v>2243</v>
      </c>
      <c r="H628" s="5" t="s">
        <v>2258</v>
      </c>
      <c r="I628" s="5" t="s">
        <v>2260</v>
      </c>
      <c r="J628" s="5" t="s">
        <v>2266</v>
      </c>
      <c r="K628" s="8">
        <v>2</v>
      </c>
      <c r="L628" s="9">
        <v>80</v>
      </c>
      <c r="M628" s="10">
        <v>0.1</v>
      </c>
      <c r="N628" s="9">
        <f t="shared" si="118"/>
        <v>160</v>
      </c>
      <c r="O628" s="9">
        <f t="shared" si="108"/>
        <v>144</v>
      </c>
      <c r="P628" s="5" t="s">
        <v>2267</v>
      </c>
      <c r="Q628" s="5" t="s">
        <v>2270</v>
      </c>
      <c r="R628" s="5" t="s">
        <v>2275</v>
      </c>
      <c r="S628" s="5" t="s">
        <v>2286</v>
      </c>
      <c r="T628" s="5" t="s">
        <v>2288</v>
      </c>
      <c r="U628" s="8">
        <v>2</v>
      </c>
      <c r="V628" s="8">
        <v>74</v>
      </c>
      <c r="W628" s="8">
        <v>53</v>
      </c>
      <c r="X628" s="9">
        <v>32.1</v>
      </c>
      <c r="Y628" s="9">
        <f t="shared" si="109"/>
        <v>79.8</v>
      </c>
      <c r="Z628" s="5" t="s">
        <v>1761</v>
      </c>
      <c r="AA628" s="5" t="s">
        <v>1761</v>
      </c>
      <c r="AB628" s="9">
        <f t="shared" si="110"/>
        <v>160</v>
      </c>
      <c r="AC628" s="9">
        <f t="shared" si="111"/>
        <v>16</v>
      </c>
      <c r="AD628" s="9">
        <f t="shared" si="112"/>
        <v>144</v>
      </c>
      <c r="AE628" s="9">
        <f t="shared" si="113"/>
        <v>64.2</v>
      </c>
      <c r="AF628" s="9">
        <f t="shared" si="119"/>
        <v>79.8</v>
      </c>
      <c r="AG628" s="8">
        <f t="shared" si="114"/>
        <v>2024</v>
      </c>
      <c r="AH628" s="8">
        <f t="shared" si="115"/>
        <v>5</v>
      </c>
      <c r="AI628" s="5" t="str">
        <f t="shared" si="116"/>
        <v>May</v>
      </c>
      <c r="AJ628" s="5" t="str">
        <f t="shared" si="117"/>
        <v>Friday</v>
      </c>
    </row>
    <row r="629" spans="1:36" x14ac:dyDescent="0.3">
      <c r="A629" s="5" t="s">
        <v>663</v>
      </c>
      <c r="B629" s="6">
        <v>45498</v>
      </c>
      <c r="C629" s="7">
        <v>0.52083333333333337</v>
      </c>
      <c r="D629" s="5" t="s">
        <v>1789</v>
      </c>
      <c r="E629" s="5" t="s">
        <v>1987</v>
      </c>
      <c r="F629" s="5" t="s">
        <v>2240</v>
      </c>
      <c r="G629" s="5" t="s">
        <v>2247</v>
      </c>
      <c r="H629" s="5" t="s">
        <v>2257</v>
      </c>
      <c r="I629" s="5" t="s">
        <v>2262</v>
      </c>
      <c r="J629" s="5" t="s">
        <v>2266</v>
      </c>
      <c r="K629" s="8">
        <v>2</v>
      </c>
      <c r="L629" s="9">
        <v>100</v>
      </c>
      <c r="M629" s="10">
        <v>0</v>
      </c>
      <c r="N629" s="9">
        <f t="shared" si="118"/>
        <v>200</v>
      </c>
      <c r="O629" s="9">
        <f t="shared" si="108"/>
        <v>200</v>
      </c>
      <c r="P629" s="5" t="s">
        <v>2268</v>
      </c>
      <c r="Q629" s="5" t="s">
        <v>2270</v>
      </c>
      <c r="R629" s="5" t="s">
        <v>2276</v>
      </c>
      <c r="S629" s="5" t="s">
        <v>2285</v>
      </c>
      <c r="T629" s="5" t="s">
        <v>2290</v>
      </c>
      <c r="U629" s="8">
        <v>2</v>
      </c>
      <c r="V629" s="8">
        <v>6</v>
      </c>
      <c r="W629" s="8">
        <v>32</v>
      </c>
      <c r="X629" s="9">
        <v>52.69</v>
      </c>
      <c r="Y629" s="9">
        <f t="shared" si="109"/>
        <v>94.62</v>
      </c>
      <c r="Z629" s="5" t="s">
        <v>1761</v>
      </c>
      <c r="AA629" s="5" t="s">
        <v>2299</v>
      </c>
      <c r="AB629" s="9">
        <f t="shared" si="110"/>
        <v>200</v>
      </c>
      <c r="AC629" s="9">
        <f t="shared" si="111"/>
        <v>0</v>
      </c>
      <c r="AD629" s="9">
        <f t="shared" si="112"/>
        <v>200</v>
      </c>
      <c r="AE629" s="9">
        <f t="shared" si="113"/>
        <v>105.38</v>
      </c>
      <c r="AF629" s="9">
        <f t="shared" si="119"/>
        <v>94.62</v>
      </c>
      <c r="AG629" s="8">
        <f t="shared" si="114"/>
        <v>2024</v>
      </c>
      <c r="AH629" s="8">
        <f t="shared" si="115"/>
        <v>7</v>
      </c>
      <c r="AI629" s="5" t="str">
        <f t="shared" si="116"/>
        <v>Jul</v>
      </c>
      <c r="AJ629" s="5" t="str">
        <f t="shared" si="117"/>
        <v>Thursday</v>
      </c>
    </row>
    <row r="630" spans="1:36" x14ac:dyDescent="0.3">
      <c r="A630" s="5" t="s">
        <v>664</v>
      </c>
      <c r="B630" s="18">
        <v>45468</v>
      </c>
      <c r="C630" s="7">
        <v>0.34722222222222221</v>
      </c>
      <c r="D630" s="5" t="s">
        <v>1802</v>
      </c>
      <c r="E630" s="5" t="s">
        <v>2063</v>
      </c>
      <c r="F630" s="5" t="s">
        <v>2239</v>
      </c>
      <c r="G630" s="5" t="s">
        <v>2254</v>
      </c>
      <c r="H630" s="5" t="s">
        <v>2259</v>
      </c>
      <c r="I630" s="5" t="s">
        <v>2263</v>
      </c>
      <c r="J630" s="5" t="s">
        <v>2265</v>
      </c>
      <c r="K630" s="8">
        <v>1</v>
      </c>
      <c r="L630" s="9">
        <v>105</v>
      </c>
      <c r="M630" s="10">
        <v>0</v>
      </c>
      <c r="N630" s="9">
        <f t="shared" si="118"/>
        <v>105</v>
      </c>
      <c r="O630" s="9">
        <f t="shared" si="108"/>
        <v>105</v>
      </c>
      <c r="P630" s="5" t="s">
        <v>2267</v>
      </c>
      <c r="Q630" s="5" t="s">
        <v>2271</v>
      </c>
      <c r="R630" s="5" t="s">
        <v>2275</v>
      </c>
      <c r="S630" s="5" t="s">
        <v>2282</v>
      </c>
      <c r="T630" s="5" t="s">
        <v>2288</v>
      </c>
      <c r="U630" s="8">
        <v>5</v>
      </c>
      <c r="V630" s="8">
        <v>413</v>
      </c>
      <c r="W630" s="8">
        <v>60</v>
      </c>
      <c r="X630" s="9">
        <v>64.510000000000005</v>
      </c>
      <c r="Y630" s="9">
        <f t="shared" si="109"/>
        <v>40.489999999999995</v>
      </c>
      <c r="Z630" s="5" t="s">
        <v>2292</v>
      </c>
      <c r="AA630" s="5" t="s">
        <v>2296</v>
      </c>
      <c r="AB630" s="9">
        <f t="shared" si="110"/>
        <v>105</v>
      </c>
      <c r="AC630" s="9">
        <f t="shared" si="111"/>
        <v>0</v>
      </c>
      <c r="AD630" s="9">
        <f t="shared" si="112"/>
        <v>105</v>
      </c>
      <c r="AE630" s="9">
        <f t="shared" si="113"/>
        <v>64.510000000000005</v>
      </c>
      <c r="AF630" s="9">
        <f t="shared" si="119"/>
        <v>40.489999999999995</v>
      </c>
      <c r="AG630" s="8">
        <f t="shared" si="114"/>
        <v>2024</v>
      </c>
      <c r="AH630" s="8">
        <f t="shared" si="115"/>
        <v>6</v>
      </c>
      <c r="AI630" s="5" t="str">
        <f t="shared" si="116"/>
        <v>Jun</v>
      </c>
      <c r="AJ630" s="5" t="str">
        <f t="shared" si="117"/>
        <v>Tuesday</v>
      </c>
    </row>
    <row r="631" spans="1:36" x14ac:dyDescent="0.3">
      <c r="A631" s="5" t="s">
        <v>665</v>
      </c>
      <c r="B631" s="6">
        <v>45525</v>
      </c>
      <c r="C631" s="7">
        <v>0.3888888888888889</v>
      </c>
      <c r="D631" s="5" t="s">
        <v>1930</v>
      </c>
      <c r="E631" s="5" t="s">
        <v>2043</v>
      </c>
      <c r="F631" s="5" t="s">
        <v>2240</v>
      </c>
      <c r="G631" s="5" t="s">
        <v>2248</v>
      </c>
      <c r="H631" s="5" t="s">
        <v>2257</v>
      </c>
      <c r="I631" s="5" t="s">
        <v>2262</v>
      </c>
      <c r="J631" s="5" t="s">
        <v>2266</v>
      </c>
      <c r="K631" s="8">
        <v>1</v>
      </c>
      <c r="L631" s="9">
        <v>140</v>
      </c>
      <c r="M631" s="10">
        <v>0.1</v>
      </c>
      <c r="N631" s="9">
        <f t="shared" si="118"/>
        <v>140</v>
      </c>
      <c r="O631" s="9">
        <f t="shared" si="108"/>
        <v>126</v>
      </c>
      <c r="P631" s="5" t="s">
        <v>2267</v>
      </c>
      <c r="Q631" s="5" t="s">
        <v>2270</v>
      </c>
      <c r="R631" s="5" t="s">
        <v>2277</v>
      </c>
      <c r="S631" s="5" t="s">
        <v>2280</v>
      </c>
      <c r="T631" s="5" t="s">
        <v>2289</v>
      </c>
      <c r="U631" s="8">
        <v>5</v>
      </c>
      <c r="V631" s="19">
        <v>244</v>
      </c>
      <c r="W631" s="19">
        <v>34</v>
      </c>
      <c r="X631" s="9">
        <v>53.24</v>
      </c>
      <c r="Y631" s="9">
        <f t="shared" si="109"/>
        <v>72.759999999999991</v>
      </c>
      <c r="Z631" s="5" t="s">
        <v>2293</v>
      </c>
      <c r="AA631" s="5" t="s">
        <v>2298</v>
      </c>
      <c r="AB631" s="9">
        <f t="shared" si="110"/>
        <v>140</v>
      </c>
      <c r="AC631" s="9">
        <f t="shared" si="111"/>
        <v>14</v>
      </c>
      <c r="AD631" s="9">
        <f t="shared" si="112"/>
        <v>126</v>
      </c>
      <c r="AE631" s="9">
        <f t="shared" si="113"/>
        <v>53.24</v>
      </c>
      <c r="AF631" s="9">
        <f t="shared" si="119"/>
        <v>72.759999999999991</v>
      </c>
      <c r="AG631" s="8">
        <f t="shared" si="114"/>
        <v>2024</v>
      </c>
      <c r="AH631" s="8">
        <f t="shared" si="115"/>
        <v>8</v>
      </c>
      <c r="AI631" s="5" t="str">
        <f t="shared" si="116"/>
        <v>Aug</v>
      </c>
      <c r="AJ631" s="5" t="str">
        <f t="shared" si="117"/>
        <v>Wednesday</v>
      </c>
    </row>
    <row r="632" spans="1:36" x14ac:dyDescent="0.3">
      <c r="A632" s="5" t="s">
        <v>666</v>
      </c>
      <c r="B632" s="6">
        <v>45439</v>
      </c>
      <c r="C632" s="7">
        <v>0.57291666666666663</v>
      </c>
      <c r="D632" s="5" t="s">
        <v>1841</v>
      </c>
      <c r="E632" s="5" t="s">
        <v>2155</v>
      </c>
      <c r="F632" s="5" t="s">
        <v>2239</v>
      </c>
      <c r="G632" s="5" t="s">
        <v>2242</v>
      </c>
      <c r="H632" s="5" t="s">
        <v>2258</v>
      </c>
      <c r="I632" s="5" t="s">
        <v>2260</v>
      </c>
      <c r="J632" s="5" t="s">
        <v>2264</v>
      </c>
      <c r="K632" s="8">
        <v>1</v>
      </c>
      <c r="L632" s="9">
        <v>115</v>
      </c>
      <c r="M632" s="10">
        <v>0.1</v>
      </c>
      <c r="N632" s="9">
        <f t="shared" si="118"/>
        <v>115</v>
      </c>
      <c r="O632" s="9">
        <f t="shared" si="108"/>
        <v>103.5</v>
      </c>
      <c r="P632" s="5" t="s">
        <v>1761</v>
      </c>
      <c r="Q632" s="5" t="s">
        <v>1761</v>
      </c>
      <c r="R632" s="5" t="s">
        <v>2273</v>
      </c>
      <c r="S632" s="5" t="s">
        <v>2285</v>
      </c>
      <c r="T632" s="5" t="s">
        <v>2290</v>
      </c>
      <c r="U632" s="19">
        <v>3</v>
      </c>
      <c r="V632" s="8">
        <v>314</v>
      </c>
      <c r="W632" s="19">
        <v>36</v>
      </c>
      <c r="X632" s="9">
        <v>46.01</v>
      </c>
      <c r="Y632" s="9">
        <f t="shared" si="109"/>
        <v>57.49</v>
      </c>
      <c r="Z632" s="5" t="s">
        <v>1761</v>
      </c>
      <c r="AA632" s="5" t="s">
        <v>1761</v>
      </c>
      <c r="AB632" s="9">
        <f t="shared" si="110"/>
        <v>115</v>
      </c>
      <c r="AC632" s="9">
        <f t="shared" si="111"/>
        <v>11.5</v>
      </c>
      <c r="AD632" s="9">
        <f t="shared" si="112"/>
        <v>103.5</v>
      </c>
      <c r="AE632" s="9">
        <f t="shared" si="113"/>
        <v>46.01</v>
      </c>
      <c r="AF632" s="9">
        <f t="shared" si="119"/>
        <v>57.49</v>
      </c>
      <c r="AG632" s="8">
        <f t="shared" si="114"/>
        <v>2024</v>
      </c>
      <c r="AH632" s="8">
        <f t="shared" si="115"/>
        <v>5</v>
      </c>
      <c r="AI632" s="5" t="str">
        <f t="shared" si="116"/>
        <v>May</v>
      </c>
      <c r="AJ632" s="5" t="str">
        <f t="shared" si="117"/>
        <v>Monday</v>
      </c>
    </row>
    <row r="633" spans="1:36" x14ac:dyDescent="0.3">
      <c r="A633" s="5" t="s">
        <v>667</v>
      </c>
      <c r="B633" s="18">
        <v>45468</v>
      </c>
      <c r="C633" s="7">
        <v>0.45833333333333331</v>
      </c>
      <c r="D633" s="5" t="s">
        <v>1919</v>
      </c>
      <c r="E633" s="5" t="s">
        <v>2053</v>
      </c>
      <c r="F633" s="5" t="s">
        <v>1761</v>
      </c>
      <c r="G633" s="5" t="s">
        <v>2251</v>
      </c>
      <c r="H633" s="5" t="s">
        <v>2258</v>
      </c>
      <c r="I633" s="5" t="s">
        <v>2260</v>
      </c>
      <c r="J633" s="5" t="s">
        <v>2264</v>
      </c>
      <c r="K633" s="8">
        <v>1</v>
      </c>
      <c r="L633" s="9">
        <v>100</v>
      </c>
      <c r="M633" s="10">
        <v>0</v>
      </c>
      <c r="N633" s="9">
        <f t="shared" si="118"/>
        <v>100</v>
      </c>
      <c r="O633" s="9">
        <f t="shared" si="108"/>
        <v>100</v>
      </c>
      <c r="P633" s="5" t="s">
        <v>2268</v>
      </c>
      <c r="Q633" s="5" t="s">
        <v>1761</v>
      </c>
      <c r="R633" s="5" t="s">
        <v>2276</v>
      </c>
      <c r="S633" s="5" t="s">
        <v>2286</v>
      </c>
      <c r="T633" s="5" t="s">
        <v>2290</v>
      </c>
      <c r="U633" s="8">
        <v>3</v>
      </c>
      <c r="V633" s="8">
        <v>375</v>
      </c>
      <c r="W633" s="8">
        <v>16</v>
      </c>
      <c r="X633" s="9">
        <v>55.33</v>
      </c>
      <c r="Y633" s="9">
        <f t="shared" si="109"/>
        <v>44.67</v>
      </c>
      <c r="Z633" s="5" t="s">
        <v>1761</v>
      </c>
      <c r="AA633" s="5" t="s">
        <v>2298</v>
      </c>
      <c r="AB633" s="9">
        <f t="shared" si="110"/>
        <v>100</v>
      </c>
      <c r="AC633" s="9">
        <f t="shared" si="111"/>
        <v>0</v>
      </c>
      <c r="AD633" s="9">
        <f t="shared" si="112"/>
        <v>100</v>
      </c>
      <c r="AE633" s="9">
        <f t="shared" si="113"/>
        <v>55.33</v>
      </c>
      <c r="AF633" s="9">
        <f t="shared" si="119"/>
        <v>44.67</v>
      </c>
      <c r="AG633" s="8">
        <f t="shared" si="114"/>
        <v>2024</v>
      </c>
      <c r="AH633" s="8">
        <f t="shared" si="115"/>
        <v>6</v>
      </c>
      <c r="AI633" s="5" t="str">
        <f t="shared" si="116"/>
        <v>Jun</v>
      </c>
      <c r="AJ633" s="5" t="str">
        <f t="shared" si="117"/>
        <v>Tuesday</v>
      </c>
    </row>
    <row r="634" spans="1:36" x14ac:dyDescent="0.3">
      <c r="A634" s="5" t="s">
        <v>668</v>
      </c>
      <c r="B634" s="6">
        <v>45618</v>
      </c>
      <c r="C634" s="7">
        <v>0.66666666666666663</v>
      </c>
      <c r="D634" s="5" t="s">
        <v>1833</v>
      </c>
      <c r="E634" s="5" t="s">
        <v>2198</v>
      </c>
      <c r="F634" s="5" t="s">
        <v>2240</v>
      </c>
      <c r="G634" s="5" t="s">
        <v>2250</v>
      </c>
      <c r="H634" s="5" t="s">
        <v>2259</v>
      </c>
      <c r="I634" s="5" t="s">
        <v>2262</v>
      </c>
      <c r="J634" s="5" t="s">
        <v>2264</v>
      </c>
      <c r="K634" s="8">
        <v>1</v>
      </c>
      <c r="L634" s="9">
        <v>90</v>
      </c>
      <c r="M634" s="10">
        <v>0.05</v>
      </c>
      <c r="N634" s="9">
        <f t="shared" si="118"/>
        <v>90</v>
      </c>
      <c r="O634" s="9">
        <f t="shared" si="108"/>
        <v>85.5</v>
      </c>
      <c r="P634" s="5" t="s">
        <v>2269</v>
      </c>
      <c r="Q634" s="5" t="s">
        <v>2272</v>
      </c>
      <c r="R634" s="5" t="s">
        <v>2274</v>
      </c>
      <c r="S634" s="5" t="s">
        <v>2287</v>
      </c>
      <c r="T634" s="5" t="s">
        <v>2288</v>
      </c>
      <c r="U634" s="8">
        <v>2</v>
      </c>
      <c r="V634" s="8">
        <v>149</v>
      </c>
      <c r="W634" s="8">
        <v>29</v>
      </c>
      <c r="X634" s="9">
        <v>29.45</v>
      </c>
      <c r="Y634" s="9">
        <f t="shared" si="109"/>
        <v>56.05</v>
      </c>
      <c r="Z634" s="5" t="s">
        <v>2293</v>
      </c>
      <c r="AA634" s="5" t="s">
        <v>1761</v>
      </c>
      <c r="AB634" s="9">
        <f t="shared" si="110"/>
        <v>90</v>
      </c>
      <c r="AC634" s="9">
        <f t="shared" si="111"/>
        <v>4.5</v>
      </c>
      <c r="AD634" s="9">
        <f t="shared" si="112"/>
        <v>85.5</v>
      </c>
      <c r="AE634" s="9">
        <f t="shared" si="113"/>
        <v>29.45</v>
      </c>
      <c r="AF634" s="9">
        <f t="shared" si="119"/>
        <v>56.05</v>
      </c>
      <c r="AG634" s="8">
        <f t="shared" si="114"/>
        <v>2024</v>
      </c>
      <c r="AH634" s="8">
        <f t="shared" si="115"/>
        <v>11</v>
      </c>
      <c r="AI634" s="5" t="str">
        <f t="shared" si="116"/>
        <v>Nov</v>
      </c>
      <c r="AJ634" s="5" t="str">
        <f t="shared" si="117"/>
        <v>Friday</v>
      </c>
    </row>
    <row r="635" spans="1:36" x14ac:dyDescent="0.3">
      <c r="A635" s="5" t="s">
        <v>669</v>
      </c>
      <c r="B635" s="6">
        <v>45641</v>
      </c>
      <c r="C635" s="7">
        <v>0.64583333333333337</v>
      </c>
      <c r="D635" s="5" t="s">
        <v>1763</v>
      </c>
      <c r="E635" s="5" t="s">
        <v>2199</v>
      </c>
      <c r="F635" s="5" t="s">
        <v>1761</v>
      </c>
      <c r="G635" s="5" t="s">
        <v>2253</v>
      </c>
      <c r="H635" s="5" t="s">
        <v>2258</v>
      </c>
      <c r="I635" s="5" t="s">
        <v>2260</v>
      </c>
      <c r="J635" s="5" t="s">
        <v>2266</v>
      </c>
      <c r="K635" s="8">
        <v>1</v>
      </c>
      <c r="L635" s="9">
        <v>100</v>
      </c>
      <c r="M635" s="10">
        <v>0</v>
      </c>
      <c r="N635" s="9">
        <f t="shared" si="118"/>
        <v>100</v>
      </c>
      <c r="O635" s="9">
        <f t="shared" si="108"/>
        <v>100</v>
      </c>
      <c r="P635" s="5" t="s">
        <v>2268</v>
      </c>
      <c r="Q635" s="5" t="s">
        <v>2271</v>
      </c>
      <c r="R635" s="5" t="s">
        <v>2277</v>
      </c>
      <c r="S635" s="5" t="s">
        <v>2287</v>
      </c>
      <c r="T635" s="5" t="s">
        <v>2288</v>
      </c>
      <c r="U635" s="8">
        <v>5</v>
      </c>
      <c r="V635" s="8">
        <v>251</v>
      </c>
      <c r="W635" s="8">
        <v>44</v>
      </c>
      <c r="X635" s="9">
        <v>32.5</v>
      </c>
      <c r="Y635" s="9">
        <f t="shared" si="109"/>
        <v>67.5</v>
      </c>
      <c r="Z635" s="5" t="s">
        <v>2293</v>
      </c>
      <c r="AA635" s="5" t="s">
        <v>2298</v>
      </c>
      <c r="AB635" s="9">
        <f t="shared" si="110"/>
        <v>100</v>
      </c>
      <c r="AC635" s="9">
        <f t="shared" si="111"/>
        <v>0</v>
      </c>
      <c r="AD635" s="9">
        <f t="shared" si="112"/>
        <v>100</v>
      </c>
      <c r="AE635" s="9">
        <f t="shared" si="113"/>
        <v>32.5</v>
      </c>
      <c r="AF635" s="9">
        <f t="shared" si="119"/>
        <v>67.5</v>
      </c>
      <c r="AG635" s="8">
        <f t="shared" si="114"/>
        <v>2024</v>
      </c>
      <c r="AH635" s="8">
        <f t="shared" si="115"/>
        <v>12</v>
      </c>
      <c r="AI635" s="5" t="str">
        <f t="shared" si="116"/>
        <v>Dec</v>
      </c>
      <c r="AJ635" s="5" t="str">
        <f t="shared" si="117"/>
        <v>Sunday</v>
      </c>
    </row>
    <row r="636" spans="1:36" x14ac:dyDescent="0.3">
      <c r="A636" s="5" t="s">
        <v>670</v>
      </c>
      <c r="B636" s="6">
        <v>45579</v>
      </c>
      <c r="C636" s="7">
        <v>0.8125</v>
      </c>
      <c r="D636" s="5" t="s">
        <v>1931</v>
      </c>
      <c r="E636" s="5" t="s">
        <v>2200</v>
      </c>
      <c r="F636" s="5" t="s">
        <v>2240</v>
      </c>
      <c r="G636" s="5" t="s">
        <v>2248</v>
      </c>
      <c r="H636" s="5" t="s">
        <v>2257</v>
      </c>
      <c r="I636" s="5" t="s">
        <v>2262</v>
      </c>
      <c r="J636" s="5" t="s">
        <v>2266</v>
      </c>
      <c r="K636" s="8">
        <v>1</v>
      </c>
      <c r="L636" s="9">
        <v>145</v>
      </c>
      <c r="M636" s="10">
        <v>0</v>
      </c>
      <c r="N636" s="9">
        <f t="shared" si="118"/>
        <v>145</v>
      </c>
      <c r="O636" s="9">
        <f t="shared" si="108"/>
        <v>145</v>
      </c>
      <c r="P636" s="5" t="s">
        <v>1761</v>
      </c>
      <c r="Q636" s="5" t="s">
        <v>2270</v>
      </c>
      <c r="R636" s="5" t="s">
        <v>2274</v>
      </c>
      <c r="S636" s="5" t="s">
        <v>2286</v>
      </c>
      <c r="T636" s="5" t="s">
        <v>2290</v>
      </c>
      <c r="U636" s="8">
        <v>1</v>
      </c>
      <c r="V636" s="8">
        <v>244</v>
      </c>
      <c r="W636" s="8">
        <v>46</v>
      </c>
      <c r="X636" s="9">
        <v>62.45</v>
      </c>
      <c r="Y636" s="9">
        <f t="shared" si="109"/>
        <v>82.55</v>
      </c>
      <c r="Z636" s="5" t="s">
        <v>2293</v>
      </c>
      <c r="AA636" s="5" t="s">
        <v>2298</v>
      </c>
      <c r="AB636" s="9">
        <f t="shared" si="110"/>
        <v>145</v>
      </c>
      <c r="AC636" s="9">
        <f t="shared" si="111"/>
        <v>0</v>
      </c>
      <c r="AD636" s="9">
        <f t="shared" si="112"/>
        <v>145</v>
      </c>
      <c r="AE636" s="9">
        <f t="shared" si="113"/>
        <v>62.45</v>
      </c>
      <c r="AF636" s="9">
        <f t="shared" si="119"/>
        <v>82.55</v>
      </c>
      <c r="AG636" s="8">
        <f t="shared" si="114"/>
        <v>2024</v>
      </c>
      <c r="AH636" s="8">
        <f t="shared" si="115"/>
        <v>10</v>
      </c>
      <c r="AI636" s="5" t="str">
        <f t="shared" si="116"/>
        <v>Oct</v>
      </c>
      <c r="AJ636" s="5" t="str">
        <f t="shared" si="117"/>
        <v>Monday</v>
      </c>
    </row>
    <row r="637" spans="1:36" x14ac:dyDescent="0.3">
      <c r="A637" s="5" t="s">
        <v>671</v>
      </c>
      <c r="B637" s="6">
        <v>45657</v>
      </c>
      <c r="C637" s="7">
        <v>0.59027777777777779</v>
      </c>
      <c r="D637" s="5" t="s">
        <v>1925</v>
      </c>
      <c r="E637" s="5" t="s">
        <v>1988</v>
      </c>
      <c r="F637" s="5" t="s">
        <v>2238</v>
      </c>
      <c r="G637" s="5" t="s">
        <v>2246</v>
      </c>
      <c r="H637" s="5" t="s">
        <v>2259</v>
      </c>
      <c r="I637" s="5" t="s">
        <v>2262</v>
      </c>
      <c r="J637" s="5" t="s">
        <v>1761</v>
      </c>
      <c r="K637" s="8">
        <v>1</v>
      </c>
      <c r="L637" s="9">
        <v>100</v>
      </c>
      <c r="M637" s="10">
        <v>0</v>
      </c>
      <c r="N637" s="9">
        <f t="shared" si="118"/>
        <v>100</v>
      </c>
      <c r="O637" s="9">
        <f t="shared" si="108"/>
        <v>100</v>
      </c>
      <c r="P637" s="5" t="s">
        <v>2267</v>
      </c>
      <c r="Q637" s="5" t="s">
        <v>2271</v>
      </c>
      <c r="R637" s="5" t="s">
        <v>2277</v>
      </c>
      <c r="S637" s="5" t="s">
        <v>2283</v>
      </c>
      <c r="T637" s="5" t="s">
        <v>2290</v>
      </c>
      <c r="U637" s="8">
        <v>1</v>
      </c>
      <c r="V637" s="19">
        <v>244</v>
      </c>
      <c r="W637" s="8">
        <v>57</v>
      </c>
      <c r="X637" s="9">
        <v>36.76</v>
      </c>
      <c r="Y637" s="9">
        <f t="shared" si="109"/>
        <v>63.24</v>
      </c>
      <c r="Z637" s="5" t="s">
        <v>2292</v>
      </c>
      <c r="AA637" s="5" t="s">
        <v>2297</v>
      </c>
      <c r="AB637" s="9">
        <f t="shared" si="110"/>
        <v>100</v>
      </c>
      <c r="AC637" s="9">
        <f t="shared" si="111"/>
        <v>0</v>
      </c>
      <c r="AD637" s="9">
        <f t="shared" si="112"/>
        <v>100</v>
      </c>
      <c r="AE637" s="9">
        <f t="shared" si="113"/>
        <v>36.76</v>
      </c>
      <c r="AF637" s="9">
        <f t="shared" si="119"/>
        <v>63.24</v>
      </c>
      <c r="AG637" s="8">
        <f t="shared" si="114"/>
        <v>2024</v>
      </c>
      <c r="AH637" s="8">
        <f t="shared" si="115"/>
        <v>12</v>
      </c>
      <c r="AI637" s="5" t="str">
        <f t="shared" si="116"/>
        <v>Dec</v>
      </c>
      <c r="AJ637" s="5" t="str">
        <f t="shared" si="117"/>
        <v>Tuesday</v>
      </c>
    </row>
    <row r="638" spans="1:36" x14ac:dyDescent="0.3">
      <c r="A638" s="5" t="s">
        <v>672</v>
      </c>
      <c r="B638" s="6">
        <v>45602</v>
      </c>
      <c r="C638" s="7">
        <v>0.75694444444444442</v>
      </c>
      <c r="D638" s="5" t="s">
        <v>1753</v>
      </c>
      <c r="E638" s="5" t="s">
        <v>1972</v>
      </c>
      <c r="F638" s="5" t="s">
        <v>2238</v>
      </c>
      <c r="G638" s="5" t="s">
        <v>2250</v>
      </c>
      <c r="H638" s="5" t="s">
        <v>2259</v>
      </c>
      <c r="I638" s="5" t="s">
        <v>2262</v>
      </c>
      <c r="J638" s="5" t="s">
        <v>1761</v>
      </c>
      <c r="K638" s="8">
        <v>1</v>
      </c>
      <c r="L638" s="9">
        <v>75</v>
      </c>
      <c r="M638" s="10">
        <v>0.05</v>
      </c>
      <c r="N638" s="9">
        <f t="shared" si="118"/>
        <v>75</v>
      </c>
      <c r="O638" s="9">
        <f t="shared" si="108"/>
        <v>71.25</v>
      </c>
      <c r="P638" s="5" t="s">
        <v>2269</v>
      </c>
      <c r="Q638" s="5" t="s">
        <v>2272</v>
      </c>
      <c r="R638" s="5" t="s">
        <v>2277</v>
      </c>
      <c r="S638" s="5" t="s">
        <v>2287</v>
      </c>
      <c r="T638" s="5" t="s">
        <v>2289</v>
      </c>
      <c r="U638" s="8">
        <v>2</v>
      </c>
      <c r="V638" s="8">
        <v>392</v>
      </c>
      <c r="W638" s="8">
        <v>21</v>
      </c>
      <c r="X638" s="9">
        <v>32.57</v>
      </c>
      <c r="Y638" s="9">
        <f t="shared" si="109"/>
        <v>38.68</v>
      </c>
      <c r="Z638" s="5" t="s">
        <v>1761</v>
      </c>
      <c r="AA638" s="5" t="s">
        <v>2299</v>
      </c>
      <c r="AB638" s="9">
        <f t="shared" si="110"/>
        <v>75</v>
      </c>
      <c r="AC638" s="9">
        <f t="shared" si="111"/>
        <v>3.75</v>
      </c>
      <c r="AD638" s="9">
        <f t="shared" si="112"/>
        <v>71.25</v>
      </c>
      <c r="AE638" s="9">
        <f t="shared" si="113"/>
        <v>32.57</v>
      </c>
      <c r="AF638" s="9">
        <f t="shared" si="119"/>
        <v>38.68</v>
      </c>
      <c r="AG638" s="8">
        <f t="shared" si="114"/>
        <v>2024</v>
      </c>
      <c r="AH638" s="8">
        <f t="shared" si="115"/>
        <v>11</v>
      </c>
      <c r="AI638" s="5" t="str">
        <f t="shared" si="116"/>
        <v>Nov</v>
      </c>
      <c r="AJ638" s="5" t="str">
        <f t="shared" si="117"/>
        <v>Wednesday</v>
      </c>
    </row>
    <row r="639" spans="1:36" x14ac:dyDescent="0.3">
      <c r="A639" s="5" t="s">
        <v>673</v>
      </c>
      <c r="B639" s="6">
        <v>45569</v>
      </c>
      <c r="C639" s="7">
        <v>0.42708333333333331</v>
      </c>
      <c r="D639" s="5" t="s">
        <v>1798</v>
      </c>
      <c r="E639" s="5" t="s">
        <v>1990</v>
      </c>
      <c r="F639" s="5" t="s">
        <v>2240</v>
      </c>
      <c r="G639" s="5" t="s">
        <v>2245</v>
      </c>
      <c r="H639" s="5" t="s">
        <v>2257</v>
      </c>
      <c r="I639" s="5" t="s">
        <v>2263</v>
      </c>
      <c r="J639" s="5" t="s">
        <v>2265</v>
      </c>
      <c r="K639" s="8">
        <v>5</v>
      </c>
      <c r="L639" s="9">
        <v>155</v>
      </c>
      <c r="M639" s="10">
        <v>0</v>
      </c>
      <c r="N639" s="9">
        <f t="shared" si="118"/>
        <v>775</v>
      </c>
      <c r="O639" s="9">
        <f t="shared" si="108"/>
        <v>775</v>
      </c>
      <c r="P639" s="5" t="s">
        <v>2267</v>
      </c>
      <c r="Q639" s="5" t="s">
        <v>2271</v>
      </c>
      <c r="R639" s="5" t="s">
        <v>2277</v>
      </c>
      <c r="S639" s="5" t="s">
        <v>2280</v>
      </c>
      <c r="T639" s="5" t="s">
        <v>2288</v>
      </c>
      <c r="U639" s="8">
        <v>5</v>
      </c>
      <c r="V639" s="8">
        <v>132</v>
      </c>
      <c r="W639" s="19">
        <v>37</v>
      </c>
      <c r="X639" s="9">
        <v>55.8</v>
      </c>
      <c r="Y639" s="9">
        <f t="shared" si="109"/>
        <v>496</v>
      </c>
      <c r="Z639" s="5" t="s">
        <v>1761</v>
      </c>
      <c r="AA639" s="5" t="s">
        <v>1761</v>
      </c>
      <c r="AB639" s="9">
        <f t="shared" si="110"/>
        <v>775</v>
      </c>
      <c r="AC639" s="9">
        <f t="shared" si="111"/>
        <v>0</v>
      </c>
      <c r="AD639" s="9">
        <f t="shared" si="112"/>
        <v>775</v>
      </c>
      <c r="AE639" s="9">
        <f t="shared" si="113"/>
        <v>279</v>
      </c>
      <c r="AF639" s="9">
        <f t="shared" si="119"/>
        <v>496</v>
      </c>
      <c r="AG639" s="8">
        <f t="shared" si="114"/>
        <v>2024</v>
      </c>
      <c r="AH639" s="8">
        <f t="shared" si="115"/>
        <v>10</v>
      </c>
      <c r="AI639" s="5" t="str">
        <f t="shared" si="116"/>
        <v>Oct</v>
      </c>
      <c r="AJ639" s="5" t="str">
        <f t="shared" si="117"/>
        <v>Friday</v>
      </c>
    </row>
    <row r="640" spans="1:36" x14ac:dyDescent="0.3">
      <c r="A640" s="5" t="s">
        <v>674</v>
      </c>
      <c r="B640" s="6">
        <v>45607</v>
      </c>
      <c r="C640" s="7">
        <v>0.55208333333333337</v>
      </c>
      <c r="D640" s="5" t="s">
        <v>1796</v>
      </c>
      <c r="E640" s="5" t="s">
        <v>1959</v>
      </c>
      <c r="F640" s="5" t="s">
        <v>2238</v>
      </c>
      <c r="G640" s="5" t="s">
        <v>2252</v>
      </c>
      <c r="H640" s="5" t="s">
        <v>2257</v>
      </c>
      <c r="I640" s="5" t="s">
        <v>2262</v>
      </c>
      <c r="J640" s="5" t="s">
        <v>2266</v>
      </c>
      <c r="K640" s="8">
        <v>3</v>
      </c>
      <c r="L640" s="9">
        <v>90</v>
      </c>
      <c r="M640" s="10">
        <v>0.05</v>
      </c>
      <c r="N640" s="9">
        <f t="shared" si="118"/>
        <v>270</v>
      </c>
      <c r="O640" s="9">
        <f t="shared" si="108"/>
        <v>256.5</v>
      </c>
      <c r="P640" s="5" t="s">
        <v>1761</v>
      </c>
      <c r="Q640" s="5" t="s">
        <v>2272</v>
      </c>
      <c r="R640" s="5" t="s">
        <v>2279</v>
      </c>
      <c r="S640" s="5" t="s">
        <v>2282</v>
      </c>
      <c r="T640" s="5" t="s">
        <v>2288</v>
      </c>
      <c r="U640" s="8">
        <v>2</v>
      </c>
      <c r="V640" s="8">
        <v>3</v>
      </c>
      <c r="W640" s="19">
        <v>35</v>
      </c>
      <c r="X640" s="9">
        <v>33.799999999999997</v>
      </c>
      <c r="Y640" s="9">
        <f t="shared" si="109"/>
        <v>155.10000000000002</v>
      </c>
      <c r="Z640" s="5" t="s">
        <v>2293</v>
      </c>
      <c r="AA640" s="5" t="s">
        <v>2296</v>
      </c>
      <c r="AB640" s="9">
        <f t="shared" si="110"/>
        <v>270</v>
      </c>
      <c r="AC640" s="9">
        <f t="shared" si="111"/>
        <v>13.5</v>
      </c>
      <c r="AD640" s="9">
        <f t="shared" si="112"/>
        <v>256.5</v>
      </c>
      <c r="AE640" s="9">
        <f t="shared" si="113"/>
        <v>101.39999999999999</v>
      </c>
      <c r="AF640" s="9">
        <f t="shared" si="119"/>
        <v>155.10000000000002</v>
      </c>
      <c r="AG640" s="8">
        <f t="shared" si="114"/>
        <v>2024</v>
      </c>
      <c r="AH640" s="8">
        <f t="shared" si="115"/>
        <v>11</v>
      </c>
      <c r="AI640" s="5" t="str">
        <f t="shared" si="116"/>
        <v>Nov</v>
      </c>
      <c r="AJ640" s="5" t="str">
        <f t="shared" si="117"/>
        <v>Monday</v>
      </c>
    </row>
    <row r="641" spans="1:36" x14ac:dyDescent="0.3">
      <c r="A641" s="5" t="s">
        <v>675</v>
      </c>
      <c r="B641" s="6">
        <v>45416</v>
      </c>
      <c r="C641" s="7">
        <v>0.67708333333333337</v>
      </c>
      <c r="D641" s="5" t="s">
        <v>1869</v>
      </c>
      <c r="E641" s="5" t="s">
        <v>2177</v>
      </c>
      <c r="F641" s="5" t="s">
        <v>2239</v>
      </c>
      <c r="G641" s="5" t="s">
        <v>2252</v>
      </c>
      <c r="H641" s="5" t="s">
        <v>2257</v>
      </c>
      <c r="I641" s="5" t="s">
        <v>2262</v>
      </c>
      <c r="J641" s="5" t="s">
        <v>1761</v>
      </c>
      <c r="K641" s="8">
        <v>1</v>
      </c>
      <c r="L641" s="9">
        <v>85</v>
      </c>
      <c r="M641" s="10">
        <v>0</v>
      </c>
      <c r="N641" s="9">
        <f t="shared" si="118"/>
        <v>85</v>
      </c>
      <c r="O641" s="9">
        <f t="shared" si="108"/>
        <v>85</v>
      </c>
      <c r="P641" s="5" t="s">
        <v>2267</v>
      </c>
      <c r="Q641" s="5" t="s">
        <v>2272</v>
      </c>
      <c r="R641" s="5" t="s">
        <v>2276</v>
      </c>
      <c r="S641" s="5" t="s">
        <v>2285</v>
      </c>
      <c r="T641" s="5" t="s">
        <v>2288</v>
      </c>
      <c r="U641" s="8">
        <v>1</v>
      </c>
      <c r="V641" s="8">
        <v>352</v>
      </c>
      <c r="W641" s="19">
        <v>35</v>
      </c>
      <c r="X641" s="9">
        <v>38.6</v>
      </c>
      <c r="Y641" s="9">
        <f t="shared" si="109"/>
        <v>46.4</v>
      </c>
      <c r="Z641" s="5" t="s">
        <v>2292</v>
      </c>
      <c r="AA641" s="5" t="s">
        <v>2296</v>
      </c>
      <c r="AB641" s="9">
        <f t="shared" si="110"/>
        <v>85</v>
      </c>
      <c r="AC641" s="9">
        <f t="shared" si="111"/>
        <v>0</v>
      </c>
      <c r="AD641" s="9">
        <f t="shared" si="112"/>
        <v>85</v>
      </c>
      <c r="AE641" s="9">
        <f t="shared" si="113"/>
        <v>38.6</v>
      </c>
      <c r="AF641" s="9">
        <f t="shared" si="119"/>
        <v>46.4</v>
      </c>
      <c r="AG641" s="8">
        <f t="shared" si="114"/>
        <v>2024</v>
      </c>
      <c r="AH641" s="8">
        <f t="shared" si="115"/>
        <v>5</v>
      </c>
      <c r="AI641" s="5" t="str">
        <f t="shared" si="116"/>
        <v>May</v>
      </c>
      <c r="AJ641" s="5" t="str">
        <f t="shared" si="117"/>
        <v>Saturday</v>
      </c>
    </row>
    <row r="642" spans="1:36" x14ac:dyDescent="0.3">
      <c r="A642" s="5" t="s">
        <v>676</v>
      </c>
      <c r="B642" s="6">
        <v>45311</v>
      </c>
      <c r="C642" s="7">
        <v>0.75694444444444442</v>
      </c>
      <c r="D642" s="5" t="s">
        <v>1888</v>
      </c>
      <c r="E642" s="5" t="s">
        <v>1973</v>
      </c>
      <c r="F642" s="5" t="s">
        <v>1761</v>
      </c>
      <c r="G642" s="5" t="s">
        <v>2255</v>
      </c>
      <c r="H642" s="5" t="s">
        <v>2260</v>
      </c>
      <c r="I642" s="5" t="s">
        <v>2260</v>
      </c>
      <c r="J642" s="5" t="s">
        <v>2265</v>
      </c>
      <c r="K642" s="8">
        <v>4</v>
      </c>
      <c r="L642" s="9">
        <v>190</v>
      </c>
      <c r="M642" s="10">
        <v>0</v>
      </c>
      <c r="N642" s="9">
        <f t="shared" si="118"/>
        <v>760</v>
      </c>
      <c r="O642" s="9">
        <f t="shared" ref="O642:O705" si="120">IF(N642="","",N642*(1-IF(M642="",0,M642)))</f>
        <v>760</v>
      </c>
      <c r="P642" s="5" t="s">
        <v>2267</v>
      </c>
      <c r="Q642" s="5" t="s">
        <v>2270</v>
      </c>
      <c r="R642" s="5" t="s">
        <v>2275</v>
      </c>
      <c r="S642" s="5" t="s">
        <v>2287</v>
      </c>
      <c r="T642" s="5" t="s">
        <v>2288</v>
      </c>
      <c r="U642" s="8">
        <v>1</v>
      </c>
      <c r="V642" s="8">
        <v>12</v>
      </c>
      <c r="W642" s="8">
        <v>14</v>
      </c>
      <c r="X642" s="9">
        <v>96.02</v>
      </c>
      <c r="Y642" s="9">
        <f t="shared" ref="Y642:Y705" si="121">IF(OR(O642="",K642="",X642=""),"",O642-K642*X642)</f>
        <v>375.92</v>
      </c>
      <c r="Z642" s="5" t="s">
        <v>2292</v>
      </c>
      <c r="AA642" s="5" t="s">
        <v>2297</v>
      </c>
      <c r="AB642" s="9">
        <f t="shared" ref="AB642:AB705" si="122">N642</f>
        <v>760</v>
      </c>
      <c r="AC642" s="9">
        <f t="shared" ref="AC642:AC705" si="123">IF(N642="","",N642*IF(M642="",0,M642))</f>
        <v>0</v>
      </c>
      <c r="AD642" s="9">
        <f t="shared" ref="AD642:AD705" si="124">O642</f>
        <v>760</v>
      </c>
      <c r="AE642" s="9">
        <f t="shared" ref="AE642:AE705" si="125">IF(OR(K642="",X642=""),"",K642*X642)</f>
        <v>384.08</v>
      </c>
      <c r="AF642" s="9">
        <f t="shared" si="119"/>
        <v>375.92</v>
      </c>
      <c r="AG642" s="8">
        <f t="shared" ref="AG642:AG705" si="126">IF(B642="","",YEAR(B642))</f>
        <v>2024</v>
      </c>
      <c r="AH642" s="8">
        <f t="shared" ref="AH642:AH705" si="127">IF(B642="","",MONTH(B642))</f>
        <v>1</v>
      </c>
      <c r="AI642" s="5" t="str">
        <f t="shared" ref="AI642:AI705" si="128">IF(B642="","",TEXT(B642,"mmm"))</f>
        <v>Jan</v>
      </c>
      <c r="AJ642" s="5" t="str">
        <f t="shared" ref="AJ642:AJ705" si="129">IF(B642="","",TEXT(B642,"dddd"))</f>
        <v>Saturday</v>
      </c>
    </row>
    <row r="643" spans="1:36" x14ac:dyDescent="0.3">
      <c r="A643" s="5" t="s">
        <v>677</v>
      </c>
      <c r="B643" s="6">
        <v>45616</v>
      </c>
      <c r="C643" s="7">
        <v>0.55208333333333337</v>
      </c>
      <c r="D643" s="5" t="s">
        <v>1891</v>
      </c>
      <c r="E643" s="5" t="s">
        <v>1948</v>
      </c>
      <c r="F643" s="5" t="s">
        <v>2238</v>
      </c>
      <c r="G643" s="5" t="s">
        <v>2246</v>
      </c>
      <c r="H643" s="5" t="s">
        <v>2259</v>
      </c>
      <c r="I643" s="5" t="s">
        <v>2262</v>
      </c>
      <c r="J643" s="5" t="s">
        <v>2266</v>
      </c>
      <c r="K643" s="8">
        <v>1</v>
      </c>
      <c r="L643" s="9">
        <v>100</v>
      </c>
      <c r="M643" s="10">
        <v>0</v>
      </c>
      <c r="N643" s="9">
        <f t="shared" ref="N643:N706" si="130">IFERROR(K643*L643,"")</f>
        <v>100</v>
      </c>
      <c r="O643" s="9">
        <f t="shared" si="120"/>
        <v>100</v>
      </c>
      <c r="P643" s="5" t="s">
        <v>2269</v>
      </c>
      <c r="Q643" s="5" t="s">
        <v>2272</v>
      </c>
      <c r="R643" s="5" t="s">
        <v>2278</v>
      </c>
      <c r="S643" s="5" t="s">
        <v>2285</v>
      </c>
      <c r="T643" s="5" t="s">
        <v>2289</v>
      </c>
      <c r="U643" s="8">
        <v>2</v>
      </c>
      <c r="V643" s="8">
        <v>167</v>
      </c>
      <c r="W643" s="8">
        <v>17</v>
      </c>
      <c r="X643" s="9">
        <v>40.65</v>
      </c>
      <c r="Y643" s="9">
        <f t="shared" si="121"/>
        <v>59.35</v>
      </c>
      <c r="Z643" s="5" t="s">
        <v>1761</v>
      </c>
      <c r="AA643" s="5" t="s">
        <v>2296</v>
      </c>
      <c r="AB643" s="9">
        <f t="shared" si="122"/>
        <v>100</v>
      </c>
      <c r="AC643" s="9">
        <f t="shared" si="123"/>
        <v>0</v>
      </c>
      <c r="AD643" s="9">
        <f t="shared" si="124"/>
        <v>100</v>
      </c>
      <c r="AE643" s="9">
        <f t="shared" si="125"/>
        <v>40.65</v>
      </c>
      <c r="AF643" s="9">
        <f t="shared" ref="AF643:AF706" si="131">Y643</f>
        <v>59.35</v>
      </c>
      <c r="AG643" s="8">
        <f t="shared" si="126"/>
        <v>2024</v>
      </c>
      <c r="AH643" s="8">
        <f t="shared" si="127"/>
        <v>11</v>
      </c>
      <c r="AI643" s="5" t="str">
        <f t="shared" si="128"/>
        <v>Nov</v>
      </c>
      <c r="AJ643" s="5" t="str">
        <f t="shared" si="129"/>
        <v>Wednesday</v>
      </c>
    </row>
    <row r="644" spans="1:36" x14ac:dyDescent="0.3">
      <c r="A644" s="5" t="s">
        <v>678</v>
      </c>
      <c r="B644" s="6">
        <v>45472</v>
      </c>
      <c r="C644" s="7">
        <v>0.72916666666666663</v>
      </c>
      <c r="D644" s="5" t="s">
        <v>1859</v>
      </c>
      <c r="E644" s="5" t="s">
        <v>1964</v>
      </c>
      <c r="F644" s="5" t="s">
        <v>1761</v>
      </c>
      <c r="G644" s="5" t="s">
        <v>2253</v>
      </c>
      <c r="H644" s="5" t="s">
        <v>2258</v>
      </c>
      <c r="I644" s="5" t="s">
        <v>2260</v>
      </c>
      <c r="J644" s="5" t="s">
        <v>1761</v>
      </c>
      <c r="K644" s="8">
        <v>1</v>
      </c>
      <c r="L644" s="9">
        <v>100</v>
      </c>
      <c r="M644" s="10">
        <v>0.05</v>
      </c>
      <c r="N644" s="9">
        <f t="shared" si="130"/>
        <v>100</v>
      </c>
      <c r="O644" s="9">
        <f t="shared" si="120"/>
        <v>95</v>
      </c>
      <c r="P644" s="5" t="s">
        <v>2268</v>
      </c>
      <c r="Q644" s="5" t="s">
        <v>2272</v>
      </c>
      <c r="R644" s="5" t="s">
        <v>2273</v>
      </c>
      <c r="S644" s="5" t="s">
        <v>2284</v>
      </c>
      <c r="T644" s="5" t="s">
        <v>2288</v>
      </c>
      <c r="U644" s="8">
        <v>1</v>
      </c>
      <c r="V644" s="8">
        <v>316</v>
      </c>
      <c r="W644" s="8">
        <v>50</v>
      </c>
      <c r="X644" s="9">
        <v>53.99</v>
      </c>
      <c r="Y644" s="9">
        <f t="shared" si="121"/>
        <v>41.01</v>
      </c>
      <c r="Z644" s="5" t="s">
        <v>1761</v>
      </c>
      <c r="AA644" s="5" t="s">
        <v>2297</v>
      </c>
      <c r="AB644" s="9">
        <f t="shared" si="122"/>
        <v>100</v>
      </c>
      <c r="AC644" s="9">
        <f t="shared" si="123"/>
        <v>5</v>
      </c>
      <c r="AD644" s="9">
        <f t="shared" si="124"/>
        <v>95</v>
      </c>
      <c r="AE644" s="9">
        <f t="shared" si="125"/>
        <v>53.99</v>
      </c>
      <c r="AF644" s="9">
        <f t="shared" si="131"/>
        <v>41.01</v>
      </c>
      <c r="AG644" s="8">
        <f t="shared" si="126"/>
        <v>2024</v>
      </c>
      <c r="AH644" s="8">
        <f t="shared" si="127"/>
        <v>6</v>
      </c>
      <c r="AI644" s="5" t="str">
        <f t="shared" si="128"/>
        <v>Jun</v>
      </c>
      <c r="AJ644" s="5" t="str">
        <f t="shared" si="129"/>
        <v>Saturday</v>
      </c>
    </row>
    <row r="645" spans="1:36" x14ac:dyDescent="0.3">
      <c r="A645" s="5" t="s">
        <v>679</v>
      </c>
      <c r="B645" s="6">
        <v>45553</v>
      </c>
      <c r="C645" s="7">
        <v>0.75694444444444442</v>
      </c>
      <c r="D645" s="5" t="s">
        <v>1829</v>
      </c>
      <c r="E645" s="5" t="s">
        <v>2200</v>
      </c>
      <c r="F645" s="5" t="s">
        <v>2238</v>
      </c>
      <c r="G645" s="5" t="s">
        <v>2254</v>
      </c>
      <c r="H645" s="5" t="s">
        <v>2259</v>
      </c>
      <c r="I645" s="5" t="s">
        <v>2263</v>
      </c>
      <c r="J645" s="5" t="s">
        <v>2266</v>
      </c>
      <c r="K645" s="8">
        <v>2</v>
      </c>
      <c r="L645" s="9">
        <v>115</v>
      </c>
      <c r="M645" s="10">
        <v>0</v>
      </c>
      <c r="N645" s="9">
        <f t="shared" si="130"/>
        <v>230</v>
      </c>
      <c r="O645" s="9">
        <f t="shared" si="120"/>
        <v>230</v>
      </c>
      <c r="P645" s="5" t="s">
        <v>2269</v>
      </c>
      <c r="Q645" s="5" t="s">
        <v>2272</v>
      </c>
      <c r="R645" s="5" t="s">
        <v>2274</v>
      </c>
      <c r="S645" s="5" t="s">
        <v>2284</v>
      </c>
      <c r="T645" s="5" t="s">
        <v>2290</v>
      </c>
      <c r="U645" s="19">
        <v>3</v>
      </c>
      <c r="V645" s="8">
        <v>234</v>
      </c>
      <c r="W645" s="8">
        <v>49</v>
      </c>
      <c r="X645" s="9">
        <v>63.51</v>
      </c>
      <c r="Y645" s="9">
        <f t="shared" si="121"/>
        <v>102.98</v>
      </c>
      <c r="Z645" s="5" t="s">
        <v>2291</v>
      </c>
      <c r="AA645" s="5" t="s">
        <v>1761</v>
      </c>
      <c r="AB645" s="9">
        <f t="shared" si="122"/>
        <v>230</v>
      </c>
      <c r="AC645" s="9">
        <f t="shared" si="123"/>
        <v>0</v>
      </c>
      <c r="AD645" s="9">
        <f t="shared" si="124"/>
        <v>230</v>
      </c>
      <c r="AE645" s="9">
        <f t="shared" si="125"/>
        <v>127.02</v>
      </c>
      <c r="AF645" s="9">
        <f t="shared" si="131"/>
        <v>102.98</v>
      </c>
      <c r="AG645" s="8">
        <f t="shared" si="126"/>
        <v>2024</v>
      </c>
      <c r="AH645" s="8">
        <f t="shared" si="127"/>
        <v>9</v>
      </c>
      <c r="AI645" s="5" t="str">
        <f t="shared" si="128"/>
        <v>Sep</v>
      </c>
      <c r="AJ645" s="5" t="str">
        <f t="shared" si="129"/>
        <v>Wednesday</v>
      </c>
    </row>
    <row r="646" spans="1:36" x14ac:dyDescent="0.3">
      <c r="A646" s="5" t="s">
        <v>680</v>
      </c>
      <c r="B646" s="6">
        <v>45529</v>
      </c>
      <c r="C646" s="7">
        <v>0.43055555555555558</v>
      </c>
      <c r="D646" s="5" t="s">
        <v>1846</v>
      </c>
      <c r="E646" s="5" t="s">
        <v>2103</v>
      </c>
      <c r="F646" s="5" t="s">
        <v>1761</v>
      </c>
      <c r="G646" s="5" t="s">
        <v>2243</v>
      </c>
      <c r="H646" s="5" t="s">
        <v>2258</v>
      </c>
      <c r="I646" s="5" t="s">
        <v>2260</v>
      </c>
      <c r="J646" s="5" t="s">
        <v>2264</v>
      </c>
      <c r="K646" s="8">
        <v>2</v>
      </c>
      <c r="L646" s="9">
        <v>80</v>
      </c>
      <c r="M646" s="10">
        <v>0</v>
      </c>
      <c r="N646" s="9">
        <f t="shared" si="130"/>
        <v>160</v>
      </c>
      <c r="O646" s="9">
        <f t="shared" si="120"/>
        <v>160</v>
      </c>
      <c r="P646" s="5" t="s">
        <v>2267</v>
      </c>
      <c r="Q646" s="5" t="s">
        <v>1761</v>
      </c>
      <c r="R646" s="5" t="s">
        <v>2277</v>
      </c>
      <c r="S646" s="5" t="s">
        <v>2282</v>
      </c>
      <c r="T646" s="5" t="s">
        <v>2290</v>
      </c>
      <c r="U646" s="8">
        <v>3</v>
      </c>
      <c r="V646" s="8">
        <v>47</v>
      </c>
      <c r="W646" s="19">
        <v>36</v>
      </c>
      <c r="X646" s="9">
        <v>38.97</v>
      </c>
      <c r="Y646" s="9">
        <f t="shared" si="121"/>
        <v>82.06</v>
      </c>
      <c r="Z646" s="5" t="s">
        <v>2293</v>
      </c>
      <c r="AA646" s="5" t="s">
        <v>2298</v>
      </c>
      <c r="AB646" s="9">
        <f t="shared" si="122"/>
        <v>160</v>
      </c>
      <c r="AC646" s="9">
        <f t="shared" si="123"/>
        <v>0</v>
      </c>
      <c r="AD646" s="9">
        <f t="shared" si="124"/>
        <v>160</v>
      </c>
      <c r="AE646" s="9">
        <f t="shared" si="125"/>
        <v>77.94</v>
      </c>
      <c r="AF646" s="9">
        <f t="shared" si="131"/>
        <v>82.06</v>
      </c>
      <c r="AG646" s="8">
        <f t="shared" si="126"/>
        <v>2024</v>
      </c>
      <c r="AH646" s="8">
        <f t="shared" si="127"/>
        <v>8</v>
      </c>
      <c r="AI646" s="5" t="str">
        <f t="shared" si="128"/>
        <v>Aug</v>
      </c>
      <c r="AJ646" s="5" t="str">
        <f t="shared" si="129"/>
        <v>Sunday</v>
      </c>
    </row>
    <row r="647" spans="1:36" x14ac:dyDescent="0.3">
      <c r="A647" s="5" t="s">
        <v>681</v>
      </c>
      <c r="B647" s="6">
        <v>45356</v>
      </c>
      <c r="C647" s="7">
        <v>0.88541666666666663</v>
      </c>
      <c r="D647" s="5" t="s">
        <v>1932</v>
      </c>
      <c r="E647" s="5" t="s">
        <v>2067</v>
      </c>
      <c r="F647" s="5" t="s">
        <v>2240</v>
      </c>
      <c r="G647" s="5" t="s">
        <v>2241</v>
      </c>
      <c r="H647" s="5" t="s">
        <v>2257</v>
      </c>
      <c r="I647" s="5" t="s">
        <v>2262</v>
      </c>
      <c r="J647" s="5" t="s">
        <v>2265</v>
      </c>
      <c r="K647" s="8">
        <v>2</v>
      </c>
      <c r="L647" s="9">
        <v>125</v>
      </c>
      <c r="M647" s="10">
        <v>0</v>
      </c>
      <c r="N647" s="9">
        <f t="shared" si="130"/>
        <v>250</v>
      </c>
      <c r="O647" s="9">
        <f t="shared" si="120"/>
        <v>250</v>
      </c>
      <c r="P647" s="5" t="s">
        <v>2267</v>
      </c>
      <c r="Q647" s="5" t="s">
        <v>2270</v>
      </c>
      <c r="R647" s="5" t="s">
        <v>2274</v>
      </c>
      <c r="S647" s="5" t="s">
        <v>2282</v>
      </c>
      <c r="T647" s="5" t="s">
        <v>2288</v>
      </c>
      <c r="U647" s="8">
        <v>4</v>
      </c>
      <c r="V647" s="8">
        <v>325</v>
      </c>
      <c r="W647" s="8">
        <v>22</v>
      </c>
      <c r="X647" s="9">
        <v>75.78</v>
      </c>
      <c r="Y647" s="9">
        <f t="shared" si="121"/>
        <v>98.44</v>
      </c>
      <c r="Z647" s="5" t="s">
        <v>2293</v>
      </c>
      <c r="AA647" s="5" t="s">
        <v>2297</v>
      </c>
      <c r="AB647" s="9">
        <f t="shared" si="122"/>
        <v>250</v>
      </c>
      <c r="AC647" s="9">
        <f t="shared" si="123"/>
        <v>0</v>
      </c>
      <c r="AD647" s="9">
        <f t="shared" si="124"/>
        <v>250</v>
      </c>
      <c r="AE647" s="9">
        <f t="shared" si="125"/>
        <v>151.56</v>
      </c>
      <c r="AF647" s="9">
        <f t="shared" si="131"/>
        <v>98.44</v>
      </c>
      <c r="AG647" s="8">
        <f t="shared" si="126"/>
        <v>2024</v>
      </c>
      <c r="AH647" s="8">
        <f t="shared" si="127"/>
        <v>3</v>
      </c>
      <c r="AI647" s="5" t="str">
        <f t="shared" si="128"/>
        <v>Mar</v>
      </c>
      <c r="AJ647" s="5" t="str">
        <f t="shared" si="129"/>
        <v>Tuesday</v>
      </c>
    </row>
    <row r="648" spans="1:36" x14ac:dyDescent="0.3">
      <c r="A648" s="5" t="s">
        <v>682</v>
      </c>
      <c r="B648" s="6">
        <v>45564</v>
      </c>
      <c r="C648" s="7">
        <v>0.34027777777777779</v>
      </c>
      <c r="D648" s="5" t="s">
        <v>1839</v>
      </c>
      <c r="E648" s="5" t="s">
        <v>1958</v>
      </c>
      <c r="F648" s="5" t="s">
        <v>2240</v>
      </c>
      <c r="G648" s="5" t="s">
        <v>2247</v>
      </c>
      <c r="H648" s="5" t="s">
        <v>2257</v>
      </c>
      <c r="I648" s="5" t="s">
        <v>2262</v>
      </c>
      <c r="J648" s="5" t="s">
        <v>2264</v>
      </c>
      <c r="K648" s="8">
        <v>1</v>
      </c>
      <c r="L648" s="9">
        <v>100</v>
      </c>
      <c r="M648" s="10">
        <v>0</v>
      </c>
      <c r="N648" s="9">
        <f t="shared" si="130"/>
        <v>100</v>
      </c>
      <c r="O648" s="9">
        <f t="shared" si="120"/>
        <v>100</v>
      </c>
      <c r="P648" s="5" t="s">
        <v>2269</v>
      </c>
      <c r="Q648" s="5" t="s">
        <v>2272</v>
      </c>
      <c r="R648" s="5" t="s">
        <v>2275</v>
      </c>
      <c r="S648" s="5" t="s">
        <v>2284</v>
      </c>
      <c r="T648" s="5" t="s">
        <v>2288</v>
      </c>
      <c r="U648" s="19">
        <v>3</v>
      </c>
      <c r="V648" s="8">
        <v>74</v>
      </c>
      <c r="W648" s="8">
        <v>39</v>
      </c>
      <c r="X648" s="9">
        <v>47.13</v>
      </c>
      <c r="Y648" s="9">
        <f t="shared" si="121"/>
        <v>52.87</v>
      </c>
      <c r="Z648" s="5" t="s">
        <v>2293</v>
      </c>
      <c r="AA648" s="5" t="s">
        <v>2297</v>
      </c>
      <c r="AB648" s="9">
        <f t="shared" si="122"/>
        <v>100</v>
      </c>
      <c r="AC648" s="9">
        <f t="shared" si="123"/>
        <v>0</v>
      </c>
      <c r="AD648" s="9">
        <f t="shared" si="124"/>
        <v>100</v>
      </c>
      <c r="AE648" s="9">
        <f t="shared" si="125"/>
        <v>47.13</v>
      </c>
      <c r="AF648" s="9">
        <f t="shared" si="131"/>
        <v>52.87</v>
      </c>
      <c r="AG648" s="8">
        <f t="shared" si="126"/>
        <v>2024</v>
      </c>
      <c r="AH648" s="8">
        <f t="shared" si="127"/>
        <v>9</v>
      </c>
      <c r="AI648" s="5" t="str">
        <f t="shared" si="128"/>
        <v>Sep</v>
      </c>
      <c r="AJ648" s="5" t="str">
        <f t="shared" si="129"/>
        <v>Sunday</v>
      </c>
    </row>
    <row r="649" spans="1:36" x14ac:dyDescent="0.3">
      <c r="A649" s="5" t="s">
        <v>683</v>
      </c>
      <c r="B649" s="6">
        <v>45415</v>
      </c>
      <c r="C649" s="7">
        <v>0.55555555555555558</v>
      </c>
      <c r="D649" s="5" t="s">
        <v>1841</v>
      </c>
      <c r="E649" s="5" t="s">
        <v>1999</v>
      </c>
      <c r="F649" s="5" t="s">
        <v>2239</v>
      </c>
      <c r="G649" s="5" t="s">
        <v>2254</v>
      </c>
      <c r="H649" s="5" t="s">
        <v>2259</v>
      </c>
      <c r="I649" s="5" t="s">
        <v>2263</v>
      </c>
      <c r="J649" s="5" t="s">
        <v>2265</v>
      </c>
      <c r="K649" s="8">
        <v>4</v>
      </c>
      <c r="L649" s="9">
        <v>110</v>
      </c>
      <c r="M649" s="10">
        <v>0.05</v>
      </c>
      <c r="N649" s="9">
        <f t="shared" si="130"/>
        <v>440</v>
      </c>
      <c r="O649" s="9">
        <f t="shared" si="120"/>
        <v>418</v>
      </c>
      <c r="P649" s="5" t="s">
        <v>1761</v>
      </c>
      <c r="Q649" s="5" t="s">
        <v>1761</v>
      </c>
      <c r="R649" s="5" t="s">
        <v>2274</v>
      </c>
      <c r="S649" s="5" t="s">
        <v>2281</v>
      </c>
      <c r="T649" s="5" t="s">
        <v>2290</v>
      </c>
      <c r="U649" s="8">
        <v>5</v>
      </c>
      <c r="V649" s="8">
        <v>314</v>
      </c>
      <c r="W649" s="8">
        <v>41</v>
      </c>
      <c r="X649" s="9">
        <v>59.74</v>
      </c>
      <c r="Y649" s="9">
        <f t="shared" si="121"/>
        <v>179.04</v>
      </c>
      <c r="Z649" s="5" t="s">
        <v>2293</v>
      </c>
      <c r="AA649" s="5" t="s">
        <v>2299</v>
      </c>
      <c r="AB649" s="9">
        <f t="shared" si="122"/>
        <v>440</v>
      </c>
      <c r="AC649" s="9">
        <f t="shared" si="123"/>
        <v>22</v>
      </c>
      <c r="AD649" s="9">
        <f t="shared" si="124"/>
        <v>418</v>
      </c>
      <c r="AE649" s="9">
        <f t="shared" si="125"/>
        <v>238.96</v>
      </c>
      <c r="AF649" s="9">
        <f t="shared" si="131"/>
        <v>179.04</v>
      </c>
      <c r="AG649" s="8">
        <f t="shared" si="126"/>
        <v>2024</v>
      </c>
      <c r="AH649" s="8">
        <f t="shared" si="127"/>
        <v>5</v>
      </c>
      <c r="AI649" s="5" t="str">
        <f t="shared" si="128"/>
        <v>May</v>
      </c>
      <c r="AJ649" s="5" t="str">
        <f t="shared" si="129"/>
        <v>Friday</v>
      </c>
    </row>
    <row r="650" spans="1:36" x14ac:dyDescent="0.3">
      <c r="A650" s="5" t="s">
        <v>684</v>
      </c>
      <c r="B650" s="6">
        <v>45442</v>
      </c>
      <c r="C650" s="7">
        <v>0.84722222222222221</v>
      </c>
      <c r="D650" s="5" t="s">
        <v>1871</v>
      </c>
      <c r="E650" s="5" t="s">
        <v>2201</v>
      </c>
      <c r="F650" s="5" t="s">
        <v>1761</v>
      </c>
      <c r="G650" s="5" t="s">
        <v>2242</v>
      </c>
      <c r="H650" s="5" t="s">
        <v>2258</v>
      </c>
      <c r="I650" s="5" t="s">
        <v>2260</v>
      </c>
      <c r="J650" s="5" t="s">
        <v>2266</v>
      </c>
      <c r="K650" s="8">
        <v>1</v>
      </c>
      <c r="L650" s="9">
        <v>115</v>
      </c>
      <c r="M650" s="10">
        <v>0</v>
      </c>
      <c r="N650" s="9">
        <f t="shared" si="130"/>
        <v>115</v>
      </c>
      <c r="O650" s="9">
        <f t="shared" si="120"/>
        <v>115</v>
      </c>
      <c r="P650" s="5" t="s">
        <v>2269</v>
      </c>
      <c r="Q650" s="5" t="s">
        <v>1761</v>
      </c>
      <c r="R650" s="5" t="s">
        <v>2279</v>
      </c>
      <c r="S650" s="5" t="s">
        <v>2287</v>
      </c>
      <c r="T650" s="5" t="s">
        <v>2288</v>
      </c>
      <c r="U650" s="8">
        <v>5</v>
      </c>
      <c r="V650" s="8">
        <v>23</v>
      </c>
      <c r="W650" s="19">
        <v>36</v>
      </c>
      <c r="X650" s="9">
        <v>63.16</v>
      </c>
      <c r="Y650" s="9">
        <f t="shared" si="121"/>
        <v>51.84</v>
      </c>
      <c r="Z650" s="5" t="s">
        <v>2292</v>
      </c>
      <c r="AA650" s="5" t="s">
        <v>2298</v>
      </c>
      <c r="AB650" s="9">
        <f t="shared" si="122"/>
        <v>115</v>
      </c>
      <c r="AC650" s="9">
        <f t="shared" si="123"/>
        <v>0</v>
      </c>
      <c r="AD650" s="9">
        <f t="shared" si="124"/>
        <v>115</v>
      </c>
      <c r="AE650" s="9">
        <f t="shared" si="125"/>
        <v>63.16</v>
      </c>
      <c r="AF650" s="9">
        <f t="shared" si="131"/>
        <v>51.84</v>
      </c>
      <c r="AG650" s="8">
        <f t="shared" si="126"/>
        <v>2024</v>
      </c>
      <c r="AH650" s="8">
        <f t="shared" si="127"/>
        <v>5</v>
      </c>
      <c r="AI650" s="5" t="str">
        <f t="shared" si="128"/>
        <v>May</v>
      </c>
      <c r="AJ650" s="5" t="str">
        <f t="shared" si="129"/>
        <v>Thursday</v>
      </c>
    </row>
    <row r="651" spans="1:36" x14ac:dyDescent="0.3">
      <c r="A651" s="5" t="s">
        <v>685</v>
      </c>
      <c r="B651" s="6">
        <v>45305</v>
      </c>
      <c r="C651" s="7">
        <v>0.63541666666666663</v>
      </c>
      <c r="D651" s="5" t="s">
        <v>1754</v>
      </c>
      <c r="E651" s="5" t="s">
        <v>2033</v>
      </c>
      <c r="F651" s="5" t="s">
        <v>1761</v>
      </c>
      <c r="G651" s="5" t="s">
        <v>2248</v>
      </c>
      <c r="H651" s="5" t="s">
        <v>2257</v>
      </c>
      <c r="I651" s="5" t="s">
        <v>2262</v>
      </c>
      <c r="J651" s="5" t="s">
        <v>2264</v>
      </c>
      <c r="K651" s="8">
        <v>2</v>
      </c>
      <c r="L651" s="9">
        <v>145</v>
      </c>
      <c r="M651" s="10">
        <v>0</v>
      </c>
      <c r="N651" s="9">
        <f t="shared" si="130"/>
        <v>290</v>
      </c>
      <c r="O651" s="9">
        <f t="shared" si="120"/>
        <v>290</v>
      </c>
      <c r="P651" s="5" t="s">
        <v>2268</v>
      </c>
      <c r="Q651" s="5" t="s">
        <v>2272</v>
      </c>
      <c r="R651" s="5" t="s">
        <v>2277</v>
      </c>
      <c r="S651" s="5" t="s">
        <v>2284</v>
      </c>
      <c r="T651" s="5" t="s">
        <v>2288</v>
      </c>
      <c r="U651" s="8">
        <v>2</v>
      </c>
      <c r="V651" s="8">
        <v>455</v>
      </c>
      <c r="W651" s="8">
        <v>22</v>
      </c>
      <c r="X651" s="9">
        <v>64.75</v>
      </c>
      <c r="Y651" s="9">
        <f t="shared" si="121"/>
        <v>160.5</v>
      </c>
      <c r="Z651" s="5" t="s">
        <v>1761</v>
      </c>
      <c r="AA651" s="5" t="s">
        <v>1761</v>
      </c>
      <c r="AB651" s="9">
        <f t="shared" si="122"/>
        <v>290</v>
      </c>
      <c r="AC651" s="9">
        <f t="shared" si="123"/>
        <v>0</v>
      </c>
      <c r="AD651" s="9">
        <f t="shared" si="124"/>
        <v>290</v>
      </c>
      <c r="AE651" s="9">
        <f t="shared" si="125"/>
        <v>129.5</v>
      </c>
      <c r="AF651" s="9">
        <f t="shared" si="131"/>
        <v>160.5</v>
      </c>
      <c r="AG651" s="8">
        <f t="shared" si="126"/>
        <v>2024</v>
      </c>
      <c r="AH651" s="8">
        <f t="shared" si="127"/>
        <v>1</v>
      </c>
      <c r="AI651" s="5" t="str">
        <f t="shared" si="128"/>
        <v>Jan</v>
      </c>
      <c r="AJ651" s="5" t="str">
        <f t="shared" si="129"/>
        <v>Sunday</v>
      </c>
    </row>
    <row r="652" spans="1:36" x14ac:dyDescent="0.3">
      <c r="A652" s="5" t="s">
        <v>686</v>
      </c>
      <c r="B652" s="6">
        <v>45645</v>
      </c>
      <c r="C652" s="7">
        <v>0.63194444444444442</v>
      </c>
      <c r="D652" s="5" t="s">
        <v>1901</v>
      </c>
      <c r="E652" s="5" t="s">
        <v>2001</v>
      </c>
      <c r="F652" s="5" t="s">
        <v>2240</v>
      </c>
      <c r="G652" s="5" t="s">
        <v>2242</v>
      </c>
      <c r="H652" s="5" t="s">
        <v>2258</v>
      </c>
      <c r="I652" s="5" t="s">
        <v>2260</v>
      </c>
      <c r="J652" s="5" t="s">
        <v>2266</v>
      </c>
      <c r="K652" s="8">
        <v>1</v>
      </c>
      <c r="L652" s="9">
        <v>115</v>
      </c>
      <c r="M652" s="10">
        <v>0.05</v>
      </c>
      <c r="N652" s="9">
        <f t="shared" si="130"/>
        <v>115</v>
      </c>
      <c r="O652" s="9">
        <f t="shared" si="120"/>
        <v>109.25</v>
      </c>
      <c r="P652" s="5" t="s">
        <v>2267</v>
      </c>
      <c r="Q652" s="5" t="s">
        <v>2270</v>
      </c>
      <c r="R652" s="5" t="s">
        <v>2275</v>
      </c>
      <c r="S652" s="5" t="s">
        <v>2282</v>
      </c>
      <c r="T652" s="5" t="s">
        <v>2289</v>
      </c>
      <c r="U652" s="8">
        <v>3</v>
      </c>
      <c r="V652" s="8">
        <v>447</v>
      </c>
      <c r="W652" s="8">
        <v>40</v>
      </c>
      <c r="X652" s="9">
        <v>44.56</v>
      </c>
      <c r="Y652" s="9">
        <f t="shared" si="121"/>
        <v>64.69</v>
      </c>
      <c r="Z652" s="5" t="s">
        <v>2291</v>
      </c>
      <c r="AA652" s="5" t="s">
        <v>2296</v>
      </c>
      <c r="AB652" s="9">
        <f t="shared" si="122"/>
        <v>115</v>
      </c>
      <c r="AC652" s="9">
        <f t="shared" si="123"/>
        <v>5.75</v>
      </c>
      <c r="AD652" s="9">
        <f t="shared" si="124"/>
        <v>109.25</v>
      </c>
      <c r="AE652" s="9">
        <f t="shared" si="125"/>
        <v>44.56</v>
      </c>
      <c r="AF652" s="9">
        <f t="shared" si="131"/>
        <v>64.69</v>
      </c>
      <c r="AG652" s="8">
        <f t="shared" si="126"/>
        <v>2024</v>
      </c>
      <c r="AH652" s="8">
        <f t="shared" si="127"/>
        <v>12</v>
      </c>
      <c r="AI652" s="5" t="str">
        <f t="shared" si="128"/>
        <v>Dec</v>
      </c>
      <c r="AJ652" s="5" t="str">
        <f t="shared" si="129"/>
        <v>Thursday</v>
      </c>
    </row>
    <row r="653" spans="1:36" x14ac:dyDescent="0.3">
      <c r="A653" s="5" t="s">
        <v>687</v>
      </c>
      <c r="B653" s="6">
        <v>45513</v>
      </c>
      <c r="C653" s="7">
        <v>0.69791666666666663</v>
      </c>
      <c r="D653" s="5" t="s">
        <v>1805</v>
      </c>
      <c r="E653" s="5" t="s">
        <v>2196</v>
      </c>
      <c r="F653" s="5" t="s">
        <v>2239</v>
      </c>
      <c r="G653" s="5" t="s">
        <v>2241</v>
      </c>
      <c r="H653" s="5" t="s">
        <v>2257</v>
      </c>
      <c r="I653" s="5" t="s">
        <v>2262</v>
      </c>
      <c r="J653" s="5" t="s">
        <v>2266</v>
      </c>
      <c r="K653" s="8">
        <v>2</v>
      </c>
      <c r="L653" s="9">
        <v>140</v>
      </c>
      <c r="M653" s="10">
        <v>0.15</v>
      </c>
      <c r="N653" s="9">
        <f t="shared" si="130"/>
        <v>280</v>
      </c>
      <c r="O653" s="9">
        <f t="shared" si="120"/>
        <v>238</v>
      </c>
      <c r="P653" s="5" t="s">
        <v>2268</v>
      </c>
      <c r="Q653" s="5" t="s">
        <v>2270</v>
      </c>
      <c r="R653" s="5" t="s">
        <v>2278</v>
      </c>
      <c r="S653" s="5" t="s">
        <v>2285</v>
      </c>
      <c r="T653" s="5" t="s">
        <v>2289</v>
      </c>
      <c r="U653" s="8">
        <v>4</v>
      </c>
      <c r="V653" s="8">
        <v>19</v>
      </c>
      <c r="W653" s="8">
        <v>44</v>
      </c>
      <c r="X653" s="9">
        <v>47.44</v>
      </c>
      <c r="Y653" s="9">
        <f t="shared" si="121"/>
        <v>143.12</v>
      </c>
      <c r="Z653" s="5" t="s">
        <v>2293</v>
      </c>
      <c r="AA653" s="5" t="s">
        <v>2296</v>
      </c>
      <c r="AB653" s="9">
        <f t="shared" si="122"/>
        <v>280</v>
      </c>
      <c r="AC653" s="9">
        <f t="shared" si="123"/>
        <v>42</v>
      </c>
      <c r="AD653" s="9">
        <f t="shared" si="124"/>
        <v>238</v>
      </c>
      <c r="AE653" s="9">
        <f t="shared" si="125"/>
        <v>94.88</v>
      </c>
      <c r="AF653" s="9">
        <f t="shared" si="131"/>
        <v>143.12</v>
      </c>
      <c r="AG653" s="8">
        <f t="shared" si="126"/>
        <v>2024</v>
      </c>
      <c r="AH653" s="8">
        <f t="shared" si="127"/>
        <v>8</v>
      </c>
      <c r="AI653" s="5" t="str">
        <f t="shared" si="128"/>
        <v>Aug</v>
      </c>
      <c r="AJ653" s="5" t="str">
        <f t="shared" si="129"/>
        <v>Friday</v>
      </c>
    </row>
    <row r="654" spans="1:36" x14ac:dyDescent="0.3">
      <c r="A654" s="5" t="s">
        <v>688</v>
      </c>
      <c r="B654" s="6">
        <v>45521</v>
      </c>
      <c r="C654" s="7">
        <v>0.58333333333333337</v>
      </c>
      <c r="D654" s="5" t="s">
        <v>1900</v>
      </c>
      <c r="E654" s="5" t="s">
        <v>2015</v>
      </c>
      <c r="F654" s="5" t="s">
        <v>2239</v>
      </c>
      <c r="G654" s="5" t="s">
        <v>2254</v>
      </c>
      <c r="H654" s="5" t="s">
        <v>2259</v>
      </c>
      <c r="I654" s="5" t="s">
        <v>2263</v>
      </c>
      <c r="J654" s="5" t="s">
        <v>2266</v>
      </c>
      <c r="K654" s="19">
        <v>1</v>
      </c>
      <c r="L654" s="9">
        <v>110</v>
      </c>
      <c r="M654" s="10">
        <v>0</v>
      </c>
      <c r="N654" s="9">
        <f t="shared" si="130"/>
        <v>110</v>
      </c>
      <c r="O654" s="9">
        <f t="shared" si="120"/>
        <v>110</v>
      </c>
      <c r="P654" s="5" t="s">
        <v>1761</v>
      </c>
      <c r="Q654" s="5" t="s">
        <v>2272</v>
      </c>
      <c r="R654" s="5" t="s">
        <v>2274</v>
      </c>
      <c r="S654" s="5" t="s">
        <v>2282</v>
      </c>
      <c r="T654" s="5" t="s">
        <v>2288</v>
      </c>
      <c r="U654" s="8">
        <v>5</v>
      </c>
      <c r="V654" s="8">
        <v>146</v>
      </c>
      <c r="W654" s="8">
        <v>39</v>
      </c>
      <c r="X654" s="9">
        <v>57.8</v>
      </c>
      <c r="Y654" s="9">
        <f t="shared" si="121"/>
        <v>52.2</v>
      </c>
      <c r="Z654" s="5" t="s">
        <v>1761</v>
      </c>
      <c r="AA654" s="5" t="s">
        <v>1761</v>
      </c>
      <c r="AB654" s="9">
        <f t="shared" si="122"/>
        <v>110</v>
      </c>
      <c r="AC654" s="9">
        <f t="shared" si="123"/>
        <v>0</v>
      </c>
      <c r="AD654" s="9">
        <f t="shared" si="124"/>
        <v>110</v>
      </c>
      <c r="AE654" s="9">
        <f t="shared" si="125"/>
        <v>57.8</v>
      </c>
      <c r="AF654" s="9">
        <f t="shared" si="131"/>
        <v>52.2</v>
      </c>
      <c r="AG654" s="8">
        <f t="shared" si="126"/>
        <v>2024</v>
      </c>
      <c r="AH654" s="8">
        <f t="shared" si="127"/>
        <v>8</v>
      </c>
      <c r="AI654" s="5" t="str">
        <f t="shared" si="128"/>
        <v>Aug</v>
      </c>
      <c r="AJ654" s="5" t="str">
        <f t="shared" si="129"/>
        <v>Saturday</v>
      </c>
    </row>
    <row r="655" spans="1:36" x14ac:dyDescent="0.3">
      <c r="A655" s="5" t="s">
        <v>689</v>
      </c>
      <c r="B655" s="6">
        <v>45356</v>
      </c>
      <c r="C655" s="7">
        <v>0.59722222222222221</v>
      </c>
      <c r="D655" s="5" t="s">
        <v>1774</v>
      </c>
      <c r="E655" s="5" t="s">
        <v>1981</v>
      </c>
      <c r="F655" s="5" t="s">
        <v>2240</v>
      </c>
      <c r="G655" s="5" t="s">
        <v>2246</v>
      </c>
      <c r="H655" s="5" t="s">
        <v>2259</v>
      </c>
      <c r="I655" s="5" t="s">
        <v>2262</v>
      </c>
      <c r="J655" s="5" t="s">
        <v>2266</v>
      </c>
      <c r="K655" s="8">
        <v>1</v>
      </c>
      <c r="L655" s="9">
        <v>105</v>
      </c>
      <c r="M655" s="10">
        <v>0.15</v>
      </c>
      <c r="N655" s="9">
        <f t="shared" si="130"/>
        <v>105</v>
      </c>
      <c r="O655" s="9">
        <f t="shared" si="120"/>
        <v>89.25</v>
      </c>
      <c r="P655" s="5" t="s">
        <v>2269</v>
      </c>
      <c r="Q655" s="5" t="s">
        <v>2270</v>
      </c>
      <c r="R655" s="5" t="s">
        <v>2276</v>
      </c>
      <c r="S655" s="5" t="s">
        <v>2282</v>
      </c>
      <c r="T655" s="5" t="s">
        <v>2288</v>
      </c>
      <c r="U655" s="8">
        <v>3</v>
      </c>
      <c r="V655" s="8">
        <v>73</v>
      </c>
      <c r="W655" s="8">
        <v>34</v>
      </c>
      <c r="X655" s="9">
        <v>40.28</v>
      </c>
      <c r="Y655" s="9">
        <f t="shared" si="121"/>
        <v>48.97</v>
      </c>
      <c r="Z655" s="5" t="s">
        <v>2294</v>
      </c>
      <c r="AA655" s="5" t="s">
        <v>2296</v>
      </c>
      <c r="AB655" s="9">
        <f t="shared" si="122"/>
        <v>105</v>
      </c>
      <c r="AC655" s="9">
        <f t="shared" si="123"/>
        <v>15.75</v>
      </c>
      <c r="AD655" s="9">
        <f t="shared" si="124"/>
        <v>89.25</v>
      </c>
      <c r="AE655" s="9">
        <f t="shared" si="125"/>
        <v>40.28</v>
      </c>
      <c r="AF655" s="9">
        <f t="shared" si="131"/>
        <v>48.97</v>
      </c>
      <c r="AG655" s="8">
        <f t="shared" si="126"/>
        <v>2024</v>
      </c>
      <c r="AH655" s="8">
        <f t="shared" si="127"/>
        <v>3</v>
      </c>
      <c r="AI655" s="5" t="str">
        <f t="shared" si="128"/>
        <v>Mar</v>
      </c>
      <c r="AJ655" s="5" t="str">
        <f t="shared" si="129"/>
        <v>Tuesday</v>
      </c>
    </row>
    <row r="656" spans="1:36" x14ac:dyDescent="0.3">
      <c r="A656" s="5" t="s">
        <v>690</v>
      </c>
      <c r="B656" s="6">
        <v>45345</v>
      </c>
      <c r="C656" s="7">
        <v>0.43055555555555558</v>
      </c>
      <c r="D656" s="5" t="s">
        <v>1752</v>
      </c>
      <c r="E656" s="5" t="s">
        <v>1761</v>
      </c>
      <c r="F656" s="5" t="s">
        <v>1761</v>
      </c>
      <c r="G656" s="5" t="s">
        <v>2244</v>
      </c>
      <c r="H656" s="5" t="s">
        <v>2257</v>
      </c>
      <c r="I656" s="5" t="s">
        <v>2262</v>
      </c>
      <c r="J656" s="5" t="s">
        <v>2266</v>
      </c>
      <c r="K656" s="8">
        <v>1</v>
      </c>
      <c r="L656" s="9">
        <v>120</v>
      </c>
      <c r="M656" s="10">
        <v>0</v>
      </c>
      <c r="N656" s="9">
        <f t="shared" si="130"/>
        <v>120</v>
      </c>
      <c r="O656" s="9">
        <f t="shared" si="120"/>
        <v>120</v>
      </c>
      <c r="P656" s="5" t="s">
        <v>2267</v>
      </c>
      <c r="Q656" s="5" t="s">
        <v>2270</v>
      </c>
      <c r="R656" s="5" t="s">
        <v>2279</v>
      </c>
      <c r="S656" s="5" t="s">
        <v>2286</v>
      </c>
      <c r="T656" s="5" t="s">
        <v>2289</v>
      </c>
      <c r="U656" s="8">
        <v>5</v>
      </c>
      <c r="V656" s="8">
        <v>192</v>
      </c>
      <c r="W656" s="8">
        <v>34</v>
      </c>
      <c r="X656" s="9">
        <v>53.76</v>
      </c>
      <c r="Y656" s="9">
        <f t="shared" si="121"/>
        <v>66.240000000000009</v>
      </c>
      <c r="Z656" s="5" t="s">
        <v>2291</v>
      </c>
      <c r="AA656" s="5" t="s">
        <v>2296</v>
      </c>
      <c r="AB656" s="9">
        <f t="shared" si="122"/>
        <v>120</v>
      </c>
      <c r="AC656" s="9">
        <f t="shared" si="123"/>
        <v>0</v>
      </c>
      <c r="AD656" s="9">
        <f t="shared" si="124"/>
        <v>120</v>
      </c>
      <c r="AE656" s="9">
        <f t="shared" si="125"/>
        <v>53.76</v>
      </c>
      <c r="AF656" s="9">
        <f t="shared" si="131"/>
        <v>66.240000000000009</v>
      </c>
      <c r="AG656" s="8">
        <f t="shared" si="126"/>
        <v>2024</v>
      </c>
      <c r="AH656" s="8">
        <f t="shared" si="127"/>
        <v>2</v>
      </c>
      <c r="AI656" s="5" t="str">
        <f t="shared" si="128"/>
        <v>Feb</v>
      </c>
      <c r="AJ656" s="5" t="str">
        <f t="shared" si="129"/>
        <v>Friday</v>
      </c>
    </row>
    <row r="657" spans="1:36" x14ac:dyDescent="0.3">
      <c r="A657" s="5" t="s">
        <v>691</v>
      </c>
      <c r="B657" s="6">
        <v>45444</v>
      </c>
      <c r="C657" s="7">
        <v>0.5625</v>
      </c>
      <c r="D657" s="5" t="s">
        <v>1861</v>
      </c>
      <c r="E657" s="5" t="s">
        <v>2193</v>
      </c>
      <c r="F657" s="5" t="s">
        <v>2240</v>
      </c>
      <c r="G657" s="5" t="s">
        <v>2249</v>
      </c>
      <c r="H657" s="5" t="s">
        <v>2257</v>
      </c>
      <c r="I657" s="5" t="s">
        <v>2263</v>
      </c>
      <c r="J657" s="5" t="s">
        <v>1761</v>
      </c>
      <c r="K657" s="8">
        <v>3</v>
      </c>
      <c r="L657" s="9">
        <v>160</v>
      </c>
      <c r="M657" s="10">
        <v>0.15</v>
      </c>
      <c r="N657" s="9">
        <f t="shared" si="130"/>
        <v>480</v>
      </c>
      <c r="O657" s="9">
        <f t="shared" si="120"/>
        <v>408</v>
      </c>
      <c r="P657" s="5" t="s">
        <v>1761</v>
      </c>
      <c r="Q657" s="5" t="s">
        <v>2270</v>
      </c>
      <c r="R657" s="5" t="s">
        <v>2274</v>
      </c>
      <c r="S657" s="5" t="s">
        <v>2281</v>
      </c>
      <c r="T657" s="5" t="s">
        <v>2290</v>
      </c>
      <c r="U657" s="8">
        <v>1</v>
      </c>
      <c r="V657" s="8">
        <v>127</v>
      </c>
      <c r="W657" s="8">
        <v>23</v>
      </c>
      <c r="X657" s="9">
        <v>89.18</v>
      </c>
      <c r="Y657" s="9">
        <f t="shared" si="121"/>
        <v>140.45999999999998</v>
      </c>
      <c r="Z657" s="5" t="s">
        <v>2294</v>
      </c>
      <c r="AA657" s="5" t="s">
        <v>2297</v>
      </c>
      <c r="AB657" s="9">
        <f t="shared" si="122"/>
        <v>480</v>
      </c>
      <c r="AC657" s="9">
        <f t="shared" si="123"/>
        <v>72</v>
      </c>
      <c r="AD657" s="9">
        <f t="shared" si="124"/>
        <v>408</v>
      </c>
      <c r="AE657" s="9">
        <f t="shared" si="125"/>
        <v>267.54000000000002</v>
      </c>
      <c r="AF657" s="9">
        <f t="shared" si="131"/>
        <v>140.45999999999998</v>
      </c>
      <c r="AG657" s="8">
        <f t="shared" si="126"/>
        <v>2024</v>
      </c>
      <c r="AH657" s="8">
        <f t="shared" si="127"/>
        <v>6</v>
      </c>
      <c r="AI657" s="5" t="str">
        <f t="shared" si="128"/>
        <v>Jun</v>
      </c>
      <c r="AJ657" s="5" t="str">
        <f t="shared" si="129"/>
        <v>Saturday</v>
      </c>
    </row>
    <row r="658" spans="1:36" x14ac:dyDescent="0.3">
      <c r="A658" s="5" t="s">
        <v>692</v>
      </c>
      <c r="B658" s="6">
        <v>45305</v>
      </c>
      <c r="C658" s="7">
        <v>0.90625</v>
      </c>
      <c r="D658" s="5" t="s">
        <v>1832</v>
      </c>
      <c r="E658" s="5" t="s">
        <v>2071</v>
      </c>
      <c r="F658" s="5" t="s">
        <v>2239</v>
      </c>
      <c r="G658" s="5" t="s">
        <v>2244</v>
      </c>
      <c r="H658" s="5" t="s">
        <v>2257</v>
      </c>
      <c r="I658" s="5" t="s">
        <v>2262</v>
      </c>
      <c r="J658" s="5" t="s">
        <v>2265</v>
      </c>
      <c r="K658" s="8">
        <v>1</v>
      </c>
      <c r="L658" s="9">
        <v>130</v>
      </c>
      <c r="M658" s="10">
        <v>0</v>
      </c>
      <c r="N658" s="9">
        <f t="shared" si="130"/>
        <v>130</v>
      </c>
      <c r="O658" s="9">
        <f t="shared" si="120"/>
        <v>130</v>
      </c>
      <c r="P658" s="5" t="s">
        <v>2267</v>
      </c>
      <c r="Q658" s="5" t="s">
        <v>2270</v>
      </c>
      <c r="R658" s="5" t="s">
        <v>2279</v>
      </c>
      <c r="S658" s="5" t="s">
        <v>2287</v>
      </c>
      <c r="T658" s="5" t="s">
        <v>2288</v>
      </c>
      <c r="U658" s="8">
        <v>5</v>
      </c>
      <c r="V658" s="8">
        <v>447</v>
      </c>
      <c r="W658" s="19">
        <v>34</v>
      </c>
      <c r="X658" s="9">
        <v>53.44</v>
      </c>
      <c r="Y658" s="9">
        <f t="shared" si="121"/>
        <v>76.56</v>
      </c>
      <c r="Z658" s="5" t="s">
        <v>2291</v>
      </c>
      <c r="AA658" s="5" t="s">
        <v>2299</v>
      </c>
      <c r="AB658" s="9">
        <f t="shared" si="122"/>
        <v>130</v>
      </c>
      <c r="AC658" s="9">
        <f t="shared" si="123"/>
        <v>0</v>
      </c>
      <c r="AD658" s="9">
        <f t="shared" si="124"/>
        <v>130</v>
      </c>
      <c r="AE658" s="9">
        <f t="shared" si="125"/>
        <v>53.44</v>
      </c>
      <c r="AF658" s="9">
        <f t="shared" si="131"/>
        <v>76.56</v>
      </c>
      <c r="AG658" s="8">
        <f t="shared" si="126"/>
        <v>2024</v>
      </c>
      <c r="AH658" s="8">
        <f t="shared" si="127"/>
        <v>1</v>
      </c>
      <c r="AI658" s="5" t="str">
        <f t="shared" si="128"/>
        <v>Jan</v>
      </c>
      <c r="AJ658" s="5" t="str">
        <f t="shared" si="129"/>
        <v>Sunday</v>
      </c>
    </row>
    <row r="659" spans="1:36" x14ac:dyDescent="0.3">
      <c r="A659" s="5" t="s">
        <v>693</v>
      </c>
      <c r="B659" s="6">
        <v>45334</v>
      </c>
      <c r="C659" s="7">
        <v>0.71527777777777779</v>
      </c>
      <c r="D659" s="5" t="s">
        <v>1890</v>
      </c>
      <c r="E659" s="5" t="s">
        <v>1943</v>
      </c>
      <c r="F659" s="5" t="s">
        <v>1761</v>
      </c>
      <c r="G659" s="5" t="s">
        <v>2253</v>
      </c>
      <c r="H659" s="5" t="s">
        <v>2258</v>
      </c>
      <c r="I659" s="5" t="s">
        <v>2260</v>
      </c>
      <c r="J659" s="5" t="s">
        <v>2264</v>
      </c>
      <c r="K659" s="8">
        <v>5</v>
      </c>
      <c r="L659" s="9">
        <v>90</v>
      </c>
      <c r="M659" s="10">
        <v>0</v>
      </c>
      <c r="N659" s="9">
        <f t="shared" si="130"/>
        <v>450</v>
      </c>
      <c r="O659" s="9">
        <f t="shared" si="120"/>
        <v>450</v>
      </c>
      <c r="P659" s="5" t="s">
        <v>1761</v>
      </c>
      <c r="Q659" s="5" t="s">
        <v>1761</v>
      </c>
      <c r="R659" s="5" t="s">
        <v>2274</v>
      </c>
      <c r="S659" s="5" t="s">
        <v>2280</v>
      </c>
      <c r="T659" s="5" t="s">
        <v>2290</v>
      </c>
      <c r="U659" s="8">
        <v>4</v>
      </c>
      <c r="V659" s="8">
        <v>24</v>
      </c>
      <c r="W659" s="8">
        <v>15</v>
      </c>
      <c r="X659" s="9">
        <v>33.61</v>
      </c>
      <c r="Y659" s="9">
        <f t="shared" si="121"/>
        <v>281.95</v>
      </c>
      <c r="Z659" s="5" t="s">
        <v>2294</v>
      </c>
      <c r="AA659" s="5" t="s">
        <v>2298</v>
      </c>
      <c r="AB659" s="9">
        <f t="shared" si="122"/>
        <v>450</v>
      </c>
      <c r="AC659" s="9">
        <f t="shared" si="123"/>
        <v>0</v>
      </c>
      <c r="AD659" s="9">
        <f t="shared" si="124"/>
        <v>450</v>
      </c>
      <c r="AE659" s="9">
        <f t="shared" si="125"/>
        <v>168.05</v>
      </c>
      <c r="AF659" s="9">
        <f t="shared" si="131"/>
        <v>281.95</v>
      </c>
      <c r="AG659" s="8">
        <f t="shared" si="126"/>
        <v>2024</v>
      </c>
      <c r="AH659" s="8">
        <f t="shared" si="127"/>
        <v>2</v>
      </c>
      <c r="AI659" s="5" t="str">
        <f t="shared" si="128"/>
        <v>Feb</v>
      </c>
      <c r="AJ659" s="5" t="str">
        <f t="shared" si="129"/>
        <v>Monday</v>
      </c>
    </row>
    <row r="660" spans="1:36" x14ac:dyDescent="0.3">
      <c r="A660" s="5" t="s">
        <v>694</v>
      </c>
      <c r="B660" s="6">
        <v>45471</v>
      </c>
      <c r="C660" s="7">
        <v>0.50694444444444442</v>
      </c>
      <c r="D660" s="5" t="s">
        <v>1846</v>
      </c>
      <c r="E660" s="5" t="s">
        <v>2129</v>
      </c>
      <c r="F660" s="5" t="s">
        <v>1761</v>
      </c>
      <c r="G660" s="5" t="s">
        <v>2242</v>
      </c>
      <c r="H660" s="5" t="s">
        <v>2258</v>
      </c>
      <c r="I660" s="5" t="s">
        <v>2260</v>
      </c>
      <c r="J660" s="5" t="s">
        <v>2264</v>
      </c>
      <c r="K660" s="8">
        <v>1</v>
      </c>
      <c r="L660" s="9">
        <v>120</v>
      </c>
      <c r="M660" s="10">
        <v>0</v>
      </c>
      <c r="N660" s="9">
        <f t="shared" si="130"/>
        <v>120</v>
      </c>
      <c r="O660" s="9">
        <f t="shared" si="120"/>
        <v>120</v>
      </c>
      <c r="P660" s="5" t="s">
        <v>1761</v>
      </c>
      <c r="Q660" s="5" t="s">
        <v>2270</v>
      </c>
      <c r="R660" s="5" t="s">
        <v>2274</v>
      </c>
      <c r="S660" s="5" t="s">
        <v>2280</v>
      </c>
      <c r="T660" s="5" t="s">
        <v>2288</v>
      </c>
      <c r="U660" s="19">
        <v>3</v>
      </c>
      <c r="V660" s="8">
        <v>255</v>
      </c>
      <c r="W660" s="8">
        <v>13</v>
      </c>
      <c r="X660" s="9">
        <v>54.18</v>
      </c>
      <c r="Y660" s="9">
        <f t="shared" si="121"/>
        <v>65.819999999999993</v>
      </c>
      <c r="Z660" s="5" t="s">
        <v>2292</v>
      </c>
      <c r="AA660" s="5" t="s">
        <v>2297</v>
      </c>
      <c r="AB660" s="9">
        <f t="shared" si="122"/>
        <v>120</v>
      </c>
      <c r="AC660" s="9">
        <f t="shared" si="123"/>
        <v>0</v>
      </c>
      <c r="AD660" s="9">
        <f t="shared" si="124"/>
        <v>120</v>
      </c>
      <c r="AE660" s="9">
        <f t="shared" si="125"/>
        <v>54.18</v>
      </c>
      <c r="AF660" s="9">
        <f t="shared" si="131"/>
        <v>65.819999999999993</v>
      </c>
      <c r="AG660" s="8">
        <f t="shared" si="126"/>
        <v>2024</v>
      </c>
      <c r="AH660" s="8">
        <f t="shared" si="127"/>
        <v>6</v>
      </c>
      <c r="AI660" s="5" t="str">
        <f t="shared" si="128"/>
        <v>Jun</v>
      </c>
      <c r="AJ660" s="5" t="str">
        <f t="shared" si="129"/>
        <v>Friday</v>
      </c>
    </row>
    <row r="661" spans="1:36" x14ac:dyDescent="0.3">
      <c r="A661" s="5" t="s">
        <v>695</v>
      </c>
      <c r="B661" s="6">
        <v>45525</v>
      </c>
      <c r="C661" s="7">
        <v>0.67708333333333337</v>
      </c>
      <c r="D661" s="5" t="s">
        <v>1919</v>
      </c>
      <c r="E661" s="5" t="s">
        <v>2138</v>
      </c>
      <c r="F661" s="5" t="s">
        <v>2239</v>
      </c>
      <c r="G661" s="5" t="s">
        <v>2241</v>
      </c>
      <c r="H661" s="5" t="s">
        <v>2257</v>
      </c>
      <c r="I661" s="5" t="s">
        <v>2262</v>
      </c>
      <c r="J661" s="5" t="s">
        <v>2265</v>
      </c>
      <c r="K661" s="8">
        <v>1</v>
      </c>
      <c r="L661" s="9">
        <v>130</v>
      </c>
      <c r="M661" s="10">
        <v>0</v>
      </c>
      <c r="N661" s="9">
        <f t="shared" si="130"/>
        <v>130</v>
      </c>
      <c r="O661" s="9">
        <f t="shared" si="120"/>
        <v>130</v>
      </c>
      <c r="P661" s="5" t="s">
        <v>2267</v>
      </c>
      <c r="Q661" s="5" t="s">
        <v>2270</v>
      </c>
      <c r="R661" s="5" t="s">
        <v>2274</v>
      </c>
      <c r="S661" s="5" t="s">
        <v>2283</v>
      </c>
      <c r="T661" s="5" t="s">
        <v>2288</v>
      </c>
      <c r="U661" s="8">
        <v>4</v>
      </c>
      <c r="V661" s="8">
        <v>329</v>
      </c>
      <c r="W661" s="8">
        <v>31</v>
      </c>
      <c r="X661" s="9">
        <v>51.02</v>
      </c>
      <c r="Y661" s="9">
        <f t="shared" si="121"/>
        <v>78.97999999999999</v>
      </c>
      <c r="Z661" s="5" t="s">
        <v>1761</v>
      </c>
      <c r="AA661" s="5" t="s">
        <v>2299</v>
      </c>
      <c r="AB661" s="9">
        <f t="shared" si="122"/>
        <v>130</v>
      </c>
      <c r="AC661" s="9">
        <f t="shared" si="123"/>
        <v>0</v>
      </c>
      <c r="AD661" s="9">
        <f t="shared" si="124"/>
        <v>130</v>
      </c>
      <c r="AE661" s="9">
        <f t="shared" si="125"/>
        <v>51.02</v>
      </c>
      <c r="AF661" s="9">
        <f t="shared" si="131"/>
        <v>78.97999999999999</v>
      </c>
      <c r="AG661" s="8">
        <f t="shared" si="126"/>
        <v>2024</v>
      </c>
      <c r="AH661" s="8">
        <f t="shared" si="127"/>
        <v>8</v>
      </c>
      <c r="AI661" s="5" t="str">
        <f t="shared" si="128"/>
        <v>Aug</v>
      </c>
      <c r="AJ661" s="5" t="str">
        <f t="shared" si="129"/>
        <v>Wednesday</v>
      </c>
    </row>
    <row r="662" spans="1:36" x14ac:dyDescent="0.3">
      <c r="A662" s="5" t="s">
        <v>696</v>
      </c>
      <c r="B662" s="6">
        <v>45299</v>
      </c>
      <c r="C662" s="7">
        <v>0.79861111111111116</v>
      </c>
      <c r="D662" s="5" t="s">
        <v>1889</v>
      </c>
      <c r="E662" s="5" t="s">
        <v>2102</v>
      </c>
      <c r="F662" s="5" t="s">
        <v>2240</v>
      </c>
      <c r="G662" s="5" t="s">
        <v>2256</v>
      </c>
      <c r="H662" s="5" t="s">
        <v>2261</v>
      </c>
      <c r="I662" s="5" t="s">
        <v>2260</v>
      </c>
      <c r="J662" s="5" t="s">
        <v>2264</v>
      </c>
      <c r="K662" s="8">
        <v>2</v>
      </c>
      <c r="L662" s="9">
        <v>200</v>
      </c>
      <c r="M662" s="10">
        <v>0.1</v>
      </c>
      <c r="N662" s="9">
        <f t="shared" si="130"/>
        <v>400</v>
      </c>
      <c r="O662" s="9">
        <f t="shared" si="120"/>
        <v>360</v>
      </c>
      <c r="P662" s="5" t="s">
        <v>2269</v>
      </c>
      <c r="Q662" s="5" t="s">
        <v>2272</v>
      </c>
      <c r="R662" s="5" t="s">
        <v>2277</v>
      </c>
      <c r="S662" s="5" t="s">
        <v>2283</v>
      </c>
      <c r="T662" s="5" t="s">
        <v>2289</v>
      </c>
      <c r="U662" s="8">
        <v>3</v>
      </c>
      <c r="V662" s="8">
        <v>40</v>
      </c>
      <c r="W662" s="19">
        <v>35</v>
      </c>
      <c r="X662" s="9">
        <v>96.44</v>
      </c>
      <c r="Y662" s="9">
        <f t="shared" si="121"/>
        <v>167.12</v>
      </c>
      <c r="Z662" s="5" t="s">
        <v>1761</v>
      </c>
      <c r="AA662" s="5" t="s">
        <v>2299</v>
      </c>
      <c r="AB662" s="9">
        <f t="shared" si="122"/>
        <v>400</v>
      </c>
      <c r="AC662" s="9">
        <f t="shared" si="123"/>
        <v>40</v>
      </c>
      <c r="AD662" s="9">
        <f t="shared" si="124"/>
        <v>360</v>
      </c>
      <c r="AE662" s="9">
        <f t="shared" si="125"/>
        <v>192.88</v>
      </c>
      <c r="AF662" s="9">
        <f t="shared" si="131"/>
        <v>167.12</v>
      </c>
      <c r="AG662" s="8">
        <f t="shared" si="126"/>
        <v>2024</v>
      </c>
      <c r="AH662" s="8">
        <f t="shared" si="127"/>
        <v>1</v>
      </c>
      <c r="AI662" s="5" t="str">
        <f t="shared" si="128"/>
        <v>Jan</v>
      </c>
      <c r="AJ662" s="5" t="str">
        <f t="shared" si="129"/>
        <v>Monday</v>
      </c>
    </row>
    <row r="663" spans="1:36" x14ac:dyDescent="0.3">
      <c r="A663" s="5" t="s">
        <v>697</v>
      </c>
      <c r="B663" s="6">
        <v>45565</v>
      </c>
      <c r="C663" s="7">
        <v>0.49305555555555558</v>
      </c>
      <c r="D663" s="5" t="s">
        <v>1885</v>
      </c>
      <c r="E663" s="5" t="s">
        <v>1991</v>
      </c>
      <c r="F663" s="5" t="s">
        <v>2239</v>
      </c>
      <c r="G663" s="5" t="s">
        <v>2253</v>
      </c>
      <c r="H663" s="5" t="s">
        <v>2258</v>
      </c>
      <c r="I663" s="5" t="s">
        <v>2260</v>
      </c>
      <c r="J663" s="5" t="s">
        <v>2265</v>
      </c>
      <c r="K663" s="8">
        <v>1</v>
      </c>
      <c r="L663" s="9">
        <v>100</v>
      </c>
      <c r="M663" s="10">
        <v>0.1</v>
      </c>
      <c r="N663" s="9">
        <f t="shared" si="130"/>
        <v>100</v>
      </c>
      <c r="O663" s="9">
        <f t="shared" si="120"/>
        <v>90</v>
      </c>
      <c r="P663" s="5" t="s">
        <v>2269</v>
      </c>
      <c r="Q663" s="5" t="s">
        <v>1761</v>
      </c>
      <c r="R663" s="5" t="s">
        <v>2277</v>
      </c>
      <c r="S663" s="5" t="s">
        <v>2283</v>
      </c>
      <c r="T663" s="5" t="s">
        <v>2288</v>
      </c>
      <c r="U663" s="8">
        <v>3</v>
      </c>
      <c r="V663" s="8">
        <v>455</v>
      </c>
      <c r="W663" s="19">
        <v>36</v>
      </c>
      <c r="X663" s="9">
        <v>47.51</v>
      </c>
      <c r="Y663" s="9">
        <f t="shared" si="121"/>
        <v>42.49</v>
      </c>
      <c r="Z663" s="5" t="s">
        <v>2293</v>
      </c>
      <c r="AA663" s="5" t="s">
        <v>2296</v>
      </c>
      <c r="AB663" s="9">
        <f t="shared" si="122"/>
        <v>100</v>
      </c>
      <c r="AC663" s="9">
        <f t="shared" si="123"/>
        <v>10</v>
      </c>
      <c r="AD663" s="9">
        <f t="shared" si="124"/>
        <v>90</v>
      </c>
      <c r="AE663" s="9">
        <f t="shared" si="125"/>
        <v>47.51</v>
      </c>
      <c r="AF663" s="9">
        <f t="shared" si="131"/>
        <v>42.49</v>
      </c>
      <c r="AG663" s="8">
        <f t="shared" si="126"/>
        <v>2024</v>
      </c>
      <c r="AH663" s="8">
        <f t="shared" si="127"/>
        <v>9</v>
      </c>
      <c r="AI663" s="5" t="str">
        <f t="shared" si="128"/>
        <v>Sep</v>
      </c>
      <c r="AJ663" s="5" t="str">
        <f t="shared" si="129"/>
        <v>Monday</v>
      </c>
    </row>
    <row r="664" spans="1:36" x14ac:dyDescent="0.3">
      <c r="A664" s="5" t="s">
        <v>698</v>
      </c>
      <c r="B664" s="6">
        <v>45524</v>
      </c>
      <c r="C664" s="7">
        <v>0.77083333333333337</v>
      </c>
      <c r="D664" s="5" t="s">
        <v>1762</v>
      </c>
      <c r="E664" s="5" t="s">
        <v>2036</v>
      </c>
      <c r="F664" s="5" t="s">
        <v>2239</v>
      </c>
      <c r="G664" s="5" t="s">
        <v>2249</v>
      </c>
      <c r="H664" s="5" t="s">
        <v>2257</v>
      </c>
      <c r="I664" s="5" t="s">
        <v>2263</v>
      </c>
      <c r="J664" s="5" t="s">
        <v>2264</v>
      </c>
      <c r="K664" s="8">
        <v>2</v>
      </c>
      <c r="L664" s="9">
        <v>160</v>
      </c>
      <c r="M664" s="10">
        <v>0.05</v>
      </c>
      <c r="N664" s="9">
        <f t="shared" si="130"/>
        <v>320</v>
      </c>
      <c r="O664" s="9">
        <f t="shared" si="120"/>
        <v>304</v>
      </c>
      <c r="P664" s="5" t="s">
        <v>2269</v>
      </c>
      <c r="Q664" s="5" t="s">
        <v>1761</v>
      </c>
      <c r="R664" s="5" t="s">
        <v>2276</v>
      </c>
      <c r="S664" s="5" t="s">
        <v>2286</v>
      </c>
      <c r="T664" s="5" t="s">
        <v>2288</v>
      </c>
      <c r="U664" s="8">
        <v>2</v>
      </c>
      <c r="V664" s="8">
        <v>238</v>
      </c>
      <c r="W664" s="19">
        <v>36</v>
      </c>
      <c r="X664" s="9">
        <v>58.71</v>
      </c>
      <c r="Y664" s="9">
        <f t="shared" si="121"/>
        <v>186.57999999999998</v>
      </c>
      <c r="Z664" s="5" t="s">
        <v>2291</v>
      </c>
      <c r="AA664" s="5" t="s">
        <v>2296</v>
      </c>
      <c r="AB664" s="9">
        <f t="shared" si="122"/>
        <v>320</v>
      </c>
      <c r="AC664" s="9">
        <f t="shared" si="123"/>
        <v>16</v>
      </c>
      <c r="AD664" s="9">
        <f t="shared" si="124"/>
        <v>304</v>
      </c>
      <c r="AE664" s="9">
        <f t="shared" si="125"/>
        <v>117.42</v>
      </c>
      <c r="AF664" s="9">
        <f t="shared" si="131"/>
        <v>186.57999999999998</v>
      </c>
      <c r="AG664" s="8">
        <f t="shared" si="126"/>
        <v>2024</v>
      </c>
      <c r="AH664" s="8">
        <f t="shared" si="127"/>
        <v>8</v>
      </c>
      <c r="AI664" s="5" t="str">
        <f t="shared" si="128"/>
        <v>Aug</v>
      </c>
      <c r="AJ664" s="5" t="str">
        <f t="shared" si="129"/>
        <v>Tuesday</v>
      </c>
    </row>
    <row r="665" spans="1:36" x14ac:dyDescent="0.3">
      <c r="A665" s="5" t="s">
        <v>699</v>
      </c>
      <c r="B665" s="6">
        <v>45546</v>
      </c>
      <c r="C665" s="7">
        <v>0.55555555555555558</v>
      </c>
      <c r="D665" s="5" t="s">
        <v>1910</v>
      </c>
      <c r="E665" s="5" t="s">
        <v>2094</v>
      </c>
      <c r="F665" s="5" t="s">
        <v>2238</v>
      </c>
      <c r="G665" s="5" t="s">
        <v>2247</v>
      </c>
      <c r="H665" s="5" t="s">
        <v>2257</v>
      </c>
      <c r="I665" s="5" t="s">
        <v>2262</v>
      </c>
      <c r="J665" s="5" t="s">
        <v>2265</v>
      </c>
      <c r="K665" s="8">
        <v>1</v>
      </c>
      <c r="L665" s="9">
        <v>100</v>
      </c>
      <c r="M665" s="10">
        <v>0</v>
      </c>
      <c r="N665" s="9">
        <f t="shared" si="130"/>
        <v>100</v>
      </c>
      <c r="O665" s="9">
        <f t="shared" si="120"/>
        <v>100</v>
      </c>
      <c r="P665" s="5" t="s">
        <v>2269</v>
      </c>
      <c r="Q665" s="5" t="s">
        <v>2272</v>
      </c>
      <c r="R665" s="5" t="s">
        <v>2276</v>
      </c>
      <c r="S665" s="5" t="s">
        <v>2280</v>
      </c>
      <c r="T665" s="5" t="s">
        <v>2288</v>
      </c>
      <c r="U665" s="8">
        <v>2</v>
      </c>
      <c r="V665" s="8">
        <v>229</v>
      </c>
      <c r="W665" s="19">
        <v>35</v>
      </c>
      <c r="X665" s="9">
        <v>58.24</v>
      </c>
      <c r="Y665" s="9">
        <f t="shared" si="121"/>
        <v>41.76</v>
      </c>
      <c r="Z665" s="5" t="s">
        <v>1761</v>
      </c>
      <c r="AA665" s="5" t="s">
        <v>2298</v>
      </c>
      <c r="AB665" s="9">
        <f t="shared" si="122"/>
        <v>100</v>
      </c>
      <c r="AC665" s="9">
        <f t="shared" si="123"/>
        <v>0</v>
      </c>
      <c r="AD665" s="9">
        <f t="shared" si="124"/>
        <v>100</v>
      </c>
      <c r="AE665" s="9">
        <f t="shared" si="125"/>
        <v>58.24</v>
      </c>
      <c r="AF665" s="9">
        <f t="shared" si="131"/>
        <v>41.76</v>
      </c>
      <c r="AG665" s="8">
        <f t="shared" si="126"/>
        <v>2024</v>
      </c>
      <c r="AH665" s="8">
        <f t="shared" si="127"/>
        <v>9</v>
      </c>
      <c r="AI665" s="5" t="str">
        <f t="shared" si="128"/>
        <v>Sep</v>
      </c>
      <c r="AJ665" s="5" t="str">
        <f t="shared" si="129"/>
        <v>Wednesday</v>
      </c>
    </row>
    <row r="666" spans="1:36" x14ac:dyDescent="0.3">
      <c r="A666" s="5" t="s">
        <v>700</v>
      </c>
      <c r="B666" s="6">
        <v>45390</v>
      </c>
      <c r="C666" s="7">
        <v>0.39583333333333331</v>
      </c>
      <c r="D666" s="5" t="s">
        <v>1933</v>
      </c>
      <c r="E666" s="5" t="s">
        <v>2202</v>
      </c>
      <c r="F666" s="5" t="s">
        <v>2238</v>
      </c>
      <c r="G666" s="5" t="s">
        <v>2255</v>
      </c>
      <c r="H666" s="5" t="s">
        <v>2260</v>
      </c>
      <c r="I666" s="5" t="s">
        <v>2260</v>
      </c>
      <c r="J666" s="5" t="s">
        <v>2266</v>
      </c>
      <c r="K666" s="8">
        <v>1</v>
      </c>
      <c r="L666" s="9">
        <v>175</v>
      </c>
      <c r="M666" s="10">
        <v>0.05</v>
      </c>
      <c r="N666" s="9">
        <f t="shared" si="130"/>
        <v>175</v>
      </c>
      <c r="O666" s="9">
        <f t="shared" si="120"/>
        <v>166.25</v>
      </c>
      <c r="P666" s="5" t="s">
        <v>2269</v>
      </c>
      <c r="Q666" s="5" t="s">
        <v>2270</v>
      </c>
      <c r="R666" s="5" t="s">
        <v>2278</v>
      </c>
      <c r="S666" s="5" t="s">
        <v>2286</v>
      </c>
      <c r="T666" s="5" t="s">
        <v>2288</v>
      </c>
      <c r="U666" s="8">
        <v>4</v>
      </c>
      <c r="V666" s="8">
        <v>99</v>
      </c>
      <c r="W666" s="8">
        <v>52</v>
      </c>
      <c r="X666" s="9">
        <v>93.85</v>
      </c>
      <c r="Y666" s="9">
        <f t="shared" si="121"/>
        <v>72.400000000000006</v>
      </c>
      <c r="Z666" s="5" t="s">
        <v>1761</v>
      </c>
      <c r="AA666" s="5" t="s">
        <v>2299</v>
      </c>
      <c r="AB666" s="9">
        <f t="shared" si="122"/>
        <v>175</v>
      </c>
      <c r="AC666" s="9">
        <f t="shared" si="123"/>
        <v>8.75</v>
      </c>
      <c r="AD666" s="9">
        <f t="shared" si="124"/>
        <v>166.25</v>
      </c>
      <c r="AE666" s="9">
        <f t="shared" si="125"/>
        <v>93.85</v>
      </c>
      <c r="AF666" s="9">
        <f t="shared" si="131"/>
        <v>72.400000000000006</v>
      </c>
      <c r="AG666" s="8">
        <f t="shared" si="126"/>
        <v>2024</v>
      </c>
      <c r="AH666" s="8">
        <f t="shared" si="127"/>
        <v>4</v>
      </c>
      <c r="AI666" s="5" t="str">
        <f t="shared" si="128"/>
        <v>Apr</v>
      </c>
      <c r="AJ666" s="5" t="str">
        <f t="shared" si="129"/>
        <v>Monday</v>
      </c>
    </row>
    <row r="667" spans="1:36" x14ac:dyDescent="0.3">
      <c r="A667" s="5" t="s">
        <v>701</v>
      </c>
      <c r="B667" s="6">
        <v>45441</v>
      </c>
      <c r="C667" s="7">
        <v>0.36458333333333331</v>
      </c>
      <c r="D667" s="5" t="s">
        <v>1864</v>
      </c>
      <c r="E667" s="5" t="s">
        <v>2194</v>
      </c>
      <c r="F667" s="5" t="s">
        <v>2238</v>
      </c>
      <c r="G667" s="5" t="s">
        <v>2256</v>
      </c>
      <c r="H667" s="5" t="s">
        <v>2261</v>
      </c>
      <c r="I667" s="5" t="s">
        <v>2260</v>
      </c>
      <c r="J667" s="5" t="s">
        <v>2264</v>
      </c>
      <c r="K667" s="8">
        <v>1</v>
      </c>
      <c r="L667" s="9">
        <v>200</v>
      </c>
      <c r="M667" s="10">
        <v>0.1</v>
      </c>
      <c r="N667" s="9">
        <f t="shared" si="130"/>
        <v>200</v>
      </c>
      <c r="O667" s="9">
        <f t="shared" si="120"/>
        <v>180</v>
      </c>
      <c r="P667" s="5" t="s">
        <v>1761</v>
      </c>
      <c r="Q667" s="5" t="s">
        <v>1761</v>
      </c>
      <c r="R667" s="5" t="s">
        <v>2275</v>
      </c>
      <c r="S667" s="5" t="s">
        <v>2284</v>
      </c>
      <c r="T667" s="5" t="s">
        <v>2288</v>
      </c>
      <c r="U667" s="8">
        <v>4</v>
      </c>
      <c r="V667" s="8">
        <v>37</v>
      </c>
      <c r="W667" s="8">
        <v>18</v>
      </c>
      <c r="X667" s="9">
        <v>107.86</v>
      </c>
      <c r="Y667" s="9">
        <f t="shared" si="121"/>
        <v>72.14</v>
      </c>
      <c r="Z667" s="5" t="s">
        <v>1761</v>
      </c>
      <c r="AA667" s="5" t="s">
        <v>1761</v>
      </c>
      <c r="AB667" s="9">
        <f t="shared" si="122"/>
        <v>200</v>
      </c>
      <c r="AC667" s="9">
        <f t="shared" si="123"/>
        <v>20</v>
      </c>
      <c r="AD667" s="9">
        <f t="shared" si="124"/>
        <v>180</v>
      </c>
      <c r="AE667" s="9">
        <f t="shared" si="125"/>
        <v>107.86</v>
      </c>
      <c r="AF667" s="9">
        <f t="shared" si="131"/>
        <v>72.14</v>
      </c>
      <c r="AG667" s="8">
        <f t="shared" si="126"/>
        <v>2024</v>
      </c>
      <c r="AH667" s="8">
        <f t="shared" si="127"/>
        <v>5</v>
      </c>
      <c r="AI667" s="5" t="str">
        <f t="shared" si="128"/>
        <v>May</v>
      </c>
      <c r="AJ667" s="5" t="str">
        <f t="shared" si="129"/>
        <v>Wednesday</v>
      </c>
    </row>
    <row r="668" spans="1:36" x14ac:dyDescent="0.3">
      <c r="A668" s="5" t="s">
        <v>702</v>
      </c>
      <c r="B668" s="18">
        <v>45468</v>
      </c>
      <c r="C668" s="7">
        <v>0.30208333333333331</v>
      </c>
      <c r="D668" s="5" t="s">
        <v>1774</v>
      </c>
      <c r="E668" s="5" t="s">
        <v>2075</v>
      </c>
      <c r="F668" s="5" t="s">
        <v>2240</v>
      </c>
      <c r="G668" s="5" t="s">
        <v>2254</v>
      </c>
      <c r="H668" s="5" t="s">
        <v>2259</v>
      </c>
      <c r="I668" s="5" t="s">
        <v>2263</v>
      </c>
      <c r="J668" s="5" t="s">
        <v>1761</v>
      </c>
      <c r="K668" s="8">
        <v>1</v>
      </c>
      <c r="L668" s="9">
        <v>120</v>
      </c>
      <c r="M668" s="10">
        <v>0.1</v>
      </c>
      <c r="N668" s="9">
        <f t="shared" si="130"/>
        <v>120</v>
      </c>
      <c r="O668" s="9">
        <f t="shared" si="120"/>
        <v>108</v>
      </c>
      <c r="P668" s="5" t="s">
        <v>2267</v>
      </c>
      <c r="Q668" s="5" t="s">
        <v>2272</v>
      </c>
      <c r="R668" s="5" t="s">
        <v>2277</v>
      </c>
      <c r="S668" s="5" t="s">
        <v>2280</v>
      </c>
      <c r="T668" s="5" t="s">
        <v>2288</v>
      </c>
      <c r="U668" s="8">
        <v>2</v>
      </c>
      <c r="V668" s="19">
        <v>244</v>
      </c>
      <c r="W668" s="8">
        <v>24</v>
      </c>
      <c r="X668" s="9">
        <v>55.74</v>
      </c>
      <c r="Y668" s="9">
        <f t="shared" si="121"/>
        <v>52.26</v>
      </c>
      <c r="Z668" s="5" t="s">
        <v>1761</v>
      </c>
      <c r="AA668" s="5" t="s">
        <v>2296</v>
      </c>
      <c r="AB668" s="9">
        <f t="shared" si="122"/>
        <v>120</v>
      </c>
      <c r="AC668" s="9">
        <f t="shared" si="123"/>
        <v>12</v>
      </c>
      <c r="AD668" s="9">
        <f t="shared" si="124"/>
        <v>108</v>
      </c>
      <c r="AE668" s="9">
        <f t="shared" si="125"/>
        <v>55.74</v>
      </c>
      <c r="AF668" s="9">
        <f t="shared" si="131"/>
        <v>52.26</v>
      </c>
      <c r="AG668" s="8">
        <f t="shared" si="126"/>
        <v>2024</v>
      </c>
      <c r="AH668" s="8">
        <f t="shared" si="127"/>
        <v>6</v>
      </c>
      <c r="AI668" s="5" t="str">
        <f t="shared" si="128"/>
        <v>Jun</v>
      </c>
      <c r="AJ668" s="5" t="str">
        <f t="shared" si="129"/>
        <v>Tuesday</v>
      </c>
    </row>
    <row r="669" spans="1:36" x14ac:dyDescent="0.3">
      <c r="A669" s="5" t="s">
        <v>703</v>
      </c>
      <c r="B669" s="6">
        <v>45652</v>
      </c>
      <c r="C669" s="7">
        <v>0.36805555555555558</v>
      </c>
      <c r="D669" s="5" t="s">
        <v>1850</v>
      </c>
      <c r="E669" s="5" t="s">
        <v>1950</v>
      </c>
      <c r="F669" s="5" t="s">
        <v>2239</v>
      </c>
      <c r="G669" s="5" t="s">
        <v>2252</v>
      </c>
      <c r="H669" s="5" t="s">
        <v>2257</v>
      </c>
      <c r="I669" s="5" t="s">
        <v>2262</v>
      </c>
      <c r="J669" s="5" t="s">
        <v>2266</v>
      </c>
      <c r="K669" s="8">
        <v>1</v>
      </c>
      <c r="L669" s="9">
        <v>90</v>
      </c>
      <c r="M669" s="10">
        <v>0</v>
      </c>
      <c r="N669" s="9">
        <f t="shared" si="130"/>
        <v>90</v>
      </c>
      <c r="O669" s="9">
        <f t="shared" si="120"/>
        <v>90</v>
      </c>
      <c r="P669" s="5" t="s">
        <v>2269</v>
      </c>
      <c r="Q669" s="5" t="s">
        <v>2272</v>
      </c>
      <c r="R669" s="5" t="s">
        <v>2278</v>
      </c>
      <c r="S669" s="5" t="s">
        <v>2286</v>
      </c>
      <c r="T669" s="5" t="s">
        <v>2288</v>
      </c>
      <c r="U669" s="19">
        <v>3</v>
      </c>
      <c r="V669" s="8">
        <v>36</v>
      </c>
      <c r="W669" s="8">
        <v>29</v>
      </c>
      <c r="X669" s="9">
        <v>44.31</v>
      </c>
      <c r="Y669" s="9">
        <f t="shared" si="121"/>
        <v>45.69</v>
      </c>
      <c r="Z669" s="5" t="s">
        <v>2292</v>
      </c>
      <c r="AA669" s="5" t="s">
        <v>2299</v>
      </c>
      <c r="AB669" s="9">
        <f t="shared" si="122"/>
        <v>90</v>
      </c>
      <c r="AC669" s="9">
        <f t="shared" si="123"/>
        <v>0</v>
      </c>
      <c r="AD669" s="9">
        <f t="shared" si="124"/>
        <v>90</v>
      </c>
      <c r="AE669" s="9">
        <f t="shared" si="125"/>
        <v>44.31</v>
      </c>
      <c r="AF669" s="9">
        <f t="shared" si="131"/>
        <v>45.69</v>
      </c>
      <c r="AG669" s="8">
        <f t="shared" si="126"/>
        <v>2024</v>
      </c>
      <c r="AH669" s="8">
        <f t="shared" si="127"/>
        <v>12</v>
      </c>
      <c r="AI669" s="5" t="str">
        <f t="shared" si="128"/>
        <v>Dec</v>
      </c>
      <c r="AJ669" s="5" t="str">
        <f t="shared" si="129"/>
        <v>Thursday</v>
      </c>
    </row>
    <row r="670" spans="1:36" x14ac:dyDescent="0.3">
      <c r="A670" s="5" t="s">
        <v>704</v>
      </c>
      <c r="B670" s="6">
        <v>45374</v>
      </c>
      <c r="C670" s="7">
        <v>0.30555555555555558</v>
      </c>
      <c r="D670" s="5" t="s">
        <v>1931</v>
      </c>
      <c r="E670" s="5" t="s">
        <v>2069</v>
      </c>
      <c r="F670" s="5" t="s">
        <v>1761</v>
      </c>
      <c r="G670" s="5" t="s">
        <v>2245</v>
      </c>
      <c r="H670" s="5" t="s">
        <v>2257</v>
      </c>
      <c r="I670" s="5" t="s">
        <v>2263</v>
      </c>
      <c r="J670" s="5" t="s">
        <v>1761</v>
      </c>
      <c r="K670" s="8">
        <v>1</v>
      </c>
      <c r="L670" s="9">
        <v>150</v>
      </c>
      <c r="M670" s="10">
        <v>0.15</v>
      </c>
      <c r="N670" s="9">
        <f t="shared" si="130"/>
        <v>150</v>
      </c>
      <c r="O670" s="9">
        <f t="shared" si="120"/>
        <v>127.5</v>
      </c>
      <c r="P670" s="5" t="s">
        <v>1761</v>
      </c>
      <c r="Q670" s="5" t="s">
        <v>2272</v>
      </c>
      <c r="R670" s="5" t="s">
        <v>2278</v>
      </c>
      <c r="S670" s="5" t="s">
        <v>2282</v>
      </c>
      <c r="T670" s="5" t="s">
        <v>2288</v>
      </c>
      <c r="U670" s="19">
        <v>3</v>
      </c>
      <c r="V670" s="8">
        <v>53</v>
      </c>
      <c r="W670" s="8">
        <v>44</v>
      </c>
      <c r="X670" s="9">
        <v>57.61</v>
      </c>
      <c r="Y670" s="9">
        <f t="shared" si="121"/>
        <v>69.89</v>
      </c>
      <c r="Z670" s="5" t="s">
        <v>1761</v>
      </c>
      <c r="AA670" s="5" t="s">
        <v>2297</v>
      </c>
      <c r="AB670" s="9">
        <f t="shared" si="122"/>
        <v>150</v>
      </c>
      <c r="AC670" s="9">
        <f t="shared" si="123"/>
        <v>22.5</v>
      </c>
      <c r="AD670" s="9">
        <f t="shared" si="124"/>
        <v>127.5</v>
      </c>
      <c r="AE670" s="9">
        <f t="shared" si="125"/>
        <v>57.61</v>
      </c>
      <c r="AF670" s="9">
        <f t="shared" si="131"/>
        <v>69.89</v>
      </c>
      <c r="AG670" s="8">
        <f t="shared" si="126"/>
        <v>2024</v>
      </c>
      <c r="AH670" s="8">
        <f t="shared" si="127"/>
        <v>3</v>
      </c>
      <c r="AI670" s="5" t="str">
        <f t="shared" si="128"/>
        <v>Mar</v>
      </c>
      <c r="AJ670" s="5" t="str">
        <f t="shared" si="129"/>
        <v>Saturday</v>
      </c>
    </row>
    <row r="671" spans="1:36" x14ac:dyDescent="0.3">
      <c r="A671" s="5" t="s">
        <v>705</v>
      </c>
      <c r="B671" s="6">
        <v>45402</v>
      </c>
      <c r="C671" s="7">
        <v>0.4513888888888889</v>
      </c>
      <c r="D671" s="5" t="s">
        <v>1923</v>
      </c>
      <c r="E671" s="5" t="s">
        <v>2129</v>
      </c>
      <c r="F671" s="5" t="s">
        <v>1761</v>
      </c>
      <c r="G671" s="5" t="s">
        <v>2249</v>
      </c>
      <c r="H671" s="5" t="s">
        <v>2257</v>
      </c>
      <c r="I671" s="5" t="s">
        <v>2263</v>
      </c>
      <c r="J671" s="5" t="s">
        <v>2264</v>
      </c>
      <c r="K671" s="8">
        <v>2</v>
      </c>
      <c r="L671" s="9">
        <v>170</v>
      </c>
      <c r="M671" s="10">
        <v>0</v>
      </c>
      <c r="N671" s="9">
        <f t="shared" si="130"/>
        <v>340</v>
      </c>
      <c r="O671" s="9">
        <f t="shared" si="120"/>
        <v>340</v>
      </c>
      <c r="P671" s="5" t="s">
        <v>1761</v>
      </c>
      <c r="Q671" s="5" t="s">
        <v>2271</v>
      </c>
      <c r="R671" s="5" t="s">
        <v>2279</v>
      </c>
      <c r="S671" s="5" t="s">
        <v>2286</v>
      </c>
      <c r="T671" s="5" t="s">
        <v>2288</v>
      </c>
      <c r="U671" s="8">
        <v>4</v>
      </c>
      <c r="V671" s="8">
        <v>38</v>
      </c>
      <c r="W671" s="8">
        <v>47</v>
      </c>
      <c r="X671" s="9">
        <v>83.18</v>
      </c>
      <c r="Y671" s="9">
        <f t="shared" si="121"/>
        <v>173.64</v>
      </c>
      <c r="Z671" s="5" t="s">
        <v>1761</v>
      </c>
      <c r="AA671" s="5" t="s">
        <v>2297</v>
      </c>
      <c r="AB671" s="9">
        <f t="shared" si="122"/>
        <v>340</v>
      </c>
      <c r="AC671" s="9">
        <f t="shared" si="123"/>
        <v>0</v>
      </c>
      <c r="AD671" s="9">
        <f t="shared" si="124"/>
        <v>340</v>
      </c>
      <c r="AE671" s="9">
        <f t="shared" si="125"/>
        <v>166.36</v>
      </c>
      <c r="AF671" s="9">
        <f t="shared" si="131"/>
        <v>173.64</v>
      </c>
      <c r="AG671" s="8">
        <f t="shared" si="126"/>
        <v>2024</v>
      </c>
      <c r="AH671" s="8">
        <f t="shared" si="127"/>
        <v>4</v>
      </c>
      <c r="AI671" s="5" t="str">
        <f t="shared" si="128"/>
        <v>Apr</v>
      </c>
      <c r="AJ671" s="5" t="str">
        <f t="shared" si="129"/>
        <v>Saturday</v>
      </c>
    </row>
    <row r="672" spans="1:36" x14ac:dyDescent="0.3">
      <c r="A672" s="5" t="s">
        <v>706</v>
      </c>
      <c r="B672" s="6">
        <v>45302</v>
      </c>
      <c r="C672" s="7">
        <v>0.4375</v>
      </c>
      <c r="D672" s="5" t="s">
        <v>1751</v>
      </c>
      <c r="E672" s="5" t="s">
        <v>2203</v>
      </c>
      <c r="F672" s="5" t="s">
        <v>2238</v>
      </c>
      <c r="G672" s="5" t="s">
        <v>2252</v>
      </c>
      <c r="H672" s="5" t="s">
        <v>2257</v>
      </c>
      <c r="I672" s="5" t="s">
        <v>2262</v>
      </c>
      <c r="J672" s="5" t="s">
        <v>2266</v>
      </c>
      <c r="K672" s="8">
        <v>2</v>
      </c>
      <c r="L672" s="9">
        <v>90</v>
      </c>
      <c r="M672" s="10">
        <v>0.1</v>
      </c>
      <c r="N672" s="9">
        <f t="shared" si="130"/>
        <v>180</v>
      </c>
      <c r="O672" s="9">
        <f t="shared" si="120"/>
        <v>162</v>
      </c>
      <c r="P672" s="5" t="s">
        <v>2269</v>
      </c>
      <c r="Q672" s="5" t="s">
        <v>1761</v>
      </c>
      <c r="R672" s="5" t="s">
        <v>2273</v>
      </c>
      <c r="S672" s="5" t="s">
        <v>2284</v>
      </c>
      <c r="T672" s="5" t="s">
        <v>2288</v>
      </c>
      <c r="U672" s="8">
        <v>5</v>
      </c>
      <c r="V672" s="8">
        <v>273</v>
      </c>
      <c r="W672" s="8">
        <v>35</v>
      </c>
      <c r="X672" s="9">
        <v>46</v>
      </c>
      <c r="Y672" s="9">
        <f t="shared" si="121"/>
        <v>70</v>
      </c>
      <c r="Z672" s="5" t="s">
        <v>2293</v>
      </c>
      <c r="AA672" s="5" t="s">
        <v>2298</v>
      </c>
      <c r="AB672" s="9">
        <f t="shared" si="122"/>
        <v>180</v>
      </c>
      <c r="AC672" s="9">
        <f t="shared" si="123"/>
        <v>18</v>
      </c>
      <c r="AD672" s="9">
        <f t="shared" si="124"/>
        <v>162</v>
      </c>
      <c r="AE672" s="9">
        <f t="shared" si="125"/>
        <v>92</v>
      </c>
      <c r="AF672" s="9">
        <f t="shared" si="131"/>
        <v>70</v>
      </c>
      <c r="AG672" s="8">
        <f t="shared" si="126"/>
        <v>2024</v>
      </c>
      <c r="AH672" s="8">
        <f t="shared" si="127"/>
        <v>1</v>
      </c>
      <c r="AI672" s="5" t="str">
        <f t="shared" si="128"/>
        <v>Jan</v>
      </c>
      <c r="AJ672" s="5" t="str">
        <f t="shared" si="129"/>
        <v>Thursday</v>
      </c>
    </row>
    <row r="673" spans="1:36" x14ac:dyDescent="0.3">
      <c r="A673" s="5" t="s">
        <v>707</v>
      </c>
      <c r="B673" s="6">
        <v>45398</v>
      </c>
      <c r="C673" s="7">
        <v>0.29166666666666669</v>
      </c>
      <c r="D673" s="5" t="s">
        <v>1837</v>
      </c>
      <c r="E673" s="5" t="s">
        <v>2154</v>
      </c>
      <c r="F673" s="5" t="s">
        <v>2240</v>
      </c>
      <c r="G673" s="5" t="s">
        <v>2247</v>
      </c>
      <c r="H673" s="5" t="s">
        <v>2257</v>
      </c>
      <c r="I673" s="5" t="s">
        <v>2262</v>
      </c>
      <c r="J673" s="5" t="s">
        <v>2266</v>
      </c>
      <c r="K673" s="8">
        <v>1</v>
      </c>
      <c r="L673" s="9">
        <v>100</v>
      </c>
      <c r="M673" s="10">
        <v>0.05</v>
      </c>
      <c r="N673" s="9">
        <f t="shared" si="130"/>
        <v>100</v>
      </c>
      <c r="O673" s="9">
        <f t="shared" si="120"/>
        <v>95</v>
      </c>
      <c r="P673" s="5" t="s">
        <v>2269</v>
      </c>
      <c r="Q673" s="5" t="s">
        <v>2272</v>
      </c>
      <c r="R673" s="5" t="s">
        <v>2279</v>
      </c>
      <c r="S673" s="5" t="s">
        <v>2281</v>
      </c>
      <c r="T673" s="5" t="s">
        <v>2288</v>
      </c>
      <c r="U673" s="19">
        <v>3</v>
      </c>
      <c r="V673" s="8">
        <v>339</v>
      </c>
      <c r="W673" s="8">
        <v>34</v>
      </c>
      <c r="X673" s="9">
        <v>57.66</v>
      </c>
      <c r="Y673" s="9">
        <f t="shared" si="121"/>
        <v>37.340000000000003</v>
      </c>
      <c r="Z673" s="5" t="s">
        <v>1761</v>
      </c>
      <c r="AA673" s="5" t="s">
        <v>2299</v>
      </c>
      <c r="AB673" s="9">
        <f t="shared" si="122"/>
        <v>100</v>
      </c>
      <c r="AC673" s="9">
        <f t="shared" si="123"/>
        <v>5</v>
      </c>
      <c r="AD673" s="9">
        <f t="shared" si="124"/>
        <v>95</v>
      </c>
      <c r="AE673" s="9">
        <f t="shared" si="125"/>
        <v>57.66</v>
      </c>
      <c r="AF673" s="9">
        <f t="shared" si="131"/>
        <v>37.340000000000003</v>
      </c>
      <c r="AG673" s="8">
        <f t="shared" si="126"/>
        <v>2024</v>
      </c>
      <c r="AH673" s="8">
        <f t="shared" si="127"/>
        <v>4</v>
      </c>
      <c r="AI673" s="5" t="str">
        <f t="shared" si="128"/>
        <v>Apr</v>
      </c>
      <c r="AJ673" s="5" t="str">
        <f t="shared" si="129"/>
        <v>Tuesday</v>
      </c>
    </row>
    <row r="674" spans="1:36" x14ac:dyDescent="0.3">
      <c r="A674" s="5" t="s">
        <v>708</v>
      </c>
      <c r="B674" s="6">
        <v>45428</v>
      </c>
      <c r="C674" s="7">
        <v>0.70138888888888884</v>
      </c>
      <c r="D674" s="5" t="s">
        <v>1755</v>
      </c>
      <c r="E674" s="5" t="s">
        <v>2203</v>
      </c>
      <c r="F674" s="5" t="s">
        <v>2240</v>
      </c>
      <c r="G674" s="5" t="s">
        <v>2249</v>
      </c>
      <c r="H674" s="5" t="s">
        <v>2257</v>
      </c>
      <c r="I674" s="5" t="s">
        <v>2263</v>
      </c>
      <c r="J674" s="5" t="s">
        <v>2266</v>
      </c>
      <c r="K674" s="8">
        <v>1</v>
      </c>
      <c r="L674" s="9">
        <v>165</v>
      </c>
      <c r="M674" s="10">
        <v>0.1</v>
      </c>
      <c r="N674" s="9">
        <f t="shared" si="130"/>
        <v>165</v>
      </c>
      <c r="O674" s="9">
        <f t="shared" si="120"/>
        <v>148.5</v>
      </c>
      <c r="P674" s="5" t="s">
        <v>1761</v>
      </c>
      <c r="Q674" s="5" t="s">
        <v>2272</v>
      </c>
      <c r="R674" s="5" t="s">
        <v>2276</v>
      </c>
      <c r="S674" s="5" t="s">
        <v>2286</v>
      </c>
      <c r="T674" s="5" t="s">
        <v>2288</v>
      </c>
      <c r="U674" s="8">
        <v>5</v>
      </c>
      <c r="V674" s="8">
        <v>287</v>
      </c>
      <c r="W674" s="8">
        <v>12</v>
      </c>
      <c r="X674" s="9">
        <v>71.86</v>
      </c>
      <c r="Y674" s="9">
        <f t="shared" si="121"/>
        <v>76.64</v>
      </c>
      <c r="Z674" s="5" t="s">
        <v>1761</v>
      </c>
      <c r="AA674" s="5" t="s">
        <v>2298</v>
      </c>
      <c r="AB674" s="9">
        <f t="shared" si="122"/>
        <v>165</v>
      </c>
      <c r="AC674" s="9">
        <f t="shared" si="123"/>
        <v>16.5</v>
      </c>
      <c r="AD674" s="9">
        <f t="shared" si="124"/>
        <v>148.5</v>
      </c>
      <c r="AE674" s="9">
        <f t="shared" si="125"/>
        <v>71.86</v>
      </c>
      <c r="AF674" s="9">
        <f t="shared" si="131"/>
        <v>76.64</v>
      </c>
      <c r="AG674" s="8">
        <f t="shared" si="126"/>
        <v>2024</v>
      </c>
      <c r="AH674" s="8">
        <f t="shared" si="127"/>
        <v>5</v>
      </c>
      <c r="AI674" s="5" t="str">
        <f t="shared" si="128"/>
        <v>May</v>
      </c>
      <c r="AJ674" s="5" t="str">
        <f t="shared" si="129"/>
        <v>Thursday</v>
      </c>
    </row>
    <row r="675" spans="1:36" x14ac:dyDescent="0.3">
      <c r="A675" s="5" t="s">
        <v>709</v>
      </c>
      <c r="B675" s="6">
        <v>45596</v>
      </c>
      <c r="C675" s="7">
        <v>0.67708333333333337</v>
      </c>
      <c r="D675" s="5" t="s">
        <v>1785</v>
      </c>
      <c r="E675" s="5" t="s">
        <v>1761</v>
      </c>
      <c r="F675" s="5" t="s">
        <v>2239</v>
      </c>
      <c r="G675" s="5" t="s">
        <v>2253</v>
      </c>
      <c r="H675" s="5" t="s">
        <v>2258</v>
      </c>
      <c r="I675" s="5" t="s">
        <v>2260</v>
      </c>
      <c r="J675" s="5" t="s">
        <v>2265</v>
      </c>
      <c r="K675" s="8">
        <v>1</v>
      </c>
      <c r="L675" s="9">
        <v>95</v>
      </c>
      <c r="M675" s="10">
        <v>0.1</v>
      </c>
      <c r="N675" s="9">
        <f t="shared" si="130"/>
        <v>95</v>
      </c>
      <c r="O675" s="9">
        <f t="shared" si="120"/>
        <v>85.5</v>
      </c>
      <c r="P675" s="5" t="s">
        <v>2267</v>
      </c>
      <c r="Q675" s="5" t="s">
        <v>2272</v>
      </c>
      <c r="R675" s="5" t="s">
        <v>2275</v>
      </c>
      <c r="S675" s="5" t="s">
        <v>2282</v>
      </c>
      <c r="T675" s="5" t="s">
        <v>2288</v>
      </c>
      <c r="U675" s="8">
        <v>2</v>
      </c>
      <c r="V675" s="8">
        <v>420</v>
      </c>
      <c r="W675" s="19">
        <v>35</v>
      </c>
      <c r="X675" s="9">
        <v>40.75</v>
      </c>
      <c r="Y675" s="9">
        <f t="shared" si="121"/>
        <v>44.75</v>
      </c>
      <c r="Z675" s="5" t="s">
        <v>2291</v>
      </c>
      <c r="AA675" s="5" t="s">
        <v>2297</v>
      </c>
      <c r="AB675" s="9">
        <f t="shared" si="122"/>
        <v>95</v>
      </c>
      <c r="AC675" s="9">
        <f t="shared" si="123"/>
        <v>9.5</v>
      </c>
      <c r="AD675" s="9">
        <f t="shared" si="124"/>
        <v>85.5</v>
      </c>
      <c r="AE675" s="9">
        <f t="shared" si="125"/>
        <v>40.75</v>
      </c>
      <c r="AF675" s="9">
        <f t="shared" si="131"/>
        <v>44.75</v>
      </c>
      <c r="AG675" s="8">
        <f t="shared" si="126"/>
        <v>2024</v>
      </c>
      <c r="AH675" s="8">
        <f t="shared" si="127"/>
        <v>10</v>
      </c>
      <c r="AI675" s="5" t="str">
        <f t="shared" si="128"/>
        <v>Oct</v>
      </c>
      <c r="AJ675" s="5" t="str">
        <f t="shared" si="129"/>
        <v>Thursday</v>
      </c>
    </row>
    <row r="676" spans="1:36" x14ac:dyDescent="0.3">
      <c r="A676" s="5" t="s">
        <v>710</v>
      </c>
      <c r="B676" s="6">
        <v>45408</v>
      </c>
      <c r="C676" s="7">
        <v>0.4375</v>
      </c>
      <c r="D676" s="5" t="s">
        <v>1768</v>
      </c>
      <c r="E676" s="5" t="s">
        <v>2204</v>
      </c>
      <c r="F676" s="5" t="s">
        <v>1761</v>
      </c>
      <c r="G676" s="5" t="s">
        <v>2241</v>
      </c>
      <c r="H676" s="5" t="s">
        <v>2257</v>
      </c>
      <c r="I676" s="5" t="s">
        <v>2262</v>
      </c>
      <c r="J676" s="5" t="s">
        <v>2264</v>
      </c>
      <c r="K676" s="8">
        <v>1</v>
      </c>
      <c r="L676" s="9">
        <v>130</v>
      </c>
      <c r="M676" s="10">
        <v>0.15</v>
      </c>
      <c r="N676" s="9">
        <f t="shared" si="130"/>
        <v>130</v>
      </c>
      <c r="O676" s="9">
        <f t="shared" si="120"/>
        <v>110.5</v>
      </c>
      <c r="P676" s="5" t="s">
        <v>2267</v>
      </c>
      <c r="Q676" s="5" t="s">
        <v>1761</v>
      </c>
      <c r="R676" s="5" t="s">
        <v>2276</v>
      </c>
      <c r="S676" s="5" t="s">
        <v>2285</v>
      </c>
      <c r="T676" s="5" t="s">
        <v>2288</v>
      </c>
      <c r="U676" s="8">
        <v>5</v>
      </c>
      <c r="V676" s="8">
        <v>328</v>
      </c>
      <c r="W676" s="8">
        <v>58</v>
      </c>
      <c r="X676" s="9">
        <v>73.709999999999994</v>
      </c>
      <c r="Y676" s="9">
        <f t="shared" si="121"/>
        <v>36.790000000000006</v>
      </c>
      <c r="Z676" s="5" t="s">
        <v>2293</v>
      </c>
      <c r="AA676" s="5" t="s">
        <v>1761</v>
      </c>
      <c r="AB676" s="9">
        <f t="shared" si="122"/>
        <v>130</v>
      </c>
      <c r="AC676" s="9">
        <f t="shared" si="123"/>
        <v>19.5</v>
      </c>
      <c r="AD676" s="9">
        <f t="shared" si="124"/>
        <v>110.5</v>
      </c>
      <c r="AE676" s="9">
        <f t="shared" si="125"/>
        <v>73.709999999999994</v>
      </c>
      <c r="AF676" s="9">
        <f t="shared" si="131"/>
        <v>36.790000000000006</v>
      </c>
      <c r="AG676" s="8">
        <f t="shared" si="126"/>
        <v>2024</v>
      </c>
      <c r="AH676" s="8">
        <f t="shared" si="127"/>
        <v>4</v>
      </c>
      <c r="AI676" s="5" t="str">
        <f t="shared" si="128"/>
        <v>Apr</v>
      </c>
      <c r="AJ676" s="5" t="str">
        <f t="shared" si="129"/>
        <v>Friday</v>
      </c>
    </row>
    <row r="677" spans="1:36" x14ac:dyDescent="0.3">
      <c r="A677" s="5" t="s">
        <v>711</v>
      </c>
      <c r="B677" s="6">
        <v>45586</v>
      </c>
      <c r="C677" s="7">
        <v>0.57638888888888884</v>
      </c>
      <c r="D677" s="5" t="s">
        <v>1851</v>
      </c>
      <c r="E677" s="5" t="s">
        <v>2139</v>
      </c>
      <c r="F677" s="5" t="s">
        <v>2240</v>
      </c>
      <c r="G677" s="5" t="s">
        <v>2242</v>
      </c>
      <c r="H677" s="5" t="s">
        <v>2258</v>
      </c>
      <c r="I677" s="5" t="s">
        <v>2260</v>
      </c>
      <c r="J677" s="5" t="s">
        <v>2266</v>
      </c>
      <c r="K677" s="8">
        <v>2</v>
      </c>
      <c r="L677" s="9">
        <v>125</v>
      </c>
      <c r="M677" s="10">
        <v>0.05</v>
      </c>
      <c r="N677" s="9">
        <f t="shared" si="130"/>
        <v>250</v>
      </c>
      <c r="O677" s="9">
        <f t="shared" si="120"/>
        <v>237.5</v>
      </c>
      <c r="P677" s="5" t="s">
        <v>2267</v>
      </c>
      <c r="Q677" s="5" t="s">
        <v>2270</v>
      </c>
      <c r="R677" s="5" t="s">
        <v>2275</v>
      </c>
      <c r="S677" s="5" t="s">
        <v>2280</v>
      </c>
      <c r="T677" s="5" t="s">
        <v>2288</v>
      </c>
      <c r="U677" s="8">
        <v>5</v>
      </c>
      <c r="V677" s="8">
        <v>31</v>
      </c>
      <c r="W677" s="8">
        <v>36</v>
      </c>
      <c r="X677" s="9">
        <v>65.599999999999994</v>
      </c>
      <c r="Y677" s="9">
        <f t="shared" si="121"/>
        <v>106.30000000000001</v>
      </c>
      <c r="Z677" s="5" t="s">
        <v>2293</v>
      </c>
      <c r="AA677" s="5" t="s">
        <v>2298</v>
      </c>
      <c r="AB677" s="9">
        <f t="shared" si="122"/>
        <v>250</v>
      </c>
      <c r="AC677" s="9">
        <f t="shared" si="123"/>
        <v>12.5</v>
      </c>
      <c r="AD677" s="9">
        <f t="shared" si="124"/>
        <v>237.5</v>
      </c>
      <c r="AE677" s="9">
        <f t="shared" si="125"/>
        <v>131.19999999999999</v>
      </c>
      <c r="AF677" s="9">
        <f t="shared" si="131"/>
        <v>106.30000000000001</v>
      </c>
      <c r="AG677" s="8">
        <f t="shared" si="126"/>
        <v>2024</v>
      </c>
      <c r="AH677" s="8">
        <f t="shared" si="127"/>
        <v>10</v>
      </c>
      <c r="AI677" s="5" t="str">
        <f t="shared" si="128"/>
        <v>Oct</v>
      </c>
      <c r="AJ677" s="5" t="str">
        <f t="shared" si="129"/>
        <v>Monday</v>
      </c>
    </row>
    <row r="678" spans="1:36" x14ac:dyDescent="0.3">
      <c r="A678" s="5" t="s">
        <v>712</v>
      </c>
      <c r="B678" s="6">
        <v>45321</v>
      </c>
      <c r="C678" s="7">
        <v>0.55555555555555558</v>
      </c>
      <c r="D678" s="5" t="s">
        <v>1881</v>
      </c>
      <c r="E678" s="5" t="s">
        <v>2087</v>
      </c>
      <c r="F678" s="5" t="s">
        <v>2238</v>
      </c>
      <c r="G678" s="5" t="s">
        <v>2253</v>
      </c>
      <c r="H678" s="5" t="s">
        <v>2258</v>
      </c>
      <c r="I678" s="5" t="s">
        <v>2260</v>
      </c>
      <c r="J678" s="5" t="s">
        <v>2264</v>
      </c>
      <c r="K678" s="8">
        <v>1</v>
      </c>
      <c r="L678" s="9">
        <v>85</v>
      </c>
      <c r="M678" s="10">
        <v>0.05</v>
      </c>
      <c r="N678" s="9">
        <f t="shared" si="130"/>
        <v>85</v>
      </c>
      <c r="O678" s="9">
        <f t="shared" si="120"/>
        <v>80.75</v>
      </c>
      <c r="P678" s="5" t="s">
        <v>1761</v>
      </c>
      <c r="Q678" s="5" t="s">
        <v>2270</v>
      </c>
      <c r="R678" s="5" t="s">
        <v>2278</v>
      </c>
      <c r="S678" s="5" t="s">
        <v>2286</v>
      </c>
      <c r="T678" s="5" t="s">
        <v>2290</v>
      </c>
      <c r="U678" s="8">
        <v>4</v>
      </c>
      <c r="V678" s="19">
        <v>244</v>
      </c>
      <c r="W678" s="8">
        <v>48</v>
      </c>
      <c r="X678" s="9">
        <v>38.33</v>
      </c>
      <c r="Y678" s="9">
        <f t="shared" si="121"/>
        <v>42.42</v>
      </c>
      <c r="Z678" s="5" t="s">
        <v>2294</v>
      </c>
      <c r="AA678" s="5" t="s">
        <v>2298</v>
      </c>
      <c r="AB678" s="9">
        <f t="shared" si="122"/>
        <v>85</v>
      </c>
      <c r="AC678" s="9">
        <f t="shared" si="123"/>
        <v>4.25</v>
      </c>
      <c r="AD678" s="9">
        <f t="shared" si="124"/>
        <v>80.75</v>
      </c>
      <c r="AE678" s="9">
        <f t="shared" si="125"/>
        <v>38.33</v>
      </c>
      <c r="AF678" s="9">
        <f t="shared" si="131"/>
        <v>42.42</v>
      </c>
      <c r="AG678" s="8">
        <f t="shared" si="126"/>
        <v>2024</v>
      </c>
      <c r="AH678" s="8">
        <f t="shared" si="127"/>
        <v>1</v>
      </c>
      <c r="AI678" s="5" t="str">
        <f t="shared" si="128"/>
        <v>Jan</v>
      </c>
      <c r="AJ678" s="5" t="str">
        <f t="shared" si="129"/>
        <v>Tuesday</v>
      </c>
    </row>
    <row r="679" spans="1:36" x14ac:dyDescent="0.3">
      <c r="A679" s="5" t="s">
        <v>713</v>
      </c>
      <c r="B679" s="6">
        <v>45636</v>
      </c>
      <c r="C679" s="7">
        <v>0.40625</v>
      </c>
      <c r="D679" s="5" t="s">
        <v>1824</v>
      </c>
      <c r="E679" s="5" t="s">
        <v>2032</v>
      </c>
      <c r="F679" s="5" t="s">
        <v>2239</v>
      </c>
      <c r="G679" s="5" t="s">
        <v>2255</v>
      </c>
      <c r="H679" s="5" t="s">
        <v>2260</v>
      </c>
      <c r="I679" s="5" t="s">
        <v>2260</v>
      </c>
      <c r="J679" s="5" t="s">
        <v>2265</v>
      </c>
      <c r="K679" s="8">
        <v>1</v>
      </c>
      <c r="L679" s="9">
        <v>180</v>
      </c>
      <c r="M679" s="10">
        <v>0.05</v>
      </c>
      <c r="N679" s="9">
        <f t="shared" si="130"/>
        <v>180</v>
      </c>
      <c r="O679" s="9">
        <f t="shared" si="120"/>
        <v>171</v>
      </c>
      <c r="P679" s="5" t="s">
        <v>2267</v>
      </c>
      <c r="Q679" s="5" t="s">
        <v>2270</v>
      </c>
      <c r="R679" s="5" t="s">
        <v>2278</v>
      </c>
      <c r="S679" s="5" t="s">
        <v>2281</v>
      </c>
      <c r="T679" s="5" t="s">
        <v>2288</v>
      </c>
      <c r="U679" s="19">
        <v>3</v>
      </c>
      <c r="V679" s="19">
        <v>244</v>
      </c>
      <c r="W679" s="8">
        <v>23</v>
      </c>
      <c r="X679" s="9">
        <v>82.53</v>
      </c>
      <c r="Y679" s="9">
        <f t="shared" si="121"/>
        <v>88.47</v>
      </c>
      <c r="Z679" s="5" t="s">
        <v>2293</v>
      </c>
      <c r="AA679" s="5" t="s">
        <v>2299</v>
      </c>
      <c r="AB679" s="9">
        <f t="shared" si="122"/>
        <v>180</v>
      </c>
      <c r="AC679" s="9">
        <f t="shared" si="123"/>
        <v>9</v>
      </c>
      <c r="AD679" s="9">
        <f t="shared" si="124"/>
        <v>171</v>
      </c>
      <c r="AE679" s="9">
        <f t="shared" si="125"/>
        <v>82.53</v>
      </c>
      <c r="AF679" s="9">
        <f t="shared" si="131"/>
        <v>88.47</v>
      </c>
      <c r="AG679" s="8">
        <f t="shared" si="126"/>
        <v>2024</v>
      </c>
      <c r="AH679" s="8">
        <f t="shared" si="127"/>
        <v>12</v>
      </c>
      <c r="AI679" s="5" t="str">
        <f t="shared" si="128"/>
        <v>Dec</v>
      </c>
      <c r="AJ679" s="5" t="str">
        <f t="shared" si="129"/>
        <v>Tuesday</v>
      </c>
    </row>
    <row r="680" spans="1:36" x14ac:dyDescent="0.3">
      <c r="A680" s="5" t="s">
        <v>714</v>
      </c>
      <c r="B680" s="6">
        <v>45388</v>
      </c>
      <c r="C680" s="7">
        <v>0.38194444444444442</v>
      </c>
      <c r="D680" s="5" t="s">
        <v>1865</v>
      </c>
      <c r="E680" s="5" t="s">
        <v>2031</v>
      </c>
      <c r="F680" s="5" t="s">
        <v>2238</v>
      </c>
      <c r="G680" s="5" t="s">
        <v>2252</v>
      </c>
      <c r="H680" s="5" t="s">
        <v>2257</v>
      </c>
      <c r="I680" s="5" t="s">
        <v>2262</v>
      </c>
      <c r="J680" s="5" t="s">
        <v>2264</v>
      </c>
      <c r="K680" s="8">
        <v>1</v>
      </c>
      <c r="L680" s="9">
        <v>100</v>
      </c>
      <c r="M680" s="10">
        <v>0</v>
      </c>
      <c r="N680" s="9">
        <f t="shared" si="130"/>
        <v>100</v>
      </c>
      <c r="O680" s="9">
        <f t="shared" si="120"/>
        <v>100</v>
      </c>
      <c r="P680" s="5" t="s">
        <v>2269</v>
      </c>
      <c r="Q680" s="5" t="s">
        <v>2272</v>
      </c>
      <c r="R680" s="5" t="s">
        <v>2276</v>
      </c>
      <c r="S680" s="5" t="s">
        <v>2280</v>
      </c>
      <c r="T680" s="5" t="s">
        <v>2288</v>
      </c>
      <c r="U680" s="8">
        <v>4</v>
      </c>
      <c r="V680" s="8">
        <v>20</v>
      </c>
      <c r="W680" s="8">
        <v>30</v>
      </c>
      <c r="X680" s="9">
        <v>38.07</v>
      </c>
      <c r="Y680" s="9">
        <f t="shared" si="121"/>
        <v>61.93</v>
      </c>
      <c r="Z680" s="5" t="s">
        <v>2293</v>
      </c>
      <c r="AA680" s="5" t="s">
        <v>2296</v>
      </c>
      <c r="AB680" s="9">
        <f t="shared" si="122"/>
        <v>100</v>
      </c>
      <c r="AC680" s="9">
        <f t="shared" si="123"/>
        <v>0</v>
      </c>
      <c r="AD680" s="9">
        <f t="shared" si="124"/>
        <v>100</v>
      </c>
      <c r="AE680" s="9">
        <f t="shared" si="125"/>
        <v>38.07</v>
      </c>
      <c r="AF680" s="9">
        <f t="shared" si="131"/>
        <v>61.93</v>
      </c>
      <c r="AG680" s="8">
        <f t="shared" si="126"/>
        <v>2024</v>
      </c>
      <c r="AH680" s="8">
        <f t="shared" si="127"/>
        <v>4</v>
      </c>
      <c r="AI680" s="5" t="str">
        <f t="shared" si="128"/>
        <v>Apr</v>
      </c>
      <c r="AJ680" s="5" t="str">
        <f t="shared" si="129"/>
        <v>Saturday</v>
      </c>
    </row>
    <row r="681" spans="1:36" x14ac:dyDescent="0.3">
      <c r="A681" s="5" t="s">
        <v>715</v>
      </c>
      <c r="B681" s="6">
        <v>45432</v>
      </c>
      <c r="C681" s="7">
        <v>0.34027777777777779</v>
      </c>
      <c r="D681" s="5" t="s">
        <v>1883</v>
      </c>
      <c r="E681" s="5" t="s">
        <v>2146</v>
      </c>
      <c r="F681" s="5" t="s">
        <v>1761</v>
      </c>
      <c r="G681" s="5" t="s">
        <v>2247</v>
      </c>
      <c r="H681" s="5" t="s">
        <v>2257</v>
      </c>
      <c r="I681" s="5" t="s">
        <v>2262</v>
      </c>
      <c r="J681" s="5" t="s">
        <v>2266</v>
      </c>
      <c r="K681" s="8">
        <v>1</v>
      </c>
      <c r="L681" s="9">
        <v>110</v>
      </c>
      <c r="M681" s="10">
        <v>0.15</v>
      </c>
      <c r="N681" s="9">
        <f t="shared" si="130"/>
        <v>110</v>
      </c>
      <c r="O681" s="9">
        <f t="shared" si="120"/>
        <v>93.5</v>
      </c>
      <c r="P681" s="5" t="s">
        <v>2267</v>
      </c>
      <c r="Q681" s="5" t="s">
        <v>2272</v>
      </c>
      <c r="R681" s="5" t="s">
        <v>2275</v>
      </c>
      <c r="S681" s="5" t="s">
        <v>2283</v>
      </c>
      <c r="T681" s="5" t="s">
        <v>2290</v>
      </c>
      <c r="U681" s="8">
        <v>4</v>
      </c>
      <c r="V681" s="8">
        <v>179</v>
      </c>
      <c r="W681" s="19">
        <v>35</v>
      </c>
      <c r="X681" s="9">
        <v>36.119999999999997</v>
      </c>
      <c r="Y681" s="9">
        <f t="shared" si="121"/>
        <v>57.38</v>
      </c>
      <c r="Z681" s="5" t="s">
        <v>2292</v>
      </c>
      <c r="AA681" s="5" t="s">
        <v>2299</v>
      </c>
      <c r="AB681" s="9">
        <f t="shared" si="122"/>
        <v>110</v>
      </c>
      <c r="AC681" s="9">
        <f t="shared" si="123"/>
        <v>16.5</v>
      </c>
      <c r="AD681" s="9">
        <f t="shared" si="124"/>
        <v>93.5</v>
      </c>
      <c r="AE681" s="9">
        <f t="shared" si="125"/>
        <v>36.119999999999997</v>
      </c>
      <c r="AF681" s="9">
        <f t="shared" si="131"/>
        <v>57.38</v>
      </c>
      <c r="AG681" s="8">
        <f t="shared" si="126"/>
        <v>2024</v>
      </c>
      <c r="AH681" s="8">
        <f t="shared" si="127"/>
        <v>5</v>
      </c>
      <c r="AI681" s="5" t="str">
        <f t="shared" si="128"/>
        <v>May</v>
      </c>
      <c r="AJ681" s="5" t="str">
        <f t="shared" si="129"/>
        <v>Monday</v>
      </c>
    </row>
    <row r="682" spans="1:36" x14ac:dyDescent="0.3">
      <c r="A682" s="5" t="s">
        <v>716</v>
      </c>
      <c r="B682" s="6">
        <v>45379</v>
      </c>
      <c r="C682" s="7">
        <v>0.71875</v>
      </c>
      <c r="D682" s="5" t="s">
        <v>1926</v>
      </c>
      <c r="E682" s="5" t="s">
        <v>2002</v>
      </c>
      <c r="F682" s="5" t="s">
        <v>2240</v>
      </c>
      <c r="G682" s="5" t="s">
        <v>2250</v>
      </c>
      <c r="H682" s="5" t="s">
        <v>2259</v>
      </c>
      <c r="I682" s="5" t="s">
        <v>2262</v>
      </c>
      <c r="J682" s="5" t="s">
        <v>2265</v>
      </c>
      <c r="K682" s="8">
        <v>1</v>
      </c>
      <c r="L682" s="9">
        <v>80</v>
      </c>
      <c r="M682" s="10">
        <v>0.05</v>
      </c>
      <c r="N682" s="9">
        <f t="shared" si="130"/>
        <v>80</v>
      </c>
      <c r="O682" s="9">
        <f t="shared" si="120"/>
        <v>76</v>
      </c>
      <c r="P682" s="5" t="s">
        <v>2269</v>
      </c>
      <c r="Q682" s="5" t="s">
        <v>2272</v>
      </c>
      <c r="R682" s="5" t="s">
        <v>2274</v>
      </c>
      <c r="S682" s="5" t="s">
        <v>2285</v>
      </c>
      <c r="T682" s="5" t="s">
        <v>2288</v>
      </c>
      <c r="U682" s="8">
        <v>5</v>
      </c>
      <c r="V682" s="8">
        <v>164</v>
      </c>
      <c r="W682" s="19">
        <v>35</v>
      </c>
      <c r="X682" s="9">
        <v>30.2</v>
      </c>
      <c r="Y682" s="9">
        <f t="shared" si="121"/>
        <v>45.8</v>
      </c>
      <c r="Z682" s="5" t="s">
        <v>2293</v>
      </c>
      <c r="AA682" s="5" t="s">
        <v>2297</v>
      </c>
      <c r="AB682" s="9">
        <f t="shared" si="122"/>
        <v>80</v>
      </c>
      <c r="AC682" s="9">
        <f t="shared" si="123"/>
        <v>4</v>
      </c>
      <c r="AD682" s="9">
        <f t="shared" si="124"/>
        <v>76</v>
      </c>
      <c r="AE682" s="9">
        <f t="shared" si="125"/>
        <v>30.2</v>
      </c>
      <c r="AF682" s="9">
        <f t="shared" si="131"/>
        <v>45.8</v>
      </c>
      <c r="AG682" s="8">
        <f t="shared" si="126"/>
        <v>2024</v>
      </c>
      <c r="AH682" s="8">
        <f t="shared" si="127"/>
        <v>3</v>
      </c>
      <c r="AI682" s="5" t="str">
        <f t="shared" si="128"/>
        <v>Mar</v>
      </c>
      <c r="AJ682" s="5" t="str">
        <f t="shared" si="129"/>
        <v>Thursday</v>
      </c>
    </row>
    <row r="683" spans="1:36" x14ac:dyDescent="0.3">
      <c r="A683" s="5" t="s">
        <v>717</v>
      </c>
      <c r="B683" s="6">
        <v>45615</v>
      </c>
      <c r="C683" s="7">
        <v>0.33333333333333331</v>
      </c>
      <c r="D683" s="5" t="s">
        <v>1862</v>
      </c>
      <c r="E683" s="5" t="s">
        <v>2205</v>
      </c>
      <c r="F683" s="5" t="s">
        <v>2239</v>
      </c>
      <c r="G683" s="5" t="s">
        <v>2247</v>
      </c>
      <c r="H683" s="5" t="s">
        <v>2257</v>
      </c>
      <c r="I683" s="5" t="s">
        <v>2262</v>
      </c>
      <c r="J683" s="5" t="s">
        <v>2264</v>
      </c>
      <c r="K683" s="8">
        <v>1</v>
      </c>
      <c r="L683" s="9">
        <v>100</v>
      </c>
      <c r="M683" s="10">
        <v>0.05</v>
      </c>
      <c r="N683" s="9">
        <f t="shared" si="130"/>
        <v>100</v>
      </c>
      <c r="O683" s="9">
        <f t="shared" si="120"/>
        <v>95</v>
      </c>
      <c r="P683" s="5" t="s">
        <v>2267</v>
      </c>
      <c r="Q683" s="5" t="s">
        <v>1761</v>
      </c>
      <c r="R683" s="5" t="s">
        <v>2279</v>
      </c>
      <c r="S683" s="5" t="s">
        <v>2281</v>
      </c>
      <c r="T683" s="5" t="s">
        <v>2289</v>
      </c>
      <c r="U683" s="8">
        <v>5</v>
      </c>
      <c r="V683" s="8">
        <v>32</v>
      </c>
      <c r="W683" s="8">
        <v>14</v>
      </c>
      <c r="X683" s="9">
        <v>35.15</v>
      </c>
      <c r="Y683" s="9">
        <f t="shared" si="121"/>
        <v>59.85</v>
      </c>
      <c r="Z683" s="5" t="s">
        <v>1761</v>
      </c>
      <c r="AA683" s="5" t="s">
        <v>2296</v>
      </c>
      <c r="AB683" s="9">
        <f t="shared" si="122"/>
        <v>100</v>
      </c>
      <c r="AC683" s="9">
        <f t="shared" si="123"/>
        <v>5</v>
      </c>
      <c r="AD683" s="9">
        <f t="shared" si="124"/>
        <v>95</v>
      </c>
      <c r="AE683" s="9">
        <f t="shared" si="125"/>
        <v>35.15</v>
      </c>
      <c r="AF683" s="9">
        <f t="shared" si="131"/>
        <v>59.85</v>
      </c>
      <c r="AG683" s="8">
        <f t="shared" si="126"/>
        <v>2024</v>
      </c>
      <c r="AH683" s="8">
        <f t="shared" si="127"/>
        <v>11</v>
      </c>
      <c r="AI683" s="5" t="str">
        <f t="shared" si="128"/>
        <v>Nov</v>
      </c>
      <c r="AJ683" s="5" t="str">
        <f t="shared" si="129"/>
        <v>Tuesday</v>
      </c>
    </row>
    <row r="684" spans="1:36" x14ac:dyDescent="0.3">
      <c r="A684" s="5" t="s">
        <v>718</v>
      </c>
      <c r="B684" s="6">
        <v>45449</v>
      </c>
      <c r="C684" s="7">
        <v>0.86458333333333337</v>
      </c>
      <c r="D684" s="5" t="s">
        <v>1798</v>
      </c>
      <c r="E684" s="5" t="s">
        <v>2161</v>
      </c>
      <c r="F684" s="5" t="s">
        <v>1761</v>
      </c>
      <c r="G684" s="5" t="s">
        <v>2247</v>
      </c>
      <c r="H684" s="5" t="s">
        <v>2257</v>
      </c>
      <c r="I684" s="5" t="s">
        <v>2262</v>
      </c>
      <c r="J684" s="5" t="s">
        <v>2265</v>
      </c>
      <c r="K684" s="8">
        <v>2</v>
      </c>
      <c r="L684" s="9">
        <v>95</v>
      </c>
      <c r="M684" s="10">
        <v>0.05</v>
      </c>
      <c r="N684" s="9">
        <f t="shared" si="130"/>
        <v>190</v>
      </c>
      <c r="O684" s="9">
        <f t="shared" si="120"/>
        <v>180.5</v>
      </c>
      <c r="P684" s="5" t="s">
        <v>2267</v>
      </c>
      <c r="Q684" s="5" t="s">
        <v>2271</v>
      </c>
      <c r="R684" s="5" t="s">
        <v>2279</v>
      </c>
      <c r="S684" s="5" t="s">
        <v>2287</v>
      </c>
      <c r="T684" s="5" t="s">
        <v>2288</v>
      </c>
      <c r="U684" s="8">
        <v>5</v>
      </c>
      <c r="V684" s="8">
        <v>243</v>
      </c>
      <c r="W684" s="8">
        <v>16</v>
      </c>
      <c r="X684" s="9">
        <v>58.48</v>
      </c>
      <c r="Y684" s="9">
        <f t="shared" si="121"/>
        <v>63.540000000000006</v>
      </c>
      <c r="Z684" s="5" t="s">
        <v>1761</v>
      </c>
      <c r="AA684" s="5" t="s">
        <v>2298</v>
      </c>
      <c r="AB684" s="9">
        <f t="shared" si="122"/>
        <v>190</v>
      </c>
      <c r="AC684" s="9">
        <f t="shared" si="123"/>
        <v>9.5</v>
      </c>
      <c r="AD684" s="9">
        <f t="shared" si="124"/>
        <v>180.5</v>
      </c>
      <c r="AE684" s="9">
        <f t="shared" si="125"/>
        <v>116.96</v>
      </c>
      <c r="AF684" s="9">
        <f t="shared" si="131"/>
        <v>63.540000000000006</v>
      </c>
      <c r="AG684" s="8">
        <f t="shared" si="126"/>
        <v>2024</v>
      </c>
      <c r="AH684" s="8">
        <f t="shared" si="127"/>
        <v>6</v>
      </c>
      <c r="AI684" s="5" t="str">
        <f t="shared" si="128"/>
        <v>Jun</v>
      </c>
      <c r="AJ684" s="5" t="str">
        <f t="shared" si="129"/>
        <v>Thursday</v>
      </c>
    </row>
    <row r="685" spans="1:36" x14ac:dyDescent="0.3">
      <c r="A685" s="5" t="s">
        <v>719</v>
      </c>
      <c r="B685" s="6">
        <v>45379</v>
      </c>
      <c r="C685" s="7">
        <v>0.61805555555555558</v>
      </c>
      <c r="D685" s="5" t="s">
        <v>1741</v>
      </c>
      <c r="E685" s="5" t="s">
        <v>1947</v>
      </c>
      <c r="F685" s="5" t="s">
        <v>2240</v>
      </c>
      <c r="G685" s="5" t="s">
        <v>2244</v>
      </c>
      <c r="H685" s="5" t="s">
        <v>2257</v>
      </c>
      <c r="I685" s="5" t="s">
        <v>2262</v>
      </c>
      <c r="J685" s="5" t="s">
        <v>2266</v>
      </c>
      <c r="K685" s="8">
        <v>1</v>
      </c>
      <c r="L685" s="9">
        <v>120</v>
      </c>
      <c r="M685" s="10">
        <v>0.15</v>
      </c>
      <c r="N685" s="9">
        <f t="shared" si="130"/>
        <v>120</v>
      </c>
      <c r="O685" s="9">
        <f t="shared" si="120"/>
        <v>102</v>
      </c>
      <c r="P685" s="5" t="s">
        <v>2267</v>
      </c>
      <c r="Q685" s="5" t="s">
        <v>2272</v>
      </c>
      <c r="R685" s="5" t="s">
        <v>2275</v>
      </c>
      <c r="S685" s="5" t="s">
        <v>2282</v>
      </c>
      <c r="T685" s="5" t="s">
        <v>2288</v>
      </c>
      <c r="U685" s="8">
        <v>2</v>
      </c>
      <c r="V685" s="8">
        <v>403</v>
      </c>
      <c r="W685" s="8">
        <v>41</v>
      </c>
      <c r="X685" s="9">
        <v>66.56</v>
      </c>
      <c r="Y685" s="9">
        <f t="shared" si="121"/>
        <v>35.44</v>
      </c>
      <c r="Z685" s="5" t="s">
        <v>2291</v>
      </c>
      <c r="AA685" s="5" t="s">
        <v>2296</v>
      </c>
      <c r="AB685" s="9">
        <f t="shared" si="122"/>
        <v>120</v>
      </c>
      <c r="AC685" s="9">
        <f t="shared" si="123"/>
        <v>18</v>
      </c>
      <c r="AD685" s="9">
        <f t="shared" si="124"/>
        <v>102</v>
      </c>
      <c r="AE685" s="9">
        <f t="shared" si="125"/>
        <v>66.56</v>
      </c>
      <c r="AF685" s="9">
        <f t="shared" si="131"/>
        <v>35.44</v>
      </c>
      <c r="AG685" s="8">
        <f t="shared" si="126"/>
        <v>2024</v>
      </c>
      <c r="AH685" s="8">
        <f t="shared" si="127"/>
        <v>3</v>
      </c>
      <c r="AI685" s="5" t="str">
        <f t="shared" si="128"/>
        <v>Mar</v>
      </c>
      <c r="AJ685" s="5" t="str">
        <f t="shared" si="129"/>
        <v>Thursday</v>
      </c>
    </row>
    <row r="686" spans="1:36" x14ac:dyDescent="0.3">
      <c r="A686" s="5" t="s">
        <v>720</v>
      </c>
      <c r="B686" s="6">
        <v>45303</v>
      </c>
      <c r="C686" s="7">
        <v>0.5625</v>
      </c>
      <c r="D686" s="5" t="s">
        <v>1860</v>
      </c>
      <c r="E686" s="5" t="s">
        <v>2134</v>
      </c>
      <c r="F686" s="5" t="s">
        <v>2240</v>
      </c>
      <c r="G686" s="5" t="s">
        <v>2242</v>
      </c>
      <c r="H686" s="5" t="s">
        <v>2258</v>
      </c>
      <c r="I686" s="5" t="s">
        <v>2260</v>
      </c>
      <c r="J686" s="5" t="s">
        <v>2264</v>
      </c>
      <c r="K686" s="8">
        <v>1</v>
      </c>
      <c r="L686" s="9">
        <v>130</v>
      </c>
      <c r="M686" s="10">
        <v>0</v>
      </c>
      <c r="N686" s="9">
        <f t="shared" si="130"/>
        <v>130</v>
      </c>
      <c r="O686" s="9">
        <f t="shared" si="120"/>
        <v>130</v>
      </c>
      <c r="P686" s="5" t="s">
        <v>2269</v>
      </c>
      <c r="Q686" s="5" t="s">
        <v>2271</v>
      </c>
      <c r="R686" s="5" t="s">
        <v>2277</v>
      </c>
      <c r="S686" s="5" t="s">
        <v>2286</v>
      </c>
      <c r="T686" s="5" t="s">
        <v>2288</v>
      </c>
      <c r="U686" s="19">
        <v>3</v>
      </c>
      <c r="V686" s="8">
        <v>407</v>
      </c>
      <c r="W686" s="8">
        <v>51</v>
      </c>
      <c r="X686" s="9">
        <v>67.66</v>
      </c>
      <c r="Y686" s="9">
        <f t="shared" si="121"/>
        <v>62.34</v>
      </c>
      <c r="Z686" s="5" t="s">
        <v>2293</v>
      </c>
      <c r="AA686" s="5" t="s">
        <v>2296</v>
      </c>
      <c r="AB686" s="9">
        <f t="shared" si="122"/>
        <v>130</v>
      </c>
      <c r="AC686" s="9">
        <f t="shared" si="123"/>
        <v>0</v>
      </c>
      <c r="AD686" s="9">
        <f t="shared" si="124"/>
        <v>130</v>
      </c>
      <c r="AE686" s="9">
        <f t="shared" si="125"/>
        <v>67.66</v>
      </c>
      <c r="AF686" s="9">
        <f t="shared" si="131"/>
        <v>62.34</v>
      </c>
      <c r="AG686" s="8">
        <f t="shared" si="126"/>
        <v>2024</v>
      </c>
      <c r="AH686" s="8">
        <f t="shared" si="127"/>
        <v>1</v>
      </c>
      <c r="AI686" s="5" t="str">
        <f t="shared" si="128"/>
        <v>Jan</v>
      </c>
      <c r="AJ686" s="5" t="str">
        <f t="shared" si="129"/>
        <v>Friday</v>
      </c>
    </row>
    <row r="687" spans="1:36" x14ac:dyDescent="0.3">
      <c r="A687" s="5" t="s">
        <v>721</v>
      </c>
      <c r="B687" s="6">
        <v>45645</v>
      </c>
      <c r="C687" s="7">
        <v>0.66666666666666663</v>
      </c>
      <c r="D687" s="5" t="s">
        <v>1801</v>
      </c>
      <c r="E687" s="5" t="s">
        <v>2059</v>
      </c>
      <c r="F687" s="5" t="s">
        <v>2238</v>
      </c>
      <c r="G687" s="5" t="s">
        <v>2243</v>
      </c>
      <c r="H687" s="5" t="s">
        <v>2258</v>
      </c>
      <c r="I687" s="5" t="s">
        <v>2260</v>
      </c>
      <c r="J687" s="5" t="s">
        <v>2265</v>
      </c>
      <c r="K687" s="8">
        <v>1</v>
      </c>
      <c r="L687" s="9">
        <v>70</v>
      </c>
      <c r="M687" s="10">
        <v>0.1</v>
      </c>
      <c r="N687" s="9">
        <f t="shared" si="130"/>
        <v>70</v>
      </c>
      <c r="O687" s="9">
        <f t="shared" si="120"/>
        <v>63</v>
      </c>
      <c r="P687" s="5" t="s">
        <v>2268</v>
      </c>
      <c r="Q687" s="5" t="s">
        <v>1761</v>
      </c>
      <c r="R687" s="5" t="s">
        <v>2277</v>
      </c>
      <c r="S687" s="5" t="s">
        <v>2286</v>
      </c>
      <c r="T687" s="5" t="s">
        <v>2288</v>
      </c>
      <c r="U687" s="8">
        <v>5</v>
      </c>
      <c r="V687" s="8">
        <v>374</v>
      </c>
      <c r="W687" s="8">
        <v>46</v>
      </c>
      <c r="X687" s="9">
        <v>34.36</v>
      </c>
      <c r="Y687" s="9">
        <f t="shared" si="121"/>
        <v>28.64</v>
      </c>
      <c r="Z687" s="5" t="s">
        <v>2293</v>
      </c>
      <c r="AA687" s="5" t="s">
        <v>2296</v>
      </c>
      <c r="AB687" s="9">
        <f t="shared" si="122"/>
        <v>70</v>
      </c>
      <c r="AC687" s="9">
        <f t="shared" si="123"/>
        <v>7</v>
      </c>
      <c r="AD687" s="9">
        <f t="shared" si="124"/>
        <v>63</v>
      </c>
      <c r="AE687" s="9">
        <f t="shared" si="125"/>
        <v>34.36</v>
      </c>
      <c r="AF687" s="9">
        <f t="shared" si="131"/>
        <v>28.64</v>
      </c>
      <c r="AG687" s="8">
        <f t="shared" si="126"/>
        <v>2024</v>
      </c>
      <c r="AH687" s="8">
        <f t="shared" si="127"/>
        <v>12</v>
      </c>
      <c r="AI687" s="5" t="str">
        <f t="shared" si="128"/>
        <v>Dec</v>
      </c>
      <c r="AJ687" s="5" t="str">
        <f t="shared" si="129"/>
        <v>Thursday</v>
      </c>
    </row>
    <row r="688" spans="1:36" x14ac:dyDescent="0.3">
      <c r="A688" s="5" t="s">
        <v>722</v>
      </c>
      <c r="B688" s="6">
        <v>45503</v>
      </c>
      <c r="C688" s="7">
        <v>0.80555555555555558</v>
      </c>
      <c r="D688" s="5" t="s">
        <v>1919</v>
      </c>
      <c r="E688" s="5" t="s">
        <v>2075</v>
      </c>
      <c r="F688" s="5" t="s">
        <v>2238</v>
      </c>
      <c r="G688" s="5" t="s">
        <v>2254</v>
      </c>
      <c r="H688" s="5" t="s">
        <v>2259</v>
      </c>
      <c r="I688" s="5" t="s">
        <v>2263</v>
      </c>
      <c r="J688" s="5" t="s">
        <v>2266</v>
      </c>
      <c r="K688" s="8">
        <v>2</v>
      </c>
      <c r="L688" s="9">
        <v>115</v>
      </c>
      <c r="M688" s="10">
        <v>0</v>
      </c>
      <c r="N688" s="9">
        <f t="shared" si="130"/>
        <v>230</v>
      </c>
      <c r="O688" s="9">
        <f t="shared" si="120"/>
        <v>230</v>
      </c>
      <c r="P688" s="5" t="s">
        <v>2267</v>
      </c>
      <c r="Q688" s="5" t="s">
        <v>1761</v>
      </c>
      <c r="R688" s="5" t="s">
        <v>2273</v>
      </c>
      <c r="S688" s="5" t="s">
        <v>2282</v>
      </c>
      <c r="T688" s="5" t="s">
        <v>2288</v>
      </c>
      <c r="U688" s="8">
        <v>1</v>
      </c>
      <c r="V688" s="8">
        <v>16</v>
      </c>
      <c r="W688" s="19">
        <v>36</v>
      </c>
      <c r="X688" s="9">
        <v>53.44</v>
      </c>
      <c r="Y688" s="9">
        <f t="shared" si="121"/>
        <v>123.12</v>
      </c>
      <c r="Z688" s="5" t="s">
        <v>2294</v>
      </c>
      <c r="AA688" s="5" t="s">
        <v>1761</v>
      </c>
      <c r="AB688" s="9">
        <f t="shared" si="122"/>
        <v>230</v>
      </c>
      <c r="AC688" s="9">
        <f t="shared" si="123"/>
        <v>0</v>
      </c>
      <c r="AD688" s="9">
        <f t="shared" si="124"/>
        <v>230</v>
      </c>
      <c r="AE688" s="9">
        <f t="shared" si="125"/>
        <v>106.88</v>
      </c>
      <c r="AF688" s="9">
        <f t="shared" si="131"/>
        <v>123.12</v>
      </c>
      <c r="AG688" s="8">
        <f t="shared" si="126"/>
        <v>2024</v>
      </c>
      <c r="AH688" s="8">
        <f t="shared" si="127"/>
        <v>7</v>
      </c>
      <c r="AI688" s="5" t="str">
        <f t="shared" si="128"/>
        <v>Jul</v>
      </c>
      <c r="AJ688" s="5" t="str">
        <f t="shared" si="129"/>
        <v>Tuesday</v>
      </c>
    </row>
    <row r="689" spans="1:36" x14ac:dyDescent="0.3">
      <c r="A689" s="5" t="s">
        <v>723</v>
      </c>
      <c r="B689" s="6">
        <v>45588</v>
      </c>
      <c r="C689" s="7">
        <v>0.76388888888888884</v>
      </c>
      <c r="D689" s="5" t="s">
        <v>1785</v>
      </c>
      <c r="E689" s="5" t="s">
        <v>2078</v>
      </c>
      <c r="F689" s="5" t="s">
        <v>2240</v>
      </c>
      <c r="G689" s="5" t="s">
        <v>2248</v>
      </c>
      <c r="H689" s="5" t="s">
        <v>2257</v>
      </c>
      <c r="I689" s="5" t="s">
        <v>2262</v>
      </c>
      <c r="J689" s="5" t="s">
        <v>2266</v>
      </c>
      <c r="K689" s="8">
        <v>1</v>
      </c>
      <c r="L689" s="9">
        <v>150</v>
      </c>
      <c r="M689" s="10">
        <v>0.05</v>
      </c>
      <c r="N689" s="9">
        <f t="shared" si="130"/>
        <v>150</v>
      </c>
      <c r="O689" s="9">
        <f t="shared" si="120"/>
        <v>142.5</v>
      </c>
      <c r="P689" s="5" t="s">
        <v>2269</v>
      </c>
      <c r="Q689" s="5" t="s">
        <v>1761</v>
      </c>
      <c r="R689" s="5" t="s">
        <v>2274</v>
      </c>
      <c r="S689" s="5" t="s">
        <v>2280</v>
      </c>
      <c r="T689" s="5" t="s">
        <v>2288</v>
      </c>
      <c r="U689" s="19">
        <v>3</v>
      </c>
      <c r="V689" s="8">
        <v>109</v>
      </c>
      <c r="W689" s="8">
        <v>39</v>
      </c>
      <c r="X689" s="9">
        <v>58.39</v>
      </c>
      <c r="Y689" s="9">
        <f t="shared" si="121"/>
        <v>84.11</v>
      </c>
      <c r="Z689" s="5" t="s">
        <v>1761</v>
      </c>
      <c r="AA689" s="5" t="s">
        <v>2299</v>
      </c>
      <c r="AB689" s="9">
        <f t="shared" si="122"/>
        <v>150</v>
      </c>
      <c r="AC689" s="9">
        <f t="shared" si="123"/>
        <v>7.5</v>
      </c>
      <c r="AD689" s="9">
        <f t="shared" si="124"/>
        <v>142.5</v>
      </c>
      <c r="AE689" s="9">
        <f t="shared" si="125"/>
        <v>58.39</v>
      </c>
      <c r="AF689" s="9">
        <f t="shared" si="131"/>
        <v>84.11</v>
      </c>
      <c r="AG689" s="8">
        <f t="shared" si="126"/>
        <v>2024</v>
      </c>
      <c r="AH689" s="8">
        <f t="shared" si="127"/>
        <v>10</v>
      </c>
      <c r="AI689" s="5" t="str">
        <f t="shared" si="128"/>
        <v>Oct</v>
      </c>
      <c r="AJ689" s="5" t="str">
        <f t="shared" si="129"/>
        <v>Wednesday</v>
      </c>
    </row>
    <row r="690" spans="1:36" x14ac:dyDescent="0.3">
      <c r="A690" s="5" t="s">
        <v>724</v>
      </c>
      <c r="B690" s="6">
        <v>45362</v>
      </c>
      <c r="C690" s="7">
        <v>0.59722222222222221</v>
      </c>
      <c r="D690" s="5" t="s">
        <v>1765</v>
      </c>
      <c r="E690" s="5" t="s">
        <v>2206</v>
      </c>
      <c r="F690" s="5" t="s">
        <v>2238</v>
      </c>
      <c r="G690" s="5" t="s">
        <v>2252</v>
      </c>
      <c r="H690" s="5" t="s">
        <v>2257</v>
      </c>
      <c r="I690" s="5" t="s">
        <v>2262</v>
      </c>
      <c r="J690" s="5" t="s">
        <v>1761</v>
      </c>
      <c r="K690" s="8">
        <v>3</v>
      </c>
      <c r="L690" s="9">
        <v>85</v>
      </c>
      <c r="M690" s="10">
        <v>0.1</v>
      </c>
      <c r="N690" s="9">
        <f t="shared" si="130"/>
        <v>255</v>
      </c>
      <c r="O690" s="9">
        <f t="shared" si="120"/>
        <v>229.5</v>
      </c>
      <c r="P690" s="5" t="s">
        <v>2269</v>
      </c>
      <c r="Q690" s="5" t="s">
        <v>2270</v>
      </c>
      <c r="R690" s="5" t="s">
        <v>2277</v>
      </c>
      <c r="S690" s="5" t="s">
        <v>2284</v>
      </c>
      <c r="T690" s="5" t="s">
        <v>2289</v>
      </c>
      <c r="U690" s="8">
        <v>3</v>
      </c>
      <c r="V690" s="8">
        <v>218</v>
      </c>
      <c r="W690" s="8">
        <v>35</v>
      </c>
      <c r="X690" s="9">
        <v>46.78</v>
      </c>
      <c r="Y690" s="9">
        <f t="shared" si="121"/>
        <v>89.16</v>
      </c>
      <c r="Z690" s="5" t="s">
        <v>2291</v>
      </c>
      <c r="AA690" s="5" t="s">
        <v>2297</v>
      </c>
      <c r="AB690" s="9">
        <f t="shared" si="122"/>
        <v>255</v>
      </c>
      <c r="AC690" s="9">
        <f t="shared" si="123"/>
        <v>25.5</v>
      </c>
      <c r="AD690" s="9">
        <f t="shared" si="124"/>
        <v>229.5</v>
      </c>
      <c r="AE690" s="9">
        <f t="shared" si="125"/>
        <v>140.34</v>
      </c>
      <c r="AF690" s="9">
        <f t="shared" si="131"/>
        <v>89.16</v>
      </c>
      <c r="AG690" s="8">
        <f t="shared" si="126"/>
        <v>2024</v>
      </c>
      <c r="AH690" s="8">
        <f t="shared" si="127"/>
        <v>3</v>
      </c>
      <c r="AI690" s="5" t="str">
        <f t="shared" si="128"/>
        <v>Mar</v>
      </c>
      <c r="AJ690" s="5" t="str">
        <f t="shared" si="129"/>
        <v>Monday</v>
      </c>
    </row>
    <row r="691" spans="1:36" x14ac:dyDescent="0.3">
      <c r="A691" s="5" t="s">
        <v>725</v>
      </c>
      <c r="B691" s="6">
        <v>45314</v>
      </c>
      <c r="C691" s="7">
        <v>0.45833333333333331</v>
      </c>
      <c r="D691" s="5" t="s">
        <v>1775</v>
      </c>
      <c r="E691" s="5" t="s">
        <v>2071</v>
      </c>
      <c r="F691" s="5" t="s">
        <v>2240</v>
      </c>
      <c r="G691" s="5" t="s">
        <v>2247</v>
      </c>
      <c r="H691" s="5" t="s">
        <v>2257</v>
      </c>
      <c r="I691" s="5" t="s">
        <v>2262</v>
      </c>
      <c r="J691" s="5" t="s">
        <v>2264</v>
      </c>
      <c r="K691" s="8">
        <v>2</v>
      </c>
      <c r="L691" s="9">
        <v>100</v>
      </c>
      <c r="M691" s="10">
        <v>0.05</v>
      </c>
      <c r="N691" s="9">
        <f t="shared" si="130"/>
        <v>200</v>
      </c>
      <c r="O691" s="9">
        <f t="shared" si="120"/>
        <v>190</v>
      </c>
      <c r="P691" s="5" t="s">
        <v>2267</v>
      </c>
      <c r="Q691" s="5" t="s">
        <v>2270</v>
      </c>
      <c r="R691" s="5" t="s">
        <v>2279</v>
      </c>
      <c r="S691" s="5" t="s">
        <v>2283</v>
      </c>
      <c r="T691" s="5" t="s">
        <v>2288</v>
      </c>
      <c r="U691" s="8">
        <v>5</v>
      </c>
      <c r="V691" s="8">
        <v>155</v>
      </c>
      <c r="W691" s="8">
        <v>24</v>
      </c>
      <c r="X691" s="9">
        <v>37.32</v>
      </c>
      <c r="Y691" s="9">
        <f t="shared" si="121"/>
        <v>115.36</v>
      </c>
      <c r="Z691" s="5" t="s">
        <v>2293</v>
      </c>
      <c r="AA691" s="5" t="s">
        <v>2299</v>
      </c>
      <c r="AB691" s="9">
        <f t="shared" si="122"/>
        <v>200</v>
      </c>
      <c r="AC691" s="9">
        <f t="shared" si="123"/>
        <v>10</v>
      </c>
      <c r="AD691" s="9">
        <f t="shared" si="124"/>
        <v>190</v>
      </c>
      <c r="AE691" s="9">
        <f t="shared" si="125"/>
        <v>74.64</v>
      </c>
      <c r="AF691" s="9">
        <f t="shared" si="131"/>
        <v>115.36</v>
      </c>
      <c r="AG691" s="8">
        <f t="shared" si="126"/>
        <v>2024</v>
      </c>
      <c r="AH691" s="8">
        <f t="shared" si="127"/>
        <v>1</v>
      </c>
      <c r="AI691" s="5" t="str">
        <f t="shared" si="128"/>
        <v>Jan</v>
      </c>
      <c r="AJ691" s="5" t="str">
        <f t="shared" si="129"/>
        <v>Tuesday</v>
      </c>
    </row>
    <row r="692" spans="1:36" x14ac:dyDescent="0.3">
      <c r="A692" s="5" t="s">
        <v>726</v>
      </c>
      <c r="B692" s="6">
        <v>45590</v>
      </c>
      <c r="C692" s="7">
        <v>0.53472222222222221</v>
      </c>
      <c r="D692" s="5" t="s">
        <v>1825</v>
      </c>
      <c r="E692" s="5" t="s">
        <v>2121</v>
      </c>
      <c r="F692" s="5" t="s">
        <v>1761</v>
      </c>
      <c r="G692" s="5" t="s">
        <v>2248</v>
      </c>
      <c r="H692" s="5" t="s">
        <v>2257</v>
      </c>
      <c r="I692" s="5" t="s">
        <v>2262</v>
      </c>
      <c r="J692" s="5" t="s">
        <v>2264</v>
      </c>
      <c r="K692" s="8">
        <v>1</v>
      </c>
      <c r="L692" s="9">
        <v>145</v>
      </c>
      <c r="M692" s="10">
        <v>0.05</v>
      </c>
      <c r="N692" s="9">
        <f t="shared" si="130"/>
        <v>145</v>
      </c>
      <c r="O692" s="9">
        <f t="shared" si="120"/>
        <v>137.75</v>
      </c>
      <c r="P692" s="5" t="s">
        <v>2267</v>
      </c>
      <c r="Q692" s="5" t="s">
        <v>2272</v>
      </c>
      <c r="R692" s="5" t="s">
        <v>2273</v>
      </c>
      <c r="S692" s="5" t="s">
        <v>2284</v>
      </c>
      <c r="T692" s="5" t="s">
        <v>2289</v>
      </c>
      <c r="U692" s="8">
        <v>2</v>
      </c>
      <c r="V692" s="8">
        <v>168</v>
      </c>
      <c r="W692" s="8">
        <v>34</v>
      </c>
      <c r="X692" s="9">
        <v>66.989999999999995</v>
      </c>
      <c r="Y692" s="9">
        <f t="shared" si="121"/>
        <v>70.760000000000005</v>
      </c>
      <c r="Z692" s="5" t="s">
        <v>2292</v>
      </c>
      <c r="AA692" s="5" t="s">
        <v>2296</v>
      </c>
      <c r="AB692" s="9">
        <f t="shared" si="122"/>
        <v>145</v>
      </c>
      <c r="AC692" s="9">
        <f t="shared" si="123"/>
        <v>7.25</v>
      </c>
      <c r="AD692" s="9">
        <f t="shared" si="124"/>
        <v>137.75</v>
      </c>
      <c r="AE692" s="9">
        <f t="shared" si="125"/>
        <v>66.989999999999995</v>
      </c>
      <c r="AF692" s="9">
        <f t="shared" si="131"/>
        <v>70.760000000000005</v>
      </c>
      <c r="AG692" s="8">
        <f t="shared" si="126"/>
        <v>2024</v>
      </c>
      <c r="AH692" s="8">
        <f t="shared" si="127"/>
        <v>10</v>
      </c>
      <c r="AI692" s="5" t="str">
        <f t="shared" si="128"/>
        <v>Oct</v>
      </c>
      <c r="AJ692" s="5" t="str">
        <f t="shared" si="129"/>
        <v>Friday</v>
      </c>
    </row>
    <row r="693" spans="1:36" x14ac:dyDescent="0.3">
      <c r="A693" s="5" t="s">
        <v>727</v>
      </c>
      <c r="B693" s="6">
        <v>45533</v>
      </c>
      <c r="C693" s="7">
        <v>0.47222222222222221</v>
      </c>
      <c r="D693" s="5" t="s">
        <v>1815</v>
      </c>
      <c r="E693" s="5" t="s">
        <v>2207</v>
      </c>
      <c r="F693" s="5" t="s">
        <v>2239</v>
      </c>
      <c r="G693" s="5" t="s">
        <v>2254</v>
      </c>
      <c r="H693" s="5" t="s">
        <v>2259</v>
      </c>
      <c r="I693" s="5" t="s">
        <v>2263</v>
      </c>
      <c r="J693" s="5" t="s">
        <v>2266</v>
      </c>
      <c r="K693" s="8">
        <v>1</v>
      </c>
      <c r="L693" s="9">
        <v>120</v>
      </c>
      <c r="M693" s="10">
        <v>0</v>
      </c>
      <c r="N693" s="9">
        <f t="shared" si="130"/>
        <v>120</v>
      </c>
      <c r="O693" s="9">
        <f t="shared" si="120"/>
        <v>120</v>
      </c>
      <c r="P693" s="5" t="s">
        <v>2269</v>
      </c>
      <c r="Q693" s="5" t="s">
        <v>2270</v>
      </c>
      <c r="R693" s="5" t="s">
        <v>2279</v>
      </c>
      <c r="S693" s="5" t="s">
        <v>2286</v>
      </c>
      <c r="T693" s="5" t="s">
        <v>2288</v>
      </c>
      <c r="U693" s="8">
        <v>2</v>
      </c>
      <c r="V693" s="8">
        <v>45</v>
      </c>
      <c r="W693" s="8">
        <v>56</v>
      </c>
      <c r="X693" s="9">
        <v>65.72</v>
      </c>
      <c r="Y693" s="9">
        <f t="shared" si="121"/>
        <v>54.28</v>
      </c>
      <c r="Z693" s="5" t="s">
        <v>2293</v>
      </c>
      <c r="AA693" s="5" t="s">
        <v>2299</v>
      </c>
      <c r="AB693" s="9">
        <f t="shared" si="122"/>
        <v>120</v>
      </c>
      <c r="AC693" s="9">
        <f t="shared" si="123"/>
        <v>0</v>
      </c>
      <c r="AD693" s="9">
        <f t="shared" si="124"/>
        <v>120</v>
      </c>
      <c r="AE693" s="9">
        <f t="shared" si="125"/>
        <v>65.72</v>
      </c>
      <c r="AF693" s="9">
        <f t="shared" si="131"/>
        <v>54.28</v>
      </c>
      <c r="AG693" s="8">
        <f t="shared" si="126"/>
        <v>2024</v>
      </c>
      <c r="AH693" s="8">
        <f t="shared" si="127"/>
        <v>8</v>
      </c>
      <c r="AI693" s="5" t="str">
        <f t="shared" si="128"/>
        <v>Aug</v>
      </c>
      <c r="AJ693" s="5" t="str">
        <f t="shared" si="129"/>
        <v>Thursday</v>
      </c>
    </row>
    <row r="694" spans="1:36" x14ac:dyDescent="0.3">
      <c r="A694" s="5" t="s">
        <v>728</v>
      </c>
      <c r="B694" s="6">
        <v>45387</v>
      </c>
      <c r="C694" s="7">
        <v>0.40625</v>
      </c>
      <c r="D694" s="5" t="s">
        <v>1782</v>
      </c>
      <c r="E694" s="5" t="s">
        <v>1946</v>
      </c>
      <c r="F694" s="5" t="s">
        <v>2238</v>
      </c>
      <c r="G694" s="5" t="s">
        <v>2243</v>
      </c>
      <c r="H694" s="5" t="s">
        <v>2258</v>
      </c>
      <c r="I694" s="5" t="s">
        <v>2260</v>
      </c>
      <c r="J694" s="5" t="s">
        <v>2265</v>
      </c>
      <c r="K694" s="8">
        <v>1</v>
      </c>
      <c r="L694" s="9">
        <v>80</v>
      </c>
      <c r="M694" s="10">
        <v>0.05</v>
      </c>
      <c r="N694" s="9">
        <f t="shared" si="130"/>
        <v>80</v>
      </c>
      <c r="O694" s="9">
        <f t="shared" si="120"/>
        <v>76</v>
      </c>
      <c r="P694" s="5" t="s">
        <v>2269</v>
      </c>
      <c r="Q694" s="5" t="s">
        <v>2272</v>
      </c>
      <c r="R694" s="5" t="s">
        <v>2276</v>
      </c>
      <c r="S694" s="5" t="s">
        <v>2281</v>
      </c>
      <c r="T694" s="5" t="s">
        <v>2288</v>
      </c>
      <c r="U694" s="8">
        <v>3</v>
      </c>
      <c r="V694" s="8">
        <v>199</v>
      </c>
      <c r="W694" s="8">
        <v>50</v>
      </c>
      <c r="X694" s="9">
        <v>35.32</v>
      </c>
      <c r="Y694" s="9">
        <f t="shared" si="121"/>
        <v>40.68</v>
      </c>
      <c r="Z694" s="5" t="s">
        <v>2294</v>
      </c>
      <c r="AA694" s="5" t="s">
        <v>2297</v>
      </c>
      <c r="AB694" s="9">
        <f t="shared" si="122"/>
        <v>80</v>
      </c>
      <c r="AC694" s="9">
        <f t="shared" si="123"/>
        <v>4</v>
      </c>
      <c r="AD694" s="9">
        <f t="shared" si="124"/>
        <v>76</v>
      </c>
      <c r="AE694" s="9">
        <f t="shared" si="125"/>
        <v>35.32</v>
      </c>
      <c r="AF694" s="9">
        <f t="shared" si="131"/>
        <v>40.68</v>
      </c>
      <c r="AG694" s="8">
        <f t="shared" si="126"/>
        <v>2024</v>
      </c>
      <c r="AH694" s="8">
        <f t="shared" si="127"/>
        <v>4</v>
      </c>
      <c r="AI694" s="5" t="str">
        <f t="shared" si="128"/>
        <v>Apr</v>
      </c>
      <c r="AJ694" s="5" t="str">
        <f t="shared" si="129"/>
        <v>Friday</v>
      </c>
    </row>
    <row r="695" spans="1:36" x14ac:dyDescent="0.3">
      <c r="A695" s="5" t="s">
        <v>729</v>
      </c>
      <c r="B695" s="6">
        <v>45628</v>
      </c>
      <c r="C695" s="7">
        <v>0.86458333333333337</v>
      </c>
      <c r="D695" s="5" t="s">
        <v>1772</v>
      </c>
      <c r="E695" s="5" t="s">
        <v>1987</v>
      </c>
      <c r="F695" s="5" t="s">
        <v>1761</v>
      </c>
      <c r="G695" s="5" t="s">
        <v>2241</v>
      </c>
      <c r="H695" s="5" t="s">
        <v>2257</v>
      </c>
      <c r="I695" s="5" t="s">
        <v>2262</v>
      </c>
      <c r="J695" s="5" t="s">
        <v>2266</v>
      </c>
      <c r="K695" s="8">
        <v>1</v>
      </c>
      <c r="L695" s="9">
        <v>135</v>
      </c>
      <c r="M695" s="10">
        <v>0</v>
      </c>
      <c r="N695" s="9">
        <f t="shared" si="130"/>
        <v>135</v>
      </c>
      <c r="O695" s="9">
        <f t="shared" si="120"/>
        <v>135</v>
      </c>
      <c r="P695" s="5" t="s">
        <v>2268</v>
      </c>
      <c r="Q695" s="5" t="s">
        <v>2270</v>
      </c>
      <c r="R695" s="5" t="s">
        <v>2277</v>
      </c>
      <c r="S695" s="5" t="s">
        <v>2280</v>
      </c>
      <c r="T695" s="5" t="s">
        <v>2290</v>
      </c>
      <c r="U695" s="8">
        <v>4</v>
      </c>
      <c r="V695" s="19">
        <v>244</v>
      </c>
      <c r="W695" s="8">
        <v>21</v>
      </c>
      <c r="X695" s="9">
        <v>48.82</v>
      </c>
      <c r="Y695" s="9">
        <f t="shared" si="121"/>
        <v>86.18</v>
      </c>
      <c r="Z695" s="5" t="s">
        <v>2295</v>
      </c>
      <c r="AA695" s="5" t="s">
        <v>1761</v>
      </c>
      <c r="AB695" s="9">
        <f t="shared" si="122"/>
        <v>135</v>
      </c>
      <c r="AC695" s="9">
        <f t="shared" si="123"/>
        <v>0</v>
      </c>
      <c r="AD695" s="9">
        <f t="shared" si="124"/>
        <v>135</v>
      </c>
      <c r="AE695" s="9">
        <f t="shared" si="125"/>
        <v>48.82</v>
      </c>
      <c r="AF695" s="9">
        <f t="shared" si="131"/>
        <v>86.18</v>
      </c>
      <c r="AG695" s="8">
        <f t="shared" si="126"/>
        <v>2024</v>
      </c>
      <c r="AH695" s="8">
        <f t="shared" si="127"/>
        <v>12</v>
      </c>
      <c r="AI695" s="5" t="str">
        <f t="shared" si="128"/>
        <v>Dec</v>
      </c>
      <c r="AJ695" s="5" t="str">
        <f t="shared" si="129"/>
        <v>Monday</v>
      </c>
    </row>
    <row r="696" spans="1:36" x14ac:dyDescent="0.3">
      <c r="A696" s="5" t="s">
        <v>730</v>
      </c>
      <c r="B696" s="6">
        <v>45430</v>
      </c>
      <c r="C696" s="7">
        <v>0.88541666666666663</v>
      </c>
      <c r="D696" s="5" t="s">
        <v>1882</v>
      </c>
      <c r="E696" s="5" t="s">
        <v>2198</v>
      </c>
      <c r="F696" s="5" t="s">
        <v>2239</v>
      </c>
      <c r="G696" s="5" t="s">
        <v>2246</v>
      </c>
      <c r="H696" s="5" t="s">
        <v>2259</v>
      </c>
      <c r="I696" s="5" t="s">
        <v>2262</v>
      </c>
      <c r="J696" s="5" t="s">
        <v>2265</v>
      </c>
      <c r="K696" s="8">
        <v>1</v>
      </c>
      <c r="L696" s="9">
        <v>90</v>
      </c>
      <c r="M696" s="10">
        <v>0</v>
      </c>
      <c r="N696" s="9">
        <f t="shared" si="130"/>
        <v>90</v>
      </c>
      <c r="O696" s="9">
        <f t="shared" si="120"/>
        <v>90</v>
      </c>
      <c r="P696" s="5" t="s">
        <v>2267</v>
      </c>
      <c r="Q696" s="5" t="s">
        <v>2272</v>
      </c>
      <c r="R696" s="5" t="s">
        <v>2275</v>
      </c>
      <c r="S696" s="5" t="s">
        <v>2284</v>
      </c>
      <c r="T696" s="5" t="s">
        <v>2288</v>
      </c>
      <c r="U696" s="8">
        <v>1</v>
      </c>
      <c r="V696" s="8">
        <v>314</v>
      </c>
      <c r="W696" s="8">
        <v>38</v>
      </c>
      <c r="X696" s="9">
        <v>38.090000000000003</v>
      </c>
      <c r="Y696" s="9">
        <f t="shared" si="121"/>
        <v>51.91</v>
      </c>
      <c r="Z696" s="5" t="s">
        <v>2293</v>
      </c>
      <c r="AA696" s="5" t="s">
        <v>2297</v>
      </c>
      <c r="AB696" s="9">
        <f t="shared" si="122"/>
        <v>90</v>
      </c>
      <c r="AC696" s="9">
        <f t="shared" si="123"/>
        <v>0</v>
      </c>
      <c r="AD696" s="9">
        <f t="shared" si="124"/>
        <v>90</v>
      </c>
      <c r="AE696" s="9">
        <f t="shared" si="125"/>
        <v>38.090000000000003</v>
      </c>
      <c r="AF696" s="9">
        <f t="shared" si="131"/>
        <v>51.91</v>
      </c>
      <c r="AG696" s="8">
        <f t="shared" si="126"/>
        <v>2024</v>
      </c>
      <c r="AH696" s="8">
        <f t="shared" si="127"/>
        <v>5</v>
      </c>
      <c r="AI696" s="5" t="str">
        <f t="shared" si="128"/>
        <v>May</v>
      </c>
      <c r="AJ696" s="5" t="str">
        <f t="shared" si="129"/>
        <v>Saturday</v>
      </c>
    </row>
    <row r="697" spans="1:36" x14ac:dyDescent="0.3">
      <c r="A697" s="5" t="s">
        <v>731</v>
      </c>
      <c r="B697" s="6">
        <v>45495</v>
      </c>
      <c r="C697" s="7">
        <v>0.42708333333333331</v>
      </c>
      <c r="D697" s="5" t="s">
        <v>1934</v>
      </c>
      <c r="E697" s="5" t="s">
        <v>2208</v>
      </c>
      <c r="F697" s="5" t="s">
        <v>2240</v>
      </c>
      <c r="G697" s="5" t="s">
        <v>2256</v>
      </c>
      <c r="H697" s="5" t="s">
        <v>2261</v>
      </c>
      <c r="I697" s="5" t="s">
        <v>2260</v>
      </c>
      <c r="J697" s="5" t="s">
        <v>2264</v>
      </c>
      <c r="K697" s="8">
        <v>1</v>
      </c>
      <c r="L697" s="9">
        <v>195</v>
      </c>
      <c r="M697" s="10">
        <v>0.05</v>
      </c>
      <c r="N697" s="9">
        <f t="shared" si="130"/>
        <v>195</v>
      </c>
      <c r="O697" s="9">
        <f t="shared" si="120"/>
        <v>185.25</v>
      </c>
      <c r="P697" s="5" t="s">
        <v>2268</v>
      </c>
      <c r="Q697" s="5" t="s">
        <v>1761</v>
      </c>
      <c r="R697" s="5" t="s">
        <v>2279</v>
      </c>
      <c r="S697" s="5" t="s">
        <v>2286</v>
      </c>
      <c r="T697" s="5" t="s">
        <v>2288</v>
      </c>
      <c r="U697" s="8">
        <v>4</v>
      </c>
      <c r="V697" s="8">
        <v>243</v>
      </c>
      <c r="W697" s="8">
        <v>28</v>
      </c>
      <c r="X697" s="9">
        <v>112.85</v>
      </c>
      <c r="Y697" s="9">
        <f t="shared" si="121"/>
        <v>72.400000000000006</v>
      </c>
      <c r="Z697" s="5" t="s">
        <v>1761</v>
      </c>
      <c r="AA697" s="5" t="s">
        <v>1761</v>
      </c>
      <c r="AB697" s="9">
        <f t="shared" si="122"/>
        <v>195</v>
      </c>
      <c r="AC697" s="9">
        <f t="shared" si="123"/>
        <v>9.75</v>
      </c>
      <c r="AD697" s="9">
        <f t="shared" si="124"/>
        <v>185.25</v>
      </c>
      <c r="AE697" s="9">
        <f t="shared" si="125"/>
        <v>112.85</v>
      </c>
      <c r="AF697" s="9">
        <f t="shared" si="131"/>
        <v>72.400000000000006</v>
      </c>
      <c r="AG697" s="8">
        <f t="shared" si="126"/>
        <v>2024</v>
      </c>
      <c r="AH697" s="8">
        <f t="shared" si="127"/>
        <v>7</v>
      </c>
      <c r="AI697" s="5" t="str">
        <f t="shared" si="128"/>
        <v>Jul</v>
      </c>
      <c r="AJ697" s="5" t="str">
        <f t="shared" si="129"/>
        <v>Monday</v>
      </c>
    </row>
    <row r="698" spans="1:36" x14ac:dyDescent="0.3">
      <c r="A698" s="5" t="s">
        <v>732</v>
      </c>
      <c r="B698" s="6">
        <v>45453</v>
      </c>
      <c r="C698" s="7">
        <v>0.55555555555555558</v>
      </c>
      <c r="D698" s="5" t="s">
        <v>1912</v>
      </c>
      <c r="E698" s="5" t="s">
        <v>2108</v>
      </c>
      <c r="F698" s="5" t="s">
        <v>2239</v>
      </c>
      <c r="G698" s="5" t="s">
        <v>2253</v>
      </c>
      <c r="H698" s="5" t="s">
        <v>2258</v>
      </c>
      <c r="I698" s="5" t="s">
        <v>2260</v>
      </c>
      <c r="J698" s="5" t="s">
        <v>2264</v>
      </c>
      <c r="K698" s="8">
        <v>2</v>
      </c>
      <c r="L698" s="9">
        <v>100</v>
      </c>
      <c r="M698" s="10">
        <v>0.05</v>
      </c>
      <c r="N698" s="9">
        <f t="shared" si="130"/>
        <v>200</v>
      </c>
      <c r="O698" s="9">
        <f t="shared" si="120"/>
        <v>190</v>
      </c>
      <c r="P698" s="5" t="s">
        <v>1761</v>
      </c>
      <c r="Q698" s="5" t="s">
        <v>2270</v>
      </c>
      <c r="R698" s="5" t="s">
        <v>2279</v>
      </c>
      <c r="S698" s="5" t="s">
        <v>2285</v>
      </c>
      <c r="T698" s="5" t="s">
        <v>2288</v>
      </c>
      <c r="U698" s="8">
        <v>5</v>
      </c>
      <c r="V698" s="8">
        <v>96</v>
      </c>
      <c r="W698" s="8">
        <v>55</v>
      </c>
      <c r="X698" s="9">
        <v>46.37</v>
      </c>
      <c r="Y698" s="9">
        <f t="shared" si="121"/>
        <v>97.26</v>
      </c>
      <c r="Z698" s="5" t="s">
        <v>2291</v>
      </c>
      <c r="AA698" s="5" t="s">
        <v>2296</v>
      </c>
      <c r="AB698" s="9">
        <f t="shared" si="122"/>
        <v>200</v>
      </c>
      <c r="AC698" s="9">
        <f t="shared" si="123"/>
        <v>10</v>
      </c>
      <c r="AD698" s="9">
        <f t="shared" si="124"/>
        <v>190</v>
      </c>
      <c r="AE698" s="9">
        <f t="shared" si="125"/>
        <v>92.74</v>
      </c>
      <c r="AF698" s="9">
        <f t="shared" si="131"/>
        <v>97.26</v>
      </c>
      <c r="AG698" s="8">
        <f t="shared" si="126"/>
        <v>2024</v>
      </c>
      <c r="AH698" s="8">
        <f t="shared" si="127"/>
        <v>6</v>
      </c>
      <c r="AI698" s="5" t="str">
        <f t="shared" si="128"/>
        <v>Jun</v>
      </c>
      <c r="AJ698" s="5" t="str">
        <f t="shared" si="129"/>
        <v>Monday</v>
      </c>
    </row>
    <row r="699" spans="1:36" x14ac:dyDescent="0.3">
      <c r="A699" s="5" t="s">
        <v>733</v>
      </c>
      <c r="B699" s="6">
        <v>45528</v>
      </c>
      <c r="C699" s="7">
        <v>0.88541666666666663</v>
      </c>
      <c r="D699" s="5" t="s">
        <v>1751</v>
      </c>
      <c r="E699" s="5" t="s">
        <v>1961</v>
      </c>
      <c r="F699" s="5" t="s">
        <v>1761</v>
      </c>
      <c r="G699" s="5" t="s">
        <v>2252</v>
      </c>
      <c r="H699" s="5" t="s">
        <v>2257</v>
      </c>
      <c r="I699" s="5" t="s">
        <v>2262</v>
      </c>
      <c r="J699" s="5" t="s">
        <v>2264</v>
      </c>
      <c r="K699" s="8">
        <v>4</v>
      </c>
      <c r="L699" s="9">
        <v>85</v>
      </c>
      <c r="M699" s="10">
        <v>0.15</v>
      </c>
      <c r="N699" s="9">
        <f t="shared" si="130"/>
        <v>340</v>
      </c>
      <c r="O699" s="9">
        <f t="shared" si="120"/>
        <v>289</v>
      </c>
      <c r="P699" s="5" t="s">
        <v>2269</v>
      </c>
      <c r="Q699" s="5" t="s">
        <v>2271</v>
      </c>
      <c r="R699" s="5" t="s">
        <v>2279</v>
      </c>
      <c r="S699" s="5" t="s">
        <v>2281</v>
      </c>
      <c r="T699" s="5" t="s">
        <v>2290</v>
      </c>
      <c r="U699" s="8">
        <v>3</v>
      </c>
      <c r="V699" s="8">
        <v>154</v>
      </c>
      <c r="W699" s="19">
        <v>37</v>
      </c>
      <c r="X699" s="9">
        <v>49.08</v>
      </c>
      <c r="Y699" s="9">
        <f t="shared" si="121"/>
        <v>92.68</v>
      </c>
      <c r="Z699" s="5" t="s">
        <v>2293</v>
      </c>
      <c r="AA699" s="5" t="s">
        <v>2297</v>
      </c>
      <c r="AB699" s="9">
        <f t="shared" si="122"/>
        <v>340</v>
      </c>
      <c r="AC699" s="9">
        <f t="shared" si="123"/>
        <v>51</v>
      </c>
      <c r="AD699" s="9">
        <f t="shared" si="124"/>
        <v>289</v>
      </c>
      <c r="AE699" s="9">
        <f t="shared" si="125"/>
        <v>196.32</v>
      </c>
      <c r="AF699" s="9">
        <f t="shared" si="131"/>
        <v>92.68</v>
      </c>
      <c r="AG699" s="8">
        <f t="shared" si="126"/>
        <v>2024</v>
      </c>
      <c r="AH699" s="8">
        <f t="shared" si="127"/>
        <v>8</v>
      </c>
      <c r="AI699" s="5" t="str">
        <f t="shared" si="128"/>
        <v>Aug</v>
      </c>
      <c r="AJ699" s="5" t="str">
        <f t="shared" si="129"/>
        <v>Saturday</v>
      </c>
    </row>
    <row r="700" spans="1:36" x14ac:dyDescent="0.3">
      <c r="A700" s="5" t="s">
        <v>734</v>
      </c>
      <c r="B700" s="6">
        <v>45611</v>
      </c>
      <c r="C700" s="7">
        <v>0.50694444444444442</v>
      </c>
      <c r="D700" s="5" t="s">
        <v>1920</v>
      </c>
      <c r="E700" s="5" t="s">
        <v>2129</v>
      </c>
      <c r="F700" s="5" t="s">
        <v>2239</v>
      </c>
      <c r="G700" s="5" t="s">
        <v>2243</v>
      </c>
      <c r="H700" s="5" t="s">
        <v>2258</v>
      </c>
      <c r="I700" s="5" t="s">
        <v>2260</v>
      </c>
      <c r="J700" s="5" t="s">
        <v>1761</v>
      </c>
      <c r="K700" s="8">
        <v>1</v>
      </c>
      <c r="L700" s="9">
        <v>70</v>
      </c>
      <c r="M700" s="10">
        <v>0.05</v>
      </c>
      <c r="N700" s="9">
        <f t="shared" si="130"/>
        <v>70</v>
      </c>
      <c r="O700" s="9">
        <f t="shared" si="120"/>
        <v>66.5</v>
      </c>
      <c r="P700" s="5" t="s">
        <v>2267</v>
      </c>
      <c r="Q700" s="5" t="s">
        <v>2272</v>
      </c>
      <c r="R700" s="5" t="s">
        <v>2278</v>
      </c>
      <c r="S700" s="5" t="s">
        <v>2282</v>
      </c>
      <c r="T700" s="5" t="s">
        <v>2290</v>
      </c>
      <c r="U700" s="8">
        <v>5</v>
      </c>
      <c r="V700" s="8">
        <v>177</v>
      </c>
      <c r="W700" s="8">
        <v>13</v>
      </c>
      <c r="X700" s="9">
        <v>24.69</v>
      </c>
      <c r="Y700" s="9">
        <f t="shared" si="121"/>
        <v>41.81</v>
      </c>
      <c r="Z700" s="5" t="s">
        <v>2294</v>
      </c>
      <c r="AA700" s="5" t="s">
        <v>2298</v>
      </c>
      <c r="AB700" s="9">
        <f t="shared" si="122"/>
        <v>70</v>
      </c>
      <c r="AC700" s="9">
        <f t="shared" si="123"/>
        <v>3.5</v>
      </c>
      <c r="AD700" s="9">
        <f t="shared" si="124"/>
        <v>66.5</v>
      </c>
      <c r="AE700" s="9">
        <f t="shared" si="125"/>
        <v>24.69</v>
      </c>
      <c r="AF700" s="9">
        <f t="shared" si="131"/>
        <v>41.81</v>
      </c>
      <c r="AG700" s="8">
        <f t="shared" si="126"/>
        <v>2024</v>
      </c>
      <c r="AH700" s="8">
        <f t="shared" si="127"/>
        <v>11</v>
      </c>
      <c r="AI700" s="5" t="str">
        <f t="shared" si="128"/>
        <v>Nov</v>
      </c>
      <c r="AJ700" s="5" t="str">
        <f t="shared" si="129"/>
        <v>Friday</v>
      </c>
    </row>
    <row r="701" spans="1:36" x14ac:dyDescent="0.3">
      <c r="A701" s="5" t="s">
        <v>735</v>
      </c>
      <c r="B701" s="6">
        <v>45469</v>
      </c>
      <c r="C701" s="7">
        <v>0.72916666666666663</v>
      </c>
      <c r="D701" s="5" t="s">
        <v>1880</v>
      </c>
      <c r="E701" s="5" t="s">
        <v>1761</v>
      </c>
      <c r="F701" s="5" t="s">
        <v>1761</v>
      </c>
      <c r="G701" s="5" t="s">
        <v>2249</v>
      </c>
      <c r="H701" s="5" t="s">
        <v>2257</v>
      </c>
      <c r="I701" s="5" t="s">
        <v>2263</v>
      </c>
      <c r="J701" s="5" t="s">
        <v>2265</v>
      </c>
      <c r="K701" s="8">
        <v>1</v>
      </c>
      <c r="L701" s="9">
        <v>170</v>
      </c>
      <c r="M701" s="10">
        <v>0.05</v>
      </c>
      <c r="N701" s="9">
        <f t="shared" si="130"/>
        <v>170</v>
      </c>
      <c r="O701" s="9">
        <f t="shared" si="120"/>
        <v>161.5</v>
      </c>
      <c r="P701" s="5" t="s">
        <v>1761</v>
      </c>
      <c r="Q701" s="5" t="s">
        <v>1761</v>
      </c>
      <c r="R701" s="5" t="s">
        <v>2278</v>
      </c>
      <c r="S701" s="5" t="s">
        <v>2280</v>
      </c>
      <c r="T701" s="5" t="s">
        <v>2288</v>
      </c>
      <c r="U701" s="19">
        <v>3</v>
      </c>
      <c r="V701" s="8">
        <v>321</v>
      </c>
      <c r="W701" s="8">
        <v>46</v>
      </c>
      <c r="X701" s="9">
        <v>79.62</v>
      </c>
      <c r="Y701" s="9">
        <f t="shared" si="121"/>
        <v>81.88</v>
      </c>
      <c r="Z701" s="5" t="s">
        <v>2291</v>
      </c>
      <c r="AA701" s="5" t="s">
        <v>2299</v>
      </c>
      <c r="AB701" s="9">
        <f t="shared" si="122"/>
        <v>170</v>
      </c>
      <c r="AC701" s="9">
        <f t="shared" si="123"/>
        <v>8.5</v>
      </c>
      <c r="AD701" s="9">
        <f t="shared" si="124"/>
        <v>161.5</v>
      </c>
      <c r="AE701" s="9">
        <f t="shared" si="125"/>
        <v>79.62</v>
      </c>
      <c r="AF701" s="9">
        <f t="shared" si="131"/>
        <v>81.88</v>
      </c>
      <c r="AG701" s="8">
        <f t="shared" si="126"/>
        <v>2024</v>
      </c>
      <c r="AH701" s="8">
        <f t="shared" si="127"/>
        <v>6</v>
      </c>
      <c r="AI701" s="5" t="str">
        <f t="shared" si="128"/>
        <v>Jun</v>
      </c>
      <c r="AJ701" s="5" t="str">
        <f t="shared" si="129"/>
        <v>Wednesday</v>
      </c>
    </row>
    <row r="702" spans="1:36" x14ac:dyDescent="0.3">
      <c r="A702" s="5" t="s">
        <v>736</v>
      </c>
      <c r="B702" s="6">
        <v>45524</v>
      </c>
      <c r="C702" s="7">
        <v>0.47222222222222221</v>
      </c>
      <c r="D702" s="5" t="s">
        <v>1751</v>
      </c>
      <c r="E702" s="5" t="s">
        <v>2078</v>
      </c>
      <c r="F702" s="5" t="s">
        <v>1761</v>
      </c>
      <c r="G702" s="5" t="s">
        <v>2242</v>
      </c>
      <c r="H702" s="5" t="s">
        <v>2258</v>
      </c>
      <c r="I702" s="5" t="s">
        <v>2260</v>
      </c>
      <c r="J702" s="5" t="s">
        <v>2264</v>
      </c>
      <c r="K702" s="8">
        <v>2</v>
      </c>
      <c r="L702" s="9">
        <v>125</v>
      </c>
      <c r="M702" s="10">
        <v>0</v>
      </c>
      <c r="N702" s="9">
        <f t="shared" si="130"/>
        <v>250</v>
      </c>
      <c r="O702" s="9">
        <f t="shared" si="120"/>
        <v>250</v>
      </c>
      <c r="P702" s="5" t="s">
        <v>2268</v>
      </c>
      <c r="Q702" s="5" t="s">
        <v>1761</v>
      </c>
      <c r="R702" s="5" t="s">
        <v>2276</v>
      </c>
      <c r="S702" s="5" t="s">
        <v>2287</v>
      </c>
      <c r="T702" s="5" t="s">
        <v>2290</v>
      </c>
      <c r="U702" s="8">
        <v>4</v>
      </c>
      <c r="V702" s="8">
        <v>6</v>
      </c>
      <c r="W702" s="19">
        <v>36</v>
      </c>
      <c r="X702" s="9">
        <v>55.77</v>
      </c>
      <c r="Y702" s="9">
        <f t="shared" si="121"/>
        <v>138.45999999999998</v>
      </c>
      <c r="Z702" s="5" t="s">
        <v>2291</v>
      </c>
      <c r="AA702" s="5" t="s">
        <v>2298</v>
      </c>
      <c r="AB702" s="9">
        <f t="shared" si="122"/>
        <v>250</v>
      </c>
      <c r="AC702" s="9">
        <f t="shared" si="123"/>
        <v>0</v>
      </c>
      <c r="AD702" s="9">
        <f t="shared" si="124"/>
        <v>250</v>
      </c>
      <c r="AE702" s="9">
        <f t="shared" si="125"/>
        <v>111.54</v>
      </c>
      <c r="AF702" s="9">
        <f t="shared" si="131"/>
        <v>138.45999999999998</v>
      </c>
      <c r="AG702" s="8">
        <f t="shared" si="126"/>
        <v>2024</v>
      </c>
      <c r="AH702" s="8">
        <f t="shared" si="127"/>
        <v>8</v>
      </c>
      <c r="AI702" s="5" t="str">
        <f t="shared" si="128"/>
        <v>Aug</v>
      </c>
      <c r="AJ702" s="5" t="str">
        <f t="shared" si="129"/>
        <v>Tuesday</v>
      </c>
    </row>
    <row r="703" spans="1:36" x14ac:dyDescent="0.3">
      <c r="A703" s="5" t="s">
        <v>737</v>
      </c>
      <c r="B703" s="6">
        <v>45604</v>
      </c>
      <c r="C703" s="7">
        <v>0.35416666666666669</v>
      </c>
      <c r="D703" s="5" t="s">
        <v>1775</v>
      </c>
      <c r="E703" s="5" t="s">
        <v>2209</v>
      </c>
      <c r="F703" s="5" t="s">
        <v>2239</v>
      </c>
      <c r="G703" s="5" t="s">
        <v>2245</v>
      </c>
      <c r="H703" s="5" t="s">
        <v>2257</v>
      </c>
      <c r="I703" s="5" t="s">
        <v>2263</v>
      </c>
      <c r="J703" s="5" t="s">
        <v>2265</v>
      </c>
      <c r="K703" s="8">
        <v>1</v>
      </c>
      <c r="L703" s="9">
        <v>160</v>
      </c>
      <c r="M703" s="10">
        <v>0.1</v>
      </c>
      <c r="N703" s="9">
        <f t="shared" si="130"/>
        <v>160</v>
      </c>
      <c r="O703" s="9">
        <f t="shared" si="120"/>
        <v>144</v>
      </c>
      <c r="P703" s="5" t="s">
        <v>2268</v>
      </c>
      <c r="Q703" s="5" t="s">
        <v>2272</v>
      </c>
      <c r="R703" s="5" t="s">
        <v>2275</v>
      </c>
      <c r="S703" s="5" t="s">
        <v>2282</v>
      </c>
      <c r="T703" s="5" t="s">
        <v>2288</v>
      </c>
      <c r="U703" s="8">
        <v>4</v>
      </c>
      <c r="V703" s="8">
        <v>497</v>
      </c>
      <c r="W703" s="8">
        <v>42</v>
      </c>
      <c r="X703" s="9">
        <v>56.3</v>
      </c>
      <c r="Y703" s="9">
        <f t="shared" si="121"/>
        <v>87.7</v>
      </c>
      <c r="Z703" s="5" t="s">
        <v>1761</v>
      </c>
      <c r="AA703" s="5" t="s">
        <v>1761</v>
      </c>
      <c r="AB703" s="9">
        <f t="shared" si="122"/>
        <v>160</v>
      </c>
      <c r="AC703" s="9">
        <f t="shared" si="123"/>
        <v>16</v>
      </c>
      <c r="AD703" s="9">
        <f t="shared" si="124"/>
        <v>144</v>
      </c>
      <c r="AE703" s="9">
        <f t="shared" si="125"/>
        <v>56.3</v>
      </c>
      <c r="AF703" s="9">
        <f t="shared" si="131"/>
        <v>87.7</v>
      </c>
      <c r="AG703" s="8">
        <f t="shared" si="126"/>
        <v>2024</v>
      </c>
      <c r="AH703" s="8">
        <f t="shared" si="127"/>
        <v>11</v>
      </c>
      <c r="AI703" s="5" t="str">
        <f t="shared" si="128"/>
        <v>Nov</v>
      </c>
      <c r="AJ703" s="5" t="str">
        <f t="shared" si="129"/>
        <v>Friday</v>
      </c>
    </row>
    <row r="704" spans="1:36" x14ac:dyDescent="0.3">
      <c r="A704" s="5" t="s">
        <v>738</v>
      </c>
      <c r="B704" s="6">
        <v>45417</v>
      </c>
      <c r="C704" s="7">
        <v>0.46875</v>
      </c>
      <c r="D704" s="5" t="s">
        <v>1776</v>
      </c>
      <c r="E704" s="5" t="s">
        <v>2210</v>
      </c>
      <c r="F704" s="5" t="s">
        <v>2239</v>
      </c>
      <c r="G704" s="5" t="s">
        <v>2242</v>
      </c>
      <c r="H704" s="5" t="s">
        <v>2258</v>
      </c>
      <c r="I704" s="5" t="s">
        <v>2260</v>
      </c>
      <c r="J704" s="5" t="s">
        <v>2264</v>
      </c>
      <c r="K704" s="8">
        <v>1</v>
      </c>
      <c r="L704" s="9">
        <v>120</v>
      </c>
      <c r="M704" s="10">
        <v>0.15</v>
      </c>
      <c r="N704" s="9">
        <f t="shared" si="130"/>
        <v>120</v>
      </c>
      <c r="O704" s="9">
        <f t="shared" si="120"/>
        <v>102</v>
      </c>
      <c r="P704" s="5" t="s">
        <v>2267</v>
      </c>
      <c r="Q704" s="5" t="s">
        <v>2271</v>
      </c>
      <c r="R704" s="5" t="s">
        <v>2273</v>
      </c>
      <c r="S704" s="5" t="s">
        <v>2280</v>
      </c>
      <c r="T704" s="5" t="s">
        <v>2288</v>
      </c>
      <c r="U704" s="8">
        <v>3</v>
      </c>
      <c r="V704" s="8">
        <v>380</v>
      </c>
      <c r="W704" s="8">
        <v>57</v>
      </c>
      <c r="X704" s="9">
        <v>63.92</v>
      </c>
      <c r="Y704" s="9">
        <f t="shared" si="121"/>
        <v>38.08</v>
      </c>
      <c r="Z704" s="5" t="s">
        <v>1761</v>
      </c>
      <c r="AA704" s="5" t="s">
        <v>2296</v>
      </c>
      <c r="AB704" s="9">
        <f t="shared" si="122"/>
        <v>120</v>
      </c>
      <c r="AC704" s="9">
        <f t="shared" si="123"/>
        <v>18</v>
      </c>
      <c r="AD704" s="9">
        <f t="shared" si="124"/>
        <v>102</v>
      </c>
      <c r="AE704" s="9">
        <f t="shared" si="125"/>
        <v>63.92</v>
      </c>
      <c r="AF704" s="9">
        <f t="shared" si="131"/>
        <v>38.08</v>
      </c>
      <c r="AG704" s="8">
        <f t="shared" si="126"/>
        <v>2024</v>
      </c>
      <c r="AH704" s="8">
        <f t="shared" si="127"/>
        <v>5</v>
      </c>
      <c r="AI704" s="5" t="str">
        <f t="shared" si="128"/>
        <v>May</v>
      </c>
      <c r="AJ704" s="5" t="str">
        <f t="shared" si="129"/>
        <v>Sunday</v>
      </c>
    </row>
    <row r="705" spans="1:36" x14ac:dyDescent="0.3">
      <c r="A705" s="5" t="s">
        <v>739</v>
      </c>
      <c r="B705" s="6">
        <v>45630</v>
      </c>
      <c r="C705" s="7">
        <v>0.46527777777777779</v>
      </c>
      <c r="D705" s="5" t="s">
        <v>1759</v>
      </c>
      <c r="E705" s="5" t="s">
        <v>2148</v>
      </c>
      <c r="F705" s="5" t="s">
        <v>1761</v>
      </c>
      <c r="G705" s="5" t="s">
        <v>2249</v>
      </c>
      <c r="H705" s="5" t="s">
        <v>2257</v>
      </c>
      <c r="I705" s="5" t="s">
        <v>2263</v>
      </c>
      <c r="J705" s="5" t="s">
        <v>2266</v>
      </c>
      <c r="K705" s="8">
        <v>2</v>
      </c>
      <c r="L705" s="9">
        <v>155</v>
      </c>
      <c r="M705" s="10">
        <v>0.1</v>
      </c>
      <c r="N705" s="9">
        <f t="shared" si="130"/>
        <v>310</v>
      </c>
      <c r="O705" s="9">
        <f t="shared" si="120"/>
        <v>279</v>
      </c>
      <c r="P705" s="5" t="s">
        <v>2269</v>
      </c>
      <c r="Q705" s="5" t="s">
        <v>2270</v>
      </c>
      <c r="R705" s="5" t="s">
        <v>2276</v>
      </c>
      <c r="S705" s="5" t="s">
        <v>2282</v>
      </c>
      <c r="T705" s="5" t="s">
        <v>2288</v>
      </c>
      <c r="U705" s="8">
        <v>3</v>
      </c>
      <c r="V705" s="19">
        <v>244</v>
      </c>
      <c r="W705" s="8">
        <v>18</v>
      </c>
      <c r="X705" s="9">
        <v>84.56</v>
      </c>
      <c r="Y705" s="9">
        <f t="shared" si="121"/>
        <v>109.88</v>
      </c>
      <c r="Z705" s="5" t="s">
        <v>2293</v>
      </c>
      <c r="AA705" s="5" t="s">
        <v>2299</v>
      </c>
      <c r="AB705" s="9">
        <f t="shared" si="122"/>
        <v>310</v>
      </c>
      <c r="AC705" s="9">
        <f t="shared" si="123"/>
        <v>31</v>
      </c>
      <c r="AD705" s="9">
        <f t="shared" si="124"/>
        <v>279</v>
      </c>
      <c r="AE705" s="9">
        <f t="shared" si="125"/>
        <v>169.12</v>
      </c>
      <c r="AF705" s="9">
        <f t="shared" si="131"/>
        <v>109.88</v>
      </c>
      <c r="AG705" s="8">
        <f t="shared" si="126"/>
        <v>2024</v>
      </c>
      <c r="AH705" s="8">
        <f t="shared" si="127"/>
        <v>12</v>
      </c>
      <c r="AI705" s="5" t="str">
        <f t="shared" si="128"/>
        <v>Dec</v>
      </c>
      <c r="AJ705" s="5" t="str">
        <f t="shared" si="129"/>
        <v>Wednesday</v>
      </c>
    </row>
    <row r="706" spans="1:36" x14ac:dyDescent="0.3">
      <c r="A706" s="5" t="s">
        <v>740</v>
      </c>
      <c r="B706" s="6">
        <v>45292</v>
      </c>
      <c r="C706" s="7">
        <v>0.67708333333333337</v>
      </c>
      <c r="D706" s="5" t="s">
        <v>1807</v>
      </c>
      <c r="E706" s="5" t="s">
        <v>1947</v>
      </c>
      <c r="F706" s="5" t="s">
        <v>2240</v>
      </c>
      <c r="G706" s="5" t="s">
        <v>2250</v>
      </c>
      <c r="H706" s="5" t="s">
        <v>2259</v>
      </c>
      <c r="I706" s="5" t="s">
        <v>2262</v>
      </c>
      <c r="J706" s="5" t="s">
        <v>1761</v>
      </c>
      <c r="K706" s="8">
        <v>1</v>
      </c>
      <c r="L706" s="9">
        <v>75</v>
      </c>
      <c r="M706" s="10">
        <v>0.05</v>
      </c>
      <c r="N706" s="9">
        <f t="shared" si="130"/>
        <v>75</v>
      </c>
      <c r="O706" s="9">
        <f t="shared" ref="O706:O769" si="132">IF(N706="","",N706*(1-IF(M706="",0,M706)))</f>
        <v>71.25</v>
      </c>
      <c r="P706" s="5" t="s">
        <v>2269</v>
      </c>
      <c r="Q706" s="5" t="s">
        <v>2270</v>
      </c>
      <c r="R706" s="5" t="s">
        <v>2278</v>
      </c>
      <c r="S706" s="5" t="s">
        <v>2284</v>
      </c>
      <c r="T706" s="5" t="s">
        <v>2288</v>
      </c>
      <c r="U706" s="8">
        <v>3</v>
      </c>
      <c r="V706" s="8">
        <v>478</v>
      </c>
      <c r="W706" s="8">
        <v>46</v>
      </c>
      <c r="X706" s="9">
        <v>42.92</v>
      </c>
      <c r="Y706" s="9">
        <f t="shared" ref="Y706:Y769" si="133">IF(OR(O706="",K706="",X706=""),"",O706-K706*X706)</f>
        <v>28.33</v>
      </c>
      <c r="Z706" s="5" t="s">
        <v>2293</v>
      </c>
      <c r="AA706" s="5" t="s">
        <v>1761</v>
      </c>
      <c r="AB706" s="9">
        <f t="shared" ref="AB706:AB769" si="134">N706</f>
        <v>75</v>
      </c>
      <c r="AC706" s="9">
        <f t="shared" ref="AC706:AC769" si="135">IF(N706="","",N706*IF(M706="",0,M706))</f>
        <v>3.75</v>
      </c>
      <c r="AD706" s="9">
        <f t="shared" ref="AD706:AD769" si="136">O706</f>
        <v>71.25</v>
      </c>
      <c r="AE706" s="9">
        <f t="shared" ref="AE706:AE769" si="137">IF(OR(K706="",X706=""),"",K706*X706)</f>
        <v>42.92</v>
      </c>
      <c r="AF706" s="9">
        <f t="shared" si="131"/>
        <v>28.33</v>
      </c>
      <c r="AG706" s="8">
        <f t="shared" ref="AG706:AG769" si="138">IF(B706="","",YEAR(B706))</f>
        <v>2024</v>
      </c>
      <c r="AH706" s="8">
        <f t="shared" ref="AH706:AH769" si="139">IF(B706="","",MONTH(B706))</f>
        <v>1</v>
      </c>
      <c r="AI706" s="5" t="str">
        <f t="shared" ref="AI706:AI769" si="140">IF(B706="","",TEXT(B706,"mmm"))</f>
        <v>Jan</v>
      </c>
      <c r="AJ706" s="5" t="str">
        <f t="shared" ref="AJ706:AJ769" si="141">IF(B706="","",TEXT(B706,"dddd"))</f>
        <v>Monday</v>
      </c>
    </row>
    <row r="707" spans="1:36" x14ac:dyDescent="0.3">
      <c r="A707" s="5" t="s">
        <v>741</v>
      </c>
      <c r="B707" s="6">
        <v>45433</v>
      </c>
      <c r="C707" s="7">
        <v>0.36458333333333331</v>
      </c>
      <c r="D707" s="5" t="s">
        <v>1827</v>
      </c>
      <c r="E707" s="5" t="s">
        <v>1761</v>
      </c>
      <c r="F707" s="5" t="s">
        <v>2240</v>
      </c>
      <c r="G707" s="5" t="s">
        <v>2245</v>
      </c>
      <c r="H707" s="5" t="s">
        <v>2257</v>
      </c>
      <c r="I707" s="5" t="s">
        <v>2263</v>
      </c>
      <c r="J707" s="5" t="s">
        <v>2266</v>
      </c>
      <c r="K707" s="8">
        <v>1</v>
      </c>
      <c r="L707" s="9">
        <v>160</v>
      </c>
      <c r="M707" s="10">
        <v>0</v>
      </c>
      <c r="N707" s="9">
        <f t="shared" ref="N707:N770" si="142">IFERROR(K707*L707,"")</f>
        <v>160</v>
      </c>
      <c r="O707" s="9">
        <f t="shared" si="132"/>
        <v>160</v>
      </c>
      <c r="P707" s="5" t="s">
        <v>2267</v>
      </c>
      <c r="Q707" s="5" t="s">
        <v>2272</v>
      </c>
      <c r="R707" s="5" t="s">
        <v>2274</v>
      </c>
      <c r="S707" s="5" t="s">
        <v>2281</v>
      </c>
      <c r="T707" s="5" t="s">
        <v>2288</v>
      </c>
      <c r="U707" s="8">
        <v>2</v>
      </c>
      <c r="V707" s="8">
        <v>91</v>
      </c>
      <c r="W707" s="8">
        <v>54</v>
      </c>
      <c r="X707" s="9">
        <v>67.84</v>
      </c>
      <c r="Y707" s="9">
        <f t="shared" si="133"/>
        <v>92.16</v>
      </c>
      <c r="Z707" s="5" t="s">
        <v>2293</v>
      </c>
      <c r="AA707" s="5" t="s">
        <v>2297</v>
      </c>
      <c r="AB707" s="9">
        <f t="shared" si="134"/>
        <v>160</v>
      </c>
      <c r="AC707" s="9">
        <f t="shared" si="135"/>
        <v>0</v>
      </c>
      <c r="AD707" s="9">
        <f t="shared" si="136"/>
        <v>160</v>
      </c>
      <c r="AE707" s="9">
        <f t="shared" si="137"/>
        <v>67.84</v>
      </c>
      <c r="AF707" s="9">
        <f t="shared" ref="AF707:AF770" si="143">Y707</f>
        <v>92.16</v>
      </c>
      <c r="AG707" s="8">
        <f t="shared" si="138"/>
        <v>2024</v>
      </c>
      <c r="AH707" s="8">
        <f t="shared" si="139"/>
        <v>5</v>
      </c>
      <c r="AI707" s="5" t="str">
        <f t="shared" si="140"/>
        <v>May</v>
      </c>
      <c r="AJ707" s="5" t="str">
        <f t="shared" si="141"/>
        <v>Tuesday</v>
      </c>
    </row>
    <row r="708" spans="1:36" x14ac:dyDescent="0.3">
      <c r="A708" s="5" t="s">
        <v>742</v>
      </c>
      <c r="B708" s="6">
        <v>45513</v>
      </c>
      <c r="C708" s="7">
        <v>0.60416666666666663</v>
      </c>
      <c r="D708" s="5" t="s">
        <v>1838</v>
      </c>
      <c r="E708" s="5" t="s">
        <v>2029</v>
      </c>
      <c r="F708" s="5" t="s">
        <v>2239</v>
      </c>
      <c r="G708" s="5" t="s">
        <v>2241</v>
      </c>
      <c r="H708" s="5" t="s">
        <v>2257</v>
      </c>
      <c r="I708" s="5" t="s">
        <v>2262</v>
      </c>
      <c r="J708" s="5" t="s">
        <v>2264</v>
      </c>
      <c r="K708" s="8">
        <v>4</v>
      </c>
      <c r="L708" s="9">
        <v>135</v>
      </c>
      <c r="M708" s="10">
        <v>0</v>
      </c>
      <c r="N708" s="9">
        <f t="shared" si="142"/>
        <v>540</v>
      </c>
      <c r="O708" s="9">
        <f t="shared" si="132"/>
        <v>540</v>
      </c>
      <c r="P708" s="5" t="s">
        <v>2267</v>
      </c>
      <c r="Q708" s="5" t="s">
        <v>2272</v>
      </c>
      <c r="R708" s="5" t="s">
        <v>2274</v>
      </c>
      <c r="S708" s="5" t="s">
        <v>2281</v>
      </c>
      <c r="T708" s="5" t="s">
        <v>2290</v>
      </c>
      <c r="U708" s="8">
        <v>3</v>
      </c>
      <c r="V708" s="8">
        <v>76</v>
      </c>
      <c r="W708" s="19">
        <v>35</v>
      </c>
      <c r="X708" s="9">
        <v>63.36</v>
      </c>
      <c r="Y708" s="9">
        <f t="shared" si="133"/>
        <v>286.56</v>
      </c>
      <c r="Z708" s="5" t="s">
        <v>2291</v>
      </c>
      <c r="AA708" s="5" t="s">
        <v>2296</v>
      </c>
      <c r="AB708" s="9">
        <f t="shared" si="134"/>
        <v>540</v>
      </c>
      <c r="AC708" s="9">
        <f t="shared" si="135"/>
        <v>0</v>
      </c>
      <c r="AD708" s="9">
        <f t="shared" si="136"/>
        <v>540</v>
      </c>
      <c r="AE708" s="9">
        <f t="shared" si="137"/>
        <v>253.44</v>
      </c>
      <c r="AF708" s="9">
        <f t="shared" si="143"/>
        <v>286.56</v>
      </c>
      <c r="AG708" s="8">
        <f t="shared" si="138"/>
        <v>2024</v>
      </c>
      <c r="AH708" s="8">
        <f t="shared" si="139"/>
        <v>8</v>
      </c>
      <c r="AI708" s="5" t="str">
        <f t="shared" si="140"/>
        <v>Aug</v>
      </c>
      <c r="AJ708" s="5" t="str">
        <f t="shared" si="141"/>
        <v>Friday</v>
      </c>
    </row>
    <row r="709" spans="1:36" x14ac:dyDescent="0.3">
      <c r="A709" s="5" t="s">
        <v>743</v>
      </c>
      <c r="B709" s="6">
        <v>45579</v>
      </c>
      <c r="C709" s="7">
        <v>0.76388888888888884</v>
      </c>
      <c r="D709" s="5" t="s">
        <v>1885</v>
      </c>
      <c r="E709" s="5" t="s">
        <v>2147</v>
      </c>
      <c r="F709" s="5" t="s">
        <v>2239</v>
      </c>
      <c r="G709" s="5" t="s">
        <v>2250</v>
      </c>
      <c r="H709" s="5" t="s">
        <v>2259</v>
      </c>
      <c r="I709" s="5" t="s">
        <v>2262</v>
      </c>
      <c r="J709" s="5" t="s">
        <v>2266</v>
      </c>
      <c r="K709" s="19">
        <v>1</v>
      </c>
      <c r="L709" s="9">
        <v>80</v>
      </c>
      <c r="M709" s="10">
        <v>0.1</v>
      </c>
      <c r="N709" s="9">
        <f t="shared" si="142"/>
        <v>80</v>
      </c>
      <c r="O709" s="9">
        <f t="shared" si="132"/>
        <v>72</v>
      </c>
      <c r="P709" s="5" t="s">
        <v>2267</v>
      </c>
      <c r="Q709" s="5" t="s">
        <v>1761</v>
      </c>
      <c r="R709" s="5" t="s">
        <v>2273</v>
      </c>
      <c r="S709" s="5" t="s">
        <v>2280</v>
      </c>
      <c r="T709" s="5" t="s">
        <v>2288</v>
      </c>
      <c r="U709" s="8">
        <v>5</v>
      </c>
      <c r="V709" s="8">
        <v>186</v>
      </c>
      <c r="W709" s="8">
        <v>16</v>
      </c>
      <c r="X709" s="9">
        <v>35.049999999999997</v>
      </c>
      <c r="Y709" s="9">
        <f t="shared" si="133"/>
        <v>36.950000000000003</v>
      </c>
      <c r="Z709" s="5" t="s">
        <v>2292</v>
      </c>
      <c r="AA709" s="5" t="s">
        <v>2297</v>
      </c>
      <c r="AB709" s="9">
        <f t="shared" si="134"/>
        <v>80</v>
      </c>
      <c r="AC709" s="9">
        <f t="shared" si="135"/>
        <v>8</v>
      </c>
      <c r="AD709" s="9">
        <f t="shared" si="136"/>
        <v>72</v>
      </c>
      <c r="AE709" s="9">
        <f t="shared" si="137"/>
        <v>35.049999999999997</v>
      </c>
      <c r="AF709" s="9">
        <f t="shared" si="143"/>
        <v>36.950000000000003</v>
      </c>
      <c r="AG709" s="8">
        <f t="shared" si="138"/>
        <v>2024</v>
      </c>
      <c r="AH709" s="8">
        <f t="shared" si="139"/>
        <v>10</v>
      </c>
      <c r="AI709" s="5" t="str">
        <f t="shared" si="140"/>
        <v>Oct</v>
      </c>
      <c r="AJ709" s="5" t="str">
        <f t="shared" si="141"/>
        <v>Monday</v>
      </c>
    </row>
    <row r="710" spans="1:36" x14ac:dyDescent="0.3">
      <c r="A710" s="5" t="s">
        <v>744</v>
      </c>
      <c r="B710" s="6">
        <v>45384</v>
      </c>
      <c r="C710" s="7">
        <v>0.70833333333333337</v>
      </c>
      <c r="D710" s="5" t="s">
        <v>1821</v>
      </c>
      <c r="E710" s="5" t="s">
        <v>1948</v>
      </c>
      <c r="F710" s="5" t="s">
        <v>2239</v>
      </c>
      <c r="G710" s="5" t="s">
        <v>2253</v>
      </c>
      <c r="H710" s="5" t="s">
        <v>2258</v>
      </c>
      <c r="I710" s="5" t="s">
        <v>2260</v>
      </c>
      <c r="J710" s="5" t="s">
        <v>1761</v>
      </c>
      <c r="K710" s="8">
        <v>2</v>
      </c>
      <c r="L710" s="9">
        <v>85</v>
      </c>
      <c r="M710" s="10">
        <v>0</v>
      </c>
      <c r="N710" s="9">
        <f t="shared" si="142"/>
        <v>170</v>
      </c>
      <c r="O710" s="9">
        <f t="shared" si="132"/>
        <v>170</v>
      </c>
      <c r="P710" s="5" t="s">
        <v>2269</v>
      </c>
      <c r="Q710" s="5" t="s">
        <v>2272</v>
      </c>
      <c r="R710" s="5" t="s">
        <v>2279</v>
      </c>
      <c r="S710" s="5" t="s">
        <v>2286</v>
      </c>
      <c r="T710" s="5" t="s">
        <v>2290</v>
      </c>
      <c r="U710" s="8">
        <v>2</v>
      </c>
      <c r="V710" s="8">
        <v>201</v>
      </c>
      <c r="W710" s="19">
        <v>35</v>
      </c>
      <c r="X710" s="9">
        <v>48.18</v>
      </c>
      <c r="Y710" s="9">
        <f t="shared" si="133"/>
        <v>73.64</v>
      </c>
      <c r="Z710" s="5" t="s">
        <v>2293</v>
      </c>
      <c r="AA710" s="5" t="s">
        <v>2299</v>
      </c>
      <c r="AB710" s="9">
        <f t="shared" si="134"/>
        <v>170</v>
      </c>
      <c r="AC710" s="9">
        <f t="shared" si="135"/>
        <v>0</v>
      </c>
      <c r="AD710" s="9">
        <f t="shared" si="136"/>
        <v>170</v>
      </c>
      <c r="AE710" s="9">
        <f t="shared" si="137"/>
        <v>96.36</v>
      </c>
      <c r="AF710" s="9">
        <f t="shared" si="143"/>
        <v>73.64</v>
      </c>
      <c r="AG710" s="8">
        <f t="shared" si="138"/>
        <v>2024</v>
      </c>
      <c r="AH710" s="8">
        <f t="shared" si="139"/>
        <v>4</v>
      </c>
      <c r="AI710" s="5" t="str">
        <f t="shared" si="140"/>
        <v>Apr</v>
      </c>
      <c r="AJ710" s="5" t="str">
        <f t="shared" si="141"/>
        <v>Tuesday</v>
      </c>
    </row>
    <row r="711" spans="1:36" x14ac:dyDescent="0.3">
      <c r="A711" s="5" t="s">
        <v>745</v>
      </c>
      <c r="B711" s="6">
        <v>45358</v>
      </c>
      <c r="C711" s="7">
        <v>0.5625</v>
      </c>
      <c r="D711" s="5" t="s">
        <v>1862</v>
      </c>
      <c r="E711" s="5" t="s">
        <v>2061</v>
      </c>
      <c r="F711" s="5" t="s">
        <v>2240</v>
      </c>
      <c r="G711" s="5" t="s">
        <v>2251</v>
      </c>
      <c r="H711" s="5" t="s">
        <v>2258</v>
      </c>
      <c r="I711" s="5" t="s">
        <v>2260</v>
      </c>
      <c r="J711" s="5" t="s">
        <v>2265</v>
      </c>
      <c r="K711" s="8">
        <v>4</v>
      </c>
      <c r="L711" s="9">
        <v>100</v>
      </c>
      <c r="M711" s="10">
        <v>0.05</v>
      </c>
      <c r="N711" s="9">
        <f t="shared" si="142"/>
        <v>400</v>
      </c>
      <c r="O711" s="9">
        <f t="shared" si="132"/>
        <v>380</v>
      </c>
      <c r="P711" s="5" t="s">
        <v>2267</v>
      </c>
      <c r="Q711" s="5" t="s">
        <v>2272</v>
      </c>
      <c r="R711" s="5" t="s">
        <v>2274</v>
      </c>
      <c r="S711" s="5" t="s">
        <v>2287</v>
      </c>
      <c r="T711" s="5" t="s">
        <v>2288</v>
      </c>
      <c r="U711" s="19">
        <v>3</v>
      </c>
      <c r="V711" s="8">
        <v>201</v>
      </c>
      <c r="W711" s="19">
        <v>35</v>
      </c>
      <c r="X711" s="9">
        <v>59.1</v>
      </c>
      <c r="Y711" s="9">
        <f t="shared" si="133"/>
        <v>143.6</v>
      </c>
      <c r="Z711" s="5" t="s">
        <v>1761</v>
      </c>
      <c r="AA711" s="5" t="s">
        <v>2299</v>
      </c>
      <c r="AB711" s="9">
        <f t="shared" si="134"/>
        <v>400</v>
      </c>
      <c r="AC711" s="9">
        <f t="shared" si="135"/>
        <v>20</v>
      </c>
      <c r="AD711" s="9">
        <f t="shared" si="136"/>
        <v>380</v>
      </c>
      <c r="AE711" s="9">
        <f t="shared" si="137"/>
        <v>236.4</v>
      </c>
      <c r="AF711" s="9">
        <f t="shared" si="143"/>
        <v>143.6</v>
      </c>
      <c r="AG711" s="8">
        <f t="shared" si="138"/>
        <v>2024</v>
      </c>
      <c r="AH711" s="8">
        <f t="shared" si="139"/>
        <v>3</v>
      </c>
      <c r="AI711" s="5" t="str">
        <f t="shared" si="140"/>
        <v>Mar</v>
      </c>
      <c r="AJ711" s="5" t="str">
        <f t="shared" si="141"/>
        <v>Thursday</v>
      </c>
    </row>
    <row r="712" spans="1:36" x14ac:dyDescent="0.3">
      <c r="A712" s="5" t="s">
        <v>746</v>
      </c>
      <c r="B712" s="6">
        <v>45414</v>
      </c>
      <c r="C712" s="7">
        <v>0.2986111111111111</v>
      </c>
      <c r="D712" s="5" t="s">
        <v>1741</v>
      </c>
      <c r="E712" s="5" t="s">
        <v>2144</v>
      </c>
      <c r="F712" s="5" t="s">
        <v>1761</v>
      </c>
      <c r="G712" s="5" t="s">
        <v>2251</v>
      </c>
      <c r="H712" s="5" t="s">
        <v>2258</v>
      </c>
      <c r="I712" s="5" t="s">
        <v>2260</v>
      </c>
      <c r="J712" s="5" t="s">
        <v>2265</v>
      </c>
      <c r="K712" s="8">
        <v>1</v>
      </c>
      <c r="L712" s="9">
        <v>100</v>
      </c>
      <c r="M712" s="10">
        <v>0</v>
      </c>
      <c r="N712" s="9">
        <f t="shared" si="142"/>
        <v>100</v>
      </c>
      <c r="O712" s="9">
        <f t="shared" si="132"/>
        <v>100</v>
      </c>
      <c r="P712" s="5" t="s">
        <v>2269</v>
      </c>
      <c r="Q712" s="5" t="s">
        <v>1761</v>
      </c>
      <c r="R712" s="5" t="s">
        <v>2273</v>
      </c>
      <c r="S712" s="5" t="s">
        <v>2286</v>
      </c>
      <c r="T712" s="5" t="s">
        <v>2288</v>
      </c>
      <c r="U712" s="8">
        <v>4</v>
      </c>
      <c r="V712" s="8">
        <v>203</v>
      </c>
      <c r="W712" s="19">
        <v>36</v>
      </c>
      <c r="X712" s="9">
        <v>46.58</v>
      </c>
      <c r="Y712" s="9">
        <f t="shared" si="133"/>
        <v>53.42</v>
      </c>
      <c r="Z712" s="5" t="s">
        <v>2292</v>
      </c>
      <c r="AA712" s="5" t="s">
        <v>2296</v>
      </c>
      <c r="AB712" s="9">
        <f t="shared" si="134"/>
        <v>100</v>
      </c>
      <c r="AC712" s="9">
        <f t="shared" si="135"/>
        <v>0</v>
      </c>
      <c r="AD712" s="9">
        <f t="shared" si="136"/>
        <v>100</v>
      </c>
      <c r="AE712" s="9">
        <f t="shared" si="137"/>
        <v>46.58</v>
      </c>
      <c r="AF712" s="9">
        <f t="shared" si="143"/>
        <v>53.42</v>
      </c>
      <c r="AG712" s="8">
        <f t="shared" si="138"/>
        <v>2024</v>
      </c>
      <c r="AH712" s="8">
        <f t="shared" si="139"/>
        <v>5</v>
      </c>
      <c r="AI712" s="5" t="str">
        <f t="shared" si="140"/>
        <v>May</v>
      </c>
      <c r="AJ712" s="5" t="str">
        <f t="shared" si="141"/>
        <v>Thursday</v>
      </c>
    </row>
    <row r="713" spans="1:36" x14ac:dyDescent="0.3">
      <c r="A713" s="5" t="s">
        <v>747</v>
      </c>
      <c r="B713" s="6">
        <v>45481</v>
      </c>
      <c r="C713" s="7">
        <v>0.4375</v>
      </c>
      <c r="D713" s="5" t="s">
        <v>1816</v>
      </c>
      <c r="E713" s="5" t="s">
        <v>2162</v>
      </c>
      <c r="F713" s="5" t="s">
        <v>2240</v>
      </c>
      <c r="G713" s="5" t="s">
        <v>2243</v>
      </c>
      <c r="H713" s="5" t="s">
        <v>2258</v>
      </c>
      <c r="I713" s="5" t="s">
        <v>2260</v>
      </c>
      <c r="J713" s="5" t="s">
        <v>2266</v>
      </c>
      <c r="K713" s="8">
        <v>2</v>
      </c>
      <c r="L713" s="9">
        <v>80</v>
      </c>
      <c r="M713" s="10">
        <v>0.05</v>
      </c>
      <c r="N713" s="9">
        <f t="shared" si="142"/>
        <v>160</v>
      </c>
      <c r="O713" s="9">
        <f t="shared" si="132"/>
        <v>152</v>
      </c>
      <c r="P713" s="5" t="s">
        <v>2268</v>
      </c>
      <c r="Q713" s="5" t="s">
        <v>2270</v>
      </c>
      <c r="R713" s="5" t="s">
        <v>2278</v>
      </c>
      <c r="S713" s="5" t="s">
        <v>2283</v>
      </c>
      <c r="T713" s="5" t="s">
        <v>2290</v>
      </c>
      <c r="U713" s="8">
        <v>4</v>
      </c>
      <c r="V713" s="8">
        <v>233</v>
      </c>
      <c r="W713" s="8">
        <v>33</v>
      </c>
      <c r="X713" s="9">
        <v>24.99</v>
      </c>
      <c r="Y713" s="9">
        <f t="shared" si="133"/>
        <v>102.02000000000001</v>
      </c>
      <c r="Z713" s="5" t="s">
        <v>2292</v>
      </c>
      <c r="AA713" s="5" t="s">
        <v>2297</v>
      </c>
      <c r="AB713" s="9">
        <f t="shared" si="134"/>
        <v>160</v>
      </c>
      <c r="AC713" s="9">
        <f t="shared" si="135"/>
        <v>8</v>
      </c>
      <c r="AD713" s="9">
        <f t="shared" si="136"/>
        <v>152</v>
      </c>
      <c r="AE713" s="9">
        <f t="shared" si="137"/>
        <v>49.98</v>
      </c>
      <c r="AF713" s="9">
        <f t="shared" si="143"/>
        <v>102.02000000000001</v>
      </c>
      <c r="AG713" s="8">
        <f t="shared" si="138"/>
        <v>2024</v>
      </c>
      <c r="AH713" s="8">
        <f t="shared" si="139"/>
        <v>7</v>
      </c>
      <c r="AI713" s="5" t="str">
        <f t="shared" si="140"/>
        <v>Jul</v>
      </c>
      <c r="AJ713" s="5" t="str">
        <f t="shared" si="141"/>
        <v>Monday</v>
      </c>
    </row>
    <row r="714" spans="1:36" x14ac:dyDescent="0.3">
      <c r="A714" s="5" t="s">
        <v>748</v>
      </c>
      <c r="B714" s="6">
        <v>45323</v>
      </c>
      <c r="C714" s="7">
        <v>0.4513888888888889</v>
      </c>
      <c r="D714" s="5" t="s">
        <v>1743</v>
      </c>
      <c r="E714" s="5" t="s">
        <v>2211</v>
      </c>
      <c r="F714" s="5" t="s">
        <v>2239</v>
      </c>
      <c r="G714" s="5" t="s">
        <v>2245</v>
      </c>
      <c r="H714" s="5" t="s">
        <v>2257</v>
      </c>
      <c r="I714" s="5" t="s">
        <v>2263</v>
      </c>
      <c r="J714" s="5" t="s">
        <v>2264</v>
      </c>
      <c r="K714" s="8">
        <v>1</v>
      </c>
      <c r="L714" s="9">
        <v>160</v>
      </c>
      <c r="M714" s="10">
        <v>0.05</v>
      </c>
      <c r="N714" s="9">
        <f t="shared" si="142"/>
        <v>160</v>
      </c>
      <c r="O714" s="9">
        <f t="shared" si="132"/>
        <v>152</v>
      </c>
      <c r="P714" s="5" t="s">
        <v>2267</v>
      </c>
      <c r="Q714" s="5" t="s">
        <v>2272</v>
      </c>
      <c r="R714" s="5" t="s">
        <v>2275</v>
      </c>
      <c r="S714" s="5" t="s">
        <v>2282</v>
      </c>
      <c r="T714" s="5" t="s">
        <v>2290</v>
      </c>
      <c r="U714" s="8">
        <v>3</v>
      </c>
      <c r="V714" s="8">
        <v>325</v>
      </c>
      <c r="W714" s="19">
        <v>35</v>
      </c>
      <c r="X714" s="9">
        <v>79.63</v>
      </c>
      <c r="Y714" s="9">
        <f t="shared" si="133"/>
        <v>72.37</v>
      </c>
      <c r="Z714" s="5" t="s">
        <v>1761</v>
      </c>
      <c r="AA714" s="5" t="s">
        <v>2296</v>
      </c>
      <c r="AB714" s="9">
        <f t="shared" si="134"/>
        <v>160</v>
      </c>
      <c r="AC714" s="9">
        <f t="shared" si="135"/>
        <v>8</v>
      </c>
      <c r="AD714" s="9">
        <f t="shared" si="136"/>
        <v>152</v>
      </c>
      <c r="AE714" s="9">
        <f t="shared" si="137"/>
        <v>79.63</v>
      </c>
      <c r="AF714" s="9">
        <f t="shared" si="143"/>
        <v>72.37</v>
      </c>
      <c r="AG714" s="8">
        <f t="shared" si="138"/>
        <v>2024</v>
      </c>
      <c r="AH714" s="8">
        <f t="shared" si="139"/>
        <v>2</v>
      </c>
      <c r="AI714" s="5" t="str">
        <f t="shared" si="140"/>
        <v>Feb</v>
      </c>
      <c r="AJ714" s="5" t="str">
        <f t="shared" si="141"/>
        <v>Thursday</v>
      </c>
    </row>
    <row r="715" spans="1:36" x14ac:dyDescent="0.3">
      <c r="A715" s="5" t="s">
        <v>749</v>
      </c>
      <c r="B715" s="6">
        <v>45615</v>
      </c>
      <c r="C715" s="7">
        <v>0.3888888888888889</v>
      </c>
      <c r="D715" s="5" t="s">
        <v>1821</v>
      </c>
      <c r="E715" s="5" t="s">
        <v>2051</v>
      </c>
      <c r="F715" s="5" t="s">
        <v>2240</v>
      </c>
      <c r="G715" s="5" t="s">
        <v>2252</v>
      </c>
      <c r="H715" s="5" t="s">
        <v>2257</v>
      </c>
      <c r="I715" s="5" t="s">
        <v>2262</v>
      </c>
      <c r="J715" s="5" t="s">
        <v>2264</v>
      </c>
      <c r="K715" s="8">
        <v>1</v>
      </c>
      <c r="L715" s="9">
        <v>100</v>
      </c>
      <c r="M715" s="10">
        <v>0.05</v>
      </c>
      <c r="N715" s="9">
        <f t="shared" si="142"/>
        <v>100</v>
      </c>
      <c r="O715" s="9">
        <f t="shared" si="132"/>
        <v>95</v>
      </c>
      <c r="P715" s="5" t="s">
        <v>2267</v>
      </c>
      <c r="Q715" s="5" t="s">
        <v>2272</v>
      </c>
      <c r="R715" s="5" t="s">
        <v>2277</v>
      </c>
      <c r="S715" s="5" t="s">
        <v>2283</v>
      </c>
      <c r="T715" s="5" t="s">
        <v>2288</v>
      </c>
      <c r="U715" s="8">
        <v>1</v>
      </c>
      <c r="V715" s="8">
        <v>92</v>
      </c>
      <c r="W715" s="8">
        <v>43</v>
      </c>
      <c r="X715" s="9">
        <v>42.89</v>
      </c>
      <c r="Y715" s="9">
        <f t="shared" si="133"/>
        <v>52.11</v>
      </c>
      <c r="Z715" s="5" t="s">
        <v>2291</v>
      </c>
      <c r="AA715" s="5" t="s">
        <v>1761</v>
      </c>
      <c r="AB715" s="9">
        <f t="shared" si="134"/>
        <v>100</v>
      </c>
      <c r="AC715" s="9">
        <f t="shared" si="135"/>
        <v>5</v>
      </c>
      <c r="AD715" s="9">
        <f t="shared" si="136"/>
        <v>95</v>
      </c>
      <c r="AE715" s="9">
        <f t="shared" si="137"/>
        <v>42.89</v>
      </c>
      <c r="AF715" s="9">
        <f t="shared" si="143"/>
        <v>52.11</v>
      </c>
      <c r="AG715" s="8">
        <f t="shared" si="138"/>
        <v>2024</v>
      </c>
      <c r="AH715" s="8">
        <f t="shared" si="139"/>
        <v>11</v>
      </c>
      <c r="AI715" s="5" t="str">
        <f t="shared" si="140"/>
        <v>Nov</v>
      </c>
      <c r="AJ715" s="5" t="str">
        <f t="shared" si="141"/>
        <v>Tuesday</v>
      </c>
    </row>
    <row r="716" spans="1:36" x14ac:dyDescent="0.3">
      <c r="A716" s="5" t="s">
        <v>750</v>
      </c>
      <c r="B716" s="6">
        <v>45530</v>
      </c>
      <c r="C716" s="7">
        <v>0.78125</v>
      </c>
      <c r="D716" s="5" t="s">
        <v>1754</v>
      </c>
      <c r="E716" s="5" t="s">
        <v>2142</v>
      </c>
      <c r="F716" s="5" t="s">
        <v>1761</v>
      </c>
      <c r="G716" s="5" t="s">
        <v>2241</v>
      </c>
      <c r="H716" s="5" t="s">
        <v>2257</v>
      </c>
      <c r="I716" s="5" t="s">
        <v>2262</v>
      </c>
      <c r="J716" s="5" t="s">
        <v>2264</v>
      </c>
      <c r="K716" s="8">
        <v>1</v>
      </c>
      <c r="L716" s="9">
        <v>130</v>
      </c>
      <c r="M716" s="10">
        <v>0</v>
      </c>
      <c r="N716" s="9">
        <f t="shared" si="142"/>
        <v>130</v>
      </c>
      <c r="O716" s="9">
        <f t="shared" si="132"/>
        <v>130</v>
      </c>
      <c r="P716" s="5" t="s">
        <v>2268</v>
      </c>
      <c r="Q716" s="5" t="s">
        <v>2272</v>
      </c>
      <c r="R716" s="5" t="s">
        <v>2273</v>
      </c>
      <c r="S716" s="5" t="s">
        <v>2283</v>
      </c>
      <c r="T716" s="5" t="s">
        <v>2289</v>
      </c>
      <c r="U716" s="8">
        <v>5</v>
      </c>
      <c r="V716" s="8">
        <v>295</v>
      </c>
      <c r="W716" s="19">
        <v>35</v>
      </c>
      <c r="X716" s="9">
        <v>70.680000000000007</v>
      </c>
      <c r="Y716" s="9">
        <f t="shared" si="133"/>
        <v>59.319999999999993</v>
      </c>
      <c r="Z716" s="5" t="s">
        <v>1761</v>
      </c>
      <c r="AA716" s="5" t="s">
        <v>2299</v>
      </c>
      <c r="AB716" s="9">
        <f t="shared" si="134"/>
        <v>130</v>
      </c>
      <c r="AC716" s="9">
        <f t="shared" si="135"/>
        <v>0</v>
      </c>
      <c r="AD716" s="9">
        <f t="shared" si="136"/>
        <v>130</v>
      </c>
      <c r="AE716" s="9">
        <f t="shared" si="137"/>
        <v>70.680000000000007</v>
      </c>
      <c r="AF716" s="9">
        <f t="shared" si="143"/>
        <v>59.319999999999993</v>
      </c>
      <c r="AG716" s="8">
        <f t="shared" si="138"/>
        <v>2024</v>
      </c>
      <c r="AH716" s="8">
        <f t="shared" si="139"/>
        <v>8</v>
      </c>
      <c r="AI716" s="5" t="str">
        <f t="shared" si="140"/>
        <v>Aug</v>
      </c>
      <c r="AJ716" s="5" t="str">
        <f t="shared" si="141"/>
        <v>Monday</v>
      </c>
    </row>
    <row r="717" spans="1:36" x14ac:dyDescent="0.3">
      <c r="A717" s="5" t="s">
        <v>751</v>
      </c>
      <c r="B717" s="6">
        <v>45470</v>
      </c>
      <c r="C717" s="7">
        <v>0.43055555555555558</v>
      </c>
      <c r="D717" s="5" t="s">
        <v>1799</v>
      </c>
      <c r="E717" s="5" t="s">
        <v>2096</v>
      </c>
      <c r="F717" s="5" t="s">
        <v>2240</v>
      </c>
      <c r="G717" s="5" t="s">
        <v>2241</v>
      </c>
      <c r="H717" s="5" t="s">
        <v>2257</v>
      </c>
      <c r="I717" s="5" t="s">
        <v>2262</v>
      </c>
      <c r="J717" s="5" t="s">
        <v>2264</v>
      </c>
      <c r="K717" s="8">
        <v>2</v>
      </c>
      <c r="L717" s="9">
        <v>125</v>
      </c>
      <c r="M717" s="10">
        <v>0.1</v>
      </c>
      <c r="N717" s="9">
        <f t="shared" si="142"/>
        <v>250</v>
      </c>
      <c r="O717" s="9">
        <f t="shared" si="132"/>
        <v>225</v>
      </c>
      <c r="P717" s="5" t="s">
        <v>2269</v>
      </c>
      <c r="Q717" s="5" t="s">
        <v>1761</v>
      </c>
      <c r="R717" s="5" t="s">
        <v>2276</v>
      </c>
      <c r="S717" s="5" t="s">
        <v>2284</v>
      </c>
      <c r="T717" s="5" t="s">
        <v>2288</v>
      </c>
      <c r="U717" s="8">
        <v>1</v>
      </c>
      <c r="V717" s="19">
        <v>244</v>
      </c>
      <c r="W717" s="19">
        <v>36</v>
      </c>
      <c r="X717" s="9">
        <v>73.680000000000007</v>
      </c>
      <c r="Y717" s="9">
        <f t="shared" si="133"/>
        <v>77.639999999999986</v>
      </c>
      <c r="Z717" s="5" t="s">
        <v>1761</v>
      </c>
      <c r="AA717" s="5" t="s">
        <v>2298</v>
      </c>
      <c r="AB717" s="9">
        <f t="shared" si="134"/>
        <v>250</v>
      </c>
      <c r="AC717" s="9">
        <f t="shared" si="135"/>
        <v>25</v>
      </c>
      <c r="AD717" s="9">
        <f t="shared" si="136"/>
        <v>225</v>
      </c>
      <c r="AE717" s="9">
        <f t="shared" si="137"/>
        <v>147.36000000000001</v>
      </c>
      <c r="AF717" s="9">
        <f t="shared" si="143"/>
        <v>77.639999999999986</v>
      </c>
      <c r="AG717" s="8">
        <f t="shared" si="138"/>
        <v>2024</v>
      </c>
      <c r="AH717" s="8">
        <f t="shared" si="139"/>
        <v>6</v>
      </c>
      <c r="AI717" s="5" t="str">
        <f t="shared" si="140"/>
        <v>Jun</v>
      </c>
      <c r="AJ717" s="5" t="str">
        <f t="shared" si="141"/>
        <v>Thursday</v>
      </c>
    </row>
    <row r="718" spans="1:36" x14ac:dyDescent="0.3">
      <c r="A718" s="5" t="s">
        <v>752</v>
      </c>
      <c r="B718" s="6">
        <v>45653</v>
      </c>
      <c r="C718" s="7">
        <v>0.63888888888888884</v>
      </c>
      <c r="D718" s="5" t="s">
        <v>1883</v>
      </c>
      <c r="E718" s="5" t="s">
        <v>2052</v>
      </c>
      <c r="F718" s="5" t="s">
        <v>2240</v>
      </c>
      <c r="G718" s="5" t="s">
        <v>2252</v>
      </c>
      <c r="H718" s="5" t="s">
        <v>2257</v>
      </c>
      <c r="I718" s="5" t="s">
        <v>2262</v>
      </c>
      <c r="J718" s="5" t="s">
        <v>2264</v>
      </c>
      <c r="K718" s="8">
        <v>1</v>
      </c>
      <c r="L718" s="9">
        <v>85</v>
      </c>
      <c r="M718" s="10">
        <v>0</v>
      </c>
      <c r="N718" s="9">
        <f t="shared" si="142"/>
        <v>85</v>
      </c>
      <c r="O718" s="9">
        <f t="shared" si="132"/>
        <v>85</v>
      </c>
      <c r="P718" s="5" t="s">
        <v>2267</v>
      </c>
      <c r="Q718" s="5" t="s">
        <v>2272</v>
      </c>
      <c r="R718" s="5" t="s">
        <v>2279</v>
      </c>
      <c r="S718" s="5" t="s">
        <v>2285</v>
      </c>
      <c r="T718" s="5" t="s">
        <v>2288</v>
      </c>
      <c r="U718" s="8">
        <v>1</v>
      </c>
      <c r="V718" s="8">
        <v>148</v>
      </c>
      <c r="W718" s="8">
        <v>54</v>
      </c>
      <c r="X718" s="9">
        <v>47.27</v>
      </c>
      <c r="Y718" s="9">
        <f t="shared" si="133"/>
        <v>37.729999999999997</v>
      </c>
      <c r="Z718" s="5" t="s">
        <v>1761</v>
      </c>
      <c r="AA718" s="5" t="s">
        <v>2298</v>
      </c>
      <c r="AB718" s="9">
        <f t="shared" si="134"/>
        <v>85</v>
      </c>
      <c r="AC718" s="9">
        <f t="shared" si="135"/>
        <v>0</v>
      </c>
      <c r="AD718" s="9">
        <f t="shared" si="136"/>
        <v>85</v>
      </c>
      <c r="AE718" s="9">
        <f t="shared" si="137"/>
        <v>47.27</v>
      </c>
      <c r="AF718" s="9">
        <f t="shared" si="143"/>
        <v>37.729999999999997</v>
      </c>
      <c r="AG718" s="8">
        <f t="shared" si="138"/>
        <v>2024</v>
      </c>
      <c r="AH718" s="8">
        <f t="shared" si="139"/>
        <v>12</v>
      </c>
      <c r="AI718" s="5" t="str">
        <f t="shared" si="140"/>
        <v>Dec</v>
      </c>
      <c r="AJ718" s="5" t="str">
        <f t="shared" si="141"/>
        <v>Friday</v>
      </c>
    </row>
    <row r="719" spans="1:36" x14ac:dyDescent="0.3">
      <c r="A719" s="5" t="s">
        <v>753</v>
      </c>
      <c r="B719" s="18">
        <v>45468</v>
      </c>
      <c r="C719" s="7">
        <v>0.88888888888888884</v>
      </c>
      <c r="D719" s="5" t="s">
        <v>1793</v>
      </c>
      <c r="E719" s="5" t="s">
        <v>2048</v>
      </c>
      <c r="F719" s="5" t="s">
        <v>1761</v>
      </c>
      <c r="G719" s="5" t="s">
        <v>2248</v>
      </c>
      <c r="H719" s="5" t="s">
        <v>2257</v>
      </c>
      <c r="I719" s="5" t="s">
        <v>2262</v>
      </c>
      <c r="J719" s="5" t="s">
        <v>2266</v>
      </c>
      <c r="K719" s="8">
        <v>1</v>
      </c>
      <c r="L719" s="9">
        <v>155</v>
      </c>
      <c r="M719" s="10">
        <v>0.15</v>
      </c>
      <c r="N719" s="9">
        <f t="shared" si="142"/>
        <v>155</v>
      </c>
      <c r="O719" s="9">
        <f t="shared" si="132"/>
        <v>131.75</v>
      </c>
      <c r="P719" s="5" t="s">
        <v>2269</v>
      </c>
      <c r="Q719" s="5" t="s">
        <v>2272</v>
      </c>
      <c r="R719" s="5" t="s">
        <v>2279</v>
      </c>
      <c r="S719" s="5" t="s">
        <v>2280</v>
      </c>
      <c r="T719" s="5" t="s">
        <v>2288</v>
      </c>
      <c r="U719" s="8">
        <v>1</v>
      </c>
      <c r="V719" s="8">
        <v>99</v>
      </c>
      <c r="W719" s="8">
        <v>27</v>
      </c>
      <c r="X719" s="9">
        <v>78.180000000000007</v>
      </c>
      <c r="Y719" s="9">
        <f t="shared" si="133"/>
        <v>53.569999999999993</v>
      </c>
      <c r="Z719" s="5" t="s">
        <v>2293</v>
      </c>
      <c r="AA719" s="5" t="s">
        <v>2296</v>
      </c>
      <c r="AB719" s="9">
        <f t="shared" si="134"/>
        <v>155</v>
      </c>
      <c r="AC719" s="9">
        <f t="shared" si="135"/>
        <v>23.25</v>
      </c>
      <c r="AD719" s="9">
        <f t="shared" si="136"/>
        <v>131.75</v>
      </c>
      <c r="AE719" s="9">
        <f t="shared" si="137"/>
        <v>78.180000000000007</v>
      </c>
      <c r="AF719" s="9">
        <f t="shared" si="143"/>
        <v>53.569999999999993</v>
      </c>
      <c r="AG719" s="8">
        <f t="shared" si="138"/>
        <v>2024</v>
      </c>
      <c r="AH719" s="8">
        <f t="shared" si="139"/>
        <v>6</v>
      </c>
      <c r="AI719" s="5" t="str">
        <f t="shared" si="140"/>
        <v>Jun</v>
      </c>
      <c r="AJ719" s="5" t="str">
        <f t="shared" si="141"/>
        <v>Tuesday</v>
      </c>
    </row>
    <row r="720" spans="1:36" x14ac:dyDescent="0.3">
      <c r="A720" s="5" t="s">
        <v>754</v>
      </c>
      <c r="B720" s="6">
        <v>45532</v>
      </c>
      <c r="C720" s="7">
        <v>0.3263888888888889</v>
      </c>
      <c r="D720" s="5" t="s">
        <v>1935</v>
      </c>
      <c r="E720" s="5" t="s">
        <v>2038</v>
      </c>
      <c r="F720" s="5" t="s">
        <v>2240</v>
      </c>
      <c r="G720" s="5" t="s">
        <v>2245</v>
      </c>
      <c r="H720" s="5" t="s">
        <v>2257</v>
      </c>
      <c r="I720" s="5" t="s">
        <v>2263</v>
      </c>
      <c r="J720" s="5" t="s">
        <v>2265</v>
      </c>
      <c r="K720" s="8">
        <v>2</v>
      </c>
      <c r="L720" s="9">
        <v>145</v>
      </c>
      <c r="M720" s="10">
        <v>0</v>
      </c>
      <c r="N720" s="9">
        <f t="shared" si="142"/>
        <v>290</v>
      </c>
      <c r="O720" s="9">
        <f t="shared" si="132"/>
        <v>290</v>
      </c>
      <c r="P720" s="5" t="s">
        <v>2267</v>
      </c>
      <c r="Q720" s="5" t="s">
        <v>2272</v>
      </c>
      <c r="R720" s="5" t="s">
        <v>2273</v>
      </c>
      <c r="S720" s="5" t="s">
        <v>2283</v>
      </c>
      <c r="T720" s="5" t="s">
        <v>2289</v>
      </c>
      <c r="U720" s="8">
        <v>5</v>
      </c>
      <c r="V720" s="19">
        <v>244</v>
      </c>
      <c r="W720" s="19">
        <v>35</v>
      </c>
      <c r="X720" s="9">
        <v>87.87</v>
      </c>
      <c r="Y720" s="9">
        <f t="shared" si="133"/>
        <v>114.25999999999999</v>
      </c>
      <c r="Z720" s="5" t="s">
        <v>2291</v>
      </c>
      <c r="AA720" s="5" t="s">
        <v>2299</v>
      </c>
      <c r="AB720" s="9">
        <f t="shared" si="134"/>
        <v>290</v>
      </c>
      <c r="AC720" s="9">
        <f t="shared" si="135"/>
        <v>0</v>
      </c>
      <c r="AD720" s="9">
        <f t="shared" si="136"/>
        <v>290</v>
      </c>
      <c r="AE720" s="9">
        <f t="shared" si="137"/>
        <v>175.74</v>
      </c>
      <c r="AF720" s="9">
        <f t="shared" si="143"/>
        <v>114.25999999999999</v>
      </c>
      <c r="AG720" s="8">
        <f t="shared" si="138"/>
        <v>2024</v>
      </c>
      <c r="AH720" s="8">
        <f t="shared" si="139"/>
        <v>8</v>
      </c>
      <c r="AI720" s="5" t="str">
        <f t="shared" si="140"/>
        <v>Aug</v>
      </c>
      <c r="AJ720" s="5" t="str">
        <f t="shared" si="141"/>
        <v>Wednesday</v>
      </c>
    </row>
    <row r="721" spans="1:36" x14ac:dyDescent="0.3">
      <c r="A721" s="5" t="s">
        <v>755</v>
      </c>
      <c r="B721" s="6">
        <v>45296</v>
      </c>
      <c r="C721" s="7">
        <v>0.84375</v>
      </c>
      <c r="D721" s="5" t="s">
        <v>1854</v>
      </c>
      <c r="E721" s="5" t="s">
        <v>2019</v>
      </c>
      <c r="F721" s="5" t="s">
        <v>2239</v>
      </c>
      <c r="G721" s="5" t="s">
        <v>2253</v>
      </c>
      <c r="H721" s="5" t="s">
        <v>2258</v>
      </c>
      <c r="I721" s="5" t="s">
        <v>2260</v>
      </c>
      <c r="J721" s="5" t="s">
        <v>2266</v>
      </c>
      <c r="K721" s="8">
        <v>1</v>
      </c>
      <c r="L721" s="9">
        <v>85</v>
      </c>
      <c r="M721" s="10">
        <v>0</v>
      </c>
      <c r="N721" s="9">
        <f t="shared" si="142"/>
        <v>85</v>
      </c>
      <c r="O721" s="9">
        <f t="shared" si="132"/>
        <v>85</v>
      </c>
      <c r="P721" s="5" t="s">
        <v>2268</v>
      </c>
      <c r="Q721" s="5" t="s">
        <v>2272</v>
      </c>
      <c r="R721" s="5" t="s">
        <v>2279</v>
      </c>
      <c r="S721" s="5" t="s">
        <v>2281</v>
      </c>
      <c r="T721" s="5" t="s">
        <v>2288</v>
      </c>
      <c r="U721" s="8">
        <v>1</v>
      </c>
      <c r="V721" s="8">
        <v>101</v>
      </c>
      <c r="W721" s="8">
        <v>10</v>
      </c>
      <c r="X721" s="9">
        <v>42.97</v>
      </c>
      <c r="Y721" s="9">
        <f t="shared" si="133"/>
        <v>42.03</v>
      </c>
      <c r="Z721" s="5" t="s">
        <v>1761</v>
      </c>
      <c r="AA721" s="5" t="s">
        <v>2296</v>
      </c>
      <c r="AB721" s="9">
        <f t="shared" si="134"/>
        <v>85</v>
      </c>
      <c r="AC721" s="9">
        <f t="shared" si="135"/>
        <v>0</v>
      </c>
      <c r="AD721" s="9">
        <f t="shared" si="136"/>
        <v>85</v>
      </c>
      <c r="AE721" s="9">
        <f t="shared" si="137"/>
        <v>42.97</v>
      </c>
      <c r="AF721" s="9">
        <f t="shared" si="143"/>
        <v>42.03</v>
      </c>
      <c r="AG721" s="8">
        <f t="shared" si="138"/>
        <v>2024</v>
      </c>
      <c r="AH721" s="8">
        <f t="shared" si="139"/>
        <v>1</v>
      </c>
      <c r="AI721" s="5" t="str">
        <f t="shared" si="140"/>
        <v>Jan</v>
      </c>
      <c r="AJ721" s="5" t="str">
        <f t="shared" si="141"/>
        <v>Friday</v>
      </c>
    </row>
    <row r="722" spans="1:36" x14ac:dyDescent="0.3">
      <c r="A722" s="5" t="s">
        <v>756</v>
      </c>
      <c r="B722" s="6">
        <v>45347</v>
      </c>
      <c r="C722" s="7">
        <v>0.74305555555555558</v>
      </c>
      <c r="D722" s="5" t="s">
        <v>1888</v>
      </c>
      <c r="E722" s="5" t="s">
        <v>2017</v>
      </c>
      <c r="F722" s="5" t="s">
        <v>2240</v>
      </c>
      <c r="G722" s="5" t="s">
        <v>2254</v>
      </c>
      <c r="H722" s="5" t="s">
        <v>2259</v>
      </c>
      <c r="I722" s="5" t="s">
        <v>2263</v>
      </c>
      <c r="J722" s="5" t="s">
        <v>2264</v>
      </c>
      <c r="K722" s="8">
        <v>2</v>
      </c>
      <c r="L722" s="9">
        <v>110</v>
      </c>
      <c r="M722" s="10">
        <v>0.15</v>
      </c>
      <c r="N722" s="9">
        <f t="shared" si="142"/>
        <v>220</v>
      </c>
      <c r="O722" s="9">
        <f t="shared" si="132"/>
        <v>187</v>
      </c>
      <c r="P722" s="5" t="s">
        <v>2269</v>
      </c>
      <c r="Q722" s="5" t="s">
        <v>1761</v>
      </c>
      <c r="R722" s="5" t="s">
        <v>2276</v>
      </c>
      <c r="S722" s="5" t="s">
        <v>2283</v>
      </c>
      <c r="T722" s="5" t="s">
        <v>2288</v>
      </c>
      <c r="U722" s="8">
        <v>4</v>
      </c>
      <c r="V722" s="8">
        <v>483</v>
      </c>
      <c r="W722" s="8">
        <v>27</v>
      </c>
      <c r="X722" s="9">
        <v>49.03</v>
      </c>
      <c r="Y722" s="9">
        <f t="shared" si="133"/>
        <v>88.94</v>
      </c>
      <c r="Z722" s="5" t="s">
        <v>1761</v>
      </c>
      <c r="AA722" s="5" t="s">
        <v>2296</v>
      </c>
      <c r="AB722" s="9">
        <f t="shared" si="134"/>
        <v>220</v>
      </c>
      <c r="AC722" s="9">
        <f t="shared" si="135"/>
        <v>33</v>
      </c>
      <c r="AD722" s="9">
        <f t="shared" si="136"/>
        <v>187</v>
      </c>
      <c r="AE722" s="9">
        <f t="shared" si="137"/>
        <v>98.06</v>
      </c>
      <c r="AF722" s="9">
        <f t="shared" si="143"/>
        <v>88.94</v>
      </c>
      <c r="AG722" s="8">
        <f t="shared" si="138"/>
        <v>2024</v>
      </c>
      <c r="AH722" s="8">
        <f t="shared" si="139"/>
        <v>2</v>
      </c>
      <c r="AI722" s="5" t="str">
        <f t="shared" si="140"/>
        <v>Feb</v>
      </c>
      <c r="AJ722" s="5" t="str">
        <f t="shared" si="141"/>
        <v>Sunday</v>
      </c>
    </row>
    <row r="723" spans="1:36" x14ac:dyDescent="0.3">
      <c r="A723" s="5" t="s">
        <v>757</v>
      </c>
      <c r="B723" s="6">
        <v>45525</v>
      </c>
      <c r="C723" s="7">
        <v>0.51388888888888884</v>
      </c>
      <c r="D723" s="5" t="s">
        <v>1767</v>
      </c>
      <c r="E723" s="5" t="s">
        <v>1761</v>
      </c>
      <c r="F723" s="5" t="s">
        <v>2238</v>
      </c>
      <c r="G723" s="5" t="s">
        <v>2252</v>
      </c>
      <c r="H723" s="5" t="s">
        <v>2257</v>
      </c>
      <c r="I723" s="5" t="s">
        <v>2262</v>
      </c>
      <c r="J723" s="5" t="s">
        <v>2265</v>
      </c>
      <c r="K723" s="8">
        <v>1</v>
      </c>
      <c r="L723" s="9">
        <v>100</v>
      </c>
      <c r="M723" s="10">
        <v>0.1</v>
      </c>
      <c r="N723" s="9">
        <f t="shared" si="142"/>
        <v>100</v>
      </c>
      <c r="O723" s="9">
        <f t="shared" si="132"/>
        <v>90</v>
      </c>
      <c r="P723" s="5" t="s">
        <v>2269</v>
      </c>
      <c r="Q723" s="5" t="s">
        <v>2270</v>
      </c>
      <c r="R723" s="5" t="s">
        <v>2278</v>
      </c>
      <c r="S723" s="5" t="s">
        <v>2282</v>
      </c>
      <c r="T723" s="5" t="s">
        <v>2288</v>
      </c>
      <c r="U723" s="8">
        <v>5</v>
      </c>
      <c r="V723" s="8">
        <v>40</v>
      </c>
      <c r="W723" s="19">
        <v>34</v>
      </c>
      <c r="X723" s="9">
        <v>47.27</v>
      </c>
      <c r="Y723" s="9">
        <f t="shared" si="133"/>
        <v>42.73</v>
      </c>
      <c r="Z723" s="5" t="s">
        <v>1761</v>
      </c>
      <c r="AA723" s="5" t="s">
        <v>2297</v>
      </c>
      <c r="AB723" s="9">
        <f t="shared" si="134"/>
        <v>100</v>
      </c>
      <c r="AC723" s="9">
        <f t="shared" si="135"/>
        <v>10</v>
      </c>
      <c r="AD723" s="9">
        <f t="shared" si="136"/>
        <v>90</v>
      </c>
      <c r="AE723" s="9">
        <f t="shared" si="137"/>
        <v>47.27</v>
      </c>
      <c r="AF723" s="9">
        <f t="shared" si="143"/>
        <v>42.73</v>
      </c>
      <c r="AG723" s="8">
        <f t="shared" si="138"/>
        <v>2024</v>
      </c>
      <c r="AH723" s="8">
        <f t="shared" si="139"/>
        <v>8</v>
      </c>
      <c r="AI723" s="5" t="str">
        <f t="shared" si="140"/>
        <v>Aug</v>
      </c>
      <c r="AJ723" s="5" t="str">
        <f t="shared" si="141"/>
        <v>Wednesday</v>
      </c>
    </row>
    <row r="724" spans="1:36" x14ac:dyDescent="0.3">
      <c r="A724" s="5" t="s">
        <v>758</v>
      </c>
      <c r="B724" s="6">
        <v>45491</v>
      </c>
      <c r="C724" s="7">
        <v>0.30555555555555558</v>
      </c>
      <c r="D724" s="5" t="s">
        <v>1760</v>
      </c>
      <c r="E724" s="5" t="s">
        <v>2199</v>
      </c>
      <c r="F724" s="5" t="s">
        <v>2239</v>
      </c>
      <c r="G724" s="5" t="s">
        <v>2243</v>
      </c>
      <c r="H724" s="5" t="s">
        <v>2258</v>
      </c>
      <c r="I724" s="5" t="s">
        <v>2260</v>
      </c>
      <c r="J724" s="5" t="s">
        <v>2265</v>
      </c>
      <c r="K724" s="8">
        <v>2</v>
      </c>
      <c r="L724" s="9">
        <v>75</v>
      </c>
      <c r="M724" s="10">
        <v>0.1</v>
      </c>
      <c r="N724" s="9">
        <f t="shared" si="142"/>
        <v>150</v>
      </c>
      <c r="O724" s="9">
        <f t="shared" si="132"/>
        <v>135</v>
      </c>
      <c r="P724" s="5" t="s">
        <v>2267</v>
      </c>
      <c r="Q724" s="5" t="s">
        <v>2272</v>
      </c>
      <c r="R724" s="5" t="s">
        <v>2275</v>
      </c>
      <c r="S724" s="5" t="s">
        <v>2287</v>
      </c>
      <c r="T724" s="5" t="s">
        <v>2288</v>
      </c>
      <c r="U724" s="8">
        <v>5</v>
      </c>
      <c r="V724" s="8">
        <v>217</v>
      </c>
      <c r="W724" s="8">
        <v>25</v>
      </c>
      <c r="X724" s="9">
        <v>38.909999999999997</v>
      </c>
      <c r="Y724" s="9">
        <f t="shared" si="133"/>
        <v>57.180000000000007</v>
      </c>
      <c r="Z724" s="5" t="s">
        <v>2294</v>
      </c>
      <c r="AA724" s="5" t="s">
        <v>2296</v>
      </c>
      <c r="AB724" s="9">
        <f t="shared" si="134"/>
        <v>150</v>
      </c>
      <c r="AC724" s="9">
        <f t="shared" si="135"/>
        <v>15</v>
      </c>
      <c r="AD724" s="9">
        <f t="shared" si="136"/>
        <v>135</v>
      </c>
      <c r="AE724" s="9">
        <f t="shared" si="137"/>
        <v>77.819999999999993</v>
      </c>
      <c r="AF724" s="9">
        <f t="shared" si="143"/>
        <v>57.180000000000007</v>
      </c>
      <c r="AG724" s="8">
        <f t="shared" si="138"/>
        <v>2024</v>
      </c>
      <c r="AH724" s="8">
        <f t="shared" si="139"/>
        <v>7</v>
      </c>
      <c r="AI724" s="5" t="str">
        <f t="shared" si="140"/>
        <v>Jul</v>
      </c>
      <c r="AJ724" s="5" t="str">
        <f t="shared" si="141"/>
        <v>Thursday</v>
      </c>
    </row>
    <row r="725" spans="1:36" x14ac:dyDescent="0.3">
      <c r="A725" s="5" t="s">
        <v>759</v>
      </c>
      <c r="B725" s="6">
        <v>45646</v>
      </c>
      <c r="C725" s="7">
        <v>0.57291666666666663</v>
      </c>
      <c r="D725" s="5" t="s">
        <v>1892</v>
      </c>
      <c r="E725" s="5" t="s">
        <v>1979</v>
      </c>
      <c r="F725" s="5" t="s">
        <v>2240</v>
      </c>
      <c r="G725" s="5" t="s">
        <v>2248</v>
      </c>
      <c r="H725" s="5" t="s">
        <v>2257</v>
      </c>
      <c r="I725" s="5" t="s">
        <v>2262</v>
      </c>
      <c r="J725" s="5" t="s">
        <v>2264</v>
      </c>
      <c r="K725" s="8">
        <v>1</v>
      </c>
      <c r="L725" s="9">
        <v>145</v>
      </c>
      <c r="M725" s="10">
        <v>0.1</v>
      </c>
      <c r="N725" s="9">
        <f t="shared" si="142"/>
        <v>145</v>
      </c>
      <c r="O725" s="9">
        <f t="shared" si="132"/>
        <v>130.5</v>
      </c>
      <c r="P725" s="5" t="s">
        <v>1761</v>
      </c>
      <c r="Q725" s="5" t="s">
        <v>1761</v>
      </c>
      <c r="R725" s="5" t="s">
        <v>2273</v>
      </c>
      <c r="S725" s="5" t="s">
        <v>2284</v>
      </c>
      <c r="T725" s="5" t="s">
        <v>2288</v>
      </c>
      <c r="U725" s="8">
        <v>4</v>
      </c>
      <c r="V725" s="8">
        <v>220</v>
      </c>
      <c r="W725" s="8">
        <v>38</v>
      </c>
      <c r="X725" s="9">
        <v>66.069999999999993</v>
      </c>
      <c r="Y725" s="9">
        <f t="shared" si="133"/>
        <v>64.430000000000007</v>
      </c>
      <c r="Z725" s="5" t="s">
        <v>1761</v>
      </c>
      <c r="AA725" s="5" t="s">
        <v>2297</v>
      </c>
      <c r="AB725" s="9">
        <f t="shared" si="134"/>
        <v>145</v>
      </c>
      <c r="AC725" s="9">
        <f t="shared" si="135"/>
        <v>14.5</v>
      </c>
      <c r="AD725" s="9">
        <f t="shared" si="136"/>
        <v>130.5</v>
      </c>
      <c r="AE725" s="9">
        <f t="shared" si="137"/>
        <v>66.069999999999993</v>
      </c>
      <c r="AF725" s="9">
        <f t="shared" si="143"/>
        <v>64.430000000000007</v>
      </c>
      <c r="AG725" s="8">
        <f t="shared" si="138"/>
        <v>2024</v>
      </c>
      <c r="AH725" s="8">
        <f t="shared" si="139"/>
        <v>12</v>
      </c>
      <c r="AI725" s="5" t="str">
        <f t="shared" si="140"/>
        <v>Dec</v>
      </c>
      <c r="AJ725" s="5" t="str">
        <f t="shared" si="141"/>
        <v>Friday</v>
      </c>
    </row>
    <row r="726" spans="1:36" x14ac:dyDescent="0.3">
      <c r="A726" s="5" t="s">
        <v>760</v>
      </c>
      <c r="B726" s="6">
        <v>45332</v>
      </c>
      <c r="C726" s="7">
        <v>0.77083333333333337</v>
      </c>
      <c r="D726" s="5" t="s">
        <v>1774</v>
      </c>
      <c r="E726" s="5" t="s">
        <v>2056</v>
      </c>
      <c r="F726" s="5" t="s">
        <v>2240</v>
      </c>
      <c r="G726" s="5" t="s">
        <v>2249</v>
      </c>
      <c r="H726" s="5" t="s">
        <v>2257</v>
      </c>
      <c r="I726" s="5" t="s">
        <v>2263</v>
      </c>
      <c r="J726" s="5" t="s">
        <v>2264</v>
      </c>
      <c r="K726" s="8">
        <v>1</v>
      </c>
      <c r="L726" s="9">
        <v>160</v>
      </c>
      <c r="M726" s="10">
        <v>0.05</v>
      </c>
      <c r="N726" s="9">
        <f t="shared" si="142"/>
        <v>160</v>
      </c>
      <c r="O726" s="9">
        <f t="shared" si="132"/>
        <v>152</v>
      </c>
      <c r="P726" s="5" t="s">
        <v>2267</v>
      </c>
      <c r="Q726" s="5" t="s">
        <v>2272</v>
      </c>
      <c r="R726" s="5" t="s">
        <v>2273</v>
      </c>
      <c r="S726" s="5" t="s">
        <v>2282</v>
      </c>
      <c r="T726" s="5" t="s">
        <v>2288</v>
      </c>
      <c r="U726" s="8">
        <v>5</v>
      </c>
      <c r="V726" s="8">
        <v>279</v>
      </c>
      <c r="W726" s="8">
        <v>31</v>
      </c>
      <c r="X726" s="9">
        <v>87.24</v>
      </c>
      <c r="Y726" s="9">
        <f t="shared" si="133"/>
        <v>64.760000000000005</v>
      </c>
      <c r="Z726" s="5" t="s">
        <v>2294</v>
      </c>
      <c r="AA726" s="5" t="s">
        <v>2298</v>
      </c>
      <c r="AB726" s="9">
        <f t="shared" si="134"/>
        <v>160</v>
      </c>
      <c r="AC726" s="9">
        <f t="shared" si="135"/>
        <v>8</v>
      </c>
      <c r="AD726" s="9">
        <f t="shared" si="136"/>
        <v>152</v>
      </c>
      <c r="AE726" s="9">
        <f t="shared" si="137"/>
        <v>87.24</v>
      </c>
      <c r="AF726" s="9">
        <f t="shared" si="143"/>
        <v>64.760000000000005</v>
      </c>
      <c r="AG726" s="8">
        <f t="shared" si="138"/>
        <v>2024</v>
      </c>
      <c r="AH726" s="8">
        <f t="shared" si="139"/>
        <v>2</v>
      </c>
      <c r="AI726" s="5" t="str">
        <f t="shared" si="140"/>
        <v>Feb</v>
      </c>
      <c r="AJ726" s="5" t="str">
        <f t="shared" si="141"/>
        <v>Saturday</v>
      </c>
    </row>
    <row r="727" spans="1:36" x14ac:dyDescent="0.3">
      <c r="A727" s="5" t="s">
        <v>761</v>
      </c>
      <c r="B727" s="18">
        <v>45468</v>
      </c>
      <c r="C727" s="7">
        <v>0.79861111111111116</v>
      </c>
      <c r="D727" s="5" t="s">
        <v>1799</v>
      </c>
      <c r="E727" s="5" t="s">
        <v>2127</v>
      </c>
      <c r="F727" s="5" t="s">
        <v>2238</v>
      </c>
      <c r="G727" s="5" t="s">
        <v>2242</v>
      </c>
      <c r="H727" s="5" t="s">
        <v>2258</v>
      </c>
      <c r="I727" s="5" t="s">
        <v>2260</v>
      </c>
      <c r="J727" s="5" t="s">
        <v>2265</v>
      </c>
      <c r="K727" s="19">
        <v>2</v>
      </c>
      <c r="L727" s="9">
        <v>130</v>
      </c>
      <c r="M727" s="10">
        <v>0</v>
      </c>
      <c r="N727" s="9">
        <f t="shared" si="142"/>
        <v>260</v>
      </c>
      <c r="O727" s="9">
        <f t="shared" si="132"/>
        <v>260</v>
      </c>
      <c r="P727" s="5" t="s">
        <v>2269</v>
      </c>
      <c r="Q727" s="5" t="s">
        <v>2272</v>
      </c>
      <c r="R727" s="5" t="s">
        <v>2274</v>
      </c>
      <c r="S727" s="5" t="s">
        <v>2282</v>
      </c>
      <c r="T727" s="5" t="s">
        <v>2288</v>
      </c>
      <c r="U727" s="8">
        <v>3</v>
      </c>
      <c r="V727" s="8">
        <v>166</v>
      </c>
      <c r="W727" s="8">
        <v>34</v>
      </c>
      <c r="X727" s="9">
        <v>61.55</v>
      </c>
      <c r="Y727" s="9">
        <f t="shared" si="133"/>
        <v>136.9</v>
      </c>
      <c r="Z727" s="5" t="s">
        <v>2293</v>
      </c>
      <c r="AA727" s="5" t="s">
        <v>2296</v>
      </c>
      <c r="AB727" s="9">
        <f t="shared" si="134"/>
        <v>260</v>
      </c>
      <c r="AC727" s="9">
        <f t="shared" si="135"/>
        <v>0</v>
      </c>
      <c r="AD727" s="9">
        <f t="shared" si="136"/>
        <v>260</v>
      </c>
      <c r="AE727" s="9">
        <f t="shared" si="137"/>
        <v>123.1</v>
      </c>
      <c r="AF727" s="9">
        <f t="shared" si="143"/>
        <v>136.9</v>
      </c>
      <c r="AG727" s="8">
        <f t="shared" si="138"/>
        <v>2024</v>
      </c>
      <c r="AH727" s="8">
        <f t="shared" si="139"/>
        <v>6</v>
      </c>
      <c r="AI727" s="5" t="str">
        <f t="shared" si="140"/>
        <v>Jun</v>
      </c>
      <c r="AJ727" s="5" t="str">
        <f t="shared" si="141"/>
        <v>Tuesday</v>
      </c>
    </row>
    <row r="728" spans="1:36" x14ac:dyDescent="0.3">
      <c r="A728" s="5" t="s">
        <v>762</v>
      </c>
      <c r="B728" s="6">
        <v>45461</v>
      </c>
      <c r="C728" s="7">
        <v>0.34375</v>
      </c>
      <c r="D728" s="5" t="s">
        <v>1771</v>
      </c>
      <c r="E728" s="5" t="s">
        <v>1966</v>
      </c>
      <c r="F728" s="5" t="s">
        <v>2240</v>
      </c>
      <c r="G728" s="5" t="s">
        <v>2249</v>
      </c>
      <c r="H728" s="5" t="s">
        <v>2257</v>
      </c>
      <c r="I728" s="5" t="s">
        <v>2263</v>
      </c>
      <c r="J728" s="5" t="s">
        <v>2266</v>
      </c>
      <c r="K728" s="8">
        <v>1</v>
      </c>
      <c r="L728" s="9">
        <v>170</v>
      </c>
      <c r="M728" s="10">
        <v>0.05</v>
      </c>
      <c r="N728" s="9">
        <f t="shared" si="142"/>
        <v>170</v>
      </c>
      <c r="O728" s="9">
        <f t="shared" si="132"/>
        <v>161.5</v>
      </c>
      <c r="P728" s="5" t="s">
        <v>2268</v>
      </c>
      <c r="Q728" s="5" t="s">
        <v>2271</v>
      </c>
      <c r="R728" s="5" t="s">
        <v>2278</v>
      </c>
      <c r="S728" s="5" t="s">
        <v>2284</v>
      </c>
      <c r="T728" s="5" t="s">
        <v>2288</v>
      </c>
      <c r="U728" s="8">
        <v>3</v>
      </c>
      <c r="V728" s="8">
        <v>129</v>
      </c>
      <c r="W728" s="8">
        <v>24</v>
      </c>
      <c r="X728" s="9">
        <v>85.07</v>
      </c>
      <c r="Y728" s="9">
        <f t="shared" si="133"/>
        <v>76.430000000000007</v>
      </c>
      <c r="Z728" s="5" t="s">
        <v>1761</v>
      </c>
      <c r="AA728" s="5" t="s">
        <v>2299</v>
      </c>
      <c r="AB728" s="9">
        <f t="shared" si="134"/>
        <v>170</v>
      </c>
      <c r="AC728" s="9">
        <f t="shared" si="135"/>
        <v>8.5</v>
      </c>
      <c r="AD728" s="9">
        <f t="shared" si="136"/>
        <v>161.5</v>
      </c>
      <c r="AE728" s="9">
        <f t="shared" si="137"/>
        <v>85.07</v>
      </c>
      <c r="AF728" s="9">
        <f t="shared" si="143"/>
        <v>76.430000000000007</v>
      </c>
      <c r="AG728" s="8">
        <f t="shared" si="138"/>
        <v>2024</v>
      </c>
      <c r="AH728" s="8">
        <f t="shared" si="139"/>
        <v>6</v>
      </c>
      <c r="AI728" s="5" t="str">
        <f t="shared" si="140"/>
        <v>Jun</v>
      </c>
      <c r="AJ728" s="5" t="str">
        <f t="shared" si="141"/>
        <v>Tuesday</v>
      </c>
    </row>
    <row r="729" spans="1:36" x14ac:dyDescent="0.3">
      <c r="A729" s="5" t="s">
        <v>763</v>
      </c>
      <c r="B729" s="6">
        <v>45493</v>
      </c>
      <c r="C729" s="7">
        <v>0.4375</v>
      </c>
      <c r="D729" s="5" t="s">
        <v>1933</v>
      </c>
      <c r="E729" s="5" t="s">
        <v>2212</v>
      </c>
      <c r="F729" s="5" t="s">
        <v>2240</v>
      </c>
      <c r="G729" s="5" t="s">
        <v>2246</v>
      </c>
      <c r="H729" s="5" t="s">
        <v>2259</v>
      </c>
      <c r="I729" s="5" t="s">
        <v>2262</v>
      </c>
      <c r="J729" s="5" t="s">
        <v>2266</v>
      </c>
      <c r="K729" s="8">
        <v>1</v>
      </c>
      <c r="L729" s="9">
        <v>105</v>
      </c>
      <c r="M729" s="10">
        <v>0.05</v>
      </c>
      <c r="N729" s="9">
        <f t="shared" si="142"/>
        <v>105</v>
      </c>
      <c r="O729" s="9">
        <f t="shared" si="132"/>
        <v>99.75</v>
      </c>
      <c r="P729" s="5" t="s">
        <v>2268</v>
      </c>
      <c r="Q729" s="5" t="s">
        <v>2270</v>
      </c>
      <c r="R729" s="5" t="s">
        <v>2275</v>
      </c>
      <c r="S729" s="5" t="s">
        <v>2286</v>
      </c>
      <c r="T729" s="5" t="s">
        <v>2288</v>
      </c>
      <c r="U729" s="8">
        <v>2</v>
      </c>
      <c r="V729" s="8">
        <v>395</v>
      </c>
      <c r="W729" s="8">
        <v>16</v>
      </c>
      <c r="X729" s="9">
        <v>37.49</v>
      </c>
      <c r="Y729" s="9">
        <f t="shared" si="133"/>
        <v>62.26</v>
      </c>
      <c r="Z729" s="5" t="s">
        <v>2293</v>
      </c>
      <c r="AA729" s="5" t="s">
        <v>2297</v>
      </c>
      <c r="AB729" s="9">
        <f t="shared" si="134"/>
        <v>105</v>
      </c>
      <c r="AC729" s="9">
        <f t="shared" si="135"/>
        <v>5.25</v>
      </c>
      <c r="AD729" s="9">
        <f t="shared" si="136"/>
        <v>99.75</v>
      </c>
      <c r="AE729" s="9">
        <f t="shared" si="137"/>
        <v>37.49</v>
      </c>
      <c r="AF729" s="9">
        <f t="shared" si="143"/>
        <v>62.26</v>
      </c>
      <c r="AG729" s="8">
        <f t="shared" si="138"/>
        <v>2024</v>
      </c>
      <c r="AH729" s="8">
        <f t="shared" si="139"/>
        <v>7</v>
      </c>
      <c r="AI729" s="5" t="str">
        <f t="shared" si="140"/>
        <v>Jul</v>
      </c>
      <c r="AJ729" s="5" t="str">
        <f t="shared" si="141"/>
        <v>Saturday</v>
      </c>
    </row>
    <row r="730" spans="1:36" x14ac:dyDescent="0.3">
      <c r="A730" s="5" t="s">
        <v>764</v>
      </c>
      <c r="B730" s="6">
        <v>45530</v>
      </c>
      <c r="C730" s="7">
        <v>0.70138888888888884</v>
      </c>
      <c r="D730" s="5" t="s">
        <v>1856</v>
      </c>
      <c r="E730" s="5" t="s">
        <v>2122</v>
      </c>
      <c r="F730" s="5" t="s">
        <v>2239</v>
      </c>
      <c r="G730" s="5" t="s">
        <v>2254</v>
      </c>
      <c r="H730" s="5" t="s">
        <v>2259</v>
      </c>
      <c r="I730" s="5" t="s">
        <v>2263</v>
      </c>
      <c r="J730" s="5" t="s">
        <v>2264</v>
      </c>
      <c r="K730" s="8">
        <v>3</v>
      </c>
      <c r="L730" s="9">
        <v>110</v>
      </c>
      <c r="M730" s="10">
        <v>0</v>
      </c>
      <c r="N730" s="9">
        <f t="shared" si="142"/>
        <v>330</v>
      </c>
      <c r="O730" s="9">
        <f t="shared" si="132"/>
        <v>330</v>
      </c>
      <c r="P730" s="5" t="s">
        <v>2269</v>
      </c>
      <c r="Q730" s="5" t="s">
        <v>2271</v>
      </c>
      <c r="R730" s="5" t="s">
        <v>2279</v>
      </c>
      <c r="S730" s="5" t="s">
        <v>2287</v>
      </c>
      <c r="T730" s="5" t="s">
        <v>2288</v>
      </c>
      <c r="U730" s="8">
        <v>5</v>
      </c>
      <c r="V730" s="8">
        <v>99</v>
      </c>
      <c r="W730" s="8">
        <v>39</v>
      </c>
      <c r="X730" s="9">
        <v>64.47</v>
      </c>
      <c r="Y730" s="9">
        <f t="shared" si="133"/>
        <v>136.59</v>
      </c>
      <c r="Z730" s="5" t="s">
        <v>2293</v>
      </c>
      <c r="AA730" s="5" t="s">
        <v>2297</v>
      </c>
      <c r="AB730" s="9">
        <f t="shared" si="134"/>
        <v>330</v>
      </c>
      <c r="AC730" s="9">
        <f t="shared" si="135"/>
        <v>0</v>
      </c>
      <c r="AD730" s="9">
        <f t="shared" si="136"/>
        <v>330</v>
      </c>
      <c r="AE730" s="9">
        <f t="shared" si="137"/>
        <v>193.41</v>
      </c>
      <c r="AF730" s="9">
        <f t="shared" si="143"/>
        <v>136.59</v>
      </c>
      <c r="AG730" s="8">
        <f t="shared" si="138"/>
        <v>2024</v>
      </c>
      <c r="AH730" s="8">
        <f t="shared" si="139"/>
        <v>8</v>
      </c>
      <c r="AI730" s="5" t="str">
        <f t="shared" si="140"/>
        <v>Aug</v>
      </c>
      <c r="AJ730" s="5" t="str">
        <f t="shared" si="141"/>
        <v>Monday</v>
      </c>
    </row>
    <row r="731" spans="1:36" x14ac:dyDescent="0.3">
      <c r="A731" s="5" t="s">
        <v>765</v>
      </c>
      <c r="B731" s="6">
        <v>45475</v>
      </c>
      <c r="C731" s="7">
        <v>0.375</v>
      </c>
      <c r="D731" s="5" t="s">
        <v>1761</v>
      </c>
      <c r="E731" s="5" t="s">
        <v>2187</v>
      </c>
      <c r="F731" s="5" t="s">
        <v>2240</v>
      </c>
      <c r="G731" s="5" t="s">
        <v>2248</v>
      </c>
      <c r="H731" s="5" t="s">
        <v>2257</v>
      </c>
      <c r="I731" s="5" t="s">
        <v>2262</v>
      </c>
      <c r="J731" s="5" t="s">
        <v>2264</v>
      </c>
      <c r="K731" s="8">
        <v>3</v>
      </c>
      <c r="L731" s="9">
        <v>150</v>
      </c>
      <c r="M731" s="10">
        <v>0.15</v>
      </c>
      <c r="N731" s="9">
        <f t="shared" si="142"/>
        <v>450</v>
      </c>
      <c r="O731" s="9">
        <f t="shared" si="132"/>
        <v>382.5</v>
      </c>
      <c r="P731" s="5" t="s">
        <v>2269</v>
      </c>
      <c r="Q731" s="5" t="s">
        <v>2272</v>
      </c>
      <c r="R731" s="5" t="s">
        <v>2275</v>
      </c>
      <c r="S731" s="5" t="s">
        <v>2287</v>
      </c>
      <c r="T731" s="5" t="s">
        <v>2288</v>
      </c>
      <c r="U731" s="8">
        <v>4</v>
      </c>
      <c r="V731" s="8">
        <v>413</v>
      </c>
      <c r="W731" s="8">
        <v>16</v>
      </c>
      <c r="X731" s="9">
        <v>64</v>
      </c>
      <c r="Y731" s="9">
        <f t="shared" si="133"/>
        <v>190.5</v>
      </c>
      <c r="Z731" s="5" t="s">
        <v>1761</v>
      </c>
      <c r="AA731" s="5" t="s">
        <v>2296</v>
      </c>
      <c r="AB731" s="9">
        <f t="shared" si="134"/>
        <v>450</v>
      </c>
      <c r="AC731" s="9">
        <f t="shared" si="135"/>
        <v>67.5</v>
      </c>
      <c r="AD731" s="9">
        <f t="shared" si="136"/>
        <v>382.5</v>
      </c>
      <c r="AE731" s="9">
        <f t="shared" si="137"/>
        <v>192</v>
      </c>
      <c r="AF731" s="9">
        <f t="shared" si="143"/>
        <v>190.5</v>
      </c>
      <c r="AG731" s="8">
        <f t="shared" si="138"/>
        <v>2024</v>
      </c>
      <c r="AH731" s="8">
        <f t="shared" si="139"/>
        <v>7</v>
      </c>
      <c r="AI731" s="5" t="str">
        <f t="shared" si="140"/>
        <v>Jul</v>
      </c>
      <c r="AJ731" s="5" t="str">
        <f t="shared" si="141"/>
        <v>Tuesday</v>
      </c>
    </row>
    <row r="732" spans="1:36" x14ac:dyDescent="0.3">
      <c r="A732" s="5" t="s">
        <v>766</v>
      </c>
      <c r="B732" s="6">
        <v>45635</v>
      </c>
      <c r="C732" s="7">
        <v>0.68055555555555558</v>
      </c>
      <c r="D732" s="5" t="s">
        <v>1753</v>
      </c>
      <c r="E732" s="5" t="s">
        <v>1761</v>
      </c>
      <c r="F732" s="5" t="s">
        <v>2239</v>
      </c>
      <c r="G732" s="5" t="s">
        <v>2253</v>
      </c>
      <c r="H732" s="5" t="s">
        <v>2258</v>
      </c>
      <c r="I732" s="5" t="s">
        <v>2260</v>
      </c>
      <c r="J732" s="5" t="s">
        <v>1761</v>
      </c>
      <c r="K732" s="8">
        <v>2</v>
      </c>
      <c r="L732" s="9">
        <v>100</v>
      </c>
      <c r="M732" s="10">
        <v>0</v>
      </c>
      <c r="N732" s="9">
        <f t="shared" si="142"/>
        <v>200</v>
      </c>
      <c r="O732" s="9">
        <f t="shared" si="132"/>
        <v>200</v>
      </c>
      <c r="P732" s="5" t="s">
        <v>2267</v>
      </c>
      <c r="Q732" s="5" t="s">
        <v>2270</v>
      </c>
      <c r="R732" s="5" t="s">
        <v>2277</v>
      </c>
      <c r="S732" s="5" t="s">
        <v>2284</v>
      </c>
      <c r="T732" s="5" t="s">
        <v>2288</v>
      </c>
      <c r="U732" s="8">
        <v>5</v>
      </c>
      <c r="V732" s="8">
        <v>0</v>
      </c>
      <c r="W732" s="8">
        <v>34</v>
      </c>
      <c r="X732" s="9">
        <v>45.53</v>
      </c>
      <c r="Y732" s="9">
        <f t="shared" si="133"/>
        <v>108.94</v>
      </c>
      <c r="Z732" s="5" t="s">
        <v>1761</v>
      </c>
      <c r="AA732" s="5" t="s">
        <v>2296</v>
      </c>
      <c r="AB732" s="9">
        <f t="shared" si="134"/>
        <v>200</v>
      </c>
      <c r="AC732" s="9">
        <f t="shared" si="135"/>
        <v>0</v>
      </c>
      <c r="AD732" s="9">
        <f t="shared" si="136"/>
        <v>200</v>
      </c>
      <c r="AE732" s="9">
        <f t="shared" si="137"/>
        <v>91.06</v>
      </c>
      <c r="AF732" s="9">
        <f t="shared" si="143"/>
        <v>108.94</v>
      </c>
      <c r="AG732" s="8">
        <f t="shared" si="138"/>
        <v>2024</v>
      </c>
      <c r="AH732" s="8">
        <f t="shared" si="139"/>
        <v>12</v>
      </c>
      <c r="AI732" s="5" t="str">
        <f t="shared" si="140"/>
        <v>Dec</v>
      </c>
      <c r="AJ732" s="5" t="str">
        <f t="shared" si="141"/>
        <v>Monday</v>
      </c>
    </row>
    <row r="733" spans="1:36" x14ac:dyDescent="0.3">
      <c r="A733" s="5" t="s">
        <v>767</v>
      </c>
      <c r="B733" s="6">
        <v>45531</v>
      </c>
      <c r="C733" s="7">
        <v>0.4236111111111111</v>
      </c>
      <c r="D733" s="5" t="s">
        <v>1787</v>
      </c>
      <c r="E733" s="5" t="s">
        <v>2149</v>
      </c>
      <c r="F733" s="5" t="s">
        <v>2238</v>
      </c>
      <c r="G733" s="5" t="s">
        <v>2255</v>
      </c>
      <c r="H733" s="5" t="s">
        <v>2260</v>
      </c>
      <c r="I733" s="5" t="s">
        <v>2260</v>
      </c>
      <c r="J733" s="5" t="s">
        <v>2266</v>
      </c>
      <c r="K733" s="8">
        <v>2</v>
      </c>
      <c r="L733" s="9">
        <v>185</v>
      </c>
      <c r="M733" s="10">
        <v>0.05</v>
      </c>
      <c r="N733" s="9">
        <f t="shared" si="142"/>
        <v>370</v>
      </c>
      <c r="O733" s="9">
        <f t="shared" si="132"/>
        <v>351.5</v>
      </c>
      <c r="P733" s="5" t="s">
        <v>2269</v>
      </c>
      <c r="Q733" s="5" t="s">
        <v>2272</v>
      </c>
      <c r="R733" s="5" t="s">
        <v>2275</v>
      </c>
      <c r="S733" s="5" t="s">
        <v>2284</v>
      </c>
      <c r="T733" s="5" t="s">
        <v>2288</v>
      </c>
      <c r="U733" s="8">
        <v>3</v>
      </c>
      <c r="V733" s="8">
        <v>382</v>
      </c>
      <c r="W733" s="8">
        <v>50</v>
      </c>
      <c r="X733" s="9">
        <v>105.59</v>
      </c>
      <c r="Y733" s="9">
        <f t="shared" si="133"/>
        <v>140.32</v>
      </c>
      <c r="Z733" s="5" t="s">
        <v>1761</v>
      </c>
      <c r="AA733" s="5" t="s">
        <v>2299</v>
      </c>
      <c r="AB733" s="9">
        <f t="shared" si="134"/>
        <v>370</v>
      </c>
      <c r="AC733" s="9">
        <f t="shared" si="135"/>
        <v>18.5</v>
      </c>
      <c r="AD733" s="9">
        <f t="shared" si="136"/>
        <v>351.5</v>
      </c>
      <c r="AE733" s="9">
        <f t="shared" si="137"/>
        <v>211.18</v>
      </c>
      <c r="AF733" s="9">
        <f t="shared" si="143"/>
        <v>140.32</v>
      </c>
      <c r="AG733" s="8">
        <f t="shared" si="138"/>
        <v>2024</v>
      </c>
      <c r="AH733" s="8">
        <f t="shared" si="139"/>
        <v>8</v>
      </c>
      <c r="AI733" s="5" t="str">
        <f t="shared" si="140"/>
        <v>Aug</v>
      </c>
      <c r="AJ733" s="5" t="str">
        <f t="shared" si="141"/>
        <v>Tuesday</v>
      </c>
    </row>
    <row r="734" spans="1:36" x14ac:dyDescent="0.3">
      <c r="A734" s="5" t="s">
        <v>768</v>
      </c>
      <c r="B734" s="6">
        <v>45421</v>
      </c>
      <c r="C734" s="7">
        <v>0.625</v>
      </c>
      <c r="D734" s="5" t="s">
        <v>1846</v>
      </c>
      <c r="E734" s="5" t="s">
        <v>2113</v>
      </c>
      <c r="F734" s="5" t="s">
        <v>2238</v>
      </c>
      <c r="G734" s="5" t="s">
        <v>2250</v>
      </c>
      <c r="H734" s="5" t="s">
        <v>2259</v>
      </c>
      <c r="I734" s="5" t="s">
        <v>2262</v>
      </c>
      <c r="J734" s="5" t="s">
        <v>2265</v>
      </c>
      <c r="K734" s="8">
        <v>1</v>
      </c>
      <c r="L734" s="9">
        <v>85</v>
      </c>
      <c r="M734" s="10">
        <v>0</v>
      </c>
      <c r="N734" s="9">
        <f t="shared" si="142"/>
        <v>85</v>
      </c>
      <c r="O734" s="9">
        <f t="shared" si="132"/>
        <v>85</v>
      </c>
      <c r="P734" s="5" t="s">
        <v>2267</v>
      </c>
      <c r="Q734" s="5" t="s">
        <v>1761</v>
      </c>
      <c r="R734" s="5" t="s">
        <v>2274</v>
      </c>
      <c r="S734" s="5" t="s">
        <v>2287</v>
      </c>
      <c r="T734" s="5" t="s">
        <v>2288</v>
      </c>
      <c r="U734" s="8">
        <v>2</v>
      </c>
      <c r="V734" s="8">
        <v>55</v>
      </c>
      <c r="W734" s="8">
        <v>54</v>
      </c>
      <c r="X734" s="9">
        <v>32.450000000000003</v>
      </c>
      <c r="Y734" s="9">
        <f t="shared" si="133"/>
        <v>52.55</v>
      </c>
      <c r="Z734" s="5" t="s">
        <v>2291</v>
      </c>
      <c r="AA734" s="5" t="s">
        <v>2299</v>
      </c>
      <c r="AB734" s="9">
        <f t="shared" si="134"/>
        <v>85</v>
      </c>
      <c r="AC734" s="9">
        <f t="shared" si="135"/>
        <v>0</v>
      </c>
      <c r="AD734" s="9">
        <f t="shared" si="136"/>
        <v>85</v>
      </c>
      <c r="AE734" s="9">
        <f t="shared" si="137"/>
        <v>32.450000000000003</v>
      </c>
      <c r="AF734" s="9">
        <f t="shared" si="143"/>
        <v>52.55</v>
      </c>
      <c r="AG734" s="8">
        <f t="shared" si="138"/>
        <v>2024</v>
      </c>
      <c r="AH734" s="8">
        <f t="shared" si="139"/>
        <v>5</v>
      </c>
      <c r="AI734" s="5" t="str">
        <f t="shared" si="140"/>
        <v>May</v>
      </c>
      <c r="AJ734" s="5" t="str">
        <f t="shared" si="141"/>
        <v>Thursday</v>
      </c>
    </row>
    <row r="735" spans="1:36" x14ac:dyDescent="0.3">
      <c r="A735" s="5" t="s">
        <v>769</v>
      </c>
      <c r="B735" s="6">
        <v>45434</v>
      </c>
      <c r="C735" s="7">
        <v>0.47916666666666669</v>
      </c>
      <c r="D735" s="5" t="s">
        <v>1872</v>
      </c>
      <c r="E735" s="5" t="s">
        <v>2139</v>
      </c>
      <c r="F735" s="5" t="s">
        <v>2239</v>
      </c>
      <c r="G735" s="5" t="s">
        <v>2243</v>
      </c>
      <c r="H735" s="5" t="s">
        <v>2258</v>
      </c>
      <c r="I735" s="5" t="s">
        <v>2260</v>
      </c>
      <c r="J735" s="5" t="s">
        <v>2264</v>
      </c>
      <c r="K735" s="8">
        <v>1</v>
      </c>
      <c r="L735" s="9">
        <v>80</v>
      </c>
      <c r="M735" s="10">
        <v>0</v>
      </c>
      <c r="N735" s="9">
        <f t="shared" si="142"/>
        <v>80</v>
      </c>
      <c r="O735" s="9">
        <f t="shared" si="132"/>
        <v>80</v>
      </c>
      <c r="P735" s="5" t="s">
        <v>2267</v>
      </c>
      <c r="Q735" s="5" t="s">
        <v>2271</v>
      </c>
      <c r="R735" s="5" t="s">
        <v>2279</v>
      </c>
      <c r="S735" s="5" t="s">
        <v>2280</v>
      </c>
      <c r="T735" s="5" t="s">
        <v>2290</v>
      </c>
      <c r="U735" s="8">
        <v>4</v>
      </c>
      <c r="V735" s="8">
        <v>432</v>
      </c>
      <c r="W735" s="19">
        <v>37</v>
      </c>
      <c r="X735" s="9">
        <v>35.26</v>
      </c>
      <c r="Y735" s="9">
        <f t="shared" si="133"/>
        <v>44.74</v>
      </c>
      <c r="Z735" s="5" t="s">
        <v>2293</v>
      </c>
      <c r="AA735" s="5" t="s">
        <v>2297</v>
      </c>
      <c r="AB735" s="9">
        <f t="shared" si="134"/>
        <v>80</v>
      </c>
      <c r="AC735" s="9">
        <f t="shared" si="135"/>
        <v>0</v>
      </c>
      <c r="AD735" s="9">
        <f t="shared" si="136"/>
        <v>80</v>
      </c>
      <c r="AE735" s="9">
        <f t="shared" si="137"/>
        <v>35.26</v>
      </c>
      <c r="AF735" s="9">
        <f t="shared" si="143"/>
        <v>44.74</v>
      </c>
      <c r="AG735" s="8">
        <f t="shared" si="138"/>
        <v>2024</v>
      </c>
      <c r="AH735" s="8">
        <f t="shared" si="139"/>
        <v>5</v>
      </c>
      <c r="AI735" s="5" t="str">
        <f t="shared" si="140"/>
        <v>May</v>
      </c>
      <c r="AJ735" s="5" t="str">
        <f t="shared" si="141"/>
        <v>Wednesday</v>
      </c>
    </row>
    <row r="736" spans="1:36" x14ac:dyDescent="0.3">
      <c r="A736" s="5" t="s">
        <v>770</v>
      </c>
      <c r="B736" s="6">
        <v>45400</v>
      </c>
      <c r="C736" s="7">
        <v>0.4236111111111111</v>
      </c>
      <c r="D736" s="5" t="s">
        <v>1784</v>
      </c>
      <c r="E736" s="5" t="s">
        <v>2003</v>
      </c>
      <c r="F736" s="5" t="s">
        <v>1761</v>
      </c>
      <c r="G736" s="5" t="s">
        <v>2245</v>
      </c>
      <c r="H736" s="5" t="s">
        <v>2257</v>
      </c>
      <c r="I736" s="5" t="s">
        <v>2263</v>
      </c>
      <c r="J736" s="5" t="s">
        <v>1761</v>
      </c>
      <c r="K736" s="8">
        <v>2</v>
      </c>
      <c r="L736" s="9">
        <v>145</v>
      </c>
      <c r="M736" s="10">
        <v>0</v>
      </c>
      <c r="N736" s="9">
        <f t="shared" si="142"/>
        <v>290</v>
      </c>
      <c r="O736" s="9">
        <f t="shared" si="132"/>
        <v>290</v>
      </c>
      <c r="P736" s="5" t="s">
        <v>2267</v>
      </c>
      <c r="Q736" s="5" t="s">
        <v>1761</v>
      </c>
      <c r="R736" s="5" t="s">
        <v>2279</v>
      </c>
      <c r="S736" s="5" t="s">
        <v>2282</v>
      </c>
      <c r="T736" s="5" t="s">
        <v>2288</v>
      </c>
      <c r="U736" s="8">
        <v>3</v>
      </c>
      <c r="V736" s="8">
        <v>175</v>
      </c>
      <c r="W736" s="8">
        <v>27</v>
      </c>
      <c r="X736" s="9">
        <v>62.48</v>
      </c>
      <c r="Y736" s="9">
        <f t="shared" si="133"/>
        <v>165.04000000000002</v>
      </c>
      <c r="Z736" s="5" t="s">
        <v>1761</v>
      </c>
      <c r="AA736" s="5" t="s">
        <v>2296</v>
      </c>
      <c r="AB736" s="9">
        <f t="shared" si="134"/>
        <v>290</v>
      </c>
      <c r="AC736" s="9">
        <f t="shared" si="135"/>
        <v>0</v>
      </c>
      <c r="AD736" s="9">
        <f t="shared" si="136"/>
        <v>290</v>
      </c>
      <c r="AE736" s="9">
        <f t="shared" si="137"/>
        <v>124.96</v>
      </c>
      <c r="AF736" s="9">
        <f t="shared" si="143"/>
        <v>165.04000000000002</v>
      </c>
      <c r="AG736" s="8">
        <f t="shared" si="138"/>
        <v>2024</v>
      </c>
      <c r="AH736" s="8">
        <f t="shared" si="139"/>
        <v>4</v>
      </c>
      <c r="AI736" s="5" t="str">
        <f t="shared" si="140"/>
        <v>Apr</v>
      </c>
      <c r="AJ736" s="5" t="str">
        <f t="shared" si="141"/>
        <v>Thursday</v>
      </c>
    </row>
    <row r="737" spans="1:36" x14ac:dyDescent="0.3">
      <c r="A737" s="5" t="s">
        <v>771</v>
      </c>
      <c r="B737" s="6">
        <v>45598</v>
      </c>
      <c r="C737" s="7">
        <v>0.40972222222222221</v>
      </c>
      <c r="D737" s="5" t="s">
        <v>1878</v>
      </c>
      <c r="E737" s="5" t="s">
        <v>2197</v>
      </c>
      <c r="F737" s="5" t="s">
        <v>1761</v>
      </c>
      <c r="G737" s="5" t="s">
        <v>2248</v>
      </c>
      <c r="H737" s="5" t="s">
        <v>2257</v>
      </c>
      <c r="I737" s="5" t="s">
        <v>2262</v>
      </c>
      <c r="J737" s="5" t="s">
        <v>2264</v>
      </c>
      <c r="K737" s="8">
        <v>1</v>
      </c>
      <c r="L737" s="9">
        <v>140</v>
      </c>
      <c r="M737" s="10">
        <v>0</v>
      </c>
      <c r="N737" s="9">
        <f t="shared" si="142"/>
        <v>140</v>
      </c>
      <c r="O737" s="9">
        <f t="shared" si="132"/>
        <v>140</v>
      </c>
      <c r="P737" s="5" t="s">
        <v>2268</v>
      </c>
      <c r="Q737" s="5" t="s">
        <v>2270</v>
      </c>
      <c r="R737" s="5" t="s">
        <v>2276</v>
      </c>
      <c r="S737" s="5" t="s">
        <v>2281</v>
      </c>
      <c r="T737" s="5" t="s">
        <v>2290</v>
      </c>
      <c r="U737" s="8">
        <v>1</v>
      </c>
      <c r="V737" s="8">
        <v>39</v>
      </c>
      <c r="W737" s="8">
        <v>24</v>
      </c>
      <c r="X737" s="9">
        <v>75.5</v>
      </c>
      <c r="Y737" s="9">
        <f t="shared" si="133"/>
        <v>64.5</v>
      </c>
      <c r="Z737" s="5" t="s">
        <v>1761</v>
      </c>
      <c r="AA737" s="5" t="s">
        <v>2297</v>
      </c>
      <c r="AB737" s="9">
        <f t="shared" si="134"/>
        <v>140</v>
      </c>
      <c r="AC737" s="9">
        <f t="shared" si="135"/>
        <v>0</v>
      </c>
      <c r="AD737" s="9">
        <f t="shared" si="136"/>
        <v>140</v>
      </c>
      <c r="AE737" s="9">
        <f t="shared" si="137"/>
        <v>75.5</v>
      </c>
      <c r="AF737" s="9">
        <f t="shared" si="143"/>
        <v>64.5</v>
      </c>
      <c r="AG737" s="8">
        <f t="shared" si="138"/>
        <v>2024</v>
      </c>
      <c r="AH737" s="8">
        <f t="shared" si="139"/>
        <v>11</v>
      </c>
      <c r="AI737" s="5" t="str">
        <f t="shared" si="140"/>
        <v>Nov</v>
      </c>
      <c r="AJ737" s="5" t="str">
        <f t="shared" si="141"/>
        <v>Saturday</v>
      </c>
    </row>
    <row r="738" spans="1:36" x14ac:dyDescent="0.3">
      <c r="A738" s="5" t="s">
        <v>772</v>
      </c>
      <c r="B738" s="6">
        <v>45621</v>
      </c>
      <c r="C738" s="7">
        <v>0.3888888888888889</v>
      </c>
      <c r="D738" s="5" t="s">
        <v>1847</v>
      </c>
      <c r="E738" s="5" t="s">
        <v>2213</v>
      </c>
      <c r="F738" s="5" t="s">
        <v>1761</v>
      </c>
      <c r="G738" s="5" t="s">
        <v>2243</v>
      </c>
      <c r="H738" s="5" t="s">
        <v>2258</v>
      </c>
      <c r="I738" s="5" t="s">
        <v>2260</v>
      </c>
      <c r="J738" s="5" t="s">
        <v>2265</v>
      </c>
      <c r="K738" s="8">
        <v>1</v>
      </c>
      <c r="L738" s="9">
        <v>75</v>
      </c>
      <c r="M738" s="10">
        <v>0.05</v>
      </c>
      <c r="N738" s="9">
        <f t="shared" si="142"/>
        <v>75</v>
      </c>
      <c r="O738" s="9">
        <f t="shared" si="132"/>
        <v>71.25</v>
      </c>
      <c r="P738" s="5" t="s">
        <v>2267</v>
      </c>
      <c r="Q738" s="5" t="s">
        <v>2272</v>
      </c>
      <c r="R738" s="5" t="s">
        <v>2273</v>
      </c>
      <c r="S738" s="5" t="s">
        <v>2282</v>
      </c>
      <c r="T738" s="5" t="s">
        <v>2288</v>
      </c>
      <c r="U738" s="8">
        <v>3</v>
      </c>
      <c r="V738" s="8">
        <v>109</v>
      </c>
      <c r="W738" s="8">
        <v>28</v>
      </c>
      <c r="X738" s="9">
        <v>26.15</v>
      </c>
      <c r="Y738" s="9">
        <f t="shared" si="133"/>
        <v>45.1</v>
      </c>
      <c r="Z738" s="5" t="s">
        <v>1761</v>
      </c>
      <c r="AA738" s="5" t="s">
        <v>1761</v>
      </c>
      <c r="AB738" s="9">
        <f t="shared" si="134"/>
        <v>75</v>
      </c>
      <c r="AC738" s="9">
        <f t="shared" si="135"/>
        <v>3.75</v>
      </c>
      <c r="AD738" s="9">
        <f t="shared" si="136"/>
        <v>71.25</v>
      </c>
      <c r="AE738" s="9">
        <f t="shared" si="137"/>
        <v>26.15</v>
      </c>
      <c r="AF738" s="9">
        <f t="shared" si="143"/>
        <v>45.1</v>
      </c>
      <c r="AG738" s="8">
        <f t="shared" si="138"/>
        <v>2024</v>
      </c>
      <c r="AH738" s="8">
        <f t="shared" si="139"/>
        <v>11</v>
      </c>
      <c r="AI738" s="5" t="str">
        <f t="shared" si="140"/>
        <v>Nov</v>
      </c>
      <c r="AJ738" s="5" t="str">
        <f t="shared" si="141"/>
        <v>Monday</v>
      </c>
    </row>
    <row r="739" spans="1:36" x14ac:dyDescent="0.3">
      <c r="A739" s="5" t="s">
        <v>773</v>
      </c>
      <c r="B739" s="6">
        <v>45600</v>
      </c>
      <c r="C739" s="7">
        <v>0.6875</v>
      </c>
      <c r="D739" s="5" t="s">
        <v>1906</v>
      </c>
      <c r="E739" s="5" t="s">
        <v>2077</v>
      </c>
      <c r="F739" s="5" t="s">
        <v>1761</v>
      </c>
      <c r="G739" s="5" t="s">
        <v>2244</v>
      </c>
      <c r="H739" s="5" t="s">
        <v>2257</v>
      </c>
      <c r="I739" s="5" t="s">
        <v>2262</v>
      </c>
      <c r="J739" s="5" t="s">
        <v>2265</v>
      </c>
      <c r="K739" s="8">
        <v>2</v>
      </c>
      <c r="L739" s="9">
        <v>130</v>
      </c>
      <c r="M739" s="10">
        <v>0.1</v>
      </c>
      <c r="N739" s="9">
        <f t="shared" si="142"/>
        <v>260</v>
      </c>
      <c r="O739" s="9">
        <f t="shared" si="132"/>
        <v>234</v>
      </c>
      <c r="P739" s="5" t="s">
        <v>2267</v>
      </c>
      <c r="Q739" s="5" t="s">
        <v>2271</v>
      </c>
      <c r="R739" s="5" t="s">
        <v>2275</v>
      </c>
      <c r="S739" s="5" t="s">
        <v>2283</v>
      </c>
      <c r="T739" s="5" t="s">
        <v>2288</v>
      </c>
      <c r="U739" s="8">
        <v>2</v>
      </c>
      <c r="V739" s="8">
        <v>93</v>
      </c>
      <c r="W739" s="8">
        <v>16</v>
      </c>
      <c r="X739" s="9">
        <v>51.83</v>
      </c>
      <c r="Y739" s="9">
        <f t="shared" si="133"/>
        <v>130.34</v>
      </c>
      <c r="Z739" s="5" t="s">
        <v>2293</v>
      </c>
      <c r="AA739" s="5" t="s">
        <v>2299</v>
      </c>
      <c r="AB739" s="9">
        <f t="shared" si="134"/>
        <v>260</v>
      </c>
      <c r="AC739" s="9">
        <f t="shared" si="135"/>
        <v>26</v>
      </c>
      <c r="AD739" s="9">
        <f t="shared" si="136"/>
        <v>234</v>
      </c>
      <c r="AE739" s="9">
        <f t="shared" si="137"/>
        <v>103.66</v>
      </c>
      <c r="AF739" s="9">
        <f t="shared" si="143"/>
        <v>130.34</v>
      </c>
      <c r="AG739" s="8">
        <f t="shared" si="138"/>
        <v>2024</v>
      </c>
      <c r="AH739" s="8">
        <f t="shared" si="139"/>
        <v>11</v>
      </c>
      <c r="AI739" s="5" t="str">
        <f t="shared" si="140"/>
        <v>Nov</v>
      </c>
      <c r="AJ739" s="5" t="str">
        <f t="shared" si="141"/>
        <v>Monday</v>
      </c>
    </row>
    <row r="740" spans="1:36" x14ac:dyDescent="0.3">
      <c r="A740" s="5" t="s">
        <v>774</v>
      </c>
      <c r="B740" s="6">
        <v>45372</v>
      </c>
      <c r="C740" s="7">
        <v>0.63888888888888884</v>
      </c>
      <c r="D740" s="5" t="s">
        <v>1760</v>
      </c>
      <c r="E740" s="5" t="s">
        <v>2166</v>
      </c>
      <c r="F740" s="5" t="s">
        <v>1761</v>
      </c>
      <c r="G740" s="5" t="s">
        <v>2245</v>
      </c>
      <c r="H740" s="5" t="s">
        <v>2257</v>
      </c>
      <c r="I740" s="5" t="s">
        <v>2263</v>
      </c>
      <c r="J740" s="5" t="s">
        <v>1761</v>
      </c>
      <c r="K740" s="8">
        <v>1</v>
      </c>
      <c r="L740" s="9">
        <v>145</v>
      </c>
      <c r="M740" s="10">
        <v>0</v>
      </c>
      <c r="N740" s="9">
        <f t="shared" si="142"/>
        <v>145</v>
      </c>
      <c r="O740" s="9">
        <f t="shared" si="132"/>
        <v>145</v>
      </c>
      <c r="P740" s="5" t="s">
        <v>2268</v>
      </c>
      <c r="Q740" s="5" t="s">
        <v>2271</v>
      </c>
      <c r="R740" s="5" t="s">
        <v>2279</v>
      </c>
      <c r="S740" s="5" t="s">
        <v>2280</v>
      </c>
      <c r="T740" s="5" t="s">
        <v>2288</v>
      </c>
      <c r="U740" s="8">
        <v>5</v>
      </c>
      <c r="V740" s="8">
        <v>298</v>
      </c>
      <c r="W740" s="8">
        <v>18</v>
      </c>
      <c r="X740" s="9">
        <v>82.15</v>
      </c>
      <c r="Y740" s="9">
        <f t="shared" si="133"/>
        <v>62.849999999999994</v>
      </c>
      <c r="Z740" s="5" t="s">
        <v>2292</v>
      </c>
      <c r="AA740" s="5" t="s">
        <v>2296</v>
      </c>
      <c r="AB740" s="9">
        <f t="shared" si="134"/>
        <v>145</v>
      </c>
      <c r="AC740" s="9">
        <f t="shared" si="135"/>
        <v>0</v>
      </c>
      <c r="AD740" s="9">
        <f t="shared" si="136"/>
        <v>145</v>
      </c>
      <c r="AE740" s="9">
        <f t="shared" si="137"/>
        <v>82.15</v>
      </c>
      <c r="AF740" s="9">
        <f t="shared" si="143"/>
        <v>62.849999999999994</v>
      </c>
      <c r="AG740" s="8">
        <f t="shared" si="138"/>
        <v>2024</v>
      </c>
      <c r="AH740" s="8">
        <f t="shared" si="139"/>
        <v>3</v>
      </c>
      <c r="AI740" s="5" t="str">
        <f t="shared" si="140"/>
        <v>Mar</v>
      </c>
      <c r="AJ740" s="5" t="str">
        <f t="shared" si="141"/>
        <v>Thursday</v>
      </c>
    </row>
    <row r="741" spans="1:36" x14ac:dyDescent="0.3">
      <c r="A741" s="5" t="s">
        <v>775</v>
      </c>
      <c r="B741" s="6">
        <v>45535</v>
      </c>
      <c r="C741" s="7">
        <v>0.34722222222222221</v>
      </c>
      <c r="D741" s="5" t="s">
        <v>1930</v>
      </c>
      <c r="E741" s="5" t="s">
        <v>2149</v>
      </c>
      <c r="F741" s="5" t="s">
        <v>2238</v>
      </c>
      <c r="G741" s="5" t="s">
        <v>2247</v>
      </c>
      <c r="H741" s="5" t="s">
        <v>2257</v>
      </c>
      <c r="I741" s="5" t="s">
        <v>2262</v>
      </c>
      <c r="J741" s="5" t="s">
        <v>2266</v>
      </c>
      <c r="K741" s="8">
        <v>3</v>
      </c>
      <c r="L741" s="9">
        <v>105</v>
      </c>
      <c r="M741" s="10">
        <v>0.1</v>
      </c>
      <c r="N741" s="9">
        <f t="shared" si="142"/>
        <v>315</v>
      </c>
      <c r="O741" s="9">
        <f t="shared" si="132"/>
        <v>283.5</v>
      </c>
      <c r="P741" s="5" t="s">
        <v>2267</v>
      </c>
      <c r="Q741" s="5" t="s">
        <v>2272</v>
      </c>
      <c r="R741" s="5" t="s">
        <v>2276</v>
      </c>
      <c r="S741" s="5" t="s">
        <v>2282</v>
      </c>
      <c r="T741" s="5" t="s">
        <v>2288</v>
      </c>
      <c r="U741" s="19">
        <v>3</v>
      </c>
      <c r="V741" s="8">
        <v>436</v>
      </c>
      <c r="W741" s="8">
        <v>39</v>
      </c>
      <c r="X741" s="9">
        <v>45.7</v>
      </c>
      <c r="Y741" s="9">
        <f t="shared" si="133"/>
        <v>146.39999999999998</v>
      </c>
      <c r="Z741" s="5" t="s">
        <v>2294</v>
      </c>
      <c r="AA741" s="5" t="s">
        <v>2296</v>
      </c>
      <c r="AB741" s="9">
        <f t="shared" si="134"/>
        <v>315</v>
      </c>
      <c r="AC741" s="9">
        <f t="shared" si="135"/>
        <v>31.5</v>
      </c>
      <c r="AD741" s="9">
        <f t="shared" si="136"/>
        <v>283.5</v>
      </c>
      <c r="AE741" s="9">
        <f t="shared" si="137"/>
        <v>137.10000000000002</v>
      </c>
      <c r="AF741" s="9">
        <f t="shared" si="143"/>
        <v>146.39999999999998</v>
      </c>
      <c r="AG741" s="8">
        <f t="shared" si="138"/>
        <v>2024</v>
      </c>
      <c r="AH741" s="8">
        <f t="shared" si="139"/>
        <v>8</v>
      </c>
      <c r="AI741" s="5" t="str">
        <f t="shared" si="140"/>
        <v>Aug</v>
      </c>
      <c r="AJ741" s="5" t="str">
        <f t="shared" si="141"/>
        <v>Saturday</v>
      </c>
    </row>
    <row r="742" spans="1:36" x14ac:dyDescent="0.3">
      <c r="A742" s="5" t="s">
        <v>776</v>
      </c>
      <c r="B742" s="6">
        <v>45617</v>
      </c>
      <c r="C742" s="7">
        <v>0.38541666666666669</v>
      </c>
      <c r="D742" s="5" t="s">
        <v>1913</v>
      </c>
      <c r="E742" s="5" t="s">
        <v>2195</v>
      </c>
      <c r="F742" s="5" t="s">
        <v>2240</v>
      </c>
      <c r="G742" s="5" t="s">
        <v>2245</v>
      </c>
      <c r="H742" s="5" t="s">
        <v>2257</v>
      </c>
      <c r="I742" s="5" t="s">
        <v>2263</v>
      </c>
      <c r="J742" s="5" t="s">
        <v>1761</v>
      </c>
      <c r="K742" s="8">
        <v>1</v>
      </c>
      <c r="L742" s="9">
        <v>150</v>
      </c>
      <c r="M742" s="10">
        <v>0</v>
      </c>
      <c r="N742" s="9">
        <f t="shared" si="142"/>
        <v>150</v>
      </c>
      <c r="O742" s="9">
        <f t="shared" si="132"/>
        <v>150</v>
      </c>
      <c r="P742" s="5" t="s">
        <v>2269</v>
      </c>
      <c r="Q742" s="5" t="s">
        <v>2270</v>
      </c>
      <c r="R742" s="5" t="s">
        <v>2274</v>
      </c>
      <c r="S742" s="5" t="s">
        <v>2280</v>
      </c>
      <c r="T742" s="5" t="s">
        <v>2288</v>
      </c>
      <c r="U742" s="8">
        <v>4</v>
      </c>
      <c r="V742" s="8">
        <v>294</v>
      </c>
      <c r="W742" s="19">
        <v>34</v>
      </c>
      <c r="X742" s="9">
        <v>55.31</v>
      </c>
      <c r="Y742" s="9">
        <f t="shared" si="133"/>
        <v>94.69</v>
      </c>
      <c r="Z742" s="5" t="s">
        <v>1761</v>
      </c>
      <c r="AA742" s="5" t="s">
        <v>2296</v>
      </c>
      <c r="AB742" s="9">
        <f t="shared" si="134"/>
        <v>150</v>
      </c>
      <c r="AC742" s="9">
        <f t="shared" si="135"/>
        <v>0</v>
      </c>
      <c r="AD742" s="9">
        <f t="shared" si="136"/>
        <v>150</v>
      </c>
      <c r="AE742" s="9">
        <f t="shared" si="137"/>
        <v>55.31</v>
      </c>
      <c r="AF742" s="9">
        <f t="shared" si="143"/>
        <v>94.69</v>
      </c>
      <c r="AG742" s="8">
        <f t="shared" si="138"/>
        <v>2024</v>
      </c>
      <c r="AH742" s="8">
        <f t="shared" si="139"/>
        <v>11</v>
      </c>
      <c r="AI742" s="5" t="str">
        <f t="shared" si="140"/>
        <v>Nov</v>
      </c>
      <c r="AJ742" s="5" t="str">
        <f t="shared" si="141"/>
        <v>Thursday</v>
      </c>
    </row>
    <row r="743" spans="1:36" x14ac:dyDescent="0.3">
      <c r="A743" s="5" t="s">
        <v>777</v>
      </c>
      <c r="B743" s="6">
        <v>45616</v>
      </c>
      <c r="C743" s="7">
        <v>0.78472222222222221</v>
      </c>
      <c r="D743" s="5" t="s">
        <v>1903</v>
      </c>
      <c r="E743" s="5" t="s">
        <v>2158</v>
      </c>
      <c r="F743" s="5" t="s">
        <v>2240</v>
      </c>
      <c r="G743" s="5" t="s">
        <v>2255</v>
      </c>
      <c r="H743" s="5" t="s">
        <v>2260</v>
      </c>
      <c r="I743" s="5" t="s">
        <v>2260</v>
      </c>
      <c r="J743" s="5" t="s">
        <v>2264</v>
      </c>
      <c r="K743" s="8">
        <v>1</v>
      </c>
      <c r="L743" s="9">
        <v>180</v>
      </c>
      <c r="M743" s="10">
        <v>0.1</v>
      </c>
      <c r="N743" s="9">
        <f t="shared" si="142"/>
        <v>180</v>
      </c>
      <c r="O743" s="9">
        <f t="shared" si="132"/>
        <v>162</v>
      </c>
      <c r="P743" s="5" t="s">
        <v>2267</v>
      </c>
      <c r="Q743" s="5" t="s">
        <v>2270</v>
      </c>
      <c r="R743" s="5" t="s">
        <v>2276</v>
      </c>
      <c r="S743" s="5" t="s">
        <v>2285</v>
      </c>
      <c r="T743" s="5" t="s">
        <v>2288</v>
      </c>
      <c r="U743" s="8">
        <v>3</v>
      </c>
      <c r="V743" s="8">
        <v>18</v>
      </c>
      <c r="W743" s="8">
        <v>40</v>
      </c>
      <c r="X743" s="9">
        <v>98.89</v>
      </c>
      <c r="Y743" s="9">
        <f t="shared" si="133"/>
        <v>63.11</v>
      </c>
      <c r="Z743" s="5" t="s">
        <v>2292</v>
      </c>
      <c r="AA743" s="5" t="s">
        <v>2297</v>
      </c>
      <c r="AB743" s="9">
        <f t="shared" si="134"/>
        <v>180</v>
      </c>
      <c r="AC743" s="9">
        <f t="shared" si="135"/>
        <v>18</v>
      </c>
      <c r="AD743" s="9">
        <f t="shared" si="136"/>
        <v>162</v>
      </c>
      <c r="AE743" s="9">
        <f t="shared" si="137"/>
        <v>98.89</v>
      </c>
      <c r="AF743" s="9">
        <f t="shared" si="143"/>
        <v>63.11</v>
      </c>
      <c r="AG743" s="8">
        <f t="shared" si="138"/>
        <v>2024</v>
      </c>
      <c r="AH743" s="8">
        <f t="shared" si="139"/>
        <v>11</v>
      </c>
      <c r="AI743" s="5" t="str">
        <f t="shared" si="140"/>
        <v>Nov</v>
      </c>
      <c r="AJ743" s="5" t="str">
        <f t="shared" si="141"/>
        <v>Wednesday</v>
      </c>
    </row>
    <row r="744" spans="1:36" x14ac:dyDescent="0.3">
      <c r="A744" s="5" t="s">
        <v>778</v>
      </c>
      <c r="B744" s="6">
        <v>45296</v>
      </c>
      <c r="C744" s="7">
        <v>0.34375</v>
      </c>
      <c r="D744" s="5" t="s">
        <v>1916</v>
      </c>
      <c r="E744" s="5" t="s">
        <v>2209</v>
      </c>
      <c r="F744" s="5" t="s">
        <v>1761</v>
      </c>
      <c r="G744" s="5" t="s">
        <v>2242</v>
      </c>
      <c r="H744" s="5" t="s">
        <v>2258</v>
      </c>
      <c r="I744" s="5" t="s">
        <v>2260</v>
      </c>
      <c r="J744" s="5" t="s">
        <v>2264</v>
      </c>
      <c r="K744" s="8">
        <v>2</v>
      </c>
      <c r="L744" s="9">
        <v>120</v>
      </c>
      <c r="M744" s="10">
        <v>0</v>
      </c>
      <c r="N744" s="9">
        <f t="shared" si="142"/>
        <v>240</v>
      </c>
      <c r="O744" s="9">
        <f t="shared" si="132"/>
        <v>240</v>
      </c>
      <c r="P744" s="5" t="s">
        <v>2267</v>
      </c>
      <c r="Q744" s="5" t="s">
        <v>2272</v>
      </c>
      <c r="R744" s="5" t="s">
        <v>2273</v>
      </c>
      <c r="S744" s="5" t="s">
        <v>2283</v>
      </c>
      <c r="T744" s="5" t="s">
        <v>2288</v>
      </c>
      <c r="U744" s="8">
        <v>5</v>
      </c>
      <c r="V744" s="8">
        <v>74</v>
      </c>
      <c r="W744" s="8">
        <v>15</v>
      </c>
      <c r="X744" s="9">
        <v>58.57</v>
      </c>
      <c r="Y744" s="9">
        <f t="shared" si="133"/>
        <v>122.86</v>
      </c>
      <c r="Z744" s="5" t="s">
        <v>2293</v>
      </c>
      <c r="AA744" s="5" t="s">
        <v>2296</v>
      </c>
      <c r="AB744" s="9">
        <f t="shared" si="134"/>
        <v>240</v>
      </c>
      <c r="AC744" s="9">
        <f t="shared" si="135"/>
        <v>0</v>
      </c>
      <c r="AD744" s="9">
        <f t="shared" si="136"/>
        <v>240</v>
      </c>
      <c r="AE744" s="9">
        <f t="shared" si="137"/>
        <v>117.14</v>
      </c>
      <c r="AF744" s="9">
        <f t="shared" si="143"/>
        <v>122.86</v>
      </c>
      <c r="AG744" s="8">
        <f t="shared" si="138"/>
        <v>2024</v>
      </c>
      <c r="AH744" s="8">
        <f t="shared" si="139"/>
        <v>1</v>
      </c>
      <c r="AI744" s="5" t="str">
        <f t="shared" si="140"/>
        <v>Jan</v>
      </c>
      <c r="AJ744" s="5" t="str">
        <f t="shared" si="141"/>
        <v>Friday</v>
      </c>
    </row>
    <row r="745" spans="1:36" x14ac:dyDescent="0.3">
      <c r="A745" s="5" t="s">
        <v>779</v>
      </c>
      <c r="B745" s="6">
        <v>45421</v>
      </c>
      <c r="C745" s="7">
        <v>0.80208333333333337</v>
      </c>
      <c r="D745" s="5" t="s">
        <v>1917</v>
      </c>
      <c r="E745" s="5" t="s">
        <v>2068</v>
      </c>
      <c r="F745" s="5" t="s">
        <v>2240</v>
      </c>
      <c r="G745" s="5" t="s">
        <v>2244</v>
      </c>
      <c r="H745" s="5" t="s">
        <v>2257</v>
      </c>
      <c r="I745" s="5" t="s">
        <v>2262</v>
      </c>
      <c r="J745" s="5" t="s">
        <v>2266</v>
      </c>
      <c r="K745" s="8">
        <v>1</v>
      </c>
      <c r="L745" s="9">
        <v>125</v>
      </c>
      <c r="M745" s="10">
        <v>0.05</v>
      </c>
      <c r="N745" s="9">
        <f t="shared" si="142"/>
        <v>125</v>
      </c>
      <c r="O745" s="9">
        <f t="shared" si="132"/>
        <v>118.75</v>
      </c>
      <c r="P745" s="5" t="s">
        <v>2269</v>
      </c>
      <c r="Q745" s="5" t="s">
        <v>1761</v>
      </c>
      <c r="R745" s="5" t="s">
        <v>2276</v>
      </c>
      <c r="S745" s="5" t="s">
        <v>2286</v>
      </c>
      <c r="T745" s="5" t="s">
        <v>2288</v>
      </c>
      <c r="U745" s="8">
        <v>5</v>
      </c>
      <c r="V745" s="8">
        <v>72</v>
      </c>
      <c r="W745" s="8">
        <v>24</v>
      </c>
      <c r="X745" s="9">
        <v>52.08</v>
      </c>
      <c r="Y745" s="9">
        <f t="shared" si="133"/>
        <v>66.67</v>
      </c>
      <c r="Z745" s="5" t="s">
        <v>1761</v>
      </c>
      <c r="AA745" s="5" t="s">
        <v>1761</v>
      </c>
      <c r="AB745" s="9">
        <f t="shared" si="134"/>
        <v>125</v>
      </c>
      <c r="AC745" s="9">
        <f t="shared" si="135"/>
        <v>6.25</v>
      </c>
      <c r="AD745" s="9">
        <f t="shared" si="136"/>
        <v>118.75</v>
      </c>
      <c r="AE745" s="9">
        <f t="shared" si="137"/>
        <v>52.08</v>
      </c>
      <c r="AF745" s="9">
        <f t="shared" si="143"/>
        <v>66.67</v>
      </c>
      <c r="AG745" s="8">
        <f t="shared" si="138"/>
        <v>2024</v>
      </c>
      <c r="AH745" s="8">
        <f t="shared" si="139"/>
        <v>5</v>
      </c>
      <c r="AI745" s="5" t="str">
        <f t="shared" si="140"/>
        <v>May</v>
      </c>
      <c r="AJ745" s="5" t="str">
        <f t="shared" si="141"/>
        <v>Thursday</v>
      </c>
    </row>
    <row r="746" spans="1:36" x14ac:dyDescent="0.3">
      <c r="A746" s="5" t="s">
        <v>780</v>
      </c>
      <c r="B746" s="6">
        <v>45654</v>
      </c>
      <c r="C746" s="7">
        <v>0.88888888888888884</v>
      </c>
      <c r="D746" s="5" t="s">
        <v>1918</v>
      </c>
      <c r="E746" s="5" t="s">
        <v>2214</v>
      </c>
      <c r="F746" s="5" t="s">
        <v>1761</v>
      </c>
      <c r="G746" s="5" t="s">
        <v>2254</v>
      </c>
      <c r="H746" s="5" t="s">
        <v>2259</v>
      </c>
      <c r="I746" s="5" t="s">
        <v>2263</v>
      </c>
      <c r="J746" s="5" t="s">
        <v>2266</v>
      </c>
      <c r="K746" s="8">
        <v>1</v>
      </c>
      <c r="L746" s="9">
        <v>110</v>
      </c>
      <c r="M746" s="10">
        <v>0</v>
      </c>
      <c r="N746" s="9">
        <f t="shared" si="142"/>
        <v>110</v>
      </c>
      <c r="O746" s="9">
        <f t="shared" si="132"/>
        <v>110</v>
      </c>
      <c r="P746" s="5" t="s">
        <v>2269</v>
      </c>
      <c r="Q746" s="5" t="s">
        <v>2270</v>
      </c>
      <c r="R746" s="5" t="s">
        <v>2279</v>
      </c>
      <c r="S746" s="5" t="s">
        <v>2285</v>
      </c>
      <c r="T746" s="5" t="s">
        <v>2288</v>
      </c>
      <c r="U746" s="8">
        <v>5</v>
      </c>
      <c r="V746" s="8">
        <v>251</v>
      </c>
      <c r="W746" s="8">
        <v>15</v>
      </c>
      <c r="X746" s="9">
        <v>40.799999999999997</v>
      </c>
      <c r="Y746" s="9">
        <f t="shared" si="133"/>
        <v>69.2</v>
      </c>
      <c r="Z746" s="5" t="s">
        <v>2293</v>
      </c>
      <c r="AA746" s="5" t="s">
        <v>2298</v>
      </c>
      <c r="AB746" s="9">
        <f t="shared" si="134"/>
        <v>110</v>
      </c>
      <c r="AC746" s="9">
        <f t="shared" si="135"/>
        <v>0</v>
      </c>
      <c r="AD746" s="9">
        <f t="shared" si="136"/>
        <v>110</v>
      </c>
      <c r="AE746" s="9">
        <f t="shared" si="137"/>
        <v>40.799999999999997</v>
      </c>
      <c r="AF746" s="9">
        <f t="shared" si="143"/>
        <v>69.2</v>
      </c>
      <c r="AG746" s="8">
        <f t="shared" si="138"/>
        <v>2024</v>
      </c>
      <c r="AH746" s="8">
        <f t="shared" si="139"/>
        <v>12</v>
      </c>
      <c r="AI746" s="5" t="str">
        <f t="shared" si="140"/>
        <v>Dec</v>
      </c>
      <c r="AJ746" s="5" t="str">
        <f t="shared" si="141"/>
        <v>Saturday</v>
      </c>
    </row>
    <row r="747" spans="1:36" x14ac:dyDescent="0.3">
      <c r="A747" s="5" t="s">
        <v>781</v>
      </c>
      <c r="B747" s="6">
        <v>45594</v>
      </c>
      <c r="C747" s="7">
        <v>0.38194444444444442</v>
      </c>
      <c r="D747" s="5" t="s">
        <v>1837</v>
      </c>
      <c r="E747" s="5" t="s">
        <v>2043</v>
      </c>
      <c r="F747" s="5" t="s">
        <v>2240</v>
      </c>
      <c r="G747" s="5" t="s">
        <v>2255</v>
      </c>
      <c r="H747" s="5" t="s">
        <v>2260</v>
      </c>
      <c r="I747" s="5" t="s">
        <v>2260</v>
      </c>
      <c r="J747" s="5" t="s">
        <v>2265</v>
      </c>
      <c r="K747" s="8">
        <v>2</v>
      </c>
      <c r="L747" s="9">
        <v>175</v>
      </c>
      <c r="M747" s="10">
        <v>0.1</v>
      </c>
      <c r="N747" s="9">
        <f t="shared" si="142"/>
        <v>350</v>
      </c>
      <c r="O747" s="9">
        <f t="shared" si="132"/>
        <v>315</v>
      </c>
      <c r="P747" s="5" t="s">
        <v>2268</v>
      </c>
      <c r="Q747" s="5" t="s">
        <v>2270</v>
      </c>
      <c r="R747" s="5" t="s">
        <v>2278</v>
      </c>
      <c r="S747" s="5" t="s">
        <v>2285</v>
      </c>
      <c r="T747" s="5" t="s">
        <v>2290</v>
      </c>
      <c r="U747" s="8">
        <v>2</v>
      </c>
      <c r="V747" s="8">
        <v>308</v>
      </c>
      <c r="W747" s="8">
        <v>18</v>
      </c>
      <c r="X747" s="9">
        <v>103.83</v>
      </c>
      <c r="Y747" s="9">
        <f t="shared" si="133"/>
        <v>107.34</v>
      </c>
      <c r="Z747" s="5" t="s">
        <v>2291</v>
      </c>
      <c r="AA747" s="5" t="s">
        <v>2299</v>
      </c>
      <c r="AB747" s="9">
        <f t="shared" si="134"/>
        <v>350</v>
      </c>
      <c r="AC747" s="9">
        <f t="shared" si="135"/>
        <v>35</v>
      </c>
      <c r="AD747" s="9">
        <f t="shared" si="136"/>
        <v>315</v>
      </c>
      <c r="AE747" s="9">
        <f t="shared" si="137"/>
        <v>207.66</v>
      </c>
      <c r="AF747" s="9">
        <f t="shared" si="143"/>
        <v>107.34</v>
      </c>
      <c r="AG747" s="8">
        <f t="shared" si="138"/>
        <v>2024</v>
      </c>
      <c r="AH747" s="8">
        <f t="shared" si="139"/>
        <v>10</v>
      </c>
      <c r="AI747" s="5" t="str">
        <f t="shared" si="140"/>
        <v>Oct</v>
      </c>
      <c r="AJ747" s="5" t="str">
        <f t="shared" si="141"/>
        <v>Tuesday</v>
      </c>
    </row>
    <row r="748" spans="1:36" x14ac:dyDescent="0.3">
      <c r="A748" s="5" t="s">
        <v>782</v>
      </c>
      <c r="B748" s="6">
        <v>45465</v>
      </c>
      <c r="C748" s="7">
        <v>0.85416666666666663</v>
      </c>
      <c r="D748" s="5" t="s">
        <v>1829</v>
      </c>
      <c r="E748" s="5" t="s">
        <v>2171</v>
      </c>
      <c r="F748" s="5" t="s">
        <v>2240</v>
      </c>
      <c r="G748" s="5" t="s">
        <v>2255</v>
      </c>
      <c r="H748" s="5" t="s">
        <v>2260</v>
      </c>
      <c r="I748" s="5" t="s">
        <v>2260</v>
      </c>
      <c r="J748" s="5" t="s">
        <v>2266</v>
      </c>
      <c r="K748" s="8">
        <v>1</v>
      </c>
      <c r="L748" s="9">
        <v>190</v>
      </c>
      <c r="M748" s="10">
        <v>0</v>
      </c>
      <c r="N748" s="9">
        <f t="shared" si="142"/>
        <v>190</v>
      </c>
      <c r="O748" s="9">
        <f t="shared" si="132"/>
        <v>190</v>
      </c>
      <c r="P748" s="5" t="s">
        <v>2269</v>
      </c>
      <c r="Q748" s="5" t="s">
        <v>2270</v>
      </c>
      <c r="R748" s="5" t="s">
        <v>2276</v>
      </c>
      <c r="S748" s="5" t="s">
        <v>2281</v>
      </c>
      <c r="T748" s="5" t="s">
        <v>2289</v>
      </c>
      <c r="U748" s="8">
        <v>5</v>
      </c>
      <c r="V748" s="8">
        <v>500</v>
      </c>
      <c r="W748" s="8">
        <v>20</v>
      </c>
      <c r="X748" s="9">
        <v>73.22</v>
      </c>
      <c r="Y748" s="9">
        <f t="shared" si="133"/>
        <v>116.78</v>
      </c>
      <c r="Z748" s="5" t="s">
        <v>1761</v>
      </c>
      <c r="AA748" s="5" t="s">
        <v>2298</v>
      </c>
      <c r="AB748" s="9">
        <f t="shared" si="134"/>
        <v>190</v>
      </c>
      <c r="AC748" s="9">
        <f t="shared" si="135"/>
        <v>0</v>
      </c>
      <c r="AD748" s="9">
        <f t="shared" si="136"/>
        <v>190</v>
      </c>
      <c r="AE748" s="9">
        <f t="shared" si="137"/>
        <v>73.22</v>
      </c>
      <c r="AF748" s="9">
        <f t="shared" si="143"/>
        <v>116.78</v>
      </c>
      <c r="AG748" s="8">
        <f t="shared" si="138"/>
        <v>2024</v>
      </c>
      <c r="AH748" s="8">
        <f t="shared" si="139"/>
        <v>6</v>
      </c>
      <c r="AI748" s="5" t="str">
        <f t="shared" si="140"/>
        <v>Jun</v>
      </c>
      <c r="AJ748" s="5" t="str">
        <f t="shared" si="141"/>
        <v>Saturday</v>
      </c>
    </row>
    <row r="749" spans="1:36" x14ac:dyDescent="0.3">
      <c r="A749" s="5" t="s">
        <v>783</v>
      </c>
      <c r="B749" s="6">
        <v>45415</v>
      </c>
      <c r="C749" s="7">
        <v>0.34375</v>
      </c>
      <c r="D749" s="5" t="s">
        <v>1820</v>
      </c>
      <c r="E749" s="5" t="s">
        <v>2083</v>
      </c>
      <c r="F749" s="5" t="s">
        <v>2240</v>
      </c>
      <c r="G749" s="5" t="s">
        <v>2246</v>
      </c>
      <c r="H749" s="5" t="s">
        <v>2259</v>
      </c>
      <c r="I749" s="5" t="s">
        <v>2262</v>
      </c>
      <c r="J749" s="5" t="s">
        <v>2264</v>
      </c>
      <c r="K749" s="8">
        <v>1</v>
      </c>
      <c r="L749" s="9">
        <v>95</v>
      </c>
      <c r="M749" s="10">
        <v>0.05</v>
      </c>
      <c r="N749" s="9">
        <f t="shared" si="142"/>
        <v>95</v>
      </c>
      <c r="O749" s="9">
        <f t="shared" si="132"/>
        <v>90.25</v>
      </c>
      <c r="P749" s="5" t="s">
        <v>2268</v>
      </c>
      <c r="Q749" s="5" t="s">
        <v>2272</v>
      </c>
      <c r="R749" s="5" t="s">
        <v>2278</v>
      </c>
      <c r="S749" s="5" t="s">
        <v>2282</v>
      </c>
      <c r="T749" s="5" t="s">
        <v>2288</v>
      </c>
      <c r="U749" s="8">
        <v>5</v>
      </c>
      <c r="V749" s="8">
        <v>384</v>
      </c>
      <c r="W749" s="8">
        <v>23</v>
      </c>
      <c r="X749" s="9">
        <v>47.75</v>
      </c>
      <c r="Y749" s="9">
        <f t="shared" si="133"/>
        <v>42.5</v>
      </c>
      <c r="Z749" s="5" t="s">
        <v>2294</v>
      </c>
      <c r="AA749" s="5" t="s">
        <v>1761</v>
      </c>
      <c r="AB749" s="9">
        <f t="shared" si="134"/>
        <v>95</v>
      </c>
      <c r="AC749" s="9">
        <f t="shared" si="135"/>
        <v>4.75</v>
      </c>
      <c r="AD749" s="9">
        <f t="shared" si="136"/>
        <v>90.25</v>
      </c>
      <c r="AE749" s="9">
        <f t="shared" si="137"/>
        <v>47.75</v>
      </c>
      <c r="AF749" s="9">
        <f t="shared" si="143"/>
        <v>42.5</v>
      </c>
      <c r="AG749" s="8">
        <f t="shared" si="138"/>
        <v>2024</v>
      </c>
      <c r="AH749" s="8">
        <f t="shared" si="139"/>
        <v>5</v>
      </c>
      <c r="AI749" s="5" t="str">
        <f t="shared" si="140"/>
        <v>May</v>
      </c>
      <c r="AJ749" s="5" t="str">
        <f t="shared" si="141"/>
        <v>Friday</v>
      </c>
    </row>
    <row r="750" spans="1:36" x14ac:dyDescent="0.3">
      <c r="A750" s="5" t="s">
        <v>784</v>
      </c>
      <c r="B750" s="6">
        <v>45438</v>
      </c>
      <c r="C750" s="7">
        <v>0.63888888888888884</v>
      </c>
      <c r="D750" s="5" t="s">
        <v>1827</v>
      </c>
      <c r="E750" s="5" t="s">
        <v>2032</v>
      </c>
      <c r="F750" s="5" t="s">
        <v>2239</v>
      </c>
      <c r="G750" s="5" t="s">
        <v>2253</v>
      </c>
      <c r="H750" s="5" t="s">
        <v>2258</v>
      </c>
      <c r="I750" s="5" t="s">
        <v>2260</v>
      </c>
      <c r="J750" s="5" t="s">
        <v>2266</v>
      </c>
      <c r="K750" s="8">
        <v>2</v>
      </c>
      <c r="L750" s="9">
        <v>85</v>
      </c>
      <c r="M750" s="10">
        <v>0.15</v>
      </c>
      <c r="N750" s="9">
        <f t="shared" si="142"/>
        <v>170</v>
      </c>
      <c r="O750" s="9">
        <f t="shared" si="132"/>
        <v>144.5</v>
      </c>
      <c r="P750" s="5" t="s">
        <v>2267</v>
      </c>
      <c r="Q750" s="5" t="s">
        <v>2270</v>
      </c>
      <c r="R750" s="5" t="s">
        <v>2273</v>
      </c>
      <c r="S750" s="5" t="s">
        <v>2284</v>
      </c>
      <c r="T750" s="5" t="s">
        <v>2290</v>
      </c>
      <c r="U750" s="8">
        <v>4</v>
      </c>
      <c r="V750" s="8">
        <v>468</v>
      </c>
      <c r="W750" s="8">
        <v>15</v>
      </c>
      <c r="X750" s="9">
        <v>49.22</v>
      </c>
      <c r="Y750" s="9">
        <f t="shared" si="133"/>
        <v>46.06</v>
      </c>
      <c r="Z750" s="5" t="s">
        <v>2292</v>
      </c>
      <c r="AA750" s="5" t="s">
        <v>2297</v>
      </c>
      <c r="AB750" s="9">
        <f t="shared" si="134"/>
        <v>170</v>
      </c>
      <c r="AC750" s="9">
        <f t="shared" si="135"/>
        <v>25.5</v>
      </c>
      <c r="AD750" s="9">
        <f t="shared" si="136"/>
        <v>144.5</v>
      </c>
      <c r="AE750" s="9">
        <f t="shared" si="137"/>
        <v>98.44</v>
      </c>
      <c r="AF750" s="9">
        <f t="shared" si="143"/>
        <v>46.06</v>
      </c>
      <c r="AG750" s="8">
        <f t="shared" si="138"/>
        <v>2024</v>
      </c>
      <c r="AH750" s="8">
        <f t="shared" si="139"/>
        <v>5</v>
      </c>
      <c r="AI750" s="5" t="str">
        <f t="shared" si="140"/>
        <v>May</v>
      </c>
      <c r="AJ750" s="5" t="str">
        <f t="shared" si="141"/>
        <v>Sunday</v>
      </c>
    </row>
    <row r="751" spans="1:36" x14ac:dyDescent="0.3">
      <c r="A751" s="5" t="s">
        <v>785</v>
      </c>
      <c r="B751" s="6">
        <v>45379</v>
      </c>
      <c r="C751" s="7">
        <v>0.89583333333333337</v>
      </c>
      <c r="D751" s="5" t="s">
        <v>1834</v>
      </c>
      <c r="E751" s="5" t="s">
        <v>2032</v>
      </c>
      <c r="F751" s="5" t="s">
        <v>2240</v>
      </c>
      <c r="G751" s="5" t="s">
        <v>2251</v>
      </c>
      <c r="H751" s="5" t="s">
        <v>2258</v>
      </c>
      <c r="I751" s="5" t="s">
        <v>2260</v>
      </c>
      <c r="J751" s="5" t="s">
        <v>2264</v>
      </c>
      <c r="K751" s="8">
        <v>2</v>
      </c>
      <c r="L751" s="9">
        <v>95</v>
      </c>
      <c r="M751" s="10">
        <v>0.1</v>
      </c>
      <c r="N751" s="9">
        <f t="shared" si="142"/>
        <v>190</v>
      </c>
      <c r="O751" s="9">
        <f t="shared" si="132"/>
        <v>171</v>
      </c>
      <c r="P751" s="5" t="s">
        <v>2269</v>
      </c>
      <c r="Q751" s="5" t="s">
        <v>2271</v>
      </c>
      <c r="R751" s="5" t="s">
        <v>2273</v>
      </c>
      <c r="S751" s="5" t="s">
        <v>2280</v>
      </c>
      <c r="T751" s="5" t="s">
        <v>2288</v>
      </c>
      <c r="U751" s="8">
        <v>1</v>
      </c>
      <c r="V751" s="8">
        <v>260</v>
      </c>
      <c r="W751" s="8">
        <v>11</v>
      </c>
      <c r="X751" s="9">
        <v>48.91</v>
      </c>
      <c r="Y751" s="9">
        <f t="shared" si="133"/>
        <v>73.180000000000007</v>
      </c>
      <c r="Z751" s="5" t="s">
        <v>2292</v>
      </c>
      <c r="AA751" s="5" t="s">
        <v>2297</v>
      </c>
      <c r="AB751" s="9">
        <f t="shared" si="134"/>
        <v>190</v>
      </c>
      <c r="AC751" s="9">
        <f t="shared" si="135"/>
        <v>19</v>
      </c>
      <c r="AD751" s="9">
        <f t="shared" si="136"/>
        <v>171</v>
      </c>
      <c r="AE751" s="9">
        <f t="shared" si="137"/>
        <v>97.82</v>
      </c>
      <c r="AF751" s="9">
        <f t="shared" si="143"/>
        <v>73.180000000000007</v>
      </c>
      <c r="AG751" s="8">
        <f t="shared" si="138"/>
        <v>2024</v>
      </c>
      <c r="AH751" s="8">
        <f t="shared" si="139"/>
        <v>3</v>
      </c>
      <c r="AI751" s="5" t="str">
        <f t="shared" si="140"/>
        <v>Mar</v>
      </c>
      <c r="AJ751" s="5" t="str">
        <f t="shared" si="141"/>
        <v>Thursday</v>
      </c>
    </row>
    <row r="752" spans="1:36" x14ac:dyDescent="0.3">
      <c r="A752" s="5" t="s">
        <v>786</v>
      </c>
      <c r="B752" s="6">
        <v>45627</v>
      </c>
      <c r="C752" s="7">
        <v>0.34375</v>
      </c>
      <c r="D752" s="5" t="s">
        <v>1750</v>
      </c>
      <c r="E752" s="5" t="s">
        <v>1946</v>
      </c>
      <c r="F752" s="5" t="s">
        <v>2240</v>
      </c>
      <c r="G752" s="5" t="s">
        <v>2241</v>
      </c>
      <c r="H752" s="5" t="s">
        <v>2257</v>
      </c>
      <c r="I752" s="5" t="s">
        <v>2262</v>
      </c>
      <c r="J752" s="5" t="s">
        <v>1761</v>
      </c>
      <c r="K752" s="8">
        <v>1</v>
      </c>
      <c r="L752" s="9">
        <v>135</v>
      </c>
      <c r="M752" s="10">
        <v>0</v>
      </c>
      <c r="N752" s="9">
        <f t="shared" si="142"/>
        <v>135</v>
      </c>
      <c r="O752" s="9">
        <f t="shared" si="132"/>
        <v>135</v>
      </c>
      <c r="P752" s="5" t="s">
        <v>2269</v>
      </c>
      <c r="Q752" s="5" t="s">
        <v>2272</v>
      </c>
      <c r="R752" s="5" t="s">
        <v>2273</v>
      </c>
      <c r="S752" s="5" t="s">
        <v>2282</v>
      </c>
      <c r="T752" s="5" t="s">
        <v>2290</v>
      </c>
      <c r="U752" s="8">
        <v>5</v>
      </c>
      <c r="V752" s="8">
        <v>95</v>
      </c>
      <c r="W752" s="8">
        <v>15</v>
      </c>
      <c r="X752" s="9">
        <v>59.29</v>
      </c>
      <c r="Y752" s="9">
        <f t="shared" si="133"/>
        <v>75.710000000000008</v>
      </c>
      <c r="Z752" s="5" t="s">
        <v>2291</v>
      </c>
      <c r="AA752" s="5" t="s">
        <v>1761</v>
      </c>
      <c r="AB752" s="9">
        <f t="shared" si="134"/>
        <v>135</v>
      </c>
      <c r="AC752" s="9">
        <f t="shared" si="135"/>
        <v>0</v>
      </c>
      <c r="AD752" s="9">
        <f t="shared" si="136"/>
        <v>135</v>
      </c>
      <c r="AE752" s="9">
        <f t="shared" si="137"/>
        <v>59.29</v>
      </c>
      <c r="AF752" s="9">
        <f t="shared" si="143"/>
        <v>75.710000000000008</v>
      </c>
      <c r="AG752" s="8">
        <f t="shared" si="138"/>
        <v>2024</v>
      </c>
      <c r="AH752" s="8">
        <f t="shared" si="139"/>
        <v>12</v>
      </c>
      <c r="AI752" s="5" t="str">
        <f t="shared" si="140"/>
        <v>Dec</v>
      </c>
      <c r="AJ752" s="5" t="str">
        <f t="shared" si="141"/>
        <v>Sunday</v>
      </c>
    </row>
    <row r="753" spans="1:36" x14ac:dyDescent="0.3">
      <c r="A753" s="5" t="s">
        <v>787</v>
      </c>
      <c r="B753" s="6">
        <v>45297</v>
      </c>
      <c r="C753" s="7">
        <v>0.59722222222222221</v>
      </c>
      <c r="D753" s="5" t="s">
        <v>1907</v>
      </c>
      <c r="E753" s="5" t="s">
        <v>2120</v>
      </c>
      <c r="F753" s="5" t="s">
        <v>2240</v>
      </c>
      <c r="G753" s="5" t="s">
        <v>2255</v>
      </c>
      <c r="H753" s="5" t="s">
        <v>2260</v>
      </c>
      <c r="I753" s="5" t="s">
        <v>2260</v>
      </c>
      <c r="J753" s="5" t="s">
        <v>2265</v>
      </c>
      <c r="K753" s="8">
        <v>4</v>
      </c>
      <c r="L753" s="9">
        <v>180</v>
      </c>
      <c r="M753" s="10">
        <v>0.05</v>
      </c>
      <c r="N753" s="9">
        <f t="shared" si="142"/>
        <v>720</v>
      </c>
      <c r="O753" s="9">
        <f t="shared" si="132"/>
        <v>684</v>
      </c>
      <c r="P753" s="5" t="s">
        <v>2268</v>
      </c>
      <c r="Q753" s="5" t="s">
        <v>2270</v>
      </c>
      <c r="R753" s="5" t="s">
        <v>2278</v>
      </c>
      <c r="S753" s="5" t="s">
        <v>2285</v>
      </c>
      <c r="T753" s="5" t="s">
        <v>2288</v>
      </c>
      <c r="U753" s="8">
        <v>5</v>
      </c>
      <c r="V753" s="8">
        <v>268</v>
      </c>
      <c r="W753" s="8">
        <v>44</v>
      </c>
      <c r="X753" s="9">
        <v>73.760000000000005</v>
      </c>
      <c r="Y753" s="9">
        <f t="shared" si="133"/>
        <v>388.96</v>
      </c>
      <c r="Z753" s="5" t="s">
        <v>2291</v>
      </c>
      <c r="AA753" s="5" t="s">
        <v>2296</v>
      </c>
      <c r="AB753" s="9">
        <f t="shared" si="134"/>
        <v>720</v>
      </c>
      <c r="AC753" s="9">
        <f t="shared" si="135"/>
        <v>36</v>
      </c>
      <c r="AD753" s="9">
        <f t="shared" si="136"/>
        <v>684</v>
      </c>
      <c r="AE753" s="9">
        <f t="shared" si="137"/>
        <v>295.04000000000002</v>
      </c>
      <c r="AF753" s="9">
        <f t="shared" si="143"/>
        <v>388.96</v>
      </c>
      <c r="AG753" s="8">
        <f t="shared" si="138"/>
        <v>2024</v>
      </c>
      <c r="AH753" s="8">
        <f t="shared" si="139"/>
        <v>1</v>
      </c>
      <c r="AI753" s="5" t="str">
        <f t="shared" si="140"/>
        <v>Jan</v>
      </c>
      <c r="AJ753" s="5" t="str">
        <f t="shared" si="141"/>
        <v>Saturday</v>
      </c>
    </row>
    <row r="754" spans="1:36" x14ac:dyDescent="0.3">
      <c r="A754" s="5" t="s">
        <v>788</v>
      </c>
      <c r="B754" s="6">
        <v>45560</v>
      </c>
      <c r="C754" s="7">
        <v>0.76041666666666663</v>
      </c>
      <c r="D754" s="5" t="s">
        <v>1795</v>
      </c>
      <c r="E754" s="5" t="s">
        <v>1956</v>
      </c>
      <c r="F754" s="5" t="s">
        <v>2240</v>
      </c>
      <c r="G754" s="5" t="s">
        <v>2244</v>
      </c>
      <c r="H754" s="5" t="s">
        <v>2257</v>
      </c>
      <c r="I754" s="5" t="s">
        <v>2262</v>
      </c>
      <c r="J754" s="5" t="s">
        <v>2264</v>
      </c>
      <c r="K754" s="8">
        <v>2</v>
      </c>
      <c r="L754" s="9">
        <v>125</v>
      </c>
      <c r="M754" s="10">
        <v>0</v>
      </c>
      <c r="N754" s="9">
        <f t="shared" si="142"/>
        <v>250</v>
      </c>
      <c r="O754" s="9">
        <f t="shared" si="132"/>
        <v>250</v>
      </c>
      <c r="P754" s="5" t="s">
        <v>2267</v>
      </c>
      <c r="Q754" s="5" t="s">
        <v>1761</v>
      </c>
      <c r="R754" s="5" t="s">
        <v>2277</v>
      </c>
      <c r="S754" s="5" t="s">
        <v>2283</v>
      </c>
      <c r="T754" s="5" t="s">
        <v>2288</v>
      </c>
      <c r="U754" s="8">
        <v>2</v>
      </c>
      <c r="V754" s="8">
        <v>14</v>
      </c>
      <c r="W754" s="8">
        <v>11</v>
      </c>
      <c r="X754" s="9">
        <v>46.75</v>
      </c>
      <c r="Y754" s="9">
        <f t="shared" si="133"/>
        <v>156.5</v>
      </c>
      <c r="Z754" s="5" t="s">
        <v>2292</v>
      </c>
      <c r="AA754" s="5" t="s">
        <v>2299</v>
      </c>
      <c r="AB754" s="9">
        <f t="shared" si="134"/>
        <v>250</v>
      </c>
      <c r="AC754" s="9">
        <f t="shared" si="135"/>
        <v>0</v>
      </c>
      <c r="AD754" s="9">
        <f t="shared" si="136"/>
        <v>250</v>
      </c>
      <c r="AE754" s="9">
        <f t="shared" si="137"/>
        <v>93.5</v>
      </c>
      <c r="AF754" s="9">
        <f t="shared" si="143"/>
        <v>156.5</v>
      </c>
      <c r="AG754" s="8">
        <f t="shared" si="138"/>
        <v>2024</v>
      </c>
      <c r="AH754" s="8">
        <f t="shared" si="139"/>
        <v>9</v>
      </c>
      <c r="AI754" s="5" t="str">
        <f t="shared" si="140"/>
        <v>Sep</v>
      </c>
      <c r="AJ754" s="5" t="str">
        <f t="shared" si="141"/>
        <v>Wednesday</v>
      </c>
    </row>
    <row r="755" spans="1:36" x14ac:dyDescent="0.3">
      <c r="A755" s="5" t="s">
        <v>789</v>
      </c>
      <c r="B755" s="6">
        <v>45553</v>
      </c>
      <c r="C755" s="7">
        <v>0.47916666666666669</v>
      </c>
      <c r="D755" s="5" t="s">
        <v>1847</v>
      </c>
      <c r="E755" s="5" t="s">
        <v>1761</v>
      </c>
      <c r="F755" s="5" t="s">
        <v>2240</v>
      </c>
      <c r="G755" s="5" t="s">
        <v>2245</v>
      </c>
      <c r="H755" s="5" t="s">
        <v>2257</v>
      </c>
      <c r="I755" s="5" t="s">
        <v>2263</v>
      </c>
      <c r="J755" s="5" t="s">
        <v>1761</v>
      </c>
      <c r="K755" s="8">
        <v>1</v>
      </c>
      <c r="L755" s="9">
        <v>155</v>
      </c>
      <c r="M755" s="10">
        <v>0.1</v>
      </c>
      <c r="N755" s="9">
        <f t="shared" si="142"/>
        <v>155</v>
      </c>
      <c r="O755" s="9">
        <f t="shared" si="132"/>
        <v>139.5</v>
      </c>
      <c r="P755" s="5" t="s">
        <v>2268</v>
      </c>
      <c r="Q755" s="5" t="s">
        <v>1761</v>
      </c>
      <c r="R755" s="5" t="s">
        <v>2278</v>
      </c>
      <c r="S755" s="5" t="s">
        <v>2284</v>
      </c>
      <c r="T755" s="5" t="s">
        <v>2290</v>
      </c>
      <c r="U755" s="8">
        <v>5</v>
      </c>
      <c r="V755" s="8">
        <v>201</v>
      </c>
      <c r="W755" s="8">
        <v>32</v>
      </c>
      <c r="X755" s="9">
        <v>88.81</v>
      </c>
      <c r="Y755" s="9">
        <f t="shared" si="133"/>
        <v>50.69</v>
      </c>
      <c r="Z755" s="5" t="s">
        <v>2292</v>
      </c>
      <c r="AA755" s="5" t="s">
        <v>1761</v>
      </c>
      <c r="AB755" s="9">
        <f t="shared" si="134"/>
        <v>155</v>
      </c>
      <c r="AC755" s="9">
        <f t="shared" si="135"/>
        <v>15.5</v>
      </c>
      <c r="AD755" s="9">
        <f t="shared" si="136"/>
        <v>139.5</v>
      </c>
      <c r="AE755" s="9">
        <f t="shared" si="137"/>
        <v>88.81</v>
      </c>
      <c r="AF755" s="9">
        <f t="shared" si="143"/>
        <v>50.69</v>
      </c>
      <c r="AG755" s="8">
        <f t="shared" si="138"/>
        <v>2024</v>
      </c>
      <c r="AH755" s="8">
        <f t="shared" si="139"/>
        <v>9</v>
      </c>
      <c r="AI755" s="5" t="str">
        <f t="shared" si="140"/>
        <v>Sep</v>
      </c>
      <c r="AJ755" s="5" t="str">
        <f t="shared" si="141"/>
        <v>Wednesday</v>
      </c>
    </row>
    <row r="756" spans="1:36" x14ac:dyDescent="0.3">
      <c r="A756" s="5" t="s">
        <v>790</v>
      </c>
      <c r="B756" s="6">
        <v>45303</v>
      </c>
      <c r="C756" s="7">
        <v>0.625</v>
      </c>
      <c r="D756" s="5" t="s">
        <v>1842</v>
      </c>
      <c r="E756" s="5" t="s">
        <v>2058</v>
      </c>
      <c r="F756" s="5" t="s">
        <v>2238</v>
      </c>
      <c r="G756" s="5" t="s">
        <v>2252</v>
      </c>
      <c r="H756" s="5" t="s">
        <v>2257</v>
      </c>
      <c r="I756" s="5" t="s">
        <v>2262</v>
      </c>
      <c r="J756" s="5" t="s">
        <v>1761</v>
      </c>
      <c r="K756" s="8">
        <v>2</v>
      </c>
      <c r="L756" s="9">
        <v>90</v>
      </c>
      <c r="M756" s="10">
        <v>0.1</v>
      </c>
      <c r="N756" s="9">
        <f t="shared" si="142"/>
        <v>180</v>
      </c>
      <c r="O756" s="9">
        <f t="shared" si="132"/>
        <v>162</v>
      </c>
      <c r="P756" s="5" t="s">
        <v>1761</v>
      </c>
      <c r="Q756" s="5" t="s">
        <v>1761</v>
      </c>
      <c r="R756" s="5" t="s">
        <v>2276</v>
      </c>
      <c r="S756" s="5" t="s">
        <v>2283</v>
      </c>
      <c r="T756" s="5" t="s">
        <v>2289</v>
      </c>
      <c r="U756" s="8">
        <v>1</v>
      </c>
      <c r="V756" s="19">
        <v>244</v>
      </c>
      <c r="W756" s="8">
        <v>42</v>
      </c>
      <c r="X756" s="9">
        <v>45.92</v>
      </c>
      <c r="Y756" s="9">
        <f t="shared" si="133"/>
        <v>70.16</v>
      </c>
      <c r="Z756" s="5" t="s">
        <v>2294</v>
      </c>
      <c r="AA756" s="5" t="s">
        <v>2297</v>
      </c>
      <c r="AB756" s="9">
        <f t="shared" si="134"/>
        <v>180</v>
      </c>
      <c r="AC756" s="9">
        <f t="shared" si="135"/>
        <v>18</v>
      </c>
      <c r="AD756" s="9">
        <f t="shared" si="136"/>
        <v>162</v>
      </c>
      <c r="AE756" s="9">
        <f t="shared" si="137"/>
        <v>91.84</v>
      </c>
      <c r="AF756" s="9">
        <f t="shared" si="143"/>
        <v>70.16</v>
      </c>
      <c r="AG756" s="8">
        <f t="shared" si="138"/>
        <v>2024</v>
      </c>
      <c r="AH756" s="8">
        <f t="shared" si="139"/>
        <v>1</v>
      </c>
      <c r="AI756" s="5" t="str">
        <f t="shared" si="140"/>
        <v>Jan</v>
      </c>
      <c r="AJ756" s="5" t="str">
        <f t="shared" si="141"/>
        <v>Friday</v>
      </c>
    </row>
    <row r="757" spans="1:36" x14ac:dyDescent="0.3">
      <c r="A757" s="5" t="s">
        <v>791</v>
      </c>
      <c r="B757" s="6">
        <v>45420</v>
      </c>
      <c r="C757" s="7">
        <v>0.36805555555555558</v>
      </c>
      <c r="D757" s="5" t="s">
        <v>1840</v>
      </c>
      <c r="E757" s="5" t="s">
        <v>1995</v>
      </c>
      <c r="F757" s="5" t="s">
        <v>2239</v>
      </c>
      <c r="G757" s="5" t="s">
        <v>2244</v>
      </c>
      <c r="H757" s="5" t="s">
        <v>2257</v>
      </c>
      <c r="I757" s="5" t="s">
        <v>2262</v>
      </c>
      <c r="J757" s="5" t="s">
        <v>2265</v>
      </c>
      <c r="K757" s="8">
        <v>2</v>
      </c>
      <c r="L757" s="9">
        <v>130</v>
      </c>
      <c r="M757" s="10">
        <v>0.15</v>
      </c>
      <c r="N757" s="9">
        <f t="shared" si="142"/>
        <v>260</v>
      </c>
      <c r="O757" s="9">
        <f t="shared" si="132"/>
        <v>221</v>
      </c>
      <c r="P757" s="5" t="s">
        <v>2268</v>
      </c>
      <c r="Q757" s="5" t="s">
        <v>2272</v>
      </c>
      <c r="R757" s="5" t="s">
        <v>2277</v>
      </c>
      <c r="S757" s="5" t="s">
        <v>2285</v>
      </c>
      <c r="T757" s="5" t="s">
        <v>2288</v>
      </c>
      <c r="U757" s="19">
        <v>3</v>
      </c>
      <c r="V757" s="8">
        <v>167</v>
      </c>
      <c r="W757" s="8">
        <v>49</v>
      </c>
      <c r="X757" s="9">
        <v>52.89</v>
      </c>
      <c r="Y757" s="9">
        <f t="shared" si="133"/>
        <v>115.22</v>
      </c>
      <c r="Z757" s="5" t="s">
        <v>1761</v>
      </c>
      <c r="AA757" s="5" t="s">
        <v>2296</v>
      </c>
      <c r="AB757" s="9">
        <f t="shared" si="134"/>
        <v>260</v>
      </c>
      <c r="AC757" s="9">
        <f t="shared" si="135"/>
        <v>39</v>
      </c>
      <c r="AD757" s="9">
        <f t="shared" si="136"/>
        <v>221</v>
      </c>
      <c r="AE757" s="9">
        <f t="shared" si="137"/>
        <v>105.78</v>
      </c>
      <c r="AF757" s="9">
        <f t="shared" si="143"/>
        <v>115.22</v>
      </c>
      <c r="AG757" s="8">
        <f t="shared" si="138"/>
        <v>2024</v>
      </c>
      <c r="AH757" s="8">
        <f t="shared" si="139"/>
        <v>5</v>
      </c>
      <c r="AI757" s="5" t="str">
        <f t="shared" si="140"/>
        <v>May</v>
      </c>
      <c r="AJ757" s="5" t="str">
        <f t="shared" si="141"/>
        <v>Wednesday</v>
      </c>
    </row>
    <row r="758" spans="1:36" x14ac:dyDescent="0.3">
      <c r="A758" s="5" t="s">
        <v>792</v>
      </c>
      <c r="B758" s="6">
        <v>45306</v>
      </c>
      <c r="C758" s="7">
        <v>0.67361111111111116</v>
      </c>
      <c r="D758" s="5" t="s">
        <v>1881</v>
      </c>
      <c r="E758" s="5" t="s">
        <v>2056</v>
      </c>
      <c r="F758" s="5" t="s">
        <v>2239</v>
      </c>
      <c r="G758" s="5" t="s">
        <v>2245</v>
      </c>
      <c r="H758" s="5" t="s">
        <v>2257</v>
      </c>
      <c r="I758" s="5" t="s">
        <v>2263</v>
      </c>
      <c r="J758" s="5" t="s">
        <v>2264</v>
      </c>
      <c r="K758" s="8">
        <v>2</v>
      </c>
      <c r="L758" s="9">
        <v>150</v>
      </c>
      <c r="M758" s="10">
        <v>0.05</v>
      </c>
      <c r="N758" s="9">
        <f t="shared" si="142"/>
        <v>300</v>
      </c>
      <c r="O758" s="9">
        <f t="shared" si="132"/>
        <v>285</v>
      </c>
      <c r="P758" s="5" t="s">
        <v>2269</v>
      </c>
      <c r="Q758" s="5" t="s">
        <v>1761</v>
      </c>
      <c r="R758" s="5" t="s">
        <v>2273</v>
      </c>
      <c r="S758" s="5" t="s">
        <v>2280</v>
      </c>
      <c r="T758" s="5" t="s">
        <v>2288</v>
      </c>
      <c r="U758" s="19">
        <v>3</v>
      </c>
      <c r="V758" s="8">
        <v>223</v>
      </c>
      <c r="W758" s="19">
        <v>36</v>
      </c>
      <c r="X758" s="9">
        <v>57.67</v>
      </c>
      <c r="Y758" s="9">
        <f t="shared" si="133"/>
        <v>169.66</v>
      </c>
      <c r="Z758" s="5" t="s">
        <v>2293</v>
      </c>
      <c r="AA758" s="5" t="s">
        <v>2296</v>
      </c>
      <c r="AB758" s="9">
        <f t="shared" si="134"/>
        <v>300</v>
      </c>
      <c r="AC758" s="9">
        <f t="shared" si="135"/>
        <v>15</v>
      </c>
      <c r="AD758" s="9">
        <f t="shared" si="136"/>
        <v>285</v>
      </c>
      <c r="AE758" s="9">
        <f t="shared" si="137"/>
        <v>115.34</v>
      </c>
      <c r="AF758" s="9">
        <f t="shared" si="143"/>
        <v>169.66</v>
      </c>
      <c r="AG758" s="8">
        <f t="shared" si="138"/>
        <v>2024</v>
      </c>
      <c r="AH758" s="8">
        <f t="shared" si="139"/>
        <v>1</v>
      </c>
      <c r="AI758" s="5" t="str">
        <f t="shared" si="140"/>
        <v>Jan</v>
      </c>
      <c r="AJ758" s="5" t="str">
        <f t="shared" si="141"/>
        <v>Monday</v>
      </c>
    </row>
    <row r="759" spans="1:36" x14ac:dyDescent="0.3">
      <c r="A759" s="5" t="s">
        <v>793</v>
      </c>
      <c r="B759" s="6">
        <v>45328</v>
      </c>
      <c r="C759" s="7">
        <v>0.52083333333333337</v>
      </c>
      <c r="D759" s="5" t="s">
        <v>1851</v>
      </c>
      <c r="E759" s="5" t="s">
        <v>2068</v>
      </c>
      <c r="F759" s="5" t="s">
        <v>2239</v>
      </c>
      <c r="G759" s="5" t="s">
        <v>2250</v>
      </c>
      <c r="H759" s="5" t="s">
        <v>2259</v>
      </c>
      <c r="I759" s="5" t="s">
        <v>2262</v>
      </c>
      <c r="J759" s="5" t="s">
        <v>1761</v>
      </c>
      <c r="K759" s="8">
        <v>1</v>
      </c>
      <c r="L759" s="9">
        <v>80</v>
      </c>
      <c r="M759" s="10">
        <v>0.15</v>
      </c>
      <c r="N759" s="9">
        <f t="shared" si="142"/>
        <v>80</v>
      </c>
      <c r="O759" s="9">
        <f t="shared" si="132"/>
        <v>68</v>
      </c>
      <c r="P759" s="5" t="s">
        <v>2268</v>
      </c>
      <c r="Q759" s="5" t="s">
        <v>2272</v>
      </c>
      <c r="R759" s="5" t="s">
        <v>2279</v>
      </c>
      <c r="S759" s="5" t="s">
        <v>2281</v>
      </c>
      <c r="T759" s="5" t="s">
        <v>2288</v>
      </c>
      <c r="U759" s="8">
        <v>5</v>
      </c>
      <c r="V759" s="19">
        <v>244</v>
      </c>
      <c r="W759" s="8">
        <v>23</v>
      </c>
      <c r="X759" s="9">
        <v>28.29</v>
      </c>
      <c r="Y759" s="9">
        <f t="shared" si="133"/>
        <v>39.71</v>
      </c>
      <c r="Z759" s="5" t="s">
        <v>1761</v>
      </c>
      <c r="AA759" s="5" t="s">
        <v>2296</v>
      </c>
      <c r="AB759" s="9">
        <f t="shared" si="134"/>
        <v>80</v>
      </c>
      <c r="AC759" s="9">
        <f t="shared" si="135"/>
        <v>12</v>
      </c>
      <c r="AD759" s="9">
        <f t="shared" si="136"/>
        <v>68</v>
      </c>
      <c r="AE759" s="9">
        <f t="shared" si="137"/>
        <v>28.29</v>
      </c>
      <c r="AF759" s="9">
        <f t="shared" si="143"/>
        <v>39.71</v>
      </c>
      <c r="AG759" s="8">
        <f t="shared" si="138"/>
        <v>2024</v>
      </c>
      <c r="AH759" s="8">
        <f t="shared" si="139"/>
        <v>2</v>
      </c>
      <c r="AI759" s="5" t="str">
        <f t="shared" si="140"/>
        <v>Feb</v>
      </c>
      <c r="AJ759" s="5" t="str">
        <f t="shared" si="141"/>
        <v>Tuesday</v>
      </c>
    </row>
    <row r="760" spans="1:36" x14ac:dyDescent="0.3">
      <c r="A760" s="5" t="s">
        <v>794</v>
      </c>
      <c r="B760" s="6">
        <v>45586</v>
      </c>
      <c r="C760" s="7">
        <v>0.46527777777777779</v>
      </c>
      <c r="D760" s="5" t="s">
        <v>1927</v>
      </c>
      <c r="E760" s="5" t="s">
        <v>2001</v>
      </c>
      <c r="F760" s="5" t="s">
        <v>2240</v>
      </c>
      <c r="G760" s="5" t="s">
        <v>2252</v>
      </c>
      <c r="H760" s="5" t="s">
        <v>2257</v>
      </c>
      <c r="I760" s="5" t="s">
        <v>2262</v>
      </c>
      <c r="J760" s="5" t="s">
        <v>2264</v>
      </c>
      <c r="K760" s="8">
        <v>1</v>
      </c>
      <c r="L760" s="9">
        <v>90</v>
      </c>
      <c r="M760" s="10">
        <v>0.1</v>
      </c>
      <c r="N760" s="9">
        <f t="shared" si="142"/>
        <v>90</v>
      </c>
      <c r="O760" s="9">
        <f t="shared" si="132"/>
        <v>81</v>
      </c>
      <c r="P760" s="5" t="s">
        <v>2268</v>
      </c>
      <c r="Q760" s="5" t="s">
        <v>2272</v>
      </c>
      <c r="R760" s="5" t="s">
        <v>2278</v>
      </c>
      <c r="S760" s="5" t="s">
        <v>2287</v>
      </c>
      <c r="T760" s="5" t="s">
        <v>2288</v>
      </c>
      <c r="U760" s="19">
        <v>3</v>
      </c>
      <c r="V760" s="8">
        <v>453</v>
      </c>
      <c r="W760" s="8">
        <v>45</v>
      </c>
      <c r="X760" s="9">
        <v>37.46</v>
      </c>
      <c r="Y760" s="9">
        <f t="shared" si="133"/>
        <v>43.54</v>
      </c>
      <c r="Z760" s="5" t="s">
        <v>2292</v>
      </c>
      <c r="AA760" s="5" t="s">
        <v>2296</v>
      </c>
      <c r="AB760" s="9">
        <f t="shared" si="134"/>
        <v>90</v>
      </c>
      <c r="AC760" s="9">
        <f t="shared" si="135"/>
        <v>9</v>
      </c>
      <c r="AD760" s="9">
        <f t="shared" si="136"/>
        <v>81</v>
      </c>
      <c r="AE760" s="9">
        <f t="shared" si="137"/>
        <v>37.46</v>
      </c>
      <c r="AF760" s="9">
        <f t="shared" si="143"/>
        <v>43.54</v>
      </c>
      <c r="AG760" s="8">
        <f t="shared" si="138"/>
        <v>2024</v>
      </c>
      <c r="AH760" s="8">
        <f t="shared" si="139"/>
        <v>10</v>
      </c>
      <c r="AI760" s="5" t="str">
        <f t="shared" si="140"/>
        <v>Oct</v>
      </c>
      <c r="AJ760" s="5" t="str">
        <f t="shared" si="141"/>
        <v>Monday</v>
      </c>
    </row>
    <row r="761" spans="1:36" x14ac:dyDescent="0.3">
      <c r="A761" s="5" t="s">
        <v>795</v>
      </c>
      <c r="B761" s="6">
        <v>45394</v>
      </c>
      <c r="C761" s="7">
        <v>0.69791666666666663</v>
      </c>
      <c r="D761" s="5" t="s">
        <v>1826</v>
      </c>
      <c r="E761" s="5" t="s">
        <v>1993</v>
      </c>
      <c r="F761" s="5" t="s">
        <v>2238</v>
      </c>
      <c r="G761" s="5" t="s">
        <v>2250</v>
      </c>
      <c r="H761" s="5" t="s">
        <v>2259</v>
      </c>
      <c r="I761" s="5" t="s">
        <v>2262</v>
      </c>
      <c r="J761" s="5" t="s">
        <v>2265</v>
      </c>
      <c r="K761" s="8">
        <v>1</v>
      </c>
      <c r="L761" s="9">
        <v>80</v>
      </c>
      <c r="M761" s="10">
        <v>0</v>
      </c>
      <c r="N761" s="9">
        <f t="shared" si="142"/>
        <v>80</v>
      </c>
      <c r="O761" s="9">
        <f t="shared" si="132"/>
        <v>80</v>
      </c>
      <c r="P761" s="5" t="s">
        <v>2269</v>
      </c>
      <c r="Q761" s="5" t="s">
        <v>2272</v>
      </c>
      <c r="R761" s="5" t="s">
        <v>2275</v>
      </c>
      <c r="S761" s="5" t="s">
        <v>2283</v>
      </c>
      <c r="T761" s="5" t="s">
        <v>2290</v>
      </c>
      <c r="U761" s="8">
        <v>4</v>
      </c>
      <c r="V761" s="8">
        <v>464</v>
      </c>
      <c r="W761" s="8">
        <v>39</v>
      </c>
      <c r="X761" s="9">
        <v>33.76</v>
      </c>
      <c r="Y761" s="9">
        <f t="shared" si="133"/>
        <v>46.24</v>
      </c>
      <c r="Z761" s="5" t="s">
        <v>2293</v>
      </c>
      <c r="AA761" s="5" t="s">
        <v>2297</v>
      </c>
      <c r="AB761" s="9">
        <f t="shared" si="134"/>
        <v>80</v>
      </c>
      <c r="AC761" s="9">
        <f t="shared" si="135"/>
        <v>0</v>
      </c>
      <c r="AD761" s="9">
        <f t="shared" si="136"/>
        <v>80</v>
      </c>
      <c r="AE761" s="9">
        <f t="shared" si="137"/>
        <v>33.76</v>
      </c>
      <c r="AF761" s="9">
        <f t="shared" si="143"/>
        <v>46.24</v>
      </c>
      <c r="AG761" s="8">
        <f t="shared" si="138"/>
        <v>2024</v>
      </c>
      <c r="AH761" s="8">
        <f t="shared" si="139"/>
        <v>4</v>
      </c>
      <c r="AI761" s="5" t="str">
        <f t="shared" si="140"/>
        <v>Apr</v>
      </c>
      <c r="AJ761" s="5" t="str">
        <f t="shared" si="141"/>
        <v>Friday</v>
      </c>
    </row>
    <row r="762" spans="1:36" x14ac:dyDescent="0.3">
      <c r="A762" s="5" t="s">
        <v>796</v>
      </c>
      <c r="B762" s="6">
        <v>45301</v>
      </c>
      <c r="C762" s="7">
        <v>0.47916666666666669</v>
      </c>
      <c r="D762" s="5" t="s">
        <v>1820</v>
      </c>
      <c r="E762" s="5" t="s">
        <v>2125</v>
      </c>
      <c r="F762" s="5" t="s">
        <v>2239</v>
      </c>
      <c r="G762" s="5" t="s">
        <v>2255</v>
      </c>
      <c r="H762" s="5" t="s">
        <v>2260</v>
      </c>
      <c r="I762" s="5" t="s">
        <v>2260</v>
      </c>
      <c r="J762" s="5" t="s">
        <v>2266</v>
      </c>
      <c r="K762" s="8">
        <v>3</v>
      </c>
      <c r="L762" s="9">
        <v>175</v>
      </c>
      <c r="M762" s="10">
        <v>0.1</v>
      </c>
      <c r="N762" s="9">
        <f t="shared" si="142"/>
        <v>525</v>
      </c>
      <c r="O762" s="9">
        <f t="shared" si="132"/>
        <v>472.5</v>
      </c>
      <c r="P762" s="5" t="s">
        <v>2267</v>
      </c>
      <c r="Q762" s="5" t="s">
        <v>2272</v>
      </c>
      <c r="R762" s="5" t="s">
        <v>2277</v>
      </c>
      <c r="S762" s="5" t="s">
        <v>2282</v>
      </c>
      <c r="T762" s="5" t="s">
        <v>2288</v>
      </c>
      <c r="U762" s="8">
        <v>1</v>
      </c>
      <c r="V762" s="8">
        <v>133</v>
      </c>
      <c r="W762" s="8">
        <v>37</v>
      </c>
      <c r="X762" s="9">
        <v>68.77</v>
      </c>
      <c r="Y762" s="9">
        <f t="shared" si="133"/>
        <v>266.19</v>
      </c>
      <c r="Z762" s="5" t="s">
        <v>1761</v>
      </c>
      <c r="AA762" s="5" t="s">
        <v>2299</v>
      </c>
      <c r="AB762" s="9">
        <f t="shared" si="134"/>
        <v>525</v>
      </c>
      <c r="AC762" s="9">
        <f t="shared" si="135"/>
        <v>52.5</v>
      </c>
      <c r="AD762" s="9">
        <f t="shared" si="136"/>
        <v>472.5</v>
      </c>
      <c r="AE762" s="9">
        <f t="shared" si="137"/>
        <v>206.31</v>
      </c>
      <c r="AF762" s="9">
        <f t="shared" si="143"/>
        <v>266.19</v>
      </c>
      <c r="AG762" s="8">
        <f t="shared" si="138"/>
        <v>2024</v>
      </c>
      <c r="AH762" s="8">
        <f t="shared" si="139"/>
        <v>1</v>
      </c>
      <c r="AI762" s="5" t="str">
        <f t="shared" si="140"/>
        <v>Jan</v>
      </c>
      <c r="AJ762" s="5" t="str">
        <f t="shared" si="141"/>
        <v>Wednesday</v>
      </c>
    </row>
    <row r="763" spans="1:36" x14ac:dyDescent="0.3">
      <c r="A763" s="5" t="s">
        <v>797</v>
      </c>
      <c r="B763" s="6">
        <v>45329</v>
      </c>
      <c r="C763" s="7">
        <v>0.70138888888888884</v>
      </c>
      <c r="D763" s="5" t="s">
        <v>1842</v>
      </c>
      <c r="E763" s="5" t="s">
        <v>2070</v>
      </c>
      <c r="F763" s="5" t="s">
        <v>2240</v>
      </c>
      <c r="G763" s="5" t="s">
        <v>2248</v>
      </c>
      <c r="H763" s="5" t="s">
        <v>2257</v>
      </c>
      <c r="I763" s="5" t="s">
        <v>2262</v>
      </c>
      <c r="J763" s="5" t="s">
        <v>2266</v>
      </c>
      <c r="K763" s="8">
        <v>1</v>
      </c>
      <c r="L763" s="9">
        <v>155</v>
      </c>
      <c r="M763" s="10">
        <v>0.1</v>
      </c>
      <c r="N763" s="9">
        <f t="shared" si="142"/>
        <v>155</v>
      </c>
      <c r="O763" s="9">
        <f t="shared" si="132"/>
        <v>139.5</v>
      </c>
      <c r="P763" s="5" t="s">
        <v>2267</v>
      </c>
      <c r="Q763" s="5" t="s">
        <v>2272</v>
      </c>
      <c r="R763" s="5" t="s">
        <v>2277</v>
      </c>
      <c r="S763" s="5" t="s">
        <v>2284</v>
      </c>
      <c r="T763" s="5" t="s">
        <v>2288</v>
      </c>
      <c r="U763" s="8">
        <v>1</v>
      </c>
      <c r="V763" s="8">
        <v>448</v>
      </c>
      <c r="W763" s="8">
        <v>21</v>
      </c>
      <c r="X763" s="9">
        <v>72.14</v>
      </c>
      <c r="Y763" s="9">
        <f t="shared" si="133"/>
        <v>67.36</v>
      </c>
      <c r="Z763" s="5" t="s">
        <v>2292</v>
      </c>
      <c r="AA763" s="5" t="s">
        <v>1761</v>
      </c>
      <c r="AB763" s="9">
        <f t="shared" si="134"/>
        <v>155</v>
      </c>
      <c r="AC763" s="9">
        <f t="shared" si="135"/>
        <v>15.5</v>
      </c>
      <c r="AD763" s="9">
        <f t="shared" si="136"/>
        <v>139.5</v>
      </c>
      <c r="AE763" s="9">
        <f t="shared" si="137"/>
        <v>72.14</v>
      </c>
      <c r="AF763" s="9">
        <f t="shared" si="143"/>
        <v>67.36</v>
      </c>
      <c r="AG763" s="8">
        <f t="shared" si="138"/>
        <v>2024</v>
      </c>
      <c r="AH763" s="8">
        <f t="shared" si="139"/>
        <v>2</v>
      </c>
      <c r="AI763" s="5" t="str">
        <f t="shared" si="140"/>
        <v>Feb</v>
      </c>
      <c r="AJ763" s="5" t="str">
        <f t="shared" si="141"/>
        <v>Wednesday</v>
      </c>
    </row>
    <row r="764" spans="1:36" x14ac:dyDescent="0.3">
      <c r="A764" s="5" t="s">
        <v>798</v>
      </c>
      <c r="B764" s="6">
        <v>45390</v>
      </c>
      <c r="C764" s="7">
        <v>0.36805555555555558</v>
      </c>
      <c r="D764" s="5" t="s">
        <v>1859</v>
      </c>
      <c r="E764" s="5" t="s">
        <v>2054</v>
      </c>
      <c r="F764" s="5" t="s">
        <v>2239</v>
      </c>
      <c r="G764" s="5" t="s">
        <v>2252</v>
      </c>
      <c r="H764" s="5" t="s">
        <v>2257</v>
      </c>
      <c r="I764" s="5" t="s">
        <v>2262</v>
      </c>
      <c r="J764" s="5" t="s">
        <v>2264</v>
      </c>
      <c r="K764" s="8">
        <v>2</v>
      </c>
      <c r="L764" s="9">
        <v>100</v>
      </c>
      <c r="M764" s="10">
        <v>0</v>
      </c>
      <c r="N764" s="9">
        <f t="shared" si="142"/>
        <v>200</v>
      </c>
      <c r="O764" s="9">
        <f t="shared" si="132"/>
        <v>200</v>
      </c>
      <c r="P764" s="5" t="s">
        <v>2267</v>
      </c>
      <c r="Q764" s="5" t="s">
        <v>2271</v>
      </c>
      <c r="R764" s="5" t="s">
        <v>2277</v>
      </c>
      <c r="S764" s="5" t="s">
        <v>2281</v>
      </c>
      <c r="T764" s="5" t="s">
        <v>2288</v>
      </c>
      <c r="U764" s="8">
        <v>5</v>
      </c>
      <c r="V764" s="8">
        <v>483</v>
      </c>
      <c r="W764" s="8">
        <v>27</v>
      </c>
      <c r="X764" s="9">
        <v>53.82</v>
      </c>
      <c r="Y764" s="9">
        <f t="shared" si="133"/>
        <v>92.36</v>
      </c>
      <c r="Z764" s="5" t="s">
        <v>2293</v>
      </c>
      <c r="AA764" s="5" t="s">
        <v>2299</v>
      </c>
      <c r="AB764" s="9">
        <f t="shared" si="134"/>
        <v>200</v>
      </c>
      <c r="AC764" s="9">
        <f t="shared" si="135"/>
        <v>0</v>
      </c>
      <c r="AD764" s="9">
        <f t="shared" si="136"/>
        <v>200</v>
      </c>
      <c r="AE764" s="9">
        <f t="shared" si="137"/>
        <v>107.64</v>
      </c>
      <c r="AF764" s="9">
        <f t="shared" si="143"/>
        <v>92.36</v>
      </c>
      <c r="AG764" s="8">
        <f t="shared" si="138"/>
        <v>2024</v>
      </c>
      <c r="AH764" s="8">
        <f t="shared" si="139"/>
        <v>4</v>
      </c>
      <c r="AI764" s="5" t="str">
        <f t="shared" si="140"/>
        <v>Apr</v>
      </c>
      <c r="AJ764" s="5" t="str">
        <f t="shared" si="141"/>
        <v>Monday</v>
      </c>
    </row>
    <row r="765" spans="1:36" x14ac:dyDescent="0.3">
      <c r="A765" s="5" t="s">
        <v>799</v>
      </c>
      <c r="B765" s="6">
        <v>45419</v>
      </c>
      <c r="C765" s="7">
        <v>0.71875</v>
      </c>
      <c r="D765" s="5" t="s">
        <v>1797</v>
      </c>
      <c r="E765" s="5" t="s">
        <v>2155</v>
      </c>
      <c r="F765" s="5" t="s">
        <v>2238</v>
      </c>
      <c r="G765" s="5" t="s">
        <v>2247</v>
      </c>
      <c r="H765" s="5" t="s">
        <v>2257</v>
      </c>
      <c r="I765" s="5" t="s">
        <v>2262</v>
      </c>
      <c r="J765" s="5" t="s">
        <v>2266</v>
      </c>
      <c r="K765" s="8">
        <v>2</v>
      </c>
      <c r="L765" s="9">
        <v>110</v>
      </c>
      <c r="M765" s="10">
        <v>0.1</v>
      </c>
      <c r="N765" s="9">
        <f t="shared" si="142"/>
        <v>220</v>
      </c>
      <c r="O765" s="9">
        <f t="shared" si="132"/>
        <v>198</v>
      </c>
      <c r="P765" s="5" t="s">
        <v>2268</v>
      </c>
      <c r="Q765" s="5" t="s">
        <v>1761</v>
      </c>
      <c r="R765" s="5" t="s">
        <v>2273</v>
      </c>
      <c r="S765" s="5" t="s">
        <v>2282</v>
      </c>
      <c r="T765" s="5" t="s">
        <v>2288</v>
      </c>
      <c r="U765" s="19">
        <v>3</v>
      </c>
      <c r="V765" s="8">
        <v>106</v>
      </c>
      <c r="W765" s="19">
        <v>36</v>
      </c>
      <c r="X765" s="9">
        <v>56.43</v>
      </c>
      <c r="Y765" s="9">
        <f t="shared" si="133"/>
        <v>85.14</v>
      </c>
      <c r="Z765" s="5" t="s">
        <v>1761</v>
      </c>
      <c r="AA765" s="5" t="s">
        <v>2296</v>
      </c>
      <c r="AB765" s="9">
        <f t="shared" si="134"/>
        <v>220</v>
      </c>
      <c r="AC765" s="9">
        <f t="shared" si="135"/>
        <v>22</v>
      </c>
      <c r="AD765" s="9">
        <f t="shared" si="136"/>
        <v>198</v>
      </c>
      <c r="AE765" s="9">
        <f t="shared" si="137"/>
        <v>112.86</v>
      </c>
      <c r="AF765" s="9">
        <f t="shared" si="143"/>
        <v>85.14</v>
      </c>
      <c r="AG765" s="8">
        <f t="shared" si="138"/>
        <v>2024</v>
      </c>
      <c r="AH765" s="8">
        <f t="shared" si="139"/>
        <v>5</v>
      </c>
      <c r="AI765" s="5" t="str">
        <f t="shared" si="140"/>
        <v>May</v>
      </c>
      <c r="AJ765" s="5" t="str">
        <f t="shared" si="141"/>
        <v>Tuesday</v>
      </c>
    </row>
    <row r="766" spans="1:36" x14ac:dyDescent="0.3">
      <c r="A766" s="5" t="s">
        <v>800</v>
      </c>
      <c r="B766" s="6">
        <v>45456</v>
      </c>
      <c r="C766" s="7">
        <v>0.90972222222222221</v>
      </c>
      <c r="D766" s="5" t="s">
        <v>1790</v>
      </c>
      <c r="E766" s="5" t="s">
        <v>2133</v>
      </c>
      <c r="F766" s="5" t="s">
        <v>2238</v>
      </c>
      <c r="G766" s="5" t="s">
        <v>2251</v>
      </c>
      <c r="H766" s="5" t="s">
        <v>2258</v>
      </c>
      <c r="I766" s="5" t="s">
        <v>2260</v>
      </c>
      <c r="J766" s="5" t="s">
        <v>2265</v>
      </c>
      <c r="K766" s="8">
        <v>1</v>
      </c>
      <c r="L766" s="9">
        <v>100</v>
      </c>
      <c r="M766" s="10">
        <v>0.05</v>
      </c>
      <c r="N766" s="9">
        <f t="shared" si="142"/>
        <v>100</v>
      </c>
      <c r="O766" s="9">
        <f t="shared" si="132"/>
        <v>95</v>
      </c>
      <c r="P766" s="5" t="s">
        <v>2267</v>
      </c>
      <c r="Q766" s="5" t="s">
        <v>2270</v>
      </c>
      <c r="R766" s="5" t="s">
        <v>2277</v>
      </c>
      <c r="S766" s="5" t="s">
        <v>2285</v>
      </c>
      <c r="T766" s="5" t="s">
        <v>2288</v>
      </c>
      <c r="U766" s="8">
        <v>5</v>
      </c>
      <c r="V766" s="8">
        <v>240</v>
      </c>
      <c r="W766" s="8">
        <v>50</v>
      </c>
      <c r="X766" s="9">
        <v>46.6</v>
      </c>
      <c r="Y766" s="9">
        <f t="shared" si="133"/>
        <v>48.4</v>
      </c>
      <c r="Z766" s="5" t="s">
        <v>1761</v>
      </c>
      <c r="AA766" s="5" t="s">
        <v>2296</v>
      </c>
      <c r="AB766" s="9">
        <f t="shared" si="134"/>
        <v>100</v>
      </c>
      <c r="AC766" s="9">
        <f t="shared" si="135"/>
        <v>5</v>
      </c>
      <c r="AD766" s="9">
        <f t="shared" si="136"/>
        <v>95</v>
      </c>
      <c r="AE766" s="9">
        <f t="shared" si="137"/>
        <v>46.6</v>
      </c>
      <c r="AF766" s="9">
        <f t="shared" si="143"/>
        <v>48.4</v>
      </c>
      <c r="AG766" s="8">
        <f t="shared" si="138"/>
        <v>2024</v>
      </c>
      <c r="AH766" s="8">
        <f t="shared" si="139"/>
        <v>6</v>
      </c>
      <c r="AI766" s="5" t="str">
        <f t="shared" si="140"/>
        <v>Jun</v>
      </c>
      <c r="AJ766" s="5" t="str">
        <f t="shared" si="141"/>
        <v>Thursday</v>
      </c>
    </row>
    <row r="767" spans="1:36" x14ac:dyDescent="0.3">
      <c r="A767" s="5" t="s">
        <v>801</v>
      </c>
      <c r="B767" s="6">
        <v>45640</v>
      </c>
      <c r="C767" s="7">
        <v>0.57638888888888884</v>
      </c>
      <c r="D767" s="5" t="s">
        <v>1820</v>
      </c>
      <c r="E767" s="5" t="s">
        <v>2168</v>
      </c>
      <c r="F767" s="5" t="s">
        <v>2239</v>
      </c>
      <c r="G767" s="5" t="s">
        <v>2243</v>
      </c>
      <c r="H767" s="5" t="s">
        <v>2258</v>
      </c>
      <c r="I767" s="5" t="s">
        <v>2260</v>
      </c>
      <c r="J767" s="5" t="s">
        <v>2264</v>
      </c>
      <c r="K767" s="8">
        <v>1</v>
      </c>
      <c r="L767" s="9">
        <v>65</v>
      </c>
      <c r="M767" s="10">
        <v>0</v>
      </c>
      <c r="N767" s="9">
        <f t="shared" si="142"/>
        <v>65</v>
      </c>
      <c r="O767" s="9">
        <f t="shared" si="132"/>
        <v>65</v>
      </c>
      <c r="P767" s="5" t="s">
        <v>2269</v>
      </c>
      <c r="Q767" s="5" t="s">
        <v>2270</v>
      </c>
      <c r="R767" s="5" t="s">
        <v>2275</v>
      </c>
      <c r="S767" s="5" t="s">
        <v>2283</v>
      </c>
      <c r="T767" s="5" t="s">
        <v>2288</v>
      </c>
      <c r="U767" s="8">
        <v>4</v>
      </c>
      <c r="V767" s="8">
        <v>433</v>
      </c>
      <c r="W767" s="19">
        <v>34</v>
      </c>
      <c r="X767" s="9">
        <v>33.130000000000003</v>
      </c>
      <c r="Y767" s="9">
        <f t="shared" si="133"/>
        <v>31.869999999999997</v>
      </c>
      <c r="Z767" s="5" t="s">
        <v>2294</v>
      </c>
      <c r="AA767" s="5" t="s">
        <v>2299</v>
      </c>
      <c r="AB767" s="9">
        <f t="shared" si="134"/>
        <v>65</v>
      </c>
      <c r="AC767" s="9">
        <f t="shared" si="135"/>
        <v>0</v>
      </c>
      <c r="AD767" s="9">
        <f t="shared" si="136"/>
        <v>65</v>
      </c>
      <c r="AE767" s="9">
        <f t="shared" si="137"/>
        <v>33.130000000000003</v>
      </c>
      <c r="AF767" s="9">
        <f t="shared" si="143"/>
        <v>31.869999999999997</v>
      </c>
      <c r="AG767" s="8">
        <f t="shared" si="138"/>
        <v>2024</v>
      </c>
      <c r="AH767" s="8">
        <f t="shared" si="139"/>
        <v>12</v>
      </c>
      <c r="AI767" s="5" t="str">
        <f t="shared" si="140"/>
        <v>Dec</v>
      </c>
      <c r="AJ767" s="5" t="str">
        <f t="shared" si="141"/>
        <v>Saturday</v>
      </c>
    </row>
    <row r="768" spans="1:36" x14ac:dyDescent="0.3">
      <c r="A768" s="5" t="s">
        <v>802</v>
      </c>
      <c r="B768" s="6">
        <v>45657</v>
      </c>
      <c r="C768" s="7">
        <v>0.34375</v>
      </c>
      <c r="D768" s="5" t="s">
        <v>1814</v>
      </c>
      <c r="E768" s="5" t="s">
        <v>2110</v>
      </c>
      <c r="F768" s="5" t="s">
        <v>2240</v>
      </c>
      <c r="G768" s="5" t="s">
        <v>2253</v>
      </c>
      <c r="H768" s="5" t="s">
        <v>2258</v>
      </c>
      <c r="I768" s="5" t="s">
        <v>2260</v>
      </c>
      <c r="J768" s="5" t="s">
        <v>1761</v>
      </c>
      <c r="K768" s="8">
        <v>1</v>
      </c>
      <c r="L768" s="9">
        <v>85</v>
      </c>
      <c r="M768" s="10">
        <v>0</v>
      </c>
      <c r="N768" s="9">
        <f t="shared" si="142"/>
        <v>85</v>
      </c>
      <c r="O768" s="9">
        <f t="shared" si="132"/>
        <v>85</v>
      </c>
      <c r="P768" s="5" t="s">
        <v>2268</v>
      </c>
      <c r="Q768" s="5" t="s">
        <v>2272</v>
      </c>
      <c r="R768" s="5" t="s">
        <v>2276</v>
      </c>
      <c r="S768" s="5" t="s">
        <v>2282</v>
      </c>
      <c r="T768" s="5" t="s">
        <v>2288</v>
      </c>
      <c r="U768" s="8">
        <v>3</v>
      </c>
      <c r="V768" s="8">
        <v>352</v>
      </c>
      <c r="W768" s="19">
        <v>35</v>
      </c>
      <c r="X768" s="9">
        <v>45.06</v>
      </c>
      <c r="Y768" s="9">
        <f t="shared" si="133"/>
        <v>39.94</v>
      </c>
      <c r="Z768" s="5" t="s">
        <v>2294</v>
      </c>
      <c r="AA768" s="5" t="s">
        <v>2297</v>
      </c>
      <c r="AB768" s="9">
        <f t="shared" si="134"/>
        <v>85</v>
      </c>
      <c r="AC768" s="9">
        <f t="shared" si="135"/>
        <v>0</v>
      </c>
      <c r="AD768" s="9">
        <f t="shared" si="136"/>
        <v>85</v>
      </c>
      <c r="AE768" s="9">
        <f t="shared" si="137"/>
        <v>45.06</v>
      </c>
      <c r="AF768" s="9">
        <f t="shared" si="143"/>
        <v>39.94</v>
      </c>
      <c r="AG768" s="8">
        <f t="shared" si="138"/>
        <v>2024</v>
      </c>
      <c r="AH768" s="8">
        <f t="shared" si="139"/>
        <v>12</v>
      </c>
      <c r="AI768" s="5" t="str">
        <f t="shared" si="140"/>
        <v>Dec</v>
      </c>
      <c r="AJ768" s="5" t="str">
        <f t="shared" si="141"/>
        <v>Tuesday</v>
      </c>
    </row>
    <row r="769" spans="1:36" x14ac:dyDescent="0.3">
      <c r="A769" s="5" t="s">
        <v>803</v>
      </c>
      <c r="B769" s="6">
        <v>45641</v>
      </c>
      <c r="C769" s="7">
        <v>0.72916666666666663</v>
      </c>
      <c r="D769" s="5" t="s">
        <v>1771</v>
      </c>
      <c r="E769" s="5" t="s">
        <v>2212</v>
      </c>
      <c r="F769" s="5" t="s">
        <v>2240</v>
      </c>
      <c r="G769" s="5" t="s">
        <v>2256</v>
      </c>
      <c r="H769" s="5" t="s">
        <v>2261</v>
      </c>
      <c r="I769" s="5" t="s">
        <v>2260</v>
      </c>
      <c r="J769" s="5" t="s">
        <v>2266</v>
      </c>
      <c r="K769" s="8">
        <v>1</v>
      </c>
      <c r="L769" s="9">
        <v>195</v>
      </c>
      <c r="M769" s="10">
        <v>0</v>
      </c>
      <c r="N769" s="9">
        <f t="shared" si="142"/>
        <v>195</v>
      </c>
      <c r="O769" s="9">
        <f t="shared" si="132"/>
        <v>195</v>
      </c>
      <c r="P769" s="5" t="s">
        <v>2267</v>
      </c>
      <c r="Q769" s="5" t="s">
        <v>2271</v>
      </c>
      <c r="R769" s="5" t="s">
        <v>2277</v>
      </c>
      <c r="S769" s="5" t="s">
        <v>2284</v>
      </c>
      <c r="T769" s="5" t="s">
        <v>2288</v>
      </c>
      <c r="U769" s="8">
        <v>1</v>
      </c>
      <c r="V769" s="8">
        <v>303</v>
      </c>
      <c r="W769" s="8">
        <v>38</v>
      </c>
      <c r="X769" s="9">
        <v>111.02</v>
      </c>
      <c r="Y769" s="9">
        <f t="shared" si="133"/>
        <v>83.98</v>
      </c>
      <c r="Z769" s="5" t="s">
        <v>1761</v>
      </c>
      <c r="AA769" s="5" t="s">
        <v>1761</v>
      </c>
      <c r="AB769" s="9">
        <f t="shared" si="134"/>
        <v>195</v>
      </c>
      <c r="AC769" s="9">
        <f t="shared" si="135"/>
        <v>0</v>
      </c>
      <c r="AD769" s="9">
        <f t="shared" si="136"/>
        <v>195</v>
      </c>
      <c r="AE769" s="9">
        <f t="shared" si="137"/>
        <v>111.02</v>
      </c>
      <c r="AF769" s="9">
        <f t="shared" si="143"/>
        <v>83.98</v>
      </c>
      <c r="AG769" s="8">
        <f t="shared" si="138"/>
        <v>2024</v>
      </c>
      <c r="AH769" s="8">
        <f t="shared" si="139"/>
        <v>12</v>
      </c>
      <c r="AI769" s="5" t="str">
        <f t="shared" si="140"/>
        <v>Dec</v>
      </c>
      <c r="AJ769" s="5" t="str">
        <f t="shared" si="141"/>
        <v>Sunday</v>
      </c>
    </row>
    <row r="770" spans="1:36" x14ac:dyDescent="0.3">
      <c r="A770" s="5" t="s">
        <v>804</v>
      </c>
      <c r="B770" s="6">
        <v>45489</v>
      </c>
      <c r="C770" s="7">
        <v>0.36805555555555558</v>
      </c>
      <c r="D770" s="5" t="s">
        <v>1833</v>
      </c>
      <c r="E770" s="5" t="s">
        <v>2192</v>
      </c>
      <c r="F770" s="5" t="s">
        <v>1761</v>
      </c>
      <c r="G770" s="5" t="s">
        <v>2253</v>
      </c>
      <c r="H770" s="5" t="s">
        <v>2258</v>
      </c>
      <c r="I770" s="5" t="s">
        <v>2260</v>
      </c>
      <c r="J770" s="5" t="s">
        <v>2264</v>
      </c>
      <c r="K770" s="8">
        <v>1</v>
      </c>
      <c r="L770" s="9">
        <v>90</v>
      </c>
      <c r="M770" s="10">
        <v>0.05</v>
      </c>
      <c r="N770" s="9">
        <f t="shared" si="142"/>
        <v>90</v>
      </c>
      <c r="O770" s="9">
        <f t="shared" ref="O770:O833" si="144">IF(N770="","",N770*(1-IF(M770="",0,M770)))</f>
        <v>85.5</v>
      </c>
      <c r="P770" s="5" t="s">
        <v>2267</v>
      </c>
      <c r="Q770" s="5" t="s">
        <v>2272</v>
      </c>
      <c r="R770" s="5" t="s">
        <v>2275</v>
      </c>
      <c r="S770" s="5" t="s">
        <v>2283</v>
      </c>
      <c r="T770" s="5" t="s">
        <v>2288</v>
      </c>
      <c r="U770" s="8">
        <v>2</v>
      </c>
      <c r="V770" s="8">
        <v>247</v>
      </c>
      <c r="W770" s="8">
        <v>48</v>
      </c>
      <c r="X770" s="9">
        <v>53.66</v>
      </c>
      <c r="Y770" s="9">
        <f t="shared" ref="Y770:Y833" si="145">IF(OR(O770="",K770="",X770=""),"",O770-K770*X770)</f>
        <v>31.840000000000003</v>
      </c>
      <c r="Z770" s="5" t="s">
        <v>2293</v>
      </c>
      <c r="AA770" s="5" t="s">
        <v>1761</v>
      </c>
      <c r="AB770" s="9">
        <f t="shared" ref="AB770:AB833" si="146">N770</f>
        <v>90</v>
      </c>
      <c r="AC770" s="9">
        <f t="shared" ref="AC770:AC833" si="147">IF(N770="","",N770*IF(M770="",0,M770))</f>
        <v>4.5</v>
      </c>
      <c r="AD770" s="9">
        <f t="shared" ref="AD770:AD833" si="148">O770</f>
        <v>85.5</v>
      </c>
      <c r="AE770" s="9">
        <f t="shared" ref="AE770:AE833" si="149">IF(OR(K770="",X770=""),"",K770*X770)</f>
        <v>53.66</v>
      </c>
      <c r="AF770" s="9">
        <f t="shared" si="143"/>
        <v>31.840000000000003</v>
      </c>
      <c r="AG770" s="8">
        <f t="shared" ref="AG770:AG833" si="150">IF(B770="","",YEAR(B770))</f>
        <v>2024</v>
      </c>
      <c r="AH770" s="8">
        <f t="shared" ref="AH770:AH833" si="151">IF(B770="","",MONTH(B770))</f>
        <v>7</v>
      </c>
      <c r="AI770" s="5" t="str">
        <f t="shared" ref="AI770:AI833" si="152">IF(B770="","",TEXT(B770,"mmm"))</f>
        <v>Jul</v>
      </c>
      <c r="AJ770" s="5" t="str">
        <f t="shared" ref="AJ770:AJ833" si="153">IF(B770="","",TEXT(B770,"dddd"))</f>
        <v>Tuesday</v>
      </c>
    </row>
    <row r="771" spans="1:36" x14ac:dyDescent="0.3">
      <c r="A771" s="5" t="s">
        <v>805</v>
      </c>
      <c r="B771" s="6">
        <v>45503</v>
      </c>
      <c r="C771" s="7">
        <v>0.3888888888888889</v>
      </c>
      <c r="D771" s="5" t="s">
        <v>1841</v>
      </c>
      <c r="E771" s="5" t="s">
        <v>2135</v>
      </c>
      <c r="F771" s="5" t="s">
        <v>2238</v>
      </c>
      <c r="G771" s="5" t="s">
        <v>2245</v>
      </c>
      <c r="H771" s="5" t="s">
        <v>2257</v>
      </c>
      <c r="I771" s="5" t="s">
        <v>2263</v>
      </c>
      <c r="J771" s="5" t="s">
        <v>1761</v>
      </c>
      <c r="K771" s="8">
        <v>1</v>
      </c>
      <c r="L771" s="9">
        <v>160</v>
      </c>
      <c r="M771" s="10">
        <v>0.15</v>
      </c>
      <c r="N771" s="9">
        <f t="shared" ref="N771:N834" si="154">IFERROR(K771*L771,"")</f>
        <v>160</v>
      </c>
      <c r="O771" s="9">
        <f t="shared" si="144"/>
        <v>136</v>
      </c>
      <c r="P771" s="5" t="s">
        <v>2267</v>
      </c>
      <c r="Q771" s="5" t="s">
        <v>2270</v>
      </c>
      <c r="R771" s="5" t="s">
        <v>2279</v>
      </c>
      <c r="S771" s="5" t="s">
        <v>2281</v>
      </c>
      <c r="T771" s="5" t="s">
        <v>2288</v>
      </c>
      <c r="U771" s="8">
        <v>4</v>
      </c>
      <c r="V771" s="8">
        <v>249</v>
      </c>
      <c r="W771" s="8">
        <v>48</v>
      </c>
      <c r="X771" s="9">
        <v>65.39</v>
      </c>
      <c r="Y771" s="9">
        <f t="shared" si="145"/>
        <v>70.61</v>
      </c>
      <c r="Z771" s="5" t="s">
        <v>2293</v>
      </c>
      <c r="AA771" s="5" t="s">
        <v>2298</v>
      </c>
      <c r="AB771" s="9">
        <f t="shared" si="146"/>
        <v>160</v>
      </c>
      <c r="AC771" s="9">
        <f t="shared" si="147"/>
        <v>24</v>
      </c>
      <c r="AD771" s="9">
        <f t="shared" si="148"/>
        <v>136</v>
      </c>
      <c r="AE771" s="9">
        <f t="shared" si="149"/>
        <v>65.39</v>
      </c>
      <c r="AF771" s="9">
        <f t="shared" ref="AF771:AF834" si="155">Y771</f>
        <v>70.61</v>
      </c>
      <c r="AG771" s="8">
        <f t="shared" si="150"/>
        <v>2024</v>
      </c>
      <c r="AH771" s="8">
        <f t="shared" si="151"/>
        <v>7</v>
      </c>
      <c r="AI771" s="5" t="str">
        <f t="shared" si="152"/>
        <v>Jul</v>
      </c>
      <c r="AJ771" s="5" t="str">
        <f t="shared" si="153"/>
        <v>Tuesday</v>
      </c>
    </row>
    <row r="772" spans="1:36" x14ac:dyDescent="0.3">
      <c r="A772" s="5" t="s">
        <v>806</v>
      </c>
      <c r="B772" s="6">
        <v>45625</v>
      </c>
      <c r="C772" s="7">
        <v>0.75694444444444442</v>
      </c>
      <c r="D772" s="5" t="s">
        <v>1757</v>
      </c>
      <c r="E772" s="5" t="s">
        <v>2168</v>
      </c>
      <c r="F772" s="5" t="s">
        <v>2240</v>
      </c>
      <c r="G772" s="5" t="s">
        <v>2254</v>
      </c>
      <c r="H772" s="5" t="s">
        <v>2259</v>
      </c>
      <c r="I772" s="5" t="s">
        <v>2263</v>
      </c>
      <c r="J772" s="5" t="s">
        <v>2266</v>
      </c>
      <c r="K772" s="8">
        <v>2</v>
      </c>
      <c r="L772" s="9">
        <v>105</v>
      </c>
      <c r="M772" s="10">
        <v>0.05</v>
      </c>
      <c r="N772" s="9">
        <f t="shared" si="154"/>
        <v>210</v>
      </c>
      <c r="O772" s="9">
        <f t="shared" si="144"/>
        <v>199.5</v>
      </c>
      <c r="P772" s="5" t="s">
        <v>2267</v>
      </c>
      <c r="Q772" s="5" t="s">
        <v>2270</v>
      </c>
      <c r="R772" s="5" t="s">
        <v>2273</v>
      </c>
      <c r="S772" s="5" t="s">
        <v>2280</v>
      </c>
      <c r="T772" s="5" t="s">
        <v>2289</v>
      </c>
      <c r="U772" s="19">
        <v>3</v>
      </c>
      <c r="V772" s="8">
        <v>414</v>
      </c>
      <c r="W772" s="8">
        <v>54</v>
      </c>
      <c r="X772" s="9">
        <v>65.87</v>
      </c>
      <c r="Y772" s="9">
        <f t="shared" si="145"/>
        <v>67.759999999999991</v>
      </c>
      <c r="Z772" s="5" t="s">
        <v>2291</v>
      </c>
      <c r="AA772" s="5" t="s">
        <v>2296</v>
      </c>
      <c r="AB772" s="9">
        <f t="shared" si="146"/>
        <v>210</v>
      </c>
      <c r="AC772" s="9">
        <f t="shared" si="147"/>
        <v>10.5</v>
      </c>
      <c r="AD772" s="9">
        <f t="shared" si="148"/>
        <v>199.5</v>
      </c>
      <c r="AE772" s="9">
        <f t="shared" si="149"/>
        <v>131.74</v>
      </c>
      <c r="AF772" s="9">
        <f t="shared" si="155"/>
        <v>67.759999999999991</v>
      </c>
      <c r="AG772" s="8">
        <f t="shared" si="150"/>
        <v>2024</v>
      </c>
      <c r="AH772" s="8">
        <f t="shared" si="151"/>
        <v>11</v>
      </c>
      <c r="AI772" s="5" t="str">
        <f t="shared" si="152"/>
        <v>Nov</v>
      </c>
      <c r="AJ772" s="5" t="str">
        <f t="shared" si="153"/>
        <v>Friday</v>
      </c>
    </row>
    <row r="773" spans="1:36" x14ac:dyDescent="0.3">
      <c r="A773" s="5" t="s">
        <v>807</v>
      </c>
      <c r="B773" s="6">
        <v>45368</v>
      </c>
      <c r="C773" s="7">
        <v>0.83333333333333337</v>
      </c>
      <c r="D773" s="5" t="s">
        <v>1928</v>
      </c>
      <c r="E773" s="5" t="s">
        <v>2147</v>
      </c>
      <c r="F773" s="5" t="s">
        <v>2239</v>
      </c>
      <c r="G773" s="5" t="s">
        <v>2248</v>
      </c>
      <c r="H773" s="5" t="s">
        <v>2257</v>
      </c>
      <c r="I773" s="5" t="s">
        <v>2262</v>
      </c>
      <c r="J773" s="5" t="s">
        <v>2264</v>
      </c>
      <c r="K773" s="8">
        <v>1</v>
      </c>
      <c r="L773" s="9">
        <v>145</v>
      </c>
      <c r="M773" s="10">
        <v>0</v>
      </c>
      <c r="N773" s="9">
        <f t="shared" si="154"/>
        <v>145</v>
      </c>
      <c r="O773" s="9">
        <f t="shared" si="144"/>
        <v>145</v>
      </c>
      <c r="P773" s="5" t="s">
        <v>2267</v>
      </c>
      <c r="Q773" s="5" t="s">
        <v>2270</v>
      </c>
      <c r="R773" s="5" t="s">
        <v>2276</v>
      </c>
      <c r="S773" s="5" t="s">
        <v>2287</v>
      </c>
      <c r="T773" s="5" t="s">
        <v>2289</v>
      </c>
      <c r="U773" s="8">
        <v>3</v>
      </c>
      <c r="V773" s="8">
        <v>252</v>
      </c>
      <c r="W773" s="19">
        <v>34</v>
      </c>
      <c r="X773" s="9">
        <v>77.88</v>
      </c>
      <c r="Y773" s="9">
        <f t="shared" si="145"/>
        <v>67.12</v>
      </c>
      <c r="Z773" s="5" t="s">
        <v>2294</v>
      </c>
      <c r="AA773" s="5" t="s">
        <v>2298</v>
      </c>
      <c r="AB773" s="9">
        <f t="shared" si="146"/>
        <v>145</v>
      </c>
      <c r="AC773" s="9">
        <f t="shared" si="147"/>
        <v>0</v>
      </c>
      <c r="AD773" s="9">
        <f t="shared" si="148"/>
        <v>145</v>
      </c>
      <c r="AE773" s="9">
        <f t="shared" si="149"/>
        <v>77.88</v>
      </c>
      <c r="AF773" s="9">
        <f t="shared" si="155"/>
        <v>67.12</v>
      </c>
      <c r="AG773" s="8">
        <f t="shared" si="150"/>
        <v>2024</v>
      </c>
      <c r="AH773" s="8">
        <f t="shared" si="151"/>
        <v>3</v>
      </c>
      <c r="AI773" s="5" t="str">
        <f t="shared" si="152"/>
        <v>Mar</v>
      </c>
      <c r="AJ773" s="5" t="str">
        <f t="shared" si="153"/>
        <v>Sunday</v>
      </c>
    </row>
    <row r="774" spans="1:36" x14ac:dyDescent="0.3">
      <c r="A774" s="5" t="s">
        <v>808</v>
      </c>
      <c r="B774" s="6">
        <v>45318</v>
      </c>
      <c r="C774" s="7">
        <v>0.51388888888888884</v>
      </c>
      <c r="D774" s="5" t="s">
        <v>1774</v>
      </c>
      <c r="E774" s="5" t="s">
        <v>1954</v>
      </c>
      <c r="F774" s="5" t="s">
        <v>2239</v>
      </c>
      <c r="G774" s="5" t="s">
        <v>2245</v>
      </c>
      <c r="H774" s="5" t="s">
        <v>2257</v>
      </c>
      <c r="I774" s="5" t="s">
        <v>2263</v>
      </c>
      <c r="J774" s="5" t="s">
        <v>2266</v>
      </c>
      <c r="K774" s="8">
        <v>2</v>
      </c>
      <c r="L774" s="9">
        <v>145</v>
      </c>
      <c r="M774" s="10">
        <v>0</v>
      </c>
      <c r="N774" s="9">
        <f t="shared" si="154"/>
        <v>290</v>
      </c>
      <c r="O774" s="9">
        <f t="shared" si="144"/>
        <v>290</v>
      </c>
      <c r="P774" s="5" t="s">
        <v>2267</v>
      </c>
      <c r="Q774" s="5" t="s">
        <v>2271</v>
      </c>
      <c r="R774" s="5" t="s">
        <v>2277</v>
      </c>
      <c r="S774" s="5" t="s">
        <v>2285</v>
      </c>
      <c r="T774" s="5" t="s">
        <v>2288</v>
      </c>
      <c r="U774" s="19">
        <v>3</v>
      </c>
      <c r="V774" s="8">
        <v>479</v>
      </c>
      <c r="W774" s="8">
        <v>50</v>
      </c>
      <c r="X774" s="9">
        <v>85.46</v>
      </c>
      <c r="Y774" s="9">
        <f t="shared" si="145"/>
        <v>119.08000000000001</v>
      </c>
      <c r="Z774" s="5" t="s">
        <v>2294</v>
      </c>
      <c r="AA774" s="5" t="s">
        <v>1761</v>
      </c>
      <c r="AB774" s="9">
        <f t="shared" si="146"/>
        <v>290</v>
      </c>
      <c r="AC774" s="9">
        <f t="shared" si="147"/>
        <v>0</v>
      </c>
      <c r="AD774" s="9">
        <f t="shared" si="148"/>
        <v>290</v>
      </c>
      <c r="AE774" s="9">
        <f t="shared" si="149"/>
        <v>170.92</v>
      </c>
      <c r="AF774" s="9">
        <f t="shared" si="155"/>
        <v>119.08000000000001</v>
      </c>
      <c r="AG774" s="8">
        <f t="shared" si="150"/>
        <v>2024</v>
      </c>
      <c r="AH774" s="8">
        <f t="shared" si="151"/>
        <v>1</v>
      </c>
      <c r="AI774" s="5" t="str">
        <f t="shared" si="152"/>
        <v>Jan</v>
      </c>
      <c r="AJ774" s="5" t="str">
        <f t="shared" si="153"/>
        <v>Saturday</v>
      </c>
    </row>
    <row r="775" spans="1:36" x14ac:dyDescent="0.3">
      <c r="A775" s="5" t="s">
        <v>809</v>
      </c>
      <c r="B775" s="6">
        <v>45418</v>
      </c>
      <c r="C775" s="7">
        <v>0.84722222222222221</v>
      </c>
      <c r="D775" s="5" t="s">
        <v>1796</v>
      </c>
      <c r="E775" s="5" t="s">
        <v>2041</v>
      </c>
      <c r="F775" s="5" t="s">
        <v>2240</v>
      </c>
      <c r="G775" s="5" t="s">
        <v>2254</v>
      </c>
      <c r="H775" s="5" t="s">
        <v>2259</v>
      </c>
      <c r="I775" s="5" t="s">
        <v>2263</v>
      </c>
      <c r="J775" s="5" t="s">
        <v>2266</v>
      </c>
      <c r="K775" s="8">
        <v>1</v>
      </c>
      <c r="L775" s="9">
        <v>105</v>
      </c>
      <c r="M775" s="10">
        <v>0.05</v>
      </c>
      <c r="N775" s="9">
        <f t="shared" si="154"/>
        <v>105</v>
      </c>
      <c r="O775" s="9">
        <f t="shared" si="144"/>
        <v>99.75</v>
      </c>
      <c r="P775" s="5" t="s">
        <v>2269</v>
      </c>
      <c r="Q775" s="5" t="s">
        <v>1761</v>
      </c>
      <c r="R775" s="5" t="s">
        <v>2274</v>
      </c>
      <c r="S775" s="5" t="s">
        <v>2281</v>
      </c>
      <c r="T775" s="5" t="s">
        <v>2288</v>
      </c>
      <c r="U775" s="8">
        <v>2</v>
      </c>
      <c r="V775" s="8">
        <v>91</v>
      </c>
      <c r="W775" s="8">
        <v>30</v>
      </c>
      <c r="X775" s="9">
        <v>50.68</v>
      </c>
      <c r="Y775" s="9">
        <f t="shared" si="145"/>
        <v>49.07</v>
      </c>
      <c r="Z775" s="5" t="s">
        <v>1761</v>
      </c>
      <c r="AA775" s="5" t="s">
        <v>2297</v>
      </c>
      <c r="AB775" s="9">
        <f t="shared" si="146"/>
        <v>105</v>
      </c>
      <c r="AC775" s="9">
        <f t="shared" si="147"/>
        <v>5.25</v>
      </c>
      <c r="AD775" s="9">
        <f t="shared" si="148"/>
        <v>99.75</v>
      </c>
      <c r="AE775" s="9">
        <f t="shared" si="149"/>
        <v>50.68</v>
      </c>
      <c r="AF775" s="9">
        <f t="shared" si="155"/>
        <v>49.07</v>
      </c>
      <c r="AG775" s="8">
        <f t="shared" si="150"/>
        <v>2024</v>
      </c>
      <c r="AH775" s="8">
        <f t="shared" si="151"/>
        <v>5</v>
      </c>
      <c r="AI775" s="5" t="str">
        <f t="shared" si="152"/>
        <v>May</v>
      </c>
      <c r="AJ775" s="5" t="str">
        <f t="shared" si="153"/>
        <v>Monday</v>
      </c>
    </row>
    <row r="776" spans="1:36" x14ac:dyDescent="0.3">
      <c r="A776" s="5" t="s">
        <v>810</v>
      </c>
      <c r="B776" s="6">
        <v>45294</v>
      </c>
      <c r="C776" s="7">
        <v>0.40625</v>
      </c>
      <c r="D776" s="5" t="s">
        <v>1794</v>
      </c>
      <c r="E776" s="5" t="s">
        <v>2210</v>
      </c>
      <c r="F776" s="5" t="s">
        <v>2240</v>
      </c>
      <c r="G776" s="5" t="s">
        <v>2250</v>
      </c>
      <c r="H776" s="5" t="s">
        <v>2259</v>
      </c>
      <c r="I776" s="5" t="s">
        <v>2262</v>
      </c>
      <c r="J776" s="5" t="s">
        <v>2264</v>
      </c>
      <c r="K776" s="8">
        <v>1</v>
      </c>
      <c r="L776" s="9">
        <v>85</v>
      </c>
      <c r="M776" s="10">
        <v>0</v>
      </c>
      <c r="N776" s="9">
        <f t="shared" si="154"/>
        <v>85</v>
      </c>
      <c r="O776" s="9">
        <f t="shared" si="144"/>
        <v>85</v>
      </c>
      <c r="P776" s="5" t="s">
        <v>2267</v>
      </c>
      <c r="Q776" s="5" t="s">
        <v>2271</v>
      </c>
      <c r="R776" s="5" t="s">
        <v>2278</v>
      </c>
      <c r="S776" s="5" t="s">
        <v>2286</v>
      </c>
      <c r="T776" s="5" t="s">
        <v>2288</v>
      </c>
      <c r="U776" s="8">
        <v>5</v>
      </c>
      <c r="V776" s="8">
        <v>207</v>
      </c>
      <c r="W776" s="8">
        <v>14</v>
      </c>
      <c r="X776" s="9">
        <v>34.409999999999997</v>
      </c>
      <c r="Y776" s="9">
        <f t="shared" si="145"/>
        <v>50.59</v>
      </c>
      <c r="Z776" s="5" t="s">
        <v>1761</v>
      </c>
      <c r="AA776" s="5" t="s">
        <v>1761</v>
      </c>
      <c r="AB776" s="9">
        <f t="shared" si="146"/>
        <v>85</v>
      </c>
      <c r="AC776" s="9">
        <f t="shared" si="147"/>
        <v>0</v>
      </c>
      <c r="AD776" s="9">
        <f t="shared" si="148"/>
        <v>85</v>
      </c>
      <c r="AE776" s="9">
        <f t="shared" si="149"/>
        <v>34.409999999999997</v>
      </c>
      <c r="AF776" s="9">
        <f t="shared" si="155"/>
        <v>50.59</v>
      </c>
      <c r="AG776" s="8">
        <f t="shared" si="150"/>
        <v>2024</v>
      </c>
      <c r="AH776" s="8">
        <f t="shared" si="151"/>
        <v>1</v>
      </c>
      <c r="AI776" s="5" t="str">
        <f t="shared" si="152"/>
        <v>Jan</v>
      </c>
      <c r="AJ776" s="5" t="str">
        <f t="shared" si="153"/>
        <v>Wednesday</v>
      </c>
    </row>
    <row r="777" spans="1:36" x14ac:dyDescent="0.3">
      <c r="A777" s="5" t="s">
        <v>811</v>
      </c>
      <c r="B777" s="6">
        <v>45644</v>
      </c>
      <c r="C777" s="7">
        <v>0.36805555555555558</v>
      </c>
      <c r="D777" s="5" t="s">
        <v>1787</v>
      </c>
      <c r="E777" s="5" t="s">
        <v>2215</v>
      </c>
      <c r="F777" s="5" t="s">
        <v>2239</v>
      </c>
      <c r="G777" s="5" t="s">
        <v>2241</v>
      </c>
      <c r="H777" s="5" t="s">
        <v>2257</v>
      </c>
      <c r="I777" s="5" t="s">
        <v>2262</v>
      </c>
      <c r="J777" s="5" t="s">
        <v>2266</v>
      </c>
      <c r="K777" s="8">
        <v>1</v>
      </c>
      <c r="L777" s="9">
        <v>135</v>
      </c>
      <c r="M777" s="10">
        <v>0.05</v>
      </c>
      <c r="N777" s="9">
        <f t="shared" si="154"/>
        <v>135</v>
      </c>
      <c r="O777" s="9">
        <f t="shared" si="144"/>
        <v>128.25</v>
      </c>
      <c r="P777" s="5" t="s">
        <v>2267</v>
      </c>
      <c r="Q777" s="5" t="s">
        <v>2272</v>
      </c>
      <c r="R777" s="5" t="s">
        <v>2278</v>
      </c>
      <c r="S777" s="5" t="s">
        <v>2280</v>
      </c>
      <c r="T777" s="5" t="s">
        <v>2288</v>
      </c>
      <c r="U777" s="8">
        <v>4</v>
      </c>
      <c r="V777" s="19">
        <v>244</v>
      </c>
      <c r="W777" s="8">
        <v>29</v>
      </c>
      <c r="X777" s="9">
        <v>47.84</v>
      </c>
      <c r="Y777" s="9">
        <f t="shared" si="145"/>
        <v>80.41</v>
      </c>
      <c r="Z777" s="5" t="s">
        <v>2293</v>
      </c>
      <c r="AA777" s="5" t="s">
        <v>2296</v>
      </c>
      <c r="AB777" s="9">
        <f t="shared" si="146"/>
        <v>135</v>
      </c>
      <c r="AC777" s="9">
        <f t="shared" si="147"/>
        <v>6.75</v>
      </c>
      <c r="AD777" s="9">
        <f t="shared" si="148"/>
        <v>128.25</v>
      </c>
      <c r="AE777" s="9">
        <f t="shared" si="149"/>
        <v>47.84</v>
      </c>
      <c r="AF777" s="9">
        <f t="shared" si="155"/>
        <v>80.41</v>
      </c>
      <c r="AG777" s="8">
        <f t="shared" si="150"/>
        <v>2024</v>
      </c>
      <c r="AH777" s="8">
        <f t="shared" si="151"/>
        <v>12</v>
      </c>
      <c r="AI777" s="5" t="str">
        <f t="shared" si="152"/>
        <v>Dec</v>
      </c>
      <c r="AJ777" s="5" t="str">
        <f t="shared" si="153"/>
        <v>Wednesday</v>
      </c>
    </row>
    <row r="778" spans="1:36" x14ac:dyDescent="0.3">
      <c r="A778" s="5" t="s">
        <v>812</v>
      </c>
      <c r="B778" s="6">
        <v>45381</v>
      </c>
      <c r="C778" s="7">
        <v>0.61805555555555558</v>
      </c>
      <c r="D778" s="5" t="s">
        <v>1782</v>
      </c>
      <c r="E778" s="5" t="s">
        <v>2076</v>
      </c>
      <c r="F778" s="5" t="s">
        <v>2240</v>
      </c>
      <c r="G778" s="5" t="s">
        <v>2249</v>
      </c>
      <c r="H778" s="5" t="s">
        <v>2257</v>
      </c>
      <c r="I778" s="5" t="s">
        <v>2263</v>
      </c>
      <c r="J778" s="5" t="s">
        <v>2266</v>
      </c>
      <c r="K778" s="8">
        <v>2</v>
      </c>
      <c r="L778" s="9">
        <v>170</v>
      </c>
      <c r="M778" s="10">
        <v>0.15</v>
      </c>
      <c r="N778" s="9">
        <f t="shared" si="154"/>
        <v>340</v>
      </c>
      <c r="O778" s="9">
        <f t="shared" si="144"/>
        <v>289</v>
      </c>
      <c r="P778" s="5" t="s">
        <v>2269</v>
      </c>
      <c r="Q778" s="5" t="s">
        <v>2272</v>
      </c>
      <c r="R778" s="5" t="s">
        <v>2278</v>
      </c>
      <c r="S778" s="5" t="s">
        <v>2282</v>
      </c>
      <c r="T778" s="5" t="s">
        <v>2290</v>
      </c>
      <c r="U778" s="8">
        <v>2</v>
      </c>
      <c r="V778" s="8">
        <v>251</v>
      </c>
      <c r="W778" s="8">
        <v>16</v>
      </c>
      <c r="X778" s="9">
        <v>63.54</v>
      </c>
      <c r="Y778" s="9">
        <f t="shared" si="145"/>
        <v>161.92000000000002</v>
      </c>
      <c r="Z778" s="5" t="s">
        <v>2291</v>
      </c>
      <c r="AA778" s="5" t="s">
        <v>2298</v>
      </c>
      <c r="AB778" s="9">
        <f t="shared" si="146"/>
        <v>340</v>
      </c>
      <c r="AC778" s="9">
        <f t="shared" si="147"/>
        <v>51</v>
      </c>
      <c r="AD778" s="9">
        <f t="shared" si="148"/>
        <v>289</v>
      </c>
      <c r="AE778" s="9">
        <f t="shared" si="149"/>
        <v>127.08</v>
      </c>
      <c r="AF778" s="9">
        <f t="shared" si="155"/>
        <v>161.92000000000002</v>
      </c>
      <c r="AG778" s="8">
        <f t="shared" si="150"/>
        <v>2024</v>
      </c>
      <c r="AH778" s="8">
        <f t="shared" si="151"/>
        <v>3</v>
      </c>
      <c r="AI778" s="5" t="str">
        <f t="shared" si="152"/>
        <v>Mar</v>
      </c>
      <c r="AJ778" s="5" t="str">
        <f t="shared" si="153"/>
        <v>Saturday</v>
      </c>
    </row>
    <row r="779" spans="1:36" x14ac:dyDescent="0.3">
      <c r="A779" s="5" t="s">
        <v>813</v>
      </c>
      <c r="B779" s="6">
        <v>45529</v>
      </c>
      <c r="C779" s="7">
        <v>0.76041666666666663</v>
      </c>
      <c r="D779" s="5" t="s">
        <v>1842</v>
      </c>
      <c r="E779" s="5" t="s">
        <v>1761</v>
      </c>
      <c r="F779" s="5" t="s">
        <v>2239</v>
      </c>
      <c r="G779" s="5" t="s">
        <v>2252</v>
      </c>
      <c r="H779" s="5" t="s">
        <v>2257</v>
      </c>
      <c r="I779" s="5" t="s">
        <v>2262</v>
      </c>
      <c r="J779" s="5" t="s">
        <v>1761</v>
      </c>
      <c r="K779" s="8">
        <v>1</v>
      </c>
      <c r="L779" s="9">
        <v>95</v>
      </c>
      <c r="M779" s="10">
        <v>0.1</v>
      </c>
      <c r="N779" s="9">
        <f t="shared" si="154"/>
        <v>95</v>
      </c>
      <c r="O779" s="9">
        <f t="shared" si="144"/>
        <v>85.5</v>
      </c>
      <c r="P779" s="5" t="s">
        <v>2267</v>
      </c>
      <c r="Q779" s="5" t="s">
        <v>2271</v>
      </c>
      <c r="R779" s="5" t="s">
        <v>2277</v>
      </c>
      <c r="S779" s="5" t="s">
        <v>2285</v>
      </c>
      <c r="T779" s="5" t="s">
        <v>2290</v>
      </c>
      <c r="U779" s="8">
        <v>5</v>
      </c>
      <c r="V779" s="8">
        <v>121</v>
      </c>
      <c r="W779" s="8">
        <v>33</v>
      </c>
      <c r="X779" s="9">
        <v>40.18</v>
      </c>
      <c r="Y779" s="9">
        <f t="shared" si="145"/>
        <v>45.32</v>
      </c>
      <c r="Z779" s="5" t="s">
        <v>2291</v>
      </c>
      <c r="AA779" s="5" t="s">
        <v>2296</v>
      </c>
      <c r="AB779" s="9">
        <f t="shared" si="146"/>
        <v>95</v>
      </c>
      <c r="AC779" s="9">
        <f t="shared" si="147"/>
        <v>9.5</v>
      </c>
      <c r="AD779" s="9">
        <f t="shared" si="148"/>
        <v>85.5</v>
      </c>
      <c r="AE779" s="9">
        <f t="shared" si="149"/>
        <v>40.18</v>
      </c>
      <c r="AF779" s="9">
        <f t="shared" si="155"/>
        <v>45.32</v>
      </c>
      <c r="AG779" s="8">
        <f t="shared" si="150"/>
        <v>2024</v>
      </c>
      <c r="AH779" s="8">
        <f t="shared" si="151"/>
        <v>8</v>
      </c>
      <c r="AI779" s="5" t="str">
        <f t="shared" si="152"/>
        <v>Aug</v>
      </c>
      <c r="AJ779" s="5" t="str">
        <f t="shared" si="153"/>
        <v>Sunday</v>
      </c>
    </row>
    <row r="780" spans="1:36" x14ac:dyDescent="0.3">
      <c r="A780" s="5" t="s">
        <v>814</v>
      </c>
      <c r="B780" s="6">
        <v>45363</v>
      </c>
      <c r="C780" s="7">
        <v>0.34722222222222221</v>
      </c>
      <c r="D780" s="5" t="s">
        <v>1832</v>
      </c>
      <c r="E780" s="5" t="s">
        <v>2001</v>
      </c>
      <c r="F780" s="5" t="s">
        <v>2238</v>
      </c>
      <c r="G780" s="5" t="s">
        <v>2247</v>
      </c>
      <c r="H780" s="5" t="s">
        <v>2257</v>
      </c>
      <c r="I780" s="5" t="s">
        <v>2262</v>
      </c>
      <c r="J780" s="5" t="s">
        <v>2264</v>
      </c>
      <c r="K780" s="8">
        <v>2</v>
      </c>
      <c r="L780" s="9">
        <v>105</v>
      </c>
      <c r="M780" s="10">
        <v>0.05</v>
      </c>
      <c r="N780" s="9">
        <f t="shared" si="154"/>
        <v>210</v>
      </c>
      <c r="O780" s="9">
        <f t="shared" si="144"/>
        <v>199.5</v>
      </c>
      <c r="P780" s="5" t="s">
        <v>2269</v>
      </c>
      <c r="Q780" s="5" t="s">
        <v>2272</v>
      </c>
      <c r="R780" s="5" t="s">
        <v>2275</v>
      </c>
      <c r="S780" s="5" t="s">
        <v>2285</v>
      </c>
      <c r="T780" s="5" t="s">
        <v>2288</v>
      </c>
      <c r="U780" s="8">
        <v>4</v>
      </c>
      <c r="V780" s="8">
        <v>498</v>
      </c>
      <c r="W780" s="8">
        <v>32</v>
      </c>
      <c r="X780" s="9">
        <v>40.94</v>
      </c>
      <c r="Y780" s="9">
        <f t="shared" si="145"/>
        <v>117.62</v>
      </c>
      <c r="Z780" s="5" t="s">
        <v>1761</v>
      </c>
      <c r="AA780" s="5" t="s">
        <v>2296</v>
      </c>
      <c r="AB780" s="9">
        <f t="shared" si="146"/>
        <v>210</v>
      </c>
      <c r="AC780" s="9">
        <f t="shared" si="147"/>
        <v>10.5</v>
      </c>
      <c r="AD780" s="9">
        <f t="shared" si="148"/>
        <v>199.5</v>
      </c>
      <c r="AE780" s="9">
        <f t="shared" si="149"/>
        <v>81.88</v>
      </c>
      <c r="AF780" s="9">
        <f t="shared" si="155"/>
        <v>117.62</v>
      </c>
      <c r="AG780" s="8">
        <f t="shared" si="150"/>
        <v>2024</v>
      </c>
      <c r="AH780" s="8">
        <f t="shared" si="151"/>
        <v>3</v>
      </c>
      <c r="AI780" s="5" t="str">
        <f t="shared" si="152"/>
        <v>Mar</v>
      </c>
      <c r="AJ780" s="5" t="str">
        <f t="shared" si="153"/>
        <v>Tuesday</v>
      </c>
    </row>
    <row r="781" spans="1:36" x14ac:dyDescent="0.3">
      <c r="A781" s="5" t="s">
        <v>815</v>
      </c>
      <c r="B781" s="6">
        <v>45555</v>
      </c>
      <c r="C781" s="7">
        <v>0.32291666666666669</v>
      </c>
      <c r="D781" s="5" t="s">
        <v>1761</v>
      </c>
      <c r="E781" s="5" t="s">
        <v>2115</v>
      </c>
      <c r="F781" s="5" t="s">
        <v>2238</v>
      </c>
      <c r="G781" s="5" t="s">
        <v>2243</v>
      </c>
      <c r="H781" s="5" t="s">
        <v>2258</v>
      </c>
      <c r="I781" s="5" t="s">
        <v>2260</v>
      </c>
      <c r="J781" s="5" t="s">
        <v>1761</v>
      </c>
      <c r="K781" s="8">
        <v>2</v>
      </c>
      <c r="L781" s="9">
        <v>70</v>
      </c>
      <c r="M781" s="10">
        <v>0.1</v>
      </c>
      <c r="N781" s="9">
        <f t="shared" si="154"/>
        <v>140</v>
      </c>
      <c r="O781" s="9">
        <f t="shared" si="144"/>
        <v>126</v>
      </c>
      <c r="P781" s="5" t="s">
        <v>2268</v>
      </c>
      <c r="Q781" s="5" t="s">
        <v>2270</v>
      </c>
      <c r="R781" s="5" t="s">
        <v>2277</v>
      </c>
      <c r="S781" s="5" t="s">
        <v>2280</v>
      </c>
      <c r="T781" s="5" t="s">
        <v>2288</v>
      </c>
      <c r="U781" s="8">
        <v>5</v>
      </c>
      <c r="V781" s="8">
        <v>188</v>
      </c>
      <c r="W781" s="8">
        <v>46</v>
      </c>
      <c r="X781" s="9">
        <v>32.39</v>
      </c>
      <c r="Y781" s="9">
        <f t="shared" si="145"/>
        <v>61.22</v>
      </c>
      <c r="Z781" s="5" t="s">
        <v>2293</v>
      </c>
      <c r="AA781" s="5" t="s">
        <v>2296</v>
      </c>
      <c r="AB781" s="9">
        <f t="shared" si="146"/>
        <v>140</v>
      </c>
      <c r="AC781" s="9">
        <f t="shared" si="147"/>
        <v>14</v>
      </c>
      <c r="AD781" s="9">
        <f t="shared" si="148"/>
        <v>126</v>
      </c>
      <c r="AE781" s="9">
        <f t="shared" si="149"/>
        <v>64.78</v>
      </c>
      <c r="AF781" s="9">
        <f t="shared" si="155"/>
        <v>61.22</v>
      </c>
      <c r="AG781" s="8">
        <f t="shared" si="150"/>
        <v>2024</v>
      </c>
      <c r="AH781" s="8">
        <f t="shared" si="151"/>
        <v>9</v>
      </c>
      <c r="AI781" s="5" t="str">
        <f t="shared" si="152"/>
        <v>Sep</v>
      </c>
      <c r="AJ781" s="5" t="str">
        <f t="shared" si="153"/>
        <v>Friday</v>
      </c>
    </row>
    <row r="782" spans="1:36" x14ac:dyDescent="0.3">
      <c r="A782" s="5" t="s">
        <v>816</v>
      </c>
      <c r="B782" s="6">
        <v>45331</v>
      </c>
      <c r="C782" s="7">
        <v>0.65625</v>
      </c>
      <c r="D782" s="5" t="s">
        <v>1877</v>
      </c>
      <c r="E782" s="5" t="s">
        <v>2189</v>
      </c>
      <c r="F782" s="5" t="s">
        <v>1761</v>
      </c>
      <c r="G782" s="5" t="s">
        <v>2250</v>
      </c>
      <c r="H782" s="5" t="s">
        <v>2259</v>
      </c>
      <c r="I782" s="5" t="s">
        <v>2262</v>
      </c>
      <c r="J782" s="5" t="s">
        <v>2266</v>
      </c>
      <c r="K782" s="8">
        <v>3</v>
      </c>
      <c r="L782" s="9">
        <v>80</v>
      </c>
      <c r="M782" s="10">
        <v>0.1</v>
      </c>
      <c r="N782" s="9">
        <f t="shared" si="154"/>
        <v>240</v>
      </c>
      <c r="O782" s="9">
        <f t="shared" si="144"/>
        <v>216</v>
      </c>
      <c r="P782" s="5" t="s">
        <v>2267</v>
      </c>
      <c r="Q782" s="5" t="s">
        <v>2270</v>
      </c>
      <c r="R782" s="5" t="s">
        <v>2274</v>
      </c>
      <c r="S782" s="5" t="s">
        <v>2287</v>
      </c>
      <c r="T782" s="5" t="s">
        <v>2288</v>
      </c>
      <c r="U782" s="8">
        <v>2</v>
      </c>
      <c r="V782" s="8">
        <v>37</v>
      </c>
      <c r="W782" s="8">
        <v>42</v>
      </c>
      <c r="X782" s="9">
        <v>28.62</v>
      </c>
      <c r="Y782" s="9">
        <f t="shared" si="145"/>
        <v>130.13999999999999</v>
      </c>
      <c r="Z782" s="5" t="s">
        <v>2291</v>
      </c>
      <c r="AA782" s="5" t="s">
        <v>2299</v>
      </c>
      <c r="AB782" s="9">
        <f t="shared" si="146"/>
        <v>240</v>
      </c>
      <c r="AC782" s="9">
        <f t="shared" si="147"/>
        <v>24</v>
      </c>
      <c r="AD782" s="9">
        <f t="shared" si="148"/>
        <v>216</v>
      </c>
      <c r="AE782" s="9">
        <f t="shared" si="149"/>
        <v>85.86</v>
      </c>
      <c r="AF782" s="9">
        <f t="shared" si="155"/>
        <v>130.13999999999999</v>
      </c>
      <c r="AG782" s="8">
        <f t="shared" si="150"/>
        <v>2024</v>
      </c>
      <c r="AH782" s="8">
        <f t="shared" si="151"/>
        <v>2</v>
      </c>
      <c r="AI782" s="5" t="str">
        <f t="shared" si="152"/>
        <v>Feb</v>
      </c>
      <c r="AJ782" s="5" t="str">
        <f t="shared" si="153"/>
        <v>Friday</v>
      </c>
    </row>
    <row r="783" spans="1:36" x14ac:dyDescent="0.3">
      <c r="A783" s="5" t="s">
        <v>817</v>
      </c>
      <c r="B783" s="6">
        <v>45588</v>
      </c>
      <c r="C783" s="7">
        <v>0.70138888888888884</v>
      </c>
      <c r="D783" s="5" t="s">
        <v>1805</v>
      </c>
      <c r="E783" s="5" t="s">
        <v>2142</v>
      </c>
      <c r="F783" s="5" t="s">
        <v>2240</v>
      </c>
      <c r="G783" s="5" t="s">
        <v>2241</v>
      </c>
      <c r="H783" s="5" t="s">
        <v>2257</v>
      </c>
      <c r="I783" s="5" t="s">
        <v>2262</v>
      </c>
      <c r="J783" s="5" t="s">
        <v>2266</v>
      </c>
      <c r="K783" s="8">
        <v>1</v>
      </c>
      <c r="L783" s="9">
        <v>125</v>
      </c>
      <c r="M783" s="10">
        <v>0.05</v>
      </c>
      <c r="N783" s="9">
        <f t="shared" si="154"/>
        <v>125</v>
      </c>
      <c r="O783" s="9">
        <f t="shared" si="144"/>
        <v>118.75</v>
      </c>
      <c r="P783" s="5" t="s">
        <v>2268</v>
      </c>
      <c r="Q783" s="5" t="s">
        <v>2271</v>
      </c>
      <c r="R783" s="5" t="s">
        <v>2273</v>
      </c>
      <c r="S783" s="5" t="s">
        <v>2286</v>
      </c>
      <c r="T783" s="5" t="s">
        <v>2290</v>
      </c>
      <c r="U783" s="8">
        <v>5</v>
      </c>
      <c r="V783" s="19">
        <v>244</v>
      </c>
      <c r="W783" s="8">
        <v>47</v>
      </c>
      <c r="X783" s="9">
        <v>74.23</v>
      </c>
      <c r="Y783" s="9">
        <f t="shared" si="145"/>
        <v>44.519999999999996</v>
      </c>
      <c r="Z783" s="5" t="s">
        <v>2293</v>
      </c>
      <c r="AA783" s="5" t="s">
        <v>1761</v>
      </c>
      <c r="AB783" s="9">
        <f t="shared" si="146"/>
        <v>125</v>
      </c>
      <c r="AC783" s="9">
        <f t="shared" si="147"/>
        <v>6.25</v>
      </c>
      <c r="AD783" s="9">
        <f t="shared" si="148"/>
        <v>118.75</v>
      </c>
      <c r="AE783" s="9">
        <f t="shared" si="149"/>
        <v>74.23</v>
      </c>
      <c r="AF783" s="9">
        <f t="shared" si="155"/>
        <v>44.519999999999996</v>
      </c>
      <c r="AG783" s="8">
        <f t="shared" si="150"/>
        <v>2024</v>
      </c>
      <c r="AH783" s="8">
        <f t="shared" si="151"/>
        <v>10</v>
      </c>
      <c r="AI783" s="5" t="str">
        <f t="shared" si="152"/>
        <v>Oct</v>
      </c>
      <c r="AJ783" s="5" t="str">
        <f t="shared" si="153"/>
        <v>Wednesday</v>
      </c>
    </row>
    <row r="784" spans="1:36" x14ac:dyDescent="0.3">
      <c r="A784" s="5" t="s">
        <v>818</v>
      </c>
      <c r="B784" s="6">
        <v>45328</v>
      </c>
      <c r="C784" s="7">
        <v>0.89583333333333337</v>
      </c>
      <c r="D784" s="5" t="s">
        <v>1813</v>
      </c>
      <c r="E784" s="5" t="s">
        <v>2027</v>
      </c>
      <c r="F784" s="5" t="s">
        <v>1761</v>
      </c>
      <c r="G784" s="5" t="s">
        <v>2247</v>
      </c>
      <c r="H784" s="5" t="s">
        <v>2257</v>
      </c>
      <c r="I784" s="5" t="s">
        <v>2262</v>
      </c>
      <c r="J784" s="5" t="s">
        <v>2264</v>
      </c>
      <c r="K784" s="8">
        <v>1</v>
      </c>
      <c r="L784" s="9">
        <v>110</v>
      </c>
      <c r="M784" s="10">
        <v>0.05</v>
      </c>
      <c r="N784" s="9">
        <f t="shared" si="154"/>
        <v>110</v>
      </c>
      <c r="O784" s="9">
        <f t="shared" si="144"/>
        <v>104.5</v>
      </c>
      <c r="P784" s="5" t="s">
        <v>2267</v>
      </c>
      <c r="Q784" s="5" t="s">
        <v>2271</v>
      </c>
      <c r="R784" s="5" t="s">
        <v>2274</v>
      </c>
      <c r="S784" s="5" t="s">
        <v>2284</v>
      </c>
      <c r="T784" s="5" t="s">
        <v>2288</v>
      </c>
      <c r="U784" s="19">
        <v>3</v>
      </c>
      <c r="V784" s="8">
        <v>456</v>
      </c>
      <c r="W784" s="8">
        <v>35</v>
      </c>
      <c r="X784" s="9">
        <v>57.02</v>
      </c>
      <c r="Y784" s="9">
        <f t="shared" si="145"/>
        <v>47.48</v>
      </c>
      <c r="Z784" s="5" t="s">
        <v>2294</v>
      </c>
      <c r="AA784" s="5" t="s">
        <v>2296</v>
      </c>
      <c r="AB784" s="9">
        <f t="shared" si="146"/>
        <v>110</v>
      </c>
      <c r="AC784" s="9">
        <f t="shared" si="147"/>
        <v>5.5</v>
      </c>
      <c r="AD784" s="9">
        <f t="shared" si="148"/>
        <v>104.5</v>
      </c>
      <c r="AE784" s="9">
        <f t="shared" si="149"/>
        <v>57.02</v>
      </c>
      <c r="AF784" s="9">
        <f t="shared" si="155"/>
        <v>47.48</v>
      </c>
      <c r="AG784" s="8">
        <f t="shared" si="150"/>
        <v>2024</v>
      </c>
      <c r="AH784" s="8">
        <f t="shared" si="151"/>
        <v>2</v>
      </c>
      <c r="AI784" s="5" t="str">
        <f t="shared" si="152"/>
        <v>Feb</v>
      </c>
      <c r="AJ784" s="5" t="str">
        <f t="shared" si="153"/>
        <v>Tuesday</v>
      </c>
    </row>
    <row r="785" spans="1:36" x14ac:dyDescent="0.3">
      <c r="A785" s="5" t="s">
        <v>819</v>
      </c>
      <c r="B785" s="6">
        <v>45372</v>
      </c>
      <c r="C785" s="7">
        <v>0.59375</v>
      </c>
      <c r="D785" s="5" t="s">
        <v>1902</v>
      </c>
      <c r="E785" s="5" t="s">
        <v>2036</v>
      </c>
      <c r="F785" s="5" t="s">
        <v>2239</v>
      </c>
      <c r="G785" s="5" t="s">
        <v>2249</v>
      </c>
      <c r="H785" s="5" t="s">
        <v>2257</v>
      </c>
      <c r="I785" s="5" t="s">
        <v>2263</v>
      </c>
      <c r="J785" s="5" t="s">
        <v>2266</v>
      </c>
      <c r="K785" s="8">
        <v>1</v>
      </c>
      <c r="L785" s="9">
        <v>165</v>
      </c>
      <c r="M785" s="10">
        <v>0.1</v>
      </c>
      <c r="N785" s="9">
        <f t="shared" si="154"/>
        <v>165</v>
      </c>
      <c r="O785" s="9">
        <f t="shared" si="144"/>
        <v>148.5</v>
      </c>
      <c r="P785" s="5" t="s">
        <v>2267</v>
      </c>
      <c r="Q785" s="5" t="s">
        <v>2272</v>
      </c>
      <c r="R785" s="5" t="s">
        <v>2279</v>
      </c>
      <c r="S785" s="5" t="s">
        <v>2285</v>
      </c>
      <c r="T785" s="5" t="s">
        <v>2288</v>
      </c>
      <c r="U785" s="8">
        <v>5</v>
      </c>
      <c r="V785" s="8">
        <v>380</v>
      </c>
      <c r="W785" s="19">
        <v>35</v>
      </c>
      <c r="X785" s="9">
        <v>80.38</v>
      </c>
      <c r="Y785" s="9">
        <f t="shared" si="145"/>
        <v>68.12</v>
      </c>
      <c r="Z785" s="5" t="s">
        <v>2293</v>
      </c>
      <c r="AA785" s="5" t="s">
        <v>1761</v>
      </c>
      <c r="AB785" s="9">
        <f t="shared" si="146"/>
        <v>165</v>
      </c>
      <c r="AC785" s="9">
        <f t="shared" si="147"/>
        <v>16.5</v>
      </c>
      <c r="AD785" s="9">
        <f t="shared" si="148"/>
        <v>148.5</v>
      </c>
      <c r="AE785" s="9">
        <f t="shared" si="149"/>
        <v>80.38</v>
      </c>
      <c r="AF785" s="9">
        <f t="shared" si="155"/>
        <v>68.12</v>
      </c>
      <c r="AG785" s="8">
        <f t="shared" si="150"/>
        <v>2024</v>
      </c>
      <c r="AH785" s="8">
        <f t="shared" si="151"/>
        <v>3</v>
      </c>
      <c r="AI785" s="5" t="str">
        <f t="shared" si="152"/>
        <v>Mar</v>
      </c>
      <c r="AJ785" s="5" t="str">
        <f t="shared" si="153"/>
        <v>Thursday</v>
      </c>
    </row>
    <row r="786" spans="1:36" x14ac:dyDescent="0.3">
      <c r="A786" s="5" t="s">
        <v>820</v>
      </c>
      <c r="B786" s="6">
        <v>45596</v>
      </c>
      <c r="C786" s="7">
        <v>0.59027777777777779</v>
      </c>
      <c r="D786" s="5" t="s">
        <v>1898</v>
      </c>
      <c r="E786" s="5" t="s">
        <v>2150</v>
      </c>
      <c r="F786" s="5" t="s">
        <v>1761</v>
      </c>
      <c r="G786" s="5" t="s">
        <v>2250</v>
      </c>
      <c r="H786" s="5" t="s">
        <v>2259</v>
      </c>
      <c r="I786" s="5" t="s">
        <v>2262</v>
      </c>
      <c r="J786" s="5" t="s">
        <v>2265</v>
      </c>
      <c r="K786" s="8">
        <v>1</v>
      </c>
      <c r="L786" s="9">
        <v>90</v>
      </c>
      <c r="M786" s="10">
        <v>0.1</v>
      </c>
      <c r="N786" s="9">
        <f t="shared" si="154"/>
        <v>90</v>
      </c>
      <c r="O786" s="9">
        <f t="shared" si="144"/>
        <v>81</v>
      </c>
      <c r="P786" s="5" t="s">
        <v>2268</v>
      </c>
      <c r="Q786" s="5" t="s">
        <v>1761</v>
      </c>
      <c r="R786" s="5" t="s">
        <v>2277</v>
      </c>
      <c r="S786" s="5" t="s">
        <v>2283</v>
      </c>
      <c r="T786" s="5" t="s">
        <v>2290</v>
      </c>
      <c r="U786" s="8">
        <v>3</v>
      </c>
      <c r="V786" s="8">
        <v>254</v>
      </c>
      <c r="W786" s="8">
        <v>26</v>
      </c>
      <c r="X786" s="9">
        <v>36.53</v>
      </c>
      <c r="Y786" s="9">
        <f t="shared" si="145"/>
        <v>44.47</v>
      </c>
      <c r="Z786" s="5" t="s">
        <v>1761</v>
      </c>
      <c r="AA786" s="5" t="s">
        <v>2297</v>
      </c>
      <c r="AB786" s="9">
        <f t="shared" si="146"/>
        <v>90</v>
      </c>
      <c r="AC786" s="9">
        <f t="shared" si="147"/>
        <v>9</v>
      </c>
      <c r="AD786" s="9">
        <f t="shared" si="148"/>
        <v>81</v>
      </c>
      <c r="AE786" s="9">
        <f t="shared" si="149"/>
        <v>36.53</v>
      </c>
      <c r="AF786" s="9">
        <f t="shared" si="155"/>
        <v>44.47</v>
      </c>
      <c r="AG786" s="8">
        <f t="shared" si="150"/>
        <v>2024</v>
      </c>
      <c r="AH786" s="8">
        <f t="shared" si="151"/>
        <v>10</v>
      </c>
      <c r="AI786" s="5" t="str">
        <f t="shared" si="152"/>
        <v>Oct</v>
      </c>
      <c r="AJ786" s="5" t="str">
        <f t="shared" si="153"/>
        <v>Thursday</v>
      </c>
    </row>
    <row r="787" spans="1:36" x14ac:dyDescent="0.3">
      <c r="A787" s="5" t="s">
        <v>821</v>
      </c>
      <c r="B787" s="6">
        <v>45447</v>
      </c>
      <c r="C787" s="7">
        <v>0.39583333333333331</v>
      </c>
      <c r="D787" s="5" t="s">
        <v>1835</v>
      </c>
      <c r="E787" s="5" t="s">
        <v>2152</v>
      </c>
      <c r="F787" s="5" t="s">
        <v>2238</v>
      </c>
      <c r="G787" s="5" t="s">
        <v>2256</v>
      </c>
      <c r="H787" s="5" t="s">
        <v>2261</v>
      </c>
      <c r="I787" s="5" t="s">
        <v>2260</v>
      </c>
      <c r="J787" s="5" t="s">
        <v>2265</v>
      </c>
      <c r="K787" s="8">
        <v>1</v>
      </c>
      <c r="L787" s="9">
        <v>190</v>
      </c>
      <c r="M787" s="10">
        <v>0</v>
      </c>
      <c r="N787" s="9">
        <f t="shared" si="154"/>
        <v>190</v>
      </c>
      <c r="O787" s="9">
        <f t="shared" si="144"/>
        <v>190</v>
      </c>
      <c r="P787" s="5" t="s">
        <v>2267</v>
      </c>
      <c r="Q787" s="5" t="s">
        <v>2270</v>
      </c>
      <c r="R787" s="5" t="s">
        <v>2277</v>
      </c>
      <c r="S787" s="5" t="s">
        <v>2281</v>
      </c>
      <c r="T787" s="5" t="s">
        <v>2288</v>
      </c>
      <c r="U787" s="8">
        <v>2</v>
      </c>
      <c r="V787" s="8">
        <v>53</v>
      </c>
      <c r="W787" s="8">
        <v>40</v>
      </c>
      <c r="X787" s="9">
        <v>67.599999999999994</v>
      </c>
      <c r="Y787" s="9">
        <f t="shared" si="145"/>
        <v>122.4</v>
      </c>
      <c r="Z787" s="5" t="s">
        <v>1761</v>
      </c>
      <c r="AA787" s="5" t="s">
        <v>2298</v>
      </c>
      <c r="AB787" s="9">
        <f t="shared" si="146"/>
        <v>190</v>
      </c>
      <c r="AC787" s="9">
        <f t="shared" si="147"/>
        <v>0</v>
      </c>
      <c r="AD787" s="9">
        <f t="shared" si="148"/>
        <v>190</v>
      </c>
      <c r="AE787" s="9">
        <f t="shared" si="149"/>
        <v>67.599999999999994</v>
      </c>
      <c r="AF787" s="9">
        <f t="shared" si="155"/>
        <v>122.4</v>
      </c>
      <c r="AG787" s="8">
        <f t="shared" si="150"/>
        <v>2024</v>
      </c>
      <c r="AH787" s="8">
        <f t="shared" si="151"/>
        <v>6</v>
      </c>
      <c r="AI787" s="5" t="str">
        <f t="shared" si="152"/>
        <v>Jun</v>
      </c>
      <c r="AJ787" s="5" t="str">
        <f t="shared" si="153"/>
        <v>Tuesday</v>
      </c>
    </row>
    <row r="788" spans="1:36" x14ac:dyDescent="0.3">
      <c r="A788" s="5" t="s">
        <v>822</v>
      </c>
      <c r="B788" s="6">
        <v>45521</v>
      </c>
      <c r="C788" s="7">
        <v>0.71875</v>
      </c>
      <c r="D788" s="5" t="s">
        <v>1936</v>
      </c>
      <c r="E788" s="5" t="s">
        <v>2015</v>
      </c>
      <c r="F788" s="5" t="s">
        <v>2239</v>
      </c>
      <c r="G788" s="5" t="s">
        <v>2250</v>
      </c>
      <c r="H788" s="5" t="s">
        <v>2259</v>
      </c>
      <c r="I788" s="5" t="s">
        <v>2262</v>
      </c>
      <c r="J788" s="5" t="s">
        <v>2264</v>
      </c>
      <c r="K788" s="8">
        <v>2</v>
      </c>
      <c r="L788" s="9">
        <v>75</v>
      </c>
      <c r="M788" s="10">
        <v>0.1</v>
      </c>
      <c r="N788" s="9">
        <f t="shared" si="154"/>
        <v>150</v>
      </c>
      <c r="O788" s="9">
        <f t="shared" si="144"/>
        <v>135</v>
      </c>
      <c r="P788" s="5" t="s">
        <v>2269</v>
      </c>
      <c r="Q788" s="5" t="s">
        <v>1761</v>
      </c>
      <c r="R788" s="5" t="s">
        <v>2278</v>
      </c>
      <c r="S788" s="5" t="s">
        <v>2285</v>
      </c>
      <c r="T788" s="5" t="s">
        <v>2288</v>
      </c>
      <c r="U788" s="8">
        <v>5</v>
      </c>
      <c r="V788" s="8">
        <v>54</v>
      </c>
      <c r="W788" s="19">
        <v>36</v>
      </c>
      <c r="X788" s="9">
        <v>31.64</v>
      </c>
      <c r="Y788" s="9">
        <f t="shared" si="145"/>
        <v>71.72</v>
      </c>
      <c r="Z788" s="5" t="s">
        <v>1761</v>
      </c>
      <c r="AA788" s="5" t="s">
        <v>2297</v>
      </c>
      <c r="AB788" s="9">
        <f t="shared" si="146"/>
        <v>150</v>
      </c>
      <c r="AC788" s="9">
        <f t="shared" si="147"/>
        <v>15</v>
      </c>
      <c r="AD788" s="9">
        <f t="shared" si="148"/>
        <v>135</v>
      </c>
      <c r="AE788" s="9">
        <f t="shared" si="149"/>
        <v>63.28</v>
      </c>
      <c r="AF788" s="9">
        <f t="shared" si="155"/>
        <v>71.72</v>
      </c>
      <c r="AG788" s="8">
        <f t="shared" si="150"/>
        <v>2024</v>
      </c>
      <c r="AH788" s="8">
        <f t="shared" si="151"/>
        <v>8</v>
      </c>
      <c r="AI788" s="5" t="str">
        <f t="shared" si="152"/>
        <v>Aug</v>
      </c>
      <c r="AJ788" s="5" t="str">
        <f t="shared" si="153"/>
        <v>Saturday</v>
      </c>
    </row>
    <row r="789" spans="1:36" x14ac:dyDescent="0.3">
      <c r="A789" s="5" t="s">
        <v>823</v>
      </c>
      <c r="B789" s="6">
        <v>45473</v>
      </c>
      <c r="C789" s="7">
        <v>0.70833333333333337</v>
      </c>
      <c r="D789" s="5" t="s">
        <v>1891</v>
      </c>
      <c r="E789" s="5" t="s">
        <v>2027</v>
      </c>
      <c r="F789" s="5" t="s">
        <v>2240</v>
      </c>
      <c r="G789" s="5" t="s">
        <v>2252</v>
      </c>
      <c r="H789" s="5" t="s">
        <v>2257</v>
      </c>
      <c r="I789" s="5" t="s">
        <v>2262</v>
      </c>
      <c r="J789" s="5" t="s">
        <v>2264</v>
      </c>
      <c r="K789" s="8">
        <v>1</v>
      </c>
      <c r="L789" s="9">
        <v>100</v>
      </c>
      <c r="M789" s="10">
        <v>0</v>
      </c>
      <c r="N789" s="9">
        <f t="shared" si="154"/>
        <v>100</v>
      </c>
      <c r="O789" s="9">
        <f t="shared" si="144"/>
        <v>100</v>
      </c>
      <c r="P789" s="5" t="s">
        <v>2269</v>
      </c>
      <c r="Q789" s="5" t="s">
        <v>2270</v>
      </c>
      <c r="R789" s="5" t="s">
        <v>2275</v>
      </c>
      <c r="S789" s="5" t="s">
        <v>2285</v>
      </c>
      <c r="T789" s="5" t="s">
        <v>2288</v>
      </c>
      <c r="U789" s="8">
        <v>4</v>
      </c>
      <c r="V789" s="8">
        <v>448</v>
      </c>
      <c r="W789" s="19">
        <v>34</v>
      </c>
      <c r="X789" s="9">
        <v>44.61</v>
      </c>
      <c r="Y789" s="9">
        <f t="shared" si="145"/>
        <v>55.39</v>
      </c>
      <c r="Z789" s="5" t="s">
        <v>2293</v>
      </c>
      <c r="AA789" s="5" t="s">
        <v>2299</v>
      </c>
      <c r="AB789" s="9">
        <f t="shared" si="146"/>
        <v>100</v>
      </c>
      <c r="AC789" s="9">
        <f t="shared" si="147"/>
        <v>0</v>
      </c>
      <c r="AD789" s="9">
        <f t="shared" si="148"/>
        <v>100</v>
      </c>
      <c r="AE789" s="9">
        <f t="shared" si="149"/>
        <v>44.61</v>
      </c>
      <c r="AF789" s="9">
        <f t="shared" si="155"/>
        <v>55.39</v>
      </c>
      <c r="AG789" s="8">
        <f t="shared" si="150"/>
        <v>2024</v>
      </c>
      <c r="AH789" s="8">
        <f t="shared" si="151"/>
        <v>6</v>
      </c>
      <c r="AI789" s="5" t="str">
        <f t="shared" si="152"/>
        <v>Jun</v>
      </c>
      <c r="AJ789" s="5" t="str">
        <f t="shared" si="153"/>
        <v>Sunday</v>
      </c>
    </row>
    <row r="790" spans="1:36" x14ac:dyDescent="0.3">
      <c r="A790" s="5" t="s">
        <v>824</v>
      </c>
      <c r="B790" s="6">
        <v>45377</v>
      </c>
      <c r="C790" s="7">
        <v>0.90625</v>
      </c>
      <c r="D790" s="5" t="s">
        <v>1908</v>
      </c>
      <c r="E790" s="5" t="s">
        <v>2216</v>
      </c>
      <c r="F790" s="5" t="s">
        <v>2239</v>
      </c>
      <c r="G790" s="5" t="s">
        <v>2242</v>
      </c>
      <c r="H790" s="5" t="s">
        <v>2258</v>
      </c>
      <c r="I790" s="5" t="s">
        <v>2260</v>
      </c>
      <c r="J790" s="5" t="s">
        <v>2265</v>
      </c>
      <c r="K790" s="8">
        <v>1</v>
      </c>
      <c r="L790" s="9">
        <v>125</v>
      </c>
      <c r="M790" s="10">
        <v>0.05</v>
      </c>
      <c r="N790" s="9">
        <f t="shared" si="154"/>
        <v>125</v>
      </c>
      <c r="O790" s="9">
        <f t="shared" si="144"/>
        <v>118.75</v>
      </c>
      <c r="P790" s="5" t="s">
        <v>2268</v>
      </c>
      <c r="Q790" s="5" t="s">
        <v>2272</v>
      </c>
      <c r="R790" s="5" t="s">
        <v>2279</v>
      </c>
      <c r="S790" s="5" t="s">
        <v>2280</v>
      </c>
      <c r="T790" s="5" t="s">
        <v>2288</v>
      </c>
      <c r="U790" s="8">
        <v>4</v>
      </c>
      <c r="V790" s="8">
        <v>407</v>
      </c>
      <c r="W790" s="8">
        <v>24</v>
      </c>
      <c r="X790" s="9">
        <v>71.8</v>
      </c>
      <c r="Y790" s="9">
        <f t="shared" si="145"/>
        <v>46.95</v>
      </c>
      <c r="Z790" s="5" t="s">
        <v>2293</v>
      </c>
      <c r="AA790" s="5" t="s">
        <v>2299</v>
      </c>
      <c r="AB790" s="9">
        <f t="shared" si="146"/>
        <v>125</v>
      </c>
      <c r="AC790" s="9">
        <f t="shared" si="147"/>
        <v>6.25</v>
      </c>
      <c r="AD790" s="9">
        <f t="shared" si="148"/>
        <v>118.75</v>
      </c>
      <c r="AE790" s="9">
        <f t="shared" si="149"/>
        <v>71.8</v>
      </c>
      <c r="AF790" s="9">
        <f t="shared" si="155"/>
        <v>46.95</v>
      </c>
      <c r="AG790" s="8">
        <f t="shared" si="150"/>
        <v>2024</v>
      </c>
      <c r="AH790" s="8">
        <f t="shared" si="151"/>
        <v>3</v>
      </c>
      <c r="AI790" s="5" t="str">
        <f t="shared" si="152"/>
        <v>Mar</v>
      </c>
      <c r="AJ790" s="5" t="str">
        <f t="shared" si="153"/>
        <v>Tuesday</v>
      </c>
    </row>
    <row r="791" spans="1:36" x14ac:dyDescent="0.3">
      <c r="A791" s="5" t="s">
        <v>825</v>
      </c>
      <c r="B791" s="6">
        <v>45466</v>
      </c>
      <c r="C791" s="7">
        <v>0.63888888888888884</v>
      </c>
      <c r="D791" s="5" t="s">
        <v>1781</v>
      </c>
      <c r="E791" s="5" t="s">
        <v>2130</v>
      </c>
      <c r="F791" s="5" t="s">
        <v>2239</v>
      </c>
      <c r="G791" s="5" t="s">
        <v>2241</v>
      </c>
      <c r="H791" s="5" t="s">
        <v>2257</v>
      </c>
      <c r="I791" s="5" t="s">
        <v>2262</v>
      </c>
      <c r="J791" s="5" t="s">
        <v>1761</v>
      </c>
      <c r="K791" s="8">
        <v>3</v>
      </c>
      <c r="L791" s="9">
        <v>135</v>
      </c>
      <c r="M791" s="10">
        <v>0</v>
      </c>
      <c r="N791" s="9">
        <f t="shared" si="154"/>
        <v>405</v>
      </c>
      <c r="O791" s="9">
        <f t="shared" si="144"/>
        <v>405</v>
      </c>
      <c r="P791" s="5" t="s">
        <v>2269</v>
      </c>
      <c r="Q791" s="5" t="s">
        <v>2271</v>
      </c>
      <c r="R791" s="5" t="s">
        <v>2278</v>
      </c>
      <c r="S791" s="5" t="s">
        <v>2285</v>
      </c>
      <c r="T791" s="5" t="s">
        <v>2288</v>
      </c>
      <c r="U791" s="8">
        <v>4</v>
      </c>
      <c r="V791" s="19">
        <v>244</v>
      </c>
      <c r="W791" s="19">
        <v>37</v>
      </c>
      <c r="X791" s="9">
        <v>46.34</v>
      </c>
      <c r="Y791" s="9">
        <f t="shared" si="145"/>
        <v>265.98</v>
      </c>
      <c r="Z791" s="5" t="s">
        <v>1761</v>
      </c>
      <c r="AA791" s="5" t="s">
        <v>2298</v>
      </c>
      <c r="AB791" s="9">
        <f t="shared" si="146"/>
        <v>405</v>
      </c>
      <c r="AC791" s="9">
        <f t="shared" si="147"/>
        <v>0</v>
      </c>
      <c r="AD791" s="9">
        <f t="shared" si="148"/>
        <v>405</v>
      </c>
      <c r="AE791" s="9">
        <f t="shared" si="149"/>
        <v>139.02000000000001</v>
      </c>
      <c r="AF791" s="9">
        <f t="shared" si="155"/>
        <v>265.98</v>
      </c>
      <c r="AG791" s="8">
        <f t="shared" si="150"/>
        <v>2024</v>
      </c>
      <c r="AH791" s="8">
        <f t="shared" si="151"/>
        <v>6</v>
      </c>
      <c r="AI791" s="5" t="str">
        <f t="shared" si="152"/>
        <v>Jun</v>
      </c>
      <c r="AJ791" s="5" t="str">
        <f t="shared" si="153"/>
        <v>Sunday</v>
      </c>
    </row>
    <row r="792" spans="1:36" x14ac:dyDescent="0.3">
      <c r="A792" s="5" t="s">
        <v>826</v>
      </c>
      <c r="B792" s="6">
        <v>45609</v>
      </c>
      <c r="C792" s="7">
        <v>0.55208333333333337</v>
      </c>
      <c r="D792" s="5" t="s">
        <v>1829</v>
      </c>
      <c r="E792" s="5" t="s">
        <v>2145</v>
      </c>
      <c r="F792" s="5" t="s">
        <v>2239</v>
      </c>
      <c r="G792" s="5" t="s">
        <v>2246</v>
      </c>
      <c r="H792" s="5" t="s">
        <v>2259</v>
      </c>
      <c r="I792" s="5" t="s">
        <v>2262</v>
      </c>
      <c r="J792" s="5" t="s">
        <v>2265</v>
      </c>
      <c r="K792" s="8">
        <v>1</v>
      </c>
      <c r="L792" s="9">
        <v>90</v>
      </c>
      <c r="M792" s="10">
        <v>0.05</v>
      </c>
      <c r="N792" s="9">
        <f t="shared" si="154"/>
        <v>90</v>
      </c>
      <c r="O792" s="9">
        <f t="shared" si="144"/>
        <v>85.5</v>
      </c>
      <c r="P792" s="5" t="s">
        <v>1761</v>
      </c>
      <c r="Q792" s="5" t="s">
        <v>2272</v>
      </c>
      <c r="R792" s="5" t="s">
        <v>2278</v>
      </c>
      <c r="S792" s="5" t="s">
        <v>2284</v>
      </c>
      <c r="T792" s="5" t="s">
        <v>2288</v>
      </c>
      <c r="U792" s="19">
        <v>3</v>
      </c>
      <c r="V792" s="8">
        <v>446</v>
      </c>
      <c r="W792" s="8">
        <v>52</v>
      </c>
      <c r="X792" s="9">
        <v>51.28</v>
      </c>
      <c r="Y792" s="9">
        <f t="shared" si="145"/>
        <v>34.22</v>
      </c>
      <c r="Z792" s="5" t="s">
        <v>2293</v>
      </c>
      <c r="AA792" s="5" t="s">
        <v>1761</v>
      </c>
      <c r="AB792" s="9">
        <f t="shared" si="146"/>
        <v>90</v>
      </c>
      <c r="AC792" s="9">
        <f t="shared" si="147"/>
        <v>4.5</v>
      </c>
      <c r="AD792" s="9">
        <f t="shared" si="148"/>
        <v>85.5</v>
      </c>
      <c r="AE792" s="9">
        <f t="shared" si="149"/>
        <v>51.28</v>
      </c>
      <c r="AF792" s="9">
        <f t="shared" si="155"/>
        <v>34.22</v>
      </c>
      <c r="AG792" s="8">
        <f t="shared" si="150"/>
        <v>2024</v>
      </c>
      <c r="AH792" s="8">
        <f t="shared" si="151"/>
        <v>11</v>
      </c>
      <c r="AI792" s="5" t="str">
        <f t="shared" si="152"/>
        <v>Nov</v>
      </c>
      <c r="AJ792" s="5" t="str">
        <f t="shared" si="153"/>
        <v>Wednesday</v>
      </c>
    </row>
    <row r="793" spans="1:36" x14ac:dyDescent="0.3">
      <c r="A793" s="5" t="s">
        <v>827</v>
      </c>
      <c r="B793" s="6">
        <v>45387</v>
      </c>
      <c r="C793" s="7">
        <v>0.375</v>
      </c>
      <c r="D793" s="5" t="s">
        <v>1919</v>
      </c>
      <c r="E793" s="5" t="s">
        <v>2134</v>
      </c>
      <c r="F793" s="5" t="s">
        <v>2239</v>
      </c>
      <c r="G793" s="5" t="s">
        <v>2245</v>
      </c>
      <c r="H793" s="5" t="s">
        <v>2257</v>
      </c>
      <c r="I793" s="5" t="s">
        <v>2263</v>
      </c>
      <c r="J793" s="5" t="s">
        <v>2266</v>
      </c>
      <c r="K793" s="8">
        <v>1</v>
      </c>
      <c r="L793" s="9">
        <v>150</v>
      </c>
      <c r="M793" s="10">
        <v>0.1</v>
      </c>
      <c r="N793" s="9">
        <f t="shared" si="154"/>
        <v>150</v>
      </c>
      <c r="O793" s="9">
        <f t="shared" si="144"/>
        <v>135</v>
      </c>
      <c r="P793" s="5" t="s">
        <v>2268</v>
      </c>
      <c r="Q793" s="5" t="s">
        <v>2271</v>
      </c>
      <c r="R793" s="5" t="s">
        <v>2274</v>
      </c>
      <c r="S793" s="5" t="s">
        <v>2283</v>
      </c>
      <c r="T793" s="5" t="s">
        <v>2288</v>
      </c>
      <c r="U793" s="8">
        <v>1</v>
      </c>
      <c r="V793" s="8">
        <v>493</v>
      </c>
      <c r="W793" s="8">
        <v>39</v>
      </c>
      <c r="X793" s="9">
        <v>71.11</v>
      </c>
      <c r="Y793" s="9">
        <f t="shared" si="145"/>
        <v>63.89</v>
      </c>
      <c r="Z793" s="5" t="s">
        <v>2293</v>
      </c>
      <c r="AA793" s="5" t="s">
        <v>2298</v>
      </c>
      <c r="AB793" s="9">
        <f t="shared" si="146"/>
        <v>150</v>
      </c>
      <c r="AC793" s="9">
        <f t="shared" si="147"/>
        <v>15</v>
      </c>
      <c r="AD793" s="9">
        <f t="shared" si="148"/>
        <v>135</v>
      </c>
      <c r="AE793" s="9">
        <f t="shared" si="149"/>
        <v>71.11</v>
      </c>
      <c r="AF793" s="9">
        <f t="shared" si="155"/>
        <v>63.89</v>
      </c>
      <c r="AG793" s="8">
        <f t="shared" si="150"/>
        <v>2024</v>
      </c>
      <c r="AH793" s="8">
        <f t="shared" si="151"/>
        <v>4</v>
      </c>
      <c r="AI793" s="5" t="str">
        <f t="shared" si="152"/>
        <v>Apr</v>
      </c>
      <c r="AJ793" s="5" t="str">
        <f t="shared" si="153"/>
        <v>Friday</v>
      </c>
    </row>
    <row r="794" spans="1:36" x14ac:dyDescent="0.3">
      <c r="A794" s="5" t="s">
        <v>828</v>
      </c>
      <c r="B794" s="6">
        <v>45334</v>
      </c>
      <c r="C794" s="7">
        <v>0.46527777777777779</v>
      </c>
      <c r="D794" s="5" t="s">
        <v>1786</v>
      </c>
      <c r="E794" s="5" t="s">
        <v>2025</v>
      </c>
      <c r="F794" s="5" t="s">
        <v>2240</v>
      </c>
      <c r="G794" s="5" t="s">
        <v>2242</v>
      </c>
      <c r="H794" s="5" t="s">
        <v>2258</v>
      </c>
      <c r="I794" s="5" t="s">
        <v>2260</v>
      </c>
      <c r="J794" s="5" t="s">
        <v>2266</v>
      </c>
      <c r="K794" s="8">
        <v>1</v>
      </c>
      <c r="L794" s="9">
        <v>130</v>
      </c>
      <c r="M794" s="10">
        <v>0.15</v>
      </c>
      <c r="N794" s="9">
        <f t="shared" si="154"/>
        <v>130</v>
      </c>
      <c r="O794" s="9">
        <f t="shared" si="144"/>
        <v>110.5</v>
      </c>
      <c r="P794" s="5" t="s">
        <v>2267</v>
      </c>
      <c r="Q794" s="5" t="s">
        <v>2271</v>
      </c>
      <c r="R794" s="5" t="s">
        <v>2278</v>
      </c>
      <c r="S794" s="5" t="s">
        <v>2287</v>
      </c>
      <c r="T794" s="5" t="s">
        <v>2290</v>
      </c>
      <c r="U794" s="8">
        <v>5</v>
      </c>
      <c r="V794" s="8">
        <v>56</v>
      </c>
      <c r="W794" s="8">
        <v>36</v>
      </c>
      <c r="X794" s="9">
        <v>69.97</v>
      </c>
      <c r="Y794" s="9">
        <f t="shared" si="145"/>
        <v>40.53</v>
      </c>
      <c r="Z794" s="5" t="s">
        <v>2293</v>
      </c>
      <c r="AA794" s="5" t="s">
        <v>2296</v>
      </c>
      <c r="AB794" s="9">
        <f t="shared" si="146"/>
        <v>130</v>
      </c>
      <c r="AC794" s="9">
        <f t="shared" si="147"/>
        <v>19.5</v>
      </c>
      <c r="AD794" s="9">
        <f t="shared" si="148"/>
        <v>110.5</v>
      </c>
      <c r="AE794" s="9">
        <f t="shared" si="149"/>
        <v>69.97</v>
      </c>
      <c r="AF794" s="9">
        <f t="shared" si="155"/>
        <v>40.53</v>
      </c>
      <c r="AG794" s="8">
        <f t="shared" si="150"/>
        <v>2024</v>
      </c>
      <c r="AH794" s="8">
        <f t="shared" si="151"/>
        <v>2</v>
      </c>
      <c r="AI794" s="5" t="str">
        <f t="shared" si="152"/>
        <v>Feb</v>
      </c>
      <c r="AJ794" s="5" t="str">
        <f t="shared" si="153"/>
        <v>Monday</v>
      </c>
    </row>
    <row r="795" spans="1:36" x14ac:dyDescent="0.3">
      <c r="A795" s="5" t="s">
        <v>829</v>
      </c>
      <c r="B795" s="6">
        <v>45454</v>
      </c>
      <c r="C795" s="7">
        <v>0.79166666666666663</v>
      </c>
      <c r="D795" s="5" t="s">
        <v>1763</v>
      </c>
      <c r="E795" s="5" t="s">
        <v>1953</v>
      </c>
      <c r="F795" s="5" t="s">
        <v>2239</v>
      </c>
      <c r="G795" s="5" t="s">
        <v>2253</v>
      </c>
      <c r="H795" s="5" t="s">
        <v>2258</v>
      </c>
      <c r="I795" s="5" t="s">
        <v>2260</v>
      </c>
      <c r="J795" s="5" t="s">
        <v>2264</v>
      </c>
      <c r="K795" s="8">
        <v>2</v>
      </c>
      <c r="L795" s="9">
        <v>100</v>
      </c>
      <c r="M795" s="10">
        <v>0.15</v>
      </c>
      <c r="N795" s="9">
        <f t="shared" si="154"/>
        <v>200</v>
      </c>
      <c r="O795" s="9">
        <f t="shared" si="144"/>
        <v>170</v>
      </c>
      <c r="P795" s="5" t="s">
        <v>1761</v>
      </c>
      <c r="Q795" s="5" t="s">
        <v>2270</v>
      </c>
      <c r="R795" s="5" t="s">
        <v>2273</v>
      </c>
      <c r="S795" s="5" t="s">
        <v>2285</v>
      </c>
      <c r="T795" s="5" t="s">
        <v>2288</v>
      </c>
      <c r="U795" s="8">
        <v>1</v>
      </c>
      <c r="V795" s="19">
        <v>244</v>
      </c>
      <c r="W795" s="19">
        <v>34</v>
      </c>
      <c r="X795" s="9">
        <v>52.02</v>
      </c>
      <c r="Y795" s="9">
        <f t="shared" si="145"/>
        <v>65.959999999999994</v>
      </c>
      <c r="Z795" s="5" t="s">
        <v>2291</v>
      </c>
      <c r="AA795" s="5" t="s">
        <v>2299</v>
      </c>
      <c r="AB795" s="9">
        <f t="shared" si="146"/>
        <v>200</v>
      </c>
      <c r="AC795" s="9">
        <f t="shared" si="147"/>
        <v>30</v>
      </c>
      <c r="AD795" s="9">
        <f t="shared" si="148"/>
        <v>170</v>
      </c>
      <c r="AE795" s="9">
        <f t="shared" si="149"/>
        <v>104.04</v>
      </c>
      <c r="AF795" s="9">
        <f t="shared" si="155"/>
        <v>65.959999999999994</v>
      </c>
      <c r="AG795" s="8">
        <f t="shared" si="150"/>
        <v>2024</v>
      </c>
      <c r="AH795" s="8">
        <f t="shared" si="151"/>
        <v>6</v>
      </c>
      <c r="AI795" s="5" t="str">
        <f t="shared" si="152"/>
        <v>Jun</v>
      </c>
      <c r="AJ795" s="5" t="str">
        <f t="shared" si="153"/>
        <v>Tuesday</v>
      </c>
    </row>
    <row r="796" spans="1:36" x14ac:dyDescent="0.3">
      <c r="A796" s="5" t="s">
        <v>830</v>
      </c>
      <c r="B796" s="6">
        <v>45454</v>
      </c>
      <c r="C796" s="7">
        <v>0.51041666666666663</v>
      </c>
      <c r="D796" s="5" t="s">
        <v>1921</v>
      </c>
      <c r="E796" s="5" t="s">
        <v>2120</v>
      </c>
      <c r="F796" s="5" t="s">
        <v>2239</v>
      </c>
      <c r="G796" s="5" t="s">
        <v>2246</v>
      </c>
      <c r="H796" s="5" t="s">
        <v>2259</v>
      </c>
      <c r="I796" s="5" t="s">
        <v>2262</v>
      </c>
      <c r="J796" s="5" t="s">
        <v>2264</v>
      </c>
      <c r="K796" s="19">
        <v>1</v>
      </c>
      <c r="L796" s="9">
        <v>100</v>
      </c>
      <c r="M796" s="10">
        <v>0</v>
      </c>
      <c r="N796" s="9">
        <f t="shared" si="154"/>
        <v>100</v>
      </c>
      <c r="O796" s="9">
        <f t="shared" si="144"/>
        <v>100</v>
      </c>
      <c r="P796" s="5" t="s">
        <v>2267</v>
      </c>
      <c r="Q796" s="5" t="s">
        <v>2272</v>
      </c>
      <c r="R796" s="5" t="s">
        <v>2275</v>
      </c>
      <c r="S796" s="5" t="s">
        <v>2284</v>
      </c>
      <c r="T796" s="5" t="s">
        <v>2290</v>
      </c>
      <c r="U796" s="8">
        <v>3</v>
      </c>
      <c r="V796" s="8">
        <v>99</v>
      </c>
      <c r="W796" s="8">
        <v>57</v>
      </c>
      <c r="X796" s="9">
        <v>43.4</v>
      </c>
      <c r="Y796" s="9">
        <f t="shared" si="145"/>
        <v>56.6</v>
      </c>
      <c r="Z796" s="5" t="s">
        <v>2293</v>
      </c>
      <c r="AA796" s="5" t="s">
        <v>2296</v>
      </c>
      <c r="AB796" s="9">
        <f t="shared" si="146"/>
        <v>100</v>
      </c>
      <c r="AC796" s="9">
        <f t="shared" si="147"/>
        <v>0</v>
      </c>
      <c r="AD796" s="9">
        <f t="shared" si="148"/>
        <v>100</v>
      </c>
      <c r="AE796" s="9">
        <f t="shared" si="149"/>
        <v>43.4</v>
      </c>
      <c r="AF796" s="9">
        <f t="shared" si="155"/>
        <v>56.6</v>
      </c>
      <c r="AG796" s="8">
        <f t="shared" si="150"/>
        <v>2024</v>
      </c>
      <c r="AH796" s="8">
        <f t="shared" si="151"/>
        <v>6</v>
      </c>
      <c r="AI796" s="5" t="str">
        <f t="shared" si="152"/>
        <v>Jun</v>
      </c>
      <c r="AJ796" s="5" t="str">
        <f t="shared" si="153"/>
        <v>Tuesday</v>
      </c>
    </row>
    <row r="797" spans="1:36" x14ac:dyDescent="0.3">
      <c r="A797" s="5" t="s">
        <v>831</v>
      </c>
      <c r="B797" s="6">
        <v>45526</v>
      </c>
      <c r="C797" s="7">
        <v>0.84027777777777779</v>
      </c>
      <c r="D797" s="5" t="s">
        <v>1795</v>
      </c>
      <c r="E797" s="5" t="s">
        <v>2164</v>
      </c>
      <c r="F797" s="5" t="s">
        <v>1761</v>
      </c>
      <c r="G797" s="5" t="s">
        <v>2248</v>
      </c>
      <c r="H797" s="5" t="s">
        <v>2257</v>
      </c>
      <c r="I797" s="5" t="s">
        <v>2262</v>
      </c>
      <c r="J797" s="5" t="s">
        <v>2266</v>
      </c>
      <c r="K797" s="8">
        <v>1</v>
      </c>
      <c r="L797" s="9">
        <v>145</v>
      </c>
      <c r="M797" s="10">
        <v>0.1</v>
      </c>
      <c r="N797" s="9">
        <f t="shared" si="154"/>
        <v>145</v>
      </c>
      <c r="O797" s="9">
        <f t="shared" si="144"/>
        <v>130.5</v>
      </c>
      <c r="P797" s="5" t="s">
        <v>2269</v>
      </c>
      <c r="Q797" s="5" t="s">
        <v>2271</v>
      </c>
      <c r="R797" s="5" t="s">
        <v>2276</v>
      </c>
      <c r="S797" s="5" t="s">
        <v>2287</v>
      </c>
      <c r="T797" s="5" t="s">
        <v>2288</v>
      </c>
      <c r="U797" s="19">
        <v>3</v>
      </c>
      <c r="V797" s="8">
        <v>377</v>
      </c>
      <c r="W797" s="19">
        <v>37</v>
      </c>
      <c r="X797" s="9">
        <v>81.17</v>
      </c>
      <c r="Y797" s="9">
        <f t="shared" si="145"/>
        <v>49.33</v>
      </c>
      <c r="Z797" s="5" t="s">
        <v>1761</v>
      </c>
      <c r="AA797" s="5" t="s">
        <v>2297</v>
      </c>
      <c r="AB797" s="9">
        <f t="shared" si="146"/>
        <v>145</v>
      </c>
      <c r="AC797" s="9">
        <f t="shared" si="147"/>
        <v>14.5</v>
      </c>
      <c r="AD797" s="9">
        <f t="shared" si="148"/>
        <v>130.5</v>
      </c>
      <c r="AE797" s="9">
        <f t="shared" si="149"/>
        <v>81.17</v>
      </c>
      <c r="AF797" s="9">
        <f t="shared" si="155"/>
        <v>49.33</v>
      </c>
      <c r="AG797" s="8">
        <f t="shared" si="150"/>
        <v>2024</v>
      </c>
      <c r="AH797" s="8">
        <f t="shared" si="151"/>
        <v>8</v>
      </c>
      <c r="AI797" s="5" t="str">
        <f t="shared" si="152"/>
        <v>Aug</v>
      </c>
      <c r="AJ797" s="5" t="str">
        <f t="shared" si="153"/>
        <v>Thursday</v>
      </c>
    </row>
    <row r="798" spans="1:36" x14ac:dyDescent="0.3">
      <c r="A798" s="5" t="s">
        <v>832</v>
      </c>
      <c r="B798" s="6">
        <v>45473</v>
      </c>
      <c r="C798" s="7">
        <v>0.36458333333333331</v>
      </c>
      <c r="D798" s="5" t="s">
        <v>1823</v>
      </c>
      <c r="E798" s="5" t="s">
        <v>2024</v>
      </c>
      <c r="F798" s="5" t="s">
        <v>2239</v>
      </c>
      <c r="G798" s="5" t="s">
        <v>2244</v>
      </c>
      <c r="H798" s="5" t="s">
        <v>2257</v>
      </c>
      <c r="I798" s="5" t="s">
        <v>2262</v>
      </c>
      <c r="J798" s="5" t="s">
        <v>2266</v>
      </c>
      <c r="K798" s="8">
        <v>1</v>
      </c>
      <c r="L798" s="9">
        <v>125</v>
      </c>
      <c r="M798" s="10">
        <v>0</v>
      </c>
      <c r="N798" s="9">
        <f t="shared" si="154"/>
        <v>125</v>
      </c>
      <c r="O798" s="9">
        <f t="shared" si="144"/>
        <v>125</v>
      </c>
      <c r="P798" s="5" t="s">
        <v>2269</v>
      </c>
      <c r="Q798" s="5" t="s">
        <v>1761</v>
      </c>
      <c r="R798" s="5" t="s">
        <v>2274</v>
      </c>
      <c r="S798" s="5" t="s">
        <v>2286</v>
      </c>
      <c r="T798" s="5" t="s">
        <v>2289</v>
      </c>
      <c r="U798" s="8">
        <v>3</v>
      </c>
      <c r="V798" s="8">
        <v>337</v>
      </c>
      <c r="W798" s="8">
        <v>52</v>
      </c>
      <c r="X798" s="9">
        <v>61.3</v>
      </c>
      <c r="Y798" s="9">
        <f t="shared" si="145"/>
        <v>63.7</v>
      </c>
      <c r="Z798" s="5" t="s">
        <v>1761</v>
      </c>
      <c r="AA798" s="5" t="s">
        <v>1761</v>
      </c>
      <c r="AB798" s="9">
        <f t="shared" si="146"/>
        <v>125</v>
      </c>
      <c r="AC798" s="9">
        <f t="shared" si="147"/>
        <v>0</v>
      </c>
      <c r="AD798" s="9">
        <f t="shared" si="148"/>
        <v>125</v>
      </c>
      <c r="AE798" s="9">
        <f t="shared" si="149"/>
        <v>61.3</v>
      </c>
      <c r="AF798" s="9">
        <f t="shared" si="155"/>
        <v>63.7</v>
      </c>
      <c r="AG798" s="8">
        <f t="shared" si="150"/>
        <v>2024</v>
      </c>
      <c r="AH798" s="8">
        <f t="shared" si="151"/>
        <v>6</v>
      </c>
      <c r="AI798" s="5" t="str">
        <f t="shared" si="152"/>
        <v>Jun</v>
      </c>
      <c r="AJ798" s="5" t="str">
        <f t="shared" si="153"/>
        <v>Sunday</v>
      </c>
    </row>
    <row r="799" spans="1:36" x14ac:dyDescent="0.3">
      <c r="A799" s="5" t="s">
        <v>833</v>
      </c>
      <c r="B799" s="6">
        <v>45640</v>
      </c>
      <c r="C799" s="7">
        <v>0.375</v>
      </c>
      <c r="D799" s="5" t="s">
        <v>1797</v>
      </c>
      <c r="E799" s="5" t="s">
        <v>2099</v>
      </c>
      <c r="F799" s="5" t="s">
        <v>2240</v>
      </c>
      <c r="G799" s="5" t="s">
        <v>2253</v>
      </c>
      <c r="H799" s="5" t="s">
        <v>2258</v>
      </c>
      <c r="I799" s="5" t="s">
        <v>2260</v>
      </c>
      <c r="J799" s="5" t="s">
        <v>2266</v>
      </c>
      <c r="K799" s="8">
        <v>2</v>
      </c>
      <c r="L799" s="9">
        <v>85</v>
      </c>
      <c r="M799" s="10">
        <v>0.15</v>
      </c>
      <c r="N799" s="9">
        <f t="shared" si="154"/>
        <v>170</v>
      </c>
      <c r="O799" s="9">
        <f t="shared" si="144"/>
        <v>144.5</v>
      </c>
      <c r="P799" s="5" t="s">
        <v>1761</v>
      </c>
      <c r="Q799" s="5" t="s">
        <v>2272</v>
      </c>
      <c r="R799" s="5" t="s">
        <v>2274</v>
      </c>
      <c r="S799" s="5" t="s">
        <v>2283</v>
      </c>
      <c r="T799" s="5" t="s">
        <v>2288</v>
      </c>
      <c r="U799" s="19">
        <v>3</v>
      </c>
      <c r="V799" s="8">
        <v>9</v>
      </c>
      <c r="W799" s="8">
        <v>35</v>
      </c>
      <c r="X799" s="9">
        <v>51.86</v>
      </c>
      <c r="Y799" s="9">
        <f t="shared" si="145"/>
        <v>40.78</v>
      </c>
      <c r="Z799" s="5" t="s">
        <v>2292</v>
      </c>
      <c r="AA799" s="5" t="s">
        <v>2296</v>
      </c>
      <c r="AB799" s="9">
        <f t="shared" si="146"/>
        <v>170</v>
      </c>
      <c r="AC799" s="9">
        <f t="shared" si="147"/>
        <v>25.5</v>
      </c>
      <c r="AD799" s="9">
        <f t="shared" si="148"/>
        <v>144.5</v>
      </c>
      <c r="AE799" s="9">
        <f t="shared" si="149"/>
        <v>103.72</v>
      </c>
      <c r="AF799" s="9">
        <f t="shared" si="155"/>
        <v>40.78</v>
      </c>
      <c r="AG799" s="8">
        <f t="shared" si="150"/>
        <v>2024</v>
      </c>
      <c r="AH799" s="8">
        <f t="shared" si="151"/>
        <v>12</v>
      </c>
      <c r="AI799" s="5" t="str">
        <f t="shared" si="152"/>
        <v>Dec</v>
      </c>
      <c r="AJ799" s="5" t="str">
        <f t="shared" si="153"/>
        <v>Saturday</v>
      </c>
    </row>
    <row r="800" spans="1:36" x14ac:dyDescent="0.3">
      <c r="A800" s="5" t="s">
        <v>834</v>
      </c>
      <c r="B800" s="18">
        <v>45468</v>
      </c>
      <c r="C800" s="7">
        <v>0.33333333333333331</v>
      </c>
      <c r="D800" s="5" t="s">
        <v>1822</v>
      </c>
      <c r="E800" s="5" t="s">
        <v>2057</v>
      </c>
      <c r="F800" s="5" t="s">
        <v>1761</v>
      </c>
      <c r="G800" s="5" t="s">
        <v>2256</v>
      </c>
      <c r="H800" s="5" t="s">
        <v>2261</v>
      </c>
      <c r="I800" s="5" t="s">
        <v>2260</v>
      </c>
      <c r="J800" s="5" t="s">
        <v>2264</v>
      </c>
      <c r="K800" s="8">
        <v>3</v>
      </c>
      <c r="L800" s="9">
        <v>185</v>
      </c>
      <c r="M800" s="10">
        <v>0</v>
      </c>
      <c r="N800" s="9">
        <f t="shared" si="154"/>
        <v>555</v>
      </c>
      <c r="O800" s="9">
        <f t="shared" si="144"/>
        <v>555</v>
      </c>
      <c r="P800" s="5" t="s">
        <v>2268</v>
      </c>
      <c r="Q800" s="5" t="s">
        <v>1761</v>
      </c>
      <c r="R800" s="5" t="s">
        <v>2276</v>
      </c>
      <c r="S800" s="5" t="s">
        <v>2281</v>
      </c>
      <c r="T800" s="5" t="s">
        <v>2290</v>
      </c>
      <c r="U800" s="8">
        <v>2</v>
      </c>
      <c r="V800" s="8">
        <v>419</v>
      </c>
      <c r="W800" s="8">
        <v>17</v>
      </c>
      <c r="X800" s="9">
        <v>68.22</v>
      </c>
      <c r="Y800" s="9">
        <f t="shared" si="145"/>
        <v>350.34000000000003</v>
      </c>
      <c r="Z800" s="5" t="s">
        <v>1761</v>
      </c>
      <c r="AA800" s="5" t="s">
        <v>2298</v>
      </c>
      <c r="AB800" s="9">
        <f t="shared" si="146"/>
        <v>555</v>
      </c>
      <c r="AC800" s="9">
        <f t="shared" si="147"/>
        <v>0</v>
      </c>
      <c r="AD800" s="9">
        <f t="shared" si="148"/>
        <v>555</v>
      </c>
      <c r="AE800" s="9">
        <f t="shared" si="149"/>
        <v>204.66</v>
      </c>
      <c r="AF800" s="9">
        <f t="shared" si="155"/>
        <v>350.34000000000003</v>
      </c>
      <c r="AG800" s="8">
        <f t="shared" si="150"/>
        <v>2024</v>
      </c>
      <c r="AH800" s="8">
        <f t="shared" si="151"/>
        <v>6</v>
      </c>
      <c r="AI800" s="5" t="str">
        <f t="shared" si="152"/>
        <v>Jun</v>
      </c>
      <c r="AJ800" s="5" t="str">
        <f t="shared" si="153"/>
        <v>Tuesday</v>
      </c>
    </row>
    <row r="801" spans="1:36" x14ac:dyDescent="0.3">
      <c r="A801" s="5" t="s">
        <v>835</v>
      </c>
      <c r="B801" s="6">
        <v>45338</v>
      </c>
      <c r="C801" s="7">
        <v>0.46875</v>
      </c>
      <c r="D801" s="5" t="s">
        <v>1744</v>
      </c>
      <c r="E801" s="5" t="s">
        <v>2160</v>
      </c>
      <c r="F801" s="5" t="s">
        <v>2238</v>
      </c>
      <c r="G801" s="5" t="s">
        <v>2249</v>
      </c>
      <c r="H801" s="5" t="s">
        <v>2257</v>
      </c>
      <c r="I801" s="5" t="s">
        <v>2263</v>
      </c>
      <c r="J801" s="5" t="s">
        <v>2265</v>
      </c>
      <c r="K801" s="8">
        <v>1</v>
      </c>
      <c r="L801" s="9">
        <v>160</v>
      </c>
      <c r="M801" s="10">
        <v>0.15</v>
      </c>
      <c r="N801" s="9">
        <f t="shared" si="154"/>
        <v>160</v>
      </c>
      <c r="O801" s="9">
        <f t="shared" si="144"/>
        <v>136</v>
      </c>
      <c r="P801" s="5" t="s">
        <v>2267</v>
      </c>
      <c r="Q801" s="5" t="s">
        <v>2272</v>
      </c>
      <c r="R801" s="5" t="s">
        <v>2275</v>
      </c>
      <c r="S801" s="5" t="s">
        <v>2282</v>
      </c>
      <c r="T801" s="5" t="s">
        <v>2288</v>
      </c>
      <c r="U801" s="8">
        <v>2</v>
      </c>
      <c r="V801" s="8">
        <v>332</v>
      </c>
      <c r="W801" s="19">
        <v>35</v>
      </c>
      <c r="X801" s="9">
        <v>73.42</v>
      </c>
      <c r="Y801" s="9">
        <f t="shared" si="145"/>
        <v>62.58</v>
      </c>
      <c r="Z801" s="5" t="s">
        <v>2294</v>
      </c>
      <c r="AA801" s="5" t="s">
        <v>2299</v>
      </c>
      <c r="AB801" s="9">
        <f t="shared" si="146"/>
        <v>160</v>
      </c>
      <c r="AC801" s="9">
        <f t="shared" si="147"/>
        <v>24</v>
      </c>
      <c r="AD801" s="9">
        <f t="shared" si="148"/>
        <v>136</v>
      </c>
      <c r="AE801" s="9">
        <f t="shared" si="149"/>
        <v>73.42</v>
      </c>
      <c r="AF801" s="9">
        <f t="shared" si="155"/>
        <v>62.58</v>
      </c>
      <c r="AG801" s="8">
        <f t="shared" si="150"/>
        <v>2024</v>
      </c>
      <c r="AH801" s="8">
        <f t="shared" si="151"/>
        <v>2</v>
      </c>
      <c r="AI801" s="5" t="str">
        <f t="shared" si="152"/>
        <v>Feb</v>
      </c>
      <c r="AJ801" s="5" t="str">
        <f t="shared" si="153"/>
        <v>Friday</v>
      </c>
    </row>
    <row r="802" spans="1:36" x14ac:dyDescent="0.3">
      <c r="A802" s="5" t="s">
        <v>836</v>
      </c>
      <c r="B802" s="6">
        <v>45636</v>
      </c>
      <c r="C802" s="7">
        <v>0.63888888888888884</v>
      </c>
      <c r="D802" s="5" t="s">
        <v>1828</v>
      </c>
      <c r="E802" s="5" t="s">
        <v>2217</v>
      </c>
      <c r="F802" s="5" t="s">
        <v>2239</v>
      </c>
      <c r="G802" s="5" t="s">
        <v>2251</v>
      </c>
      <c r="H802" s="5" t="s">
        <v>2258</v>
      </c>
      <c r="I802" s="5" t="s">
        <v>2260</v>
      </c>
      <c r="J802" s="5" t="s">
        <v>2264</v>
      </c>
      <c r="K802" s="8">
        <v>1</v>
      </c>
      <c r="L802" s="9">
        <v>95</v>
      </c>
      <c r="M802" s="10">
        <v>0.1</v>
      </c>
      <c r="N802" s="9">
        <f t="shared" si="154"/>
        <v>95</v>
      </c>
      <c r="O802" s="9">
        <f t="shared" si="144"/>
        <v>85.5</v>
      </c>
      <c r="P802" s="5" t="s">
        <v>2267</v>
      </c>
      <c r="Q802" s="5" t="s">
        <v>1761</v>
      </c>
      <c r="R802" s="5" t="s">
        <v>2275</v>
      </c>
      <c r="S802" s="5" t="s">
        <v>2284</v>
      </c>
      <c r="T802" s="5" t="s">
        <v>2288</v>
      </c>
      <c r="U802" s="8">
        <v>5</v>
      </c>
      <c r="V802" s="8">
        <v>197</v>
      </c>
      <c r="W802" s="19">
        <v>36</v>
      </c>
      <c r="X802" s="9">
        <v>46.3</v>
      </c>
      <c r="Y802" s="9">
        <f t="shared" si="145"/>
        <v>39.200000000000003</v>
      </c>
      <c r="Z802" s="5" t="s">
        <v>2293</v>
      </c>
      <c r="AA802" s="5" t="s">
        <v>2297</v>
      </c>
      <c r="AB802" s="9">
        <f t="shared" si="146"/>
        <v>95</v>
      </c>
      <c r="AC802" s="9">
        <f t="shared" si="147"/>
        <v>9.5</v>
      </c>
      <c r="AD802" s="9">
        <f t="shared" si="148"/>
        <v>85.5</v>
      </c>
      <c r="AE802" s="9">
        <f t="shared" si="149"/>
        <v>46.3</v>
      </c>
      <c r="AF802" s="9">
        <f t="shared" si="155"/>
        <v>39.200000000000003</v>
      </c>
      <c r="AG802" s="8">
        <f t="shared" si="150"/>
        <v>2024</v>
      </c>
      <c r="AH802" s="8">
        <f t="shared" si="151"/>
        <v>12</v>
      </c>
      <c r="AI802" s="5" t="str">
        <f t="shared" si="152"/>
        <v>Dec</v>
      </c>
      <c r="AJ802" s="5" t="str">
        <f t="shared" si="153"/>
        <v>Tuesday</v>
      </c>
    </row>
    <row r="803" spans="1:36" x14ac:dyDescent="0.3">
      <c r="A803" s="5" t="s">
        <v>837</v>
      </c>
      <c r="B803" s="6">
        <v>45581</v>
      </c>
      <c r="C803" s="7">
        <v>0.51388888888888884</v>
      </c>
      <c r="D803" s="5" t="s">
        <v>1937</v>
      </c>
      <c r="E803" s="5" t="s">
        <v>1761</v>
      </c>
      <c r="F803" s="5" t="s">
        <v>1761</v>
      </c>
      <c r="G803" s="5" t="s">
        <v>2241</v>
      </c>
      <c r="H803" s="5" t="s">
        <v>2257</v>
      </c>
      <c r="I803" s="5" t="s">
        <v>2262</v>
      </c>
      <c r="J803" s="5" t="s">
        <v>2265</v>
      </c>
      <c r="K803" s="8">
        <v>3</v>
      </c>
      <c r="L803" s="9">
        <v>130</v>
      </c>
      <c r="M803" s="10">
        <v>0</v>
      </c>
      <c r="N803" s="9">
        <f t="shared" si="154"/>
        <v>390</v>
      </c>
      <c r="O803" s="9">
        <f t="shared" si="144"/>
        <v>390</v>
      </c>
      <c r="P803" s="5" t="s">
        <v>2267</v>
      </c>
      <c r="Q803" s="5" t="s">
        <v>2272</v>
      </c>
      <c r="R803" s="5" t="s">
        <v>2275</v>
      </c>
      <c r="S803" s="5" t="s">
        <v>2286</v>
      </c>
      <c r="T803" s="5" t="s">
        <v>2288</v>
      </c>
      <c r="U803" s="8">
        <v>5</v>
      </c>
      <c r="V803" s="8">
        <v>322</v>
      </c>
      <c r="W803" s="8">
        <v>22</v>
      </c>
      <c r="X803" s="9">
        <v>77.09</v>
      </c>
      <c r="Y803" s="9">
        <f t="shared" si="145"/>
        <v>158.72999999999999</v>
      </c>
      <c r="Z803" s="5" t="s">
        <v>2293</v>
      </c>
      <c r="AA803" s="5" t="s">
        <v>1761</v>
      </c>
      <c r="AB803" s="9">
        <f t="shared" si="146"/>
        <v>390</v>
      </c>
      <c r="AC803" s="9">
        <f t="shared" si="147"/>
        <v>0</v>
      </c>
      <c r="AD803" s="9">
        <f t="shared" si="148"/>
        <v>390</v>
      </c>
      <c r="AE803" s="9">
        <f t="shared" si="149"/>
        <v>231.27</v>
      </c>
      <c r="AF803" s="9">
        <f t="shared" si="155"/>
        <v>158.72999999999999</v>
      </c>
      <c r="AG803" s="8">
        <f t="shared" si="150"/>
        <v>2024</v>
      </c>
      <c r="AH803" s="8">
        <f t="shared" si="151"/>
        <v>10</v>
      </c>
      <c r="AI803" s="5" t="str">
        <f t="shared" si="152"/>
        <v>Oct</v>
      </c>
      <c r="AJ803" s="5" t="str">
        <f t="shared" si="153"/>
        <v>Wednesday</v>
      </c>
    </row>
    <row r="804" spans="1:36" x14ac:dyDescent="0.3">
      <c r="A804" s="5" t="s">
        <v>838</v>
      </c>
      <c r="B804" s="6">
        <v>45293</v>
      </c>
      <c r="C804" s="7">
        <v>0.32291666666666669</v>
      </c>
      <c r="D804" s="5" t="s">
        <v>1864</v>
      </c>
      <c r="E804" s="5" t="s">
        <v>2162</v>
      </c>
      <c r="F804" s="5" t="s">
        <v>1761</v>
      </c>
      <c r="G804" s="5" t="s">
        <v>2242</v>
      </c>
      <c r="H804" s="5" t="s">
        <v>2258</v>
      </c>
      <c r="I804" s="5" t="s">
        <v>2260</v>
      </c>
      <c r="J804" s="5" t="s">
        <v>2266</v>
      </c>
      <c r="K804" s="8">
        <v>1</v>
      </c>
      <c r="L804" s="9">
        <v>130</v>
      </c>
      <c r="M804" s="10">
        <v>0</v>
      </c>
      <c r="N804" s="9">
        <f t="shared" si="154"/>
        <v>130</v>
      </c>
      <c r="O804" s="9">
        <f t="shared" si="144"/>
        <v>130</v>
      </c>
      <c r="P804" s="5" t="s">
        <v>2267</v>
      </c>
      <c r="Q804" s="5" t="s">
        <v>2270</v>
      </c>
      <c r="R804" s="5" t="s">
        <v>2276</v>
      </c>
      <c r="S804" s="5" t="s">
        <v>2280</v>
      </c>
      <c r="T804" s="5" t="s">
        <v>2288</v>
      </c>
      <c r="U804" s="19">
        <v>3</v>
      </c>
      <c r="V804" s="19">
        <v>244</v>
      </c>
      <c r="W804" s="19">
        <v>34</v>
      </c>
      <c r="X804" s="9">
        <v>57.1</v>
      </c>
      <c r="Y804" s="9">
        <f t="shared" si="145"/>
        <v>72.900000000000006</v>
      </c>
      <c r="Z804" s="5" t="s">
        <v>2293</v>
      </c>
      <c r="AA804" s="5" t="s">
        <v>2296</v>
      </c>
      <c r="AB804" s="9">
        <f t="shared" si="146"/>
        <v>130</v>
      </c>
      <c r="AC804" s="9">
        <f t="shared" si="147"/>
        <v>0</v>
      </c>
      <c r="AD804" s="9">
        <f t="shared" si="148"/>
        <v>130</v>
      </c>
      <c r="AE804" s="9">
        <f t="shared" si="149"/>
        <v>57.1</v>
      </c>
      <c r="AF804" s="9">
        <f t="shared" si="155"/>
        <v>72.900000000000006</v>
      </c>
      <c r="AG804" s="8">
        <f t="shared" si="150"/>
        <v>2024</v>
      </c>
      <c r="AH804" s="8">
        <f t="shared" si="151"/>
        <v>1</v>
      </c>
      <c r="AI804" s="5" t="str">
        <f t="shared" si="152"/>
        <v>Jan</v>
      </c>
      <c r="AJ804" s="5" t="str">
        <f t="shared" si="153"/>
        <v>Tuesday</v>
      </c>
    </row>
    <row r="805" spans="1:36" x14ac:dyDescent="0.3">
      <c r="A805" s="5" t="s">
        <v>839</v>
      </c>
      <c r="B805" s="6">
        <v>45333</v>
      </c>
      <c r="C805" s="7">
        <v>0.84722222222222221</v>
      </c>
      <c r="D805" s="5" t="s">
        <v>1805</v>
      </c>
      <c r="E805" s="5" t="s">
        <v>2218</v>
      </c>
      <c r="F805" s="5" t="s">
        <v>2239</v>
      </c>
      <c r="G805" s="5" t="s">
        <v>2250</v>
      </c>
      <c r="H805" s="5" t="s">
        <v>2259</v>
      </c>
      <c r="I805" s="5" t="s">
        <v>2262</v>
      </c>
      <c r="J805" s="5" t="s">
        <v>2266</v>
      </c>
      <c r="K805" s="8">
        <v>1</v>
      </c>
      <c r="L805" s="9">
        <v>85</v>
      </c>
      <c r="M805" s="10">
        <v>0</v>
      </c>
      <c r="N805" s="9">
        <f t="shared" si="154"/>
        <v>85</v>
      </c>
      <c r="O805" s="9">
        <f t="shared" si="144"/>
        <v>85</v>
      </c>
      <c r="P805" s="5" t="s">
        <v>1761</v>
      </c>
      <c r="Q805" s="5" t="s">
        <v>1761</v>
      </c>
      <c r="R805" s="5" t="s">
        <v>2273</v>
      </c>
      <c r="S805" s="5" t="s">
        <v>2284</v>
      </c>
      <c r="T805" s="5" t="s">
        <v>2288</v>
      </c>
      <c r="U805" s="8">
        <v>5</v>
      </c>
      <c r="V805" s="8">
        <v>471</v>
      </c>
      <c r="W805" s="19">
        <v>36</v>
      </c>
      <c r="X805" s="9">
        <v>36.229999999999997</v>
      </c>
      <c r="Y805" s="9">
        <f t="shared" si="145"/>
        <v>48.77</v>
      </c>
      <c r="Z805" s="5" t="s">
        <v>2294</v>
      </c>
      <c r="AA805" s="5" t="s">
        <v>2296</v>
      </c>
      <c r="AB805" s="9">
        <f t="shared" si="146"/>
        <v>85</v>
      </c>
      <c r="AC805" s="9">
        <f t="shared" si="147"/>
        <v>0</v>
      </c>
      <c r="AD805" s="9">
        <f t="shared" si="148"/>
        <v>85</v>
      </c>
      <c r="AE805" s="9">
        <f t="shared" si="149"/>
        <v>36.229999999999997</v>
      </c>
      <c r="AF805" s="9">
        <f t="shared" si="155"/>
        <v>48.77</v>
      </c>
      <c r="AG805" s="8">
        <f t="shared" si="150"/>
        <v>2024</v>
      </c>
      <c r="AH805" s="8">
        <f t="shared" si="151"/>
        <v>2</v>
      </c>
      <c r="AI805" s="5" t="str">
        <f t="shared" si="152"/>
        <v>Feb</v>
      </c>
      <c r="AJ805" s="5" t="str">
        <f t="shared" si="153"/>
        <v>Sunday</v>
      </c>
    </row>
    <row r="806" spans="1:36" x14ac:dyDescent="0.3">
      <c r="A806" s="5" t="s">
        <v>840</v>
      </c>
      <c r="B806" s="6">
        <v>45358</v>
      </c>
      <c r="C806" s="7">
        <v>0.82638888888888884</v>
      </c>
      <c r="D806" s="5" t="s">
        <v>1747</v>
      </c>
      <c r="E806" s="5" t="s">
        <v>2153</v>
      </c>
      <c r="F806" s="5" t="s">
        <v>2239</v>
      </c>
      <c r="G806" s="5" t="s">
        <v>2250</v>
      </c>
      <c r="H806" s="5" t="s">
        <v>2259</v>
      </c>
      <c r="I806" s="5" t="s">
        <v>2262</v>
      </c>
      <c r="J806" s="5" t="s">
        <v>2266</v>
      </c>
      <c r="K806" s="8">
        <v>4</v>
      </c>
      <c r="L806" s="9">
        <v>75</v>
      </c>
      <c r="M806" s="10">
        <v>0.05</v>
      </c>
      <c r="N806" s="9">
        <f t="shared" si="154"/>
        <v>300</v>
      </c>
      <c r="O806" s="9">
        <f t="shared" si="144"/>
        <v>285</v>
      </c>
      <c r="P806" s="5" t="s">
        <v>2268</v>
      </c>
      <c r="Q806" s="5" t="s">
        <v>2270</v>
      </c>
      <c r="R806" s="5" t="s">
        <v>2273</v>
      </c>
      <c r="S806" s="5" t="s">
        <v>2287</v>
      </c>
      <c r="T806" s="5" t="s">
        <v>2290</v>
      </c>
      <c r="U806" s="8">
        <v>5</v>
      </c>
      <c r="V806" s="8">
        <v>350</v>
      </c>
      <c r="W806" s="19">
        <v>34</v>
      </c>
      <c r="X806" s="9">
        <v>43.82</v>
      </c>
      <c r="Y806" s="9">
        <f t="shared" si="145"/>
        <v>109.72</v>
      </c>
      <c r="Z806" s="5" t="s">
        <v>1761</v>
      </c>
      <c r="AA806" s="5" t="s">
        <v>2296</v>
      </c>
      <c r="AB806" s="9">
        <f t="shared" si="146"/>
        <v>300</v>
      </c>
      <c r="AC806" s="9">
        <f t="shared" si="147"/>
        <v>15</v>
      </c>
      <c r="AD806" s="9">
        <f t="shared" si="148"/>
        <v>285</v>
      </c>
      <c r="AE806" s="9">
        <f t="shared" si="149"/>
        <v>175.28</v>
      </c>
      <c r="AF806" s="9">
        <f t="shared" si="155"/>
        <v>109.72</v>
      </c>
      <c r="AG806" s="8">
        <f t="shared" si="150"/>
        <v>2024</v>
      </c>
      <c r="AH806" s="8">
        <f t="shared" si="151"/>
        <v>3</v>
      </c>
      <c r="AI806" s="5" t="str">
        <f t="shared" si="152"/>
        <v>Mar</v>
      </c>
      <c r="AJ806" s="5" t="str">
        <f t="shared" si="153"/>
        <v>Thursday</v>
      </c>
    </row>
    <row r="807" spans="1:36" x14ac:dyDescent="0.3">
      <c r="A807" s="5" t="s">
        <v>841</v>
      </c>
      <c r="B807" s="6">
        <v>45473</v>
      </c>
      <c r="C807" s="7">
        <v>0.84722222222222221</v>
      </c>
      <c r="D807" s="5" t="s">
        <v>1773</v>
      </c>
      <c r="E807" s="5" t="s">
        <v>2211</v>
      </c>
      <c r="F807" s="5" t="s">
        <v>2238</v>
      </c>
      <c r="G807" s="5" t="s">
        <v>2244</v>
      </c>
      <c r="H807" s="5" t="s">
        <v>2257</v>
      </c>
      <c r="I807" s="5" t="s">
        <v>2262</v>
      </c>
      <c r="J807" s="5" t="s">
        <v>2265</v>
      </c>
      <c r="K807" s="8">
        <v>3</v>
      </c>
      <c r="L807" s="9">
        <v>120</v>
      </c>
      <c r="M807" s="10">
        <v>0.15</v>
      </c>
      <c r="N807" s="9">
        <f t="shared" si="154"/>
        <v>360</v>
      </c>
      <c r="O807" s="9">
        <f t="shared" si="144"/>
        <v>306</v>
      </c>
      <c r="P807" s="5" t="s">
        <v>2267</v>
      </c>
      <c r="Q807" s="5" t="s">
        <v>2270</v>
      </c>
      <c r="R807" s="5" t="s">
        <v>2276</v>
      </c>
      <c r="S807" s="5" t="s">
        <v>2280</v>
      </c>
      <c r="T807" s="5" t="s">
        <v>2288</v>
      </c>
      <c r="U807" s="8">
        <v>2</v>
      </c>
      <c r="V807" s="8">
        <v>454</v>
      </c>
      <c r="W807" s="8">
        <v>33</v>
      </c>
      <c r="X807" s="9">
        <v>53.73</v>
      </c>
      <c r="Y807" s="9">
        <f t="shared" si="145"/>
        <v>144.81</v>
      </c>
      <c r="Z807" s="5" t="s">
        <v>2294</v>
      </c>
      <c r="AA807" s="5" t="s">
        <v>2296</v>
      </c>
      <c r="AB807" s="9">
        <f t="shared" si="146"/>
        <v>360</v>
      </c>
      <c r="AC807" s="9">
        <f t="shared" si="147"/>
        <v>54</v>
      </c>
      <c r="AD807" s="9">
        <f t="shared" si="148"/>
        <v>306</v>
      </c>
      <c r="AE807" s="9">
        <f t="shared" si="149"/>
        <v>161.19</v>
      </c>
      <c r="AF807" s="9">
        <f t="shared" si="155"/>
        <v>144.81</v>
      </c>
      <c r="AG807" s="8">
        <f t="shared" si="150"/>
        <v>2024</v>
      </c>
      <c r="AH807" s="8">
        <f t="shared" si="151"/>
        <v>6</v>
      </c>
      <c r="AI807" s="5" t="str">
        <f t="shared" si="152"/>
        <v>Jun</v>
      </c>
      <c r="AJ807" s="5" t="str">
        <f t="shared" si="153"/>
        <v>Sunday</v>
      </c>
    </row>
    <row r="808" spans="1:36" x14ac:dyDescent="0.3">
      <c r="A808" s="5" t="s">
        <v>842</v>
      </c>
      <c r="B808" s="6">
        <v>45401</v>
      </c>
      <c r="C808" s="7">
        <v>0.64583333333333337</v>
      </c>
      <c r="D808" s="5" t="s">
        <v>1936</v>
      </c>
      <c r="E808" s="5" t="s">
        <v>2156</v>
      </c>
      <c r="F808" s="5" t="s">
        <v>2239</v>
      </c>
      <c r="G808" s="5" t="s">
        <v>2242</v>
      </c>
      <c r="H808" s="5" t="s">
        <v>2258</v>
      </c>
      <c r="I808" s="5" t="s">
        <v>2260</v>
      </c>
      <c r="J808" s="5" t="s">
        <v>2266</v>
      </c>
      <c r="K808" s="8">
        <v>1</v>
      </c>
      <c r="L808" s="9">
        <v>120</v>
      </c>
      <c r="M808" s="10">
        <v>0</v>
      </c>
      <c r="N808" s="9">
        <f t="shared" si="154"/>
        <v>120</v>
      </c>
      <c r="O808" s="9">
        <f t="shared" si="144"/>
        <v>120</v>
      </c>
      <c r="P808" s="5" t="s">
        <v>2268</v>
      </c>
      <c r="Q808" s="5" t="s">
        <v>2272</v>
      </c>
      <c r="R808" s="5" t="s">
        <v>2273</v>
      </c>
      <c r="S808" s="5" t="s">
        <v>2281</v>
      </c>
      <c r="T808" s="5" t="s">
        <v>2289</v>
      </c>
      <c r="U808" s="8">
        <v>2</v>
      </c>
      <c r="V808" s="8">
        <v>476</v>
      </c>
      <c r="W808" s="19">
        <v>35</v>
      </c>
      <c r="X808" s="9">
        <v>51.22</v>
      </c>
      <c r="Y808" s="9">
        <f t="shared" si="145"/>
        <v>68.78</v>
      </c>
      <c r="Z808" s="5" t="s">
        <v>2292</v>
      </c>
      <c r="AA808" s="5" t="s">
        <v>2297</v>
      </c>
      <c r="AB808" s="9">
        <f t="shared" si="146"/>
        <v>120</v>
      </c>
      <c r="AC808" s="9">
        <f t="shared" si="147"/>
        <v>0</v>
      </c>
      <c r="AD808" s="9">
        <f t="shared" si="148"/>
        <v>120</v>
      </c>
      <c r="AE808" s="9">
        <f t="shared" si="149"/>
        <v>51.22</v>
      </c>
      <c r="AF808" s="9">
        <f t="shared" si="155"/>
        <v>68.78</v>
      </c>
      <c r="AG808" s="8">
        <f t="shared" si="150"/>
        <v>2024</v>
      </c>
      <c r="AH808" s="8">
        <f t="shared" si="151"/>
        <v>4</v>
      </c>
      <c r="AI808" s="5" t="str">
        <f t="shared" si="152"/>
        <v>Apr</v>
      </c>
      <c r="AJ808" s="5" t="str">
        <f t="shared" si="153"/>
        <v>Friday</v>
      </c>
    </row>
    <row r="809" spans="1:36" x14ac:dyDescent="0.3">
      <c r="A809" s="5" t="s">
        <v>843</v>
      </c>
      <c r="B809" s="6">
        <v>45613</v>
      </c>
      <c r="C809" s="7">
        <v>0.44791666666666669</v>
      </c>
      <c r="D809" s="5" t="s">
        <v>1934</v>
      </c>
      <c r="E809" s="5" t="s">
        <v>2022</v>
      </c>
      <c r="F809" s="5" t="s">
        <v>2240</v>
      </c>
      <c r="G809" s="5" t="s">
        <v>2248</v>
      </c>
      <c r="H809" s="5" t="s">
        <v>2257</v>
      </c>
      <c r="I809" s="5" t="s">
        <v>2262</v>
      </c>
      <c r="J809" s="5" t="s">
        <v>2265</v>
      </c>
      <c r="K809" s="8">
        <v>2</v>
      </c>
      <c r="L809" s="9">
        <v>150</v>
      </c>
      <c r="M809" s="10">
        <v>0.1</v>
      </c>
      <c r="N809" s="9">
        <f t="shared" si="154"/>
        <v>300</v>
      </c>
      <c r="O809" s="9">
        <f t="shared" si="144"/>
        <v>270</v>
      </c>
      <c r="P809" s="5" t="s">
        <v>2269</v>
      </c>
      <c r="Q809" s="5" t="s">
        <v>2272</v>
      </c>
      <c r="R809" s="5" t="s">
        <v>2274</v>
      </c>
      <c r="S809" s="5" t="s">
        <v>2284</v>
      </c>
      <c r="T809" s="5" t="s">
        <v>2288</v>
      </c>
      <c r="U809" s="8">
        <v>3</v>
      </c>
      <c r="V809" s="19">
        <v>244</v>
      </c>
      <c r="W809" s="8">
        <v>15</v>
      </c>
      <c r="X809" s="9">
        <v>52.6</v>
      </c>
      <c r="Y809" s="9">
        <f t="shared" si="145"/>
        <v>164.8</v>
      </c>
      <c r="Z809" s="5" t="s">
        <v>2293</v>
      </c>
      <c r="AA809" s="5" t="s">
        <v>2299</v>
      </c>
      <c r="AB809" s="9">
        <f t="shared" si="146"/>
        <v>300</v>
      </c>
      <c r="AC809" s="9">
        <f t="shared" si="147"/>
        <v>30</v>
      </c>
      <c r="AD809" s="9">
        <f t="shared" si="148"/>
        <v>270</v>
      </c>
      <c r="AE809" s="9">
        <f t="shared" si="149"/>
        <v>105.2</v>
      </c>
      <c r="AF809" s="9">
        <f t="shared" si="155"/>
        <v>164.8</v>
      </c>
      <c r="AG809" s="8">
        <f t="shared" si="150"/>
        <v>2024</v>
      </c>
      <c r="AH809" s="8">
        <f t="shared" si="151"/>
        <v>11</v>
      </c>
      <c r="AI809" s="5" t="str">
        <f t="shared" si="152"/>
        <v>Nov</v>
      </c>
      <c r="AJ809" s="5" t="str">
        <f t="shared" si="153"/>
        <v>Sunday</v>
      </c>
    </row>
    <row r="810" spans="1:36" x14ac:dyDescent="0.3">
      <c r="A810" s="5" t="s">
        <v>844</v>
      </c>
      <c r="B810" s="6">
        <v>45304</v>
      </c>
      <c r="C810" s="7">
        <v>0.83333333333333337</v>
      </c>
      <c r="D810" s="5" t="s">
        <v>1799</v>
      </c>
      <c r="E810" s="5" t="s">
        <v>2177</v>
      </c>
      <c r="F810" s="5" t="s">
        <v>2240</v>
      </c>
      <c r="G810" s="5" t="s">
        <v>2251</v>
      </c>
      <c r="H810" s="5" t="s">
        <v>2258</v>
      </c>
      <c r="I810" s="5" t="s">
        <v>2260</v>
      </c>
      <c r="J810" s="5" t="s">
        <v>2266</v>
      </c>
      <c r="K810" s="8">
        <v>5</v>
      </c>
      <c r="L810" s="9">
        <v>105</v>
      </c>
      <c r="M810" s="10">
        <v>0</v>
      </c>
      <c r="N810" s="9">
        <f t="shared" si="154"/>
        <v>525</v>
      </c>
      <c r="O810" s="9">
        <f t="shared" si="144"/>
        <v>525</v>
      </c>
      <c r="P810" s="5" t="s">
        <v>2268</v>
      </c>
      <c r="Q810" s="5" t="s">
        <v>1761</v>
      </c>
      <c r="R810" s="5" t="s">
        <v>2278</v>
      </c>
      <c r="S810" s="5" t="s">
        <v>2280</v>
      </c>
      <c r="T810" s="5" t="s">
        <v>2290</v>
      </c>
      <c r="U810" s="8">
        <v>5</v>
      </c>
      <c r="V810" s="8">
        <v>98</v>
      </c>
      <c r="W810" s="8">
        <v>18</v>
      </c>
      <c r="X810" s="9">
        <v>46.09</v>
      </c>
      <c r="Y810" s="9">
        <f t="shared" si="145"/>
        <v>294.54999999999995</v>
      </c>
      <c r="Z810" s="5" t="s">
        <v>2292</v>
      </c>
      <c r="AA810" s="5" t="s">
        <v>2299</v>
      </c>
      <c r="AB810" s="9">
        <f t="shared" si="146"/>
        <v>525</v>
      </c>
      <c r="AC810" s="9">
        <f t="shared" si="147"/>
        <v>0</v>
      </c>
      <c r="AD810" s="9">
        <f t="shared" si="148"/>
        <v>525</v>
      </c>
      <c r="AE810" s="9">
        <f t="shared" si="149"/>
        <v>230.45000000000002</v>
      </c>
      <c r="AF810" s="9">
        <f t="shared" si="155"/>
        <v>294.54999999999995</v>
      </c>
      <c r="AG810" s="8">
        <f t="shared" si="150"/>
        <v>2024</v>
      </c>
      <c r="AH810" s="8">
        <f t="shared" si="151"/>
        <v>1</v>
      </c>
      <c r="AI810" s="5" t="str">
        <f t="shared" si="152"/>
        <v>Jan</v>
      </c>
      <c r="AJ810" s="5" t="str">
        <f t="shared" si="153"/>
        <v>Saturday</v>
      </c>
    </row>
    <row r="811" spans="1:36" x14ac:dyDescent="0.3">
      <c r="A811" s="5" t="s">
        <v>845</v>
      </c>
      <c r="B811" s="6">
        <v>45541</v>
      </c>
      <c r="C811" s="7">
        <v>0.51388888888888884</v>
      </c>
      <c r="D811" s="5" t="s">
        <v>1764</v>
      </c>
      <c r="E811" s="5" t="s">
        <v>1957</v>
      </c>
      <c r="F811" s="5" t="s">
        <v>2238</v>
      </c>
      <c r="G811" s="5" t="s">
        <v>2241</v>
      </c>
      <c r="H811" s="5" t="s">
        <v>2257</v>
      </c>
      <c r="I811" s="5" t="s">
        <v>2262</v>
      </c>
      <c r="J811" s="5" t="s">
        <v>2264</v>
      </c>
      <c r="K811" s="8">
        <v>2</v>
      </c>
      <c r="L811" s="9">
        <v>140</v>
      </c>
      <c r="M811" s="10">
        <v>0.1</v>
      </c>
      <c r="N811" s="9">
        <f t="shared" si="154"/>
        <v>280</v>
      </c>
      <c r="O811" s="9">
        <f t="shared" si="144"/>
        <v>252</v>
      </c>
      <c r="P811" s="5" t="s">
        <v>2268</v>
      </c>
      <c r="Q811" s="5" t="s">
        <v>1761</v>
      </c>
      <c r="R811" s="5" t="s">
        <v>2279</v>
      </c>
      <c r="S811" s="5" t="s">
        <v>2282</v>
      </c>
      <c r="T811" s="5" t="s">
        <v>2288</v>
      </c>
      <c r="U811" s="8">
        <v>3</v>
      </c>
      <c r="V811" s="8">
        <v>471</v>
      </c>
      <c r="W811" s="8">
        <v>57</v>
      </c>
      <c r="X811" s="9">
        <v>65.349999999999994</v>
      </c>
      <c r="Y811" s="9">
        <f t="shared" si="145"/>
        <v>121.30000000000001</v>
      </c>
      <c r="Z811" s="5" t="s">
        <v>2291</v>
      </c>
      <c r="AA811" s="5" t="s">
        <v>2296</v>
      </c>
      <c r="AB811" s="9">
        <f t="shared" si="146"/>
        <v>280</v>
      </c>
      <c r="AC811" s="9">
        <f t="shared" si="147"/>
        <v>28</v>
      </c>
      <c r="AD811" s="9">
        <f t="shared" si="148"/>
        <v>252</v>
      </c>
      <c r="AE811" s="9">
        <f t="shared" si="149"/>
        <v>130.69999999999999</v>
      </c>
      <c r="AF811" s="9">
        <f t="shared" si="155"/>
        <v>121.30000000000001</v>
      </c>
      <c r="AG811" s="8">
        <f t="shared" si="150"/>
        <v>2024</v>
      </c>
      <c r="AH811" s="8">
        <f t="shared" si="151"/>
        <v>9</v>
      </c>
      <c r="AI811" s="5" t="str">
        <f t="shared" si="152"/>
        <v>Sep</v>
      </c>
      <c r="AJ811" s="5" t="str">
        <f t="shared" si="153"/>
        <v>Friday</v>
      </c>
    </row>
    <row r="812" spans="1:36" x14ac:dyDescent="0.3">
      <c r="A812" s="5" t="s">
        <v>846</v>
      </c>
      <c r="B812" s="6">
        <v>45568</v>
      </c>
      <c r="C812" s="7">
        <v>0.59722222222222221</v>
      </c>
      <c r="D812" s="5" t="s">
        <v>1868</v>
      </c>
      <c r="E812" s="5" t="s">
        <v>1977</v>
      </c>
      <c r="F812" s="5" t="s">
        <v>2239</v>
      </c>
      <c r="G812" s="5" t="s">
        <v>2242</v>
      </c>
      <c r="H812" s="5" t="s">
        <v>2258</v>
      </c>
      <c r="I812" s="5" t="s">
        <v>2260</v>
      </c>
      <c r="J812" s="5" t="s">
        <v>1761</v>
      </c>
      <c r="K812" s="8">
        <v>1</v>
      </c>
      <c r="L812" s="9">
        <v>115</v>
      </c>
      <c r="M812" s="10">
        <v>0.05</v>
      </c>
      <c r="N812" s="9">
        <f t="shared" si="154"/>
        <v>115</v>
      </c>
      <c r="O812" s="9">
        <f t="shared" si="144"/>
        <v>109.25</v>
      </c>
      <c r="P812" s="5" t="s">
        <v>2267</v>
      </c>
      <c r="Q812" s="5" t="s">
        <v>2270</v>
      </c>
      <c r="R812" s="5" t="s">
        <v>2273</v>
      </c>
      <c r="S812" s="5" t="s">
        <v>2285</v>
      </c>
      <c r="T812" s="5" t="s">
        <v>2288</v>
      </c>
      <c r="U812" s="8">
        <v>4</v>
      </c>
      <c r="V812" s="8">
        <v>125</v>
      </c>
      <c r="W812" s="8">
        <v>44</v>
      </c>
      <c r="X812" s="9">
        <v>61.24</v>
      </c>
      <c r="Y812" s="9">
        <f t="shared" si="145"/>
        <v>48.01</v>
      </c>
      <c r="Z812" s="5" t="s">
        <v>2293</v>
      </c>
      <c r="AA812" s="5" t="s">
        <v>2296</v>
      </c>
      <c r="AB812" s="9">
        <f t="shared" si="146"/>
        <v>115</v>
      </c>
      <c r="AC812" s="9">
        <f t="shared" si="147"/>
        <v>5.75</v>
      </c>
      <c r="AD812" s="9">
        <f t="shared" si="148"/>
        <v>109.25</v>
      </c>
      <c r="AE812" s="9">
        <f t="shared" si="149"/>
        <v>61.24</v>
      </c>
      <c r="AF812" s="9">
        <f t="shared" si="155"/>
        <v>48.01</v>
      </c>
      <c r="AG812" s="8">
        <f t="shared" si="150"/>
        <v>2024</v>
      </c>
      <c r="AH812" s="8">
        <f t="shared" si="151"/>
        <v>10</v>
      </c>
      <c r="AI812" s="5" t="str">
        <f t="shared" si="152"/>
        <v>Oct</v>
      </c>
      <c r="AJ812" s="5" t="str">
        <f t="shared" si="153"/>
        <v>Thursday</v>
      </c>
    </row>
    <row r="813" spans="1:36" x14ac:dyDescent="0.3">
      <c r="A813" s="5" t="s">
        <v>847</v>
      </c>
      <c r="B813" s="6">
        <v>45550</v>
      </c>
      <c r="C813" s="7">
        <v>0.53125</v>
      </c>
      <c r="D813" s="5" t="s">
        <v>1932</v>
      </c>
      <c r="E813" s="5" t="s">
        <v>2063</v>
      </c>
      <c r="F813" s="5" t="s">
        <v>2238</v>
      </c>
      <c r="G813" s="5" t="s">
        <v>2249</v>
      </c>
      <c r="H813" s="5" t="s">
        <v>2257</v>
      </c>
      <c r="I813" s="5" t="s">
        <v>2263</v>
      </c>
      <c r="J813" s="5" t="s">
        <v>2264</v>
      </c>
      <c r="K813" s="19">
        <v>3</v>
      </c>
      <c r="L813" s="9">
        <v>160</v>
      </c>
      <c r="M813" s="10">
        <v>0.15</v>
      </c>
      <c r="N813" s="9">
        <f t="shared" si="154"/>
        <v>480</v>
      </c>
      <c r="O813" s="9">
        <f t="shared" si="144"/>
        <v>408</v>
      </c>
      <c r="P813" s="5" t="s">
        <v>2267</v>
      </c>
      <c r="Q813" s="5" t="s">
        <v>2272</v>
      </c>
      <c r="R813" s="5" t="s">
        <v>2277</v>
      </c>
      <c r="S813" s="5" t="s">
        <v>2285</v>
      </c>
      <c r="T813" s="5" t="s">
        <v>2288</v>
      </c>
      <c r="U813" s="19">
        <v>3</v>
      </c>
      <c r="V813" s="8">
        <v>339</v>
      </c>
      <c r="W813" s="19">
        <v>35</v>
      </c>
      <c r="X813" s="9">
        <v>76.02</v>
      </c>
      <c r="Y813" s="9">
        <f t="shared" si="145"/>
        <v>179.94</v>
      </c>
      <c r="Z813" s="5" t="s">
        <v>2293</v>
      </c>
      <c r="AA813" s="5" t="s">
        <v>2299</v>
      </c>
      <c r="AB813" s="9">
        <f t="shared" si="146"/>
        <v>480</v>
      </c>
      <c r="AC813" s="9">
        <f t="shared" si="147"/>
        <v>72</v>
      </c>
      <c r="AD813" s="9">
        <f t="shared" si="148"/>
        <v>408</v>
      </c>
      <c r="AE813" s="9">
        <f t="shared" si="149"/>
        <v>228.06</v>
      </c>
      <c r="AF813" s="9">
        <f t="shared" si="155"/>
        <v>179.94</v>
      </c>
      <c r="AG813" s="8">
        <f t="shared" si="150"/>
        <v>2024</v>
      </c>
      <c r="AH813" s="8">
        <f t="shared" si="151"/>
        <v>9</v>
      </c>
      <c r="AI813" s="5" t="str">
        <f t="shared" si="152"/>
        <v>Sep</v>
      </c>
      <c r="AJ813" s="5" t="str">
        <f t="shared" si="153"/>
        <v>Sunday</v>
      </c>
    </row>
    <row r="814" spans="1:36" x14ac:dyDescent="0.3">
      <c r="A814" s="5" t="s">
        <v>848</v>
      </c>
      <c r="B814" s="6">
        <v>45561</v>
      </c>
      <c r="C814" s="7">
        <v>0.82291666666666663</v>
      </c>
      <c r="D814" s="5" t="s">
        <v>1778</v>
      </c>
      <c r="E814" s="5" t="s">
        <v>1761</v>
      </c>
      <c r="F814" s="5" t="s">
        <v>2239</v>
      </c>
      <c r="G814" s="5" t="s">
        <v>2245</v>
      </c>
      <c r="H814" s="5" t="s">
        <v>2257</v>
      </c>
      <c r="I814" s="5" t="s">
        <v>2263</v>
      </c>
      <c r="J814" s="5" t="s">
        <v>2264</v>
      </c>
      <c r="K814" s="8">
        <v>1</v>
      </c>
      <c r="L814" s="9">
        <v>150</v>
      </c>
      <c r="M814" s="10">
        <v>0.1</v>
      </c>
      <c r="N814" s="9">
        <f t="shared" si="154"/>
        <v>150</v>
      </c>
      <c r="O814" s="9">
        <f t="shared" si="144"/>
        <v>135</v>
      </c>
      <c r="P814" s="5" t="s">
        <v>2267</v>
      </c>
      <c r="Q814" s="5" t="s">
        <v>2272</v>
      </c>
      <c r="R814" s="5" t="s">
        <v>2274</v>
      </c>
      <c r="S814" s="5" t="s">
        <v>2280</v>
      </c>
      <c r="T814" s="5" t="s">
        <v>2288</v>
      </c>
      <c r="U814" s="8">
        <v>5</v>
      </c>
      <c r="V814" s="8">
        <v>399</v>
      </c>
      <c r="W814" s="19">
        <v>35</v>
      </c>
      <c r="X814" s="9">
        <v>53.19</v>
      </c>
      <c r="Y814" s="9">
        <f t="shared" si="145"/>
        <v>81.81</v>
      </c>
      <c r="Z814" s="5" t="s">
        <v>1761</v>
      </c>
      <c r="AA814" s="5" t="s">
        <v>2299</v>
      </c>
      <c r="AB814" s="9">
        <f t="shared" si="146"/>
        <v>150</v>
      </c>
      <c r="AC814" s="9">
        <f t="shared" si="147"/>
        <v>15</v>
      </c>
      <c r="AD814" s="9">
        <f t="shared" si="148"/>
        <v>135</v>
      </c>
      <c r="AE814" s="9">
        <f t="shared" si="149"/>
        <v>53.19</v>
      </c>
      <c r="AF814" s="9">
        <f t="shared" si="155"/>
        <v>81.81</v>
      </c>
      <c r="AG814" s="8">
        <f t="shared" si="150"/>
        <v>2024</v>
      </c>
      <c r="AH814" s="8">
        <f t="shared" si="151"/>
        <v>9</v>
      </c>
      <c r="AI814" s="5" t="str">
        <f t="shared" si="152"/>
        <v>Sep</v>
      </c>
      <c r="AJ814" s="5" t="str">
        <f t="shared" si="153"/>
        <v>Thursday</v>
      </c>
    </row>
    <row r="815" spans="1:36" x14ac:dyDescent="0.3">
      <c r="A815" s="5" t="s">
        <v>849</v>
      </c>
      <c r="B815" s="6">
        <v>45472</v>
      </c>
      <c r="C815" s="7">
        <v>0.38541666666666669</v>
      </c>
      <c r="D815" s="5" t="s">
        <v>1881</v>
      </c>
      <c r="E815" s="5" t="s">
        <v>2081</v>
      </c>
      <c r="F815" s="5" t="s">
        <v>2238</v>
      </c>
      <c r="G815" s="5" t="s">
        <v>2253</v>
      </c>
      <c r="H815" s="5" t="s">
        <v>2258</v>
      </c>
      <c r="I815" s="5" t="s">
        <v>2260</v>
      </c>
      <c r="J815" s="5" t="s">
        <v>2266</v>
      </c>
      <c r="K815" s="8">
        <v>1</v>
      </c>
      <c r="L815" s="9">
        <v>90</v>
      </c>
      <c r="M815" s="10">
        <v>0.1</v>
      </c>
      <c r="N815" s="9">
        <f t="shared" si="154"/>
        <v>90</v>
      </c>
      <c r="O815" s="9">
        <f t="shared" si="144"/>
        <v>81</v>
      </c>
      <c r="P815" s="5" t="s">
        <v>2267</v>
      </c>
      <c r="Q815" s="5" t="s">
        <v>2270</v>
      </c>
      <c r="R815" s="5" t="s">
        <v>2276</v>
      </c>
      <c r="S815" s="5" t="s">
        <v>2283</v>
      </c>
      <c r="T815" s="5" t="s">
        <v>2288</v>
      </c>
      <c r="U815" s="8">
        <v>5</v>
      </c>
      <c r="V815" s="8">
        <v>322</v>
      </c>
      <c r="W815" s="8">
        <v>51</v>
      </c>
      <c r="X815" s="9">
        <v>42</v>
      </c>
      <c r="Y815" s="9">
        <f t="shared" si="145"/>
        <v>39</v>
      </c>
      <c r="Z815" s="5" t="s">
        <v>2293</v>
      </c>
      <c r="AA815" s="5" t="s">
        <v>1761</v>
      </c>
      <c r="AB815" s="9">
        <f t="shared" si="146"/>
        <v>90</v>
      </c>
      <c r="AC815" s="9">
        <f t="shared" si="147"/>
        <v>9</v>
      </c>
      <c r="AD815" s="9">
        <f t="shared" si="148"/>
        <v>81</v>
      </c>
      <c r="AE815" s="9">
        <f t="shared" si="149"/>
        <v>42</v>
      </c>
      <c r="AF815" s="9">
        <f t="shared" si="155"/>
        <v>39</v>
      </c>
      <c r="AG815" s="8">
        <f t="shared" si="150"/>
        <v>2024</v>
      </c>
      <c r="AH815" s="8">
        <f t="shared" si="151"/>
        <v>6</v>
      </c>
      <c r="AI815" s="5" t="str">
        <f t="shared" si="152"/>
        <v>Jun</v>
      </c>
      <c r="AJ815" s="5" t="str">
        <f t="shared" si="153"/>
        <v>Saturday</v>
      </c>
    </row>
    <row r="816" spans="1:36" x14ac:dyDescent="0.3">
      <c r="A816" s="5" t="s">
        <v>850</v>
      </c>
      <c r="B816" s="6">
        <v>45647</v>
      </c>
      <c r="C816" s="7">
        <v>0.5625</v>
      </c>
      <c r="D816" s="5" t="s">
        <v>1938</v>
      </c>
      <c r="E816" s="5" t="s">
        <v>1994</v>
      </c>
      <c r="F816" s="5" t="s">
        <v>2239</v>
      </c>
      <c r="G816" s="5" t="s">
        <v>2248</v>
      </c>
      <c r="H816" s="5" t="s">
        <v>2257</v>
      </c>
      <c r="I816" s="5" t="s">
        <v>2262</v>
      </c>
      <c r="J816" s="5" t="s">
        <v>2266</v>
      </c>
      <c r="K816" s="8">
        <v>1</v>
      </c>
      <c r="L816" s="9">
        <v>155</v>
      </c>
      <c r="M816" s="10">
        <v>0.1</v>
      </c>
      <c r="N816" s="9">
        <f t="shared" si="154"/>
        <v>155</v>
      </c>
      <c r="O816" s="9">
        <f t="shared" si="144"/>
        <v>139.5</v>
      </c>
      <c r="P816" s="5" t="s">
        <v>2269</v>
      </c>
      <c r="Q816" s="5" t="s">
        <v>2270</v>
      </c>
      <c r="R816" s="5" t="s">
        <v>2279</v>
      </c>
      <c r="S816" s="5" t="s">
        <v>2282</v>
      </c>
      <c r="T816" s="5" t="s">
        <v>2288</v>
      </c>
      <c r="U816" s="8">
        <v>3</v>
      </c>
      <c r="V816" s="8">
        <v>35</v>
      </c>
      <c r="W816" s="8">
        <v>10</v>
      </c>
      <c r="X816" s="9">
        <v>51.1</v>
      </c>
      <c r="Y816" s="9">
        <f t="shared" si="145"/>
        <v>88.4</v>
      </c>
      <c r="Z816" s="5" t="s">
        <v>1761</v>
      </c>
      <c r="AA816" s="5" t="s">
        <v>2298</v>
      </c>
      <c r="AB816" s="9">
        <f t="shared" si="146"/>
        <v>155</v>
      </c>
      <c r="AC816" s="9">
        <f t="shared" si="147"/>
        <v>15.5</v>
      </c>
      <c r="AD816" s="9">
        <f t="shared" si="148"/>
        <v>139.5</v>
      </c>
      <c r="AE816" s="9">
        <f t="shared" si="149"/>
        <v>51.1</v>
      </c>
      <c r="AF816" s="9">
        <f t="shared" si="155"/>
        <v>88.4</v>
      </c>
      <c r="AG816" s="8">
        <f t="shared" si="150"/>
        <v>2024</v>
      </c>
      <c r="AH816" s="8">
        <f t="shared" si="151"/>
        <v>12</v>
      </c>
      <c r="AI816" s="5" t="str">
        <f t="shared" si="152"/>
        <v>Dec</v>
      </c>
      <c r="AJ816" s="5" t="str">
        <f t="shared" si="153"/>
        <v>Saturday</v>
      </c>
    </row>
    <row r="817" spans="1:36" x14ac:dyDescent="0.3">
      <c r="A817" s="5" t="s">
        <v>851</v>
      </c>
      <c r="B817" s="6">
        <v>45643</v>
      </c>
      <c r="C817" s="7">
        <v>0.3125</v>
      </c>
      <c r="D817" s="5" t="s">
        <v>1836</v>
      </c>
      <c r="E817" s="5" t="s">
        <v>1958</v>
      </c>
      <c r="F817" s="5" t="s">
        <v>1761</v>
      </c>
      <c r="G817" s="5" t="s">
        <v>2254</v>
      </c>
      <c r="H817" s="5" t="s">
        <v>2259</v>
      </c>
      <c r="I817" s="5" t="s">
        <v>2263</v>
      </c>
      <c r="J817" s="5" t="s">
        <v>1761</v>
      </c>
      <c r="K817" s="8">
        <v>2</v>
      </c>
      <c r="L817" s="9">
        <v>120</v>
      </c>
      <c r="M817" s="10">
        <v>0</v>
      </c>
      <c r="N817" s="9">
        <f t="shared" si="154"/>
        <v>240</v>
      </c>
      <c r="O817" s="9">
        <f t="shared" si="144"/>
        <v>240</v>
      </c>
      <c r="P817" s="5" t="s">
        <v>2269</v>
      </c>
      <c r="Q817" s="5" t="s">
        <v>2272</v>
      </c>
      <c r="R817" s="5" t="s">
        <v>2274</v>
      </c>
      <c r="S817" s="5" t="s">
        <v>2286</v>
      </c>
      <c r="T817" s="5" t="s">
        <v>2288</v>
      </c>
      <c r="U817" s="8">
        <v>3</v>
      </c>
      <c r="V817" s="8">
        <v>197</v>
      </c>
      <c r="W817" s="8">
        <v>56</v>
      </c>
      <c r="X817" s="9">
        <v>53.06</v>
      </c>
      <c r="Y817" s="9">
        <f t="shared" si="145"/>
        <v>133.88</v>
      </c>
      <c r="Z817" s="5" t="s">
        <v>1761</v>
      </c>
      <c r="AA817" s="5" t="s">
        <v>2296</v>
      </c>
      <c r="AB817" s="9">
        <f t="shared" si="146"/>
        <v>240</v>
      </c>
      <c r="AC817" s="9">
        <f t="shared" si="147"/>
        <v>0</v>
      </c>
      <c r="AD817" s="9">
        <f t="shared" si="148"/>
        <v>240</v>
      </c>
      <c r="AE817" s="9">
        <f t="shared" si="149"/>
        <v>106.12</v>
      </c>
      <c r="AF817" s="9">
        <f t="shared" si="155"/>
        <v>133.88</v>
      </c>
      <c r="AG817" s="8">
        <f t="shared" si="150"/>
        <v>2024</v>
      </c>
      <c r="AH817" s="8">
        <f t="shared" si="151"/>
        <v>12</v>
      </c>
      <c r="AI817" s="5" t="str">
        <f t="shared" si="152"/>
        <v>Dec</v>
      </c>
      <c r="AJ817" s="5" t="str">
        <f t="shared" si="153"/>
        <v>Tuesday</v>
      </c>
    </row>
    <row r="818" spans="1:36" x14ac:dyDescent="0.3">
      <c r="A818" s="5" t="s">
        <v>852</v>
      </c>
      <c r="B818" s="6">
        <v>45421</v>
      </c>
      <c r="C818" s="7">
        <v>0.90972222222222221</v>
      </c>
      <c r="D818" s="5" t="s">
        <v>1780</v>
      </c>
      <c r="E818" s="5" t="s">
        <v>1761</v>
      </c>
      <c r="F818" s="5" t="s">
        <v>2239</v>
      </c>
      <c r="G818" s="5" t="s">
        <v>2243</v>
      </c>
      <c r="H818" s="5" t="s">
        <v>2258</v>
      </c>
      <c r="I818" s="5" t="s">
        <v>2260</v>
      </c>
      <c r="J818" s="5" t="s">
        <v>2266</v>
      </c>
      <c r="K818" s="8">
        <v>3</v>
      </c>
      <c r="L818" s="9">
        <v>80</v>
      </c>
      <c r="M818" s="10">
        <v>0</v>
      </c>
      <c r="N818" s="9">
        <f t="shared" si="154"/>
        <v>240</v>
      </c>
      <c r="O818" s="9">
        <f t="shared" si="144"/>
        <v>240</v>
      </c>
      <c r="P818" s="5" t="s">
        <v>2268</v>
      </c>
      <c r="Q818" s="5" t="s">
        <v>2271</v>
      </c>
      <c r="R818" s="5" t="s">
        <v>2277</v>
      </c>
      <c r="S818" s="5" t="s">
        <v>2286</v>
      </c>
      <c r="T818" s="5" t="s">
        <v>2290</v>
      </c>
      <c r="U818" s="8">
        <v>2</v>
      </c>
      <c r="V818" s="8">
        <v>414</v>
      </c>
      <c r="W818" s="8">
        <v>33</v>
      </c>
      <c r="X818" s="9">
        <v>41.29</v>
      </c>
      <c r="Y818" s="9">
        <f t="shared" si="145"/>
        <v>116.13</v>
      </c>
      <c r="Z818" s="5" t="s">
        <v>2294</v>
      </c>
      <c r="AA818" s="5" t="s">
        <v>2298</v>
      </c>
      <c r="AB818" s="9">
        <f t="shared" si="146"/>
        <v>240</v>
      </c>
      <c r="AC818" s="9">
        <f t="shared" si="147"/>
        <v>0</v>
      </c>
      <c r="AD818" s="9">
        <f t="shared" si="148"/>
        <v>240</v>
      </c>
      <c r="AE818" s="9">
        <f t="shared" si="149"/>
        <v>123.87</v>
      </c>
      <c r="AF818" s="9">
        <f t="shared" si="155"/>
        <v>116.13</v>
      </c>
      <c r="AG818" s="8">
        <f t="shared" si="150"/>
        <v>2024</v>
      </c>
      <c r="AH818" s="8">
        <f t="shared" si="151"/>
        <v>5</v>
      </c>
      <c r="AI818" s="5" t="str">
        <f t="shared" si="152"/>
        <v>May</v>
      </c>
      <c r="AJ818" s="5" t="str">
        <f t="shared" si="153"/>
        <v>Thursday</v>
      </c>
    </row>
    <row r="819" spans="1:36" x14ac:dyDescent="0.3">
      <c r="A819" s="5" t="s">
        <v>853</v>
      </c>
      <c r="B819" s="6">
        <v>45620</v>
      </c>
      <c r="C819" s="7">
        <v>0.71527777777777779</v>
      </c>
      <c r="D819" s="5" t="s">
        <v>1876</v>
      </c>
      <c r="E819" s="5" t="s">
        <v>2020</v>
      </c>
      <c r="F819" s="5" t="s">
        <v>2240</v>
      </c>
      <c r="G819" s="5" t="s">
        <v>2252</v>
      </c>
      <c r="H819" s="5" t="s">
        <v>2257</v>
      </c>
      <c r="I819" s="5" t="s">
        <v>2262</v>
      </c>
      <c r="J819" s="5" t="s">
        <v>1761</v>
      </c>
      <c r="K819" s="8">
        <v>1</v>
      </c>
      <c r="L819" s="9">
        <v>85</v>
      </c>
      <c r="M819" s="10">
        <v>0.1</v>
      </c>
      <c r="N819" s="9">
        <f t="shared" si="154"/>
        <v>85</v>
      </c>
      <c r="O819" s="9">
        <f t="shared" si="144"/>
        <v>76.5</v>
      </c>
      <c r="P819" s="5" t="s">
        <v>2268</v>
      </c>
      <c r="Q819" s="5" t="s">
        <v>2270</v>
      </c>
      <c r="R819" s="5" t="s">
        <v>2279</v>
      </c>
      <c r="S819" s="5" t="s">
        <v>2280</v>
      </c>
      <c r="T819" s="5" t="s">
        <v>2288</v>
      </c>
      <c r="U819" s="19">
        <v>3</v>
      </c>
      <c r="V819" s="8">
        <v>292</v>
      </c>
      <c r="W819" s="8">
        <v>18</v>
      </c>
      <c r="X819" s="9">
        <v>37.67</v>
      </c>
      <c r="Y819" s="9">
        <f t="shared" si="145"/>
        <v>38.83</v>
      </c>
      <c r="Z819" s="5" t="s">
        <v>1761</v>
      </c>
      <c r="AA819" s="5" t="s">
        <v>2298</v>
      </c>
      <c r="AB819" s="9">
        <f t="shared" si="146"/>
        <v>85</v>
      </c>
      <c r="AC819" s="9">
        <f t="shared" si="147"/>
        <v>8.5</v>
      </c>
      <c r="AD819" s="9">
        <f t="shared" si="148"/>
        <v>76.5</v>
      </c>
      <c r="AE819" s="9">
        <f t="shared" si="149"/>
        <v>37.67</v>
      </c>
      <c r="AF819" s="9">
        <f t="shared" si="155"/>
        <v>38.83</v>
      </c>
      <c r="AG819" s="8">
        <f t="shared" si="150"/>
        <v>2024</v>
      </c>
      <c r="AH819" s="8">
        <f t="shared" si="151"/>
        <v>11</v>
      </c>
      <c r="AI819" s="5" t="str">
        <f t="shared" si="152"/>
        <v>Nov</v>
      </c>
      <c r="AJ819" s="5" t="str">
        <f t="shared" si="153"/>
        <v>Sunday</v>
      </c>
    </row>
    <row r="820" spans="1:36" x14ac:dyDescent="0.3">
      <c r="A820" s="5" t="s">
        <v>854</v>
      </c>
      <c r="B820" s="6">
        <v>45625</v>
      </c>
      <c r="C820" s="7">
        <v>0.63888888888888884</v>
      </c>
      <c r="D820" s="5" t="s">
        <v>1838</v>
      </c>
      <c r="E820" s="5" t="s">
        <v>2055</v>
      </c>
      <c r="F820" s="5" t="s">
        <v>2238</v>
      </c>
      <c r="G820" s="5" t="s">
        <v>2253</v>
      </c>
      <c r="H820" s="5" t="s">
        <v>2258</v>
      </c>
      <c r="I820" s="5" t="s">
        <v>2260</v>
      </c>
      <c r="J820" s="5" t="s">
        <v>2264</v>
      </c>
      <c r="K820" s="8">
        <v>1</v>
      </c>
      <c r="L820" s="9">
        <v>95</v>
      </c>
      <c r="M820" s="10">
        <v>0.05</v>
      </c>
      <c r="N820" s="9">
        <f t="shared" si="154"/>
        <v>95</v>
      </c>
      <c r="O820" s="9">
        <f t="shared" si="144"/>
        <v>90.25</v>
      </c>
      <c r="P820" s="5" t="s">
        <v>2267</v>
      </c>
      <c r="Q820" s="5" t="s">
        <v>2270</v>
      </c>
      <c r="R820" s="5" t="s">
        <v>2274</v>
      </c>
      <c r="S820" s="5" t="s">
        <v>2285</v>
      </c>
      <c r="T820" s="5" t="s">
        <v>2288</v>
      </c>
      <c r="U820" s="8">
        <v>5</v>
      </c>
      <c r="V820" s="19">
        <v>244</v>
      </c>
      <c r="W820" s="19">
        <v>34</v>
      </c>
      <c r="X820" s="9">
        <v>39.22</v>
      </c>
      <c r="Y820" s="9">
        <f t="shared" si="145"/>
        <v>51.03</v>
      </c>
      <c r="Z820" s="5" t="s">
        <v>2293</v>
      </c>
      <c r="AA820" s="5" t="s">
        <v>2297</v>
      </c>
      <c r="AB820" s="9">
        <f t="shared" si="146"/>
        <v>95</v>
      </c>
      <c r="AC820" s="9">
        <f t="shared" si="147"/>
        <v>4.75</v>
      </c>
      <c r="AD820" s="9">
        <f t="shared" si="148"/>
        <v>90.25</v>
      </c>
      <c r="AE820" s="9">
        <f t="shared" si="149"/>
        <v>39.22</v>
      </c>
      <c r="AF820" s="9">
        <f t="shared" si="155"/>
        <v>51.03</v>
      </c>
      <c r="AG820" s="8">
        <f t="shared" si="150"/>
        <v>2024</v>
      </c>
      <c r="AH820" s="8">
        <f t="shared" si="151"/>
        <v>11</v>
      </c>
      <c r="AI820" s="5" t="str">
        <f t="shared" si="152"/>
        <v>Nov</v>
      </c>
      <c r="AJ820" s="5" t="str">
        <f t="shared" si="153"/>
        <v>Friday</v>
      </c>
    </row>
    <row r="821" spans="1:36" x14ac:dyDescent="0.3">
      <c r="A821" s="5" t="s">
        <v>855</v>
      </c>
      <c r="B821" s="6">
        <v>45318</v>
      </c>
      <c r="C821" s="7">
        <v>0.49305555555555558</v>
      </c>
      <c r="D821" s="5" t="s">
        <v>1917</v>
      </c>
      <c r="E821" s="5" t="s">
        <v>2188</v>
      </c>
      <c r="F821" s="5" t="s">
        <v>1761</v>
      </c>
      <c r="G821" s="5" t="s">
        <v>2256</v>
      </c>
      <c r="H821" s="5" t="s">
        <v>2261</v>
      </c>
      <c r="I821" s="5" t="s">
        <v>2260</v>
      </c>
      <c r="J821" s="5" t="s">
        <v>2265</v>
      </c>
      <c r="K821" s="8">
        <v>1</v>
      </c>
      <c r="L821" s="9">
        <v>185</v>
      </c>
      <c r="M821" s="10">
        <v>0</v>
      </c>
      <c r="N821" s="9">
        <f t="shared" si="154"/>
        <v>185</v>
      </c>
      <c r="O821" s="9">
        <f t="shared" si="144"/>
        <v>185</v>
      </c>
      <c r="P821" s="5" t="s">
        <v>2269</v>
      </c>
      <c r="Q821" s="5" t="s">
        <v>2270</v>
      </c>
      <c r="R821" s="5" t="s">
        <v>2276</v>
      </c>
      <c r="S821" s="5" t="s">
        <v>2287</v>
      </c>
      <c r="T821" s="5" t="s">
        <v>2289</v>
      </c>
      <c r="U821" s="19">
        <v>3</v>
      </c>
      <c r="V821" s="8">
        <v>456</v>
      </c>
      <c r="W821" s="8">
        <v>26</v>
      </c>
      <c r="X821" s="9">
        <v>83.45</v>
      </c>
      <c r="Y821" s="9">
        <f t="shared" si="145"/>
        <v>101.55</v>
      </c>
      <c r="Z821" s="5" t="s">
        <v>1761</v>
      </c>
      <c r="AA821" s="5" t="s">
        <v>2299</v>
      </c>
      <c r="AB821" s="9">
        <f t="shared" si="146"/>
        <v>185</v>
      </c>
      <c r="AC821" s="9">
        <f t="shared" si="147"/>
        <v>0</v>
      </c>
      <c r="AD821" s="9">
        <f t="shared" si="148"/>
        <v>185</v>
      </c>
      <c r="AE821" s="9">
        <f t="shared" si="149"/>
        <v>83.45</v>
      </c>
      <c r="AF821" s="9">
        <f t="shared" si="155"/>
        <v>101.55</v>
      </c>
      <c r="AG821" s="8">
        <f t="shared" si="150"/>
        <v>2024</v>
      </c>
      <c r="AH821" s="8">
        <f t="shared" si="151"/>
        <v>1</v>
      </c>
      <c r="AI821" s="5" t="str">
        <f t="shared" si="152"/>
        <v>Jan</v>
      </c>
      <c r="AJ821" s="5" t="str">
        <f t="shared" si="153"/>
        <v>Saturday</v>
      </c>
    </row>
    <row r="822" spans="1:36" x14ac:dyDescent="0.3">
      <c r="A822" s="5" t="s">
        <v>856</v>
      </c>
      <c r="B822" s="6">
        <v>45495</v>
      </c>
      <c r="C822" s="7">
        <v>0.32291666666666669</v>
      </c>
      <c r="D822" s="5" t="s">
        <v>1933</v>
      </c>
      <c r="E822" s="5" t="s">
        <v>2170</v>
      </c>
      <c r="F822" s="5" t="s">
        <v>2238</v>
      </c>
      <c r="G822" s="5" t="s">
        <v>2254</v>
      </c>
      <c r="H822" s="5" t="s">
        <v>2259</v>
      </c>
      <c r="I822" s="5" t="s">
        <v>2263</v>
      </c>
      <c r="J822" s="5" t="s">
        <v>2264</v>
      </c>
      <c r="K822" s="8">
        <v>1</v>
      </c>
      <c r="L822" s="9">
        <v>110</v>
      </c>
      <c r="M822" s="10">
        <v>0</v>
      </c>
      <c r="N822" s="9">
        <f t="shared" si="154"/>
        <v>110</v>
      </c>
      <c r="O822" s="9">
        <f t="shared" si="144"/>
        <v>110</v>
      </c>
      <c r="P822" s="5" t="s">
        <v>2268</v>
      </c>
      <c r="Q822" s="5" t="s">
        <v>1761</v>
      </c>
      <c r="R822" s="5" t="s">
        <v>2279</v>
      </c>
      <c r="S822" s="5" t="s">
        <v>2284</v>
      </c>
      <c r="T822" s="5" t="s">
        <v>2290</v>
      </c>
      <c r="U822" s="8">
        <v>5</v>
      </c>
      <c r="V822" s="8">
        <v>494</v>
      </c>
      <c r="W822" s="19">
        <v>36</v>
      </c>
      <c r="X822" s="9">
        <v>55.69</v>
      </c>
      <c r="Y822" s="9">
        <f t="shared" si="145"/>
        <v>54.31</v>
      </c>
      <c r="Z822" s="5" t="s">
        <v>2293</v>
      </c>
      <c r="AA822" s="5" t="s">
        <v>2296</v>
      </c>
      <c r="AB822" s="9">
        <f t="shared" si="146"/>
        <v>110</v>
      </c>
      <c r="AC822" s="9">
        <f t="shared" si="147"/>
        <v>0</v>
      </c>
      <c r="AD822" s="9">
        <f t="shared" si="148"/>
        <v>110</v>
      </c>
      <c r="AE822" s="9">
        <f t="shared" si="149"/>
        <v>55.69</v>
      </c>
      <c r="AF822" s="9">
        <f t="shared" si="155"/>
        <v>54.31</v>
      </c>
      <c r="AG822" s="8">
        <f t="shared" si="150"/>
        <v>2024</v>
      </c>
      <c r="AH822" s="8">
        <f t="shared" si="151"/>
        <v>7</v>
      </c>
      <c r="AI822" s="5" t="str">
        <f t="shared" si="152"/>
        <v>Jul</v>
      </c>
      <c r="AJ822" s="5" t="str">
        <f t="shared" si="153"/>
        <v>Monday</v>
      </c>
    </row>
    <row r="823" spans="1:36" x14ac:dyDescent="0.3">
      <c r="A823" s="5" t="s">
        <v>857</v>
      </c>
      <c r="B823" s="18">
        <v>45468</v>
      </c>
      <c r="C823" s="7">
        <v>0.72916666666666663</v>
      </c>
      <c r="D823" s="5" t="s">
        <v>1753</v>
      </c>
      <c r="E823" s="5" t="s">
        <v>2017</v>
      </c>
      <c r="F823" s="5" t="s">
        <v>2240</v>
      </c>
      <c r="G823" s="5" t="s">
        <v>2254</v>
      </c>
      <c r="H823" s="5" t="s">
        <v>2259</v>
      </c>
      <c r="I823" s="5" t="s">
        <v>2263</v>
      </c>
      <c r="J823" s="5" t="s">
        <v>2264</v>
      </c>
      <c r="K823" s="8">
        <v>1</v>
      </c>
      <c r="L823" s="9">
        <v>105</v>
      </c>
      <c r="M823" s="10">
        <v>0.05</v>
      </c>
      <c r="N823" s="9">
        <f t="shared" si="154"/>
        <v>105</v>
      </c>
      <c r="O823" s="9">
        <f t="shared" si="144"/>
        <v>99.75</v>
      </c>
      <c r="P823" s="5" t="s">
        <v>1761</v>
      </c>
      <c r="Q823" s="5" t="s">
        <v>2272</v>
      </c>
      <c r="R823" s="5" t="s">
        <v>2277</v>
      </c>
      <c r="S823" s="5" t="s">
        <v>2285</v>
      </c>
      <c r="T823" s="5" t="s">
        <v>2288</v>
      </c>
      <c r="U823" s="8">
        <v>4</v>
      </c>
      <c r="V823" s="8">
        <v>280</v>
      </c>
      <c r="W823" s="19">
        <v>35</v>
      </c>
      <c r="X823" s="9">
        <v>47.88</v>
      </c>
      <c r="Y823" s="9">
        <f t="shared" si="145"/>
        <v>51.87</v>
      </c>
      <c r="Z823" s="5" t="s">
        <v>1761</v>
      </c>
      <c r="AA823" s="5" t="s">
        <v>2296</v>
      </c>
      <c r="AB823" s="9">
        <f t="shared" si="146"/>
        <v>105</v>
      </c>
      <c r="AC823" s="9">
        <f t="shared" si="147"/>
        <v>5.25</v>
      </c>
      <c r="AD823" s="9">
        <f t="shared" si="148"/>
        <v>99.75</v>
      </c>
      <c r="AE823" s="9">
        <f t="shared" si="149"/>
        <v>47.88</v>
      </c>
      <c r="AF823" s="9">
        <f t="shared" si="155"/>
        <v>51.87</v>
      </c>
      <c r="AG823" s="8">
        <f t="shared" si="150"/>
        <v>2024</v>
      </c>
      <c r="AH823" s="8">
        <f t="shared" si="151"/>
        <v>6</v>
      </c>
      <c r="AI823" s="5" t="str">
        <f t="shared" si="152"/>
        <v>Jun</v>
      </c>
      <c r="AJ823" s="5" t="str">
        <f t="shared" si="153"/>
        <v>Tuesday</v>
      </c>
    </row>
    <row r="824" spans="1:36" x14ac:dyDescent="0.3">
      <c r="A824" s="5" t="s">
        <v>858</v>
      </c>
      <c r="B824" s="6">
        <v>45381</v>
      </c>
      <c r="C824" s="7">
        <v>0.54166666666666663</v>
      </c>
      <c r="D824" s="5" t="s">
        <v>1788</v>
      </c>
      <c r="E824" s="5" t="s">
        <v>2219</v>
      </c>
      <c r="F824" s="5" t="s">
        <v>2238</v>
      </c>
      <c r="G824" s="5" t="s">
        <v>2245</v>
      </c>
      <c r="H824" s="5" t="s">
        <v>2257</v>
      </c>
      <c r="I824" s="5" t="s">
        <v>2263</v>
      </c>
      <c r="J824" s="5" t="s">
        <v>2265</v>
      </c>
      <c r="K824" s="8">
        <v>1</v>
      </c>
      <c r="L824" s="9">
        <v>160</v>
      </c>
      <c r="M824" s="10">
        <v>0</v>
      </c>
      <c r="N824" s="9">
        <f t="shared" si="154"/>
        <v>160</v>
      </c>
      <c r="O824" s="9">
        <f t="shared" si="144"/>
        <v>160</v>
      </c>
      <c r="P824" s="5" t="s">
        <v>2268</v>
      </c>
      <c r="Q824" s="5" t="s">
        <v>2272</v>
      </c>
      <c r="R824" s="5" t="s">
        <v>2277</v>
      </c>
      <c r="S824" s="5" t="s">
        <v>2282</v>
      </c>
      <c r="T824" s="5" t="s">
        <v>2288</v>
      </c>
      <c r="U824" s="8">
        <v>1</v>
      </c>
      <c r="V824" s="8">
        <v>237</v>
      </c>
      <c r="W824" s="8">
        <v>32</v>
      </c>
      <c r="X824" s="9">
        <v>69.680000000000007</v>
      </c>
      <c r="Y824" s="9">
        <f t="shared" si="145"/>
        <v>90.32</v>
      </c>
      <c r="Z824" s="5" t="s">
        <v>2291</v>
      </c>
      <c r="AA824" s="5" t="s">
        <v>2296</v>
      </c>
      <c r="AB824" s="9">
        <f t="shared" si="146"/>
        <v>160</v>
      </c>
      <c r="AC824" s="9">
        <f t="shared" si="147"/>
        <v>0</v>
      </c>
      <c r="AD824" s="9">
        <f t="shared" si="148"/>
        <v>160</v>
      </c>
      <c r="AE824" s="9">
        <f t="shared" si="149"/>
        <v>69.680000000000007</v>
      </c>
      <c r="AF824" s="9">
        <f t="shared" si="155"/>
        <v>90.32</v>
      </c>
      <c r="AG824" s="8">
        <f t="shared" si="150"/>
        <v>2024</v>
      </c>
      <c r="AH824" s="8">
        <f t="shared" si="151"/>
        <v>3</v>
      </c>
      <c r="AI824" s="5" t="str">
        <f t="shared" si="152"/>
        <v>Mar</v>
      </c>
      <c r="AJ824" s="5" t="str">
        <f t="shared" si="153"/>
        <v>Saturday</v>
      </c>
    </row>
    <row r="825" spans="1:36" x14ac:dyDescent="0.3">
      <c r="A825" s="5" t="s">
        <v>859</v>
      </c>
      <c r="B825" s="6">
        <v>45320</v>
      </c>
      <c r="C825" s="7">
        <v>0.75</v>
      </c>
      <c r="D825" s="5" t="s">
        <v>1939</v>
      </c>
      <c r="E825" s="5" t="s">
        <v>2219</v>
      </c>
      <c r="F825" s="5" t="s">
        <v>2238</v>
      </c>
      <c r="G825" s="5" t="s">
        <v>2248</v>
      </c>
      <c r="H825" s="5" t="s">
        <v>2257</v>
      </c>
      <c r="I825" s="5" t="s">
        <v>2262</v>
      </c>
      <c r="J825" s="5" t="s">
        <v>2266</v>
      </c>
      <c r="K825" s="8">
        <v>1</v>
      </c>
      <c r="L825" s="9">
        <v>155</v>
      </c>
      <c r="M825" s="10">
        <v>0.1</v>
      </c>
      <c r="N825" s="9">
        <f t="shared" si="154"/>
        <v>155</v>
      </c>
      <c r="O825" s="9">
        <f t="shared" si="144"/>
        <v>139.5</v>
      </c>
      <c r="P825" s="5" t="s">
        <v>2268</v>
      </c>
      <c r="Q825" s="5" t="s">
        <v>2272</v>
      </c>
      <c r="R825" s="5" t="s">
        <v>2275</v>
      </c>
      <c r="S825" s="5" t="s">
        <v>2284</v>
      </c>
      <c r="T825" s="5" t="s">
        <v>2288</v>
      </c>
      <c r="U825" s="8">
        <v>5</v>
      </c>
      <c r="V825" s="8">
        <v>333</v>
      </c>
      <c r="W825" s="8">
        <v>31</v>
      </c>
      <c r="X825" s="9">
        <v>76.42</v>
      </c>
      <c r="Y825" s="9">
        <f t="shared" si="145"/>
        <v>63.08</v>
      </c>
      <c r="Z825" s="5" t="s">
        <v>2291</v>
      </c>
      <c r="AA825" s="5" t="s">
        <v>2296</v>
      </c>
      <c r="AB825" s="9">
        <f t="shared" si="146"/>
        <v>155</v>
      </c>
      <c r="AC825" s="9">
        <f t="shared" si="147"/>
        <v>15.5</v>
      </c>
      <c r="AD825" s="9">
        <f t="shared" si="148"/>
        <v>139.5</v>
      </c>
      <c r="AE825" s="9">
        <f t="shared" si="149"/>
        <v>76.42</v>
      </c>
      <c r="AF825" s="9">
        <f t="shared" si="155"/>
        <v>63.08</v>
      </c>
      <c r="AG825" s="8">
        <f t="shared" si="150"/>
        <v>2024</v>
      </c>
      <c r="AH825" s="8">
        <f t="shared" si="151"/>
        <v>1</v>
      </c>
      <c r="AI825" s="5" t="str">
        <f t="shared" si="152"/>
        <v>Jan</v>
      </c>
      <c r="AJ825" s="5" t="str">
        <f t="shared" si="153"/>
        <v>Monday</v>
      </c>
    </row>
    <row r="826" spans="1:36" x14ac:dyDescent="0.3">
      <c r="A826" s="5" t="s">
        <v>860</v>
      </c>
      <c r="B826" s="18">
        <v>45468</v>
      </c>
      <c r="C826" s="7">
        <v>0.50694444444444442</v>
      </c>
      <c r="D826" s="5" t="s">
        <v>1873</v>
      </c>
      <c r="E826" s="5" t="s">
        <v>2096</v>
      </c>
      <c r="F826" s="5" t="s">
        <v>2239</v>
      </c>
      <c r="G826" s="5" t="s">
        <v>2253</v>
      </c>
      <c r="H826" s="5" t="s">
        <v>2258</v>
      </c>
      <c r="I826" s="5" t="s">
        <v>2260</v>
      </c>
      <c r="J826" s="5" t="s">
        <v>2266</v>
      </c>
      <c r="K826" s="8">
        <v>2</v>
      </c>
      <c r="L826" s="9">
        <v>90</v>
      </c>
      <c r="M826" s="10">
        <v>0</v>
      </c>
      <c r="N826" s="9">
        <f t="shared" si="154"/>
        <v>180</v>
      </c>
      <c r="O826" s="9">
        <f t="shared" si="144"/>
        <v>180</v>
      </c>
      <c r="P826" s="5" t="s">
        <v>2267</v>
      </c>
      <c r="Q826" s="5" t="s">
        <v>2272</v>
      </c>
      <c r="R826" s="5" t="s">
        <v>2279</v>
      </c>
      <c r="S826" s="5" t="s">
        <v>2280</v>
      </c>
      <c r="T826" s="5" t="s">
        <v>2289</v>
      </c>
      <c r="U826" s="19">
        <v>3</v>
      </c>
      <c r="V826" s="8">
        <v>191</v>
      </c>
      <c r="W826" s="8">
        <v>59</v>
      </c>
      <c r="X826" s="9">
        <v>53.96</v>
      </c>
      <c r="Y826" s="9">
        <f t="shared" si="145"/>
        <v>72.08</v>
      </c>
      <c r="Z826" s="5" t="s">
        <v>2294</v>
      </c>
      <c r="AA826" s="5" t="s">
        <v>2298</v>
      </c>
      <c r="AB826" s="9">
        <f t="shared" si="146"/>
        <v>180</v>
      </c>
      <c r="AC826" s="9">
        <f t="shared" si="147"/>
        <v>0</v>
      </c>
      <c r="AD826" s="9">
        <f t="shared" si="148"/>
        <v>180</v>
      </c>
      <c r="AE826" s="9">
        <f t="shared" si="149"/>
        <v>107.92</v>
      </c>
      <c r="AF826" s="9">
        <f t="shared" si="155"/>
        <v>72.08</v>
      </c>
      <c r="AG826" s="8">
        <f t="shared" si="150"/>
        <v>2024</v>
      </c>
      <c r="AH826" s="8">
        <f t="shared" si="151"/>
        <v>6</v>
      </c>
      <c r="AI826" s="5" t="str">
        <f t="shared" si="152"/>
        <v>Jun</v>
      </c>
      <c r="AJ826" s="5" t="str">
        <f t="shared" si="153"/>
        <v>Tuesday</v>
      </c>
    </row>
    <row r="827" spans="1:36" x14ac:dyDescent="0.3">
      <c r="A827" s="5" t="s">
        <v>861</v>
      </c>
      <c r="B827" s="6">
        <v>45654</v>
      </c>
      <c r="C827" s="7">
        <v>0.63194444444444442</v>
      </c>
      <c r="D827" s="5" t="s">
        <v>1780</v>
      </c>
      <c r="E827" s="5" t="s">
        <v>2006</v>
      </c>
      <c r="F827" s="5" t="s">
        <v>2239</v>
      </c>
      <c r="G827" s="5" t="s">
        <v>2252</v>
      </c>
      <c r="H827" s="5" t="s">
        <v>2257</v>
      </c>
      <c r="I827" s="5" t="s">
        <v>2262</v>
      </c>
      <c r="J827" s="5" t="s">
        <v>2266</v>
      </c>
      <c r="K827" s="8">
        <v>1</v>
      </c>
      <c r="L827" s="9">
        <v>90</v>
      </c>
      <c r="M827" s="10">
        <v>0</v>
      </c>
      <c r="N827" s="9">
        <f t="shared" si="154"/>
        <v>90</v>
      </c>
      <c r="O827" s="9">
        <f t="shared" si="144"/>
        <v>90</v>
      </c>
      <c r="P827" s="5" t="s">
        <v>2268</v>
      </c>
      <c r="Q827" s="5" t="s">
        <v>2270</v>
      </c>
      <c r="R827" s="5" t="s">
        <v>2276</v>
      </c>
      <c r="S827" s="5" t="s">
        <v>2283</v>
      </c>
      <c r="T827" s="5" t="s">
        <v>2289</v>
      </c>
      <c r="U827" s="8">
        <v>5</v>
      </c>
      <c r="V827" s="8">
        <v>259</v>
      </c>
      <c r="W827" s="8">
        <v>25</v>
      </c>
      <c r="X827" s="9">
        <v>45.99</v>
      </c>
      <c r="Y827" s="9">
        <f t="shared" si="145"/>
        <v>44.01</v>
      </c>
      <c r="Z827" s="5" t="s">
        <v>2293</v>
      </c>
      <c r="AA827" s="5" t="s">
        <v>2299</v>
      </c>
      <c r="AB827" s="9">
        <f t="shared" si="146"/>
        <v>90</v>
      </c>
      <c r="AC827" s="9">
        <f t="shared" si="147"/>
        <v>0</v>
      </c>
      <c r="AD827" s="9">
        <f t="shared" si="148"/>
        <v>90</v>
      </c>
      <c r="AE827" s="9">
        <f t="shared" si="149"/>
        <v>45.99</v>
      </c>
      <c r="AF827" s="9">
        <f t="shared" si="155"/>
        <v>44.01</v>
      </c>
      <c r="AG827" s="8">
        <f t="shared" si="150"/>
        <v>2024</v>
      </c>
      <c r="AH827" s="8">
        <f t="shared" si="151"/>
        <v>12</v>
      </c>
      <c r="AI827" s="5" t="str">
        <f t="shared" si="152"/>
        <v>Dec</v>
      </c>
      <c r="AJ827" s="5" t="str">
        <f t="shared" si="153"/>
        <v>Saturday</v>
      </c>
    </row>
    <row r="828" spans="1:36" x14ac:dyDescent="0.3">
      <c r="A828" s="5" t="s">
        <v>862</v>
      </c>
      <c r="B828" s="6">
        <v>45606</v>
      </c>
      <c r="C828" s="7">
        <v>0.69791666666666663</v>
      </c>
      <c r="D828" s="5" t="s">
        <v>1769</v>
      </c>
      <c r="E828" s="5" t="s">
        <v>1942</v>
      </c>
      <c r="F828" s="5" t="s">
        <v>2238</v>
      </c>
      <c r="G828" s="5" t="s">
        <v>2245</v>
      </c>
      <c r="H828" s="5" t="s">
        <v>2257</v>
      </c>
      <c r="I828" s="5" t="s">
        <v>2263</v>
      </c>
      <c r="J828" s="5" t="s">
        <v>1761</v>
      </c>
      <c r="K828" s="8">
        <v>1</v>
      </c>
      <c r="L828" s="9">
        <v>145</v>
      </c>
      <c r="M828" s="10">
        <v>0.1</v>
      </c>
      <c r="N828" s="9">
        <f t="shared" si="154"/>
        <v>145</v>
      </c>
      <c r="O828" s="9">
        <f t="shared" si="144"/>
        <v>130.5</v>
      </c>
      <c r="P828" s="5" t="s">
        <v>2267</v>
      </c>
      <c r="Q828" s="5" t="s">
        <v>2270</v>
      </c>
      <c r="R828" s="5" t="s">
        <v>2278</v>
      </c>
      <c r="S828" s="5" t="s">
        <v>2280</v>
      </c>
      <c r="T828" s="5" t="s">
        <v>2289</v>
      </c>
      <c r="U828" s="8">
        <v>5</v>
      </c>
      <c r="V828" s="8">
        <v>289</v>
      </c>
      <c r="W828" s="8">
        <v>41</v>
      </c>
      <c r="X828" s="9">
        <v>82.68</v>
      </c>
      <c r="Y828" s="9">
        <f t="shared" si="145"/>
        <v>47.819999999999993</v>
      </c>
      <c r="Z828" s="5" t="s">
        <v>2292</v>
      </c>
      <c r="AA828" s="5" t="s">
        <v>2298</v>
      </c>
      <c r="AB828" s="9">
        <f t="shared" si="146"/>
        <v>145</v>
      </c>
      <c r="AC828" s="9">
        <f t="shared" si="147"/>
        <v>14.5</v>
      </c>
      <c r="AD828" s="9">
        <f t="shared" si="148"/>
        <v>130.5</v>
      </c>
      <c r="AE828" s="9">
        <f t="shared" si="149"/>
        <v>82.68</v>
      </c>
      <c r="AF828" s="9">
        <f t="shared" si="155"/>
        <v>47.819999999999993</v>
      </c>
      <c r="AG828" s="8">
        <f t="shared" si="150"/>
        <v>2024</v>
      </c>
      <c r="AH828" s="8">
        <f t="shared" si="151"/>
        <v>11</v>
      </c>
      <c r="AI828" s="5" t="str">
        <f t="shared" si="152"/>
        <v>Nov</v>
      </c>
      <c r="AJ828" s="5" t="str">
        <f t="shared" si="153"/>
        <v>Sunday</v>
      </c>
    </row>
    <row r="829" spans="1:36" x14ac:dyDescent="0.3">
      <c r="A829" s="5" t="s">
        <v>863</v>
      </c>
      <c r="B829" s="6">
        <v>45374</v>
      </c>
      <c r="C829" s="7">
        <v>0.49305555555555558</v>
      </c>
      <c r="D829" s="5" t="s">
        <v>1891</v>
      </c>
      <c r="E829" s="5" t="s">
        <v>2152</v>
      </c>
      <c r="F829" s="5" t="s">
        <v>2239</v>
      </c>
      <c r="G829" s="5" t="s">
        <v>2253</v>
      </c>
      <c r="H829" s="5" t="s">
        <v>2258</v>
      </c>
      <c r="I829" s="5" t="s">
        <v>2260</v>
      </c>
      <c r="J829" s="5" t="s">
        <v>2265</v>
      </c>
      <c r="K829" s="8">
        <v>4</v>
      </c>
      <c r="L829" s="9">
        <v>85</v>
      </c>
      <c r="M829" s="10">
        <v>0</v>
      </c>
      <c r="N829" s="9">
        <f t="shared" si="154"/>
        <v>340</v>
      </c>
      <c r="O829" s="9">
        <f t="shared" si="144"/>
        <v>340</v>
      </c>
      <c r="P829" s="5" t="s">
        <v>2269</v>
      </c>
      <c r="Q829" s="5" t="s">
        <v>2272</v>
      </c>
      <c r="R829" s="5" t="s">
        <v>2277</v>
      </c>
      <c r="S829" s="5" t="s">
        <v>2283</v>
      </c>
      <c r="T829" s="5" t="s">
        <v>2288</v>
      </c>
      <c r="U829" s="8">
        <v>2</v>
      </c>
      <c r="V829" s="8">
        <v>135</v>
      </c>
      <c r="W829" s="8">
        <v>14</v>
      </c>
      <c r="X829" s="9">
        <v>37.979999999999997</v>
      </c>
      <c r="Y829" s="9">
        <f t="shared" si="145"/>
        <v>188.08</v>
      </c>
      <c r="Z829" s="5" t="s">
        <v>2291</v>
      </c>
      <c r="AA829" s="5" t="s">
        <v>2297</v>
      </c>
      <c r="AB829" s="9">
        <f t="shared" si="146"/>
        <v>340</v>
      </c>
      <c r="AC829" s="9">
        <f t="shared" si="147"/>
        <v>0</v>
      </c>
      <c r="AD829" s="9">
        <f t="shared" si="148"/>
        <v>340</v>
      </c>
      <c r="AE829" s="9">
        <f t="shared" si="149"/>
        <v>151.91999999999999</v>
      </c>
      <c r="AF829" s="9">
        <f t="shared" si="155"/>
        <v>188.08</v>
      </c>
      <c r="AG829" s="8">
        <f t="shared" si="150"/>
        <v>2024</v>
      </c>
      <c r="AH829" s="8">
        <f t="shared" si="151"/>
        <v>3</v>
      </c>
      <c r="AI829" s="5" t="str">
        <f t="shared" si="152"/>
        <v>Mar</v>
      </c>
      <c r="AJ829" s="5" t="str">
        <f t="shared" si="153"/>
        <v>Saturday</v>
      </c>
    </row>
    <row r="830" spans="1:36" x14ac:dyDescent="0.3">
      <c r="A830" s="5" t="s">
        <v>864</v>
      </c>
      <c r="B830" s="6">
        <v>45390</v>
      </c>
      <c r="C830" s="7">
        <v>0.57638888888888884</v>
      </c>
      <c r="D830" s="5" t="s">
        <v>1750</v>
      </c>
      <c r="E830" s="5" t="s">
        <v>2105</v>
      </c>
      <c r="F830" s="5" t="s">
        <v>2240</v>
      </c>
      <c r="G830" s="5" t="s">
        <v>2241</v>
      </c>
      <c r="H830" s="5" t="s">
        <v>2257</v>
      </c>
      <c r="I830" s="5" t="s">
        <v>2262</v>
      </c>
      <c r="J830" s="5" t="s">
        <v>2264</v>
      </c>
      <c r="K830" s="19">
        <v>1</v>
      </c>
      <c r="L830" s="9">
        <v>130</v>
      </c>
      <c r="M830" s="10">
        <v>0.1</v>
      </c>
      <c r="N830" s="9">
        <f t="shared" si="154"/>
        <v>130</v>
      </c>
      <c r="O830" s="9">
        <f t="shared" si="144"/>
        <v>117</v>
      </c>
      <c r="P830" s="5" t="s">
        <v>2267</v>
      </c>
      <c r="Q830" s="5" t="s">
        <v>2272</v>
      </c>
      <c r="R830" s="5" t="s">
        <v>2275</v>
      </c>
      <c r="S830" s="5" t="s">
        <v>2282</v>
      </c>
      <c r="T830" s="5" t="s">
        <v>2288</v>
      </c>
      <c r="U830" s="8">
        <v>4</v>
      </c>
      <c r="V830" s="8">
        <v>154</v>
      </c>
      <c r="W830" s="8">
        <v>11</v>
      </c>
      <c r="X830" s="9">
        <v>49.27</v>
      </c>
      <c r="Y830" s="9">
        <f t="shared" si="145"/>
        <v>67.72999999999999</v>
      </c>
      <c r="Z830" s="5" t="s">
        <v>1761</v>
      </c>
      <c r="AA830" s="5" t="s">
        <v>2297</v>
      </c>
      <c r="AB830" s="9">
        <f t="shared" si="146"/>
        <v>130</v>
      </c>
      <c r="AC830" s="9">
        <f t="shared" si="147"/>
        <v>13</v>
      </c>
      <c r="AD830" s="9">
        <f t="shared" si="148"/>
        <v>117</v>
      </c>
      <c r="AE830" s="9">
        <f t="shared" si="149"/>
        <v>49.27</v>
      </c>
      <c r="AF830" s="9">
        <f t="shared" si="155"/>
        <v>67.72999999999999</v>
      </c>
      <c r="AG830" s="8">
        <f t="shared" si="150"/>
        <v>2024</v>
      </c>
      <c r="AH830" s="8">
        <f t="shared" si="151"/>
        <v>4</v>
      </c>
      <c r="AI830" s="5" t="str">
        <f t="shared" si="152"/>
        <v>Apr</v>
      </c>
      <c r="AJ830" s="5" t="str">
        <f t="shared" si="153"/>
        <v>Monday</v>
      </c>
    </row>
    <row r="831" spans="1:36" x14ac:dyDescent="0.3">
      <c r="A831" s="5" t="s">
        <v>865</v>
      </c>
      <c r="B831" s="6">
        <v>45608</v>
      </c>
      <c r="C831" s="7">
        <v>0.3888888888888889</v>
      </c>
      <c r="D831" s="5" t="s">
        <v>1918</v>
      </c>
      <c r="E831" s="5" t="s">
        <v>2003</v>
      </c>
      <c r="F831" s="5" t="s">
        <v>2239</v>
      </c>
      <c r="G831" s="5" t="s">
        <v>2244</v>
      </c>
      <c r="H831" s="5" t="s">
        <v>2257</v>
      </c>
      <c r="I831" s="5" t="s">
        <v>2262</v>
      </c>
      <c r="J831" s="5" t="s">
        <v>2264</v>
      </c>
      <c r="K831" s="8">
        <v>1</v>
      </c>
      <c r="L831" s="9">
        <v>120</v>
      </c>
      <c r="M831" s="10">
        <v>0.15</v>
      </c>
      <c r="N831" s="9">
        <f t="shared" si="154"/>
        <v>120</v>
      </c>
      <c r="O831" s="9">
        <f t="shared" si="144"/>
        <v>102</v>
      </c>
      <c r="P831" s="5" t="s">
        <v>2267</v>
      </c>
      <c r="Q831" s="5" t="s">
        <v>2270</v>
      </c>
      <c r="R831" s="5" t="s">
        <v>2278</v>
      </c>
      <c r="S831" s="5" t="s">
        <v>2280</v>
      </c>
      <c r="T831" s="5" t="s">
        <v>2289</v>
      </c>
      <c r="U831" s="8">
        <v>2</v>
      </c>
      <c r="V831" s="8">
        <v>223</v>
      </c>
      <c r="W831" s="8">
        <v>42</v>
      </c>
      <c r="X831" s="9">
        <v>50.87</v>
      </c>
      <c r="Y831" s="9">
        <f t="shared" si="145"/>
        <v>51.13</v>
      </c>
      <c r="Z831" s="5" t="s">
        <v>1761</v>
      </c>
      <c r="AA831" s="5" t="s">
        <v>2297</v>
      </c>
      <c r="AB831" s="9">
        <f t="shared" si="146"/>
        <v>120</v>
      </c>
      <c r="AC831" s="9">
        <f t="shared" si="147"/>
        <v>18</v>
      </c>
      <c r="AD831" s="9">
        <f t="shared" si="148"/>
        <v>102</v>
      </c>
      <c r="AE831" s="9">
        <f t="shared" si="149"/>
        <v>50.87</v>
      </c>
      <c r="AF831" s="9">
        <f t="shared" si="155"/>
        <v>51.13</v>
      </c>
      <c r="AG831" s="8">
        <f t="shared" si="150"/>
        <v>2024</v>
      </c>
      <c r="AH831" s="8">
        <f t="shared" si="151"/>
        <v>11</v>
      </c>
      <c r="AI831" s="5" t="str">
        <f t="shared" si="152"/>
        <v>Nov</v>
      </c>
      <c r="AJ831" s="5" t="str">
        <f t="shared" si="153"/>
        <v>Tuesday</v>
      </c>
    </row>
    <row r="832" spans="1:36" x14ac:dyDescent="0.3">
      <c r="A832" s="5" t="s">
        <v>866</v>
      </c>
      <c r="B832" s="6">
        <v>45326</v>
      </c>
      <c r="C832" s="7">
        <v>0.65625</v>
      </c>
      <c r="D832" s="5" t="s">
        <v>1744</v>
      </c>
      <c r="E832" s="5" t="s">
        <v>1991</v>
      </c>
      <c r="F832" s="5" t="s">
        <v>2238</v>
      </c>
      <c r="G832" s="5" t="s">
        <v>2244</v>
      </c>
      <c r="H832" s="5" t="s">
        <v>2257</v>
      </c>
      <c r="I832" s="5" t="s">
        <v>2262</v>
      </c>
      <c r="J832" s="5" t="s">
        <v>2265</v>
      </c>
      <c r="K832" s="8">
        <v>1</v>
      </c>
      <c r="L832" s="9">
        <v>120</v>
      </c>
      <c r="M832" s="10">
        <v>0.05</v>
      </c>
      <c r="N832" s="9">
        <f t="shared" si="154"/>
        <v>120</v>
      </c>
      <c r="O832" s="9">
        <f t="shared" si="144"/>
        <v>114</v>
      </c>
      <c r="P832" s="5" t="s">
        <v>2269</v>
      </c>
      <c r="Q832" s="5" t="s">
        <v>2272</v>
      </c>
      <c r="R832" s="5" t="s">
        <v>2277</v>
      </c>
      <c r="S832" s="5" t="s">
        <v>2286</v>
      </c>
      <c r="T832" s="5" t="s">
        <v>2288</v>
      </c>
      <c r="U832" s="8">
        <v>2</v>
      </c>
      <c r="V832" s="8">
        <v>195</v>
      </c>
      <c r="W832" s="8">
        <v>39</v>
      </c>
      <c r="X832" s="9">
        <v>49.81</v>
      </c>
      <c r="Y832" s="9">
        <f t="shared" si="145"/>
        <v>64.19</v>
      </c>
      <c r="Z832" s="5" t="s">
        <v>2293</v>
      </c>
      <c r="AA832" s="5" t="s">
        <v>2296</v>
      </c>
      <c r="AB832" s="9">
        <f t="shared" si="146"/>
        <v>120</v>
      </c>
      <c r="AC832" s="9">
        <f t="shared" si="147"/>
        <v>6</v>
      </c>
      <c r="AD832" s="9">
        <f t="shared" si="148"/>
        <v>114</v>
      </c>
      <c r="AE832" s="9">
        <f t="shared" si="149"/>
        <v>49.81</v>
      </c>
      <c r="AF832" s="9">
        <f t="shared" si="155"/>
        <v>64.19</v>
      </c>
      <c r="AG832" s="8">
        <f t="shared" si="150"/>
        <v>2024</v>
      </c>
      <c r="AH832" s="8">
        <f t="shared" si="151"/>
        <v>2</v>
      </c>
      <c r="AI832" s="5" t="str">
        <f t="shared" si="152"/>
        <v>Feb</v>
      </c>
      <c r="AJ832" s="5" t="str">
        <f t="shared" si="153"/>
        <v>Sunday</v>
      </c>
    </row>
    <row r="833" spans="1:36" x14ac:dyDescent="0.3">
      <c r="A833" s="5" t="s">
        <v>867</v>
      </c>
      <c r="B833" s="6">
        <v>45597</v>
      </c>
      <c r="C833" s="7">
        <v>0.74305555555555558</v>
      </c>
      <c r="D833" s="5" t="s">
        <v>1921</v>
      </c>
      <c r="E833" s="5" t="s">
        <v>2070</v>
      </c>
      <c r="F833" s="5" t="s">
        <v>2240</v>
      </c>
      <c r="G833" s="5" t="s">
        <v>2244</v>
      </c>
      <c r="H833" s="5" t="s">
        <v>2257</v>
      </c>
      <c r="I833" s="5" t="s">
        <v>2262</v>
      </c>
      <c r="J833" s="5" t="s">
        <v>2265</v>
      </c>
      <c r="K833" s="8">
        <v>2</v>
      </c>
      <c r="L833" s="9">
        <v>130</v>
      </c>
      <c r="M833" s="10">
        <v>0</v>
      </c>
      <c r="N833" s="9">
        <f t="shared" si="154"/>
        <v>260</v>
      </c>
      <c r="O833" s="9">
        <f t="shared" si="144"/>
        <v>260</v>
      </c>
      <c r="P833" s="5" t="s">
        <v>2267</v>
      </c>
      <c r="Q833" s="5" t="s">
        <v>1761</v>
      </c>
      <c r="R833" s="5" t="s">
        <v>2279</v>
      </c>
      <c r="S833" s="5" t="s">
        <v>2284</v>
      </c>
      <c r="T833" s="5" t="s">
        <v>2288</v>
      </c>
      <c r="U833" s="8">
        <v>1</v>
      </c>
      <c r="V833" s="8">
        <v>333</v>
      </c>
      <c r="W833" s="8">
        <v>60</v>
      </c>
      <c r="X833" s="9">
        <v>62.33</v>
      </c>
      <c r="Y833" s="9">
        <f t="shared" si="145"/>
        <v>135.34</v>
      </c>
      <c r="Z833" s="5" t="s">
        <v>2294</v>
      </c>
      <c r="AA833" s="5" t="s">
        <v>2299</v>
      </c>
      <c r="AB833" s="9">
        <f t="shared" si="146"/>
        <v>260</v>
      </c>
      <c r="AC833" s="9">
        <f t="shared" si="147"/>
        <v>0</v>
      </c>
      <c r="AD833" s="9">
        <f t="shared" si="148"/>
        <v>260</v>
      </c>
      <c r="AE833" s="9">
        <f t="shared" si="149"/>
        <v>124.66</v>
      </c>
      <c r="AF833" s="9">
        <f t="shared" si="155"/>
        <v>135.34</v>
      </c>
      <c r="AG833" s="8">
        <f t="shared" si="150"/>
        <v>2024</v>
      </c>
      <c r="AH833" s="8">
        <f t="shared" si="151"/>
        <v>11</v>
      </c>
      <c r="AI833" s="5" t="str">
        <f t="shared" si="152"/>
        <v>Nov</v>
      </c>
      <c r="AJ833" s="5" t="str">
        <f t="shared" si="153"/>
        <v>Friday</v>
      </c>
    </row>
    <row r="834" spans="1:36" x14ac:dyDescent="0.3">
      <c r="A834" s="5" t="s">
        <v>868</v>
      </c>
      <c r="B834" s="6">
        <v>45402</v>
      </c>
      <c r="C834" s="7">
        <v>0.3888888888888889</v>
      </c>
      <c r="D834" s="5" t="s">
        <v>1831</v>
      </c>
      <c r="E834" s="5" t="s">
        <v>2192</v>
      </c>
      <c r="F834" s="5" t="s">
        <v>2239</v>
      </c>
      <c r="G834" s="5" t="s">
        <v>2248</v>
      </c>
      <c r="H834" s="5" t="s">
        <v>2257</v>
      </c>
      <c r="I834" s="5" t="s">
        <v>2262</v>
      </c>
      <c r="J834" s="5" t="s">
        <v>2264</v>
      </c>
      <c r="K834" s="8">
        <v>1</v>
      </c>
      <c r="L834" s="9">
        <v>145</v>
      </c>
      <c r="M834" s="10">
        <v>0</v>
      </c>
      <c r="N834" s="9">
        <f t="shared" si="154"/>
        <v>145</v>
      </c>
      <c r="O834" s="9">
        <f t="shared" ref="O834:O897" si="156">IF(N834="","",N834*(1-IF(M834="",0,M834)))</f>
        <v>145</v>
      </c>
      <c r="P834" s="5" t="s">
        <v>2268</v>
      </c>
      <c r="Q834" s="5" t="s">
        <v>2271</v>
      </c>
      <c r="R834" s="5" t="s">
        <v>2276</v>
      </c>
      <c r="S834" s="5" t="s">
        <v>2284</v>
      </c>
      <c r="T834" s="5" t="s">
        <v>2288</v>
      </c>
      <c r="U834" s="8">
        <v>1</v>
      </c>
      <c r="V834" s="8">
        <v>158</v>
      </c>
      <c r="W834" s="19">
        <v>37</v>
      </c>
      <c r="X834" s="9">
        <v>74.790000000000006</v>
      </c>
      <c r="Y834" s="9">
        <f t="shared" ref="Y834:Y897" si="157">IF(OR(O834="",K834="",X834=""),"",O834-K834*X834)</f>
        <v>70.209999999999994</v>
      </c>
      <c r="Z834" s="5" t="s">
        <v>2293</v>
      </c>
      <c r="AA834" s="5" t="s">
        <v>2296</v>
      </c>
      <c r="AB834" s="9">
        <f t="shared" ref="AB834:AB897" si="158">N834</f>
        <v>145</v>
      </c>
      <c r="AC834" s="9">
        <f t="shared" ref="AC834:AC897" si="159">IF(N834="","",N834*IF(M834="",0,M834))</f>
        <v>0</v>
      </c>
      <c r="AD834" s="9">
        <f t="shared" ref="AD834:AD897" si="160">O834</f>
        <v>145</v>
      </c>
      <c r="AE834" s="9">
        <f t="shared" ref="AE834:AE897" si="161">IF(OR(K834="",X834=""),"",K834*X834)</f>
        <v>74.790000000000006</v>
      </c>
      <c r="AF834" s="9">
        <f t="shared" si="155"/>
        <v>70.209999999999994</v>
      </c>
      <c r="AG834" s="8">
        <f t="shared" ref="AG834:AG897" si="162">IF(B834="","",YEAR(B834))</f>
        <v>2024</v>
      </c>
      <c r="AH834" s="8">
        <f t="shared" ref="AH834:AH897" si="163">IF(B834="","",MONTH(B834))</f>
        <v>4</v>
      </c>
      <c r="AI834" s="5" t="str">
        <f t="shared" ref="AI834:AI897" si="164">IF(B834="","",TEXT(B834,"mmm"))</f>
        <v>Apr</v>
      </c>
      <c r="AJ834" s="5" t="str">
        <f t="shared" ref="AJ834:AJ897" si="165">IF(B834="","",TEXT(B834,"dddd"))</f>
        <v>Saturday</v>
      </c>
    </row>
    <row r="835" spans="1:36" x14ac:dyDescent="0.3">
      <c r="A835" s="5" t="s">
        <v>869</v>
      </c>
      <c r="B835" s="6">
        <v>45472</v>
      </c>
      <c r="C835" s="7">
        <v>0.48958333333333331</v>
      </c>
      <c r="D835" s="5" t="s">
        <v>1754</v>
      </c>
      <c r="E835" s="5" t="s">
        <v>2008</v>
      </c>
      <c r="F835" s="5" t="s">
        <v>2239</v>
      </c>
      <c r="G835" s="5" t="s">
        <v>2250</v>
      </c>
      <c r="H835" s="5" t="s">
        <v>2259</v>
      </c>
      <c r="I835" s="5" t="s">
        <v>2262</v>
      </c>
      <c r="J835" s="5" t="s">
        <v>2266</v>
      </c>
      <c r="K835" s="8">
        <v>1</v>
      </c>
      <c r="L835" s="9">
        <v>85</v>
      </c>
      <c r="M835" s="10">
        <v>0</v>
      </c>
      <c r="N835" s="9">
        <f t="shared" ref="N835:N898" si="166">IFERROR(K835*L835,"")</f>
        <v>85</v>
      </c>
      <c r="O835" s="9">
        <f t="shared" si="156"/>
        <v>85</v>
      </c>
      <c r="P835" s="5" t="s">
        <v>2269</v>
      </c>
      <c r="Q835" s="5" t="s">
        <v>2271</v>
      </c>
      <c r="R835" s="5" t="s">
        <v>2273</v>
      </c>
      <c r="S835" s="5" t="s">
        <v>2285</v>
      </c>
      <c r="T835" s="5" t="s">
        <v>2290</v>
      </c>
      <c r="U835" s="19">
        <v>3</v>
      </c>
      <c r="V835" s="8">
        <v>231</v>
      </c>
      <c r="W835" s="8">
        <v>48</v>
      </c>
      <c r="X835" s="9">
        <v>37.049999999999997</v>
      </c>
      <c r="Y835" s="9">
        <f t="shared" si="157"/>
        <v>47.95</v>
      </c>
      <c r="Z835" s="5" t="s">
        <v>2294</v>
      </c>
      <c r="AA835" s="5" t="s">
        <v>2296</v>
      </c>
      <c r="AB835" s="9">
        <f t="shared" si="158"/>
        <v>85</v>
      </c>
      <c r="AC835" s="9">
        <f t="shared" si="159"/>
        <v>0</v>
      </c>
      <c r="AD835" s="9">
        <f t="shared" si="160"/>
        <v>85</v>
      </c>
      <c r="AE835" s="9">
        <f t="shared" si="161"/>
        <v>37.049999999999997</v>
      </c>
      <c r="AF835" s="9">
        <f t="shared" ref="AF835:AF898" si="167">Y835</f>
        <v>47.95</v>
      </c>
      <c r="AG835" s="8">
        <f t="shared" si="162"/>
        <v>2024</v>
      </c>
      <c r="AH835" s="8">
        <f t="shared" si="163"/>
        <v>6</v>
      </c>
      <c r="AI835" s="5" t="str">
        <f t="shared" si="164"/>
        <v>Jun</v>
      </c>
      <c r="AJ835" s="5" t="str">
        <f t="shared" si="165"/>
        <v>Saturday</v>
      </c>
    </row>
    <row r="836" spans="1:36" x14ac:dyDescent="0.3">
      <c r="A836" s="5" t="s">
        <v>870</v>
      </c>
      <c r="B836" s="6">
        <v>45393</v>
      </c>
      <c r="C836" s="7">
        <v>0.84722222222222221</v>
      </c>
      <c r="D836" s="5" t="s">
        <v>1828</v>
      </c>
      <c r="E836" s="5" t="s">
        <v>2120</v>
      </c>
      <c r="F836" s="5" t="s">
        <v>2238</v>
      </c>
      <c r="G836" s="5" t="s">
        <v>2256</v>
      </c>
      <c r="H836" s="5" t="s">
        <v>2261</v>
      </c>
      <c r="I836" s="5" t="s">
        <v>2260</v>
      </c>
      <c r="J836" s="5" t="s">
        <v>2266</v>
      </c>
      <c r="K836" s="8">
        <v>2</v>
      </c>
      <c r="L836" s="9">
        <v>190</v>
      </c>
      <c r="M836" s="10">
        <v>0.1</v>
      </c>
      <c r="N836" s="9">
        <f t="shared" si="166"/>
        <v>380</v>
      </c>
      <c r="O836" s="9">
        <f t="shared" si="156"/>
        <v>342</v>
      </c>
      <c r="P836" s="5" t="s">
        <v>2267</v>
      </c>
      <c r="Q836" s="5" t="s">
        <v>2270</v>
      </c>
      <c r="R836" s="5" t="s">
        <v>2279</v>
      </c>
      <c r="S836" s="5" t="s">
        <v>2285</v>
      </c>
      <c r="T836" s="5" t="s">
        <v>2288</v>
      </c>
      <c r="U836" s="8">
        <v>5</v>
      </c>
      <c r="V836" s="8">
        <v>395</v>
      </c>
      <c r="W836" s="8">
        <v>15</v>
      </c>
      <c r="X836" s="9">
        <v>110.19</v>
      </c>
      <c r="Y836" s="9">
        <f t="shared" si="157"/>
        <v>121.62</v>
      </c>
      <c r="Z836" s="5" t="s">
        <v>2292</v>
      </c>
      <c r="AA836" s="5" t="s">
        <v>2299</v>
      </c>
      <c r="AB836" s="9">
        <f t="shared" si="158"/>
        <v>380</v>
      </c>
      <c r="AC836" s="9">
        <f t="shared" si="159"/>
        <v>38</v>
      </c>
      <c r="AD836" s="9">
        <f t="shared" si="160"/>
        <v>342</v>
      </c>
      <c r="AE836" s="9">
        <f t="shared" si="161"/>
        <v>220.38</v>
      </c>
      <c r="AF836" s="9">
        <f t="shared" si="167"/>
        <v>121.62</v>
      </c>
      <c r="AG836" s="8">
        <f t="shared" si="162"/>
        <v>2024</v>
      </c>
      <c r="AH836" s="8">
        <f t="shared" si="163"/>
        <v>4</v>
      </c>
      <c r="AI836" s="5" t="str">
        <f t="shared" si="164"/>
        <v>Apr</v>
      </c>
      <c r="AJ836" s="5" t="str">
        <f t="shared" si="165"/>
        <v>Thursday</v>
      </c>
    </row>
    <row r="837" spans="1:36" x14ac:dyDescent="0.3">
      <c r="A837" s="5" t="s">
        <v>871</v>
      </c>
      <c r="B837" s="6">
        <v>45543</v>
      </c>
      <c r="C837" s="7">
        <v>0.71527777777777779</v>
      </c>
      <c r="D837" s="5" t="s">
        <v>1800</v>
      </c>
      <c r="E837" s="5" t="s">
        <v>1960</v>
      </c>
      <c r="F837" s="5" t="s">
        <v>2239</v>
      </c>
      <c r="G837" s="5" t="s">
        <v>2242</v>
      </c>
      <c r="H837" s="5" t="s">
        <v>2258</v>
      </c>
      <c r="I837" s="5" t="s">
        <v>2260</v>
      </c>
      <c r="J837" s="5" t="s">
        <v>2265</v>
      </c>
      <c r="K837" s="8">
        <v>1</v>
      </c>
      <c r="L837" s="9">
        <v>115</v>
      </c>
      <c r="M837" s="10">
        <v>0.1</v>
      </c>
      <c r="N837" s="9">
        <f t="shared" si="166"/>
        <v>115</v>
      </c>
      <c r="O837" s="9">
        <f t="shared" si="156"/>
        <v>103.5</v>
      </c>
      <c r="P837" s="5" t="s">
        <v>2269</v>
      </c>
      <c r="Q837" s="5" t="s">
        <v>2270</v>
      </c>
      <c r="R837" s="5" t="s">
        <v>2274</v>
      </c>
      <c r="S837" s="5" t="s">
        <v>2286</v>
      </c>
      <c r="T837" s="5" t="s">
        <v>2288</v>
      </c>
      <c r="U837" s="8">
        <v>5</v>
      </c>
      <c r="V837" s="8">
        <v>209</v>
      </c>
      <c r="W837" s="8">
        <v>24</v>
      </c>
      <c r="X837" s="9">
        <v>43.37</v>
      </c>
      <c r="Y837" s="9">
        <f t="shared" si="157"/>
        <v>60.13</v>
      </c>
      <c r="Z837" s="5" t="s">
        <v>1761</v>
      </c>
      <c r="AA837" s="5" t="s">
        <v>2299</v>
      </c>
      <c r="AB837" s="9">
        <f t="shared" si="158"/>
        <v>115</v>
      </c>
      <c r="AC837" s="9">
        <f t="shared" si="159"/>
        <v>11.5</v>
      </c>
      <c r="AD837" s="9">
        <f t="shared" si="160"/>
        <v>103.5</v>
      </c>
      <c r="AE837" s="9">
        <f t="shared" si="161"/>
        <v>43.37</v>
      </c>
      <c r="AF837" s="9">
        <f t="shared" si="167"/>
        <v>60.13</v>
      </c>
      <c r="AG837" s="8">
        <f t="shared" si="162"/>
        <v>2024</v>
      </c>
      <c r="AH837" s="8">
        <f t="shared" si="163"/>
        <v>9</v>
      </c>
      <c r="AI837" s="5" t="str">
        <f t="shared" si="164"/>
        <v>Sep</v>
      </c>
      <c r="AJ837" s="5" t="str">
        <f t="shared" si="165"/>
        <v>Sunday</v>
      </c>
    </row>
    <row r="838" spans="1:36" x14ac:dyDescent="0.3">
      <c r="A838" s="5" t="s">
        <v>872</v>
      </c>
      <c r="B838" s="6">
        <v>45631</v>
      </c>
      <c r="C838" s="7">
        <v>0.47222222222222221</v>
      </c>
      <c r="D838" s="5" t="s">
        <v>1854</v>
      </c>
      <c r="E838" s="5" t="s">
        <v>2220</v>
      </c>
      <c r="F838" s="5" t="s">
        <v>2240</v>
      </c>
      <c r="G838" s="5" t="s">
        <v>2244</v>
      </c>
      <c r="H838" s="5" t="s">
        <v>2257</v>
      </c>
      <c r="I838" s="5" t="s">
        <v>2262</v>
      </c>
      <c r="J838" s="5" t="s">
        <v>2264</v>
      </c>
      <c r="K838" s="8">
        <v>2</v>
      </c>
      <c r="L838" s="9">
        <v>120</v>
      </c>
      <c r="M838" s="10">
        <v>0.15</v>
      </c>
      <c r="N838" s="9">
        <f t="shared" si="166"/>
        <v>240</v>
      </c>
      <c r="O838" s="9">
        <f t="shared" si="156"/>
        <v>204</v>
      </c>
      <c r="P838" s="5" t="s">
        <v>2267</v>
      </c>
      <c r="Q838" s="5" t="s">
        <v>2271</v>
      </c>
      <c r="R838" s="5" t="s">
        <v>2275</v>
      </c>
      <c r="S838" s="5" t="s">
        <v>2282</v>
      </c>
      <c r="T838" s="5" t="s">
        <v>2290</v>
      </c>
      <c r="U838" s="19">
        <v>3</v>
      </c>
      <c r="V838" s="8">
        <v>116</v>
      </c>
      <c r="W838" s="8">
        <v>14</v>
      </c>
      <c r="X838" s="9">
        <v>60.86</v>
      </c>
      <c r="Y838" s="9">
        <f t="shared" si="157"/>
        <v>82.28</v>
      </c>
      <c r="Z838" s="5" t="s">
        <v>2293</v>
      </c>
      <c r="AA838" s="5" t="s">
        <v>2296</v>
      </c>
      <c r="AB838" s="9">
        <f t="shared" si="158"/>
        <v>240</v>
      </c>
      <c r="AC838" s="9">
        <f t="shared" si="159"/>
        <v>36</v>
      </c>
      <c r="AD838" s="9">
        <f t="shared" si="160"/>
        <v>204</v>
      </c>
      <c r="AE838" s="9">
        <f t="shared" si="161"/>
        <v>121.72</v>
      </c>
      <c r="AF838" s="9">
        <f t="shared" si="167"/>
        <v>82.28</v>
      </c>
      <c r="AG838" s="8">
        <f t="shared" si="162"/>
        <v>2024</v>
      </c>
      <c r="AH838" s="8">
        <f t="shared" si="163"/>
        <v>12</v>
      </c>
      <c r="AI838" s="5" t="str">
        <f t="shared" si="164"/>
        <v>Dec</v>
      </c>
      <c r="AJ838" s="5" t="str">
        <f t="shared" si="165"/>
        <v>Thursday</v>
      </c>
    </row>
    <row r="839" spans="1:36" x14ac:dyDescent="0.3">
      <c r="A839" s="5" t="s">
        <v>873</v>
      </c>
      <c r="B839" s="6">
        <v>45647</v>
      </c>
      <c r="C839" s="7">
        <v>0.36805555555555558</v>
      </c>
      <c r="D839" s="5" t="s">
        <v>1747</v>
      </c>
      <c r="E839" s="5" t="s">
        <v>2080</v>
      </c>
      <c r="F839" s="5" t="s">
        <v>2238</v>
      </c>
      <c r="G839" s="5" t="s">
        <v>2254</v>
      </c>
      <c r="H839" s="5" t="s">
        <v>2259</v>
      </c>
      <c r="I839" s="5" t="s">
        <v>2263</v>
      </c>
      <c r="J839" s="5" t="s">
        <v>2264</v>
      </c>
      <c r="K839" s="8">
        <v>1</v>
      </c>
      <c r="L839" s="9">
        <v>105</v>
      </c>
      <c r="M839" s="10">
        <v>0.15</v>
      </c>
      <c r="N839" s="9">
        <f t="shared" si="166"/>
        <v>105</v>
      </c>
      <c r="O839" s="9">
        <f t="shared" si="156"/>
        <v>89.25</v>
      </c>
      <c r="P839" s="5" t="s">
        <v>2269</v>
      </c>
      <c r="Q839" s="5" t="s">
        <v>2271</v>
      </c>
      <c r="R839" s="5" t="s">
        <v>2275</v>
      </c>
      <c r="S839" s="5" t="s">
        <v>2284</v>
      </c>
      <c r="T839" s="5" t="s">
        <v>2288</v>
      </c>
      <c r="U839" s="8">
        <v>4</v>
      </c>
      <c r="V839" s="8">
        <v>43</v>
      </c>
      <c r="W839" s="8">
        <v>39</v>
      </c>
      <c r="X839" s="9">
        <v>46.11</v>
      </c>
      <c r="Y839" s="9">
        <f t="shared" si="157"/>
        <v>43.14</v>
      </c>
      <c r="Z839" s="5" t="s">
        <v>2294</v>
      </c>
      <c r="AA839" s="5" t="s">
        <v>1761</v>
      </c>
      <c r="AB839" s="9">
        <f t="shared" si="158"/>
        <v>105</v>
      </c>
      <c r="AC839" s="9">
        <f t="shared" si="159"/>
        <v>15.75</v>
      </c>
      <c r="AD839" s="9">
        <f t="shared" si="160"/>
        <v>89.25</v>
      </c>
      <c r="AE839" s="9">
        <f t="shared" si="161"/>
        <v>46.11</v>
      </c>
      <c r="AF839" s="9">
        <f t="shared" si="167"/>
        <v>43.14</v>
      </c>
      <c r="AG839" s="8">
        <f t="shared" si="162"/>
        <v>2024</v>
      </c>
      <c r="AH839" s="8">
        <f t="shared" si="163"/>
        <v>12</v>
      </c>
      <c r="AI839" s="5" t="str">
        <f t="shared" si="164"/>
        <v>Dec</v>
      </c>
      <c r="AJ839" s="5" t="str">
        <f t="shared" si="165"/>
        <v>Saturday</v>
      </c>
    </row>
    <row r="840" spans="1:36" x14ac:dyDescent="0.3">
      <c r="A840" s="5" t="s">
        <v>874</v>
      </c>
      <c r="B840" s="6">
        <v>45640</v>
      </c>
      <c r="C840" s="7">
        <v>0.34027777777777779</v>
      </c>
      <c r="D840" s="5" t="s">
        <v>1931</v>
      </c>
      <c r="E840" s="5" t="s">
        <v>2040</v>
      </c>
      <c r="F840" s="5" t="s">
        <v>2239</v>
      </c>
      <c r="G840" s="5" t="s">
        <v>2253</v>
      </c>
      <c r="H840" s="5" t="s">
        <v>2258</v>
      </c>
      <c r="I840" s="5" t="s">
        <v>2260</v>
      </c>
      <c r="J840" s="5" t="s">
        <v>2266</v>
      </c>
      <c r="K840" s="8">
        <v>2</v>
      </c>
      <c r="L840" s="9">
        <v>85</v>
      </c>
      <c r="M840" s="10">
        <v>0.15</v>
      </c>
      <c r="N840" s="9">
        <f t="shared" si="166"/>
        <v>170</v>
      </c>
      <c r="O840" s="9">
        <f t="shared" si="156"/>
        <v>144.5</v>
      </c>
      <c r="P840" s="5" t="s">
        <v>2269</v>
      </c>
      <c r="Q840" s="5" t="s">
        <v>2271</v>
      </c>
      <c r="R840" s="5" t="s">
        <v>2278</v>
      </c>
      <c r="S840" s="5" t="s">
        <v>2285</v>
      </c>
      <c r="T840" s="5" t="s">
        <v>2288</v>
      </c>
      <c r="U840" s="8">
        <v>2</v>
      </c>
      <c r="V840" s="8">
        <v>315</v>
      </c>
      <c r="W840" s="8">
        <v>12</v>
      </c>
      <c r="X840" s="9">
        <v>47.13</v>
      </c>
      <c r="Y840" s="9">
        <f t="shared" si="157"/>
        <v>50.239999999999995</v>
      </c>
      <c r="Z840" s="5" t="s">
        <v>2292</v>
      </c>
      <c r="AA840" s="5" t="s">
        <v>1761</v>
      </c>
      <c r="AB840" s="9">
        <f t="shared" si="158"/>
        <v>170</v>
      </c>
      <c r="AC840" s="9">
        <f t="shared" si="159"/>
        <v>25.5</v>
      </c>
      <c r="AD840" s="9">
        <f t="shared" si="160"/>
        <v>144.5</v>
      </c>
      <c r="AE840" s="9">
        <f t="shared" si="161"/>
        <v>94.26</v>
      </c>
      <c r="AF840" s="9">
        <f t="shared" si="167"/>
        <v>50.239999999999995</v>
      </c>
      <c r="AG840" s="8">
        <f t="shared" si="162"/>
        <v>2024</v>
      </c>
      <c r="AH840" s="8">
        <f t="shared" si="163"/>
        <v>12</v>
      </c>
      <c r="AI840" s="5" t="str">
        <f t="shared" si="164"/>
        <v>Dec</v>
      </c>
      <c r="AJ840" s="5" t="str">
        <f t="shared" si="165"/>
        <v>Saturday</v>
      </c>
    </row>
    <row r="841" spans="1:36" x14ac:dyDescent="0.3">
      <c r="A841" s="5" t="s">
        <v>875</v>
      </c>
      <c r="B841" s="6">
        <v>45444</v>
      </c>
      <c r="C841" s="7">
        <v>0.45833333333333331</v>
      </c>
      <c r="D841" s="5" t="s">
        <v>1851</v>
      </c>
      <c r="E841" s="5" t="s">
        <v>2078</v>
      </c>
      <c r="F841" s="5" t="s">
        <v>2239</v>
      </c>
      <c r="G841" s="5" t="s">
        <v>2250</v>
      </c>
      <c r="H841" s="5" t="s">
        <v>2259</v>
      </c>
      <c r="I841" s="5" t="s">
        <v>2262</v>
      </c>
      <c r="J841" s="5" t="s">
        <v>2266</v>
      </c>
      <c r="K841" s="8">
        <v>3</v>
      </c>
      <c r="L841" s="9">
        <v>75</v>
      </c>
      <c r="M841" s="10">
        <v>0</v>
      </c>
      <c r="N841" s="9">
        <f t="shared" si="166"/>
        <v>225</v>
      </c>
      <c r="O841" s="9">
        <f t="shared" si="156"/>
        <v>225</v>
      </c>
      <c r="P841" s="5" t="s">
        <v>2269</v>
      </c>
      <c r="Q841" s="5" t="s">
        <v>2272</v>
      </c>
      <c r="R841" s="5" t="s">
        <v>2275</v>
      </c>
      <c r="S841" s="5" t="s">
        <v>2282</v>
      </c>
      <c r="T841" s="5" t="s">
        <v>2288</v>
      </c>
      <c r="U841" s="8">
        <v>1</v>
      </c>
      <c r="V841" s="8">
        <v>60</v>
      </c>
      <c r="W841" s="8">
        <v>55</v>
      </c>
      <c r="X841" s="9">
        <v>43.48</v>
      </c>
      <c r="Y841" s="9">
        <f t="shared" si="157"/>
        <v>94.56</v>
      </c>
      <c r="Z841" s="5" t="s">
        <v>2294</v>
      </c>
      <c r="AA841" s="5" t="s">
        <v>2296</v>
      </c>
      <c r="AB841" s="9">
        <f t="shared" si="158"/>
        <v>225</v>
      </c>
      <c r="AC841" s="9">
        <f t="shared" si="159"/>
        <v>0</v>
      </c>
      <c r="AD841" s="9">
        <f t="shared" si="160"/>
        <v>225</v>
      </c>
      <c r="AE841" s="9">
        <f t="shared" si="161"/>
        <v>130.44</v>
      </c>
      <c r="AF841" s="9">
        <f t="shared" si="167"/>
        <v>94.56</v>
      </c>
      <c r="AG841" s="8">
        <f t="shared" si="162"/>
        <v>2024</v>
      </c>
      <c r="AH841" s="8">
        <f t="shared" si="163"/>
        <v>6</v>
      </c>
      <c r="AI841" s="5" t="str">
        <f t="shared" si="164"/>
        <v>Jun</v>
      </c>
      <c r="AJ841" s="5" t="str">
        <f t="shared" si="165"/>
        <v>Saturday</v>
      </c>
    </row>
    <row r="842" spans="1:36" x14ac:dyDescent="0.3">
      <c r="A842" s="5" t="s">
        <v>876</v>
      </c>
      <c r="B842" s="18">
        <v>45468</v>
      </c>
      <c r="C842" s="7">
        <v>0.86805555555555558</v>
      </c>
      <c r="D842" s="5" t="s">
        <v>1919</v>
      </c>
      <c r="E842" s="5" t="s">
        <v>2051</v>
      </c>
      <c r="F842" s="5" t="s">
        <v>2240</v>
      </c>
      <c r="G842" s="5" t="s">
        <v>2245</v>
      </c>
      <c r="H842" s="5" t="s">
        <v>2257</v>
      </c>
      <c r="I842" s="5" t="s">
        <v>2263</v>
      </c>
      <c r="J842" s="5" t="s">
        <v>2266</v>
      </c>
      <c r="K842" s="8">
        <v>1</v>
      </c>
      <c r="L842" s="9">
        <v>150</v>
      </c>
      <c r="M842" s="10">
        <v>0</v>
      </c>
      <c r="N842" s="9">
        <f t="shared" si="166"/>
        <v>150</v>
      </c>
      <c r="O842" s="9">
        <f t="shared" si="156"/>
        <v>150</v>
      </c>
      <c r="P842" s="5" t="s">
        <v>2269</v>
      </c>
      <c r="Q842" s="5" t="s">
        <v>2272</v>
      </c>
      <c r="R842" s="5" t="s">
        <v>2274</v>
      </c>
      <c r="S842" s="5" t="s">
        <v>2284</v>
      </c>
      <c r="T842" s="5" t="s">
        <v>2288</v>
      </c>
      <c r="U842" s="8">
        <v>5</v>
      </c>
      <c r="V842" s="8">
        <v>375</v>
      </c>
      <c r="W842" s="19">
        <v>35</v>
      </c>
      <c r="X842" s="9">
        <v>70.55</v>
      </c>
      <c r="Y842" s="9">
        <f t="shared" si="157"/>
        <v>79.45</v>
      </c>
      <c r="Z842" s="5" t="s">
        <v>1761</v>
      </c>
      <c r="AA842" s="5" t="s">
        <v>2296</v>
      </c>
      <c r="AB842" s="9">
        <f t="shared" si="158"/>
        <v>150</v>
      </c>
      <c r="AC842" s="9">
        <f t="shared" si="159"/>
        <v>0</v>
      </c>
      <c r="AD842" s="9">
        <f t="shared" si="160"/>
        <v>150</v>
      </c>
      <c r="AE842" s="9">
        <f t="shared" si="161"/>
        <v>70.55</v>
      </c>
      <c r="AF842" s="9">
        <f t="shared" si="167"/>
        <v>79.45</v>
      </c>
      <c r="AG842" s="8">
        <f t="shared" si="162"/>
        <v>2024</v>
      </c>
      <c r="AH842" s="8">
        <f t="shared" si="163"/>
        <v>6</v>
      </c>
      <c r="AI842" s="5" t="str">
        <f t="shared" si="164"/>
        <v>Jun</v>
      </c>
      <c r="AJ842" s="5" t="str">
        <f t="shared" si="165"/>
        <v>Tuesday</v>
      </c>
    </row>
    <row r="843" spans="1:36" x14ac:dyDescent="0.3">
      <c r="A843" s="5" t="s">
        <v>877</v>
      </c>
      <c r="B843" s="6">
        <v>45494</v>
      </c>
      <c r="C843" s="7">
        <v>0.88888888888888884</v>
      </c>
      <c r="D843" s="5" t="s">
        <v>1800</v>
      </c>
      <c r="E843" s="5" t="s">
        <v>2020</v>
      </c>
      <c r="F843" s="5" t="s">
        <v>2239</v>
      </c>
      <c r="G843" s="5" t="s">
        <v>2242</v>
      </c>
      <c r="H843" s="5" t="s">
        <v>2258</v>
      </c>
      <c r="I843" s="5" t="s">
        <v>2260</v>
      </c>
      <c r="J843" s="5" t="s">
        <v>2264</v>
      </c>
      <c r="K843" s="8">
        <v>3</v>
      </c>
      <c r="L843" s="9">
        <v>120</v>
      </c>
      <c r="M843" s="10">
        <v>0.05</v>
      </c>
      <c r="N843" s="9">
        <f t="shared" si="166"/>
        <v>360</v>
      </c>
      <c r="O843" s="9">
        <f t="shared" si="156"/>
        <v>342</v>
      </c>
      <c r="P843" s="5" t="s">
        <v>2268</v>
      </c>
      <c r="Q843" s="5" t="s">
        <v>1761</v>
      </c>
      <c r="R843" s="5" t="s">
        <v>2277</v>
      </c>
      <c r="S843" s="5" t="s">
        <v>2285</v>
      </c>
      <c r="T843" s="5" t="s">
        <v>2288</v>
      </c>
      <c r="U843" s="8">
        <v>2</v>
      </c>
      <c r="V843" s="8">
        <v>313</v>
      </c>
      <c r="W843" s="8">
        <v>14</v>
      </c>
      <c r="X843" s="9">
        <v>59.69</v>
      </c>
      <c r="Y843" s="9">
        <f t="shared" si="157"/>
        <v>162.93</v>
      </c>
      <c r="Z843" s="5" t="s">
        <v>1761</v>
      </c>
      <c r="AA843" s="5" t="s">
        <v>2296</v>
      </c>
      <c r="AB843" s="9">
        <f t="shared" si="158"/>
        <v>360</v>
      </c>
      <c r="AC843" s="9">
        <f t="shared" si="159"/>
        <v>18</v>
      </c>
      <c r="AD843" s="9">
        <f t="shared" si="160"/>
        <v>342</v>
      </c>
      <c r="AE843" s="9">
        <f t="shared" si="161"/>
        <v>179.07</v>
      </c>
      <c r="AF843" s="9">
        <f t="shared" si="167"/>
        <v>162.93</v>
      </c>
      <c r="AG843" s="8">
        <f t="shared" si="162"/>
        <v>2024</v>
      </c>
      <c r="AH843" s="8">
        <f t="shared" si="163"/>
        <v>7</v>
      </c>
      <c r="AI843" s="5" t="str">
        <f t="shared" si="164"/>
        <v>Jul</v>
      </c>
      <c r="AJ843" s="5" t="str">
        <f t="shared" si="165"/>
        <v>Sunday</v>
      </c>
    </row>
    <row r="844" spans="1:36" x14ac:dyDescent="0.3">
      <c r="A844" s="5" t="s">
        <v>878</v>
      </c>
      <c r="B844" s="6">
        <v>45498</v>
      </c>
      <c r="C844" s="7">
        <v>0.63194444444444442</v>
      </c>
      <c r="D844" s="5" t="s">
        <v>1844</v>
      </c>
      <c r="E844" s="5" t="s">
        <v>2143</v>
      </c>
      <c r="F844" s="5" t="s">
        <v>2240</v>
      </c>
      <c r="G844" s="5" t="s">
        <v>2244</v>
      </c>
      <c r="H844" s="5" t="s">
        <v>2257</v>
      </c>
      <c r="I844" s="5" t="s">
        <v>2262</v>
      </c>
      <c r="J844" s="5" t="s">
        <v>2264</v>
      </c>
      <c r="K844" s="8">
        <v>1</v>
      </c>
      <c r="L844" s="9">
        <v>115</v>
      </c>
      <c r="M844" s="10">
        <v>0.05</v>
      </c>
      <c r="N844" s="9">
        <f t="shared" si="166"/>
        <v>115</v>
      </c>
      <c r="O844" s="9">
        <f t="shared" si="156"/>
        <v>109.25</v>
      </c>
      <c r="P844" s="5" t="s">
        <v>2267</v>
      </c>
      <c r="Q844" s="5" t="s">
        <v>2271</v>
      </c>
      <c r="R844" s="5" t="s">
        <v>2277</v>
      </c>
      <c r="S844" s="5" t="s">
        <v>2283</v>
      </c>
      <c r="T844" s="5" t="s">
        <v>2290</v>
      </c>
      <c r="U844" s="8">
        <v>4</v>
      </c>
      <c r="V844" s="8">
        <v>113</v>
      </c>
      <c r="W844" s="8">
        <v>11</v>
      </c>
      <c r="X844" s="9">
        <v>70</v>
      </c>
      <c r="Y844" s="9">
        <f t="shared" si="157"/>
        <v>39.25</v>
      </c>
      <c r="Z844" s="5" t="s">
        <v>2291</v>
      </c>
      <c r="AA844" s="5" t="s">
        <v>2299</v>
      </c>
      <c r="AB844" s="9">
        <f t="shared" si="158"/>
        <v>115</v>
      </c>
      <c r="AC844" s="9">
        <f t="shared" si="159"/>
        <v>5.75</v>
      </c>
      <c r="AD844" s="9">
        <f t="shared" si="160"/>
        <v>109.25</v>
      </c>
      <c r="AE844" s="9">
        <f t="shared" si="161"/>
        <v>70</v>
      </c>
      <c r="AF844" s="9">
        <f t="shared" si="167"/>
        <v>39.25</v>
      </c>
      <c r="AG844" s="8">
        <f t="shared" si="162"/>
        <v>2024</v>
      </c>
      <c r="AH844" s="8">
        <f t="shared" si="163"/>
        <v>7</v>
      </c>
      <c r="AI844" s="5" t="str">
        <f t="shared" si="164"/>
        <v>Jul</v>
      </c>
      <c r="AJ844" s="5" t="str">
        <f t="shared" si="165"/>
        <v>Thursday</v>
      </c>
    </row>
    <row r="845" spans="1:36" x14ac:dyDescent="0.3">
      <c r="A845" s="5" t="s">
        <v>879</v>
      </c>
      <c r="B845" s="6">
        <v>45316</v>
      </c>
      <c r="C845" s="7">
        <v>0.51388888888888884</v>
      </c>
      <c r="D845" s="5" t="s">
        <v>1767</v>
      </c>
      <c r="E845" s="5" t="s">
        <v>2033</v>
      </c>
      <c r="F845" s="5" t="s">
        <v>1761</v>
      </c>
      <c r="G845" s="5" t="s">
        <v>2256</v>
      </c>
      <c r="H845" s="5" t="s">
        <v>2261</v>
      </c>
      <c r="I845" s="5" t="s">
        <v>2260</v>
      </c>
      <c r="J845" s="5" t="s">
        <v>2266</v>
      </c>
      <c r="K845" s="8">
        <v>2</v>
      </c>
      <c r="L845" s="9">
        <v>190</v>
      </c>
      <c r="M845" s="10">
        <v>0.15</v>
      </c>
      <c r="N845" s="9">
        <f t="shared" si="166"/>
        <v>380</v>
      </c>
      <c r="O845" s="9">
        <f t="shared" si="156"/>
        <v>323</v>
      </c>
      <c r="P845" s="5" t="s">
        <v>1761</v>
      </c>
      <c r="Q845" s="5" t="s">
        <v>2270</v>
      </c>
      <c r="R845" s="5" t="s">
        <v>2275</v>
      </c>
      <c r="S845" s="5" t="s">
        <v>2281</v>
      </c>
      <c r="T845" s="5" t="s">
        <v>2290</v>
      </c>
      <c r="U845" s="8">
        <v>3</v>
      </c>
      <c r="V845" s="8">
        <v>267</v>
      </c>
      <c r="W845" s="8">
        <v>46</v>
      </c>
      <c r="X845" s="9">
        <v>73.42</v>
      </c>
      <c r="Y845" s="9">
        <f t="shared" si="157"/>
        <v>176.16</v>
      </c>
      <c r="Z845" s="5" t="s">
        <v>2293</v>
      </c>
      <c r="AA845" s="5" t="s">
        <v>1761</v>
      </c>
      <c r="AB845" s="9">
        <f t="shared" si="158"/>
        <v>380</v>
      </c>
      <c r="AC845" s="9">
        <f t="shared" si="159"/>
        <v>57</v>
      </c>
      <c r="AD845" s="9">
        <f t="shared" si="160"/>
        <v>323</v>
      </c>
      <c r="AE845" s="9">
        <f t="shared" si="161"/>
        <v>146.84</v>
      </c>
      <c r="AF845" s="9">
        <f t="shared" si="167"/>
        <v>176.16</v>
      </c>
      <c r="AG845" s="8">
        <f t="shared" si="162"/>
        <v>2024</v>
      </c>
      <c r="AH845" s="8">
        <f t="shared" si="163"/>
        <v>1</v>
      </c>
      <c r="AI845" s="5" t="str">
        <f t="shared" si="164"/>
        <v>Jan</v>
      </c>
      <c r="AJ845" s="5" t="str">
        <f t="shared" si="165"/>
        <v>Thursday</v>
      </c>
    </row>
    <row r="846" spans="1:36" x14ac:dyDescent="0.3">
      <c r="A846" s="5" t="s">
        <v>880</v>
      </c>
      <c r="B846" s="6">
        <v>45351</v>
      </c>
      <c r="C846" s="7">
        <v>0.36458333333333331</v>
      </c>
      <c r="D846" s="5" t="s">
        <v>1804</v>
      </c>
      <c r="E846" s="5" t="s">
        <v>2053</v>
      </c>
      <c r="F846" s="5" t="s">
        <v>1761</v>
      </c>
      <c r="G846" s="5" t="s">
        <v>2242</v>
      </c>
      <c r="H846" s="5" t="s">
        <v>2258</v>
      </c>
      <c r="I846" s="5" t="s">
        <v>2260</v>
      </c>
      <c r="J846" s="5" t="s">
        <v>2265</v>
      </c>
      <c r="K846" s="8">
        <v>1</v>
      </c>
      <c r="L846" s="9">
        <v>115</v>
      </c>
      <c r="M846" s="10">
        <v>0.05</v>
      </c>
      <c r="N846" s="9">
        <f t="shared" si="166"/>
        <v>115</v>
      </c>
      <c r="O846" s="9">
        <f t="shared" si="156"/>
        <v>109.25</v>
      </c>
      <c r="P846" s="5" t="s">
        <v>2269</v>
      </c>
      <c r="Q846" s="5" t="s">
        <v>2271</v>
      </c>
      <c r="R846" s="5" t="s">
        <v>2273</v>
      </c>
      <c r="S846" s="5" t="s">
        <v>2283</v>
      </c>
      <c r="T846" s="5" t="s">
        <v>2289</v>
      </c>
      <c r="U846" s="8">
        <v>5</v>
      </c>
      <c r="V846" s="19">
        <v>244</v>
      </c>
      <c r="W846" s="8">
        <v>10</v>
      </c>
      <c r="X846" s="9">
        <v>49.35</v>
      </c>
      <c r="Y846" s="9">
        <f t="shared" si="157"/>
        <v>59.9</v>
      </c>
      <c r="Z846" s="5" t="s">
        <v>2291</v>
      </c>
      <c r="AA846" s="5" t="s">
        <v>2296</v>
      </c>
      <c r="AB846" s="9">
        <f t="shared" si="158"/>
        <v>115</v>
      </c>
      <c r="AC846" s="9">
        <f t="shared" si="159"/>
        <v>5.75</v>
      </c>
      <c r="AD846" s="9">
        <f t="shared" si="160"/>
        <v>109.25</v>
      </c>
      <c r="AE846" s="9">
        <f t="shared" si="161"/>
        <v>49.35</v>
      </c>
      <c r="AF846" s="9">
        <f t="shared" si="167"/>
        <v>59.9</v>
      </c>
      <c r="AG846" s="8">
        <f t="shared" si="162"/>
        <v>2024</v>
      </c>
      <c r="AH846" s="8">
        <f t="shared" si="163"/>
        <v>2</v>
      </c>
      <c r="AI846" s="5" t="str">
        <f t="shared" si="164"/>
        <v>Feb</v>
      </c>
      <c r="AJ846" s="5" t="str">
        <f t="shared" si="165"/>
        <v>Thursday</v>
      </c>
    </row>
    <row r="847" spans="1:36" x14ac:dyDescent="0.3">
      <c r="A847" s="5" t="s">
        <v>881</v>
      </c>
      <c r="B847" s="6">
        <v>45635</v>
      </c>
      <c r="C847" s="7">
        <v>0.61805555555555558</v>
      </c>
      <c r="D847" s="5" t="s">
        <v>1753</v>
      </c>
      <c r="E847" s="5" t="s">
        <v>2186</v>
      </c>
      <c r="F847" s="5" t="s">
        <v>2238</v>
      </c>
      <c r="G847" s="5" t="s">
        <v>2246</v>
      </c>
      <c r="H847" s="5" t="s">
        <v>2259</v>
      </c>
      <c r="I847" s="5" t="s">
        <v>2262</v>
      </c>
      <c r="J847" s="5" t="s">
        <v>2264</v>
      </c>
      <c r="K847" s="19">
        <v>1</v>
      </c>
      <c r="L847" s="9">
        <v>90</v>
      </c>
      <c r="M847" s="10">
        <v>0</v>
      </c>
      <c r="N847" s="9">
        <f t="shared" si="166"/>
        <v>90</v>
      </c>
      <c r="O847" s="9">
        <f t="shared" si="156"/>
        <v>90</v>
      </c>
      <c r="P847" s="5" t="s">
        <v>2269</v>
      </c>
      <c r="Q847" s="5" t="s">
        <v>2272</v>
      </c>
      <c r="R847" s="5" t="s">
        <v>2279</v>
      </c>
      <c r="S847" s="5" t="s">
        <v>2286</v>
      </c>
      <c r="T847" s="5" t="s">
        <v>2290</v>
      </c>
      <c r="U847" s="8">
        <v>3</v>
      </c>
      <c r="V847" s="8">
        <v>312</v>
      </c>
      <c r="W847" s="8">
        <v>54</v>
      </c>
      <c r="X847" s="9">
        <v>51.54</v>
      </c>
      <c r="Y847" s="9">
        <f t="shared" si="157"/>
        <v>38.46</v>
      </c>
      <c r="Z847" s="5" t="s">
        <v>2293</v>
      </c>
      <c r="AA847" s="5" t="s">
        <v>1761</v>
      </c>
      <c r="AB847" s="9">
        <f t="shared" si="158"/>
        <v>90</v>
      </c>
      <c r="AC847" s="9">
        <f t="shared" si="159"/>
        <v>0</v>
      </c>
      <c r="AD847" s="9">
        <f t="shared" si="160"/>
        <v>90</v>
      </c>
      <c r="AE847" s="9">
        <f t="shared" si="161"/>
        <v>51.54</v>
      </c>
      <c r="AF847" s="9">
        <f t="shared" si="167"/>
        <v>38.46</v>
      </c>
      <c r="AG847" s="8">
        <f t="shared" si="162"/>
        <v>2024</v>
      </c>
      <c r="AH847" s="8">
        <f t="shared" si="163"/>
        <v>12</v>
      </c>
      <c r="AI847" s="5" t="str">
        <f t="shared" si="164"/>
        <v>Dec</v>
      </c>
      <c r="AJ847" s="5" t="str">
        <f t="shared" si="165"/>
        <v>Monday</v>
      </c>
    </row>
    <row r="848" spans="1:36" x14ac:dyDescent="0.3">
      <c r="A848" s="5" t="s">
        <v>882</v>
      </c>
      <c r="B848" s="6">
        <v>45313</v>
      </c>
      <c r="C848" s="7">
        <v>0.3125</v>
      </c>
      <c r="D848" s="5" t="s">
        <v>1755</v>
      </c>
      <c r="E848" s="5" t="s">
        <v>2034</v>
      </c>
      <c r="F848" s="5" t="s">
        <v>2240</v>
      </c>
      <c r="G848" s="5" t="s">
        <v>2250</v>
      </c>
      <c r="H848" s="5" t="s">
        <v>2259</v>
      </c>
      <c r="I848" s="5" t="s">
        <v>2262</v>
      </c>
      <c r="J848" s="5" t="s">
        <v>2266</v>
      </c>
      <c r="K848" s="8">
        <v>4</v>
      </c>
      <c r="L848" s="9">
        <v>80</v>
      </c>
      <c r="M848" s="10">
        <v>0.05</v>
      </c>
      <c r="N848" s="9">
        <f t="shared" si="166"/>
        <v>320</v>
      </c>
      <c r="O848" s="9">
        <f t="shared" si="156"/>
        <v>304</v>
      </c>
      <c r="P848" s="5" t="s">
        <v>2267</v>
      </c>
      <c r="Q848" s="5" t="s">
        <v>2270</v>
      </c>
      <c r="R848" s="5" t="s">
        <v>2278</v>
      </c>
      <c r="S848" s="5" t="s">
        <v>2286</v>
      </c>
      <c r="T848" s="5" t="s">
        <v>2288</v>
      </c>
      <c r="U848" s="8">
        <v>1</v>
      </c>
      <c r="V848" s="8">
        <v>177</v>
      </c>
      <c r="W848" s="8">
        <v>36</v>
      </c>
      <c r="X848" s="9">
        <v>39.68</v>
      </c>
      <c r="Y848" s="9">
        <f t="shared" si="157"/>
        <v>145.28</v>
      </c>
      <c r="Z848" s="5" t="s">
        <v>2294</v>
      </c>
      <c r="AA848" s="5" t="s">
        <v>2296</v>
      </c>
      <c r="AB848" s="9">
        <f t="shared" si="158"/>
        <v>320</v>
      </c>
      <c r="AC848" s="9">
        <f t="shared" si="159"/>
        <v>16</v>
      </c>
      <c r="AD848" s="9">
        <f t="shared" si="160"/>
        <v>304</v>
      </c>
      <c r="AE848" s="9">
        <f t="shared" si="161"/>
        <v>158.72</v>
      </c>
      <c r="AF848" s="9">
        <f t="shared" si="167"/>
        <v>145.28</v>
      </c>
      <c r="AG848" s="8">
        <f t="shared" si="162"/>
        <v>2024</v>
      </c>
      <c r="AH848" s="8">
        <f t="shared" si="163"/>
        <v>1</v>
      </c>
      <c r="AI848" s="5" t="str">
        <f t="shared" si="164"/>
        <v>Jan</v>
      </c>
      <c r="AJ848" s="5" t="str">
        <f t="shared" si="165"/>
        <v>Monday</v>
      </c>
    </row>
    <row r="849" spans="1:36" x14ac:dyDescent="0.3">
      <c r="A849" s="5" t="s">
        <v>883</v>
      </c>
      <c r="B849" s="6">
        <v>45481</v>
      </c>
      <c r="C849" s="7">
        <v>0.69791666666666663</v>
      </c>
      <c r="D849" s="5" t="s">
        <v>1856</v>
      </c>
      <c r="E849" s="5" t="s">
        <v>2169</v>
      </c>
      <c r="F849" s="5" t="s">
        <v>1761</v>
      </c>
      <c r="G849" s="5" t="s">
        <v>2244</v>
      </c>
      <c r="H849" s="5" t="s">
        <v>2257</v>
      </c>
      <c r="I849" s="5" t="s">
        <v>2262</v>
      </c>
      <c r="J849" s="5" t="s">
        <v>2265</v>
      </c>
      <c r="K849" s="8">
        <v>1</v>
      </c>
      <c r="L849" s="9">
        <v>125</v>
      </c>
      <c r="M849" s="10">
        <v>0</v>
      </c>
      <c r="N849" s="9">
        <f t="shared" si="166"/>
        <v>125</v>
      </c>
      <c r="O849" s="9">
        <f t="shared" si="156"/>
        <v>125</v>
      </c>
      <c r="P849" s="5" t="s">
        <v>1761</v>
      </c>
      <c r="Q849" s="5" t="s">
        <v>2271</v>
      </c>
      <c r="R849" s="5" t="s">
        <v>2276</v>
      </c>
      <c r="S849" s="5" t="s">
        <v>2281</v>
      </c>
      <c r="T849" s="5" t="s">
        <v>2288</v>
      </c>
      <c r="U849" s="8">
        <v>2</v>
      </c>
      <c r="V849" s="8">
        <v>45</v>
      </c>
      <c r="W849" s="8">
        <v>54</v>
      </c>
      <c r="X849" s="9">
        <v>54.45</v>
      </c>
      <c r="Y849" s="9">
        <f t="shared" si="157"/>
        <v>70.55</v>
      </c>
      <c r="Z849" s="5" t="s">
        <v>1761</v>
      </c>
      <c r="AA849" s="5" t="s">
        <v>2296</v>
      </c>
      <c r="AB849" s="9">
        <f t="shared" si="158"/>
        <v>125</v>
      </c>
      <c r="AC849" s="9">
        <f t="shared" si="159"/>
        <v>0</v>
      </c>
      <c r="AD849" s="9">
        <f t="shared" si="160"/>
        <v>125</v>
      </c>
      <c r="AE849" s="9">
        <f t="shared" si="161"/>
        <v>54.45</v>
      </c>
      <c r="AF849" s="9">
        <f t="shared" si="167"/>
        <v>70.55</v>
      </c>
      <c r="AG849" s="8">
        <f t="shared" si="162"/>
        <v>2024</v>
      </c>
      <c r="AH849" s="8">
        <f t="shared" si="163"/>
        <v>7</v>
      </c>
      <c r="AI849" s="5" t="str">
        <f t="shared" si="164"/>
        <v>Jul</v>
      </c>
      <c r="AJ849" s="5" t="str">
        <f t="shared" si="165"/>
        <v>Monday</v>
      </c>
    </row>
    <row r="850" spans="1:36" x14ac:dyDescent="0.3">
      <c r="A850" s="5" t="s">
        <v>884</v>
      </c>
      <c r="B850" s="6">
        <v>45653</v>
      </c>
      <c r="C850" s="7">
        <v>0.63541666666666663</v>
      </c>
      <c r="D850" s="5" t="s">
        <v>1847</v>
      </c>
      <c r="E850" s="5" t="s">
        <v>1951</v>
      </c>
      <c r="F850" s="5" t="s">
        <v>2240</v>
      </c>
      <c r="G850" s="5" t="s">
        <v>2254</v>
      </c>
      <c r="H850" s="5" t="s">
        <v>2259</v>
      </c>
      <c r="I850" s="5" t="s">
        <v>2263</v>
      </c>
      <c r="J850" s="5" t="s">
        <v>2265</v>
      </c>
      <c r="K850" s="8">
        <v>1</v>
      </c>
      <c r="L850" s="9">
        <v>105</v>
      </c>
      <c r="M850" s="10">
        <v>0.1</v>
      </c>
      <c r="N850" s="9">
        <f t="shared" si="166"/>
        <v>105</v>
      </c>
      <c r="O850" s="9">
        <f t="shared" si="156"/>
        <v>94.5</v>
      </c>
      <c r="P850" s="5" t="s">
        <v>2269</v>
      </c>
      <c r="Q850" s="5" t="s">
        <v>2270</v>
      </c>
      <c r="R850" s="5" t="s">
        <v>2277</v>
      </c>
      <c r="S850" s="5" t="s">
        <v>2287</v>
      </c>
      <c r="T850" s="5" t="s">
        <v>2288</v>
      </c>
      <c r="U850" s="8">
        <v>5</v>
      </c>
      <c r="V850" s="8">
        <v>101</v>
      </c>
      <c r="W850" s="8">
        <v>43</v>
      </c>
      <c r="X850" s="9">
        <v>55.76</v>
      </c>
      <c r="Y850" s="9">
        <f t="shared" si="157"/>
        <v>38.74</v>
      </c>
      <c r="Z850" s="5" t="s">
        <v>1761</v>
      </c>
      <c r="AA850" s="5" t="s">
        <v>2296</v>
      </c>
      <c r="AB850" s="9">
        <f t="shared" si="158"/>
        <v>105</v>
      </c>
      <c r="AC850" s="9">
        <f t="shared" si="159"/>
        <v>10.5</v>
      </c>
      <c r="AD850" s="9">
        <f t="shared" si="160"/>
        <v>94.5</v>
      </c>
      <c r="AE850" s="9">
        <f t="shared" si="161"/>
        <v>55.76</v>
      </c>
      <c r="AF850" s="9">
        <f t="shared" si="167"/>
        <v>38.74</v>
      </c>
      <c r="AG850" s="8">
        <f t="shared" si="162"/>
        <v>2024</v>
      </c>
      <c r="AH850" s="8">
        <f t="shared" si="163"/>
        <v>12</v>
      </c>
      <c r="AI850" s="5" t="str">
        <f t="shared" si="164"/>
        <v>Dec</v>
      </c>
      <c r="AJ850" s="5" t="str">
        <f t="shared" si="165"/>
        <v>Friday</v>
      </c>
    </row>
    <row r="851" spans="1:36" x14ac:dyDescent="0.3">
      <c r="A851" s="5" t="s">
        <v>885</v>
      </c>
      <c r="B851" s="6">
        <v>45382</v>
      </c>
      <c r="C851" s="7">
        <v>0.84027777777777779</v>
      </c>
      <c r="D851" s="5" t="s">
        <v>1926</v>
      </c>
      <c r="E851" s="5" t="s">
        <v>2136</v>
      </c>
      <c r="F851" s="5" t="s">
        <v>2240</v>
      </c>
      <c r="G851" s="5" t="s">
        <v>2248</v>
      </c>
      <c r="H851" s="5" t="s">
        <v>2257</v>
      </c>
      <c r="I851" s="5" t="s">
        <v>2262</v>
      </c>
      <c r="J851" s="5" t="s">
        <v>1761</v>
      </c>
      <c r="K851" s="8">
        <v>1</v>
      </c>
      <c r="L851" s="9">
        <v>140</v>
      </c>
      <c r="M851" s="10">
        <v>0.15</v>
      </c>
      <c r="N851" s="9">
        <f t="shared" si="166"/>
        <v>140</v>
      </c>
      <c r="O851" s="9">
        <f t="shared" si="156"/>
        <v>119</v>
      </c>
      <c r="P851" s="5" t="s">
        <v>2268</v>
      </c>
      <c r="Q851" s="5" t="s">
        <v>1761</v>
      </c>
      <c r="R851" s="5" t="s">
        <v>2277</v>
      </c>
      <c r="S851" s="5" t="s">
        <v>2284</v>
      </c>
      <c r="T851" s="5" t="s">
        <v>2288</v>
      </c>
      <c r="U851" s="19">
        <v>3</v>
      </c>
      <c r="V851" s="8">
        <v>234</v>
      </c>
      <c r="W851" s="8">
        <v>46</v>
      </c>
      <c r="X851" s="9">
        <v>86.06</v>
      </c>
      <c r="Y851" s="9">
        <f t="shared" si="157"/>
        <v>32.94</v>
      </c>
      <c r="Z851" s="5" t="s">
        <v>2291</v>
      </c>
      <c r="AA851" s="5" t="s">
        <v>1761</v>
      </c>
      <c r="AB851" s="9">
        <f t="shared" si="158"/>
        <v>140</v>
      </c>
      <c r="AC851" s="9">
        <f t="shared" si="159"/>
        <v>21</v>
      </c>
      <c r="AD851" s="9">
        <f t="shared" si="160"/>
        <v>119</v>
      </c>
      <c r="AE851" s="9">
        <f t="shared" si="161"/>
        <v>86.06</v>
      </c>
      <c r="AF851" s="9">
        <f t="shared" si="167"/>
        <v>32.94</v>
      </c>
      <c r="AG851" s="8">
        <f t="shared" si="162"/>
        <v>2024</v>
      </c>
      <c r="AH851" s="8">
        <f t="shared" si="163"/>
        <v>3</v>
      </c>
      <c r="AI851" s="5" t="str">
        <f t="shared" si="164"/>
        <v>Mar</v>
      </c>
      <c r="AJ851" s="5" t="str">
        <f t="shared" si="165"/>
        <v>Sunday</v>
      </c>
    </row>
    <row r="852" spans="1:36" x14ac:dyDescent="0.3">
      <c r="A852" s="5" t="s">
        <v>886</v>
      </c>
      <c r="B852" s="6">
        <v>45515</v>
      </c>
      <c r="C852" s="7">
        <v>0.30208333333333331</v>
      </c>
      <c r="D852" s="5" t="s">
        <v>1850</v>
      </c>
      <c r="E852" s="5" t="s">
        <v>2090</v>
      </c>
      <c r="F852" s="5" t="s">
        <v>2240</v>
      </c>
      <c r="G852" s="5" t="s">
        <v>2251</v>
      </c>
      <c r="H852" s="5" t="s">
        <v>2258</v>
      </c>
      <c r="I852" s="5" t="s">
        <v>2260</v>
      </c>
      <c r="J852" s="5" t="s">
        <v>2265</v>
      </c>
      <c r="K852" s="8">
        <v>1</v>
      </c>
      <c r="L852" s="9">
        <v>110</v>
      </c>
      <c r="M852" s="10">
        <v>0.1</v>
      </c>
      <c r="N852" s="9">
        <f t="shared" si="166"/>
        <v>110</v>
      </c>
      <c r="O852" s="9">
        <f t="shared" si="156"/>
        <v>99</v>
      </c>
      <c r="P852" s="5" t="s">
        <v>2269</v>
      </c>
      <c r="Q852" s="5" t="s">
        <v>2272</v>
      </c>
      <c r="R852" s="5" t="s">
        <v>2273</v>
      </c>
      <c r="S852" s="5" t="s">
        <v>2283</v>
      </c>
      <c r="T852" s="5" t="s">
        <v>2288</v>
      </c>
      <c r="U852" s="8">
        <v>5</v>
      </c>
      <c r="V852" s="8">
        <v>233</v>
      </c>
      <c r="W852" s="8">
        <v>10</v>
      </c>
      <c r="X852" s="9">
        <v>44.79</v>
      </c>
      <c r="Y852" s="9">
        <f t="shared" si="157"/>
        <v>54.21</v>
      </c>
      <c r="Z852" s="5" t="s">
        <v>1761</v>
      </c>
      <c r="AA852" s="5" t="s">
        <v>2297</v>
      </c>
      <c r="AB852" s="9">
        <f t="shared" si="158"/>
        <v>110</v>
      </c>
      <c r="AC852" s="9">
        <f t="shared" si="159"/>
        <v>11</v>
      </c>
      <c r="AD852" s="9">
        <f t="shared" si="160"/>
        <v>99</v>
      </c>
      <c r="AE852" s="9">
        <f t="shared" si="161"/>
        <v>44.79</v>
      </c>
      <c r="AF852" s="9">
        <f t="shared" si="167"/>
        <v>54.21</v>
      </c>
      <c r="AG852" s="8">
        <f t="shared" si="162"/>
        <v>2024</v>
      </c>
      <c r="AH852" s="8">
        <f t="shared" si="163"/>
        <v>8</v>
      </c>
      <c r="AI852" s="5" t="str">
        <f t="shared" si="164"/>
        <v>Aug</v>
      </c>
      <c r="AJ852" s="5" t="str">
        <f t="shared" si="165"/>
        <v>Sunday</v>
      </c>
    </row>
    <row r="853" spans="1:36" x14ac:dyDescent="0.3">
      <c r="A853" s="5" t="s">
        <v>887</v>
      </c>
      <c r="B853" s="6">
        <v>45526</v>
      </c>
      <c r="C853" s="7">
        <v>0.72916666666666663</v>
      </c>
      <c r="D853" s="5" t="s">
        <v>1820</v>
      </c>
      <c r="E853" s="5" t="s">
        <v>2012</v>
      </c>
      <c r="F853" s="5" t="s">
        <v>2240</v>
      </c>
      <c r="G853" s="5" t="s">
        <v>2250</v>
      </c>
      <c r="H853" s="5" t="s">
        <v>2259</v>
      </c>
      <c r="I853" s="5" t="s">
        <v>2262</v>
      </c>
      <c r="J853" s="5" t="s">
        <v>1761</v>
      </c>
      <c r="K853" s="8">
        <v>2</v>
      </c>
      <c r="L853" s="9">
        <v>85</v>
      </c>
      <c r="M853" s="10">
        <v>0.15</v>
      </c>
      <c r="N853" s="9">
        <f t="shared" si="166"/>
        <v>170</v>
      </c>
      <c r="O853" s="9">
        <f t="shared" si="156"/>
        <v>144.5</v>
      </c>
      <c r="P853" s="5" t="s">
        <v>2267</v>
      </c>
      <c r="Q853" s="5" t="s">
        <v>2271</v>
      </c>
      <c r="R853" s="5" t="s">
        <v>2279</v>
      </c>
      <c r="S853" s="5" t="s">
        <v>2283</v>
      </c>
      <c r="T853" s="5" t="s">
        <v>2288</v>
      </c>
      <c r="U853" s="8">
        <v>5</v>
      </c>
      <c r="V853" s="8">
        <v>462</v>
      </c>
      <c r="W853" s="19">
        <v>37</v>
      </c>
      <c r="X853" s="9">
        <v>45.25</v>
      </c>
      <c r="Y853" s="9">
        <f t="shared" si="157"/>
        <v>54</v>
      </c>
      <c r="Z853" s="5" t="s">
        <v>2291</v>
      </c>
      <c r="AA853" s="5" t="s">
        <v>2296</v>
      </c>
      <c r="AB853" s="9">
        <f t="shared" si="158"/>
        <v>170</v>
      </c>
      <c r="AC853" s="9">
        <f t="shared" si="159"/>
        <v>25.5</v>
      </c>
      <c r="AD853" s="9">
        <f t="shared" si="160"/>
        <v>144.5</v>
      </c>
      <c r="AE853" s="9">
        <f t="shared" si="161"/>
        <v>90.5</v>
      </c>
      <c r="AF853" s="9">
        <f t="shared" si="167"/>
        <v>54</v>
      </c>
      <c r="AG853" s="8">
        <f t="shared" si="162"/>
        <v>2024</v>
      </c>
      <c r="AH853" s="8">
        <f t="shared" si="163"/>
        <v>8</v>
      </c>
      <c r="AI853" s="5" t="str">
        <f t="shared" si="164"/>
        <v>Aug</v>
      </c>
      <c r="AJ853" s="5" t="str">
        <f t="shared" si="165"/>
        <v>Thursday</v>
      </c>
    </row>
    <row r="854" spans="1:36" x14ac:dyDescent="0.3">
      <c r="A854" s="5" t="s">
        <v>888</v>
      </c>
      <c r="B854" s="6">
        <v>45633</v>
      </c>
      <c r="C854" s="7">
        <v>0.5</v>
      </c>
      <c r="D854" s="5" t="s">
        <v>1784</v>
      </c>
      <c r="E854" s="5" t="s">
        <v>1961</v>
      </c>
      <c r="F854" s="5" t="s">
        <v>2239</v>
      </c>
      <c r="G854" s="5" t="s">
        <v>2247</v>
      </c>
      <c r="H854" s="5" t="s">
        <v>2257</v>
      </c>
      <c r="I854" s="5" t="s">
        <v>2262</v>
      </c>
      <c r="J854" s="5" t="s">
        <v>2264</v>
      </c>
      <c r="K854" s="8">
        <v>1</v>
      </c>
      <c r="L854" s="9">
        <v>100</v>
      </c>
      <c r="M854" s="10">
        <v>0.1</v>
      </c>
      <c r="N854" s="9">
        <f t="shared" si="166"/>
        <v>100</v>
      </c>
      <c r="O854" s="9">
        <f t="shared" si="156"/>
        <v>90</v>
      </c>
      <c r="P854" s="5" t="s">
        <v>2268</v>
      </c>
      <c r="Q854" s="5" t="s">
        <v>2272</v>
      </c>
      <c r="R854" s="5" t="s">
        <v>2274</v>
      </c>
      <c r="S854" s="5" t="s">
        <v>2287</v>
      </c>
      <c r="T854" s="5" t="s">
        <v>2288</v>
      </c>
      <c r="U854" s="19">
        <v>3</v>
      </c>
      <c r="V854" s="8">
        <v>96</v>
      </c>
      <c r="W854" s="8">
        <v>37</v>
      </c>
      <c r="X854" s="9">
        <v>57.43</v>
      </c>
      <c r="Y854" s="9">
        <f t="shared" si="157"/>
        <v>32.57</v>
      </c>
      <c r="Z854" s="5" t="s">
        <v>2293</v>
      </c>
      <c r="AA854" s="5" t="s">
        <v>2298</v>
      </c>
      <c r="AB854" s="9">
        <f t="shared" si="158"/>
        <v>100</v>
      </c>
      <c r="AC854" s="9">
        <f t="shared" si="159"/>
        <v>10</v>
      </c>
      <c r="AD854" s="9">
        <f t="shared" si="160"/>
        <v>90</v>
      </c>
      <c r="AE854" s="9">
        <f t="shared" si="161"/>
        <v>57.43</v>
      </c>
      <c r="AF854" s="9">
        <f t="shared" si="167"/>
        <v>32.57</v>
      </c>
      <c r="AG854" s="8">
        <f t="shared" si="162"/>
        <v>2024</v>
      </c>
      <c r="AH854" s="8">
        <f t="shared" si="163"/>
        <v>12</v>
      </c>
      <c r="AI854" s="5" t="str">
        <f t="shared" si="164"/>
        <v>Dec</v>
      </c>
      <c r="AJ854" s="5" t="str">
        <f t="shared" si="165"/>
        <v>Saturday</v>
      </c>
    </row>
    <row r="855" spans="1:36" x14ac:dyDescent="0.3">
      <c r="A855" s="5" t="s">
        <v>889</v>
      </c>
      <c r="B855" s="6">
        <v>45434</v>
      </c>
      <c r="C855" s="7">
        <v>0.76388888888888884</v>
      </c>
      <c r="D855" s="5" t="s">
        <v>1801</v>
      </c>
      <c r="E855" s="5" t="s">
        <v>1945</v>
      </c>
      <c r="F855" s="5" t="s">
        <v>2238</v>
      </c>
      <c r="G855" s="5" t="s">
        <v>2250</v>
      </c>
      <c r="H855" s="5" t="s">
        <v>2259</v>
      </c>
      <c r="I855" s="5" t="s">
        <v>2262</v>
      </c>
      <c r="J855" s="5" t="s">
        <v>2266</v>
      </c>
      <c r="K855" s="8">
        <v>2</v>
      </c>
      <c r="L855" s="9">
        <v>85</v>
      </c>
      <c r="M855" s="10">
        <v>0.1</v>
      </c>
      <c r="N855" s="9">
        <f t="shared" si="166"/>
        <v>170</v>
      </c>
      <c r="O855" s="9">
        <f t="shared" si="156"/>
        <v>153</v>
      </c>
      <c r="P855" s="5" t="s">
        <v>2268</v>
      </c>
      <c r="Q855" s="5" t="s">
        <v>2272</v>
      </c>
      <c r="R855" s="5" t="s">
        <v>2274</v>
      </c>
      <c r="S855" s="5" t="s">
        <v>2280</v>
      </c>
      <c r="T855" s="5" t="s">
        <v>2288</v>
      </c>
      <c r="U855" s="8">
        <v>2</v>
      </c>
      <c r="V855" s="19">
        <v>244</v>
      </c>
      <c r="W855" s="8">
        <v>24</v>
      </c>
      <c r="X855" s="9">
        <v>40.159999999999997</v>
      </c>
      <c r="Y855" s="9">
        <f t="shared" si="157"/>
        <v>72.680000000000007</v>
      </c>
      <c r="Z855" s="5" t="s">
        <v>1761</v>
      </c>
      <c r="AA855" s="5" t="s">
        <v>2296</v>
      </c>
      <c r="AB855" s="9">
        <f t="shared" si="158"/>
        <v>170</v>
      </c>
      <c r="AC855" s="9">
        <f t="shared" si="159"/>
        <v>17</v>
      </c>
      <c r="AD855" s="9">
        <f t="shared" si="160"/>
        <v>153</v>
      </c>
      <c r="AE855" s="9">
        <f t="shared" si="161"/>
        <v>80.319999999999993</v>
      </c>
      <c r="AF855" s="9">
        <f t="shared" si="167"/>
        <v>72.680000000000007</v>
      </c>
      <c r="AG855" s="8">
        <f t="shared" si="162"/>
        <v>2024</v>
      </c>
      <c r="AH855" s="8">
        <f t="shared" si="163"/>
        <v>5</v>
      </c>
      <c r="AI855" s="5" t="str">
        <f t="shared" si="164"/>
        <v>May</v>
      </c>
      <c r="AJ855" s="5" t="str">
        <f t="shared" si="165"/>
        <v>Wednesday</v>
      </c>
    </row>
    <row r="856" spans="1:36" x14ac:dyDescent="0.3">
      <c r="A856" s="5" t="s">
        <v>890</v>
      </c>
      <c r="B856" s="6">
        <v>45501</v>
      </c>
      <c r="C856" s="7">
        <v>0.5</v>
      </c>
      <c r="D856" s="5" t="s">
        <v>1836</v>
      </c>
      <c r="E856" s="5" t="s">
        <v>2043</v>
      </c>
      <c r="F856" s="5" t="s">
        <v>2239</v>
      </c>
      <c r="G856" s="5" t="s">
        <v>2248</v>
      </c>
      <c r="H856" s="5" t="s">
        <v>2257</v>
      </c>
      <c r="I856" s="5" t="s">
        <v>2262</v>
      </c>
      <c r="J856" s="5" t="s">
        <v>2264</v>
      </c>
      <c r="K856" s="8">
        <v>2</v>
      </c>
      <c r="L856" s="9">
        <v>145</v>
      </c>
      <c r="M856" s="10">
        <v>0</v>
      </c>
      <c r="N856" s="9">
        <f t="shared" si="166"/>
        <v>290</v>
      </c>
      <c r="O856" s="9">
        <f t="shared" si="156"/>
        <v>290</v>
      </c>
      <c r="P856" s="5" t="s">
        <v>2267</v>
      </c>
      <c r="Q856" s="5" t="s">
        <v>2272</v>
      </c>
      <c r="R856" s="5" t="s">
        <v>2273</v>
      </c>
      <c r="S856" s="5" t="s">
        <v>2287</v>
      </c>
      <c r="T856" s="5" t="s">
        <v>2288</v>
      </c>
      <c r="U856" s="8">
        <v>2</v>
      </c>
      <c r="V856" s="8">
        <v>283</v>
      </c>
      <c r="W856" s="19">
        <v>35</v>
      </c>
      <c r="X856" s="9">
        <v>73.599999999999994</v>
      </c>
      <c r="Y856" s="9">
        <f t="shared" si="157"/>
        <v>142.80000000000001</v>
      </c>
      <c r="Z856" s="5" t="s">
        <v>1761</v>
      </c>
      <c r="AA856" s="5" t="s">
        <v>2298</v>
      </c>
      <c r="AB856" s="9">
        <f t="shared" si="158"/>
        <v>290</v>
      </c>
      <c r="AC856" s="9">
        <f t="shared" si="159"/>
        <v>0</v>
      </c>
      <c r="AD856" s="9">
        <f t="shared" si="160"/>
        <v>290</v>
      </c>
      <c r="AE856" s="9">
        <f t="shared" si="161"/>
        <v>147.19999999999999</v>
      </c>
      <c r="AF856" s="9">
        <f t="shared" si="167"/>
        <v>142.80000000000001</v>
      </c>
      <c r="AG856" s="8">
        <f t="shared" si="162"/>
        <v>2024</v>
      </c>
      <c r="AH856" s="8">
        <f t="shared" si="163"/>
        <v>7</v>
      </c>
      <c r="AI856" s="5" t="str">
        <f t="shared" si="164"/>
        <v>Jul</v>
      </c>
      <c r="AJ856" s="5" t="str">
        <f t="shared" si="165"/>
        <v>Sunday</v>
      </c>
    </row>
    <row r="857" spans="1:36" x14ac:dyDescent="0.3">
      <c r="A857" s="5" t="s">
        <v>891</v>
      </c>
      <c r="B857" s="6">
        <v>45422</v>
      </c>
      <c r="C857" s="7">
        <v>0.38541666666666669</v>
      </c>
      <c r="D857" s="5" t="s">
        <v>1800</v>
      </c>
      <c r="E857" s="5" t="s">
        <v>2053</v>
      </c>
      <c r="F857" s="5" t="s">
        <v>2240</v>
      </c>
      <c r="G857" s="5" t="s">
        <v>2250</v>
      </c>
      <c r="H857" s="5" t="s">
        <v>2259</v>
      </c>
      <c r="I857" s="5" t="s">
        <v>2262</v>
      </c>
      <c r="J857" s="5" t="s">
        <v>2266</v>
      </c>
      <c r="K857" s="8">
        <v>1</v>
      </c>
      <c r="L857" s="9">
        <v>85</v>
      </c>
      <c r="M857" s="10">
        <v>0.05</v>
      </c>
      <c r="N857" s="9">
        <f t="shared" si="166"/>
        <v>85</v>
      </c>
      <c r="O857" s="9">
        <f t="shared" si="156"/>
        <v>80.75</v>
      </c>
      <c r="P857" s="5" t="s">
        <v>2268</v>
      </c>
      <c r="Q857" s="5" t="s">
        <v>2271</v>
      </c>
      <c r="R857" s="5" t="s">
        <v>2279</v>
      </c>
      <c r="S857" s="5" t="s">
        <v>2280</v>
      </c>
      <c r="T857" s="5" t="s">
        <v>2289</v>
      </c>
      <c r="U857" s="8">
        <v>5</v>
      </c>
      <c r="V857" s="8">
        <v>495</v>
      </c>
      <c r="W857" s="8">
        <v>51</v>
      </c>
      <c r="X857" s="9">
        <v>45.19</v>
      </c>
      <c r="Y857" s="9">
        <f t="shared" si="157"/>
        <v>35.56</v>
      </c>
      <c r="Z857" s="5" t="s">
        <v>2291</v>
      </c>
      <c r="AA857" s="5" t="s">
        <v>2299</v>
      </c>
      <c r="AB857" s="9">
        <f t="shared" si="158"/>
        <v>85</v>
      </c>
      <c r="AC857" s="9">
        <f t="shared" si="159"/>
        <v>4.25</v>
      </c>
      <c r="AD857" s="9">
        <f t="shared" si="160"/>
        <v>80.75</v>
      </c>
      <c r="AE857" s="9">
        <f t="shared" si="161"/>
        <v>45.19</v>
      </c>
      <c r="AF857" s="9">
        <f t="shared" si="167"/>
        <v>35.56</v>
      </c>
      <c r="AG857" s="8">
        <f t="shared" si="162"/>
        <v>2024</v>
      </c>
      <c r="AH857" s="8">
        <f t="shared" si="163"/>
        <v>5</v>
      </c>
      <c r="AI857" s="5" t="str">
        <f t="shared" si="164"/>
        <v>May</v>
      </c>
      <c r="AJ857" s="5" t="str">
        <f t="shared" si="165"/>
        <v>Friday</v>
      </c>
    </row>
    <row r="858" spans="1:36" x14ac:dyDescent="0.3">
      <c r="A858" s="5" t="s">
        <v>892</v>
      </c>
      <c r="B858" s="6">
        <v>45511</v>
      </c>
      <c r="C858" s="7">
        <v>0.80208333333333337</v>
      </c>
      <c r="D858" s="5" t="s">
        <v>1763</v>
      </c>
      <c r="E858" s="5" t="s">
        <v>1968</v>
      </c>
      <c r="F858" s="5" t="s">
        <v>2238</v>
      </c>
      <c r="G858" s="5" t="s">
        <v>2254</v>
      </c>
      <c r="H858" s="5" t="s">
        <v>2259</v>
      </c>
      <c r="I858" s="5" t="s">
        <v>2263</v>
      </c>
      <c r="J858" s="5" t="s">
        <v>2264</v>
      </c>
      <c r="K858" s="8">
        <v>1</v>
      </c>
      <c r="L858" s="9">
        <v>110</v>
      </c>
      <c r="M858" s="10">
        <v>0.05</v>
      </c>
      <c r="N858" s="9">
        <f t="shared" si="166"/>
        <v>110</v>
      </c>
      <c r="O858" s="9">
        <f t="shared" si="156"/>
        <v>104.5</v>
      </c>
      <c r="P858" s="5" t="s">
        <v>2269</v>
      </c>
      <c r="Q858" s="5" t="s">
        <v>2272</v>
      </c>
      <c r="R858" s="5" t="s">
        <v>2279</v>
      </c>
      <c r="S858" s="5" t="s">
        <v>2283</v>
      </c>
      <c r="T858" s="5" t="s">
        <v>2290</v>
      </c>
      <c r="U858" s="8">
        <v>2</v>
      </c>
      <c r="V858" s="8">
        <v>369</v>
      </c>
      <c r="W858" s="8">
        <v>22</v>
      </c>
      <c r="X858" s="9">
        <v>39.659999999999997</v>
      </c>
      <c r="Y858" s="9">
        <f t="shared" si="157"/>
        <v>64.84</v>
      </c>
      <c r="Z858" s="5" t="s">
        <v>2294</v>
      </c>
      <c r="AA858" s="5" t="s">
        <v>2298</v>
      </c>
      <c r="AB858" s="9">
        <f t="shared" si="158"/>
        <v>110</v>
      </c>
      <c r="AC858" s="9">
        <f t="shared" si="159"/>
        <v>5.5</v>
      </c>
      <c r="AD858" s="9">
        <f t="shared" si="160"/>
        <v>104.5</v>
      </c>
      <c r="AE858" s="9">
        <f t="shared" si="161"/>
        <v>39.659999999999997</v>
      </c>
      <c r="AF858" s="9">
        <f t="shared" si="167"/>
        <v>64.84</v>
      </c>
      <c r="AG858" s="8">
        <f t="shared" si="162"/>
        <v>2024</v>
      </c>
      <c r="AH858" s="8">
        <f t="shared" si="163"/>
        <v>8</v>
      </c>
      <c r="AI858" s="5" t="str">
        <f t="shared" si="164"/>
        <v>Aug</v>
      </c>
      <c r="AJ858" s="5" t="str">
        <f t="shared" si="165"/>
        <v>Wednesday</v>
      </c>
    </row>
    <row r="859" spans="1:36" x14ac:dyDescent="0.3">
      <c r="A859" s="5" t="s">
        <v>893</v>
      </c>
      <c r="B859" s="6">
        <v>45449</v>
      </c>
      <c r="C859" s="7">
        <v>0.52083333333333337</v>
      </c>
      <c r="D859" s="5" t="s">
        <v>1764</v>
      </c>
      <c r="E859" s="5" t="s">
        <v>2221</v>
      </c>
      <c r="F859" s="5" t="s">
        <v>2239</v>
      </c>
      <c r="G859" s="5" t="s">
        <v>2255</v>
      </c>
      <c r="H859" s="5" t="s">
        <v>2260</v>
      </c>
      <c r="I859" s="5" t="s">
        <v>2260</v>
      </c>
      <c r="J859" s="5" t="s">
        <v>2264</v>
      </c>
      <c r="K859" s="8">
        <v>2</v>
      </c>
      <c r="L859" s="9">
        <v>185</v>
      </c>
      <c r="M859" s="10">
        <v>0</v>
      </c>
      <c r="N859" s="9">
        <f t="shared" si="166"/>
        <v>370</v>
      </c>
      <c r="O859" s="9">
        <f t="shared" si="156"/>
        <v>370</v>
      </c>
      <c r="P859" s="5" t="s">
        <v>2267</v>
      </c>
      <c r="Q859" s="5" t="s">
        <v>2270</v>
      </c>
      <c r="R859" s="5" t="s">
        <v>2275</v>
      </c>
      <c r="S859" s="5" t="s">
        <v>2280</v>
      </c>
      <c r="T859" s="5" t="s">
        <v>2288</v>
      </c>
      <c r="U859" s="8">
        <v>4</v>
      </c>
      <c r="V859" s="8">
        <v>301</v>
      </c>
      <c r="W859" s="8">
        <v>45</v>
      </c>
      <c r="X859" s="9">
        <v>88.93</v>
      </c>
      <c r="Y859" s="9">
        <f t="shared" si="157"/>
        <v>192.14</v>
      </c>
      <c r="Z859" s="5" t="s">
        <v>2291</v>
      </c>
      <c r="AA859" s="5" t="s">
        <v>2297</v>
      </c>
      <c r="AB859" s="9">
        <f t="shared" si="158"/>
        <v>370</v>
      </c>
      <c r="AC859" s="9">
        <f t="shared" si="159"/>
        <v>0</v>
      </c>
      <c r="AD859" s="9">
        <f t="shared" si="160"/>
        <v>370</v>
      </c>
      <c r="AE859" s="9">
        <f t="shared" si="161"/>
        <v>177.86</v>
      </c>
      <c r="AF859" s="9">
        <f t="shared" si="167"/>
        <v>192.14</v>
      </c>
      <c r="AG859" s="8">
        <f t="shared" si="162"/>
        <v>2024</v>
      </c>
      <c r="AH859" s="8">
        <f t="shared" si="163"/>
        <v>6</v>
      </c>
      <c r="AI859" s="5" t="str">
        <f t="shared" si="164"/>
        <v>Jun</v>
      </c>
      <c r="AJ859" s="5" t="str">
        <f t="shared" si="165"/>
        <v>Thursday</v>
      </c>
    </row>
    <row r="860" spans="1:36" x14ac:dyDescent="0.3">
      <c r="A860" s="5" t="s">
        <v>894</v>
      </c>
      <c r="B860" s="6">
        <v>45565</v>
      </c>
      <c r="C860" s="7">
        <v>0.4236111111111111</v>
      </c>
      <c r="D860" s="5" t="s">
        <v>1851</v>
      </c>
      <c r="E860" s="5" t="s">
        <v>2019</v>
      </c>
      <c r="F860" s="5" t="s">
        <v>2240</v>
      </c>
      <c r="G860" s="5" t="s">
        <v>2251</v>
      </c>
      <c r="H860" s="5" t="s">
        <v>2258</v>
      </c>
      <c r="I860" s="5" t="s">
        <v>2260</v>
      </c>
      <c r="J860" s="5" t="s">
        <v>2266</v>
      </c>
      <c r="K860" s="8">
        <v>2</v>
      </c>
      <c r="L860" s="9">
        <v>100</v>
      </c>
      <c r="M860" s="10">
        <v>0.15</v>
      </c>
      <c r="N860" s="9">
        <f t="shared" si="166"/>
        <v>200</v>
      </c>
      <c r="O860" s="9">
        <f t="shared" si="156"/>
        <v>170</v>
      </c>
      <c r="P860" s="5" t="s">
        <v>2268</v>
      </c>
      <c r="Q860" s="5" t="s">
        <v>2272</v>
      </c>
      <c r="R860" s="5" t="s">
        <v>2277</v>
      </c>
      <c r="S860" s="5" t="s">
        <v>2287</v>
      </c>
      <c r="T860" s="5" t="s">
        <v>2288</v>
      </c>
      <c r="U860" s="8">
        <v>3</v>
      </c>
      <c r="V860" s="8">
        <v>242</v>
      </c>
      <c r="W860" s="8">
        <v>36</v>
      </c>
      <c r="X860" s="9">
        <v>56.64</v>
      </c>
      <c r="Y860" s="9">
        <f t="shared" si="157"/>
        <v>56.72</v>
      </c>
      <c r="Z860" s="5" t="s">
        <v>2293</v>
      </c>
      <c r="AA860" s="5" t="s">
        <v>2299</v>
      </c>
      <c r="AB860" s="9">
        <f t="shared" si="158"/>
        <v>200</v>
      </c>
      <c r="AC860" s="9">
        <f t="shared" si="159"/>
        <v>30</v>
      </c>
      <c r="AD860" s="9">
        <f t="shared" si="160"/>
        <v>170</v>
      </c>
      <c r="AE860" s="9">
        <f t="shared" si="161"/>
        <v>113.28</v>
      </c>
      <c r="AF860" s="9">
        <f t="shared" si="167"/>
        <v>56.72</v>
      </c>
      <c r="AG860" s="8">
        <f t="shared" si="162"/>
        <v>2024</v>
      </c>
      <c r="AH860" s="8">
        <f t="shared" si="163"/>
        <v>9</v>
      </c>
      <c r="AI860" s="5" t="str">
        <f t="shared" si="164"/>
        <v>Sep</v>
      </c>
      <c r="AJ860" s="5" t="str">
        <f t="shared" si="165"/>
        <v>Monday</v>
      </c>
    </row>
    <row r="861" spans="1:36" x14ac:dyDescent="0.3">
      <c r="A861" s="5" t="s">
        <v>895</v>
      </c>
      <c r="B861" s="6">
        <v>45392</v>
      </c>
      <c r="C861" s="7">
        <v>0.78472222222222221</v>
      </c>
      <c r="D861" s="5" t="s">
        <v>1760</v>
      </c>
      <c r="E861" s="5" t="s">
        <v>2184</v>
      </c>
      <c r="F861" s="5" t="s">
        <v>2240</v>
      </c>
      <c r="G861" s="5" t="s">
        <v>2256</v>
      </c>
      <c r="H861" s="5" t="s">
        <v>2261</v>
      </c>
      <c r="I861" s="5" t="s">
        <v>2260</v>
      </c>
      <c r="J861" s="5" t="s">
        <v>2265</v>
      </c>
      <c r="K861" s="8">
        <v>1</v>
      </c>
      <c r="L861" s="9">
        <v>185</v>
      </c>
      <c r="M861" s="10">
        <v>0.05</v>
      </c>
      <c r="N861" s="9">
        <f t="shared" si="166"/>
        <v>185</v>
      </c>
      <c r="O861" s="9">
        <f t="shared" si="156"/>
        <v>175.75</v>
      </c>
      <c r="P861" s="5" t="s">
        <v>2269</v>
      </c>
      <c r="Q861" s="5" t="s">
        <v>2270</v>
      </c>
      <c r="R861" s="5" t="s">
        <v>2273</v>
      </c>
      <c r="S861" s="5" t="s">
        <v>2285</v>
      </c>
      <c r="T861" s="5" t="s">
        <v>2290</v>
      </c>
      <c r="U861" s="19">
        <v>3</v>
      </c>
      <c r="V861" s="8">
        <v>461</v>
      </c>
      <c r="W861" s="8">
        <v>39</v>
      </c>
      <c r="X861" s="9">
        <v>66.62</v>
      </c>
      <c r="Y861" s="9">
        <f t="shared" si="157"/>
        <v>109.13</v>
      </c>
      <c r="Z861" s="5" t="s">
        <v>2293</v>
      </c>
      <c r="AA861" s="5" t="s">
        <v>1761</v>
      </c>
      <c r="AB861" s="9">
        <f t="shared" si="158"/>
        <v>185</v>
      </c>
      <c r="AC861" s="9">
        <f t="shared" si="159"/>
        <v>9.25</v>
      </c>
      <c r="AD861" s="9">
        <f t="shared" si="160"/>
        <v>175.75</v>
      </c>
      <c r="AE861" s="9">
        <f t="shared" si="161"/>
        <v>66.62</v>
      </c>
      <c r="AF861" s="9">
        <f t="shared" si="167"/>
        <v>109.13</v>
      </c>
      <c r="AG861" s="8">
        <f t="shared" si="162"/>
        <v>2024</v>
      </c>
      <c r="AH861" s="8">
        <f t="shared" si="163"/>
        <v>4</v>
      </c>
      <c r="AI861" s="5" t="str">
        <f t="shared" si="164"/>
        <v>Apr</v>
      </c>
      <c r="AJ861" s="5" t="str">
        <f t="shared" si="165"/>
        <v>Wednesday</v>
      </c>
    </row>
    <row r="862" spans="1:36" x14ac:dyDescent="0.3">
      <c r="A862" s="5" t="s">
        <v>896</v>
      </c>
      <c r="B862" s="6">
        <v>45471</v>
      </c>
      <c r="C862" s="7">
        <v>0.72222222222222221</v>
      </c>
      <c r="D862" s="5" t="s">
        <v>1909</v>
      </c>
      <c r="E862" s="5" t="s">
        <v>2061</v>
      </c>
      <c r="F862" s="5" t="s">
        <v>2240</v>
      </c>
      <c r="G862" s="5" t="s">
        <v>2250</v>
      </c>
      <c r="H862" s="5" t="s">
        <v>2259</v>
      </c>
      <c r="I862" s="5" t="s">
        <v>2262</v>
      </c>
      <c r="J862" s="5" t="s">
        <v>2266</v>
      </c>
      <c r="K862" s="8">
        <v>2</v>
      </c>
      <c r="L862" s="9">
        <v>75</v>
      </c>
      <c r="M862" s="10">
        <v>0.1</v>
      </c>
      <c r="N862" s="9">
        <f t="shared" si="166"/>
        <v>150</v>
      </c>
      <c r="O862" s="9">
        <f t="shared" si="156"/>
        <v>135</v>
      </c>
      <c r="P862" s="5" t="s">
        <v>2268</v>
      </c>
      <c r="Q862" s="5" t="s">
        <v>2271</v>
      </c>
      <c r="R862" s="5" t="s">
        <v>2273</v>
      </c>
      <c r="S862" s="5" t="s">
        <v>2286</v>
      </c>
      <c r="T862" s="5" t="s">
        <v>2288</v>
      </c>
      <c r="U862" s="8">
        <v>5</v>
      </c>
      <c r="V862" s="8">
        <v>113</v>
      </c>
      <c r="W862" s="8">
        <v>45</v>
      </c>
      <c r="X862" s="9">
        <v>35.75</v>
      </c>
      <c r="Y862" s="9">
        <f t="shared" si="157"/>
        <v>63.5</v>
      </c>
      <c r="Z862" s="5" t="s">
        <v>2294</v>
      </c>
      <c r="AA862" s="5" t="s">
        <v>2296</v>
      </c>
      <c r="AB862" s="9">
        <f t="shared" si="158"/>
        <v>150</v>
      </c>
      <c r="AC862" s="9">
        <f t="shared" si="159"/>
        <v>15</v>
      </c>
      <c r="AD862" s="9">
        <f t="shared" si="160"/>
        <v>135</v>
      </c>
      <c r="AE862" s="9">
        <f t="shared" si="161"/>
        <v>71.5</v>
      </c>
      <c r="AF862" s="9">
        <f t="shared" si="167"/>
        <v>63.5</v>
      </c>
      <c r="AG862" s="8">
        <f t="shared" si="162"/>
        <v>2024</v>
      </c>
      <c r="AH862" s="8">
        <f t="shared" si="163"/>
        <v>6</v>
      </c>
      <c r="AI862" s="5" t="str">
        <f t="shared" si="164"/>
        <v>Jun</v>
      </c>
      <c r="AJ862" s="5" t="str">
        <f t="shared" si="165"/>
        <v>Friday</v>
      </c>
    </row>
    <row r="863" spans="1:36" x14ac:dyDescent="0.3">
      <c r="A863" s="5" t="s">
        <v>897</v>
      </c>
      <c r="B863" s="6">
        <v>45438</v>
      </c>
      <c r="C863" s="7">
        <v>0.4513888888888889</v>
      </c>
      <c r="D863" s="5" t="s">
        <v>1761</v>
      </c>
      <c r="E863" s="5" t="s">
        <v>1976</v>
      </c>
      <c r="F863" s="5" t="s">
        <v>1761</v>
      </c>
      <c r="G863" s="5" t="s">
        <v>2242</v>
      </c>
      <c r="H863" s="5" t="s">
        <v>2258</v>
      </c>
      <c r="I863" s="5" t="s">
        <v>2260</v>
      </c>
      <c r="J863" s="5" t="s">
        <v>2265</v>
      </c>
      <c r="K863" s="8">
        <v>1</v>
      </c>
      <c r="L863" s="9">
        <v>130</v>
      </c>
      <c r="M863" s="10">
        <v>0.1</v>
      </c>
      <c r="N863" s="9">
        <f t="shared" si="166"/>
        <v>130</v>
      </c>
      <c r="O863" s="9">
        <f t="shared" si="156"/>
        <v>117</v>
      </c>
      <c r="P863" s="5" t="s">
        <v>2267</v>
      </c>
      <c r="Q863" s="5" t="s">
        <v>2270</v>
      </c>
      <c r="R863" s="5" t="s">
        <v>2276</v>
      </c>
      <c r="S863" s="5" t="s">
        <v>2281</v>
      </c>
      <c r="T863" s="5" t="s">
        <v>2288</v>
      </c>
      <c r="U863" s="8">
        <v>4</v>
      </c>
      <c r="V863" s="8">
        <v>137</v>
      </c>
      <c r="W863" s="8">
        <v>17</v>
      </c>
      <c r="X863" s="9">
        <v>55.57</v>
      </c>
      <c r="Y863" s="9">
        <f t="shared" si="157"/>
        <v>61.43</v>
      </c>
      <c r="Z863" s="5" t="s">
        <v>1761</v>
      </c>
      <c r="AA863" s="5" t="s">
        <v>2296</v>
      </c>
      <c r="AB863" s="9">
        <f t="shared" si="158"/>
        <v>130</v>
      </c>
      <c r="AC863" s="9">
        <f t="shared" si="159"/>
        <v>13</v>
      </c>
      <c r="AD863" s="9">
        <f t="shared" si="160"/>
        <v>117</v>
      </c>
      <c r="AE863" s="9">
        <f t="shared" si="161"/>
        <v>55.57</v>
      </c>
      <c r="AF863" s="9">
        <f t="shared" si="167"/>
        <v>61.43</v>
      </c>
      <c r="AG863" s="8">
        <f t="shared" si="162"/>
        <v>2024</v>
      </c>
      <c r="AH863" s="8">
        <f t="shared" si="163"/>
        <v>5</v>
      </c>
      <c r="AI863" s="5" t="str">
        <f t="shared" si="164"/>
        <v>May</v>
      </c>
      <c r="AJ863" s="5" t="str">
        <f t="shared" si="165"/>
        <v>Sunday</v>
      </c>
    </row>
    <row r="864" spans="1:36" x14ac:dyDescent="0.3">
      <c r="A864" s="5" t="s">
        <v>898</v>
      </c>
      <c r="B864" s="6">
        <v>45585</v>
      </c>
      <c r="C864" s="7">
        <v>0.46527777777777779</v>
      </c>
      <c r="D864" s="5" t="s">
        <v>1918</v>
      </c>
      <c r="E864" s="5" t="s">
        <v>1761</v>
      </c>
      <c r="F864" s="5" t="s">
        <v>2240</v>
      </c>
      <c r="G864" s="5" t="s">
        <v>2252</v>
      </c>
      <c r="H864" s="5" t="s">
        <v>2257</v>
      </c>
      <c r="I864" s="5" t="s">
        <v>2262</v>
      </c>
      <c r="J864" s="5" t="s">
        <v>2264</v>
      </c>
      <c r="K864" s="8">
        <v>1</v>
      </c>
      <c r="L864" s="9">
        <v>90</v>
      </c>
      <c r="M864" s="10">
        <v>0.05</v>
      </c>
      <c r="N864" s="9">
        <f t="shared" si="166"/>
        <v>90</v>
      </c>
      <c r="O864" s="9">
        <f t="shared" si="156"/>
        <v>85.5</v>
      </c>
      <c r="P864" s="5" t="s">
        <v>2269</v>
      </c>
      <c r="Q864" s="5" t="s">
        <v>2270</v>
      </c>
      <c r="R864" s="5" t="s">
        <v>2273</v>
      </c>
      <c r="S864" s="5" t="s">
        <v>2280</v>
      </c>
      <c r="T864" s="5" t="s">
        <v>2288</v>
      </c>
      <c r="U864" s="8">
        <v>5</v>
      </c>
      <c r="V864" s="8">
        <v>161</v>
      </c>
      <c r="W864" s="8">
        <v>51</v>
      </c>
      <c r="X864" s="9">
        <v>43.2</v>
      </c>
      <c r="Y864" s="9">
        <f t="shared" si="157"/>
        <v>42.3</v>
      </c>
      <c r="Z864" s="5" t="s">
        <v>2293</v>
      </c>
      <c r="AA864" s="5" t="s">
        <v>2299</v>
      </c>
      <c r="AB864" s="9">
        <f t="shared" si="158"/>
        <v>90</v>
      </c>
      <c r="AC864" s="9">
        <f t="shared" si="159"/>
        <v>4.5</v>
      </c>
      <c r="AD864" s="9">
        <f t="shared" si="160"/>
        <v>85.5</v>
      </c>
      <c r="AE864" s="9">
        <f t="shared" si="161"/>
        <v>43.2</v>
      </c>
      <c r="AF864" s="9">
        <f t="shared" si="167"/>
        <v>42.3</v>
      </c>
      <c r="AG864" s="8">
        <f t="shared" si="162"/>
        <v>2024</v>
      </c>
      <c r="AH864" s="8">
        <f t="shared" si="163"/>
        <v>10</v>
      </c>
      <c r="AI864" s="5" t="str">
        <f t="shared" si="164"/>
        <v>Oct</v>
      </c>
      <c r="AJ864" s="5" t="str">
        <f t="shared" si="165"/>
        <v>Sunday</v>
      </c>
    </row>
    <row r="865" spans="1:36" x14ac:dyDescent="0.3">
      <c r="A865" s="5" t="s">
        <v>899</v>
      </c>
      <c r="B865" s="6">
        <v>45321</v>
      </c>
      <c r="C865" s="7">
        <v>0.46875</v>
      </c>
      <c r="D865" s="5" t="s">
        <v>1849</v>
      </c>
      <c r="E865" s="5" t="s">
        <v>2222</v>
      </c>
      <c r="F865" s="5" t="s">
        <v>2238</v>
      </c>
      <c r="G865" s="5" t="s">
        <v>2243</v>
      </c>
      <c r="H865" s="5" t="s">
        <v>2258</v>
      </c>
      <c r="I865" s="5" t="s">
        <v>2260</v>
      </c>
      <c r="J865" s="5" t="s">
        <v>2264</v>
      </c>
      <c r="K865" s="8">
        <v>2</v>
      </c>
      <c r="L865" s="9">
        <v>75</v>
      </c>
      <c r="M865" s="10">
        <v>0.15</v>
      </c>
      <c r="N865" s="9">
        <f t="shared" si="166"/>
        <v>150</v>
      </c>
      <c r="O865" s="9">
        <f t="shared" si="156"/>
        <v>127.5</v>
      </c>
      <c r="P865" s="5" t="s">
        <v>2267</v>
      </c>
      <c r="Q865" s="5" t="s">
        <v>2270</v>
      </c>
      <c r="R865" s="5" t="s">
        <v>2274</v>
      </c>
      <c r="S865" s="5" t="s">
        <v>2281</v>
      </c>
      <c r="T865" s="5" t="s">
        <v>2288</v>
      </c>
      <c r="U865" s="8">
        <v>2</v>
      </c>
      <c r="V865" s="8">
        <v>284</v>
      </c>
      <c r="W865" s="8">
        <v>57</v>
      </c>
      <c r="X865" s="9">
        <v>31.74</v>
      </c>
      <c r="Y865" s="9">
        <f t="shared" si="157"/>
        <v>64.02000000000001</v>
      </c>
      <c r="Z865" s="5" t="s">
        <v>2294</v>
      </c>
      <c r="AA865" s="5" t="s">
        <v>2298</v>
      </c>
      <c r="AB865" s="9">
        <f t="shared" si="158"/>
        <v>150</v>
      </c>
      <c r="AC865" s="9">
        <f t="shared" si="159"/>
        <v>22.5</v>
      </c>
      <c r="AD865" s="9">
        <f t="shared" si="160"/>
        <v>127.5</v>
      </c>
      <c r="AE865" s="9">
        <f t="shared" si="161"/>
        <v>63.48</v>
      </c>
      <c r="AF865" s="9">
        <f t="shared" si="167"/>
        <v>64.02000000000001</v>
      </c>
      <c r="AG865" s="8">
        <f t="shared" si="162"/>
        <v>2024</v>
      </c>
      <c r="AH865" s="8">
        <f t="shared" si="163"/>
        <v>1</v>
      </c>
      <c r="AI865" s="5" t="str">
        <f t="shared" si="164"/>
        <v>Jan</v>
      </c>
      <c r="AJ865" s="5" t="str">
        <f t="shared" si="165"/>
        <v>Tuesday</v>
      </c>
    </row>
    <row r="866" spans="1:36" x14ac:dyDescent="0.3">
      <c r="A866" s="5" t="s">
        <v>900</v>
      </c>
      <c r="B866" s="6">
        <v>45299</v>
      </c>
      <c r="C866" s="7">
        <v>0.73958333333333337</v>
      </c>
      <c r="D866" s="5" t="s">
        <v>1932</v>
      </c>
      <c r="E866" s="5" t="s">
        <v>2147</v>
      </c>
      <c r="F866" s="5" t="s">
        <v>2240</v>
      </c>
      <c r="G866" s="5" t="s">
        <v>2243</v>
      </c>
      <c r="H866" s="5" t="s">
        <v>2258</v>
      </c>
      <c r="I866" s="5" t="s">
        <v>2260</v>
      </c>
      <c r="J866" s="5" t="s">
        <v>2266</v>
      </c>
      <c r="K866" s="8">
        <v>2</v>
      </c>
      <c r="L866" s="9">
        <v>75</v>
      </c>
      <c r="M866" s="10">
        <v>0</v>
      </c>
      <c r="N866" s="9">
        <f t="shared" si="166"/>
        <v>150</v>
      </c>
      <c r="O866" s="9">
        <f t="shared" si="156"/>
        <v>150</v>
      </c>
      <c r="P866" s="5" t="s">
        <v>2268</v>
      </c>
      <c r="Q866" s="5" t="s">
        <v>2272</v>
      </c>
      <c r="R866" s="5" t="s">
        <v>2273</v>
      </c>
      <c r="S866" s="5" t="s">
        <v>2284</v>
      </c>
      <c r="T866" s="5" t="s">
        <v>2288</v>
      </c>
      <c r="U866" s="8">
        <v>3</v>
      </c>
      <c r="V866" s="8">
        <v>197</v>
      </c>
      <c r="W866" s="8">
        <v>55</v>
      </c>
      <c r="X866" s="9">
        <v>27.09</v>
      </c>
      <c r="Y866" s="9">
        <f t="shared" si="157"/>
        <v>95.82</v>
      </c>
      <c r="Z866" s="5" t="s">
        <v>2291</v>
      </c>
      <c r="AA866" s="5" t="s">
        <v>2296</v>
      </c>
      <c r="AB866" s="9">
        <f t="shared" si="158"/>
        <v>150</v>
      </c>
      <c r="AC866" s="9">
        <f t="shared" si="159"/>
        <v>0</v>
      </c>
      <c r="AD866" s="9">
        <f t="shared" si="160"/>
        <v>150</v>
      </c>
      <c r="AE866" s="9">
        <f t="shared" si="161"/>
        <v>54.18</v>
      </c>
      <c r="AF866" s="9">
        <f t="shared" si="167"/>
        <v>95.82</v>
      </c>
      <c r="AG866" s="8">
        <f t="shared" si="162"/>
        <v>2024</v>
      </c>
      <c r="AH866" s="8">
        <f t="shared" si="163"/>
        <v>1</v>
      </c>
      <c r="AI866" s="5" t="str">
        <f t="shared" si="164"/>
        <v>Jan</v>
      </c>
      <c r="AJ866" s="5" t="str">
        <f t="shared" si="165"/>
        <v>Monday</v>
      </c>
    </row>
    <row r="867" spans="1:36" x14ac:dyDescent="0.3">
      <c r="A867" s="5" t="s">
        <v>901</v>
      </c>
      <c r="B867" s="18">
        <v>45468</v>
      </c>
      <c r="C867" s="7">
        <v>0.90972222222222221</v>
      </c>
      <c r="D867" s="5" t="s">
        <v>1768</v>
      </c>
      <c r="E867" s="5" t="s">
        <v>2221</v>
      </c>
      <c r="F867" s="5" t="s">
        <v>2240</v>
      </c>
      <c r="G867" s="5" t="s">
        <v>2241</v>
      </c>
      <c r="H867" s="5" t="s">
        <v>2257</v>
      </c>
      <c r="I867" s="5" t="s">
        <v>2262</v>
      </c>
      <c r="J867" s="5" t="s">
        <v>2264</v>
      </c>
      <c r="K867" s="8">
        <v>2</v>
      </c>
      <c r="L867" s="9">
        <v>130</v>
      </c>
      <c r="M867" s="10">
        <v>0.15</v>
      </c>
      <c r="N867" s="9">
        <f t="shared" si="166"/>
        <v>260</v>
      </c>
      <c r="O867" s="9">
        <f t="shared" si="156"/>
        <v>221</v>
      </c>
      <c r="P867" s="5" t="s">
        <v>2267</v>
      </c>
      <c r="Q867" s="5" t="s">
        <v>2272</v>
      </c>
      <c r="R867" s="5" t="s">
        <v>2274</v>
      </c>
      <c r="S867" s="5" t="s">
        <v>2281</v>
      </c>
      <c r="T867" s="5" t="s">
        <v>2289</v>
      </c>
      <c r="U867" s="8">
        <v>2</v>
      </c>
      <c r="V867" s="8">
        <v>157</v>
      </c>
      <c r="W867" s="8">
        <v>59</v>
      </c>
      <c r="X867" s="9">
        <v>59.99</v>
      </c>
      <c r="Y867" s="9">
        <f t="shared" si="157"/>
        <v>101.02</v>
      </c>
      <c r="Z867" s="5" t="s">
        <v>2294</v>
      </c>
      <c r="AA867" s="5" t="s">
        <v>2299</v>
      </c>
      <c r="AB867" s="9">
        <f t="shared" si="158"/>
        <v>260</v>
      </c>
      <c r="AC867" s="9">
        <f t="shared" si="159"/>
        <v>39</v>
      </c>
      <c r="AD867" s="9">
        <f t="shared" si="160"/>
        <v>221</v>
      </c>
      <c r="AE867" s="9">
        <f t="shared" si="161"/>
        <v>119.98</v>
      </c>
      <c r="AF867" s="9">
        <f t="shared" si="167"/>
        <v>101.02</v>
      </c>
      <c r="AG867" s="8">
        <f t="shared" si="162"/>
        <v>2024</v>
      </c>
      <c r="AH867" s="8">
        <f t="shared" si="163"/>
        <v>6</v>
      </c>
      <c r="AI867" s="5" t="str">
        <f t="shared" si="164"/>
        <v>Jun</v>
      </c>
      <c r="AJ867" s="5" t="str">
        <f t="shared" si="165"/>
        <v>Tuesday</v>
      </c>
    </row>
    <row r="868" spans="1:36" x14ac:dyDescent="0.3">
      <c r="A868" s="5" t="s">
        <v>902</v>
      </c>
      <c r="B868" s="6">
        <v>45457</v>
      </c>
      <c r="C868" s="7">
        <v>0.76041666666666663</v>
      </c>
      <c r="D868" s="5" t="s">
        <v>1905</v>
      </c>
      <c r="E868" s="5" t="s">
        <v>1955</v>
      </c>
      <c r="F868" s="5" t="s">
        <v>2240</v>
      </c>
      <c r="G868" s="5" t="s">
        <v>2246</v>
      </c>
      <c r="H868" s="5" t="s">
        <v>2259</v>
      </c>
      <c r="I868" s="5" t="s">
        <v>2262</v>
      </c>
      <c r="J868" s="5" t="s">
        <v>2265</v>
      </c>
      <c r="K868" s="8">
        <v>1</v>
      </c>
      <c r="L868" s="9">
        <v>100</v>
      </c>
      <c r="M868" s="10">
        <v>0</v>
      </c>
      <c r="N868" s="9">
        <f t="shared" si="166"/>
        <v>100</v>
      </c>
      <c r="O868" s="9">
        <f t="shared" si="156"/>
        <v>100</v>
      </c>
      <c r="P868" s="5" t="s">
        <v>2269</v>
      </c>
      <c r="Q868" s="5" t="s">
        <v>2271</v>
      </c>
      <c r="R868" s="5" t="s">
        <v>2278</v>
      </c>
      <c r="S868" s="5" t="s">
        <v>2285</v>
      </c>
      <c r="T868" s="5" t="s">
        <v>2288</v>
      </c>
      <c r="U868" s="8">
        <v>5</v>
      </c>
      <c r="V868" s="19">
        <v>244</v>
      </c>
      <c r="W868" s="8">
        <v>26</v>
      </c>
      <c r="X868" s="9">
        <v>52.17</v>
      </c>
      <c r="Y868" s="9">
        <f t="shared" si="157"/>
        <v>47.83</v>
      </c>
      <c r="Z868" s="5" t="s">
        <v>1761</v>
      </c>
      <c r="AA868" s="5" t="s">
        <v>2296</v>
      </c>
      <c r="AB868" s="9">
        <f t="shared" si="158"/>
        <v>100</v>
      </c>
      <c r="AC868" s="9">
        <f t="shared" si="159"/>
        <v>0</v>
      </c>
      <c r="AD868" s="9">
        <f t="shared" si="160"/>
        <v>100</v>
      </c>
      <c r="AE868" s="9">
        <f t="shared" si="161"/>
        <v>52.17</v>
      </c>
      <c r="AF868" s="9">
        <f t="shared" si="167"/>
        <v>47.83</v>
      </c>
      <c r="AG868" s="8">
        <f t="shared" si="162"/>
        <v>2024</v>
      </c>
      <c r="AH868" s="8">
        <f t="shared" si="163"/>
        <v>6</v>
      </c>
      <c r="AI868" s="5" t="str">
        <f t="shared" si="164"/>
        <v>Jun</v>
      </c>
      <c r="AJ868" s="5" t="str">
        <f t="shared" si="165"/>
        <v>Friday</v>
      </c>
    </row>
    <row r="869" spans="1:36" x14ac:dyDescent="0.3">
      <c r="A869" s="5" t="s">
        <v>903</v>
      </c>
      <c r="B869" s="6">
        <v>45608</v>
      </c>
      <c r="C869" s="7">
        <v>0.47916666666666669</v>
      </c>
      <c r="D869" s="5" t="s">
        <v>1896</v>
      </c>
      <c r="E869" s="5" t="s">
        <v>2190</v>
      </c>
      <c r="F869" s="5" t="s">
        <v>2239</v>
      </c>
      <c r="G869" s="5" t="s">
        <v>2242</v>
      </c>
      <c r="H869" s="5" t="s">
        <v>2258</v>
      </c>
      <c r="I869" s="5" t="s">
        <v>2260</v>
      </c>
      <c r="J869" s="5" t="s">
        <v>2265</v>
      </c>
      <c r="K869" s="8">
        <v>2</v>
      </c>
      <c r="L869" s="9">
        <v>130</v>
      </c>
      <c r="M869" s="10">
        <v>0.15</v>
      </c>
      <c r="N869" s="9">
        <f t="shared" si="166"/>
        <v>260</v>
      </c>
      <c r="O869" s="9">
        <f t="shared" si="156"/>
        <v>221</v>
      </c>
      <c r="P869" s="5" t="s">
        <v>2267</v>
      </c>
      <c r="Q869" s="5" t="s">
        <v>2270</v>
      </c>
      <c r="R869" s="5" t="s">
        <v>2277</v>
      </c>
      <c r="S869" s="5" t="s">
        <v>2287</v>
      </c>
      <c r="T869" s="5" t="s">
        <v>2289</v>
      </c>
      <c r="U869" s="8">
        <v>4</v>
      </c>
      <c r="V869" s="8">
        <v>15</v>
      </c>
      <c r="W869" s="8">
        <v>37</v>
      </c>
      <c r="X869" s="9">
        <v>54.01</v>
      </c>
      <c r="Y869" s="9">
        <f t="shared" si="157"/>
        <v>112.98</v>
      </c>
      <c r="Z869" s="5" t="s">
        <v>2292</v>
      </c>
      <c r="AA869" s="5" t="s">
        <v>2296</v>
      </c>
      <c r="AB869" s="9">
        <f t="shared" si="158"/>
        <v>260</v>
      </c>
      <c r="AC869" s="9">
        <f t="shared" si="159"/>
        <v>39</v>
      </c>
      <c r="AD869" s="9">
        <f t="shared" si="160"/>
        <v>221</v>
      </c>
      <c r="AE869" s="9">
        <f t="shared" si="161"/>
        <v>108.02</v>
      </c>
      <c r="AF869" s="9">
        <f t="shared" si="167"/>
        <v>112.98</v>
      </c>
      <c r="AG869" s="8">
        <f t="shared" si="162"/>
        <v>2024</v>
      </c>
      <c r="AH869" s="8">
        <f t="shared" si="163"/>
        <v>11</v>
      </c>
      <c r="AI869" s="5" t="str">
        <f t="shared" si="164"/>
        <v>Nov</v>
      </c>
      <c r="AJ869" s="5" t="str">
        <f t="shared" si="165"/>
        <v>Tuesday</v>
      </c>
    </row>
    <row r="870" spans="1:36" x14ac:dyDescent="0.3">
      <c r="A870" s="5" t="s">
        <v>904</v>
      </c>
      <c r="B870" s="6">
        <v>45403</v>
      </c>
      <c r="C870" s="7">
        <v>0.51041666666666663</v>
      </c>
      <c r="D870" s="5" t="s">
        <v>1924</v>
      </c>
      <c r="E870" s="5" t="s">
        <v>2173</v>
      </c>
      <c r="F870" s="5" t="s">
        <v>2239</v>
      </c>
      <c r="G870" s="5" t="s">
        <v>2250</v>
      </c>
      <c r="H870" s="5" t="s">
        <v>2259</v>
      </c>
      <c r="I870" s="5" t="s">
        <v>2262</v>
      </c>
      <c r="J870" s="5" t="s">
        <v>2264</v>
      </c>
      <c r="K870" s="19">
        <v>1</v>
      </c>
      <c r="L870" s="9">
        <v>90</v>
      </c>
      <c r="M870" s="10">
        <v>0.05</v>
      </c>
      <c r="N870" s="9">
        <f t="shared" si="166"/>
        <v>90</v>
      </c>
      <c r="O870" s="9">
        <f t="shared" si="156"/>
        <v>85.5</v>
      </c>
      <c r="P870" s="5" t="s">
        <v>2268</v>
      </c>
      <c r="Q870" s="5" t="s">
        <v>1761</v>
      </c>
      <c r="R870" s="5" t="s">
        <v>2279</v>
      </c>
      <c r="S870" s="5" t="s">
        <v>2285</v>
      </c>
      <c r="T870" s="5" t="s">
        <v>2288</v>
      </c>
      <c r="U870" s="19">
        <v>3</v>
      </c>
      <c r="V870" s="8">
        <v>409</v>
      </c>
      <c r="W870" s="8">
        <v>58</v>
      </c>
      <c r="X870" s="9">
        <v>36.299999999999997</v>
      </c>
      <c r="Y870" s="9">
        <f t="shared" si="157"/>
        <v>49.2</v>
      </c>
      <c r="Z870" s="5" t="s">
        <v>2293</v>
      </c>
      <c r="AA870" s="5" t="s">
        <v>2298</v>
      </c>
      <c r="AB870" s="9">
        <f t="shared" si="158"/>
        <v>90</v>
      </c>
      <c r="AC870" s="9">
        <f t="shared" si="159"/>
        <v>4.5</v>
      </c>
      <c r="AD870" s="9">
        <f t="shared" si="160"/>
        <v>85.5</v>
      </c>
      <c r="AE870" s="9">
        <f t="shared" si="161"/>
        <v>36.299999999999997</v>
      </c>
      <c r="AF870" s="9">
        <f t="shared" si="167"/>
        <v>49.2</v>
      </c>
      <c r="AG870" s="8">
        <f t="shared" si="162"/>
        <v>2024</v>
      </c>
      <c r="AH870" s="8">
        <f t="shared" si="163"/>
        <v>4</v>
      </c>
      <c r="AI870" s="5" t="str">
        <f t="shared" si="164"/>
        <v>Apr</v>
      </c>
      <c r="AJ870" s="5" t="str">
        <f t="shared" si="165"/>
        <v>Sunday</v>
      </c>
    </row>
    <row r="871" spans="1:36" x14ac:dyDescent="0.3">
      <c r="A871" s="5" t="s">
        <v>905</v>
      </c>
      <c r="B871" s="6">
        <v>45566</v>
      </c>
      <c r="C871" s="7">
        <v>0.70138888888888884</v>
      </c>
      <c r="D871" s="5" t="s">
        <v>1815</v>
      </c>
      <c r="E871" s="5" t="s">
        <v>2223</v>
      </c>
      <c r="F871" s="5" t="s">
        <v>2239</v>
      </c>
      <c r="G871" s="5" t="s">
        <v>2247</v>
      </c>
      <c r="H871" s="5" t="s">
        <v>2257</v>
      </c>
      <c r="I871" s="5" t="s">
        <v>2262</v>
      </c>
      <c r="J871" s="5" t="s">
        <v>2266</v>
      </c>
      <c r="K871" s="8">
        <v>2</v>
      </c>
      <c r="L871" s="9">
        <v>105</v>
      </c>
      <c r="M871" s="10">
        <v>0.1</v>
      </c>
      <c r="N871" s="9">
        <f t="shared" si="166"/>
        <v>210</v>
      </c>
      <c r="O871" s="9">
        <f t="shared" si="156"/>
        <v>189</v>
      </c>
      <c r="P871" s="5" t="s">
        <v>2268</v>
      </c>
      <c r="Q871" s="5" t="s">
        <v>2270</v>
      </c>
      <c r="R871" s="5" t="s">
        <v>2275</v>
      </c>
      <c r="S871" s="5" t="s">
        <v>2281</v>
      </c>
      <c r="T871" s="5" t="s">
        <v>2288</v>
      </c>
      <c r="U871" s="19">
        <v>3</v>
      </c>
      <c r="V871" s="8">
        <v>317</v>
      </c>
      <c r="W871" s="8">
        <v>14</v>
      </c>
      <c r="X871" s="9">
        <v>37.24</v>
      </c>
      <c r="Y871" s="9">
        <f t="shared" si="157"/>
        <v>114.52</v>
      </c>
      <c r="Z871" s="5" t="s">
        <v>2292</v>
      </c>
      <c r="AA871" s="5" t="s">
        <v>2296</v>
      </c>
      <c r="AB871" s="9">
        <f t="shared" si="158"/>
        <v>210</v>
      </c>
      <c r="AC871" s="9">
        <f t="shared" si="159"/>
        <v>21</v>
      </c>
      <c r="AD871" s="9">
        <f t="shared" si="160"/>
        <v>189</v>
      </c>
      <c r="AE871" s="9">
        <f t="shared" si="161"/>
        <v>74.48</v>
      </c>
      <c r="AF871" s="9">
        <f t="shared" si="167"/>
        <v>114.52</v>
      </c>
      <c r="AG871" s="8">
        <f t="shared" si="162"/>
        <v>2024</v>
      </c>
      <c r="AH871" s="8">
        <f t="shared" si="163"/>
        <v>10</v>
      </c>
      <c r="AI871" s="5" t="str">
        <f t="shared" si="164"/>
        <v>Oct</v>
      </c>
      <c r="AJ871" s="5" t="str">
        <f t="shared" si="165"/>
        <v>Tuesday</v>
      </c>
    </row>
    <row r="872" spans="1:36" x14ac:dyDescent="0.3">
      <c r="A872" s="5" t="s">
        <v>906</v>
      </c>
      <c r="B872" s="6">
        <v>45366</v>
      </c>
      <c r="C872" s="7">
        <v>0.72916666666666663</v>
      </c>
      <c r="D872" s="5" t="s">
        <v>1842</v>
      </c>
      <c r="E872" s="5" t="s">
        <v>1761</v>
      </c>
      <c r="F872" s="5" t="s">
        <v>2239</v>
      </c>
      <c r="G872" s="5" t="s">
        <v>2241</v>
      </c>
      <c r="H872" s="5" t="s">
        <v>2257</v>
      </c>
      <c r="I872" s="5" t="s">
        <v>2262</v>
      </c>
      <c r="J872" s="5" t="s">
        <v>1761</v>
      </c>
      <c r="K872" s="8">
        <v>2</v>
      </c>
      <c r="L872" s="9">
        <v>130</v>
      </c>
      <c r="M872" s="10">
        <v>0</v>
      </c>
      <c r="N872" s="9">
        <f t="shared" si="166"/>
        <v>260</v>
      </c>
      <c r="O872" s="9">
        <f t="shared" si="156"/>
        <v>260</v>
      </c>
      <c r="P872" s="5" t="s">
        <v>2269</v>
      </c>
      <c r="Q872" s="5" t="s">
        <v>2271</v>
      </c>
      <c r="R872" s="5" t="s">
        <v>2277</v>
      </c>
      <c r="S872" s="5" t="s">
        <v>2282</v>
      </c>
      <c r="T872" s="5" t="s">
        <v>2288</v>
      </c>
      <c r="U872" s="8">
        <v>1</v>
      </c>
      <c r="V872" s="8">
        <v>164</v>
      </c>
      <c r="W872" s="8">
        <v>53</v>
      </c>
      <c r="X872" s="9">
        <v>68.33</v>
      </c>
      <c r="Y872" s="9">
        <f t="shared" si="157"/>
        <v>123.34</v>
      </c>
      <c r="Z872" s="5" t="s">
        <v>2293</v>
      </c>
      <c r="AA872" s="5" t="s">
        <v>2299</v>
      </c>
      <c r="AB872" s="9">
        <f t="shared" si="158"/>
        <v>260</v>
      </c>
      <c r="AC872" s="9">
        <f t="shared" si="159"/>
        <v>0</v>
      </c>
      <c r="AD872" s="9">
        <f t="shared" si="160"/>
        <v>260</v>
      </c>
      <c r="AE872" s="9">
        <f t="shared" si="161"/>
        <v>136.66</v>
      </c>
      <c r="AF872" s="9">
        <f t="shared" si="167"/>
        <v>123.34</v>
      </c>
      <c r="AG872" s="8">
        <f t="shared" si="162"/>
        <v>2024</v>
      </c>
      <c r="AH872" s="8">
        <f t="shared" si="163"/>
        <v>3</v>
      </c>
      <c r="AI872" s="5" t="str">
        <f t="shared" si="164"/>
        <v>Mar</v>
      </c>
      <c r="AJ872" s="5" t="str">
        <f t="shared" si="165"/>
        <v>Friday</v>
      </c>
    </row>
    <row r="873" spans="1:36" x14ac:dyDescent="0.3">
      <c r="A873" s="5" t="s">
        <v>907</v>
      </c>
      <c r="B873" s="6">
        <v>45325</v>
      </c>
      <c r="C873" s="7">
        <v>0.2986111111111111</v>
      </c>
      <c r="D873" s="5" t="s">
        <v>1791</v>
      </c>
      <c r="E873" s="5" t="s">
        <v>2102</v>
      </c>
      <c r="F873" s="5" t="s">
        <v>1761</v>
      </c>
      <c r="G873" s="5" t="s">
        <v>2243</v>
      </c>
      <c r="H873" s="5" t="s">
        <v>2258</v>
      </c>
      <c r="I873" s="5" t="s">
        <v>2260</v>
      </c>
      <c r="J873" s="5" t="s">
        <v>2266</v>
      </c>
      <c r="K873" s="8">
        <v>1</v>
      </c>
      <c r="L873" s="9">
        <v>70</v>
      </c>
      <c r="M873" s="10">
        <v>0</v>
      </c>
      <c r="N873" s="9">
        <f t="shared" si="166"/>
        <v>70</v>
      </c>
      <c r="O873" s="9">
        <f t="shared" si="156"/>
        <v>70</v>
      </c>
      <c r="P873" s="5" t="s">
        <v>2268</v>
      </c>
      <c r="Q873" s="5" t="s">
        <v>2270</v>
      </c>
      <c r="R873" s="5" t="s">
        <v>2276</v>
      </c>
      <c r="S873" s="5" t="s">
        <v>2287</v>
      </c>
      <c r="T873" s="5" t="s">
        <v>2290</v>
      </c>
      <c r="U873" s="8">
        <v>3</v>
      </c>
      <c r="V873" s="19">
        <v>244</v>
      </c>
      <c r="W873" s="8">
        <v>36</v>
      </c>
      <c r="X873" s="9">
        <v>30.93</v>
      </c>
      <c r="Y873" s="9">
        <f t="shared" si="157"/>
        <v>39.07</v>
      </c>
      <c r="Z873" s="5" t="s">
        <v>2292</v>
      </c>
      <c r="AA873" s="5" t="s">
        <v>2299</v>
      </c>
      <c r="AB873" s="9">
        <f t="shared" si="158"/>
        <v>70</v>
      </c>
      <c r="AC873" s="9">
        <f t="shared" si="159"/>
        <v>0</v>
      </c>
      <c r="AD873" s="9">
        <f t="shared" si="160"/>
        <v>70</v>
      </c>
      <c r="AE873" s="9">
        <f t="shared" si="161"/>
        <v>30.93</v>
      </c>
      <c r="AF873" s="9">
        <f t="shared" si="167"/>
        <v>39.07</v>
      </c>
      <c r="AG873" s="8">
        <f t="shared" si="162"/>
        <v>2024</v>
      </c>
      <c r="AH873" s="8">
        <f t="shared" si="163"/>
        <v>2</v>
      </c>
      <c r="AI873" s="5" t="str">
        <f t="shared" si="164"/>
        <v>Feb</v>
      </c>
      <c r="AJ873" s="5" t="str">
        <f t="shared" si="165"/>
        <v>Saturday</v>
      </c>
    </row>
    <row r="874" spans="1:36" x14ac:dyDescent="0.3">
      <c r="A874" s="5" t="s">
        <v>908</v>
      </c>
      <c r="B874" s="6">
        <v>45602</v>
      </c>
      <c r="C874" s="7">
        <v>0.72222222222222221</v>
      </c>
      <c r="D874" s="5" t="s">
        <v>1796</v>
      </c>
      <c r="E874" s="5" t="s">
        <v>2139</v>
      </c>
      <c r="F874" s="5" t="s">
        <v>2239</v>
      </c>
      <c r="G874" s="5" t="s">
        <v>2244</v>
      </c>
      <c r="H874" s="5" t="s">
        <v>2257</v>
      </c>
      <c r="I874" s="5" t="s">
        <v>2262</v>
      </c>
      <c r="J874" s="5" t="s">
        <v>1761</v>
      </c>
      <c r="K874" s="8">
        <v>5</v>
      </c>
      <c r="L874" s="9">
        <v>120</v>
      </c>
      <c r="M874" s="10">
        <v>0</v>
      </c>
      <c r="N874" s="9">
        <f t="shared" si="166"/>
        <v>600</v>
      </c>
      <c r="O874" s="9">
        <f t="shared" si="156"/>
        <v>600</v>
      </c>
      <c r="P874" s="5" t="s">
        <v>2267</v>
      </c>
      <c r="Q874" s="5" t="s">
        <v>1761</v>
      </c>
      <c r="R874" s="5" t="s">
        <v>2276</v>
      </c>
      <c r="S874" s="5" t="s">
        <v>2284</v>
      </c>
      <c r="T874" s="5" t="s">
        <v>2290</v>
      </c>
      <c r="U874" s="19">
        <v>3</v>
      </c>
      <c r="V874" s="8">
        <v>87</v>
      </c>
      <c r="W874" s="19">
        <v>36</v>
      </c>
      <c r="X874" s="9">
        <v>47.89</v>
      </c>
      <c r="Y874" s="9">
        <f t="shared" si="157"/>
        <v>360.55</v>
      </c>
      <c r="Z874" s="5" t="s">
        <v>2294</v>
      </c>
      <c r="AA874" s="5" t="s">
        <v>2296</v>
      </c>
      <c r="AB874" s="9">
        <f t="shared" si="158"/>
        <v>600</v>
      </c>
      <c r="AC874" s="9">
        <f t="shared" si="159"/>
        <v>0</v>
      </c>
      <c r="AD874" s="9">
        <f t="shared" si="160"/>
        <v>600</v>
      </c>
      <c r="AE874" s="9">
        <f t="shared" si="161"/>
        <v>239.45</v>
      </c>
      <c r="AF874" s="9">
        <f t="shared" si="167"/>
        <v>360.55</v>
      </c>
      <c r="AG874" s="8">
        <f t="shared" si="162"/>
        <v>2024</v>
      </c>
      <c r="AH874" s="8">
        <f t="shared" si="163"/>
        <v>11</v>
      </c>
      <c r="AI874" s="5" t="str">
        <f t="shared" si="164"/>
        <v>Nov</v>
      </c>
      <c r="AJ874" s="5" t="str">
        <f t="shared" si="165"/>
        <v>Wednesday</v>
      </c>
    </row>
    <row r="875" spans="1:36" x14ac:dyDescent="0.3">
      <c r="A875" s="5" t="s">
        <v>909</v>
      </c>
      <c r="B875" s="6">
        <v>45394</v>
      </c>
      <c r="C875" s="7">
        <v>0.77083333333333337</v>
      </c>
      <c r="D875" s="5" t="s">
        <v>1827</v>
      </c>
      <c r="E875" s="5" t="s">
        <v>2125</v>
      </c>
      <c r="F875" s="5" t="s">
        <v>2239</v>
      </c>
      <c r="G875" s="5" t="s">
        <v>2251</v>
      </c>
      <c r="H875" s="5" t="s">
        <v>2258</v>
      </c>
      <c r="I875" s="5" t="s">
        <v>2260</v>
      </c>
      <c r="J875" s="5" t="s">
        <v>2264</v>
      </c>
      <c r="K875" s="8">
        <v>2</v>
      </c>
      <c r="L875" s="9">
        <v>100</v>
      </c>
      <c r="M875" s="10">
        <v>0.1</v>
      </c>
      <c r="N875" s="9">
        <f t="shared" si="166"/>
        <v>200</v>
      </c>
      <c r="O875" s="9">
        <f t="shared" si="156"/>
        <v>180</v>
      </c>
      <c r="P875" s="5" t="s">
        <v>2268</v>
      </c>
      <c r="Q875" s="5" t="s">
        <v>2272</v>
      </c>
      <c r="R875" s="5" t="s">
        <v>2275</v>
      </c>
      <c r="S875" s="5" t="s">
        <v>2282</v>
      </c>
      <c r="T875" s="5" t="s">
        <v>2288</v>
      </c>
      <c r="U875" s="8">
        <v>3</v>
      </c>
      <c r="V875" s="8">
        <v>315</v>
      </c>
      <c r="W875" s="19">
        <v>35</v>
      </c>
      <c r="X875" s="9">
        <v>52.07</v>
      </c>
      <c r="Y875" s="9">
        <f t="shared" si="157"/>
        <v>75.86</v>
      </c>
      <c r="Z875" s="5" t="s">
        <v>2292</v>
      </c>
      <c r="AA875" s="5" t="s">
        <v>2298</v>
      </c>
      <c r="AB875" s="9">
        <f t="shared" si="158"/>
        <v>200</v>
      </c>
      <c r="AC875" s="9">
        <f t="shared" si="159"/>
        <v>20</v>
      </c>
      <c r="AD875" s="9">
        <f t="shared" si="160"/>
        <v>180</v>
      </c>
      <c r="AE875" s="9">
        <f t="shared" si="161"/>
        <v>104.14</v>
      </c>
      <c r="AF875" s="9">
        <f t="shared" si="167"/>
        <v>75.86</v>
      </c>
      <c r="AG875" s="8">
        <f t="shared" si="162"/>
        <v>2024</v>
      </c>
      <c r="AH875" s="8">
        <f t="shared" si="163"/>
        <v>4</v>
      </c>
      <c r="AI875" s="5" t="str">
        <f t="shared" si="164"/>
        <v>Apr</v>
      </c>
      <c r="AJ875" s="5" t="str">
        <f t="shared" si="165"/>
        <v>Friday</v>
      </c>
    </row>
    <row r="876" spans="1:36" x14ac:dyDescent="0.3">
      <c r="A876" s="5" t="s">
        <v>910</v>
      </c>
      <c r="B876" s="6">
        <v>45377</v>
      </c>
      <c r="C876" s="7">
        <v>0.88194444444444442</v>
      </c>
      <c r="D876" s="5" t="s">
        <v>1830</v>
      </c>
      <c r="E876" s="5" t="s">
        <v>2139</v>
      </c>
      <c r="F876" s="5" t="s">
        <v>2239</v>
      </c>
      <c r="G876" s="5" t="s">
        <v>2256</v>
      </c>
      <c r="H876" s="5" t="s">
        <v>2261</v>
      </c>
      <c r="I876" s="5" t="s">
        <v>2260</v>
      </c>
      <c r="J876" s="5" t="s">
        <v>1761</v>
      </c>
      <c r="K876" s="8">
        <v>3</v>
      </c>
      <c r="L876" s="9">
        <v>190</v>
      </c>
      <c r="M876" s="10">
        <v>0.1</v>
      </c>
      <c r="N876" s="9">
        <f t="shared" si="166"/>
        <v>570</v>
      </c>
      <c r="O876" s="9">
        <f t="shared" si="156"/>
        <v>513</v>
      </c>
      <c r="P876" s="5" t="s">
        <v>1761</v>
      </c>
      <c r="Q876" s="5" t="s">
        <v>2272</v>
      </c>
      <c r="R876" s="5" t="s">
        <v>2279</v>
      </c>
      <c r="S876" s="5" t="s">
        <v>2287</v>
      </c>
      <c r="T876" s="5" t="s">
        <v>2290</v>
      </c>
      <c r="U876" s="8">
        <v>2</v>
      </c>
      <c r="V876" s="8">
        <v>437</v>
      </c>
      <c r="W876" s="8">
        <v>53</v>
      </c>
      <c r="X876" s="9">
        <v>76.52</v>
      </c>
      <c r="Y876" s="9">
        <f t="shared" si="157"/>
        <v>283.44</v>
      </c>
      <c r="Z876" s="5" t="s">
        <v>1761</v>
      </c>
      <c r="AA876" s="5" t="s">
        <v>1761</v>
      </c>
      <c r="AB876" s="9">
        <f t="shared" si="158"/>
        <v>570</v>
      </c>
      <c r="AC876" s="9">
        <f t="shared" si="159"/>
        <v>57</v>
      </c>
      <c r="AD876" s="9">
        <f t="shared" si="160"/>
        <v>513</v>
      </c>
      <c r="AE876" s="9">
        <f t="shared" si="161"/>
        <v>229.56</v>
      </c>
      <c r="AF876" s="9">
        <f t="shared" si="167"/>
        <v>283.44</v>
      </c>
      <c r="AG876" s="8">
        <f t="shared" si="162"/>
        <v>2024</v>
      </c>
      <c r="AH876" s="8">
        <f t="shared" si="163"/>
        <v>3</v>
      </c>
      <c r="AI876" s="5" t="str">
        <f t="shared" si="164"/>
        <v>Mar</v>
      </c>
      <c r="AJ876" s="5" t="str">
        <f t="shared" si="165"/>
        <v>Tuesday</v>
      </c>
    </row>
    <row r="877" spans="1:36" x14ac:dyDescent="0.3">
      <c r="A877" s="5" t="s">
        <v>911</v>
      </c>
      <c r="B877" s="6">
        <v>45482</v>
      </c>
      <c r="C877" s="7">
        <v>0.33333333333333331</v>
      </c>
      <c r="D877" s="5" t="s">
        <v>1817</v>
      </c>
      <c r="E877" s="5" t="s">
        <v>2202</v>
      </c>
      <c r="F877" s="5" t="s">
        <v>2238</v>
      </c>
      <c r="G877" s="5" t="s">
        <v>2248</v>
      </c>
      <c r="H877" s="5" t="s">
        <v>2257</v>
      </c>
      <c r="I877" s="5" t="s">
        <v>2262</v>
      </c>
      <c r="J877" s="5" t="s">
        <v>2265</v>
      </c>
      <c r="K877" s="8">
        <v>2</v>
      </c>
      <c r="L877" s="9">
        <v>150</v>
      </c>
      <c r="M877" s="10">
        <v>0</v>
      </c>
      <c r="N877" s="9">
        <f t="shared" si="166"/>
        <v>300</v>
      </c>
      <c r="O877" s="9">
        <f t="shared" si="156"/>
        <v>300</v>
      </c>
      <c r="P877" s="5" t="s">
        <v>2267</v>
      </c>
      <c r="Q877" s="5" t="s">
        <v>2270</v>
      </c>
      <c r="R877" s="5" t="s">
        <v>2278</v>
      </c>
      <c r="S877" s="5" t="s">
        <v>2284</v>
      </c>
      <c r="T877" s="5" t="s">
        <v>2290</v>
      </c>
      <c r="U877" s="8">
        <v>1</v>
      </c>
      <c r="V877" s="8">
        <v>482</v>
      </c>
      <c r="W877" s="8">
        <v>11</v>
      </c>
      <c r="X877" s="9">
        <v>51.33</v>
      </c>
      <c r="Y877" s="9">
        <f t="shared" si="157"/>
        <v>197.34</v>
      </c>
      <c r="Z877" s="5" t="s">
        <v>2294</v>
      </c>
      <c r="AA877" s="5" t="s">
        <v>1761</v>
      </c>
      <c r="AB877" s="9">
        <f t="shared" si="158"/>
        <v>300</v>
      </c>
      <c r="AC877" s="9">
        <f t="shared" si="159"/>
        <v>0</v>
      </c>
      <c r="AD877" s="9">
        <f t="shared" si="160"/>
        <v>300</v>
      </c>
      <c r="AE877" s="9">
        <f t="shared" si="161"/>
        <v>102.66</v>
      </c>
      <c r="AF877" s="9">
        <f t="shared" si="167"/>
        <v>197.34</v>
      </c>
      <c r="AG877" s="8">
        <f t="shared" si="162"/>
        <v>2024</v>
      </c>
      <c r="AH877" s="8">
        <f t="shared" si="163"/>
        <v>7</v>
      </c>
      <c r="AI877" s="5" t="str">
        <f t="shared" si="164"/>
        <v>Jul</v>
      </c>
      <c r="AJ877" s="5" t="str">
        <f t="shared" si="165"/>
        <v>Tuesday</v>
      </c>
    </row>
    <row r="878" spans="1:36" x14ac:dyDescent="0.3">
      <c r="A878" s="5" t="s">
        <v>912</v>
      </c>
      <c r="B878" s="6">
        <v>45638</v>
      </c>
      <c r="C878" s="7">
        <v>0.60416666666666663</v>
      </c>
      <c r="D878" s="5" t="s">
        <v>1812</v>
      </c>
      <c r="E878" s="5" t="s">
        <v>2214</v>
      </c>
      <c r="F878" s="5" t="s">
        <v>2239</v>
      </c>
      <c r="G878" s="5" t="s">
        <v>2245</v>
      </c>
      <c r="H878" s="5" t="s">
        <v>2257</v>
      </c>
      <c r="I878" s="5" t="s">
        <v>2263</v>
      </c>
      <c r="J878" s="5" t="s">
        <v>2264</v>
      </c>
      <c r="K878" s="8">
        <v>3</v>
      </c>
      <c r="L878" s="9">
        <v>150</v>
      </c>
      <c r="M878" s="10">
        <v>0</v>
      </c>
      <c r="N878" s="9">
        <f t="shared" si="166"/>
        <v>450</v>
      </c>
      <c r="O878" s="9">
        <f t="shared" si="156"/>
        <v>450</v>
      </c>
      <c r="P878" s="5" t="s">
        <v>2268</v>
      </c>
      <c r="Q878" s="5" t="s">
        <v>1761</v>
      </c>
      <c r="R878" s="5" t="s">
        <v>2277</v>
      </c>
      <c r="S878" s="5" t="s">
        <v>2280</v>
      </c>
      <c r="T878" s="5" t="s">
        <v>2290</v>
      </c>
      <c r="U878" s="8">
        <v>5</v>
      </c>
      <c r="V878" s="8">
        <v>263</v>
      </c>
      <c r="W878" s="8">
        <v>40</v>
      </c>
      <c r="X878" s="9">
        <v>65.489999999999995</v>
      </c>
      <c r="Y878" s="9">
        <f t="shared" si="157"/>
        <v>253.53000000000003</v>
      </c>
      <c r="Z878" s="5" t="s">
        <v>1761</v>
      </c>
      <c r="AA878" s="5" t="s">
        <v>2298</v>
      </c>
      <c r="AB878" s="9">
        <f t="shared" si="158"/>
        <v>450</v>
      </c>
      <c r="AC878" s="9">
        <f t="shared" si="159"/>
        <v>0</v>
      </c>
      <c r="AD878" s="9">
        <f t="shared" si="160"/>
        <v>450</v>
      </c>
      <c r="AE878" s="9">
        <f t="shared" si="161"/>
        <v>196.46999999999997</v>
      </c>
      <c r="AF878" s="9">
        <f t="shared" si="167"/>
        <v>253.53000000000003</v>
      </c>
      <c r="AG878" s="8">
        <f t="shared" si="162"/>
        <v>2024</v>
      </c>
      <c r="AH878" s="8">
        <f t="shared" si="163"/>
        <v>12</v>
      </c>
      <c r="AI878" s="5" t="str">
        <f t="shared" si="164"/>
        <v>Dec</v>
      </c>
      <c r="AJ878" s="5" t="str">
        <f t="shared" si="165"/>
        <v>Thursday</v>
      </c>
    </row>
    <row r="879" spans="1:36" x14ac:dyDescent="0.3">
      <c r="A879" s="5" t="s">
        <v>913</v>
      </c>
      <c r="B879" s="6">
        <v>45526</v>
      </c>
      <c r="C879" s="7">
        <v>0.69791666666666663</v>
      </c>
      <c r="D879" s="5" t="s">
        <v>1780</v>
      </c>
      <c r="E879" s="5" t="s">
        <v>1761</v>
      </c>
      <c r="F879" s="5" t="s">
        <v>2240</v>
      </c>
      <c r="G879" s="5" t="s">
        <v>2247</v>
      </c>
      <c r="H879" s="5" t="s">
        <v>2257</v>
      </c>
      <c r="I879" s="5" t="s">
        <v>2262</v>
      </c>
      <c r="J879" s="5" t="s">
        <v>2265</v>
      </c>
      <c r="K879" s="8">
        <v>1</v>
      </c>
      <c r="L879" s="9">
        <v>95</v>
      </c>
      <c r="M879" s="10">
        <v>0.1</v>
      </c>
      <c r="N879" s="9">
        <f t="shared" si="166"/>
        <v>95</v>
      </c>
      <c r="O879" s="9">
        <f t="shared" si="156"/>
        <v>85.5</v>
      </c>
      <c r="P879" s="5" t="s">
        <v>2269</v>
      </c>
      <c r="Q879" s="5" t="s">
        <v>2271</v>
      </c>
      <c r="R879" s="5" t="s">
        <v>2279</v>
      </c>
      <c r="S879" s="5" t="s">
        <v>2284</v>
      </c>
      <c r="T879" s="5" t="s">
        <v>2290</v>
      </c>
      <c r="U879" s="8">
        <v>3</v>
      </c>
      <c r="V879" s="8">
        <v>407</v>
      </c>
      <c r="W879" s="19">
        <v>37</v>
      </c>
      <c r="X879" s="9">
        <v>39.24</v>
      </c>
      <c r="Y879" s="9">
        <f t="shared" si="157"/>
        <v>46.26</v>
      </c>
      <c r="Z879" s="5" t="s">
        <v>2294</v>
      </c>
      <c r="AA879" s="5" t="s">
        <v>2296</v>
      </c>
      <c r="AB879" s="9">
        <f t="shared" si="158"/>
        <v>95</v>
      </c>
      <c r="AC879" s="9">
        <f t="shared" si="159"/>
        <v>9.5</v>
      </c>
      <c r="AD879" s="9">
        <f t="shared" si="160"/>
        <v>85.5</v>
      </c>
      <c r="AE879" s="9">
        <f t="shared" si="161"/>
        <v>39.24</v>
      </c>
      <c r="AF879" s="9">
        <f t="shared" si="167"/>
        <v>46.26</v>
      </c>
      <c r="AG879" s="8">
        <f t="shared" si="162"/>
        <v>2024</v>
      </c>
      <c r="AH879" s="8">
        <f t="shared" si="163"/>
        <v>8</v>
      </c>
      <c r="AI879" s="5" t="str">
        <f t="shared" si="164"/>
        <v>Aug</v>
      </c>
      <c r="AJ879" s="5" t="str">
        <f t="shared" si="165"/>
        <v>Thursday</v>
      </c>
    </row>
    <row r="880" spans="1:36" x14ac:dyDescent="0.3">
      <c r="A880" s="5" t="s">
        <v>914</v>
      </c>
      <c r="B880" s="6">
        <v>45596</v>
      </c>
      <c r="C880" s="7">
        <v>0.88194444444444442</v>
      </c>
      <c r="D880" s="5" t="s">
        <v>1744</v>
      </c>
      <c r="E880" s="5" t="s">
        <v>2093</v>
      </c>
      <c r="F880" s="5" t="s">
        <v>2240</v>
      </c>
      <c r="G880" s="5" t="s">
        <v>2252</v>
      </c>
      <c r="H880" s="5" t="s">
        <v>2257</v>
      </c>
      <c r="I880" s="5" t="s">
        <v>2262</v>
      </c>
      <c r="J880" s="5" t="s">
        <v>2265</v>
      </c>
      <c r="K880" s="8">
        <v>1</v>
      </c>
      <c r="L880" s="9">
        <v>95</v>
      </c>
      <c r="M880" s="10">
        <v>0.05</v>
      </c>
      <c r="N880" s="9">
        <f t="shared" si="166"/>
        <v>95</v>
      </c>
      <c r="O880" s="9">
        <f t="shared" si="156"/>
        <v>90.25</v>
      </c>
      <c r="P880" s="5" t="s">
        <v>2268</v>
      </c>
      <c r="Q880" s="5" t="s">
        <v>2271</v>
      </c>
      <c r="R880" s="5" t="s">
        <v>2273</v>
      </c>
      <c r="S880" s="5" t="s">
        <v>2281</v>
      </c>
      <c r="T880" s="5" t="s">
        <v>2288</v>
      </c>
      <c r="U880" s="8">
        <v>5</v>
      </c>
      <c r="V880" s="19">
        <v>244</v>
      </c>
      <c r="W880" s="19">
        <v>37</v>
      </c>
      <c r="X880" s="9">
        <v>31.55</v>
      </c>
      <c r="Y880" s="9">
        <f t="shared" si="157"/>
        <v>58.7</v>
      </c>
      <c r="Z880" s="5" t="s">
        <v>2294</v>
      </c>
      <c r="AA880" s="5" t="s">
        <v>2296</v>
      </c>
      <c r="AB880" s="9">
        <f t="shared" si="158"/>
        <v>95</v>
      </c>
      <c r="AC880" s="9">
        <f t="shared" si="159"/>
        <v>4.75</v>
      </c>
      <c r="AD880" s="9">
        <f t="shared" si="160"/>
        <v>90.25</v>
      </c>
      <c r="AE880" s="9">
        <f t="shared" si="161"/>
        <v>31.55</v>
      </c>
      <c r="AF880" s="9">
        <f t="shared" si="167"/>
        <v>58.7</v>
      </c>
      <c r="AG880" s="8">
        <f t="shared" si="162"/>
        <v>2024</v>
      </c>
      <c r="AH880" s="8">
        <f t="shared" si="163"/>
        <v>10</v>
      </c>
      <c r="AI880" s="5" t="str">
        <f t="shared" si="164"/>
        <v>Oct</v>
      </c>
      <c r="AJ880" s="5" t="str">
        <f t="shared" si="165"/>
        <v>Thursday</v>
      </c>
    </row>
    <row r="881" spans="1:36" x14ac:dyDescent="0.3">
      <c r="A881" s="5" t="s">
        <v>915</v>
      </c>
      <c r="B881" s="6">
        <v>45388</v>
      </c>
      <c r="C881" s="7">
        <v>0.36458333333333331</v>
      </c>
      <c r="D881" s="5" t="s">
        <v>1798</v>
      </c>
      <c r="E881" s="5" t="s">
        <v>2089</v>
      </c>
      <c r="F881" s="5" t="s">
        <v>2240</v>
      </c>
      <c r="G881" s="5" t="s">
        <v>2252</v>
      </c>
      <c r="H881" s="5" t="s">
        <v>2257</v>
      </c>
      <c r="I881" s="5" t="s">
        <v>2262</v>
      </c>
      <c r="J881" s="5" t="s">
        <v>1761</v>
      </c>
      <c r="K881" s="8">
        <v>2</v>
      </c>
      <c r="L881" s="9">
        <v>85</v>
      </c>
      <c r="M881" s="10">
        <v>0.05</v>
      </c>
      <c r="N881" s="9">
        <f t="shared" si="166"/>
        <v>170</v>
      </c>
      <c r="O881" s="9">
        <f t="shared" si="156"/>
        <v>161.5</v>
      </c>
      <c r="P881" s="5" t="s">
        <v>2267</v>
      </c>
      <c r="Q881" s="5" t="s">
        <v>2271</v>
      </c>
      <c r="R881" s="5" t="s">
        <v>2278</v>
      </c>
      <c r="S881" s="5" t="s">
        <v>2286</v>
      </c>
      <c r="T881" s="5" t="s">
        <v>2288</v>
      </c>
      <c r="U881" s="8">
        <v>5</v>
      </c>
      <c r="V881" s="8">
        <v>173</v>
      </c>
      <c r="W881" s="8">
        <v>35</v>
      </c>
      <c r="X881" s="9">
        <v>45.05</v>
      </c>
      <c r="Y881" s="9">
        <f t="shared" si="157"/>
        <v>71.400000000000006</v>
      </c>
      <c r="Z881" s="5" t="s">
        <v>1761</v>
      </c>
      <c r="AA881" s="5" t="s">
        <v>1761</v>
      </c>
      <c r="AB881" s="9">
        <f t="shared" si="158"/>
        <v>170</v>
      </c>
      <c r="AC881" s="9">
        <f t="shared" si="159"/>
        <v>8.5</v>
      </c>
      <c r="AD881" s="9">
        <f t="shared" si="160"/>
        <v>161.5</v>
      </c>
      <c r="AE881" s="9">
        <f t="shared" si="161"/>
        <v>90.1</v>
      </c>
      <c r="AF881" s="9">
        <f t="shared" si="167"/>
        <v>71.400000000000006</v>
      </c>
      <c r="AG881" s="8">
        <f t="shared" si="162"/>
        <v>2024</v>
      </c>
      <c r="AH881" s="8">
        <f t="shared" si="163"/>
        <v>4</v>
      </c>
      <c r="AI881" s="5" t="str">
        <f t="shared" si="164"/>
        <v>Apr</v>
      </c>
      <c r="AJ881" s="5" t="str">
        <f t="shared" si="165"/>
        <v>Saturday</v>
      </c>
    </row>
    <row r="882" spans="1:36" x14ac:dyDescent="0.3">
      <c r="A882" s="5" t="s">
        <v>916</v>
      </c>
      <c r="B882" s="6">
        <v>45613</v>
      </c>
      <c r="C882" s="7">
        <v>0.53472222222222221</v>
      </c>
      <c r="D882" s="5" t="s">
        <v>1922</v>
      </c>
      <c r="E882" s="5" t="s">
        <v>2200</v>
      </c>
      <c r="F882" s="5" t="s">
        <v>2239</v>
      </c>
      <c r="G882" s="5" t="s">
        <v>2251</v>
      </c>
      <c r="H882" s="5" t="s">
        <v>2258</v>
      </c>
      <c r="I882" s="5" t="s">
        <v>2260</v>
      </c>
      <c r="J882" s="5" t="s">
        <v>2264</v>
      </c>
      <c r="K882" s="8">
        <v>1</v>
      </c>
      <c r="L882" s="9">
        <v>110</v>
      </c>
      <c r="M882" s="10">
        <v>0</v>
      </c>
      <c r="N882" s="9">
        <f t="shared" si="166"/>
        <v>110</v>
      </c>
      <c r="O882" s="9">
        <f t="shared" si="156"/>
        <v>110</v>
      </c>
      <c r="P882" s="5" t="s">
        <v>2267</v>
      </c>
      <c r="Q882" s="5" t="s">
        <v>2272</v>
      </c>
      <c r="R882" s="5" t="s">
        <v>2279</v>
      </c>
      <c r="S882" s="5" t="s">
        <v>2287</v>
      </c>
      <c r="T882" s="5" t="s">
        <v>2288</v>
      </c>
      <c r="U882" s="8">
        <v>5</v>
      </c>
      <c r="V882" s="8">
        <v>187</v>
      </c>
      <c r="W882" s="8">
        <v>27</v>
      </c>
      <c r="X882" s="9">
        <v>40.549999999999997</v>
      </c>
      <c r="Y882" s="9">
        <f t="shared" si="157"/>
        <v>69.45</v>
      </c>
      <c r="Z882" s="5" t="s">
        <v>2291</v>
      </c>
      <c r="AA882" s="5" t="s">
        <v>2297</v>
      </c>
      <c r="AB882" s="9">
        <f t="shared" si="158"/>
        <v>110</v>
      </c>
      <c r="AC882" s="9">
        <f t="shared" si="159"/>
        <v>0</v>
      </c>
      <c r="AD882" s="9">
        <f t="shared" si="160"/>
        <v>110</v>
      </c>
      <c r="AE882" s="9">
        <f t="shared" si="161"/>
        <v>40.549999999999997</v>
      </c>
      <c r="AF882" s="9">
        <f t="shared" si="167"/>
        <v>69.45</v>
      </c>
      <c r="AG882" s="8">
        <f t="shared" si="162"/>
        <v>2024</v>
      </c>
      <c r="AH882" s="8">
        <f t="shared" si="163"/>
        <v>11</v>
      </c>
      <c r="AI882" s="5" t="str">
        <f t="shared" si="164"/>
        <v>Nov</v>
      </c>
      <c r="AJ882" s="5" t="str">
        <f t="shared" si="165"/>
        <v>Sunday</v>
      </c>
    </row>
    <row r="883" spans="1:36" x14ac:dyDescent="0.3">
      <c r="A883" s="5" t="s">
        <v>917</v>
      </c>
      <c r="B883" s="6">
        <v>45583</v>
      </c>
      <c r="C883" s="7">
        <v>0.86458333333333337</v>
      </c>
      <c r="D883" s="5" t="s">
        <v>1809</v>
      </c>
      <c r="E883" s="5" t="s">
        <v>2099</v>
      </c>
      <c r="F883" s="5" t="s">
        <v>2240</v>
      </c>
      <c r="G883" s="5" t="s">
        <v>2243</v>
      </c>
      <c r="H883" s="5" t="s">
        <v>2258</v>
      </c>
      <c r="I883" s="5" t="s">
        <v>2260</v>
      </c>
      <c r="J883" s="5" t="s">
        <v>2265</v>
      </c>
      <c r="K883" s="8">
        <v>4</v>
      </c>
      <c r="L883" s="9">
        <v>75</v>
      </c>
      <c r="M883" s="10">
        <v>0.1</v>
      </c>
      <c r="N883" s="9">
        <f t="shared" si="166"/>
        <v>300</v>
      </c>
      <c r="O883" s="9">
        <f t="shared" si="156"/>
        <v>270</v>
      </c>
      <c r="P883" s="5" t="s">
        <v>2267</v>
      </c>
      <c r="Q883" s="5" t="s">
        <v>2270</v>
      </c>
      <c r="R883" s="5" t="s">
        <v>2279</v>
      </c>
      <c r="S883" s="5" t="s">
        <v>2280</v>
      </c>
      <c r="T883" s="5" t="s">
        <v>2290</v>
      </c>
      <c r="U883" s="8">
        <v>2</v>
      </c>
      <c r="V883" s="8">
        <v>76</v>
      </c>
      <c r="W883" s="19">
        <v>34</v>
      </c>
      <c r="X883" s="9">
        <v>26.75</v>
      </c>
      <c r="Y883" s="9">
        <f t="shared" si="157"/>
        <v>163</v>
      </c>
      <c r="Z883" s="5" t="s">
        <v>1761</v>
      </c>
      <c r="AA883" s="5" t="s">
        <v>2299</v>
      </c>
      <c r="AB883" s="9">
        <f t="shared" si="158"/>
        <v>300</v>
      </c>
      <c r="AC883" s="9">
        <f t="shared" si="159"/>
        <v>30</v>
      </c>
      <c r="AD883" s="9">
        <f t="shared" si="160"/>
        <v>270</v>
      </c>
      <c r="AE883" s="9">
        <f t="shared" si="161"/>
        <v>107</v>
      </c>
      <c r="AF883" s="9">
        <f t="shared" si="167"/>
        <v>163</v>
      </c>
      <c r="AG883" s="8">
        <f t="shared" si="162"/>
        <v>2024</v>
      </c>
      <c r="AH883" s="8">
        <f t="shared" si="163"/>
        <v>10</v>
      </c>
      <c r="AI883" s="5" t="str">
        <f t="shared" si="164"/>
        <v>Oct</v>
      </c>
      <c r="AJ883" s="5" t="str">
        <f t="shared" si="165"/>
        <v>Friday</v>
      </c>
    </row>
    <row r="884" spans="1:36" x14ac:dyDescent="0.3">
      <c r="A884" s="5" t="s">
        <v>918</v>
      </c>
      <c r="B884" s="6">
        <v>45407</v>
      </c>
      <c r="C884" s="7">
        <v>0.71527777777777779</v>
      </c>
      <c r="D884" s="5" t="s">
        <v>1934</v>
      </c>
      <c r="E884" s="5" t="s">
        <v>2210</v>
      </c>
      <c r="F884" s="5" t="s">
        <v>2238</v>
      </c>
      <c r="G884" s="5" t="s">
        <v>2242</v>
      </c>
      <c r="H884" s="5" t="s">
        <v>2258</v>
      </c>
      <c r="I884" s="5" t="s">
        <v>2260</v>
      </c>
      <c r="J884" s="5" t="s">
        <v>2266</v>
      </c>
      <c r="K884" s="8">
        <v>1</v>
      </c>
      <c r="L884" s="9">
        <v>120</v>
      </c>
      <c r="M884" s="10">
        <v>0</v>
      </c>
      <c r="N884" s="9">
        <f t="shared" si="166"/>
        <v>120</v>
      </c>
      <c r="O884" s="9">
        <f t="shared" si="156"/>
        <v>120</v>
      </c>
      <c r="P884" s="5" t="s">
        <v>2268</v>
      </c>
      <c r="Q884" s="5" t="s">
        <v>2272</v>
      </c>
      <c r="R884" s="5" t="s">
        <v>2279</v>
      </c>
      <c r="S884" s="5" t="s">
        <v>2287</v>
      </c>
      <c r="T884" s="5" t="s">
        <v>2288</v>
      </c>
      <c r="U884" s="8">
        <v>5</v>
      </c>
      <c r="V884" s="19">
        <v>244</v>
      </c>
      <c r="W884" s="8">
        <v>25</v>
      </c>
      <c r="X884" s="9">
        <v>68.849999999999994</v>
      </c>
      <c r="Y884" s="9">
        <f t="shared" si="157"/>
        <v>51.150000000000006</v>
      </c>
      <c r="Z884" s="5" t="s">
        <v>2294</v>
      </c>
      <c r="AA884" s="5" t="s">
        <v>2298</v>
      </c>
      <c r="AB884" s="9">
        <f t="shared" si="158"/>
        <v>120</v>
      </c>
      <c r="AC884" s="9">
        <f t="shared" si="159"/>
        <v>0</v>
      </c>
      <c r="AD884" s="9">
        <f t="shared" si="160"/>
        <v>120</v>
      </c>
      <c r="AE884" s="9">
        <f t="shared" si="161"/>
        <v>68.849999999999994</v>
      </c>
      <c r="AF884" s="9">
        <f t="shared" si="167"/>
        <v>51.150000000000006</v>
      </c>
      <c r="AG884" s="8">
        <f t="shared" si="162"/>
        <v>2024</v>
      </c>
      <c r="AH884" s="8">
        <f t="shared" si="163"/>
        <v>4</v>
      </c>
      <c r="AI884" s="5" t="str">
        <f t="shared" si="164"/>
        <v>Apr</v>
      </c>
      <c r="AJ884" s="5" t="str">
        <f t="shared" si="165"/>
        <v>Thursday</v>
      </c>
    </row>
    <row r="885" spans="1:36" x14ac:dyDescent="0.3">
      <c r="A885" s="5" t="s">
        <v>919</v>
      </c>
      <c r="B885" s="6">
        <v>45302</v>
      </c>
      <c r="C885" s="7">
        <v>0.55555555555555558</v>
      </c>
      <c r="D885" s="5" t="s">
        <v>1851</v>
      </c>
      <c r="E885" s="5" t="s">
        <v>2216</v>
      </c>
      <c r="F885" s="5" t="s">
        <v>2239</v>
      </c>
      <c r="G885" s="5" t="s">
        <v>2245</v>
      </c>
      <c r="H885" s="5" t="s">
        <v>2257</v>
      </c>
      <c r="I885" s="5" t="s">
        <v>2263</v>
      </c>
      <c r="J885" s="5" t="s">
        <v>2264</v>
      </c>
      <c r="K885" s="8">
        <v>2</v>
      </c>
      <c r="L885" s="9">
        <v>150</v>
      </c>
      <c r="M885" s="10">
        <v>0</v>
      </c>
      <c r="N885" s="9">
        <f t="shared" si="166"/>
        <v>300</v>
      </c>
      <c r="O885" s="9">
        <f t="shared" si="156"/>
        <v>300</v>
      </c>
      <c r="P885" s="5" t="s">
        <v>2267</v>
      </c>
      <c r="Q885" s="5" t="s">
        <v>1761</v>
      </c>
      <c r="R885" s="5" t="s">
        <v>2273</v>
      </c>
      <c r="S885" s="5" t="s">
        <v>2287</v>
      </c>
      <c r="T885" s="5" t="s">
        <v>2288</v>
      </c>
      <c r="U885" s="8">
        <v>2</v>
      </c>
      <c r="V885" s="8">
        <v>112</v>
      </c>
      <c r="W885" s="19">
        <v>36</v>
      </c>
      <c r="X885" s="9">
        <v>78.31</v>
      </c>
      <c r="Y885" s="9">
        <f t="shared" si="157"/>
        <v>143.38</v>
      </c>
      <c r="Z885" s="5" t="s">
        <v>2292</v>
      </c>
      <c r="AA885" s="5" t="s">
        <v>2298</v>
      </c>
      <c r="AB885" s="9">
        <f t="shared" si="158"/>
        <v>300</v>
      </c>
      <c r="AC885" s="9">
        <f t="shared" si="159"/>
        <v>0</v>
      </c>
      <c r="AD885" s="9">
        <f t="shared" si="160"/>
        <v>300</v>
      </c>
      <c r="AE885" s="9">
        <f t="shared" si="161"/>
        <v>156.62</v>
      </c>
      <c r="AF885" s="9">
        <f t="shared" si="167"/>
        <v>143.38</v>
      </c>
      <c r="AG885" s="8">
        <f t="shared" si="162"/>
        <v>2024</v>
      </c>
      <c r="AH885" s="8">
        <f t="shared" si="163"/>
        <v>1</v>
      </c>
      <c r="AI885" s="5" t="str">
        <f t="shared" si="164"/>
        <v>Jan</v>
      </c>
      <c r="AJ885" s="5" t="str">
        <f t="shared" si="165"/>
        <v>Thursday</v>
      </c>
    </row>
    <row r="886" spans="1:36" x14ac:dyDescent="0.3">
      <c r="A886" s="5" t="s">
        <v>920</v>
      </c>
      <c r="B886" s="6">
        <v>45488</v>
      </c>
      <c r="C886" s="7">
        <v>0.375</v>
      </c>
      <c r="D886" s="5" t="s">
        <v>1817</v>
      </c>
      <c r="E886" s="5" t="s">
        <v>1982</v>
      </c>
      <c r="F886" s="5" t="s">
        <v>2240</v>
      </c>
      <c r="G886" s="5" t="s">
        <v>2255</v>
      </c>
      <c r="H886" s="5" t="s">
        <v>2260</v>
      </c>
      <c r="I886" s="5" t="s">
        <v>2260</v>
      </c>
      <c r="J886" s="5" t="s">
        <v>2266</v>
      </c>
      <c r="K886" s="8">
        <v>2</v>
      </c>
      <c r="L886" s="9">
        <v>185</v>
      </c>
      <c r="M886" s="10">
        <v>0.05</v>
      </c>
      <c r="N886" s="9">
        <f t="shared" si="166"/>
        <v>370</v>
      </c>
      <c r="O886" s="9">
        <f t="shared" si="156"/>
        <v>351.5</v>
      </c>
      <c r="P886" s="5" t="s">
        <v>2269</v>
      </c>
      <c r="Q886" s="5" t="s">
        <v>2272</v>
      </c>
      <c r="R886" s="5" t="s">
        <v>2275</v>
      </c>
      <c r="S886" s="5" t="s">
        <v>2282</v>
      </c>
      <c r="T886" s="5" t="s">
        <v>2288</v>
      </c>
      <c r="U886" s="8">
        <v>3</v>
      </c>
      <c r="V886" s="19">
        <v>244</v>
      </c>
      <c r="W886" s="8">
        <v>53</v>
      </c>
      <c r="X886" s="9">
        <v>79.78</v>
      </c>
      <c r="Y886" s="9">
        <f t="shared" si="157"/>
        <v>191.94</v>
      </c>
      <c r="Z886" s="5" t="s">
        <v>2293</v>
      </c>
      <c r="AA886" s="5" t="s">
        <v>2297</v>
      </c>
      <c r="AB886" s="9">
        <f t="shared" si="158"/>
        <v>370</v>
      </c>
      <c r="AC886" s="9">
        <f t="shared" si="159"/>
        <v>18.5</v>
      </c>
      <c r="AD886" s="9">
        <f t="shared" si="160"/>
        <v>351.5</v>
      </c>
      <c r="AE886" s="9">
        <f t="shared" si="161"/>
        <v>159.56</v>
      </c>
      <c r="AF886" s="9">
        <f t="shared" si="167"/>
        <v>191.94</v>
      </c>
      <c r="AG886" s="8">
        <f t="shared" si="162"/>
        <v>2024</v>
      </c>
      <c r="AH886" s="8">
        <f t="shared" si="163"/>
        <v>7</v>
      </c>
      <c r="AI886" s="5" t="str">
        <f t="shared" si="164"/>
        <v>Jul</v>
      </c>
      <c r="AJ886" s="5" t="str">
        <f t="shared" si="165"/>
        <v>Monday</v>
      </c>
    </row>
    <row r="887" spans="1:36" x14ac:dyDescent="0.3">
      <c r="A887" s="5" t="s">
        <v>921</v>
      </c>
      <c r="B887" s="6">
        <v>45356</v>
      </c>
      <c r="C887" s="7">
        <v>0.43055555555555558</v>
      </c>
      <c r="D887" s="5" t="s">
        <v>1863</v>
      </c>
      <c r="E887" s="5" t="s">
        <v>1944</v>
      </c>
      <c r="F887" s="5" t="s">
        <v>2239</v>
      </c>
      <c r="G887" s="5" t="s">
        <v>2242</v>
      </c>
      <c r="H887" s="5" t="s">
        <v>2258</v>
      </c>
      <c r="I887" s="5" t="s">
        <v>2260</v>
      </c>
      <c r="J887" s="5" t="s">
        <v>2266</v>
      </c>
      <c r="K887" s="8">
        <v>1</v>
      </c>
      <c r="L887" s="9">
        <v>125</v>
      </c>
      <c r="M887" s="10">
        <v>0.05</v>
      </c>
      <c r="N887" s="9">
        <f t="shared" si="166"/>
        <v>125</v>
      </c>
      <c r="O887" s="9">
        <f t="shared" si="156"/>
        <v>118.75</v>
      </c>
      <c r="P887" s="5" t="s">
        <v>2269</v>
      </c>
      <c r="Q887" s="5" t="s">
        <v>2272</v>
      </c>
      <c r="R887" s="5" t="s">
        <v>2276</v>
      </c>
      <c r="S887" s="5" t="s">
        <v>2287</v>
      </c>
      <c r="T887" s="5" t="s">
        <v>2289</v>
      </c>
      <c r="U887" s="8">
        <v>5</v>
      </c>
      <c r="V887" s="8">
        <v>176</v>
      </c>
      <c r="W887" s="8">
        <v>34</v>
      </c>
      <c r="X887" s="9">
        <v>67.83</v>
      </c>
      <c r="Y887" s="9">
        <f t="shared" si="157"/>
        <v>50.92</v>
      </c>
      <c r="Z887" s="5" t="s">
        <v>2293</v>
      </c>
      <c r="AA887" s="5" t="s">
        <v>2297</v>
      </c>
      <c r="AB887" s="9">
        <f t="shared" si="158"/>
        <v>125</v>
      </c>
      <c r="AC887" s="9">
        <f t="shared" si="159"/>
        <v>6.25</v>
      </c>
      <c r="AD887" s="9">
        <f t="shared" si="160"/>
        <v>118.75</v>
      </c>
      <c r="AE887" s="9">
        <f t="shared" si="161"/>
        <v>67.83</v>
      </c>
      <c r="AF887" s="9">
        <f t="shared" si="167"/>
        <v>50.92</v>
      </c>
      <c r="AG887" s="8">
        <f t="shared" si="162"/>
        <v>2024</v>
      </c>
      <c r="AH887" s="8">
        <f t="shared" si="163"/>
        <v>3</v>
      </c>
      <c r="AI887" s="5" t="str">
        <f t="shared" si="164"/>
        <v>Mar</v>
      </c>
      <c r="AJ887" s="5" t="str">
        <f t="shared" si="165"/>
        <v>Tuesday</v>
      </c>
    </row>
    <row r="888" spans="1:36" x14ac:dyDescent="0.3">
      <c r="A888" s="5" t="s">
        <v>922</v>
      </c>
      <c r="B888" s="6">
        <v>45535</v>
      </c>
      <c r="C888" s="7">
        <v>0.77083333333333337</v>
      </c>
      <c r="D888" s="5" t="s">
        <v>1800</v>
      </c>
      <c r="E888" s="5" t="s">
        <v>2156</v>
      </c>
      <c r="F888" s="5" t="s">
        <v>2238</v>
      </c>
      <c r="G888" s="5" t="s">
        <v>2251</v>
      </c>
      <c r="H888" s="5" t="s">
        <v>2258</v>
      </c>
      <c r="I888" s="5" t="s">
        <v>2260</v>
      </c>
      <c r="J888" s="5" t="s">
        <v>2266</v>
      </c>
      <c r="K888" s="8">
        <v>1</v>
      </c>
      <c r="L888" s="9">
        <v>105</v>
      </c>
      <c r="M888" s="10">
        <v>0.1</v>
      </c>
      <c r="N888" s="9">
        <f t="shared" si="166"/>
        <v>105</v>
      </c>
      <c r="O888" s="9">
        <f t="shared" si="156"/>
        <v>94.5</v>
      </c>
      <c r="P888" s="5" t="s">
        <v>2269</v>
      </c>
      <c r="Q888" s="5" t="s">
        <v>2271</v>
      </c>
      <c r="R888" s="5" t="s">
        <v>2273</v>
      </c>
      <c r="S888" s="5" t="s">
        <v>2281</v>
      </c>
      <c r="T888" s="5" t="s">
        <v>2290</v>
      </c>
      <c r="U888" s="8">
        <v>1</v>
      </c>
      <c r="V888" s="8">
        <v>319</v>
      </c>
      <c r="W888" s="19">
        <v>37</v>
      </c>
      <c r="X888" s="9">
        <v>47.09</v>
      </c>
      <c r="Y888" s="9">
        <f t="shared" si="157"/>
        <v>47.41</v>
      </c>
      <c r="Z888" s="5" t="s">
        <v>2294</v>
      </c>
      <c r="AA888" s="5" t="s">
        <v>2296</v>
      </c>
      <c r="AB888" s="9">
        <f t="shared" si="158"/>
        <v>105</v>
      </c>
      <c r="AC888" s="9">
        <f t="shared" si="159"/>
        <v>10.5</v>
      </c>
      <c r="AD888" s="9">
        <f t="shared" si="160"/>
        <v>94.5</v>
      </c>
      <c r="AE888" s="9">
        <f t="shared" si="161"/>
        <v>47.09</v>
      </c>
      <c r="AF888" s="9">
        <f t="shared" si="167"/>
        <v>47.41</v>
      </c>
      <c r="AG888" s="8">
        <f t="shared" si="162"/>
        <v>2024</v>
      </c>
      <c r="AH888" s="8">
        <f t="shared" si="163"/>
        <v>8</v>
      </c>
      <c r="AI888" s="5" t="str">
        <f t="shared" si="164"/>
        <v>Aug</v>
      </c>
      <c r="AJ888" s="5" t="str">
        <f t="shared" si="165"/>
        <v>Saturday</v>
      </c>
    </row>
    <row r="889" spans="1:36" x14ac:dyDescent="0.3">
      <c r="A889" s="5" t="s">
        <v>923</v>
      </c>
      <c r="B889" s="6">
        <v>45534</v>
      </c>
      <c r="C889" s="7">
        <v>0.72916666666666663</v>
      </c>
      <c r="D889" s="5" t="s">
        <v>1845</v>
      </c>
      <c r="E889" s="5" t="s">
        <v>2010</v>
      </c>
      <c r="F889" s="5" t="s">
        <v>2239</v>
      </c>
      <c r="G889" s="5" t="s">
        <v>2252</v>
      </c>
      <c r="H889" s="5" t="s">
        <v>2257</v>
      </c>
      <c r="I889" s="5" t="s">
        <v>2262</v>
      </c>
      <c r="J889" s="5" t="s">
        <v>2265</v>
      </c>
      <c r="K889" s="8">
        <v>4</v>
      </c>
      <c r="L889" s="9">
        <v>90</v>
      </c>
      <c r="M889" s="10">
        <v>0.1</v>
      </c>
      <c r="N889" s="9">
        <f t="shared" si="166"/>
        <v>360</v>
      </c>
      <c r="O889" s="9">
        <f t="shared" si="156"/>
        <v>324</v>
      </c>
      <c r="P889" s="5" t="s">
        <v>2269</v>
      </c>
      <c r="Q889" s="5" t="s">
        <v>2272</v>
      </c>
      <c r="R889" s="5" t="s">
        <v>2274</v>
      </c>
      <c r="S889" s="5" t="s">
        <v>2286</v>
      </c>
      <c r="T889" s="5" t="s">
        <v>2288</v>
      </c>
      <c r="U889" s="8">
        <v>5</v>
      </c>
      <c r="V889" s="8">
        <v>59</v>
      </c>
      <c r="W889" s="8">
        <v>38</v>
      </c>
      <c r="X889" s="9">
        <v>33.92</v>
      </c>
      <c r="Y889" s="9">
        <f t="shared" si="157"/>
        <v>188.32</v>
      </c>
      <c r="Z889" s="5" t="s">
        <v>2291</v>
      </c>
      <c r="AA889" s="5" t="s">
        <v>2296</v>
      </c>
      <c r="AB889" s="9">
        <f t="shared" si="158"/>
        <v>360</v>
      </c>
      <c r="AC889" s="9">
        <f t="shared" si="159"/>
        <v>36</v>
      </c>
      <c r="AD889" s="9">
        <f t="shared" si="160"/>
        <v>324</v>
      </c>
      <c r="AE889" s="9">
        <f t="shared" si="161"/>
        <v>135.68</v>
      </c>
      <c r="AF889" s="9">
        <f t="shared" si="167"/>
        <v>188.32</v>
      </c>
      <c r="AG889" s="8">
        <f t="shared" si="162"/>
        <v>2024</v>
      </c>
      <c r="AH889" s="8">
        <f t="shared" si="163"/>
        <v>8</v>
      </c>
      <c r="AI889" s="5" t="str">
        <f t="shared" si="164"/>
        <v>Aug</v>
      </c>
      <c r="AJ889" s="5" t="str">
        <f t="shared" si="165"/>
        <v>Friday</v>
      </c>
    </row>
    <row r="890" spans="1:36" x14ac:dyDescent="0.3">
      <c r="A890" s="5" t="s">
        <v>924</v>
      </c>
      <c r="B890" s="6">
        <v>45574</v>
      </c>
      <c r="C890" s="7">
        <v>0.85416666666666663</v>
      </c>
      <c r="D890" s="5" t="s">
        <v>1742</v>
      </c>
      <c r="E890" s="5" t="s">
        <v>2140</v>
      </c>
      <c r="F890" s="5" t="s">
        <v>2239</v>
      </c>
      <c r="G890" s="5" t="s">
        <v>2243</v>
      </c>
      <c r="H890" s="5" t="s">
        <v>2258</v>
      </c>
      <c r="I890" s="5" t="s">
        <v>2260</v>
      </c>
      <c r="J890" s="5" t="s">
        <v>2265</v>
      </c>
      <c r="K890" s="8">
        <v>2</v>
      </c>
      <c r="L890" s="9">
        <v>75</v>
      </c>
      <c r="M890" s="10">
        <v>0.1</v>
      </c>
      <c r="N890" s="9">
        <f t="shared" si="166"/>
        <v>150</v>
      </c>
      <c r="O890" s="9">
        <f t="shared" si="156"/>
        <v>135</v>
      </c>
      <c r="P890" s="5" t="s">
        <v>2267</v>
      </c>
      <c r="Q890" s="5" t="s">
        <v>2270</v>
      </c>
      <c r="R890" s="5" t="s">
        <v>2279</v>
      </c>
      <c r="S890" s="5" t="s">
        <v>2281</v>
      </c>
      <c r="T890" s="5" t="s">
        <v>2288</v>
      </c>
      <c r="U890" s="8">
        <v>5</v>
      </c>
      <c r="V890" s="8">
        <v>61</v>
      </c>
      <c r="W890" s="8">
        <v>42</v>
      </c>
      <c r="X890" s="9">
        <v>28.09</v>
      </c>
      <c r="Y890" s="9">
        <f t="shared" si="157"/>
        <v>78.819999999999993</v>
      </c>
      <c r="Z890" s="5" t="s">
        <v>2294</v>
      </c>
      <c r="AA890" s="5" t="s">
        <v>2297</v>
      </c>
      <c r="AB890" s="9">
        <f t="shared" si="158"/>
        <v>150</v>
      </c>
      <c r="AC890" s="9">
        <f t="shared" si="159"/>
        <v>15</v>
      </c>
      <c r="AD890" s="9">
        <f t="shared" si="160"/>
        <v>135</v>
      </c>
      <c r="AE890" s="9">
        <f t="shared" si="161"/>
        <v>56.18</v>
      </c>
      <c r="AF890" s="9">
        <f t="shared" si="167"/>
        <v>78.819999999999993</v>
      </c>
      <c r="AG890" s="8">
        <f t="shared" si="162"/>
        <v>2024</v>
      </c>
      <c r="AH890" s="8">
        <f t="shared" si="163"/>
        <v>10</v>
      </c>
      <c r="AI890" s="5" t="str">
        <f t="shared" si="164"/>
        <v>Oct</v>
      </c>
      <c r="AJ890" s="5" t="str">
        <f t="shared" si="165"/>
        <v>Wednesday</v>
      </c>
    </row>
    <row r="891" spans="1:36" x14ac:dyDescent="0.3">
      <c r="A891" s="5" t="s">
        <v>925</v>
      </c>
      <c r="B891" s="6">
        <v>45405</v>
      </c>
      <c r="C891" s="7">
        <v>0.80208333333333337</v>
      </c>
      <c r="D891" s="5" t="s">
        <v>1896</v>
      </c>
      <c r="E891" s="5" t="s">
        <v>1961</v>
      </c>
      <c r="F891" s="5" t="s">
        <v>2239</v>
      </c>
      <c r="G891" s="5" t="s">
        <v>2250</v>
      </c>
      <c r="H891" s="5" t="s">
        <v>2259</v>
      </c>
      <c r="I891" s="5" t="s">
        <v>2262</v>
      </c>
      <c r="J891" s="5" t="s">
        <v>2264</v>
      </c>
      <c r="K891" s="8">
        <v>3</v>
      </c>
      <c r="L891" s="9">
        <v>85</v>
      </c>
      <c r="M891" s="10">
        <v>0.1</v>
      </c>
      <c r="N891" s="9">
        <f t="shared" si="166"/>
        <v>255</v>
      </c>
      <c r="O891" s="9">
        <f t="shared" si="156"/>
        <v>229.5</v>
      </c>
      <c r="P891" s="5" t="s">
        <v>2267</v>
      </c>
      <c r="Q891" s="5" t="s">
        <v>2270</v>
      </c>
      <c r="R891" s="5" t="s">
        <v>2279</v>
      </c>
      <c r="S891" s="5" t="s">
        <v>2285</v>
      </c>
      <c r="T891" s="5" t="s">
        <v>2288</v>
      </c>
      <c r="U891" s="8">
        <v>2</v>
      </c>
      <c r="V891" s="8">
        <v>270</v>
      </c>
      <c r="W891" s="8">
        <v>18</v>
      </c>
      <c r="X891" s="9">
        <v>29.96</v>
      </c>
      <c r="Y891" s="9">
        <f t="shared" si="157"/>
        <v>139.62</v>
      </c>
      <c r="Z891" s="5" t="s">
        <v>1761</v>
      </c>
      <c r="AA891" s="5" t="s">
        <v>2298</v>
      </c>
      <c r="AB891" s="9">
        <f t="shared" si="158"/>
        <v>255</v>
      </c>
      <c r="AC891" s="9">
        <f t="shared" si="159"/>
        <v>25.5</v>
      </c>
      <c r="AD891" s="9">
        <f t="shared" si="160"/>
        <v>229.5</v>
      </c>
      <c r="AE891" s="9">
        <f t="shared" si="161"/>
        <v>89.88</v>
      </c>
      <c r="AF891" s="9">
        <f t="shared" si="167"/>
        <v>139.62</v>
      </c>
      <c r="AG891" s="8">
        <f t="shared" si="162"/>
        <v>2024</v>
      </c>
      <c r="AH891" s="8">
        <f t="shared" si="163"/>
        <v>4</v>
      </c>
      <c r="AI891" s="5" t="str">
        <f t="shared" si="164"/>
        <v>Apr</v>
      </c>
      <c r="AJ891" s="5" t="str">
        <f t="shared" si="165"/>
        <v>Tuesday</v>
      </c>
    </row>
    <row r="892" spans="1:36" x14ac:dyDescent="0.3">
      <c r="A892" s="5" t="s">
        <v>926</v>
      </c>
      <c r="B892" s="6">
        <v>45449</v>
      </c>
      <c r="C892" s="7">
        <v>0.90972222222222221</v>
      </c>
      <c r="D892" s="5" t="s">
        <v>1892</v>
      </c>
      <c r="E892" s="5" t="s">
        <v>2129</v>
      </c>
      <c r="F892" s="5" t="s">
        <v>2239</v>
      </c>
      <c r="G892" s="5" t="s">
        <v>2255</v>
      </c>
      <c r="H892" s="5" t="s">
        <v>2260</v>
      </c>
      <c r="I892" s="5" t="s">
        <v>2260</v>
      </c>
      <c r="J892" s="5" t="s">
        <v>2265</v>
      </c>
      <c r="K892" s="8">
        <v>5</v>
      </c>
      <c r="L892" s="9">
        <v>180</v>
      </c>
      <c r="M892" s="10">
        <v>0.05</v>
      </c>
      <c r="N892" s="9">
        <f t="shared" si="166"/>
        <v>900</v>
      </c>
      <c r="O892" s="9">
        <f t="shared" si="156"/>
        <v>855</v>
      </c>
      <c r="P892" s="5" t="s">
        <v>1761</v>
      </c>
      <c r="Q892" s="5" t="s">
        <v>2272</v>
      </c>
      <c r="R892" s="5" t="s">
        <v>2274</v>
      </c>
      <c r="S892" s="5" t="s">
        <v>2284</v>
      </c>
      <c r="T892" s="5" t="s">
        <v>2288</v>
      </c>
      <c r="U892" s="8">
        <v>4</v>
      </c>
      <c r="V892" s="8">
        <v>458</v>
      </c>
      <c r="W892" s="8">
        <v>15</v>
      </c>
      <c r="X892" s="9">
        <v>84.49</v>
      </c>
      <c r="Y892" s="9">
        <f t="shared" si="157"/>
        <v>432.55</v>
      </c>
      <c r="Z892" s="5" t="s">
        <v>2293</v>
      </c>
      <c r="AA892" s="5" t="s">
        <v>2296</v>
      </c>
      <c r="AB892" s="9">
        <f t="shared" si="158"/>
        <v>900</v>
      </c>
      <c r="AC892" s="9">
        <f t="shared" si="159"/>
        <v>45</v>
      </c>
      <c r="AD892" s="9">
        <f t="shared" si="160"/>
        <v>855</v>
      </c>
      <c r="AE892" s="9">
        <f t="shared" si="161"/>
        <v>422.45</v>
      </c>
      <c r="AF892" s="9">
        <f t="shared" si="167"/>
        <v>432.55</v>
      </c>
      <c r="AG892" s="8">
        <f t="shared" si="162"/>
        <v>2024</v>
      </c>
      <c r="AH892" s="8">
        <f t="shared" si="163"/>
        <v>6</v>
      </c>
      <c r="AI892" s="5" t="str">
        <f t="shared" si="164"/>
        <v>Jun</v>
      </c>
      <c r="AJ892" s="5" t="str">
        <f t="shared" si="165"/>
        <v>Thursday</v>
      </c>
    </row>
    <row r="893" spans="1:36" x14ac:dyDescent="0.3">
      <c r="A893" s="5" t="s">
        <v>927</v>
      </c>
      <c r="B893" s="6">
        <v>45619</v>
      </c>
      <c r="C893" s="7">
        <v>0.59375</v>
      </c>
      <c r="D893" s="5" t="s">
        <v>1811</v>
      </c>
      <c r="E893" s="5" t="s">
        <v>1948</v>
      </c>
      <c r="F893" s="5" t="s">
        <v>2240</v>
      </c>
      <c r="G893" s="5" t="s">
        <v>2252</v>
      </c>
      <c r="H893" s="5" t="s">
        <v>2257</v>
      </c>
      <c r="I893" s="5" t="s">
        <v>2262</v>
      </c>
      <c r="J893" s="5" t="s">
        <v>2264</v>
      </c>
      <c r="K893" s="8">
        <v>1</v>
      </c>
      <c r="L893" s="9">
        <v>85</v>
      </c>
      <c r="M893" s="10">
        <v>0</v>
      </c>
      <c r="N893" s="9">
        <f t="shared" si="166"/>
        <v>85</v>
      </c>
      <c r="O893" s="9">
        <f t="shared" si="156"/>
        <v>85</v>
      </c>
      <c r="P893" s="5" t="s">
        <v>2269</v>
      </c>
      <c r="Q893" s="5" t="s">
        <v>1761</v>
      </c>
      <c r="R893" s="5" t="s">
        <v>2276</v>
      </c>
      <c r="S893" s="5" t="s">
        <v>2281</v>
      </c>
      <c r="T893" s="5" t="s">
        <v>2290</v>
      </c>
      <c r="U893" s="8">
        <v>4</v>
      </c>
      <c r="V893" s="8">
        <v>166</v>
      </c>
      <c r="W893" s="8">
        <v>29</v>
      </c>
      <c r="X893" s="9">
        <v>52.37</v>
      </c>
      <c r="Y893" s="9">
        <f t="shared" si="157"/>
        <v>32.630000000000003</v>
      </c>
      <c r="Z893" s="5" t="s">
        <v>2292</v>
      </c>
      <c r="AA893" s="5" t="s">
        <v>2299</v>
      </c>
      <c r="AB893" s="9">
        <f t="shared" si="158"/>
        <v>85</v>
      </c>
      <c r="AC893" s="9">
        <f t="shared" si="159"/>
        <v>0</v>
      </c>
      <c r="AD893" s="9">
        <f t="shared" si="160"/>
        <v>85</v>
      </c>
      <c r="AE893" s="9">
        <f t="shared" si="161"/>
        <v>52.37</v>
      </c>
      <c r="AF893" s="9">
        <f t="shared" si="167"/>
        <v>32.630000000000003</v>
      </c>
      <c r="AG893" s="8">
        <f t="shared" si="162"/>
        <v>2024</v>
      </c>
      <c r="AH893" s="8">
        <f t="shared" si="163"/>
        <v>11</v>
      </c>
      <c r="AI893" s="5" t="str">
        <f t="shared" si="164"/>
        <v>Nov</v>
      </c>
      <c r="AJ893" s="5" t="str">
        <f t="shared" si="165"/>
        <v>Saturday</v>
      </c>
    </row>
    <row r="894" spans="1:36" x14ac:dyDescent="0.3">
      <c r="A894" s="5" t="s">
        <v>928</v>
      </c>
      <c r="B894" s="6">
        <v>45332</v>
      </c>
      <c r="C894" s="7">
        <v>0.53125</v>
      </c>
      <c r="D894" s="5" t="s">
        <v>1745</v>
      </c>
      <c r="E894" s="5" t="s">
        <v>2163</v>
      </c>
      <c r="F894" s="5" t="s">
        <v>2239</v>
      </c>
      <c r="G894" s="5" t="s">
        <v>2256</v>
      </c>
      <c r="H894" s="5" t="s">
        <v>2261</v>
      </c>
      <c r="I894" s="5" t="s">
        <v>2260</v>
      </c>
      <c r="J894" s="5" t="s">
        <v>2266</v>
      </c>
      <c r="K894" s="8">
        <v>2</v>
      </c>
      <c r="L894" s="9">
        <v>190</v>
      </c>
      <c r="M894" s="10">
        <v>0.15</v>
      </c>
      <c r="N894" s="9">
        <f t="shared" si="166"/>
        <v>380</v>
      </c>
      <c r="O894" s="9">
        <f t="shared" si="156"/>
        <v>323</v>
      </c>
      <c r="P894" s="5" t="s">
        <v>2269</v>
      </c>
      <c r="Q894" s="5" t="s">
        <v>2270</v>
      </c>
      <c r="R894" s="5" t="s">
        <v>2275</v>
      </c>
      <c r="S894" s="5" t="s">
        <v>2287</v>
      </c>
      <c r="T894" s="5" t="s">
        <v>2290</v>
      </c>
      <c r="U894" s="8">
        <v>3</v>
      </c>
      <c r="V894" s="8">
        <v>379</v>
      </c>
      <c r="W894" s="8">
        <v>39</v>
      </c>
      <c r="X894" s="9">
        <v>67.25</v>
      </c>
      <c r="Y894" s="9">
        <f t="shared" si="157"/>
        <v>188.5</v>
      </c>
      <c r="Z894" s="5" t="s">
        <v>2292</v>
      </c>
      <c r="AA894" s="5" t="s">
        <v>2298</v>
      </c>
      <c r="AB894" s="9">
        <f t="shared" si="158"/>
        <v>380</v>
      </c>
      <c r="AC894" s="9">
        <f t="shared" si="159"/>
        <v>57</v>
      </c>
      <c r="AD894" s="9">
        <f t="shared" si="160"/>
        <v>323</v>
      </c>
      <c r="AE894" s="9">
        <f t="shared" si="161"/>
        <v>134.5</v>
      </c>
      <c r="AF894" s="9">
        <f t="shared" si="167"/>
        <v>188.5</v>
      </c>
      <c r="AG894" s="8">
        <f t="shared" si="162"/>
        <v>2024</v>
      </c>
      <c r="AH894" s="8">
        <f t="shared" si="163"/>
        <v>2</v>
      </c>
      <c r="AI894" s="5" t="str">
        <f t="shared" si="164"/>
        <v>Feb</v>
      </c>
      <c r="AJ894" s="5" t="str">
        <f t="shared" si="165"/>
        <v>Saturday</v>
      </c>
    </row>
    <row r="895" spans="1:36" x14ac:dyDescent="0.3">
      <c r="A895" s="5" t="s">
        <v>929</v>
      </c>
      <c r="B895" s="6">
        <v>45361</v>
      </c>
      <c r="C895" s="7">
        <v>0.34375</v>
      </c>
      <c r="D895" s="5" t="s">
        <v>1907</v>
      </c>
      <c r="E895" s="5" t="s">
        <v>2215</v>
      </c>
      <c r="F895" s="5" t="s">
        <v>2239</v>
      </c>
      <c r="G895" s="5" t="s">
        <v>2248</v>
      </c>
      <c r="H895" s="5" t="s">
        <v>2257</v>
      </c>
      <c r="I895" s="5" t="s">
        <v>2262</v>
      </c>
      <c r="J895" s="5" t="s">
        <v>2264</v>
      </c>
      <c r="K895" s="8">
        <v>2</v>
      </c>
      <c r="L895" s="9">
        <v>150</v>
      </c>
      <c r="M895" s="10">
        <v>0.15</v>
      </c>
      <c r="N895" s="9">
        <f t="shared" si="166"/>
        <v>300</v>
      </c>
      <c r="O895" s="9">
        <f t="shared" si="156"/>
        <v>255</v>
      </c>
      <c r="P895" s="5" t="s">
        <v>2269</v>
      </c>
      <c r="Q895" s="5" t="s">
        <v>2271</v>
      </c>
      <c r="R895" s="5" t="s">
        <v>2279</v>
      </c>
      <c r="S895" s="5" t="s">
        <v>2284</v>
      </c>
      <c r="T895" s="5" t="s">
        <v>2289</v>
      </c>
      <c r="U895" s="8">
        <v>1</v>
      </c>
      <c r="V895" s="8">
        <v>10</v>
      </c>
      <c r="W895" s="8">
        <v>51</v>
      </c>
      <c r="X895" s="9">
        <v>86.7</v>
      </c>
      <c r="Y895" s="9">
        <f t="shared" si="157"/>
        <v>81.599999999999994</v>
      </c>
      <c r="Z895" s="5" t="s">
        <v>2292</v>
      </c>
      <c r="AA895" s="5" t="s">
        <v>2296</v>
      </c>
      <c r="AB895" s="9">
        <f t="shared" si="158"/>
        <v>300</v>
      </c>
      <c r="AC895" s="9">
        <f t="shared" si="159"/>
        <v>45</v>
      </c>
      <c r="AD895" s="9">
        <f t="shared" si="160"/>
        <v>255</v>
      </c>
      <c r="AE895" s="9">
        <f t="shared" si="161"/>
        <v>173.4</v>
      </c>
      <c r="AF895" s="9">
        <f t="shared" si="167"/>
        <v>81.599999999999994</v>
      </c>
      <c r="AG895" s="8">
        <f t="shared" si="162"/>
        <v>2024</v>
      </c>
      <c r="AH895" s="8">
        <f t="shared" si="163"/>
        <v>3</v>
      </c>
      <c r="AI895" s="5" t="str">
        <f t="shared" si="164"/>
        <v>Mar</v>
      </c>
      <c r="AJ895" s="5" t="str">
        <f t="shared" si="165"/>
        <v>Sunday</v>
      </c>
    </row>
    <row r="896" spans="1:36" x14ac:dyDescent="0.3">
      <c r="A896" s="5" t="s">
        <v>930</v>
      </c>
      <c r="B896" s="6">
        <v>45322</v>
      </c>
      <c r="C896" s="7">
        <v>0.71875</v>
      </c>
      <c r="D896" s="5" t="s">
        <v>1747</v>
      </c>
      <c r="E896" s="5" t="s">
        <v>2063</v>
      </c>
      <c r="F896" s="5" t="s">
        <v>2240</v>
      </c>
      <c r="G896" s="5" t="s">
        <v>2250</v>
      </c>
      <c r="H896" s="5" t="s">
        <v>2259</v>
      </c>
      <c r="I896" s="5" t="s">
        <v>2262</v>
      </c>
      <c r="J896" s="5" t="s">
        <v>2264</v>
      </c>
      <c r="K896" s="8">
        <v>1</v>
      </c>
      <c r="L896" s="9">
        <v>80</v>
      </c>
      <c r="M896" s="10">
        <v>0</v>
      </c>
      <c r="N896" s="9">
        <f t="shared" si="166"/>
        <v>80</v>
      </c>
      <c r="O896" s="9">
        <f t="shared" si="156"/>
        <v>80</v>
      </c>
      <c r="P896" s="5" t="s">
        <v>2267</v>
      </c>
      <c r="Q896" s="5" t="s">
        <v>1761</v>
      </c>
      <c r="R896" s="5" t="s">
        <v>2274</v>
      </c>
      <c r="S896" s="5" t="s">
        <v>2281</v>
      </c>
      <c r="T896" s="5" t="s">
        <v>2288</v>
      </c>
      <c r="U896" s="8">
        <v>2</v>
      </c>
      <c r="V896" s="8">
        <v>82</v>
      </c>
      <c r="W896" s="8">
        <v>16</v>
      </c>
      <c r="X896" s="9">
        <v>33.33</v>
      </c>
      <c r="Y896" s="9">
        <f t="shared" si="157"/>
        <v>46.67</v>
      </c>
      <c r="Z896" s="5" t="s">
        <v>2294</v>
      </c>
      <c r="AA896" s="5" t="s">
        <v>2298</v>
      </c>
      <c r="AB896" s="9">
        <f t="shared" si="158"/>
        <v>80</v>
      </c>
      <c r="AC896" s="9">
        <f t="shared" si="159"/>
        <v>0</v>
      </c>
      <c r="AD896" s="9">
        <f t="shared" si="160"/>
        <v>80</v>
      </c>
      <c r="AE896" s="9">
        <f t="shared" si="161"/>
        <v>33.33</v>
      </c>
      <c r="AF896" s="9">
        <f t="shared" si="167"/>
        <v>46.67</v>
      </c>
      <c r="AG896" s="8">
        <f t="shared" si="162"/>
        <v>2024</v>
      </c>
      <c r="AH896" s="8">
        <f t="shared" si="163"/>
        <v>1</v>
      </c>
      <c r="AI896" s="5" t="str">
        <f t="shared" si="164"/>
        <v>Jan</v>
      </c>
      <c r="AJ896" s="5" t="str">
        <f t="shared" si="165"/>
        <v>Wednesday</v>
      </c>
    </row>
    <row r="897" spans="1:36" x14ac:dyDescent="0.3">
      <c r="A897" s="5" t="s">
        <v>931</v>
      </c>
      <c r="B897" s="6">
        <v>45307</v>
      </c>
      <c r="C897" s="7">
        <v>0.32291666666666669</v>
      </c>
      <c r="D897" s="5" t="s">
        <v>1934</v>
      </c>
      <c r="E897" s="5" t="s">
        <v>2224</v>
      </c>
      <c r="F897" s="5" t="s">
        <v>2240</v>
      </c>
      <c r="G897" s="5" t="s">
        <v>2243</v>
      </c>
      <c r="H897" s="5" t="s">
        <v>2258</v>
      </c>
      <c r="I897" s="5" t="s">
        <v>2260</v>
      </c>
      <c r="J897" s="5" t="s">
        <v>2265</v>
      </c>
      <c r="K897" s="8">
        <v>1</v>
      </c>
      <c r="L897" s="9">
        <v>70</v>
      </c>
      <c r="M897" s="10">
        <v>0</v>
      </c>
      <c r="N897" s="9">
        <f t="shared" si="166"/>
        <v>70</v>
      </c>
      <c r="O897" s="9">
        <f t="shared" si="156"/>
        <v>70</v>
      </c>
      <c r="P897" s="5" t="s">
        <v>2269</v>
      </c>
      <c r="Q897" s="5" t="s">
        <v>1761</v>
      </c>
      <c r="R897" s="5" t="s">
        <v>2279</v>
      </c>
      <c r="S897" s="5" t="s">
        <v>2280</v>
      </c>
      <c r="T897" s="5" t="s">
        <v>2288</v>
      </c>
      <c r="U897" s="19">
        <v>3</v>
      </c>
      <c r="V897" s="8">
        <v>47</v>
      </c>
      <c r="W897" s="8">
        <v>11</v>
      </c>
      <c r="X897" s="9">
        <v>24.84</v>
      </c>
      <c r="Y897" s="9">
        <f t="shared" si="157"/>
        <v>45.16</v>
      </c>
      <c r="Z897" s="5" t="s">
        <v>1761</v>
      </c>
      <c r="AA897" s="5" t="s">
        <v>1761</v>
      </c>
      <c r="AB897" s="9">
        <f t="shared" si="158"/>
        <v>70</v>
      </c>
      <c r="AC897" s="9">
        <f t="shared" si="159"/>
        <v>0</v>
      </c>
      <c r="AD897" s="9">
        <f t="shared" si="160"/>
        <v>70</v>
      </c>
      <c r="AE897" s="9">
        <f t="shared" si="161"/>
        <v>24.84</v>
      </c>
      <c r="AF897" s="9">
        <f t="shared" si="167"/>
        <v>45.16</v>
      </c>
      <c r="AG897" s="8">
        <f t="shared" si="162"/>
        <v>2024</v>
      </c>
      <c r="AH897" s="8">
        <f t="shared" si="163"/>
        <v>1</v>
      </c>
      <c r="AI897" s="5" t="str">
        <f t="shared" si="164"/>
        <v>Jan</v>
      </c>
      <c r="AJ897" s="5" t="str">
        <f t="shared" si="165"/>
        <v>Tuesday</v>
      </c>
    </row>
    <row r="898" spans="1:36" x14ac:dyDescent="0.3">
      <c r="A898" s="5" t="s">
        <v>932</v>
      </c>
      <c r="B898" s="6">
        <v>45358</v>
      </c>
      <c r="C898" s="7">
        <v>0.51041666666666663</v>
      </c>
      <c r="D898" s="5" t="s">
        <v>1887</v>
      </c>
      <c r="E898" s="5" t="s">
        <v>2102</v>
      </c>
      <c r="F898" s="5" t="s">
        <v>2239</v>
      </c>
      <c r="G898" s="5" t="s">
        <v>2241</v>
      </c>
      <c r="H898" s="5" t="s">
        <v>2257</v>
      </c>
      <c r="I898" s="5" t="s">
        <v>2262</v>
      </c>
      <c r="J898" s="5" t="s">
        <v>1761</v>
      </c>
      <c r="K898" s="8">
        <v>1</v>
      </c>
      <c r="L898" s="9">
        <v>130</v>
      </c>
      <c r="M898" s="10">
        <v>0.05</v>
      </c>
      <c r="N898" s="9">
        <f t="shared" si="166"/>
        <v>130</v>
      </c>
      <c r="O898" s="9">
        <f t="shared" ref="O898:O961" si="168">IF(N898="","",N898*(1-IF(M898="",0,M898)))</f>
        <v>123.5</v>
      </c>
      <c r="P898" s="5" t="s">
        <v>2269</v>
      </c>
      <c r="Q898" s="5" t="s">
        <v>2272</v>
      </c>
      <c r="R898" s="5" t="s">
        <v>2276</v>
      </c>
      <c r="S898" s="5" t="s">
        <v>2280</v>
      </c>
      <c r="T898" s="5" t="s">
        <v>2289</v>
      </c>
      <c r="U898" s="8">
        <v>4</v>
      </c>
      <c r="V898" s="8">
        <v>164</v>
      </c>
      <c r="W898" s="8">
        <v>38</v>
      </c>
      <c r="X898" s="9">
        <v>48.03</v>
      </c>
      <c r="Y898" s="9">
        <f t="shared" ref="Y898:Y961" si="169">IF(OR(O898="",K898="",X898=""),"",O898-K898*X898)</f>
        <v>75.47</v>
      </c>
      <c r="Z898" s="5" t="s">
        <v>2293</v>
      </c>
      <c r="AA898" s="5" t="s">
        <v>2297</v>
      </c>
      <c r="AB898" s="9">
        <f t="shared" ref="AB898:AB961" si="170">N898</f>
        <v>130</v>
      </c>
      <c r="AC898" s="9">
        <f t="shared" ref="AC898:AC961" si="171">IF(N898="","",N898*IF(M898="",0,M898))</f>
        <v>6.5</v>
      </c>
      <c r="AD898" s="9">
        <f t="shared" ref="AD898:AD961" si="172">O898</f>
        <v>123.5</v>
      </c>
      <c r="AE898" s="9">
        <f t="shared" ref="AE898:AE961" si="173">IF(OR(K898="",X898=""),"",K898*X898)</f>
        <v>48.03</v>
      </c>
      <c r="AF898" s="9">
        <f t="shared" si="167"/>
        <v>75.47</v>
      </c>
      <c r="AG898" s="8">
        <f t="shared" ref="AG898:AG961" si="174">IF(B898="","",YEAR(B898))</f>
        <v>2024</v>
      </c>
      <c r="AH898" s="8">
        <f t="shared" ref="AH898:AH961" si="175">IF(B898="","",MONTH(B898))</f>
        <v>3</v>
      </c>
      <c r="AI898" s="5" t="str">
        <f t="shared" ref="AI898:AI961" si="176">IF(B898="","",TEXT(B898,"mmm"))</f>
        <v>Mar</v>
      </c>
      <c r="AJ898" s="5" t="str">
        <f t="shared" ref="AJ898:AJ961" si="177">IF(B898="","",TEXT(B898,"dddd"))</f>
        <v>Thursday</v>
      </c>
    </row>
    <row r="899" spans="1:36" x14ac:dyDescent="0.3">
      <c r="A899" s="5" t="s">
        <v>933</v>
      </c>
      <c r="B899" s="6">
        <v>45373</v>
      </c>
      <c r="C899" s="7">
        <v>0.86805555555555558</v>
      </c>
      <c r="D899" s="5" t="s">
        <v>1860</v>
      </c>
      <c r="E899" s="5" t="s">
        <v>2154</v>
      </c>
      <c r="F899" s="5" t="s">
        <v>2239</v>
      </c>
      <c r="G899" s="5" t="s">
        <v>2250</v>
      </c>
      <c r="H899" s="5" t="s">
        <v>2259</v>
      </c>
      <c r="I899" s="5" t="s">
        <v>2262</v>
      </c>
      <c r="J899" s="5" t="s">
        <v>2266</v>
      </c>
      <c r="K899" s="8">
        <v>2</v>
      </c>
      <c r="L899" s="9">
        <v>85</v>
      </c>
      <c r="M899" s="10">
        <v>0</v>
      </c>
      <c r="N899" s="9">
        <f t="shared" ref="N899:N962" si="178">IFERROR(K899*L899,"")</f>
        <v>170</v>
      </c>
      <c r="O899" s="9">
        <f t="shared" si="168"/>
        <v>170</v>
      </c>
      <c r="P899" s="5" t="s">
        <v>2269</v>
      </c>
      <c r="Q899" s="5" t="s">
        <v>1761</v>
      </c>
      <c r="R899" s="5" t="s">
        <v>2274</v>
      </c>
      <c r="S899" s="5" t="s">
        <v>2285</v>
      </c>
      <c r="T899" s="5" t="s">
        <v>2288</v>
      </c>
      <c r="U899" s="8">
        <v>5</v>
      </c>
      <c r="V899" s="8">
        <v>179</v>
      </c>
      <c r="W899" s="19">
        <v>36</v>
      </c>
      <c r="X899" s="9">
        <v>46.77</v>
      </c>
      <c r="Y899" s="9">
        <f t="shared" si="169"/>
        <v>76.459999999999994</v>
      </c>
      <c r="Z899" s="5" t="s">
        <v>2293</v>
      </c>
      <c r="AA899" s="5" t="s">
        <v>2298</v>
      </c>
      <c r="AB899" s="9">
        <f t="shared" si="170"/>
        <v>170</v>
      </c>
      <c r="AC899" s="9">
        <f t="shared" si="171"/>
        <v>0</v>
      </c>
      <c r="AD899" s="9">
        <f t="shared" si="172"/>
        <v>170</v>
      </c>
      <c r="AE899" s="9">
        <f t="shared" si="173"/>
        <v>93.54</v>
      </c>
      <c r="AF899" s="9">
        <f t="shared" ref="AF899:AF962" si="179">Y899</f>
        <v>76.459999999999994</v>
      </c>
      <c r="AG899" s="8">
        <f t="shared" si="174"/>
        <v>2024</v>
      </c>
      <c r="AH899" s="8">
        <f t="shared" si="175"/>
        <v>3</v>
      </c>
      <c r="AI899" s="5" t="str">
        <f t="shared" si="176"/>
        <v>Mar</v>
      </c>
      <c r="AJ899" s="5" t="str">
        <f t="shared" si="177"/>
        <v>Friday</v>
      </c>
    </row>
    <row r="900" spans="1:36" x14ac:dyDescent="0.3">
      <c r="A900" s="5" t="s">
        <v>934</v>
      </c>
      <c r="B900" s="6">
        <v>45538</v>
      </c>
      <c r="C900" s="7">
        <v>0.59722222222222221</v>
      </c>
      <c r="D900" s="5" t="s">
        <v>1844</v>
      </c>
      <c r="E900" s="5" t="s">
        <v>1761</v>
      </c>
      <c r="F900" s="5" t="s">
        <v>2240</v>
      </c>
      <c r="G900" s="5" t="s">
        <v>2253</v>
      </c>
      <c r="H900" s="5" t="s">
        <v>2258</v>
      </c>
      <c r="I900" s="5" t="s">
        <v>2260</v>
      </c>
      <c r="J900" s="5" t="s">
        <v>2265</v>
      </c>
      <c r="K900" s="8">
        <v>1</v>
      </c>
      <c r="L900" s="9">
        <v>90</v>
      </c>
      <c r="M900" s="10">
        <v>0.15</v>
      </c>
      <c r="N900" s="9">
        <f t="shared" si="178"/>
        <v>90</v>
      </c>
      <c r="O900" s="9">
        <f t="shared" si="168"/>
        <v>76.5</v>
      </c>
      <c r="P900" s="5" t="s">
        <v>2268</v>
      </c>
      <c r="Q900" s="5" t="s">
        <v>2270</v>
      </c>
      <c r="R900" s="5" t="s">
        <v>2275</v>
      </c>
      <c r="S900" s="5" t="s">
        <v>2282</v>
      </c>
      <c r="T900" s="5" t="s">
        <v>2288</v>
      </c>
      <c r="U900" s="8">
        <v>5</v>
      </c>
      <c r="V900" s="8">
        <v>92</v>
      </c>
      <c r="W900" s="8">
        <v>18</v>
      </c>
      <c r="X900" s="9">
        <v>33.07</v>
      </c>
      <c r="Y900" s="9">
        <f t="shared" si="169"/>
        <v>43.43</v>
      </c>
      <c r="Z900" s="5" t="s">
        <v>2294</v>
      </c>
      <c r="AA900" s="5" t="s">
        <v>2297</v>
      </c>
      <c r="AB900" s="9">
        <f t="shared" si="170"/>
        <v>90</v>
      </c>
      <c r="AC900" s="9">
        <f t="shared" si="171"/>
        <v>13.5</v>
      </c>
      <c r="AD900" s="9">
        <f t="shared" si="172"/>
        <v>76.5</v>
      </c>
      <c r="AE900" s="9">
        <f t="shared" si="173"/>
        <v>33.07</v>
      </c>
      <c r="AF900" s="9">
        <f t="shared" si="179"/>
        <v>43.43</v>
      </c>
      <c r="AG900" s="8">
        <f t="shared" si="174"/>
        <v>2024</v>
      </c>
      <c r="AH900" s="8">
        <f t="shared" si="175"/>
        <v>9</v>
      </c>
      <c r="AI900" s="5" t="str">
        <f t="shared" si="176"/>
        <v>Sep</v>
      </c>
      <c r="AJ900" s="5" t="str">
        <f t="shared" si="177"/>
        <v>Tuesday</v>
      </c>
    </row>
    <row r="901" spans="1:36" x14ac:dyDescent="0.3">
      <c r="A901" s="5" t="s">
        <v>935</v>
      </c>
      <c r="B901" s="6">
        <v>45604</v>
      </c>
      <c r="C901" s="7">
        <v>0.30208333333333331</v>
      </c>
      <c r="D901" s="5" t="s">
        <v>1768</v>
      </c>
      <c r="E901" s="5" t="s">
        <v>2114</v>
      </c>
      <c r="F901" s="5" t="s">
        <v>1761</v>
      </c>
      <c r="G901" s="5" t="s">
        <v>2252</v>
      </c>
      <c r="H901" s="5" t="s">
        <v>2257</v>
      </c>
      <c r="I901" s="5" t="s">
        <v>2262</v>
      </c>
      <c r="J901" s="5" t="s">
        <v>1761</v>
      </c>
      <c r="K901" s="8">
        <v>2</v>
      </c>
      <c r="L901" s="9">
        <v>95</v>
      </c>
      <c r="M901" s="10">
        <v>0.1</v>
      </c>
      <c r="N901" s="9">
        <f t="shared" si="178"/>
        <v>190</v>
      </c>
      <c r="O901" s="9">
        <f t="shared" si="168"/>
        <v>171</v>
      </c>
      <c r="P901" s="5" t="s">
        <v>2269</v>
      </c>
      <c r="Q901" s="5" t="s">
        <v>2270</v>
      </c>
      <c r="R901" s="5" t="s">
        <v>2276</v>
      </c>
      <c r="S901" s="5" t="s">
        <v>2286</v>
      </c>
      <c r="T901" s="5" t="s">
        <v>2289</v>
      </c>
      <c r="U901" s="19">
        <v>3</v>
      </c>
      <c r="V901" s="8">
        <v>404</v>
      </c>
      <c r="W901" s="8">
        <v>39</v>
      </c>
      <c r="X901" s="9">
        <v>42.03</v>
      </c>
      <c r="Y901" s="9">
        <f t="shared" si="169"/>
        <v>86.94</v>
      </c>
      <c r="Z901" s="5" t="s">
        <v>2294</v>
      </c>
      <c r="AA901" s="5" t="s">
        <v>2298</v>
      </c>
      <c r="AB901" s="9">
        <f t="shared" si="170"/>
        <v>190</v>
      </c>
      <c r="AC901" s="9">
        <f t="shared" si="171"/>
        <v>19</v>
      </c>
      <c r="AD901" s="9">
        <f t="shared" si="172"/>
        <v>171</v>
      </c>
      <c r="AE901" s="9">
        <f t="shared" si="173"/>
        <v>84.06</v>
      </c>
      <c r="AF901" s="9">
        <f t="shared" si="179"/>
        <v>86.94</v>
      </c>
      <c r="AG901" s="8">
        <f t="shared" si="174"/>
        <v>2024</v>
      </c>
      <c r="AH901" s="8">
        <f t="shared" si="175"/>
        <v>11</v>
      </c>
      <c r="AI901" s="5" t="str">
        <f t="shared" si="176"/>
        <v>Nov</v>
      </c>
      <c r="AJ901" s="5" t="str">
        <f t="shared" si="177"/>
        <v>Friday</v>
      </c>
    </row>
    <row r="902" spans="1:36" x14ac:dyDescent="0.3">
      <c r="A902" s="5" t="s">
        <v>936</v>
      </c>
      <c r="B902" s="6">
        <v>45521</v>
      </c>
      <c r="C902" s="7">
        <v>0.49305555555555558</v>
      </c>
      <c r="D902" s="5" t="s">
        <v>1904</v>
      </c>
      <c r="E902" s="5" t="s">
        <v>2136</v>
      </c>
      <c r="F902" s="5" t="s">
        <v>2240</v>
      </c>
      <c r="G902" s="5" t="s">
        <v>2247</v>
      </c>
      <c r="H902" s="5" t="s">
        <v>2257</v>
      </c>
      <c r="I902" s="5" t="s">
        <v>2262</v>
      </c>
      <c r="J902" s="5" t="s">
        <v>2264</v>
      </c>
      <c r="K902" s="8">
        <v>1</v>
      </c>
      <c r="L902" s="9">
        <v>95</v>
      </c>
      <c r="M902" s="10">
        <v>0.05</v>
      </c>
      <c r="N902" s="9">
        <f t="shared" si="178"/>
        <v>95</v>
      </c>
      <c r="O902" s="9">
        <f t="shared" si="168"/>
        <v>90.25</v>
      </c>
      <c r="P902" s="5" t="s">
        <v>2269</v>
      </c>
      <c r="Q902" s="5" t="s">
        <v>2270</v>
      </c>
      <c r="R902" s="5" t="s">
        <v>2274</v>
      </c>
      <c r="S902" s="5" t="s">
        <v>2283</v>
      </c>
      <c r="T902" s="5" t="s">
        <v>2290</v>
      </c>
      <c r="U902" s="8">
        <v>3</v>
      </c>
      <c r="V902" s="8">
        <v>72</v>
      </c>
      <c r="W902" s="8">
        <v>34</v>
      </c>
      <c r="X902" s="9">
        <v>38.840000000000003</v>
      </c>
      <c r="Y902" s="9">
        <f t="shared" si="169"/>
        <v>51.41</v>
      </c>
      <c r="Z902" s="5" t="s">
        <v>2292</v>
      </c>
      <c r="AA902" s="5" t="s">
        <v>2297</v>
      </c>
      <c r="AB902" s="9">
        <f t="shared" si="170"/>
        <v>95</v>
      </c>
      <c r="AC902" s="9">
        <f t="shared" si="171"/>
        <v>4.75</v>
      </c>
      <c r="AD902" s="9">
        <f t="shared" si="172"/>
        <v>90.25</v>
      </c>
      <c r="AE902" s="9">
        <f t="shared" si="173"/>
        <v>38.840000000000003</v>
      </c>
      <c r="AF902" s="9">
        <f t="shared" si="179"/>
        <v>51.41</v>
      </c>
      <c r="AG902" s="8">
        <f t="shared" si="174"/>
        <v>2024</v>
      </c>
      <c r="AH902" s="8">
        <f t="shared" si="175"/>
        <v>8</v>
      </c>
      <c r="AI902" s="5" t="str">
        <f t="shared" si="176"/>
        <v>Aug</v>
      </c>
      <c r="AJ902" s="5" t="str">
        <f t="shared" si="177"/>
        <v>Saturday</v>
      </c>
    </row>
    <row r="903" spans="1:36" x14ac:dyDescent="0.3">
      <c r="A903" s="5" t="s">
        <v>937</v>
      </c>
      <c r="B903" s="6">
        <v>45549</v>
      </c>
      <c r="C903" s="7">
        <v>0.41666666666666669</v>
      </c>
      <c r="D903" s="5" t="s">
        <v>1772</v>
      </c>
      <c r="E903" s="5" t="s">
        <v>1968</v>
      </c>
      <c r="F903" s="5" t="s">
        <v>2238</v>
      </c>
      <c r="G903" s="5" t="s">
        <v>2241</v>
      </c>
      <c r="H903" s="5" t="s">
        <v>2257</v>
      </c>
      <c r="I903" s="5" t="s">
        <v>2262</v>
      </c>
      <c r="J903" s="5" t="s">
        <v>2265</v>
      </c>
      <c r="K903" s="8">
        <v>2</v>
      </c>
      <c r="L903" s="9">
        <v>140</v>
      </c>
      <c r="M903" s="10">
        <v>0</v>
      </c>
      <c r="N903" s="9">
        <f t="shared" si="178"/>
        <v>280</v>
      </c>
      <c r="O903" s="9">
        <f t="shared" si="168"/>
        <v>280</v>
      </c>
      <c r="P903" s="5" t="s">
        <v>2269</v>
      </c>
      <c r="Q903" s="5" t="s">
        <v>2270</v>
      </c>
      <c r="R903" s="5" t="s">
        <v>2279</v>
      </c>
      <c r="S903" s="5" t="s">
        <v>2286</v>
      </c>
      <c r="T903" s="5" t="s">
        <v>2289</v>
      </c>
      <c r="U903" s="8">
        <v>5</v>
      </c>
      <c r="V903" s="8">
        <v>474</v>
      </c>
      <c r="W903" s="8">
        <v>34</v>
      </c>
      <c r="X903" s="9">
        <v>73.39</v>
      </c>
      <c r="Y903" s="9">
        <f t="shared" si="169"/>
        <v>133.22</v>
      </c>
      <c r="Z903" s="5" t="s">
        <v>1761</v>
      </c>
      <c r="AA903" s="5" t="s">
        <v>2298</v>
      </c>
      <c r="AB903" s="9">
        <f t="shared" si="170"/>
        <v>280</v>
      </c>
      <c r="AC903" s="9">
        <f t="shared" si="171"/>
        <v>0</v>
      </c>
      <c r="AD903" s="9">
        <f t="shared" si="172"/>
        <v>280</v>
      </c>
      <c r="AE903" s="9">
        <f t="shared" si="173"/>
        <v>146.78</v>
      </c>
      <c r="AF903" s="9">
        <f t="shared" si="179"/>
        <v>133.22</v>
      </c>
      <c r="AG903" s="8">
        <f t="shared" si="174"/>
        <v>2024</v>
      </c>
      <c r="AH903" s="8">
        <f t="shared" si="175"/>
        <v>9</v>
      </c>
      <c r="AI903" s="5" t="str">
        <f t="shared" si="176"/>
        <v>Sep</v>
      </c>
      <c r="AJ903" s="5" t="str">
        <f t="shared" si="177"/>
        <v>Saturday</v>
      </c>
    </row>
    <row r="904" spans="1:36" x14ac:dyDescent="0.3">
      <c r="A904" s="5" t="s">
        <v>938</v>
      </c>
      <c r="B904" s="6">
        <v>45455</v>
      </c>
      <c r="C904" s="7">
        <v>0.79861111111111116</v>
      </c>
      <c r="D904" s="5" t="s">
        <v>1758</v>
      </c>
      <c r="E904" s="5" t="s">
        <v>1959</v>
      </c>
      <c r="F904" s="5" t="s">
        <v>2240</v>
      </c>
      <c r="G904" s="5" t="s">
        <v>2256</v>
      </c>
      <c r="H904" s="5" t="s">
        <v>2261</v>
      </c>
      <c r="I904" s="5" t="s">
        <v>2260</v>
      </c>
      <c r="J904" s="5" t="s">
        <v>2264</v>
      </c>
      <c r="K904" s="8">
        <v>1</v>
      </c>
      <c r="L904" s="9">
        <v>200</v>
      </c>
      <c r="M904" s="10">
        <v>0</v>
      </c>
      <c r="N904" s="9">
        <f t="shared" si="178"/>
        <v>200</v>
      </c>
      <c r="O904" s="9">
        <f t="shared" si="168"/>
        <v>200</v>
      </c>
      <c r="P904" s="5" t="s">
        <v>2268</v>
      </c>
      <c r="Q904" s="5" t="s">
        <v>1761</v>
      </c>
      <c r="R904" s="5" t="s">
        <v>2275</v>
      </c>
      <c r="S904" s="5" t="s">
        <v>2282</v>
      </c>
      <c r="T904" s="5" t="s">
        <v>2288</v>
      </c>
      <c r="U904" s="8">
        <v>4</v>
      </c>
      <c r="V904" s="8">
        <v>319</v>
      </c>
      <c r="W904" s="19">
        <v>36</v>
      </c>
      <c r="X904" s="9">
        <v>83.58</v>
      </c>
      <c r="Y904" s="9">
        <f t="shared" si="169"/>
        <v>116.42</v>
      </c>
      <c r="Z904" s="5" t="s">
        <v>2293</v>
      </c>
      <c r="AA904" s="5" t="s">
        <v>2297</v>
      </c>
      <c r="AB904" s="9">
        <f t="shared" si="170"/>
        <v>200</v>
      </c>
      <c r="AC904" s="9">
        <f t="shared" si="171"/>
        <v>0</v>
      </c>
      <c r="AD904" s="9">
        <f t="shared" si="172"/>
        <v>200</v>
      </c>
      <c r="AE904" s="9">
        <f t="shared" si="173"/>
        <v>83.58</v>
      </c>
      <c r="AF904" s="9">
        <f t="shared" si="179"/>
        <v>116.42</v>
      </c>
      <c r="AG904" s="8">
        <f t="shared" si="174"/>
        <v>2024</v>
      </c>
      <c r="AH904" s="8">
        <f t="shared" si="175"/>
        <v>6</v>
      </c>
      <c r="AI904" s="5" t="str">
        <f t="shared" si="176"/>
        <v>Jun</v>
      </c>
      <c r="AJ904" s="5" t="str">
        <f t="shared" si="177"/>
        <v>Wednesday</v>
      </c>
    </row>
    <row r="905" spans="1:36" x14ac:dyDescent="0.3">
      <c r="A905" s="5" t="s">
        <v>939</v>
      </c>
      <c r="B905" s="6">
        <v>45492</v>
      </c>
      <c r="C905" s="7">
        <v>0.83333333333333337</v>
      </c>
      <c r="D905" s="5" t="s">
        <v>1844</v>
      </c>
      <c r="E905" s="5" t="s">
        <v>2129</v>
      </c>
      <c r="F905" s="5" t="s">
        <v>2238</v>
      </c>
      <c r="G905" s="5" t="s">
        <v>2255</v>
      </c>
      <c r="H905" s="5" t="s">
        <v>2260</v>
      </c>
      <c r="I905" s="5" t="s">
        <v>2260</v>
      </c>
      <c r="J905" s="5" t="s">
        <v>2265</v>
      </c>
      <c r="K905" s="8">
        <v>1</v>
      </c>
      <c r="L905" s="9">
        <v>175</v>
      </c>
      <c r="M905" s="10">
        <v>0</v>
      </c>
      <c r="N905" s="9">
        <f t="shared" si="178"/>
        <v>175</v>
      </c>
      <c r="O905" s="9">
        <f t="shared" si="168"/>
        <v>175</v>
      </c>
      <c r="P905" s="5" t="s">
        <v>2267</v>
      </c>
      <c r="Q905" s="5" t="s">
        <v>2270</v>
      </c>
      <c r="R905" s="5" t="s">
        <v>2275</v>
      </c>
      <c r="S905" s="5" t="s">
        <v>2282</v>
      </c>
      <c r="T905" s="5" t="s">
        <v>2290</v>
      </c>
      <c r="U905" s="8">
        <v>4</v>
      </c>
      <c r="V905" s="8">
        <v>142</v>
      </c>
      <c r="W905" s="8">
        <v>47</v>
      </c>
      <c r="X905" s="9">
        <v>107.08</v>
      </c>
      <c r="Y905" s="9">
        <f t="shared" si="169"/>
        <v>67.92</v>
      </c>
      <c r="Z905" s="5" t="s">
        <v>1761</v>
      </c>
      <c r="AA905" s="5" t="s">
        <v>2299</v>
      </c>
      <c r="AB905" s="9">
        <f t="shared" si="170"/>
        <v>175</v>
      </c>
      <c r="AC905" s="9">
        <f t="shared" si="171"/>
        <v>0</v>
      </c>
      <c r="AD905" s="9">
        <f t="shared" si="172"/>
        <v>175</v>
      </c>
      <c r="AE905" s="9">
        <f t="shared" si="173"/>
        <v>107.08</v>
      </c>
      <c r="AF905" s="9">
        <f t="shared" si="179"/>
        <v>67.92</v>
      </c>
      <c r="AG905" s="8">
        <f t="shared" si="174"/>
        <v>2024</v>
      </c>
      <c r="AH905" s="8">
        <f t="shared" si="175"/>
        <v>7</v>
      </c>
      <c r="AI905" s="5" t="str">
        <f t="shared" si="176"/>
        <v>Jul</v>
      </c>
      <c r="AJ905" s="5" t="str">
        <f t="shared" si="177"/>
        <v>Friday</v>
      </c>
    </row>
    <row r="906" spans="1:36" x14ac:dyDescent="0.3">
      <c r="A906" s="5" t="s">
        <v>940</v>
      </c>
      <c r="B906" s="6">
        <v>45336</v>
      </c>
      <c r="C906" s="7">
        <v>0.66666666666666663</v>
      </c>
      <c r="D906" s="5" t="s">
        <v>1855</v>
      </c>
      <c r="E906" s="5" t="s">
        <v>2064</v>
      </c>
      <c r="F906" s="5" t="s">
        <v>2240</v>
      </c>
      <c r="G906" s="5" t="s">
        <v>2244</v>
      </c>
      <c r="H906" s="5" t="s">
        <v>2257</v>
      </c>
      <c r="I906" s="5" t="s">
        <v>2262</v>
      </c>
      <c r="J906" s="5" t="s">
        <v>2265</v>
      </c>
      <c r="K906" s="8">
        <v>4</v>
      </c>
      <c r="L906" s="9">
        <v>125</v>
      </c>
      <c r="M906" s="10">
        <v>0</v>
      </c>
      <c r="N906" s="9">
        <f t="shared" si="178"/>
        <v>500</v>
      </c>
      <c r="O906" s="9">
        <f t="shared" si="168"/>
        <v>500</v>
      </c>
      <c r="P906" s="5" t="s">
        <v>2267</v>
      </c>
      <c r="Q906" s="5" t="s">
        <v>2270</v>
      </c>
      <c r="R906" s="5" t="s">
        <v>2279</v>
      </c>
      <c r="S906" s="5" t="s">
        <v>2285</v>
      </c>
      <c r="T906" s="5" t="s">
        <v>2288</v>
      </c>
      <c r="U906" s="8">
        <v>3</v>
      </c>
      <c r="V906" s="8">
        <v>405</v>
      </c>
      <c r="W906" s="8">
        <v>29</v>
      </c>
      <c r="X906" s="9">
        <v>69.92</v>
      </c>
      <c r="Y906" s="9">
        <f t="shared" si="169"/>
        <v>220.32</v>
      </c>
      <c r="Z906" s="5" t="s">
        <v>2294</v>
      </c>
      <c r="AA906" s="5" t="s">
        <v>2298</v>
      </c>
      <c r="AB906" s="9">
        <f t="shared" si="170"/>
        <v>500</v>
      </c>
      <c r="AC906" s="9">
        <f t="shared" si="171"/>
        <v>0</v>
      </c>
      <c r="AD906" s="9">
        <f t="shared" si="172"/>
        <v>500</v>
      </c>
      <c r="AE906" s="9">
        <f t="shared" si="173"/>
        <v>279.68</v>
      </c>
      <c r="AF906" s="9">
        <f t="shared" si="179"/>
        <v>220.32</v>
      </c>
      <c r="AG906" s="8">
        <f t="shared" si="174"/>
        <v>2024</v>
      </c>
      <c r="AH906" s="8">
        <f t="shared" si="175"/>
        <v>2</v>
      </c>
      <c r="AI906" s="5" t="str">
        <f t="shared" si="176"/>
        <v>Feb</v>
      </c>
      <c r="AJ906" s="5" t="str">
        <f t="shared" si="177"/>
        <v>Wednesday</v>
      </c>
    </row>
    <row r="907" spans="1:36" x14ac:dyDescent="0.3">
      <c r="A907" s="5" t="s">
        <v>941</v>
      </c>
      <c r="B907" s="6">
        <v>45568</v>
      </c>
      <c r="C907" s="7">
        <v>0.38194444444444442</v>
      </c>
      <c r="D907" s="5" t="s">
        <v>1805</v>
      </c>
      <c r="E907" s="5" t="s">
        <v>2114</v>
      </c>
      <c r="F907" s="5" t="s">
        <v>2240</v>
      </c>
      <c r="G907" s="5" t="s">
        <v>2250</v>
      </c>
      <c r="H907" s="5" t="s">
        <v>2259</v>
      </c>
      <c r="I907" s="5" t="s">
        <v>2262</v>
      </c>
      <c r="J907" s="5" t="s">
        <v>2264</v>
      </c>
      <c r="K907" s="8">
        <v>2</v>
      </c>
      <c r="L907" s="9">
        <v>90</v>
      </c>
      <c r="M907" s="10">
        <v>0</v>
      </c>
      <c r="N907" s="9">
        <f t="shared" si="178"/>
        <v>180</v>
      </c>
      <c r="O907" s="9">
        <f t="shared" si="168"/>
        <v>180</v>
      </c>
      <c r="P907" s="5" t="s">
        <v>2269</v>
      </c>
      <c r="Q907" s="5" t="s">
        <v>2272</v>
      </c>
      <c r="R907" s="5" t="s">
        <v>2275</v>
      </c>
      <c r="S907" s="5" t="s">
        <v>2280</v>
      </c>
      <c r="T907" s="5" t="s">
        <v>2290</v>
      </c>
      <c r="U907" s="8">
        <v>4</v>
      </c>
      <c r="V907" s="8">
        <v>292</v>
      </c>
      <c r="W907" s="8">
        <v>26</v>
      </c>
      <c r="X907" s="9">
        <v>29.39</v>
      </c>
      <c r="Y907" s="9">
        <f t="shared" si="169"/>
        <v>121.22</v>
      </c>
      <c r="Z907" s="5" t="s">
        <v>2291</v>
      </c>
      <c r="AA907" s="5" t="s">
        <v>2299</v>
      </c>
      <c r="AB907" s="9">
        <f t="shared" si="170"/>
        <v>180</v>
      </c>
      <c r="AC907" s="9">
        <f t="shared" si="171"/>
        <v>0</v>
      </c>
      <c r="AD907" s="9">
        <f t="shared" si="172"/>
        <v>180</v>
      </c>
      <c r="AE907" s="9">
        <f t="shared" si="173"/>
        <v>58.78</v>
      </c>
      <c r="AF907" s="9">
        <f t="shared" si="179"/>
        <v>121.22</v>
      </c>
      <c r="AG907" s="8">
        <f t="shared" si="174"/>
        <v>2024</v>
      </c>
      <c r="AH907" s="8">
        <f t="shared" si="175"/>
        <v>10</v>
      </c>
      <c r="AI907" s="5" t="str">
        <f t="shared" si="176"/>
        <v>Oct</v>
      </c>
      <c r="AJ907" s="5" t="str">
        <f t="shared" si="177"/>
        <v>Thursday</v>
      </c>
    </row>
    <row r="908" spans="1:36" x14ac:dyDescent="0.3">
      <c r="A908" s="5" t="s">
        <v>942</v>
      </c>
      <c r="B908" s="6">
        <v>45614</v>
      </c>
      <c r="C908" s="7">
        <v>0.4513888888888889</v>
      </c>
      <c r="D908" s="5" t="s">
        <v>1866</v>
      </c>
      <c r="E908" s="5" t="s">
        <v>1953</v>
      </c>
      <c r="F908" s="5" t="s">
        <v>2238</v>
      </c>
      <c r="G908" s="5" t="s">
        <v>2254</v>
      </c>
      <c r="H908" s="5" t="s">
        <v>2259</v>
      </c>
      <c r="I908" s="5" t="s">
        <v>2263</v>
      </c>
      <c r="J908" s="5" t="s">
        <v>2265</v>
      </c>
      <c r="K908" s="8">
        <v>1</v>
      </c>
      <c r="L908" s="9">
        <v>120</v>
      </c>
      <c r="M908" s="10">
        <v>0.1</v>
      </c>
      <c r="N908" s="9">
        <f t="shared" si="178"/>
        <v>120</v>
      </c>
      <c r="O908" s="9">
        <f t="shared" si="168"/>
        <v>108</v>
      </c>
      <c r="P908" s="5" t="s">
        <v>2267</v>
      </c>
      <c r="Q908" s="5" t="s">
        <v>2272</v>
      </c>
      <c r="R908" s="5" t="s">
        <v>2274</v>
      </c>
      <c r="S908" s="5" t="s">
        <v>2286</v>
      </c>
      <c r="T908" s="5" t="s">
        <v>2288</v>
      </c>
      <c r="U908" s="8">
        <v>3</v>
      </c>
      <c r="V908" s="8">
        <v>180</v>
      </c>
      <c r="W908" s="19">
        <v>35</v>
      </c>
      <c r="X908" s="9">
        <v>54.45</v>
      </c>
      <c r="Y908" s="9">
        <f t="shared" si="169"/>
        <v>53.55</v>
      </c>
      <c r="Z908" s="5" t="s">
        <v>2294</v>
      </c>
      <c r="AA908" s="5" t="s">
        <v>2296</v>
      </c>
      <c r="AB908" s="9">
        <f t="shared" si="170"/>
        <v>120</v>
      </c>
      <c r="AC908" s="9">
        <f t="shared" si="171"/>
        <v>12</v>
      </c>
      <c r="AD908" s="9">
        <f t="shared" si="172"/>
        <v>108</v>
      </c>
      <c r="AE908" s="9">
        <f t="shared" si="173"/>
        <v>54.45</v>
      </c>
      <c r="AF908" s="9">
        <f t="shared" si="179"/>
        <v>53.55</v>
      </c>
      <c r="AG908" s="8">
        <f t="shared" si="174"/>
        <v>2024</v>
      </c>
      <c r="AH908" s="8">
        <f t="shared" si="175"/>
        <v>11</v>
      </c>
      <c r="AI908" s="5" t="str">
        <f t="shared" si="176"/>
        <v>Nov</v>
      </c>
      <c r="AJ908" s="5" t="str">
        <f t="shared" si="177"/>
        <v>Monday</v>
      </c>
    </row>
    <row r="909" spans="1:36" x14ac:dyDescent="0.3">
      <c r="A909" s="5" t="s">
        <v>943</v>
      </c>
      <c r="B909" s="6">
        <v>45654</v>
      </c>
      <c r="C909" s="7">
        <v>0.8125</v>
      </c>
      <c r="D909" s="5" t="s">
        <v>1806</v>
      </c>
      <c r="E909" s="5" t="s">
        <v>2113</v>
      </c>
      <c r="F909" s="5" t="s">
        <v>2240</v>
      </c>
      <c r="G909" s="5" t="s">
        <v>2252</v>
      </c>
      <c r="H909" s="5" t="s">
        <v>2257</v>
      </c>
      <c r="I909" s="5" t="s">
        <v>2262</v>
      </c>
      <c r="J909" s="5" t="s">
        <v>2264</v>
      </c>
      <c r="K909" s="8">
        <v>1</v>
      </c>
      <c r="L909" s="9">
        <v>90</v>
      </c>
      <c r="M909" s="10">
        <v>0.1</v>
      </c>
      <c r="N909" s="9">
        <f t="shared" si="178"/>
        <v>90</v>
      </c>
      <c r="O909" s="9">
        <f t="shared" si="168"/>
        <v>81</v>
      </c>
      <c r="P909" s="5" t="s">
        <v>1761</v>
      </c>
      <c r="Q909" s="5" t="s">
        <v>2272</v>
      </c>
      <c r="R909" s="5" t="s">
        <v>2275</v>
      </c>
      <c r="S909" s="5" t="s">
        <v>2283</v>
      </c>
      <c r="T909" s="5" t="s">
        <v>2288</v>
      </c>
      <c r="U909" s="8">
        <v>1</v>
      </c>
      <c r="V909" s="8">
        <v>170</v>
      </c>
      <c r="W909" s="8">
        <v>50</v>
      </c>
      <c r="X909" s="9">
        <v>46.37</v>
      </c>
      <c r="Y909" s="9">
        <f t="shared" si="169"/>
        <v>34.630000000000003</v>
      </c>
      <c r="Z909" s="5" t="s">
        <v>2294</v>
      </c>
      <c r="AA909" s="5" t="s">
        <v>1761</v>
      </c>
      <c r="AB909" s="9">
        <f t="shared" si="170"/>
        <v>90</v>
      </c>
      <c r="AC909" s="9">
        <f t="shared" si="171"/>
        <v>9</v>
      </c>
      <c r="AD909" s="9">
        <f t="shared" si="172"/>
        <v>81</v>
      </c>
      <c r="AE909" s="9">
        <f t="shared" si="173"/>
        <v>46.37</v>
      </c>
      <c r="AF909" s="9">
        <f t="shared" si="179"/>
        <v>34.630000000000003</v>
      </c>
      <c r="AG909" s="8">
        <f t="shared" si="174"/>
        <v>2024</v>
      </c>
      <c r="AH909" s="8">
        <f t="shared" si="175"/>
        <v>12</v>
      </c>
      <c r="AI909" s="5" t="str">
        <f t="shared" si="176"/>
        <v>Dec</v>
      </c>
      <c r="AJ909" s="5" t="str">
        <f t="shared" si="177"/>
        <v>Saturday</v>
      </c>
    </row>
    <row r="910" spans="1:36" x14ac:dyDescent="0.3">
      <c r="A910" s="5" t="s">
        <v>944</v>
      </c>
      <c r="B910" s="6">
        <v>45393</v>
      </c>
      <c r="C910" s="7">
        <v>0.35416666666666669</v>
      </c>
      <c r="D910" s="5" t="s">
        <v>1893</v>
      </c>
      <c r="E910" s="5" t="s">
        <v>2048</v>
      </c>
      <c r="F910" s="5" t="s">
        <v>2240</v>
      </c>
      <c r="G910" s="5" t="s">
        <v>2245</v>
      </c>
      <c r="H910" s="5" t="s">
        <v>2257</v>
      </c>
      <c r="I910" s="5" t="s">
        <v>2263</v>
      </c>
      <c r="J910" s="5" t="s">
        <v>2264</v>
      </c>
      <c r="K910" s="8">
        <v>2</v>
      </c>
      <c r="L910" s="9">
        <v>150</v>
      </c>
      <c r="M910" s="10">
        <v>0</v>
      </c>
      <c r="N910" s="9">
        <f t="shared" si="178"/>
        <v>300</v>
      </c>
      <c r="O910" s="9">
        <f t="shared" si="168"/>
        <v>300</v>
      </c>
      <c r="P910" s="5" t="s">
        <v>2268</v>
      </c>
      <c r="Q910" s="5" t="s">
        <v>1761</v>
      </c>
      <c r="R910" s="5" t="s">
        <v>2276</v>
      </c>
      <c r="S910" s="5" t="s">
        <v>2287</v>
      </c>
      <c r="T910" s="5" t="s">
        <v>2288</v>
      </c>
      <c r="U910" s="8">
        <v>5</v>
      </c>
      <c r="V910" s="8">
        <v>442</v>
      </c>
      <c r="W910" s="8">
        <v>27</v>
      </c>
      <c r="X910" s="9">
        <v>53.66</v>
      </c>
      <c r="Y910" s="9">
        <f t="shared" si="169"/>
        <v>192.68</v>
      </c>
      <c r="Z910" s="5" t="s">
        <v>2292</v>
      </c>
      <c r="AA910" s="5" t="s">
        <v>2299</v>
      </c>
      <c r="AB910" s="9">
        <f t="shared" si="170"/>
        <v>300</v>
      </c>
      <c r="AC910" s="9">
        <f t="shared" si="171"/>
        <v>0</v>
      </c>
      <c r="AD910" s="9">
        <f t="shared" si="172"/>
        <v>300</v>
      </c>
      <c r="AE910" s="9">
        <f t="shared" si="173"/>
        <v>107.32</v>
      </c>
      <c r="AF910" s="9">
        <f t="shared" si="179"/>
        <v>192.68</v>
      </c>
      <c r="AG910" s="8">
        <f t="shared" si="174"/>
        <v>2024</v>
      </c>
      <c r="AH910" s="8">
        <f t="shared" si="175"/>
        <v>4</v>
      </c>
      <c r="AI910" s="5" t="str">
        <f t="shared" si="176"/>
        <v>Apr</v>
      </c>
      <c r="AJ910" s="5" t="str">
        <f t="shared" si="177"/>
        <v>Thursday</v>
      </c>
    </row>
    <row r="911" spans="1:36" x14ac:dyDescent="0.3">
      <c r="A911" s="5" t="s">
        <v>945</v>
      </c>
      <c r="B911" s="6">
        <v>45354</v>
      </c>
      <c r="C911" s="7">
        <v>0.46527777777777779</v>
      </c>
      <c r="D911" s="5" t="s">
        <v>1910</v>
      </c>
      <c r="E911" s="5" t="s">
        <v>2175</v>
      </c>
      <c r="F911" s="5" t="s">
        <v>1761</v>
      </c>
      <c r="G911" s="5" t="s">
        <v>2242</v>
      </c>
      <c r="H911" s="5" t="s">
        <v>2258</v>
      </c>
      <c r="I911" s="5" t="s">
        <v>2260</v>
      </c>
      <c r="J911" s="5" t="s">
        <v>2266</v>
      </c>
      <c r="K911" s="8">
        <v>1</v>
      </c>
      <c r="L911" s="9">
        <v>115</v>
      </c>
      <c r="M911" s="10">
        <v>0</v>
      </c>
      <c r="N911" s="9">
        <f t="shared" si="178"/>
        <v>115</v>
      </c>
      <c r="O911" s="9">
        <f t="shared" si="168"/>
        <v>115</v>
      </c>
      <c r="P911" s="5" t="s">
        <v>2267</v>
      </c>
      <c r="Q911" s="5" t="s">
        <v>2271</v>
      </c>
      <c r="R911" s="5" t="s">
        <v>2278</v>
      </c>
      <c r="S911" s="5" t="s">
        <v>2287</v>
      </c>
      <c r="T911" s="5" t="s">
        <v>2288</v>
      </c>
      <c r="U911" s="8">
        <v>4</v>
      </c>
      <c r="V911" s="8">
        <v>111</v>
      </c>
      <c r="W911" s="8">
        <v>27</v>
      </c>
      <c r="X911" s="9">
        <v>65.84</v>
      </c>
      <c r="Y911" s="9">
        <f t="shared" si="169"/>
        <v>49.16</v>
      </c>
      <c r="Z911" s="5" t="s">
        <v>2291</v>
      </c>
      <c r="AA911" s="5" t="s">
        <v>1761</v>
      </c>
      <c r="AB911" s="9">
        <f t="shared" si="170"/>
        <v>115</v>
      </c>
      <c r="AC911" s="9">
        <f t="shared" si="171"/>
        <v>0</v>
      </c>
      <c r="AD911" s="9">
        <f t="shared" si="172"/>
        <v>115</v>
      </c>
      <c r="AE911" s="9">
        <f t="shared" si="173"/>
        <v>65.84</v>
      </c>
      <c r="AF911" s="9">
        <f t="shared" si="179"/>
        <v>49.16</v>
      </c>
      <c r="AG911" s="8">
        <f t="shared" si="174"/>
        <v>2024</v>
      </c>
      <c r="AH911" s="8">
        <f t="shared" si="175"/>
        <v>3</v>
      </c>
      <c r="AI911" s="5" t="str">
        <f t="shared" si="176"/>
        <v>Mar</v>
      </c>
      <c r="AJ911" s="5" t="str">
        <f t="shared" si="177"/>
        <v>Sunday</v>
      </c>
    </row>
    <row r="912" spans="1:36" x14ac:dyDescent="0.3">
      <c r="A912" s="5" t="s">
        <v>946</v>
      </c>
      <c r="B912" s="6">
        <v>45476</v>
      </c>
      <c r="C912" s="7">
        <v>0.49305555555555558</v>
      </c>
      <c r="D912" s="5" t="s">
        <v>1931</v>
      </c>
      <c r="E912" s="5" t="s">
        <v>2202</v>
      </c>
      <c r="F912" s="5" t="s">
        <v>1761</v>
      </c>
      <c r="G912" s="5" t="s">
        <v>2248</v>
      </c>
      <c r="H912" s="5" t="s">
        <v>2257</v>
      </c>
      <c r="I912" s="5" t="s">
        <v>2262</v>
      </c>
      <c r="J912" s="5" t="s">
        <v>2264</v>
      </c>
      <c r="K912" s="8">
        <v>2</v>
      </c>
      <c r="L912" s="9">
        <v>145</v>
      </c>
      <c r="M912" s="10">
        <v>0.05</v>
      </c>
      <c r="N912" s="9">
        <f t="shared" si="178"/>
        <v>290</v>
      </c>
      <c r="O912" s="9">
        <f t="shared" si="168"/>
        <v>275.5</v>
      </c>
      <c r="P912" s="5" t="s">
        <v>2267</v>
      </c>
      <c r="Q912" s="5" t="s">
        <v>2272</v>
      </c>
      <c r="R912" s="5" t="s">
        <v>2275</v>
      </c>
      <c r="S912" s="5" t="s">
        <v>2281</v>
      </c>
      <c r="T912" s="5" t="s">
        <v>2290</v>
      </c>
      <c r="U912" s="8">
        <v>5</v>
      </c>
      <c r="V912" s="8">
        <v>126</v>
      </c>
      <c r="W912" s="8">
        <v>31</v>
      </c>
      <c r="X912" s="9">
        <v>59.02</v>
      </c>
      <c r="Y912" s="9">
        <f t="shared" si="169"/>
        <v>157.45999999999998</v>
      </c>
      <c r="Z912" s="5" t="s">
        <v>2292</v>
      </c>
      <c r="AA912" s="5" t="s">
        <v>2299</v>
      </c>
      <c r="AB912" s="9">
        <f t="shared" si="170"/>
        <v>290</v>
      </c>
      <c r="AC912" s="9">
        <f t="shared" si="171"/>
        <v>14.5</v>
      </c>
      <c r="AD912" s="9">
        <f t="shared" si="172"/>
        <v>275.5</v>
      </c>
      <c r="AE912" s="9">
        <f t="shared" si="173"/>
        <v>118.04</v>
      </c>
      <c r="AF912" s="9">
        <f t="shared" si="179"/>
        <v>157.45999999999998</v>
      </c>
      <c r="AG912" s="8">
        <f t="shared" si="174"/>
        <v>2024</v>
      </c>
      <c r="AH912" s="8">
        <f t="shared" si="175"/>
        <v>7</v>
      </c>
      <c r="AI912" s="5" t="str">
        <f t="shared" si="176"/>
        <v>Jul</v>
      </c>
      <c r="AJ912" s="5" t="str">
        <f t="shared" si="177"/>
        <v>Wednesday</v>
      </c>
    </row>
    <row r="913" spans="1:36" x14ac:dyDescent="0.3">
      <c r="A913" s="5" t="s">
        <v>947</v>
      </c>
      <c r="B913" s="18">
        <v>45468</v>
      </c>
      <c r="C913" s="7">
        <v>0.875</v>
      </c>
      <c r="D913" s="5" t="s">
        <v>1744</v>
      </c>
      <c r="E913" s="5" t="s">
        <v>2037</v>
      </c>
      <c r="F913" s="5" t="s">
        <v>1761</v>
      </c>
      <c r="G913" s="5" t="s">
        <v>2248</v>
      </c>
      <c r="H913" s="5" t="s">
        <v>2257</v>
      </c>
      <c r="I913" s="5" t="s">
        <v>2262</v>
      </c>
      <c r="J913" s="5" t="s">
        <v>2266</v>
      </c>
      <c r="K913" s="8">
        <v>1</v>
      </c>
      <c r="L913" s="9">
        <v>150</v>
      </c>
      <c r="M913" s="10">
        <v>0</v>
      </c>
      <c r="N913" s="9">
        <f t="shared" si="178"/>
        <v>150</v>
      </c>
      <c r="O913" s="9">
        <f t="shared" si="168"/>
        <v>150</v>
      </c>
      <c r="P913" s="5" t="s">
        <v>2267</v>
      </c>
      <c r="Q913" s="5" t="s">
        <v>2272</v>
      </c>
      <c r="R913" s="5" t="s">
        <v>2277</v>
      </c>
      <c r="S913" s="5" t="s">
        <v>2285</v>
      </c>
      <c r="T913" s="5" t="s">
        <v>2288</v>
      </c>
      <c r="U913" s="19">
        <v>3</v>
      </c>
      <c r="V913" s="19">
        <v>244</v>
      </c>
      <c r="W913" s="8">
        <v>11</v>
      </c>
      <c r="X913" s="9">
        <v>79.55</v>
      </c>
      <c r="Y913" s="9">
        <f t="shared" si="169"/>
        <v>70.45</v>
      </c>
      <c r="Z913" s="5" t="s">
        <v>2292</v>
      </c>
      <c r="AA913" s="5" t="s">
        <v>2296</v>
      </c>
      <c r="AB913" s="9">
        <f t="shared" si="170"/>
        <v>150</v>
      </c>
      <c r="AC913" s="9">
        <f t="shared" si="171"/>
        <v>0</v>
      </c>
      <c r="AD913" s="9">
        <f t="shared" si="172"/>
        <v>150</v>
      </c>
      <c r="AE913" s="9">
        <f t="shared" si="173"/>
        <v>79.55</v>
      </c>
      <c r="AF913" s="9">
        <f t="shared" si="179"/>
        <v>70.45</v>
      </c>
      <c r="AG913" s="8">
        <f t="shared" si="174"/>
        <v>2024</v>
      </c>
      <c r="AH913" s="8">
        <f t="shared" si="175"/>
        <v>6</v>
      </c>
      <c r="AI913" s="5" t="str">
        <f t="shared" si="176"/>
        <v>Jun</v>
      </c>
      <c r="AJ913" s="5" t="str">
        <f t="shared" si="177"/>
        <v>Tuesday</v>
      </c>
    </row>
    <row r="914" spans="1:36" x14ac:dyDescent="0.3">
      <c r="A914" s="5" t="s">
        <v>948</v>
      </c>
      <c r="B914" s="6">
        <v>45327</v>
      </c>
      <c r="C914" s="7">
        <v>0.4236111111111111</v>
      </c>
      <c r="D914" s="5" t="s">
        <v>1790</v>
      </c>
      <c r="E914" s="5" t="s">
        <v>2225</v>
      </c>
      <c r="F914" s="5" t="s">
        <v>2239</v>
      </c>
      <c r="G914" s="5" t="s">
        <v>2250</v>
      </c>
      <c r="H914" s="5" t="s">
        <v>2259</v>
      </c>
      <c r="I914" s="5" t="s">
        <v>2262</v>
      </c>
      <c r="J914" s="5" t="s">
        <v>2265</v>
      </c>
      <c r="K914" s="8">
        <v>1</v>
      </c>
      <c r="L914" s="9">
        <v>90</v>
      </c>
      <c r="M914" s="10">
        <v>0.15</v>
      </c>
      <c r="N914" s="9">
        <f t="shared" si="178"/>
        <v>90</v>
      </c>
      <c r="O914" s="9">
        <f t="shared" si="168"/>
        <v>76.5</v>
      </c>
      <c r="P914" s="5" t="s">
        <v>2269</v>
      </c>
      <c r="Q914" s="5" t="s">
        <v>2270</v>
      </c>
      <c r="R914" s="5" t="s">
        <v>2274</v>
      </c>
      <c r="S914" s="5" t="s">
        <v>2280</v>
      </c>
      <c r="T914" s="5" t="s">
        <v>2288</v>
      </c>
      <c r="U914" s="8">
        <v>4</v>
      </c>
      <c r="V914" s="8">
        <v>37</v>
      </c>
      <c r="W914" s="8">
        <v>11</v>
      </c>
      <c r="X914" s="9">
        <v>42.79</v>
      </c>
      <c r="Y914" s="9">
        <f t="shared" si="169"/>
        <v>33.71</v>
      </c>
      <c r="Z914" s="5" t="s">
        <v>2291</v>
      </c>
      <c r="AA914" s="5" t="s">
        <v>2298</v>
      </c>
      <c r="AB914" s="9">
        <f t="shared" si="170"/>
        <v>90</v>
      </c>
      <c r="AC914" s="9">
        <f t="shared" si="171"/>
        <v>13.5</v>
      </c>
      <c r="AD914" s="9">
        <f t="shared" si="172"/>
        <v>76.5</v>
      </c>
      <c r="AE914" s="9">
        <f t="shared" si="173"/>
        <v>42.79</v>
      </c>
      <c r="AF914" s="9">
        <f t="shared" si="179"/>
        <v>33.71</v>
      </c>
      <c r="AG914" s="8">
        <f t="shared" si="174"/>
        <v>2024</v>
      </c>
      <c r="AH914" s="8">
        <f t="shared" si="175"/>
        <v>2</v>
      </c>
      <c r="AI914" s="5" t="str">
        <f t="shared" si="176"/>
        <v>Feb</v>
      </c>
      <c r="AJ914" s="5" t="str">
        <f t="shared" si="177"/>
        <v>Monday</v>
      </c>
    </row>
    <row r="915" spans="1:36" x14ac:dyDescent="0.3">
      <c r="A915" s="5" t="s">
        <v>949</v>
      </c>
      <c r="B915" s="6">
        <v>45624</v>
      </c>
      <c r="C915" s="7">
        <v>0.54166666666666663</v>
      </c>
      <c r="D915" s="5" t="s">
        <v>1934</v>
      </c>
      <c r="E915" s="5" t="s">
        <v>2102</v>
      </c>
      <c r="F915" s="5" t="s">
        <v>2240</v>
      </c>
      <c r="G915" s="5" t="s">
        <v>2255</v>
      </c>
      <c r="H915" s="5" t="s">
        <v>2260</v>
      </c>
      <c r="I915" s="5" t="s">
        <v>2260</v>
      </c>
      <c r="J915" s="5" t="s">
        <v>2264</v>
      </c>
      <c r="K915" s="8">
        <v>1</v>
      </c>
      <c r="L915" s="9">
        <v>180</v>
      </c>
      <c r="M915" s="10">
        <v>0.1</v>
      </c>
      <c r="N915" s="9">
        <f t="shared" si="178"/>
        <v>180</v>
      </c>
      <c r="O915" s="9">
        <f t="shared" si="168"/>
        <v>162</v>
      </c>
      <c r="P915" s="5" t="s">
        <v>1761</v>
      </c>
      <c r="Q915" s="5" t="s">
        <v>2270</v>
      </c>
      <c r="R915" s="5" t="s">
        <v>2275</v>
      </c>
      <c r="S915" s="5" t="s">
        <v>2284</v>
      </c>
      <c r="T915" s="5" t="s">
        <v>2290</v>
      </c>
      <c r="U915" s="8">
        <v>3</v>
      </c>
      <c r="V915" s="8">
        <v>31</v>
      </c>
      <c r="W915" s="8">
        <v>39</v>
      </c>
      <c r="X915" s="9">
        <v>71.7</v>
      </c>
      <c r="Y915" s="9">
        <f t="shared" si="169"/>
        <v>90.3</v>
      </c>
      <c r="Z915" s="5" t="s">
        <v>1761</v>
      </c>
      <c r="AA915" s="5" t="s">
        <v>2296</v>
      </c>
      <c r="AB915" s="9">
        <f t="shared" si="170"/>
        <v>180</v>
      </c>
      <c r="AC915" s="9">
        <f t="shared" si="171"/>
        <v>18</v>
      </c>
      <c r="AD915" s="9">
        <f t="shared" si="172"/>
        <v>162</v>
      </c>
      <c r="AE915" s="9">
        <f t="shared" si="173"/>
        <v>71.7</v>
      </c>
      <c r="AF915" s="9">
        <f t="shared" si="179"/>
        <v>90.3</v>
      </c>
      <c r="AG915" s="8">
        <f t="shared" si="174"/>
        <v>2024</v>
      </c>
      <c r="AH915" s="8">
        <f t="shared" si="175"/>
        <v>11</v>
      </c>
      <c r="AI915" s="5" t="str">
        <f t="shared" si="176"/>
        <v>Nov</v>
      </c>
      <c r="AJ915" s="5" t="str">
        <f t="shared" si="177"/>
        <v>Thursday</v>
      </c>
    </row>
    <row r="916" spans="1:36" x14ac:dyDescent="0.3">
      <c r="A916" s="5" t="s">
        <v>950</v>
      </c>
      <c r="B916" s="6">
        <v>45612</v>
      </c>
      <c r="C916" s="7">
        <v>0.76388888888888884</v>
      </c>
      <c r="D916" s="5" t="s">
        <v>1859</v>
      </c>
      <c r="E916" s="5" t="s">
        <v>1991</v>
      </c>
      <c r="F916" s="5" t="s">
        <v>2240</v>
      </c>
      <c r="G916" s="5" t="s">
        <v>2248</v>
      </c>
      <c r="H916" s="5" t="s">
        <v>2257</v>
      </c>
      <c r="I916" s="5" t="s">
        <v>2262</v>
      </c>
      <c r="J916" s="5" t="s">
        <v>2265</v>
      </c>
      <c r="K916" s="8">
        <v>2</v>
      </c>
      <c r="L916" s="9">
        <v>145</v>
      </c>
      <c r="M916" s="10">
        <v>0.15</v>
      </c>
      <c r="N916" s="9">
        <f t="shared" si="178"/>
        <v>290</v>
      </c>
      <c r="O916" s="9">
        <f t="shared" si="168"/>
        <v>246.5</v>
      </c>
      <c r="P916" s="5" t="s">
        <v>2269</v>
      </c>
      <c r="Q916" s="5" t="s">
        <v>2272</v>
      </c>
      <c r="R916" s="5" t="s">
        <v>2274</v>
      </c>
      <c r="S916" s="5" t="s">
        <v>2284</v>
      </c>
      <c r="T916" s="5" t="s">
        <v>2290</v>
      </c>
      <c r="U916" s="8">
        <v>4</v>
      </c>
      <c r="V916" s="8">
        <v>342</v>
      </c>
      <c r="W916" s="8">
        <v>25</v>
      </c>
      <c r="X916" s="9">
        <v>79.8</v>
      </c>
      <c r="Y916" s="9">
        <f t="shared" si="169"/>
        <v>86.9</v>
      </c>
      <c r="Z916" s="5" t="s">
        <v>2293</v>
      </c>
      <c r="AA916" s="5" t="s">
        <v>2296</v>
      </c>
      <c r="AB916" s="9">
        <f t="shared" si="170"/>
        <v>290</v>
      </c>
      <c r="AC916" s="9">
        <f t="shared" si="171"/>
        <v>43.5</v>
      </c>
      <c r="AD916" s="9">
        <f t="shared" si="172"/>
        <v>246.5</v>
      </c>
      <c r="AE916" s="9">
        <f t="shared" si="173"/>
        <v>159.6</v>
      </c>
      <c r="AF916" s="9">
        <f t="shared" si="179"/>
        <v>86.9</v>
      </c>
      <c r="AG916" s="8">
        <f t="shared" si="174"/>
        <v>2024</v>
      </c>
      <c r="AH916" s="8">
        <f t="shared" si="175"/>
        <v>11</v>
      </c>
      <c r="AI916" s="5" t="str">
        <f t="shared" si="176"/>
        <v>Nov</v>
      </c>
      <c r="AJ916" s="5" t="str">
        <f t="shared" si="177"/>
        <v>Saturday</v>
      </c>
    </row>
    <row r="917" spans="1:36" x14ac:dyDescent="0.3">
      <c r="A917" s="5" t="s">
        <v>951</v>
      </c>
      <c r="B917" s="6">
        <v>45493</v>
      </c>
      <c r="C917" s="7">
        <v>0.67708333333333337</v>
      </c>
      <c r="D917" s="5" t="s">
        <v>1798</v>
      </c>
      <c r="E917" s="5" t="s">
        <v>2125</v>
      </c>
      <c r="F917" s="5" t="s">
        <v>1761</v>
      </c>
      <c r="G917" s="5" t="s">
        <v>2248</v>
      </c>
      <c r="H917" s="5" t="s">
        <v>2257</v>
      </c>
      <c r="I917" s="5" t="s">
        <v>2262</v>
      </c>
      <c r="J917" s="5" t="s">
        <v>2266</v>
      </c>
      <c r="K917" s="8">
        <v>1</v>
      </c>
      <c r="L917" s="9">
        <v>140</v>
      </c>
      <c r="M917" s="10">
        <v>0.05</v>
      </c>
      <c r="N917" s="9">
        <f t="shared" si="178"/>
        <v>140</v>
      </c>
      <c r="O917" s="9">
        <f t="shared" si="168"/>
        <v>133</v>
      </c>
      <c r="P917" s="5" t="s">
        <v>2267</v>
      </c>
      <c r="Q917" s="5" t="s">
        <v>2272</v>
      </c>
      <c r="R917" s="5" t="s">
        <v>2273</v>
      </c>
      <c r="S917" s="5" t="s">
        <v>2287</v>
      </c>
      <c r="T917" s="5" t="s">
        <v>2288</v>
      </c>
      <c r="U917" s="8">
        <v>1</v>
      </c>
      <c r="V917" s="8">
        <v>364</v>
      </c>
      <c r="W917" s="8">
        <v>22</v>
      </c>
      <c r="X917" s="9">
        <v>74.12</v>
      </c>
      <c r="Y917" s="9">
        <f t="shared" si="169"/>
        <v>58.879999999999995</v>
      </c>
      <c r="Z917" s="5" t="s">
        <v>2292</v>
      </c>
      <c r="AA917" s="5" t="s">
        <v>1761</v>
      </c>
      <c r="AB917" s="9">
        <f t="shared" si="170"/>
        <v>140</v>
      </c>
      <c r="AC917" s="9">
        <f t="shared" si="171"/>
        <v>7</v>
      </c>
      <c r="AD917" s="9">
        <f t="shared" si="172"/>
        <v>133</v>
      </c>
      <c r="AE917" s="9">
        <f t="shared" si="173"/>
        <v>74.12</v>
      </c>
      <c r="AF917" s="9">
        <f t="shared" si="179"/>
        <v>58.879999999999995</v>
      </c>
      <c r="AG917" s="8">
        <f t="shared" si="174"/>
        <v>2024</v>
      </c>
      <c r="AH917" s="8">
        <f t="shared" si="175"/>
        <v>7</v>
      </c>
      <c r="AI917" s="5" t="str">
        <f t="shared" si="176"/>
        <v>Jul</v>
      </c>
      <c r="AJ917" s="5" t="str">
        <f t="shared" si="177"/>
        <v>Saturday</v>
      </c>
    </row>
    <row r="918" spans="1:36" x14ac:dyDescent="0.3">
      <c r="A918" s="5" t="s">
        <v>952</v>
      </c>
      <c r="B918" s="6">
        <v>45646</v>
      </c>
      <c r="C918" s="7">
        <v>0.36805555555555558</v>
      </c>
      <c r="D918" s="5" t="s">
        <v>1772</v>
      </c>
      <c r="E918" s="5" t="s">
        <v>2220</v>
      </c>
      <c r="F918" s="5" t="s">
        <v>2239</v>
      </c>
      <c r="G918" s="5" t="s">
        <v>2255</v>
      </c>
      <c r="H918" s="5" t="s">
        <v>2260</v>
      </c>
      <c r="I918" s="5" t="s">
        <v>2260</v>
      </c>
      <c r="J918" s="5" t="s">
        <v>2266</v>
      </c>
      <c r="K918" s="8">
        <v>1</v>
      </c>
      <c r="L918" s="9">
        <v>190</v>
      </c>
      <c r="M918" s="10">
        <v>0</v>
      </c>
      <c r="N918" s="9">
        <f t="shared" si="178"/>
        <v>190</v>
      </c>
      <c r="O918" s="9">
        <f t="shared" si="168"/>
        <v>190</v>
      </c>
      <c r="P918" s="5" t="s">
        <v>2268</v>
      </c>
      <c r="Q918" s="5" t="s">
        <v>2271</v>
      </c>
      <c r="R918" s="5" t="s">
        <v>2276</v>
      </c>
      <c r="S918" s="5" t="s">
        <v>2285</v>
      </c>
      <c r="T918" s="5" t="s">
        <v>2288</v>
      </c>
      <c r="U918" s="8">
        <v>5</v>
      </c>
      <c r="V918" s="8">
        <v>377</v>
      </c>
      <c r="W918" s="8">
        <v>18</v>
      </c>
      <c r="X918" s="9">
        <v>87.78</v>
      </c>
      <c r="Y918" s="9">
        <f t="shared" si="169"/>
        <v>102.22</v>
      </c>
      <c r="Z918" s="5" t="s">
        <v>1761</v>
      </c>
      <c r="AA918" s="5" t="s">
        <v>2297</v>
      </c>
      <c r="AB918" s="9">
        <f t="shared" si="170"/>
        <v>190</v>
      </c>
      <c r="AC918" s="9">
        <f t="shared" si="171"/>
        <v>0</v>
      </c>
      <c r="AD918" s="9">
        <f t="shared" si="172"/>
        <v>190</v>
      </c>
      <c r="AE918" s="9">
        <f t="shared" si="173"/>
        <v>87.78</v>
      </c>
      <c r="AF918" s="9">
        <f t="shared" si="179"/>
        <v>102.22</v>
      </c>
      <c r="AG918" s="8">
        <f t="shared" si="174"/>
        <v>2024</v>
      </c>
      <c r="AH918" s="8">
        <f t="shared" si="175"/>
        <v>12</v>
      </c>
      <c r="AI918" s="5" t="str">
        <f t="shared" si="176"/>
        <v>Dec</v>
      </c>
      <c r="AJ918" s="5" t="str">
        <f t="shared" si="177"/>
        <v>Friday</v>
      </c>
    </row>
    <row r="919" spans="1:36" x14ac:dyDescent="0.3">
      <c r="A919" s="5" t="s">
        <v>953</v>
      </c>
      <c r="B919" s="6">
        <v>45599</v>
      </c>
      <c r="C919" s="7">
        <v>0.63888888888888884</v>
      </c>
      <c r="D919" s="5" t="s">
        <v>1818</v>
      </c>
      <c r="E919" s="5" t="s">
        <v>1998</v>
      </c>
      <c r="F919" s="5" t="s">
        <v>2239</v>
      </c>
      <c r="G919" s="5" t="s">
        <v>2249</v>
      </c>
      <c r="H919" s="5" t="s">
        <v>2257</v>
      </c>
      <c r="I919" s="5" t="s">
        <v>2263</v>
      </c>
      <c r="J919" s="5" t="s">
        <v>2265</v>
      </c>
      <c r="K919" s="8">
        <v>2</v>
      </c>
      <c r="L919" s="9">
        <v>160</v>
      </c>
      <c r="M919" s="10">
        <v>0</v>
      </c>
      <c r="N919" s="9">
        <f t="shared" si="178"/>
        <v>320</v>
      </c>
      <c r="O919" s="9">
        <f t="shared" si="168"/>
        <v>320</v>
      </c>
      <c r="P919" s="5" t="s">
        <v>2267</v>
      </c>
      <c r="Q919" s="5" t="s">
        <v>2271</v>
      </c>
      <c r="R919" s="5" t="s">
        <v>2275</v>
      </c>
      <c r="S919" s="5" t="s">
        <v>2281</v>
      </c>
      <c r="T919" s="5" t="s">
        <v>2288</v>
      </c>
      <c r="U919" s="8">
        <v>5</v>
      </c>
      <c r="V919" s="8">
        <v>102</v>
      </c>
      <c r="W919" s="8">
        <v>32</v>
      </c>
      <c r="X919" s="9">
        <v>60.6</v>
      </c>
      <c r="Y919" s="9">
        <f t="shared" si="169"/>
        <v>198.8</v>
      </c>
      <c r="Z919" s="5" t="s">
        <v>2293</v>
      </c>
      <c r="AA919" s="5" t="s">
        <v>2299</v>
      </c>
      <c r="AB919" s="9">
        <f t="shared" si="170"/>
        <v>320</v>
      </c>
      <c r="AC919" s="9">
        <f t="shared" si="171"/>
        <v>0</v>
      </c>
      <c r="AD919" s="9">
        <f t="shared" si="172"/>
        <v>320</v>
      </c>
      <c r="AE919" s="9">
        <f t="shared" si="173"/>
        <v>121.2</v>
      </c>
      <c r="AF919" s="9">
        <f t="shared" si="179"/>
        <v>198.8</v>
      </c>
      <c r="AG919" s="8">
        <f t="shared" si="174"/>
        <v>2024</v>
      </c>
      <c r="AH919" s="8">
        <f t="shared" si="175"/>
        <v>11</v>
      </c>
      <c r="AI919" s="5" t="str">
        <f t="shared" si="176"/>
        <v>Nov</v>
      </c>
      <c r="AJ919" s="5" t="str">
        <f t="shared" si="177"/>
        <v>Sunday</v>
      </c>
    </row>
    <row r="920" spans="1:36" x14ac:dyDescent="0.3">
      <c r="A920" s="5" t="s">
        <v>954</v>
      </c>
      <c r="B920" s="6">
        <v>45444</v>
      </c>
      <c r="C920" s="7">
        <v>0.43055555555555558</v>
      </c>
      <c r="D920" s="5" t="s">
        <v>1905</v>
      </c>
      <c r="E920" s="5" t="s">
        <v>2029</v>
      </c>
      <c r="F920" s="5" t="s">
        <v>2238</v>
      </c>
      <c r="G920" s="5" t="s">
        <v>2248</v>
      </c>
      <c r="H920" s="5" t="s">
        <v>2257</v>
      </c>
      <c r="I920" s="5" t="s">
        <v>2262</v>
      </c>
      <c r="J920" s="5" t="s">
        <v>2265</v>
      </c>
      <c r="K920" s="8">
        <v>1</v>
      </c>
      <c r="L920" s="9">
        <v>140</v>
      </c>
      <c r="M920" s="10">
        <v>0</v>
      </c>
      <c r="N920" s="9">
        <f t="shared" si="178"/>
        <v>140</v>
      </c>
      <c r="O920" s="9">
        <f t="shared" si="168"/>
        <v>140</v>
      </c>
      <c r="P920" s="5" t="s">
        <v>2269</v>
      </c>
      <c r="Q920" s="5" t="s">
        <v>2270</v>
      </c>
      <c r="R920" s="5" t="s">
        <v>2279</v>
      </c>
      <c r="S920" s="5" t="s">
        <v>2283</v>
      </c>
      <c r="T920" s="5" t="s">
        <v>2288</v>
      </c>
      <c r="U920" s="8">
        <v>5</v>
      </c>
      <c r="V920" s="19">
        <v>244</v>
      </c>
      <c r="W920" s="8">
        <v>10</v>
      </c>
      <c r="X920" s="9">
        <v>58.34</v>
      </c>
      <c r="Y920" s="9">
        <f t="shared" si="169"/>
        <v>81.66</v>
      </c>
      <c r="Z920" s="5" t="s">
        <v>2293</v>
      </c>
      <c r="AA920" s="5" t="s">
        <v>2296</v>
      </c>
      <c r="AB920" s="9">
        <f t="shared" si="170"/>
        <v>140</v>
      </c>
      <c r="AC920" s="9">
        <f t="shared" si="171"/>
        <v>0</v>
      </c>
      <c r="AD920" s="9">
        <f t="shared" si="172"/>
        <v>140</v>
      </c>
      <c r="AE920" s="9">
        <f t="shared" si="173"/>
        <v>58.34</v>
      </c>
      <c r="AF920" s="9">
        <f t="shared" si="179"/>
        <v>81.66</v>
      </c>
      <c r="AG920" s="8">
        <f t="shared" si="174"/>
        <v>2024</v>
      </c>
      <c r="AH920" s="8">
        <f t="shared" si="175"/>
        <v>6</v>
      </c>
      <c r="AI920" s="5" t="str">
        <f t="shared" si="176"/>
        <v>Jun</v>
      </c>
      <c r="AJ920" s="5" t="str">
        <f t="shared" si="177"/>
        <v>Saturday</v>
      </c>
    </row>
    <row r="921" spans="1:36" x14ac:dyDescent="0.3">
      <c r="A921" s="5" t="s">
        <v>955</v>
      </c>
      <c r="B921" s="6">
        <v>45329</v>
      </c>
      <c r="C921" s="7">
        <v>0.48958333333333331</v>
      </c>
      <c r="D921" s="5" t="s">
        <v>1924</v>
      </c>
      <c r="E921" s="5" t="s">
        <v>2078</v>
      </c>
      <c r="F921" s="5" t="s">
        <v>2239</v>
      </c>
      <c r="G921" s="5" t="s">
        <v>2245</v>
      </c>
      <c r="H921" s="5" t="s">
        <v>2257</v>
      </c>
      <c r="I921" s="5" t="s">
        <v>2263</v>
      </c>
      <c r="J921" s="5" t="s">
        <v>2266</v>
      </c>
      <c r="K921" s="19">
        <v>1</v>
      </c>
      <c r="L921" s="9">
        <v>155</v>
      </c>
      <c r="M921" s="10">
        <v>0.1</v>
      </c>
      <c r="N921" s="9">
        <f t="shared" si="178"/>
        <v>155</v>
      </c>
      <c r="O921" s="9">
        <f t="shared" si="168"/>
        <v>139.5</v>
      </c>
      <c r="P921" s="5" t="s">
        <v>2269</v>
      </c>
      <c r="Q921" s="5" t="s">
        <v>1761</v>
      </c>
      <c r="R921" s="5" t="s">
        <v>2277</v>
      </c>
      <c r="S921" s="5" t="s">
        <v>2286</v>
      </c>
      <c r="T921" s="5" t="s">
        <v>2288</v>
      </c>
      <c r="U921" s="8">
        <v>3</v>
      </c>
      <c r="V921" s="19">
        <v>244</v>
      </c>
      <c r="W921" s="8">
        <v>50</v>
      </c>
      <c r="X921" s="9">
        <v>53.29</v>
      </c>
      <c r="Y921" s="9">
        <f t="shared" si="169"/>
        <v>86.210000000000008</v>
      </c>
      <c r="Z921" s="5" t="s">
        <v>2292</v>
      </c>
      <c r="AA921" s="5" t="s">
        <v>2298</v>
      </c>
      <c r="AB921" s="9">
        <f t="shared" si="170"/>
        <v>155</v>
      </c>
      <c r="AC921" s="9">
        <f t="shared" si="171"/>
        <v>15.5</v>
      </c>
      <c r="AD921" s="9">
        <f t="shared" si="172"/>
        <v>139.5</v>
      </c>
      <c r="AE921" s="9">
        <f t="shared" si="173"/>
        <v>53.29</v>
      </c>
      <c r="AF921" s="9">
        <f t="shared" si="179"/>
        <v>86.210000000000008</v>
      </c>
      <c r="AG921" s="8">
        <f t="shared" si="174"/>
        <v>2024</v>
      </c>
      <c r="AH921" s="8">
        <f t="shared" si="175"/>
        <v>2</v>
      </c>
      <c r="AI921" s="5" t="str">
        <f t="shared" si="176"/>
        <v>Feb</v>
      </c>
      <c r="AJ921" s="5" t="str">
        <f t="shared" si="177"/>
        <v>Wednesday</v>
      </c>
    </row>
    <row r="922" spans="1:36" x14ac:dyDescent="0.3">
      <c r="A922" s="5" t="s">
        <v>956</v>
      </c>
      <c r="B922" s="6">
        <v>45422</v>
      </c>
      <c r="C922" s="7">
        <v>0.53125</v>
      </c>
      <c r="D922" s="5" t="s">
        <v>1919</v>
      </c>
      <c r="E922" s="5" t="s">
        <v>2214</v>
      </c>
      <c r="F922" s="5" t="s">
        <v>2239</v>
      </c>
      <c r="G922" s="5" t="s">
        <v>2256</v>
      </c>
      <c r="H922" s="5" t="s">
        <v>2261</v>
      </c>
      <c r="I922" s="5" t="s">
        <v>2260</v>
      </c>
      <c r="J922" s="5" t="s">
        <v>2264</v>
      </c>
      <c r="K922" s="8">
        <v>4</v>
      </c>
      <c r="L922" s="9">
        <v>185</v>
      </c>
      <c r="M922" s="10">
        <v>0.05</v>
      </c>
      <c r="N922" s="9">
        <f t="shared" si="178"/>
        <v>740</v>
      </c>
      <c r="O922" s="9">
        <f t="shared" si="168"/>
        <v>703</v>
      </c>
      <c r="P922" s="5" t="s">
        <v>2268</v>
      </c>
      <c r="Q922" s="5" t="s">
        <v>1761</v>
      </c>
      <c r="R922" s="5" t="s">
        <v>2274</v>
      </c>
      <c r="S922" s="5" t="s">
        <v>2281</v>
      </c>
      <c r="T922" s="5" t="s">
        <v>2289</v>
      </c>
      <c r="U922" s="8">
        <v>3</v>
      </c>
      <c r="V922" s="8">
        <v>286</v>
      </c>
      <c r="W922" s="19">
        <v>36</v>
      </c>
      <c r="X922" s="9">
        <v>101.47</v>
      </c>
      <c r="Y922" s="9">
        <f t="shared" si="169"/>
        <v>297.12</v>
      </c>
      <c r="Z922" s="5" t="s">
        <v>2291</v>
      </c>
      <c r="AA922" s="5" t="s">
        <v>1761</v>
      </c>
      <c r="AB922" s="9">
        <f t="shared" si="170"/>
        <v>740</v>
      </c>
      <c r="AC922" s="9">
        <f t="shared" si="171"/>
        <v>37</v>
      </c>
      <c r="AD922" s="9">
        <f t="shared" si="172"/>
        <v>703</v>
      </c>
      <c r="AE922" s="9">
        <f t="shared" si="173"/>
        <v>405.88</v>
      </c>
      <c r="AF922" s="9">
        <f t="shared" si="179"/>
        <v>297.12</v>
      </c>
      <c r="AG922" s="8">
        <f t="shared" si="174"/>
        <v>2024</v>
      </c>
      <c r="AH922" s="8">
        <f t="shared" si="175"/>
        <v>5</v>
      </c>
      <c r="AI922" s="5" t="str">
        <f t="shared" si="176"/>
        <v>May</v>
      </c>
      <c r="AJ922" s="5" t="str">
        <f t="shared" si="177"/>
        <v>Friday</v>
      </c>
    </row>
    <row r="923" spans="1:36" x14ac:dyDescent="0.3">
      <c r="A923" s="5" t="s">
        <v>957</v>
      </c>
      <c r="B923" s="6">
        <v>45657</v>
      </c>
      <c r="C923" s="7">
        <v>0.36805555555555558</v>
      </c>
      <c r="D923" s="5" t="s">
        <v>1802</v>
      </c>
      <c r="E923" s="5" t="s">
        <v>1971</v>
      </c>
      <c r="F923" s="5" t="s">
        <v>2240</v>
      </c>
      <c r="G923" s="5" t="s">
        <v>2246</v>
      </c>
      <c r="H923" s="5" t="s">
        <v>2259</v>
      </c>
      <c r="I923" s="5" t="s">
        <v>2262</v>
      </c>
      <c r="J923" s="5" t="s">
        <v>2264</v>
      </c>
      <c r="K923" s="8">
        <v>3</v>
      </c>
      <c r="L923" s="9">
        <v>105</v>
      </c>
      <c r="M923" s="10">
        <v>0.05</v>
      </c>
      <c r="N923" s="9">
        <f t="shared" si="178"/>
        <v>315</v>
      </c>
      <c r="O923" s="9">
        <f t="shared" si="168"/>
        <v>299.25</v>
      </c>
      <c r="P923" s="5" t="s">
        <v>2267</v>
      </c>
      <c r="Q923" s="5" t="s">
        <v>2271</v>
      </c>
      <c r="R923" s="5" t="s">
        <v>2277</v>
      </c>
      <c r="S923" s="5" t="s">
        <v>2285</v>
      </c>
      <c r="T923" s="5" t="s">
        <v>2289</v>
      </c>
      <c r="U923" s="8">
        <v>5</v>
      </c>
      <c r="V923" s="8">
        <v>385</v>
      </c>
      <c r="W923" s="8">
        <v>26</v>
      </c>
      <c r="X923" s="9">
        <v>44.49</v>
      </c>
      <c r="Y923" s="9">
        <f t="shared" si="169"/>
        <v>165.78</v>
      </c>
      <c r="Z923" s="5" t="s">
        <v>2294</v>
      </c>
      <c r="AA923" s="5" t="s">
        <v>2296</v>
      </c>
      <c r="AB923" s="9">
        <f t="shared" si="170"/>
        <v>315</v>
      </c>
      <c r="AC923" s="9">
        <f t="shared" si="171"/>
        <v>15.75</v>
      </c>
      <c r="AD923" s="9">
        <f t="shared" si="172"/>
        <v>299.25</v>
      </c>
      <c r="AE923" s="9">
        <f t="shared" si="173"/>
        <v>133.47</v>
      </c>
      <c r="AF923" s="9">
        <f t="shared" si="179"/>
        <v>165.78</v>
      </c>
      <c r="AG923" s="8">
        <f t="shared" si="174"/>
        <v>2024</v>
      </c>
      <c r="AH923" s="8">
        <f t="shared" si="175"/>
        <v>12</v>
      </c>
      <c r="AI923" s="5" t="str">
        <f t="shared" si="176"/>
        <v>Dec</v>
      </c>
      <c r="AJ923" s="5" t="str">
        <f t="shared" si="177"/>
        <v>Tuesday</v>
      </c>
    </row>
    <row r="924" spans="1:36" x14ac:dyDescent="0.3">
      <c r="A924" s="5" t="s">
        <v>958</v>
      </c>
      <c r="B924" s="6">
        <v>45613</v>
      </c>
      <c r="C924" s="7">
        <v>0.72916666666666663</v>
      </c>
      <c r="D924" s="5" t="s">
        <v>1917</v>
      </c>
      <c r="E924" s="5" t="s">
        <v>1761</v>
      </c>
      <c r="F924" s="5" t="s">
        <v>2239</v>
      </c>
      <c r="G924" s="5" t="s">
        <v>2256</v>
      </c>
      <c r="H924" s="5" t="s">
        <v>2261</v>
      </c>
      <c r="I924" s="5" t="s">
        <v>2260</v>
      </c>
      <c r="J924" s="5" t="s">
        <v>2266</v>
      </c>
      <c r="K924" s="8">
        <v>1</v>
      </c>
      <c r="L924" s="9">
        <v>190</v>
      </c>
      <c r="M924" s="10">
        <v>0</v>
      </c>
      <c r="N924" s="9">
        <f t="shared" si="178"/>
        <v>190</v>
      </c>
      <c r="O924" s="9">
        <f t="shared" si="168"/>
        <v>190</v>
      </c>
      <c r="P924" s="5" t="s">
        <v>2267</v>
      </c>
      <c r="Q924" s="5" t="s">
        <v>2270</v>
      </c>
      <c r="R924" s="5" t="s">
        <v>2278</v>
      </c>
      <c r="S924" s="5" t="s">
        <v>2280</v>
      </c>
      <c r="T924" s="5" t="s">
        <v>2288</v>
      </c>
      <c r="U924" s="8">
        <v>1</v>
      </c>
      <c r="V924" s="8">
        <v>479</v>
      </c>
      <c r="W924" s="8">
        <v>18</v>
      </c>
      <c r="X924" s="9">
        <v>96.62</v>
      </c>
      <c r="Y924" s="9">
        <f t="shared" si="169"/>
        <v>93.38</v>
      </c>
      <c r="Z924" s="5" t="s">
        <v>1761</v>
      </c>
      <c r="AA924" s="5" t="s">
        <v>2298</v>
      </c>
      <c r="AB924" s="9">
        <f t="shared" si="170"/>
        <v>190</v>
      </c>
      <c r="AC924" s="9">
        <f t="shared" si="171"/>
        <v>0</v>
      </c>
      <c r="AD924" s="9">
        <f t="shared" si="172"/>
        <v>190</v>
      </c>
      <c r="AE924" s="9">
        <f t="shared" si="173"/>
        <v>96.62</v>
      </c>
      <c r="AF924" s="9">
        <f t="shared" si="179"/>
        <v>93.38</v>
      </c>
      <c r="AG924" s="8">
        <f t="shared" si="174"/>
        <v>2024</v>
      </c>
      <c r="AH924" s="8">
        <f t="shared" si="175"/>
        <v>11</v>
      </c>
      <c r="AI924" s="5" t="str">
        <f t="shared" si="176"/>
        <v>Nov</v>
      </c>
      <c r="AJ924" s="5" t="str">
        <f t="shared" si="177"/>
        <v>Sunday</v>
      </c>
    </row>
    <row r="925" spans="1:36" x14ac:dyDescent="0.3">
      <c r="A925" s="5" t="s">
        <v>959</v>
      </c>
      <c r="B925" s="6">
        <v>45345</v>
      </c>
      <c r="C925" s="7">
        <v>0.30555555555555558</v>
      </c>
      <c r="D925" s="5" t="s">
        <v>1903</v>
      </c>
      <c r="E925" s="5" t="s">
        <v>2226</v>
      </c>
      <c r="F925" s="5" t="s">
        <v>2239</v>
      </c>
      <c r="G925" s="5" t="s">
        <v>2249</v>
      </c>
      <c r="H925" s="5" t="s">
        <v>2257</v>
      </c>
      <c r="I925" s="5" t="s">
        <v>2263</v>
      </c>
      <c r="J925" s="5" t="s">
        <v>2265</v>
      </c>
      <c r="K925" s="8">
        <v>3</v>
      </c>
      <c r="L925" s="9">
        <v>160</v>
      </c>
      <c r="M925" s="10">
        <v>0.1</v>
      </c>
      <c r="N925" s="9">
        <f t="shared" si="178"/>
        <v>480</v>
      </c>
      <c r="O925" s="9">
        <f t="shared" si="168"/>
        <v>432</v>
      </c>
      <c r="P925" s="5" t="s">
        <v>2269</v>
      </c>
      <c r="Q925" s="5" t="s">
        <v>2272</v>
      </c>
      <c r="R925" s="5" t="s">
        <v>2276</v>
      </c>
      <c r="S925" s="5" t="s">
        <v>2287</v>
      </c>
      <c r="T925" s="5" t="s">
        <v>2290</v>
      </c>
      <c r="U925" s="19">
        <v>3</v>
      </c>
      <c r="V925" s="19">
        <v>244</v>
      </c>
      <c r="W925" s="8">
        <v>36</v>
      </c>
      <c r="X925" s="9">
        <v>63.97</v>
      </c>
      <c r="Y925" s="9">
        <f t="shared" si="169"/>
        <v>240.09</v>
      </c>
      <c r="Z925" s="5" t="s">
        <v>2294</v>
      </c>
      <c r="AA925" s="5" t="s">
        <v>2297</v>
      </c>
      <c r="AB925" s="9">
        <f t="shared" si="170"/>
        <v>480</v>
      </c>
      <c r="AC925" s="9">
        <f t="shared" si="171"/>
        <v>48</v>
      </c>
      <c r="AD925" s="9">
        <f t="shared" si="172"/>
        <v>432</v>
      </c>
      <c r="AE925" s="9">
        <f t="shared" si="173"/>
        <v>191.91</v>
      </c>
      <c r="AF925" s="9">
        <f t="shared" si="179"/>
        <v>240.09</v>
      </c>
      <c r="AG925" s="8">
        <f t="shared" si="174"/>
        <v>2024</v>
      </c>
      <c r="AH925" s="8">
        <f t="shared" si="175"/>
        <v>2</v>
      </c>
      <c r="AI925" s="5" t="str">
        <f t="shared" si="176"/>
        <v>Feb</v>
      </c>
      <c r="AJ925" s="5" t="str">
        <f t="shared" si="177"/>
        <v>Friday</v>
      </c>
    </row>
    <row r="926" spans="1:36" x14ac:dyDescent="0.3">
      <c r="A926" s="5" t="s">
        <v>960</v>
      </c>
      <c r="B926" s="6">
        <v>45648</v>
      </c>
      <c r="C926" s="7">
        <v>0.83333333333333337</v>
      </c>
      <c r="D926" s="5" t="s">
        <v>1923</v>
      </c>
      <c r="E926" s="5" t="s">
        <v>1973</v>
      </c>
      <c r="F926" s="5" t="s">
        <v>2239</v>
      </c>
      <c r="G926" s="5" t="s">
        <v>2253</v>
      </c>
      <c r="H926" s="5" t="s">
        <v>2258</v>
      </c>
      <c r="I926" s="5" t="s">
        <v>2260</v>
      </c>
      <c r="J926" s="5" t="s">
        <v>2266</v>
      </c>
      <c r="K926" s="8">
        <v>1</v>
      </c>
      <c r="L926" s="9">
        <v>95</v>
      </c>
      <c r="M926" s="10">
        <v>0.15</v>
      </c>
      <c r="N926" s="9">
        <f t="shared" si="178"/>
        <v>95</v>
      </c>
      <c r="O926" s="9">
        <f t="shared" si="168"/>
        <v>80.75</v>
      </c>
      <c r="P926" s="5" t="s">
        <v>2269</v>
      </c>
      <c r="Q926" s="5" t="s">
        <v>2270</v>
      </c>
      <c r="R926" s="5" t="s">
        <v>2275</v>
      </c>
      <c r="S926" s="5" t="s">
        <v>2287</v>
      </c>
      <c r="T926" s="5" t="s">
        <v>2288</v>
      </c>
      <c r="U926" s="8">
        <v>5</v>
      </c>
      <c r="V926" s="8">
        <v>251</v>
      </c>
      <c r="W926" s="8">
        <v>50</v>
      </c>
      <c r="X926" s="9">
        <v>34.53</v>
      </c>
      <c r="Y926" s="9">
        <f t="shared" si="169"/>
        <v>46.22</v>
      </c>
      <c r="Z926" s="5" t="s">
        <v>2294</v>
      </c>
      <c r="AA926" s="5" t="s">
        <v>2296</v>
      </c>
      <c r="AB926" s="9">
        <f t="shared" si="170"/>
        <v>95</v>
      </c>
      <c r="AC926" s="9">
        <f t="shared" si="171"/>
        <v>14.25</v>
      </c>
      <c r="AD926" s="9">
        <f t="shared" si="172"/>
        <v>80.75</v>
      </c>
      <c r="AE926" s="9">
        <f t="shared" si="173"/>
        <v>34.53</v>
      </c>
      <c r="AF926" s="9">
        <f t="shared" si="179"/>
        <v>46.22</v>
      </c>
      <c r="AG926" s="8">
        <f t="shared" si="174"/>
        <v>2024</v>
      </c>
      <c r="AH926" s="8">
        <f t="shared" si="175"/>
        <v>12</v>
      </c>
      <c r="AI926" s="5" t="str">
        <f t="shared" si="176"/>
        <v>Dec</v>
      </c>
      <c r="AJ926" s="5" t="str">
        <f t="shared" si="177"/>
        <v>Sunday</v>
      </c>
    </row>
    <row r="927" spans="1:36" x14ac:dyDescent="0.3">
      <c r="A927" s="5" t="s">
        <v>961</v>
      </c>
      <c r="B927" s="6">
        <v>45431</v>
      </c>
      <c r="C927" s="7">
        <v>0.34027777777777779</v>
      </c>
      <c r="D927" s="5" t="s">
        <v>1874</v>
      </c>
      <c r="E927" s="5" t="s">
        <v>1761</v>
      </c>
      <c r="F927" s="5" t="s">
        <v>2240</v>
      </c>
      <c r="G927" s="5" t="s">
        <v>2250</v>
      </c>
      <c r="H927" s="5" t="s">
        <v>2259</v>
      </c>
      <c r="I927" s="5" t="s">
        <v>2262</v>
      </c>
      <c r="J927" s="5" t="s">
        <v>2264</v>
      </c>
      <c r="K927" s="8">
        <v>1</v>
      </c>
      <c r="L927" s="9">
        <v>85</v>
      </c>
      <c r="M927" s="10">
        <v>0.05</v>
      </c>
      <c r="N927" s="9">
        <f t="shared" si="178"/>
        <v>85</v>
      </c>
      <c r="O927" s="9">
        <f t="shared" si="168"/>
        <v>80.75</v>
      </c>
      <c r="P927" s="5" t="s">
        <v>2268</v>
      </c>
      <c r="Q927" s="5" t="s">
        <v>1761</v>
      </c>
      <c r="R927" s="5" t="s">
        <v>2275</v>
      </c>
      <c r="S927" s="5" t="s">
        <v>2285</v>
      </c>
      <c r="T927" s="5" t="s">
        <v>2288</v>
      </c>
      <c r="U927" s="19">
        <v>3</v>
      </c>
      <c r="V927" s="8">
        <v>471</v>
      </c>
      <c r="W927" s="8">
        <v>24</v>
      </c>
      <c r="X927" s="9">
        <v>46.7</v>
      </c>
      <c r="Y927" s="9">
        <f t="shared" si="169"/>
        <v>34.049999999999997</v>
      </c>
      <c r="Z927" s="5" t="s">
        <v>1761</v>
      </c>
      <c r="AA927" s="5" t="s">
        <v>2298</v>
      </c>
      <c r="AB927" s="9">
        <f t="shared" si="170"/>
        <v>85</v>
      </c>
      <c r="AC927" s="9">
        <f t="shared" si="171"/>
        <v>4.25</v>
      </c>
      <c r="AD927" s="9">
        <f t="shared" si="172"/>
        <v>80.75</v>
      </c>
      <c r="AE927" s="9">
        <f t="shared" si="173"/>
        <v>46.7</v>
      </c>
      <c r="AF927" s="9">
        <f t="shared" si="179"/>
        <v>34.049999999999997</v>
      </c>
      <c r="AG927" s="8">
        <f t="shared" si="174"/>
        <v>2024</v>
      </c>
      <c r="AH927" s="8">
        <f t="shared" si="175"/>
        <v>5</v>
      </c>
      <c r="AI927" s="5" t="str">
        <f t="shared" si="176"/>
        <v>May</v>
      </c>
      <c r="AJ927" s="5" t="str">
        <f t="shared" si="177"/>
        <v>Sunday</v>
      </c>
    </row>
    <row r="928" spans="1:36" x14ac:dyDescent="0.3">
      <c r="A928" s="5" t="s">
        <v>962</v>
      </c>
      <c r="B928" s="6">
        <v>45533</v>
      </c>
      <c r="C928" s="7">
        <v>0.30208333333333331</v>
      </c>
      <c r="D928" s="5" t="s">
        <v>1779</v>
      </c>
      <c r="E928" s="5" t="s">
        <v>2192</v>
      </c>
      <c r="F928" s="5" t="s">
        <v>1761</v>
      </c>
      <c r="G928" s="5" t="s">
        <v>2250</v>
      </c>
      <c r="H928" s="5" t="s">
        <v>2259</v>
      </c>
      <c r="I928" s="5" t="s">
        <v>2262</v>
      </c>
      <c r="J928" s="5" t="s">
        <v>2266</v>
      </c>
      <c r="K928" s="8">
        <v>1</v>
      </c>
      <c r="L928" s="9">
        <v>90</v>
      </c>
      <c r="M928" s="10">
        <v>0</v>
      </c>
      <c r="N928" s="9">
        <f t="shared" si="178"/>
        <v>90</v>
      </c>
      <c r="O928" s="9">
        <f t="shared" si="168"/>
        <v>90</v>
      </c>
      <c r="P928" s="5" t="s">
        <v>2267</v>
      </c>
      <c r="Q928" s="5" t="s">
        <v>2272</v>
      </c>
      <c r="R928" s="5" t="s">
        <v>2277</v>
      </c>
      <c r="S928" s="5" t="s">
        <v>2287</v>
      </c>
      <c r="T928" s="5" t="s">
        <v>2288</v>
      </c>
      <c r="U928" s="8">
        <v>2</v>
      </c>
      <c r="V928" s="8">
        <v>471</v>
      </c>
      <c r="W928" s="8">
        <v>13</v>
      </c>
      <c r="X928" s="9">
        <v>37.03</v>
      </c>
      <c r="Y928" s="9">
        <f t="shared" si="169"/>
        <v>52.97</v>
      </c>
      <c r="Z928" s="5" t="s">
        <v>1761</v>
      </c>
      <c r="AA928" s="5" t="s">
        <v>2299</v>
      </c>
      <c r="AB928" s="9">
        <f t="shared" si="170"/>
        <v>90</v>
      </c>
      <c r="AC928" s="9">
        <f t="shared" si="171"/>
        <v>0</v>
      </c>
      <c r="AD928" s="9">
        <f t="shared" si="172"/>
        <v>90</v>
      </c>
      <c r="AE928" s="9">
        <f t="shared" si="173"/>
        <v>37.03</v>
      </c>
      <c r="AF928" s="9">
        <f t="shared" si="179"/>
        <v>52.97</v>
      </c>
      <c r="AG928" s="8">
        <f t="shared" si="174"/>
        <v>2024</v>
      </c>
      <c r="AH928" s="8">
        <f t="shared" si="175"/>
        <v>8</v>
      </c>
      <c r="AI928" s="5" t="str">
        <f t="shared" si="176"/>
        <v>Aug</v>
      </c>
      <c r="AJ928" s="5" t="str">
        <f t="shared" si="177"/>
        <v>Thursday</v>
      </c>
    </row>
    <row r="929" spans="1:36" x14ac:dyDescent="0.3">
      <c r="A929" s="5" t="s">
        <v>963</v>
      </c>
      <c r="B929" s="6">
        <v>45298</v>
      </c>
      <c r="C929" s="7">
        <v>0.44791666666666669</v>
      </c>
      <c r="D929" s="5" t="s">
        <v>1923</v>
      </c>
      <c r="E929" s="5" t="s">
        <v>1761</v>
      </c>
      <c r="F929" s="5" t="s">
        <v>2239</v>
      </c>
      <c r="G929" s="5" t="s">
        <v>2248</v>
      </c>
      <c r="H929" s="5" t="s">
        <v>2257</v>
      </c>
      <c r="I929" s="5" t="s">
        <v>2262</v>
      </c>
      <c r="J929" s="5" t="s">
        <v>2265</v>
      </c>
      <c r="K929" s="8">
        <v>1</v>
      </c>
      <c r="L929" s="9">
        <v>140</v>
      </c>
      <c r="M929" s="10">
        <v>0.15</v>
      </c>
      <c r="N929" s="9">
        <f t="shared" si="178"/>
        <v>140</v>
      </c>
      <c r="O929" s="9">
        <f t="shared" si="168"/>
        <v>119</v>
      </c>
      <c r="P929" s="5" t="s">
        <v>2269</v>
      </c>
      <c r="Q929" s="5" t="s">
        <v>2270</v>
      </c>
      <c r="R929" s="5" t="s">
        <v>2276</v>
      </c>
      <c r="S929" s="5" t="s">
        <v>2284</v>
      </c>
      <c r="T929" s="5" t="s">
        <v>2288</v>
      </c>
      <c r="U929" s="8">
        <v>2</v>
      </c>
      <c r="V929" s="8">
        <v>87</v>
      </c>
      <c r="W929" s="8">
        <v>40</v>
      </c>
      <c r="X929" s="9">
        <v>62.48</v>
      </c>
      <c r="Y929" s="9">
        <f t="shared" si="169"/>
        <v>56.52</v>
      </c>
      <c r="Z929" s="5" t="s">
        <v>2292</v>
      </c>
      <c r="AA929" s="5" t="s">
        <v>2296</v>
      </c>
      <c r="AB929" s="9">
        <f t="shared" si="170"/>
        <v>140</v>
      </c>
      <c r="AC929" s="9">
        <f t="shared" si="171"/>
        <v>21</v>
      </c>
      <c r="AD929" s="9">
        <f t="shared" si="172"/>
        <v>119</v>
      </c>
      <c r="AE929" s="9">
        <f t="shared" si="173"/>
        <v>62.48</v>
      </c>
      <c r="AF929" s="9">
        <f t="shared" si="179"/>
        <v>56.52</v>
      </c>
      <c r="AG929" s="8">
        <f t="shared" si="174"/>
        <v>2024</v>
      </c>
      <c r="AH929" s="8">
        <f t="shared" si="175"/>
        <v>1</v>
      </c>
      <c r="AI929" s="5" t="str">
        <f t="shared" si="176"/>
        <v>Jan</v>
      </c>
      <c r="AJ929" s="5" t="str">
        <f t="shared" si="177"/>
        <v>Sunday</v>
      </c>
    </row>
    <row r="930" spans="1:36" x14ac:dyDescent="0.3">
      <c r="A930" s="5" t="s">
        <v>964</v>
      </c>
      <c r="B930" s="6">
        <v>45468</v>
      </c>
      <c r="C930" s="7">
        <v>0.73958333333333337</v>
      </c>
      <c r="D930" s="5" t="s">
        <v>1937</v>
      </c>
      <c r="E930" s="5" t="s">
        <v>2126</v>
      </c>
      <c r="F930" s="5" t="s">
        <v>2238</v>
      </c>
      <c r="G930" s="5" t="s">
        <v>2244</v>
      </c>
      <c r="H930" s="5" t="s">
        <v>2257</v>
      </c>
      <c r="I930" s="5" t="s">
        <v>2262</v>
      </c>
      <c r="J930" s="5" t="s">
        <v>2265</v>
      </c>
      <c r="K930" s="8">
        <v>3</v>
      </c>
      <c r="L930" s="9">
        <v>115</v>
      </c>
      <c r="M930" s="10">
        <v>0</v>
      </c>
      <c r="N930" s="9">
        <f t="shared" si="178"/>
        <v>345</v>
      </c>
      <c r="O930" s="9">
        <f t="shared" si="168"/>
        <v>345</v>
      </c>
      <c r="P930" s="5" t="s">
        <v>2267</v>
      </c>
      <c r="Q930" s="5" t="s">
        <v>2270</v>
      </c>
      <c r="R930" s="5" t="s">
        <v>2274</v>
      </c>
      <c r="S930" s="5" t="s">
        <v>2281</v>
      </c>
      <c r="T930" s="5" t="s">
        <v>2288</v>
      </c>
      <c r="U930" s="8">
        <v>5</v>
      </c>
      <c r="V930" s="8">
        <v>316</v>
      </c>
      <c r="W930" s="19">
        <v>34</v>
      </c>
      <c r="X930" s="9">
        <v>53.18</v>
      </c>
      <c r="Y930" s="9">
        <f t="shared" si="169"/>
        <v>185.46</v>
      </c>
      <c r="Z930" s="5" t="s">
        <v>2294</v>
      </c>
      <c r="AA930" s="5" t="s">
        <v>2298</v>
      </c>
      <c r="AB930" s="9">
        <f t="shared" si="170"/>
        <v>345</v>
      </c>
      <c r="AC930" s="9">
        <f t="shared" si="171"/>
        <v>0</v>
      </c>
      <c r="AD930" s="9">
        <f t="shared" si="172"/>
        <v>345</v>
      </c>
      <c r="AE930" s="9">
        <f t="shared" si="173"/>
        <v>159.54</v>
      </c>
      <c r="AF930" s="9">
        <f t="shared" si="179"/>
        <v>185.46</v>
      </c>
      <c r="AG930" s="8">
        <f t="shared" si="174"/>
        <v>2024</v>
      </c>
      <c r="AH930" s="8">
        <f t="shared" si="175"/>
        <v>6</v>
      </c>
      <c r="AI930" s="5" t="str">
        <f t="shared" si="176"/>
        <v>Jun</v>
      </c>
      <c r="AJ930" s="5" t="str">
        <f t="shared" si="177"/>
        <v>Tuesday</v>
      </c>
    </row>
    <row r="931" spans="1:36" x14ac:dyDescent="0.3">
      <c r="A931" s="5" t="s">
        <v>965</v>
      </c>
      <c r="B931" s="6">
        <v>45385</v>
      </c>
      <c r="C931" s="7">
        <v>0.38541666666666669</v>
      </c>
      <c r="D931" s="5" t="s">
        <v>1893</v>
      </c>
      <c r="E931" s="5" t="s">
        <v>2136</v>
      </c>
      <c r="F931" s="5" t="s">
        <v>2239</v>
      </c>
      <c r="G931" s="5" t="s">
        <v>2249</v>
      </c>
      <c r="H931" s="5" t="s">
        <v>2257</v>
      </c>
      <c r="I931" s="5" t="s">
        <v>2263</v>
      </c>
      <c r="J931" s="5" t="s">
        <v>2264</v>
      </c>
      <c r="K931" s="8">
        <v>1</v>
      </c>
      <c r="L931" s="9">
        <v>160</v>
      </c>
      <c r="M931" s="10">
        <v>0</v>
      </c>
      <c r="N931" s="9">
        <f t="shared" si="178"/>
        <v>160</v>
      </c>
      <c r="O931" s="9">
        <f t="shared" si="168"/>
        <v>160</v>
      </c>
      <c r="P931" s="5" t="s">
        <v>2269</v>
      </c>
      <c r="Q931" s="5" t="s">
        <v>2270</v>
      </c>
      <c r="R931" s="5" t="s">
        <v>2277</v>
      </c>
      <c r="S931" s="5" t="s">
        <v>2283</v>
      </c>
      <c r="T931" s="5" t="s">
        <v>2288</v>
      </c>
      <c r="U931" s="8">
        <v>1</v>
      </c>
      <c r="V931" s="8">
        <v>194</v>
      </c>
      <c r="W931" s="19">
        <v>34</v>
      </c>
      <c r="X931" s="9">
        <v>81.569999999999993</v>
      </c>
      <c r="Y931" s="9">
        <f t="shared" si="169"/>
        <v>78.430000000000007</v>
      </c>
      <c r="Z931" s="5" t="s">
        <v>2292</v>
      </c>
      <c r="AA931" s="5" t="s">
        <v>2297</v>
      </c>
      <c r="AB931" s="9">
        <f t="shared" si="170"/>
        <v>160</v>
      </c>
      <c r="AC931" s="9">
        <f t="shared" si="171"/>
        <v>0</v>
      </c>
      <c r="AD931" s="9">
        <f t="shared" si="172"/>
        <v>160</v>
      </c>
      <c r="AE931" s="9">
        <f t="shared" si="173"/>
        <v>81.569999999999993</v>
      </c>
      <c r="AF931" s="9">
        <f t="shared" si="179"/>
        <v>78.430000000000007</v>
      </c>
      <c r="AG931" s="8">
        <f t="shared" si="174"/>
        <v>2024</v>
      </c>
      <c r="AH931" s="8">
        <f t="shared" si="175"/>
        <v>4</v>
      </c>
      <c r="AI931" s="5" t="str">
        <f t="shared" si="176"/>
        <v>Apr</v>
      </c>
      <c r="AJ931" s="5" t="str">
        <f t="shared" si="177"/>
        <v>Wednesday</v>
      </c>
    </row>
    <row r="932" spans="1:36" x14ac:dyDescent="0.3">
      <c r="A932" s="5" t="s">
        <v>966</v>
      </c>
      <c r="B932" s="6">
        <v>45567</v>
      </c>
      <c r="C932" s="7">
        <v>0.64583333333333337</v>
      </c>
      <c r="D932" s="5" t="s">
        <v>1762</v>
      </c>
      <c r="E932" s="5" t="s">
        <v>2002</v>
      </c>
      <c r="F932" s="5" t="s">
        <v>2239</v>
      </c>
      <c r="G932" s="5" t="s">
        <v>2245</v>
      </c>
      <c r="H932" s="5" t="s">
        <v>2257</v>
      </c>
      <c r="I932" s="5" t="s">
        <v>2263</v>
      </c>
      <c r="J932" s="5" t="s">
        <v>2265</v>
      </c>
      <c r="K932" s="8">
        <v>2</v>
      </c>
      <c r="L932" s="9">
        <v>155</v>
      </c>
      <c r="M932" s="10">
        <v>0</v>
      </c>
      <c r="N932" s="9">
        <f t="shared" si="178"/>
        <v>310</v>
      </c>
      <c r="O932" s="9">
        <f t="shared" si="168"/>
        <v>310</v>
      </c>
      <c r="P932" s="5" t="s">
        <v>2269</v>
      </c>
      <c r="Q932" s="5" t="s">
        <v>2270</v>
      </c>
      <c r="R932" s="5" t="s">
        <v>2278</v>
      </c>
      <c r="S932" s="5" t="s">
        <v>2282</v>
      </c>
      <c r="T932" s="5" t="s">
        <v>2290</v>
      </c>
      <c r="U932" s="8">
        <v>5</v>
      </c>
      <c r="V932" s="8">
        <v>407</v>
      </c>
      <c r="W932" s="8">
        <v>21</v>
      </c>
      <c r="X932" s="9">
        <v>82.34</v>
      </c>
      <c r="Y932" s="9">
        <f t="shared" si="169"/>
        <v>145.32</v>
      </c>
      <c r="Z932" s="5" t="s">
        <v>1761</v>
      </c>
      <c r="AA932" s="5" t="s">
        <v>1761</v>
      </c>
      <c r="AB932" s="9">
        <f t="shared" si="170"/>
        <v>310</v>
      </c>
      <c r="AC932" s="9">
        <f t="shared" si="171"/>
        <v>0</v>
      </c>
      <c r="AD932" s="9">
        <f t="shared" si="172"/>
        <v>310</v>
      </c>
      <c r="AE932" s="9">
        <f t="shared" si="173"/>
        <v>164.68</v>
      </c>
      <c r="AF932" s="9">
        <f t="shared" si="179"/>
        <v>145.32</v>
      </c>
      <c r="AG932" s="8">
        <f t="shared" si="174"/>
        <v>2024</v>
      </c>
      <c r="AH932" s="8">
        <f t="shared" si="175"/>
        <v>10</v>
      </c>
      <c r="AI932" s="5" t="str">
        <f t="shared" si="176"/>
        <v>Oct</v>
      </c>
      <c r="AJ932" s="5" t="str">
        <f t="shared" si="177"/>
        <v>Wednesday</v>
      </c>
    </row>
    <row r="933" spans="1:36" x14ac:dyDescent="0.3">
      <c r="A933" s="5" t="s">
        <v>967</v>
      </c>
      <c r="B933" s="6">
        <v>45443</v>
      </c>
      <c r="C933" s="7">
        <v>0.83333333333333337</v>
      </c>
      <c r="D933" s="5" t="s">
        <v>1867</v>
      </c>
      <c r="E933" s="5" t="s">
        <v>2049</v>
      </c>
      <c r="F933" s="5" t="s">
        <v>1761</v>
      </c>
      <c r="G933" s="5" t="s">
        <v>2251</v>
      </c>
      <c r="H933" s="5" t="s">
        <v>2258</v>
      </c>
      <c r="I933" s="5" t="s">
        <v>2260</v>
      </c>
      <c r="J933" s="5" t="s">
        <v>2264</v>
      </c>
      <c r="K933" s="8">
        <v>3</v>
      </c>
      <c r="L933" s="9">
        <v>95</v>
      </c>
      <c r="M933" s="10">
        <v>0</v>
      </c>
      <c r="N933" s="9">
        <f t="shared" si="178"/>
        <v>285</v>
      </c>
      <c r="O933" s="9">
        <f t="shared" si="168"/>
        <v>285</v>
      </c>
      <c r="P933" s="5" t="s">
        <v>2267</v>
      </c>
      <c r="Q933" s="5" t="s">
        <v>2270</v>
      </c>
      <c r="R933" s="5" t="s">
        <v>2279</v>
      </c>
      <c r="S933" s="5" t="s">
        <v>2283</v>
      </c>
      <c r="T933" s="5" t="s">
        <v>2290</v>
      </c>
      <c r="U933" s="8">
        <v>4</v>
      </c>
      <c r="V933" s="8">
        <v>161</v>
      </c>
      <c r="W933" s="8">
        <v>18</v>
      </c>
      <c r="X933" s="9">
        <v>41.86</v>
      </c>
      <c r="Y933" s="9">
        <f t="shared" si="169"/>
        <v>159.42000000000002</v>
      </c>
      <c r="Z933" s="5" t="s">
        <v>2292</v>
      </c>
      <c r="AA933" s="5" t="s">
        <v>2296</v>
      </c>
      <c r="AB933" s="9">
        <f t="shared" si="170"/>
        <v>285</v>
      </c>
      <c r="AC933" s="9">
        <f t="shared" si="171"/>
        <v>0</v>
      </c>
      <c r="AD933" s="9">
        <f t="shared" si="172"/>
        <v>285</v>
      </c>
      <c r="AE933" s="9">
        <f t="shared" si="173"/>
        <v>125.58</v>
      </c>
      <c r="AF933" s="9">
        <f t="shared" si="179"/>
        <v>159.42000000000002</v>
      </c>
      <c r="AG933" s="8">
        <f t="shared" si="174"/>
        <v>2024</v>
      </c>
      <c r="AH933" s="8">
        <f t="shared" si="175"/>
        <v>5</v>
      </c>
      <c r="AI933" s="5" t="str">
        <f t="shared" si="176"/>
        <v>May</v>
      </c>
      <c r="AJ933" s="5" t="str">
        <f t="shared" si="177"/>
        <v>Friday</v>
      </c>
    </row>
    <row r="934" spans="1:36" x14ac:dyDescent="0.3">
      <c r="A934" s="5" t="s">
        <v>968</v>
      </c>
      <c r="B934" s="6">
        <v>45305</v>
      </c>
      <c r="C934" s="7">
        <v>0.53125</v>
      </c>
      <c r="D934" s="5" t="s">
        <v>1791</v>
      </c>
      <c r="E934" s="5" t="s">
        <v>2122</v>
      </c>
      <c r="F934" s="5" t="s">
        <v>2239</v>
      </c>
      <c r="G934" s="5" t="s">
        <v>2248</v>
      </c>
      <c r="H934" s="5" t="s">
        <v>2257</v>
      </c>
      <c r="I934" s="5" t="s">
        <v>2262</v>
      </c>
      <c r="J934" s="5" t="s">
        <v>2264</v>
      </c>
      <c r="K934" s="8">
        <v>1</v>
      </c>
      <c r="L934" s="9">
        <v>145</v>
      </c>
      <c r="M934" s="10">
        <v>0</v>
      </c>
      <c r="N934" s="9">
        <f t="shared" si="178"/>
        <v>145</v>
      </c>
      <c r="O934" s="9">
        <f t="shared" si="168"/>
        <v>145</v>
      </c>
      <c r="P934" s="5" t="s">
        <v>2267</v>
      </c>
      <c r="Q934" s="5" t="s">
        <v>2272</v>
      </c>
      <c r="R934" s="5" t="s">
        <v>2279</v>
      </c>
      <c r="S934" s="5" t="s">
        <v>2284</v>
      </c>
      <c r="T934" s="5" t="s">
        <v>2288</v>
      </c>
      <c r="U934" s="19">
        <v>3</v>
      </c>
      <c r="V934" s="19">
        <v>244</v>
      </c>
      <c r="W934" s="19">
        <v>35</v>
      </c>
      <c r="X934" s="9">
        <v>58.03</v>
      </c>
      <c r="Y934" s="9">
        <f t="shared" si="169"/>
        <v>86.97</v>
      </c>
      <c r="Z934" s="5" t="s">
        <v>2294</v>
      </c>
      <c r="AA934" s="5" t="s">
        <v>2297</v>
      </c>
      <c r="AB934" s="9">
        <f t="shared" si="170"/>
        <v>145</v>
      </c>
      <c r="AC934" s="9">
        <f t="shared" si="171"/>
        <v>0</v>
      </c>
      <c r="AD934" s="9">
        <f t="shared" si="172"/>
        <v>145</v>
      </c>
      <c r="AE934" s="9">
        <f t="shared" si="173"/>
        <v>58.03</v>
      </c>
      <c r="AF934" s="9">
        <f t="shared" si="179"/>
        <v>86.97</v>
      </c>
      <c r="AG934" s="8">
        <f t="shared" si="174"/>
        <v>2024</v>
      </c>
      <c r="AH934" s="8">
        <f t="shared" si="175"/>
        <v>1</v>
      </c>
      <c r="AI934" s="5" t="str">
        <f t="shared" si="176"/>
        <v>Jan</v>
      </c>
      <c r="AJ934" s="5" t="str">
        <f t="shared" si="177"/>
        <v>Sunday</v>
      </c>
    </row>
    <row r="935" spans="1:36" x14ac:dyDescent="0.3">
      <c r="A935" s="5" t="s">
        <v>969</v>
      </c>
      <c r="B935" s="6">
        <v>45460</v>
      </c>
      <c r="C935" s="7">
        <v>0.51388888888888884</v>
      </c>
      <c r="D935" s="5" t="s">
        <v>1903</v>
      </c>
      <c r="E935" s="5" t="s">
        <v>2042</v>
      </c>
      <c r="F935" s="5" t="s">
        <v>2240</v>
      </c>
      <c r="G935" s="5" t="s">
        <v>2254</v>
      </c>
      <c r="H935" s="5" t="s">
        <v>2259</v>
      </c>
      <c r="I935" s="5" t="s">
        <v>2263</v>
      </c>
      <c r="J935" s="5" t="s">
        <v>2265</v>
      </c>
      <c r="K935" s="19">
        <v>5</v>
      </c>
      <c r="L935" s="9">
        <v>110</v>
      </c>
      <c r="M935" s="10">
        <v>0</v>
      </c>
      <c r="N935" s="9">
        <f t="shared" si="178"/>
        <v>550</v>
      </c>
      <c r="O935" s="9">
        <f t="shared" si="168"/>
        <v>550</v>
      </c>
      <c r="P935" s="5" t="s">
        <v>2267</v>
      </c>
      <c r="Q935" s="5" t="s">
        <v>2270</v>
      </c>
      <c r="R935" s="5" t="s">
        <v>2279</v>
      </c>
      <c r="S935" s="5" t="s">
        <v>2286</v>
      </c>
      <c r="T935" s="5" t="s">
        <v>2288</v>
      </c>
      <c r="U935" s="8">
        <v>4</v>
      </c>
      <c r="V935" s="8">
        <v>24</v>
      </c>
      <c r="W935" s="8">
        <v>52</v>
      </c>
      <c r="X935" s="9">
        <v>42.62</v>
      </c>
      <c r="Y935" s="9">
        <f t="shared" si="169"/>
        <v>336.9</v>
      </c>
      <c r="Z935" s="5" t="s">
        <v>2293</v>
      </c>
      <c r="AA935" s="5" t="s">
        <v>2297</v>
      </c>
      <c r="AB935" s="9">
        <f t="shared" si="170"/>
        <v>550</v>
      </c>
      <c r="AC935" s="9">
        <f t="shared" si="171"/>
        <v>0</v>
      </c>
      <c r="AD935" s="9">
        <f t="shared" si="172"/>
        <v>550</v>
      </c>
      <c r="AE935" s="9">
        <f t="shared" si="173"/>
        <v>213.1</v>
      </c>
      <c r="AF935" s="9">
        <f t="shared" si="179"/>
        <v>336.9</v>
      </c>
      <c r="AG935" s="8">
        <f t="shared" si="174"/>
        <v>2024</v>
      </c>
      <c r="AH935" s="8">
        <f t="shared" si="175"/>
        <v>6</v>
      </c>
      <c r="AI935" s="5" t="str">
        <f t="shared" si="176"/>
        <v>Jun</v>
      </c>
      <c r="AJ935" s="5" t="str">
        <f t="shared" si="177"/>
        <v>Monday</v>
      </c>
    </row>
    <row r="936" spans="1:36" x14ac:dyDescent="0.3">
      <c r="A936" s="5" t="s">
        <v>970</v>
      </c>
      <c r="B936" s="6">
        <v>45610</v>
      </c>
      <c r="C936" s="7">
        <v>0.38541666666666669</v>
      </c>
      <c r="D936" s="5" t="s">
        <v>1771</v>
      </c>
      <c r="E936" s="5" t="s">
        <v>1761</v>
      </c>
      <c r="F936" s="5" t="s">
        <v>2239</v>
      </c>
      <c r="G936" s="5" t="s">
        <v>2245</v>
      </c>
      <c r="H936" s="5" t="s">
        <v>2257</v>
      </c>
      <c r="I936" s="5" t="s">
        <v>2263</v>
      </c>
      <c r="J936" s="5" t="s">
        <v>2266</v>
      </c>
      <c r="K936" s="8">
        <v>1</v>
      </c>
      <c r="L936" s="9">
        <v>150</v>
      </c>
      <c r="M936" s="10">
        <v>0.1</v>
      </c>
      <c r="N936" s="9">
        <f t="shared" si="178"/>
        <v>150</v>
      </c>
      <c r="O936" s="9">
        <f t="shared" si="168"/>
        <v>135</v>
      </c>
      <c r="P936" s="5" t="s">
        <v>2268</v>
      </c>
      <c r="Q936" s="5" t="s">
        <v>2272</v>
      </c>
      <c r="R936" s="5" t="s">
        <v>2275</v>
      </c>
      <c r="S936" s="5" t="s">
        <v>2287</v>
      </c>
      <c r="T936" s="5" t="s">
        <v>2288</v>
      </c>
      <c r="U936" s="8">
        <v>1</v>
      </c>
      <c r="V936" s="8">
        <v>316</v>
      </c>
      <c r="W936" s="19">
        <v>35</v>
      </c>
      <c r="X936" s="9">
        <v>53.2</v>
      </c>
      <c r="Y936" s="9">
        <f t="shared" si="169"/>
        <v>81.8</v>
      </c>
      <c r="Z936" s="5" t="s">
        <v>2293</v>
      </c>
      <c r="AA936" s="5" t="s">
        <v>2299</v>
      </c>
      <c r="AB936" s="9">
        <f t="shared" si="170"/>
        <v>150</v>
      </c>
      <c r="AC936" s="9">
        <f t="shared" si="171"/>
        <v>15</v>
      </c>
      <c r="AD936" s="9">
        <f t="shared" si="172"/>
        <v>135</v>
      </c>
      <c r="AE936" s="9">
        <f t="shared" si="173"/>
        <v>53.2</v>
      </c>
      <c r="AF936" s="9">
        <f t="shared" si="179"/>
        <v>81.8</v>
      </c>
      <c r="AG936" s="8">
        <f t="shared" si="174"/>
        <v>2024</v>
      </c>
      <c r="AH936" s="8">
        <f t="shared" si="175"/>
        <v>11</v>
      </c>
      <c r="AI936" s="5" t="str">
        <f t="shared" si="176"/>
        <v>Nov</v>
      </c>
      <c r="AJ936" s="5" t="str">
        <f t="shared" si="177"/>
        <v>Thursday</v>
      </c>
    </row>
    <row r="937" spans="1:36" x14ac:dyDescent="0.3">
      <c r="A937" s="5" t="s">
        <v>971</v>
      </c>
      <c r="B937" s="6">
        <v>45486</v>
      </c>
      <c r="C937" s="7">
        <v>0.40625</v>
      </c>
      <c r="D937" s="5" t="s">
        <v>1937</v>
      </c>
      <c r="E937" s="5" t="s">
        <v>1761</v>
      </c>
      <c r="F937" s="5" t="s">
        <v>1761</v>
      </c>
      <c r="G937" s="5" t="s">
        <v>2256</v>
      </c>
      <c r="H937" s="5" t="s">
        <v>2261</v>
      </c>
      <c r="I937" s="5" t="s">
        <v>2260</v>
      </c>
      <c r="J937" s="5" t="s">
        <v>2264</v>
      </c>
      <c r="K937" s="8">
        <v>2</v>
      </c>
      <c r="L937" s="9">
        <v>190</v>
      </c>
      <c r="M937" s="10">
        <v>0</v>
      </c>
      <c r="N937" s="9">
        <f t="shared" si="178"/>
        <v>380</v>
      </c>
      <c r="O937" s="9">
        <f t="shared" si="168"/>
        <v>380</v>
      </c>
      <c r="P937" s="5" t="s">
        <v>2267</v>
      </c>
      <c r="Q937" s="5" t="s">
        <v>2271</v>
      </c>
      <c r="R937" s="5" t="s">
        <v>2273</v>
      </c>
      <c r="S937" s="5" t="s">
        <v>2285</v>
      </c>
      <c r="T937" s="5" t="s">
        <v>2289</v>
      </c>
      <c r="U937" s="8">
        <v>2</v>
      </c>
      <c r="V937" s="8">
        <v>285</v>
      </c>
      <c r="W937" s="8">
        <v>52</v>
      </c>
      <c r="X937" s="9">
        <v>93.08</v>
      </c>
      <c r="Y937" s="9">
        <f t="shared" si="169"/>
        <v>193.84</v>
      </c>
      <c r="Z937" s="5" t="s">
        <v>1761</v>
      </c>
      <c r="AA937" s="5" t="s">
        <v>1761</v>
      </c>
      <c r="AB937" s="9">
        <f t="shared" si="170"/>
        <v>380</v>
      </c>
      <c r="AC937" s="9">
        <f t="shared" si="171"/>
        <v>0</v>
      </c>
      <c r="AD937" s="9">
        <f t="shared" si="172"/>
        <v>380</v>
      </c>
      <c r="AE937" s="9">
        <f t="shared" si="173"/>
        <v>186.16</v>
      </c>
      <c r="AF937" s="9">
        <f t="shared" si="179"/>
        <v>193.84</v>
      </c>
      <c r="AG937" s="8">
        <f t="shared" si="174"/>
        <v>2024</v>
      </c>
      <c r="AH937" s="8">
        <f t="shared" si="175"/>
        <v>7</v>
      </c>
      <c r="AI937" s="5" t="str">
        <f t="shared" si="176"/>
        <v>Jul</v>
      </c>
      <c r="AJ937" s="5" t="str">
        <f t="shared" si="177"/>
        <v>Saturday</v>
      </c>
    </row>
    <row r="938" spans="1:36" x14ac:dyDescent="0.3">
      <c r="A938" s="5" t="s">
        <v>972</v>
      </c>
      <c r="B938" s="6">
        <v>45634</v>
      </c>
      <c r="C938" s="7">
        <v>0.79861111111111116</v>
      </c>
      <c r="D938" s="5" t="s">
        <v>1872</v>
      </c>
      <c r="E938" s="5" t="s">
        <v>2218</v>
      </c>
      <c r="F938" s="5" t="s">
        <v>2239</v>
      </c>
      <c r="G938" s="5" t="s">
        <v>2254</v>
      </c>
      <c r="H938" s="5" t="s">
        <v>2259</v>
      </c>
      <c r="I938" s="5" t="s">
        <v>2263</v>
      </c>
      <c r="J938" s="5" t="s">
        <v>2266</v>
      </c>
      <c r="K938" s="8">
        <v>3</v>
      </c>
      <c r="L938" s="9">
        <v>115</v>
      </c>
      <c r="M938" s="10">
        <v>0.1</v>
      </c>
      <c r="N938" s="9">
        <f t="shared" si="178"/>
        <v>345</v>
      </c>
      <c r="O938" s="9">
        <f t="shared" si="168"/>
        <v>310.5</v>
      </c>
      <c r="P938" s="5" t="s">
        <v>2268</v>
      </c>
      <c r="Q938" s="5" t="s">
        <v>2270</v>
      </c>
      <c r="R938" s="5" t="s">
        <v>2276</v>
      </c>
      <c r="S938" s="5" t="s">
        <v>2283</v>
      </c>
      <c r="T938" s="5" t="s">
        <v>2288</v>
      </c>
      <c r="U938" s="8">
        <v>5</v>
      </c>
      <c r="V938" s="8">
        <v>90</v>
      </c>
      <c r="W938" s="8">
        <v>19</v>
      </c>
      <c r="X938" s="9">
        <v>59.02</v>
      </c>
      <c r="Y938" s="9">
        <f t="shared" si="169"/>
        <v>133.44</v>
      </c>
      <c r="Z938" s="5" t="s">
        <v>2293</v>
      </c>
      <c r="AA938" s="5" t="s">
        <v>2297</v>
      </c>
      <c r="AB938" s="9">
        <f t="shared" si="170"/>
        <v>345</v>
      </c>
      <c r="AC938" s="9">
        <f t="shared" si="171"/>
        <v>34.5</v>
      </c>
      <c r="AD938" s="9">
        <f t="shared" si="172"/>
        <v>310.5</v>
      </c>
      <c r="AE938" s="9">
        <f t="shared" si="173"/>
        <v>177.06</v>
      </c>
      <c r="AF938" s="9">
        <f t="shared" si="179"/>
        <v>133.44</v>
      </c>
      <c r="AG938" s="8">
        <f t="shared" si="174"/>
        <v>2024</v>
      </c>
      <c r="AH938" s="8">
        <f t="shared" si="175"/>
        <v>12</v>
      </c>
      <c r="AI938" s="5" t="str">
        <f t="shared" si="176"/>
        <v>Dec</v>
      </c>
      <c r="AJ938" s="5" t="str">
        <f t="shared" si="177"/>
        <v>Sunday</v>
      </c>
    </row>
    <row r="939" spans="1:36" x14ac:dyDescent="0.3">
      <c r="A939" s="5" t="s">
        <v>973</v>
      </c>
      <c r="B939" s="6">
        <v>45365</v>
      </c>
      <c r="C939" s="7">
        <v>0.86805555555555558</v>
      </c>
      <c r="D939" s="5" t="s">
        <v>1780</v>
      </c>
      <c r="E939" s="5" t="s">
        <v>2137</v>
      </c>
      <c r="F939" s="5" t="s">
        <v>2239</v>
      </c>
      <c r="G939" s="5" t="s">
        <v>2255</v>
      </c>
      <c r="H939" s="5" t="s">
        <v>2260</v>
      </c>
      <c r="I939" s="5" t="s">
        <v>2260</v>
      </c>
      <c r="J939" s="5" t="s">
        <v>2264</v>
      </c>
      <c r="K939" s="8">
        <v>1</v>
      </c>
      <c r="L939" s="9">
        <v>180</v>
      </c>
      <c r="M939" s="10">
        <v>0</v>
      </c>
      <c r="N939" s="9">
        <f t="shared" si="178"/>
        <v>180</v>
      </c>
      <c r="O939" s="9">
        <f t="shared" si="168"/>
        <v>180</v>
      </c>
      <c r="P939" s="5" t="s">
        <v>2268</v>
      </c>
      <c r="Q939" s="5" t="s">
        <v>2272</v>
      </c>
      <c r="R939" s="5" t="s">
        <v>2277</v>
      </c>
      <c r="S939" s="5" t="s">
        <v>2285</v>
      </c>
      <c r="T939" s="5" t="s">
        <v>2288</v>
      </c>
      <c r="U939" s="8">
        <v>1</v>
      </c>
      <c r="V939" s="8">
        <v>293</v>
      </c>
      <c r="W939" s="8">
        <v>53</v>
      </c>
      <c r="X939" s="9">
        <v>63.2</v>
      </c>
      <c r="Y939" s="9">
        <f t="shared" si="169"/>
        <v>116.8</v>
      </c>
      <c r="Z939" s="5" t="s">
        <v>1761</v>
      </c>
      <c r="AA939" s="5" t="s">
        <v>2297</v>
      </c>
      <c r="AB939" s="9">
        <f t="shared" si="170"/>
        <v>180</v>
      </c>
      <c r="AC939" s="9">
        <f t="shared" si="171"/>
        <v>0</v>
      </c>
      <c r="AD939" s="9">
        <f t="shared" si="172"/>
        <v>180</v>
      </c>
      <c r="AE939" s="9">
        <f t="shared" si="173"/>
        <v>63.2</v>
      </c>
      <c r="AF939" s="9">
        <f t="shared" si="179"/>
        <v>116.8</v>
      </c>
      <c r="AG939" s="8">
        <f t="shared" si="174"/>
        <v>2024</v>
      </c>
      <c r="AH939" s="8">
        <f t="shared" si="175"/>
        <v>3</v>
      </c>
      <c r="AI939" s="5" t="str">
        <f t="shared" si="176"/>
        <v>Mar</v>
      </c>
      <c r="AJ939" s="5" t="str">
        <f t="shared" si="177"/>
        <v>Thursday</v>
      </c>
    </row>
    <row r="940" spans="1:36" x14ac:dyDescent="0.3">
      <c r="A940" s="5" t="s">
        <v>974</v>
      </c>
      <c r="B940" s="6">
        <v>45462</v>
      </c>
      <c r="C940" s="7">
        <v>0.65625</v>
      </c>
      <c r="D940" s="5" t="s">
        <v>1762</v>
      </c>
      <c r="E940" s="5" t="s">
        <v>2125</v>
      </c>
      <c r="F940" s="5" t="s">
        <v>2238</v>
      </c>
      <c r="G940" s="5" t="s">
        <v>2250</v>
      </c>
      <c r="H940" s="5" t="s">
        <v>2259</v>
      </c>
      <c r="I940" s="5" t="s">
        <v>2262</v>
      </c>
      <c r="J940" s="5" t="s">
        <v>2264</v>
      </c>
      <c r="K940" s="8">
        <v>2</v>
      </c>
      <c r="L940" s="9">
        <v>85</v>
      </c>
      <c r="M940" s="10">
        <v>0.1</v>
      </c>
      <c r="N940" s="9">
        <f t="shared" si="178"/>
        <v>170</v>
      </c>
      <c r="O940" s="9">
        <f t="shared" si="168"/>
        <v>153</v>
      </c>
      <c r="P940" s="5" t="s">
        <v>2267</v>
      </c>
      <c r="Q940" s="5" t="s">
        <v>2272</v>
      </c>
      <c r="R940" s="5" t="s">
        <v>2276</v>
      </c>
      <c r="S940" s="5" t="s">
        <v>2287</v>
      </c>
      <c r="T940" s="5" t="s">
        <v>2288</v>
      </c>
      <c r="U940" s="8">
        <v>1</v>
      </c>
      <c r="V940" s="8">
        <v>294</v>
      </c>
      <c r="W940" s="8">
        <v>19</v>
      </c>
      <c r="X940" s="9">
        <v>35.549999999999997</v>
      </c>
      <c r="Y940" s="9">
        <f t="shared" si="169"/>
        <v>81.900000000000006</v>
      </c>
      <c r="Z940" s="5" t="s">
        <v>2293</v>
      </c>
      <c r="AA940" s="5" t="s">
        <v>2298</v>
      </c>
      <c r="AB940" s="9">
        <f t="shared" si="170"/>
        <v>170</v>
      </c>
      <c r="AC940" s="9">
        <f t="shared" si="171"/>
        <v>17</v>
      </c>
      <c r="AD940" s="9">
        <f t="shared" si="172"/>
        <v>153</v>
      </c>
      <c r="AE940" s="9">
        <f t="shared" si="173"/>
        <v>71.099999999999994</v>
      </c>
      <c r="AF940" s="9">
        <f t="shared" si="179"/>
        <v>81.900000000000006</v>
      </c>
      <c r="AG940" s="8">
        <f t="shared" si="174"/>
        <v>2024</v>
      </c>
      <c r="AH940" s="8">
        <f t="shared" si="175"/>
        <v>6</v>
      </c>
      <c r="AI940" s="5" t="str">
        <f t="shared" si="176"/>
        <v>Jun</v>
      </c>
      <c r="AJ940" s="5" t="str">
        <f t="shared" si="177"/>
        <v>Wednesday</v>
      </c>
    </row>
    <row r="941" spans="1:36" x14ac:dyDescent="0.3">
      <c r="A941" s="5" t="s">
        <v>975</v>
      </c>
      <c r="B941" s="6">
        <v>45400</v>
      </c>
      <c r="C941" s="7">
        <v>0.84722222222222221</v>
      </c>
      <c r="D941" s="5" t="s">
        <v>1773</v>
      </c>
      <c r="E941" s="5" t="s">
        <v>2149</v>
      </c>
      <c r="F941" s="5" t="s">
        <v>2240</v>
      </c>
      <c r="G941" s="5" t="s">
        <v>2248</v>
      </c>
      <c r="H941" s="5" t="s">
        <v>2257</v>
      </c>
      <c r="I941" s="5" t="s">
        <v>2262</v>
      </c>
      <c r="J941" s="5" t="s">
        <v>2264</v>
      </c>
      <c r="K941" s="8">
        <v>2</v>
      </c>
      <c r="L941" s="9">
        <v>140</v>
      </c>
      <c r="M941" s="10">
        <v>0.1</v>
      </c>
      <c r="N941" s="9">
        <f t="shared" si="178"/>
        <v>280</v>
      </c>
      <c r="O941" s="9">
        <f t="shared" si="168"/>
        <v>252</v>
      </c>
      <c r="P941" s="5" t="s">
        <v>2267</v>
      </c>
      <c r="Q941" s="5" t="s">
        <v>2271</v>
      </c>
      <c r="R941" s="5" t="s">
        <v>2276</v>
      </c>
      <c r="S941" s="5" t="s">
        <v>2284</v>
      </c>
      <c r="T941" s="5" t="s">
        <v>2288</v>
      </c>
      <c r="U941" s="8">
        <v>1</v>
      </c>
      <c r="V941" s="8">
        <v>458</v>
      </c>
      <c r="W941" s="8">
        <v>20</v>
      </c>
      <c r="X941" s="9">
        <v>56.83</v>
      </c>
      <c r="Y941" s="9">
        <f t="shared" si="169"/>
        <v>138.34</v>
      </c>
      <c r="Z941" s="5" t="s">
        <v>2292</v>
      </c>
      <c r="AA941" s="5" t="s">
        <v>2299</v>
      </c>
      <c r="AB941" s="9">
        <f t="shared" si="170"/>
        <v>280</v>
      </c>
      <c r="AC941" s="9">
        <f t="shared" si="171"/>
        <v>28</v>
      </c>
      <c r="AD941" s="9">
        <f t="shared" si="172"/>
        <v>252</v>
      </c>
      <c r="AE941" s="9">
        <f t="shared" si="173"/>
        <v>113.66</v>
      </c>
      <c r="AF941" s="9">
        <f t="shared" si="179"/>
        <v>138.34</v>
      </c>
      <c r="AG941" s="8">
        <f t="shared" si="174"/>
        <v>2024</v>
      </c>
      <c r="AH941" s="8">
        <f t="shared" si="175"/>
        <v>4</v>
      </c>
      <c r="AI941" s="5" t="str">
        <f t="shared" si="176"/>
        <v>Apr</v>
      </c>
      <c r="AJ941" s="5" t="str">
        <f t="shared" si="177"/>
        <v>Thursday</v>
      </c>
    </row>
    <row r="942" spans="1:36" x14ac:dyDescent="0.3">
      <c r="A942" s="5" t="s">
        <v>976</v>
      </c>
      <c r="B942" s="6">
        <v>45588</v>
      </c>
      <c r="C942" s="7">
        <v>0.65625</v>
      </c>
      <c r="D942" s="5" t="s">
        <v>1864</v>
      </c>
      <c r="E942" s="5" t="s">
        <v>2017</v>
      </c>
      <c r="F942" s="5" t="s">
        <v>2240</v>
      </c>
      <c r="G942" s="5" t="s">
        <v>2252</v>
      </c>
      <c r="H942" s="5" t="s">
        <v>2257</v>
      </c>
      <c r="I942" s="5" t="s">
        <v>2262</v>
      </c>
      <c r="J942" s="5" t="s">
        <v>2264</v>
      </c>
      <c r="K942" s="8">
        <v>1</v>
      </c>
      <c r="L942" s="9">
        <v>95</v>
      </c>
      <c r="M942" s="10">
        <v>0.15</v>
      </c>
      <c r="N942" s="9">
        <f t="shared" si="178"/>
        <v>95</v>
      </c>
      <c r="O942" s="9">
        <f t="shared" si="168"/>
        <v>80.75</v>
      </c>
      <c r="P942" s="5" t="s">
        <v>2267</v>
      </c>
      <c r="Q942" s="5" t="s">
        <v>2272</v>
      </c>
      <c r="R942" s="5" t="s">
        <v>2279</v>
      </c>
      <c r="S942" s="5" t="s">
        <v>2287</v>
      </c>
      <c r="T942" s="5" t="s">
        <v>2288</v>
      </c>
      <c r="U942" s="8">
        <v>5</v>
      </c>
      <c r="V942" s="8">
        <v>453</v>
      </c>
      <c r="W942" s="8">
        <v>29</v>
      </c>
      <c r="X942" s="9">
        <v>33.39</v>
      </c>
      <c r="Y942" s="9">
        <f t="shared" si="169"/>
        <v>47.36</v>
      </c>
      <c r="Z942" s="5" t="s">
        <v>2291</v>
      </c>
      <c r="AA942" s="5" t="s">
        <v>2296</v>
      </c>
      <c r="AB942" s="9">
        <f t="shared" si="170"/>
        <v>95</v>
      </c>
      <c r="AC942" s="9">
        <f t="shared" si="171"/>
        <v>14.25</v>
      </c>
      <c r="AD942" s="9">
        <f t="shared" si="172"/>
        <v>80.75</v>
      </c>
      <c r="AE942" s="9">
        <f t="shared" si="173"/>
        <v>33.39</v>
      </c>
      <c r="AF942" s="9">
        <f t="shared" si="179"/>
        <v>47.36</v>
      </c>
      <c r="AG942" s="8">
        <f t="shared" si="174"/>
        <v>2024</v>
      </c>
      <c r="AH942" s="8">
        <f t="shared" si="175"/>
        <v>10</v>
      </c>
      <c r="AI942" s="5" t="str">
        <f t="shared" si="176"/>
        <v>Oct</v>
      </c>
      <c r="AJ942" s="5" t="str">
        <f t="shared" si="177"/>
        <v>Wednesday</v>
      </c>
    </row>
    <row r="943" spans="1:36" x14ac:dyDescent="0.3">
      <c r="A943" s="5" t="s">
        <v>977</v>
      </c>
      <c r="B943" s="6">
        <v>45615</v>
      </c>
      <c r="C943" s="7">
        <v>0.55208333333333337</v>
      </c>
      <c r="D943" s="5" t="s">
        <v>1894</v>
      </c>
      <c r="E943" s="5" t="s">
        <v>2086</v>
      </c>
      <c r="F943" s="5" t="s">
        <v>2239</v>
      </c>
      <c r="G943" s="5" t="s">
        <v>2249</v>
      </c>
      <c r="H943" s="5" t="s">
        <v>2257</v>
      </c>
      <c r="I943" s="5" t="s">
        <v>2263</v>
      </c>
      <c r="J943" s="5" t="s">
        <v>2265</v>
      </c>
      <c r="K943" s="8">
        <v>1</v>
      </c>
      <c r="L943" s="9">
        <v>165</v>
      </c>
      <c r="M943" s="10">
        <v>0.15</v>
      </c>
      <c r="N943" s="9">
        <f t="shared" si="178"/>
        <v>165</v>
      </c>
      <c r="O943" s="9">
        <f t="shared" si="168"/>
        <v>140.25</v>
      </c>
      <c r="P943" s="5" t="s">
        <v>2267</v>
      </c>
      <c r="Q943" s="5" t="s">
        <v>2270</v>
      </c>
      <c r="R943" s="5" t="s">
        <v>2276</v>
      </c>
      <c r="S943" s="5" t="s">
        <v>2280</v>
      </c>
      <c r="T943" s="5" t="s">
        <v>2290</v>
      </c>
      <c r="U943" s="8">
        <v>2</v>
      </c>
      <c r="V943" s="8">
        <v>368</v>
      </c>
      <c r="W943" s="8">
        <v>46</v>
      </c>
      <c r="X943" s="9">
        <v>71.819999999999993</v>
      </c>
      <c r="Y943" s="9">
        <f t="shared" si="169"/>
        <v>68.430000000000007</v>
      </c>
      <c r="Z943" s="5" t="s">
        <v>2292</v>
      </c>
      <c r="AA943" s="5" t="s">
        <v>1761</v>
      </c>
      <c r="AB943" s="9">
        <f t="shared" si="170"/>
        <v>165</v>
      </c>
      <c r="AC943" s="9">
        <f t="shared" si="171"/>
        <v>24.75</v>
      </c>
      <c r="AD943" s="9">
        <f t="shared" si="172"/>
        <v>140.25</v>
      </c>
      <c r="AE943" s="9">
        <f t="shared" si="173"/>
        <v>71.819999999999993</v>
      </c>
      <c r="AF943" s="9">
        <f t="shared" si="179"/>
        <v>68.430000000000007</v>
      </c>
      <c r="AG943" s="8">
        <f t="shared" si="174"/>
        <v>2024</v>
      </c>
      <c r="AH943" s="8">
        <f t="shared" si="175"/>
        <v>11</v>
      </c>
      <c r="AI943" s="5" t="str">
        <f t="shared" si="176"/>
        <v>Nov</v>
      </c>
      <c r="AJ943" s="5" t="str">
        <f t="shared" si="177"/>
        <v>Tuesday</v>
      </c>
    </row>
    <row r="944" spans="1:36" x14ac:dyDescent="0.3">
      <c r="A944" s="5" t="s">
        <v>978</v>
      </c>
      <c r="B944" s="6">
        <v>45369</v>
      </c>
      <c r="C944" s="7">
        <v>0.3125</v>
      </c>
      <c r="D944" s="5" t="s">
        <v>1840</v>
      </c>
      <c r="E944" s="5" t="s">
        <v>2016</v>
      </c>
      <c r="F944" s="5" t="s">
        <v>2239</v>
      </c>
      <c r="G944" s="5" t="s">
        <v>2242</v>
      </c>
      <c r="H944" s="5" t="s">
        <v>2258</v>
      </c>
      <c r="I944" s="5" t="s">
        <v>2260</v>
      </c>
      <c r="J944" s="5" t="s">
        <v>2265</v>
      </c>
      <c r="K944" s="8">
        <v>2</v>
      </c>
      <c r="L944" s="9">
        <v>120</v>
      </c>
      <c r="M944" s="10">
        <v>0.1</v>
      </c>
      <c r="N944" s="9">
        <f t="shared" si="178"/>
        <v>240</v>
      </c>
      <c r="O944" s="9">
        <f t="shared" si="168"/>
        <v>216</v>
      </c>
      <c r="P944" s="5" t="s">
        <v>2267</v>
      </c>
      <c r="Q944" s="5" t="s">
        <v>1761</v>
      </c>
      <c r="R944" s="5" t="s">
        <v>2278</v>
      </c>
      <c r="S944" s="5" t="s">
        <v>2280</v>
      </c>
      <c r="T944" s="5" t="s">
        <v>2288</v>
      </c>
      <c r="U944" s="19">
        <v>3</v>
      </c>
      <c r="V944" s="8">
        <v>292</v>
      </c>
      <c r="W944" s="8">
        <v>17</v>
      </c>
      <c r="X944" s="9">
        <v>68.14</v>
      </c>
      <c r="Y944" s="9">
        <f t="shared" si="169"/>
        <v>79.72</v>
      </c>
      <c r="Z944" s="5" t="s">
        <v>2293</v>
      </c>
      <c r="AA944" s="5" t="s">
        <v>2296</v>
      </c>
      <c r="AB944" s="9">
        <f t="shared" si="170"/>
        <v>240</v>
      </c>
      <c r="AC944" s="9">
        <f t="shared" si="171"/>
        <v>24</v>
      </c>
      <c r="AD944" s="9">
        <f t="shared" si="172"/>
        <v>216</v>
      </c>
      <c r="AE944" s="9">
        <f t="shared" si="173"/>
        <v>136.28</v>
      </c>
      <c r="AF944" s="9">
        <f t="shared" si="179"/>
        <v>79.72</v>
      </c>
      <c r="AG944" s="8">
        <f t="shared" si="174"/>
        <v>2024</v>
      </c>
      <c r="AH944" s="8">
        <f t="shared" si="175"/>
        <v>3</v>
      </c>
      <c r="AI944" s="5" t="str">
        <f t="shared" si="176"/>
        <v>Mar</v>
      </c>
      <c r="AJ944" s="5" t="str">
        <f t="shared" si="177"/>
        <v>Monday</v>
      </c>
    </row>
    <row r="945" spans="1:36" x14ac:dyDescent="0.3">
      <c r="A945" s="5" t="s">
        <v>979</v>
      </c>
      <c r="B945" s="6">
        <v>45650</v>
      </c>
      <c r="C945" s="7">
        <v>0.69791666666666663</v>
      </c>
      <c r="D945" s="5" t="s">
        <v>1796</v>
      </c>
      <c r="E945" s="5" t="s">
        <v>1957</v>
      </c>
      <c r="F945" s="5" t="s">
        <v>1761</v>
      </c>
      <c r="G945" s="5" t="s">
        <v>2245</v>
      </c>
      <c r="H945" s="5" t="s">
        <v>2257</v>
      </c>
      <c r="I945" s="5" t="s">
        <v>2263</v>
      </c>
      <c r="J945" s="5" t="s">
        <v>2264</v>
      </c>
      <c r="K945" s="8">
        <v>2</v>
      </c>
      <c r="L945" s="9">
        <v>150</v>
      </c>
      <c r="M945" s="10">
        <v>0.05</v>
      </c>
      <c r="N945" s="9">
        <f t="shared" si="178"/>
        <v>300</v>
      </c>
      <c r="O945" s="9">
        <f t="shared" si="168"/>
        <v>285</v>
      </c>
      <c r="P945" s="5" t="s">
        <v>2268</v>
      </c>
      <c r="Q945" s="5" t="s">
        <v>2270</v>
      </c>
      <c r="R945" s="5" t="s">
        <v>2273</v>
      </c>
      <c r="S945" s="5" t="s">
        <v>2280</v>
      </c>
      <c r="T945" s="5" t="s">
        <v>2288</v>
      </c>
      <c r="U945" s="8">
        <v>5</v>
      </c>
      <c r="V945" s="8">
        <v>437</v>
      </c>
      <c r="W945" s="19">
        <v>34</v>
      </c>
      <c r="X945" s="9">
        <v>65.7</v>
      </c>
      <c r="Y945" s="9">
        <f t="shared" si="169"/>
        <v>153.6</v>
      </c>
      <c r="Z945" s="5" t="s">
        <v>1761</v>
      </c>
      <c r="AA945" s="5" t="s">
        <v>2298</v>
      </c>
      <c r="AB945" s="9">
        <f t="shared" si="170"/>
        <v>300</v>
      </c>
      <c r="AC945" s="9">
        <f t="shared" si="171"/>
        <v>15</v>
      </c>
      <c r="AD945" s="9">
        <f t="shared" si="172"/>
        <v>285</v>
      </c>
      <c r="AE945" s="9">
        <f t="shared" si="173"/>
        <v>131.4</v>
      </c>
      <c r="AF945" s="9">
        <f t="shared" si="179"/>
        <v>153.6</v>
      </c>
      <c r="AG945" s="8">
        <f t="shared" si="174"/>
        <v>2024</v>
      </c>
      <c r="AH945" s="8">
        <f t="shared" si="175"/>
        <v>12</v>
      </c>
      <c r="AI945" s="5" t="str">
        <f t="shared" si="176"/>
        <v>Dec</v>
      </c>
      <c r="AJ945" s="5" t="str">
        <f t="shared" si="177"/>
        <v>Tuesday</v>
      </c>
    </row>
    <row r="946" spans="1:36" x14ac:dyDescent="0.3">
      <c r="A946" s="5" t="s">
        <v>980</v>
      </c>
      <c r="B946" s="6">
        <v>45430</v>
      </c>
      <c r="C946" s="7">
        <v>0.71875</v>
      </c>
      <c r="D946" s="5" t="s">
        <v>1939</v>
      </c>
      <c r="E946" s="5" t="s">
        <v>2227</v>
      </c>
      <c r="F946" s="5" t="s">
        <v>2240</v>
      </c>
      <c r="G946" s="5" t="s">
        <v>2252</v>
      </c>
      <c r="H946" s="5" t="s">
        <v>2257</v>
      </c>
      <c r="I946" s="5" t="s">
        <v>2262</v>
      </c>
      <c r="J946" s="5" t="s">
        <v>2264</v>
      </c>
      <c r="K946" s="8">
        <v>2</v>
      </c>
      <c r="L946" s="9">
        <v>95</v>
      </c>
      <c r="M946" s="10">
        <v>0</v>
      </c>
      <c r="N946" s="9">
        <f t="shared" si="178"/>
        <v>190</v>
      </c>
      <c r="O946" s="9">
        <f t="shared" si="168"/>
        <v>190</v>
      </c>
      <c r="P946" s="5" t="s">
        <v>2267</v>
      </c>
      <c r="Q946" s="5" t="s">
        <v>2272</v>
      </c>
      <c r="R946" s="5" t="s">
        <v>2278</v>
      </c>
      <c r="S946" s="5" t="s">
        <v>2284</v>
      </c>
      <c r="T946" s="5" t="s">
        <v>2289</v>
      </c>
      <c r="U946" s="8">
        <v>5</v>
      </c>
      <c r="V946" s="8">
        <v>287</v>
      </c>
      <c r="W946" s="8">
        <v>26</v>
      </c>
      <c r="X946" s="9">
        <v>35.619999999999997</v>
      </c>
      <c r="Y946" s="9">
        <f t="shared" si="169"/>
        <v>118.76</v>
      </c>
      <c r="Z946" s="5" t="s">
        <v>2294</v>
      </c>
      <c r="AA946" s="5" t="s">
        <v>2298</v>
      </c>
      <c r="AB946" s="9">
        <f t="shared" si="170"/>
        <v>190</v>
      </c>
      <c r="AC946" s="9">
        <f t="shared" si="171"/>
        <v>0</v>
      </c>
      <c r="AD946" s="9">
        <f t="shared" si="172"/>
        <v>190</v>
      </c>
      <c r="AE946" s="9">
        <f t="shared" si="173"/>
        <v>71.239999999999995</v>
      </c>
      <c r="AF946" s="9">
        <f t="shared" si="179"/>
        <v>118.76</v>
      </c>
      <c r="AG946" s="8">
        <f t="shared" si="174"/>
        <v>2024</v>
      </c>
      <c r="AH946" s="8">
        <f t="shared" si="175"/>
        <v>5</v>
      </c>
      <c r="AI946" s="5" t="str">
        <f t="shared" si="176"/>
        <v>May</v>
      </c>
      <c r="AJ946" s="5" t="str">
        <f t="shared" si="177"/>
        <v>Saturday</v>
      </c>
    </row>
    <row r="947" spans="1:36" x14ac:dyDescent="0.3">
      <c r="A947" s="5" t="s">
        <v>981</v>
      </c>
      <c r="B947" s="6">
        <v>45527</v>
      </c>
      <c r="C947" s="7">
        <v>0.45833333333333331</v>
      </c>
      <c r="D947" s="5" t="s">
        <v>1864</v>
      </c>
      <c r="E947" s="5" t="s">
        <v>2147</v>
      </c>
      <c r="F947" s="5" t="s">
        <v>2239</v>
      </c>
      <c r="G947" s="5" t="s">
        <v>2251</v>
      </c>
      <c r="H947" s="5" t="s">
        <v>2258</v>
      </c>
      <c r="I947" s="5" t="s">
        <v>2260</v>
      </c>
      <c r="J947" s="5" t="s">
        <v>2264</v>
      </c>
      <c r="K947" s="8">
        <v>1</v>
      </c>
      <c r="L947" s="9">
        <v>95</v>
      </c>
      <c r="M947" s="10">
        <v>0.1</v>
      </c>
      <c r="N947" s="9">
        <f t="shared" si="178"/>
        <v>95</v>
      </c>
      <c r="O947" s="9">
        <f t="shared" si="168"/>
        <v>85.5</v>
      </c>
      <c r="P947" s="5" t="s">
        <v>2267</v>
      </c>
      <c r="Q947" s="5" t="s">
        <v>2272</v>
      </c>
      <c r="R947" s="5" t="s">
        <v>2275</v>
      </c>
      <c r="S947" s="5" t="s">
        <v>2284</v>
      </c>
      <c r="T947" s="5" t="s">
        <v>2289</v>
      </c>
      <c r="U947" s="8">
        <v>5</v>
      </c>
      <c r="V947" s="8">
        <v>392</v>
      </c>
      <c r="W947" s="8">
        <v>21</v>
      </c>
      <c r="X947" s="9">
        <v>46.68</v>
      </c>
      <c r="Y947" s="9">
        <f t="shared" si="169"/>
        <v>38.82</v>
      </c>
      <c r="Z947" s="5" t="s">
        <v>2292</v>
      </c>
      <c r="AA947" s="5" t="s">
        <v>1761</v>
      </c>
      <c r="AB947" s="9">
        <f t="shared" si="170"/>
        <v>95</v>
      </c>
      <c r="AC947" s="9">
        <f t="shared" si="171"/>
        <v>9.5</v>
      </c>
      <c r="AD947" s="9">
        <f t="shared" si="172"/>
        <v>85.5</v>
      </c>
      <c r="AE947" s="9">
        <f t="shared" si="173"/>
        <v>46.68</v>
      </c>
      <c r="AF947" s="9">
        <f t="shared" si="179"/>
        <v>38.82</v>
      </c>
      <c r="AG947" s="8">
        <f t="shared" si="174"/>
        <v>2024</v>
      </c>
      <c r="AH947" s="8">
        <f t="shared" si="175"/>
        <v>8</v>
      </c>
      <c r="AI947" s="5" t="str">
        <f t="shared" si="176"/>
        <v>Aug</v>
      </c>
      <c r="AJ947" s="5" t="str">
        <f t="shared" si="177"/>
        <v>Friday</v>
      </c>
    </row>
    <row r="948" spans="1:36" x14ac:dyDescent="0.3">
      <c r="A948" s="5" t="s">
        <v>982</v>
      </c>
      <c r="B948" s="6">
        <v>45345</v>
      </c>
      <c r="C948" s="7">
        <v>0.50694444444444442</v>
      </c>
      <c r="D948" s="5" t="s">
        <v>1898</v>
      </c>
      <c r="E948" s="5" t="s">
        <v>2083</v>
      </c>
      <c r="F948" s="5" t="s">
        <v>2240</v>
      </c>
      <c r="G948" s="5" t="s">
        <v>2254</v>
      </c>
      <c r="H948" s="5" t="s">
        <v>2259</v>
      </c>
      <c r="I948" s="5" t="s">
        <v>2263</v>
      </c>
      <c r="J948" s="5" t="s">
        <v>2266</v>
      </c>
      <c r="K948" s="8">
        <v>1</v>
      </c>
      <c r="L948" s="9">
        <v>115</v>
      </c>
      <c r="M948" s="10">
        <v>0</v>
      </c>
      <c r="N948" s="9">
        <f t="shared" si="178"/>
        <v>115</v>
      </c>
      <c r="O948" s="9">
        <f t="shared" si="168"/>
        <v>115</v>
      </c>
      <c r="P948" s="5" t="s">
        <v>2267</v>
      </c>
      <c r="Q948" s="5" t="s">
        <v>1761</v>
      </c>
      <c r="R948" s="5" t="s">
        <v>2278</v>
      </c>
      <c r="S948" s="5" t="s">
        <v>2283</v>
      </c>
      <c r="T948" s="5" t="s">
        <v>2288</v>
      </c>
      <c r="U948" s="8">
        <v>5</v>
      </c>
      <c r="V948" s="8">
        <v>102</v>
      </c>
      <c r="W948" s="8">
        <v>59</v>
      </c>
      <c r="X948" s="9">
        <v>40.1</v>
      </c>
      <c r="Y948" s="9">
        <f t="shared" si="169"/>
        <v>74.900000000000006</v>
      </c>
      <c r="Z948" s="5" t="s">
        <v>2291</v>
      </c>
      <c r="AA948" s="5" t="s">
        <v>2296</v>
      </c>
      <c r="AB948" s="9">
        <f t="shared" si="170"/>
        <v>115</v>
      </c>
      <c r="AC948" s="9">
        <f t="shared" si="171"/>
        <v>0</v>
      </c>
      <c r="AD948" s="9">
        <f t="shared" si="172"/>
        <v>115</v>
      </c>
      <c r="AE948" s="9">
        <f t="shared" si="173"/>
        <v>40.1</v>
      </c>
      <c r="AF948" s="9">
        <f t="shared" si="179"/>
        <v>74.900000000000006</v>
      </c>
      <c r="AG948" s="8">
        <f t="shared" si="174"/>
        <v>2024</v>
      </c>
      <c r="AH948" s="8">
        <f t="shared" si="175"/>
        <v>2</v>
      </c>
      <c r="AI948" s="5" t="str">
        <f t="shared" si="176"/>
        <v>Feb</v>
      </c>
      <c r="AJ948" s="5" t="str">
        <f t="shared" si="177"/>
        <v>Friday</v>
      </c>
    </row>
    <row r="949" spans="1:36" x14ac:dyDescent="0.3">
      <c r="A949" s="5" t="s">
        <v>983</v>
      </c>
      <c r="B949" s="6">
        <v>45569</v>
      </c>
      <c r="C949" s="7">
        <v>0.88541666666666663</v>
      </c>
      <c r="D949" s="5" t="s">
        <v>1780</v>
      </c>
      <c r="E949" s="5" t="s">
        <v>2120</v>
      </c>
      <c r="F949" s="5" t="s">
        <v>2238</v>
      </c>
      <c r="G949" s="5" t="s">
        <v>2249</v>
      </c>
      <c r="H949" s="5" t="s">
        <v>2257</v>
      </c>
      <c r="I949" s="5" t="s">
        <v>2263</v>
      </c>
      <c r="J949" s="5" t="s">
        <v>2265</v>
      </c>
      <c r="K949" s="8">
        <v>1</v>
      </c>
      <c r="L949" s="9">
        <v>160</v>
      </c>
      <c r="M949" s="10">
        <v>0</v>
      </c>
      <c r="N949" s="9">
        <f t="shared" si="178"/>
        <v>160</v>
      </c>
      <c r="O949" s="9">
        <f t="shared" si="168"/>
        <v>160</v>
      </c>
      <c r="P949" s="5" t="s">
        <v>2269</v>
      </c>
      <c r="Q949" s="5" t="s">
        <v>2272</v>
      </c>
      <c r="R949" s="5" t="s">
        <v>2277</v>
      </c>
      <c r="S949" s="5" t="s">
        <v>2284</v>
      </c>
      <c r="T949" s="5" t="s">
        <v>2288</v>
      </c>
      <c r="U949" s="8">
        <v>5</v>
      </c>
      <c r="V949" s="8">
        <v>27</v>
      </c>
      <c r="W949" s="8">
        <v>60</v>
      </c>
      <c r="X949" s="9">
        <v>57.07</v>
      </c>
      <c r="Y949" s="9">
        <f t="shared" si="169"/>
        <v>102.93</v>
      </c>
      <c r="Z949" s="5" t="s">
        <v>2294</v>
      </c>
      <c r="AA949" s="5" t="s">
        <v>2299</v>
      </c>
      <c r="AB949" s="9">
        <f t="shared" si="170"/>
        <v>160</v>
      </c>
      <c r="AC949" s="9">
        <f t="shared" si="171"/>
        <v>0</v>
      </c>
      <c r="AD949" s="9">
        <f t="shared" si="172"/>
        <v>160</v>
      </c>
      <c r="AE949" s="9">
        <f t="shared" si="173"/>
        <v>57.07</v>
      </c>
      <c r="AF949" s="9">
        <f t="shared" si="179"/>
        <v>102.93</v>
      </c>
      <c r="AG949" s="8">
        <f t="shared" si="174"/>
        <v>2024</v>
      </c>
      <c r="AH949" s="8">
        <f t="shared" si="175"/>
        <v>10</v>
      </c>
      <c r="AI949" s="5" t="str">
        <f t="shared" si="176"/>
        <v>Oct</v>
      </c>
      <c r="AJ949" s="5" t="str">
        <f t="shared" si="177"/>
        <v>Friday</v>
      </c>
    </row>
    <row r="950" spans="1:36" x14ac:dyDescent="0.3">
      <c r="A950" s="5" t="s">
        <v>984</v>
      </c>
      <c r="B950" s="6">
        <v>45399</v>
      </c>
      <c r="C950" s="7">
        <v>0.70833333333333337</v>
      </c>
      <c r="D950" s="5" t="s">
        <v>1922</v>
      </c>
      <c r="E950" s="5" t="s">
        <v>2120</v>
      </c>
      <c r="F950" s="5" t="s">
        <v>1761</v>
      </c>
      <c r="G950" s="5" t="s">
        <v>2244</v>
      </c>
      <c r="H950" s="5" t="s">
        <v>2257</v>
      </c>
      <c r="I950" s="5" t="s">
        <v>2262</v>
      </c>
      <c r="J950" s="5" t="s">
        <v>2265</v>
      </c>
      <c r="K950" s="8">
        <v>1</v>
      </c>
      <c r="L950" s="9">
        <v>120</v>
      </c>
      <c r="M950" s="10">
        <v>0</v>
      </c>
      <c r="N950" s="9">
        <f t="shared" si="178"/>
        <v>120</v>
      </c>
      <c r="O950" s="9">
        <f t="shared" si="168"/>
        <v>120</v>
      </c>
      <c r="P950" s="5" t="s">
        <v>2268</v>
      </c>
      <c r="Q950" s="5" t="s">
        <v>2272</v>
      </c>
      <c r="R950" s="5" t="s">
        <v>2275</v>
      </c>
      <c r="S950" s="5" t="s">
        <v>2280</v>
      </c>
      <c r="T950" s="5" t="s">
        <v>2290</v>
      </c>
      <c r="U950" s="8">
        <v>2</v>
      </c>
      <c r="V950" s="8">
        <v>12</v>
      </c>
      <c r="W950" s="19">
        <v>35</v>
      </c>
      <c r="X950" s="9">
        <v>65.66</v>
      </c>
      <c r="Y950" s="9">
        <f t="shared" si="169"/>
        <v>54.34</v>
      </c>
      <c r="Z950" s="5" t="s">
        <v>2293</v>
      </c>
      <c r="AA950" s="5" t="s">
        <v>2298</v>
      </c>
      <c r="AB950" s="9">
        <f t="shared" si="170"/>
        <v>120</v>
      </c>
      <c r="AC950" s="9">
        <f t="shared" si="171"/>
        <v>0</v>
      </c>
      <c r="AD950" s="9">
        <f t="shared" si="172"/>
        <v>120</v>
      </c>
      <c r="AE950" s="9">
        <f t="shared" si="173"/>
        <v>65.66</v>
      </c>
      <c r="AF950" s="9">
        <f t="shared" si="179"/>
        <v>54.34</v>
      </c>
      <c r="AG950" s="8">
        <f t="shared" si="174"/>
        <v>2024</v>
      </c>
      <c r="AH950" s="8">
        <f t="shared" si="175"/>
        <v>4</v>
      </c>
      <c r="AI950" s="5" t="str">
        <f t="shared" si="176"/>
        <v>Apr</v>
      </c>
      <c r="AJ950" s="5" t="str">
        <f t="shared" si="177"/>
        <v>Wednesday</v>
      </c>
    </row>
    <row r="951" spans="1:36" x14ac:dyDescent="0.3">
      <c r="A951" s="5" t="s">
        <v>985</v>
      </c>
      <c r="B951" s="6">
        <v>45314</v>
      </c>
      <c r="C951" s="7">
        <v>0.50694444444444442</v>
      </c>
      <c r="D951" s="5" t="s">
        <v>1821</v>
      </c>
      <c r="E951" s="5" t="s">
        <v>2076</v>
      </c>
      <c r="F951" s="5" t="s">
        <v>2239</v>
      </c>
      <c r="G951" s="5" t="s">
        <v>2251</v>
      </c>
      <c r="H951" s="5" t="s">
        <v>2258</v>
      </c>
      <c r="I951" s="5" t="s">
        <v>2260</v>
      </c>
      <c r="J951" s="5" t="s">
        <v>2264</v>
      </c>
      <c r="K951" s="8">
        <v>3</v>
      </c>
      <c r="L951" s="9">
        <v>100</v>
      </c>
      <c r="M951" s="10">
        <v>0.1</v>
      </c>
      <c r="N951" s="9">
        <f t="shared" si="178"/>
        <v>300</v>
      </c>
      <c r="O951" s="9">
        <f t="shared" si="168"/>
        <v>270</v>
      </c>
      <c r="P951" s="5" t="s">
        <v>2269</v>
      </c>
      <c r="Q951" s="5" t="s">
        <v>1761</v>
      </c>
      <c r="R951" s="5" t="s">
        <v>2278</v>
      </c>
      <c r="S951" s="5" t="s">
        <v>2281</v>
      </c>
      <c r="T951" s="5" t="s">
        <v>2288</v>
      </c>
      <c r="U951" s="8">
        <v>2</v>
      </c>
      <c r="V951" s="8">
        <v>325</v>
      </c>
      <c r="W951" s="8">
        <v>57</v>
      </c>
      <c r="X951" s="9">
        <v>44.58</v>
      </c>
      <c r="Y951" s="9">
        <f t="shared" si="169"/>
        <v>136.26</v>
      </c>
      <c r="Z951" s="5" t="s">
        <v>2291</v>
      </c>
      <c r="AA951" s="5" t="s">
        <v>2298</v>
      </c>
      <c r="AB951" s="9">
        <f t="shared" si="170"/>
        <v>300</v>
      </c>
      <c r="AC951" s="9">
        <f t="shared" si="171"/>
        <v>30</v>
      </c>
      <c r="AD951" s="9">
        <f t="shared" si="172"/>
        <v>270</v>
      </c>
      <c r="AE951" s="9">
        <f t="shared" si="173"/>
        <v>133.74</v>
      </c>
      <c r="AF951" s="9">
        <f t="shared" si="179"/>
        <v>136.26</v>
      </c>
      <c r="AG951" s="8">
        <f t="shared" si="174"/>
        <v>2024</v>
      </c>
      <c r="AH951" s="8">
        <f t="shared" si="175"/>
        <v>1</v>
      </c>
      <c r="AI951" s="5" t="str">
        <f t="shared" si="176"/>
        <v>Jan</v>
      </c>
      <c r="AJ951" s="5" t="str">
        <f t="shared" si="177"/>
        <v>Tuesday</v>
      </c>
    </row>
    <row r="952" spans="1:36" x14ac:dyDescent="0.3">
      <c r="A952" s="5" t="s">
        <v>986</v>
      </c>
      <c r="B952" s="6">
        <v>45545</v>
      </c>
      <c r="C952" s="7">
        <v>0.75694444444444442</v>
      </c>
      <c r="D952" s="5" t="s">
        <v>1843</v>
      </c>
      <c r="E952" s="5" t="s">
        <v>2216</v>
      </c>
      <c r="F952" s="5" t="s">
        <v>2239</v>
      </c>
      <c r="G952" s="5" t="s">
        <v>2243</v>
      </c>
      <c r="H952" s="5" t="s">
        <v>2258</v>
      </c>
      <c r="I952" s="5" t="s">
        <v>2260</v>
      </c>
      <c r="J952" s="5" t="s">
        <v>2264</v>
      </c>
      <c r="K952" s="8">
        <v>2</v>
      </c>
      <c r="L952" s="9">
        <v>70</v>
      </c>
      <c r="M952" s="10">
        <v>0.05</v>
      </c>
      <c r="N952" s="9">
        <f t="shared" si="178"/>
        <v>140</v>
      </c>
      <c r="O952" s="9">
        <f t="shared" si="168"/>
        <v>133</v>
      </c>
      <c r="P952" s="5" t="s">
        <v>2268</v>
      </c>
      <c r="Q952" s="5" t="s">
        <v>2270</v>
      </c>
      <c r="R952" s="5" t="s">
        <v>2274</v>
      </c>
      <c r="S952" s="5" t="s">
        <v>2286</v>
      </c>
      <c r="T952" s="5" t="s">
        <v>2288</v>
      </c>
      <c r="U952" s="8">
        <v>1</v>
      </c>
      <c r="V952" s="8">
        <v>125</v>
      </c>
      <c r="W952" s="8">
        <v>31</v>
      </c>
      <c r="X952" s="9">
        <v>29.44</v>
      </c>
      <c r="Y952" s="9">
        <f t="shared" si="169"/>
        <v>74.12</v>
      </c>
      <c r="Z952" s="5" t="s">
        <v>2294</v>
      </c>
      <c r="AA952" s="5" t="s">
        <v>1761</v>
      </c>
      <c r="AB952" s="9">
        <f t="shared" si="170"/>
        <v>140</v>
      </c>
      <c r="AC952" s="9">
        <f t="shared" si="171"/>
        <v>7</v>
      </c>
      <c r="AD952" s="9">
        <f t="shared" si="172"/>
        <v>133</v>
      </c>
      <c r="AE952" s="9">
        <f t="shared" si="173"/>
        <v>58.88</v>
      </c>
      <c r="AF952" s="9">
        <f t="shared" si="179"/>
        <v>74.12</v>
      </c>
      <c r="AG952" s="8">
        <f t="shared" si="174"/>
        <v>2024</v>
      </c>
      <c r="AH952" s="8">
        <f t="shared" si="175"/>
        <v>9</v>
      </c>
      <c r="AI952" s="5" t="str">
        <f t="shared" si="176"/>
        <v>Sep</v>
      </c>
      <c r="AJ952" s="5" t="str">
        <f t="shared" si="177"/>
        <v>Tuesday</v>
      </c>
    </row>
    <row r="953" spans="1:36" x14ac:dyDescent="0.3">
      <c r="A953" s="5" t="s">
        <v>987</v>
      </c>
      <c r="B953" s="6">
        <v>45371</v>
      </c>
      <c r="C953" s="7">
        <v>0.41666666666666669</v>
      </c>
      <c r="D953" s="5" t="s">
        <v>1761</v>
      </c>
      <c r="E953" s="5" t="s">
        <v>2098</v>
      </c>
      <c r="F953" s="5" t="s">
        <v>2238</v>
      </c>
      <c r="G953" s="5" t="s">
        <v>2244</v>
      </c>
      <c r="H953" s="5" t="s">
        <v>2257</v>
      </c>
      <c r="I953" s="5" t="s">
        <v>2262</v>
      </c>
      <c r="J953" s="5" t="s">
        <v>2265</v>
      </c>
      <c r="K953" s="8">
        <v>3</v>
      </c>
      <c r="L953" s="9">
        <v>130</v>
      </c>
      <c r="M953" s="10">
        <v>0.1</v>
      </c>
      <c r="N953" s="9">
        <f t="shared" si="178"/>
        <v>390</v>
      </c>
      <c r="O953" s="9">
        <f t="shared" si="168"/>
        <v>351</v>
      </c>
      <c r="P953" s="5" t="s">
        <v>2267</v>
      </c>
      <c r="Q953" s="5" t="s">
        <v>2271</v>
      </c>
      <c r="R953" s="5" t="s">
        <v>2275</v>
      </c>
      <c r="S953" s="5" t="s">
        <v>2280</v>
      </c>
      <c r="T953" s="5" t="s">
        <v>2290</v>
      </c>
      <c r="U953" s="8">
        <v>5</v>
      </c>
      <c r="V953" s="8">
        <v>409</v>
      </c>
      <c r="W953" s="8">
        <v>58</v>
      </c>
      <c r="X953" s="9">
        <v>65.760000000000005</v>
      </c>
      <c r="Y953" s="9">
        <f t="shared" si="169"/>
        <v>153.71999999999997</v>
      </c>
      <c r="Z953" s="5" t="s">
        <v>2291</v>
      </c>
      <c r="AA953" s="5" t="s">
        <v>2296</v>
      </c>
      <c r="AB953" s="9">
        <f t="shared" si="170"/>
        <v>390</v>
      </c>
      <c r="AC953" s="9">
        <f t="shared" si="171"/>
        <v>39</v>
      </c>
      <c r="AD953" s="9">
        <f t="shared" si="172"/>
        <v>351</v>
      </c>
      <c r="AE953" s="9">
        <f t="shared" si="173"/>
        <v>197.28000000000003</v>
      </c>
      <c r="AF953" s="9">
        <f t="shared" si="179"/>
        <v>153.71999999999997</v>
      </c>
      <c r="AG953" s="8">
        <f t="shared" si="174"/>
        <v>2024</v>
      </c>
      <c r="AH953" s="8">
        <f t="shared" si="175"/>
        <v>3</v>
      </c>
      <c r="AI953" s="5" t="str">
        <f t="shared" si="176"/>
        <v>Mar</v>
      </c>
      <c r="AJ953" s="5" t="str">
        <f t="shared" si="177"/>
        <v>Wednesday</v>
      </c>
    </row>
    <row r="954" spans="1:36" x14ac:dyDescent="0.3">
      <c r="A954" s="5" t="s">
        <v>988</v>
      </c>
      <c r="B954" s="6">
        <v>45537</v>
      </c>
      <c r="C954" s="7">
        <v>0.66666666666666663</v>
      </c>
      <c r="D954" s="5" t="s">
        <v>1762</v>
      </c>
      <c r="E954" s="5" t="s">
        <v>1949</v>
      </c>
      <c r="F954" s="5" t="s">
        <v>1761</v>
      </c>
      <c r="G954" s="5" t="s">
        <v>2242</v>
      </c>
      <c r="H954" s="5" t="s">
        <v>2258</v>
      </c>
      <c r="I954" s="5" t="s">
        <v>2260</v>
      </c>
      <c r="J954" s="5" t="s">
        <v>2264</v>
      </c>
      <c r="K954" s="8">
        <v>1</v>
      </c>
      <c r="L954" s="9">
        <v>115</v>
      </c>
      <c r="M954" s="10">
        <v>0.05</v>
      </c>
      <c r="N954" s="9">
        <f t="shared" si="178"/>
        <v>115</v>
      </c>
      <c r="O954" s="9">
        <f t="shared" si="168"/>
        <v>109.25</v>
      </c>
      <c r="P954" s="5" t="s">
        <v>2268</v>
      </c>
      <c r="Q954" s="5" t="s">
        <v>2271</v>
      </c>
      <c r="R954" s="5" t="s">
        <v>2275</v>
      </c>
      <c r="S954" s="5" t="s">
        <v>2281</v>
      </c>
      <c r="T954" s="5" t="s">
        <v>2288</v>
      </c>
      <c r="U954" s="19">
        <v>3</v>
      </c>
      <c r="V954" s="8">
        <v>169</v>
      </c>
      <c r="W954" s="8">
        <v>10</v>
      </c>
      <c r="X954" s="9">
        <v>56.45</v>
      </c>
      <c r="Y954" s="9">
        <f t="shared" si="169"/>
        <v>52.8</v>
      </c>
      <c r="Z954" s="5" t="s">
        <v>2292</v>
      </c>
      <c r="AA954" s="5" t="s">
        <v>2298</v>
      </c>
      <c r="AB954" s="9">
        <f t="shared" si="170"/>
        <v>115</v>
      </c>
      <c r="AC954" s="9">
        <f t="shared" si="171"/>
        <v>5.75</v>
      </c>
      <c r="AD954" s="9">
        <f t="shared" si="172"/>
        <v>109.25</v>
      </c>
      <c r="AE954" s="9">
        <f t="shared" si="173"/>
        <v>56.45</v>
      </c>
      <c r="AF954" s="9">
        <f t="shared" si="179"/>
        <v>52.8</v>
      </c>
      <c r="AG954" s="8">
        <f t="shared" si="174"/>
        <v>2024</v>
      </c>
      <c r="AH954" s="8">
        <f t="shared" si="175"/>
        <v>9</v>
      </c>
      <c r="AI954" s="5" t="str">
        <f t="shared" si="176"/>
        <v>Sep</v>
      </c>
      <c r="AJ954" s="5" t="str">
        <f t="shared" si="177"/>
        <v>Monday</v>
      </c>
    </row>
    <row r="955" spans="1:36" x14ac:dyDescent="0.3">
      <c r="A955" s="5" t="s">
        <v>989</v>
      </c>
      <c r="B955" s="6">
        <v>45605</v>
      </c>
      <c r="C955" s="7">
        <v>0.53125</v>
      </c>
      <c r="D955" s="5" t="s">
        <v>1830</v>
      </c>
      <c r="E955" s="5" t="s">
        <v>2047</v>
      </c>
      <c r="F955" s="5" t="s">
        <v>2239</v>
      </c>
      <c r="G955" s="5" t="s">
        <v>2246</v>
      </c>
      <c r="H955" s="5" t="s">
        <v>2259</v>
      </c>
      <c r="I955" s="5" t="s">
        <v>2262</v>
      </c>
      <c r="J955" s="5" t="s">
        <v>2265</v>
      </c>
      <c r="K955" s="8">
        <v>1</v>
      </c>
      <c r="L955" s="9">
        <v>90</v>
      </c>
      <c r="M955" s="10">
        <v>0</v>
      </c>
      <c r="N955" s="9">
        <f t="shared" si="178"/>
        <v>90</v>
      </c>
      <c r="O955" s="9">
        <f t="shared" si="168"/>
        <v>90</v>
      </c>
      <c r="P955" s="5" t="s">
        <v>2269</v>
      </c>
      <c r="Q955" s="5" t="s">
        <v>2272</v>
      </c>
      <c r="R955" s="5" t="s">
        <v>2273</v>
      </c>
      <c r="S955" s="5" t="s">
        <v>2280</v>
      </c>
      <c r="T955" s="5" t="s">
        <v>2289</v>
      </c>
      <c r="U955" s="8">
        <v>5</v>
      </c>
      <c r="V955" s="8">
        <v>218</v>
      </c>
      <c r="W955" s="19">
        <v>35</v>
      </c>
      <c r="X955" s="9">
        <v>46.12</v>
      </c>
      <c r="Y955" s="9">
        <f t="shared" si="169"/>
        <v>43.88</v>
      </c>
      <c r="Z955" s="5" t="s">
        <v>2292</v>
      </c>
      <c r="AA955" s="5" t="s">
        <v>1761</v>
      </c>
      <c r="AB955" s="9">
        <f t="shared" si="170"/>
        <v>90</v>
      </c>
      <c r="AC955" s="9">
        <f t="shared" si="171"/>
        <v>0</v>
      </c>
      <c r="AD955" s="9">
        <f t="shared" si="172"/>
        <v>90</v>
      </c>
      <c r="AE955" s="9">
        <f t="shared" si="173"/>
        <v>46.12</v>
      </c>
      <c r="AF955" s="9">
        <f t="shared" si="179"/>
        <v>43.88</v>
      </c>
      <c r="AG955" s="8">
        <f t="shared" si="174"/>
        <v>2024</v>
      </c>
      <c r="AH955" s="8">
        <f t="shared" si="175"/>
        <v>11</v>
      </c>
      <c r="AI955" s="5" t="str">
        <f t="shared" si="176"/>
        <v>Nov</v>
      </c>
      <c r="AJ955" s="5" t="str">
        <f t="shared" si="177"/>
        <v>Saturday</v>
      </c>
    </row>
    <row r="956" spans="1:36" x14ac:dyDescent="0.3">
      <c r="A956" s="5" t="s">
        <v>990</v>
      </c>
      <c r="B956" s="6">
        <v>45598</v>
      </c>
      <c r="C956" s="7">
        <v>0.49305555555555558</v>
      </c>
      <c r="D956" s="5" t="s">
        <v>1817</v>
      </c>
      <c r="E956" s="5" t="s">
        <v>2222</v>
      </c>
      <c r="F956" s="5" t="s">
        <v>2240</v>
      </c>
      <c r="G956" s="5" t="s">
        <v>2241</v>
      </c>
      <c r="H956" s="5" t="s">
        <v>2257</v>
      </c>
      <c r="I956" s="5" t="s">
        <v>2262</v>
      </c>
      <c r="J956" s="5" t="s">
        <v>2265</v>
      </c>
      <c r="K956" s="8">
        <v>1</v>
      </c>
      <c r="L956" s="9">
        <v>130</v>
      </c>
      <c r="M956" s="10">
        <v>0</v>
      </c>
      <c r="N956" s="9">
        <f t="shared" si="178"/>
        <v>130</v>
      </c>
      <c r="O956" s="9">
        <f t="shared" si="168"/>
        <v>130</v>
      </c>
      <c r="P956" s="5" t="s">
        <v>2268</v>
      </c>
      <c r="Q956" s="5" t="s">
        <v>2270</v>
      </c>
      <c r="R956" s="5" t="s">
        <v>2273</v>
      </c>
      <c r="S956" s="5" t="s">
        <v>2280</v>
      </c>
      <c r="T956" s="5" t="s">
        <v>2289</v>
      </c>
      <c r="U956" s="8">
        <v>4</v>
      </c>
      <c r="V956" s="8">
        <v>6</v>
      </c>
      <c r="W956" s="8">
        <v>44</v>
      </c>
      <c r="X956" s="9">
        <v>74.510000000000005</v>
      </c>
      <c r="Y956" s="9">
        <f t="shared" si="169"/>
        <v>55.489999999999995</v>
      </c>
      <c r="Z956" s="5" t="s">
        <v>2293</v>
      </c>
      <c r="AA956" s="5" t="s">
        <v>2297</v>
      </c>
      <c r="AB956" s="9">
        <f t="shared" si="170"/>
        <v>130</v>
      </c>
      <c r="AC956" s="9">
        <f t="shared" si="171"/>
        <v>0</v>
      </c>
      <c r="AD956" s="9">
        <f t="shared" si="172"/>
        <v>130</v>
      </c>
      <c r="AE956" s="9">
        <f t="shared" si="173"/>
        <v>74.510000000000005</v>
      </c>
      <c r="AF956" s="9">
        <f t="shared" si="179"/>
        <v>55.489999999999995</v>
      </c>
      <c r="AG956" s="8">
        <f t="shared" si="174"/>
        <v>2024</v>
      </c>
      <c r="AH956" s="8">
        <f t="shared" si="175"/>
        <v>11</v>
      </c>
      <c r="AI956" s="5" t="str">
        <f t="shared" si="176"/>
        <v>Nov</v>
      </c>
      <c r="AJ956" s="5" t="str">
        <f t="shared" si="177"/>
        <v>Saturday</v>
      </c>
    </row>
    <row r="957" spans="1:36" x14ac:dyDescent="0.3">
      <c r="A957" s="5" t="s">
        <v>991</v>
      </c>
      <c r="B957" s="6">
        <v>45637</v>
      </c>
      <c r="C957" s="7">
        <v>0.36805555555555558</v>
      </c>
      <c r="D957" s="5" t="s">
        <v>1847</v>
      </c>
      <c r="E957" s="5" t="s">
        <v>1966</v>
      </c>
      <c r="F957" s="5" t="s">
        <v>2239</v>
      </c>
      <c r="G957" s="5" t="s">
        <v>2241</v>
      </c>
      <c r="H957" s="5" t="s">
        <v>2257</v>
      </c>
      <c r="I957" s="5" t="s">
        <v>2262</v>
      </c>
      <c r="J957" s="5" t="s">
        <v>2266</v>
      </c>
      <c r="K957" s="8">
        <v>3</v>
      </c>
      <c r="L957" s="9">
        <v>140</v>
      </c>
      <c r="M957" s="10">
        <v>0</v>
      </c>
      <c r="N957" s="9">
        <f t="shared" si="178"/>
        <v>420</v>
      </c>
      <c r="O957" s="9">
        <f t="shared" si="168"/>
        <v>420</v>
      </c>
      <c r="P957" s="5" t="s">
        <v>2267</v>
      </c>
      <c r="Q957" s="5" t="s">
        <v>1761</v>
      </c>
      <c r="R957" s="5" t="s">
        <v>2276</v>
      </c>
      <c r="S957" s="5" t="s">
        <v>2286</v>
      </c>
      <c r="T957" s="5" t="s">
        <v>2290</v>
      </c>
      <c r="U957" s="8">
        <v>5</v>
      </c>
      <c r="V957" s="8">
        <v>464</v>
      </c>
      <c r="W957" s="19">
        <v>36</v>
      </c>
      <c r="X957" s="9">
        <v>72.599999999999994</v>
      </c>
      <c r="Y957" s="9">
        <f t="shared" si="169"/>
        <v>202.20000000000002</v>
      </c>
      <c r="Z957" s="5" t="s">
        <v>2293</v>
      </c>
      <c r="AA957" s="5" t="s">
        <v>2299</v>
      </c>
      <c r="AB957" s="9">
        <f t="shared" si="170"/>
        <v>420</v>
      </c>
      <c r="AC957" s="9">
        <f t="shared" si="171"/>
        <v>0</v>
      </c>
      <c r="AD957" s="9">
        <f t="shared" si="172"/>
        <v>420</v>
      </c>
      <c r="AE957" s="9">
        <f t="shared" si="173"/>
        <v>217.79999999999998</v>
      </c>
      <c r="AF957" s="9">
        <f t="shared" si="179"/>
        <v>202.20000000000002</v>
      </c>
      <c r="AG957" s="8">
        <f t="shared" si="174"/>
        <v>2024</v>
      </c>
      <c r="AH957" s="8">
        <f t="shared" si="175"/>
        <v>12</v>
      </c>
      <c r="AI957" s="5" t="str">
        <f t="shared" si="176"/>
        <v>Dec</v>
      </c>
      <c r="AJ957" s="5" t="str">
        <f t="shared" si="177"/>
        <v>Wednesday</v>
      </c>
    </row>
    <row r="958" spans="1:36" x14ac:dyDescent="0.3">
      <c r="A958" s="5" t="s">
        <v>992</v>
      </c>
      <c r="B958" s="6">
        <v>45337</v>
      </c>
      <c r="C958" s="7">
        <v>0.59722222222222221</v>
      </c>
      <c r="D958" s="5" t="s">
        <v>1780</v>
      </c>
      <c r="E958" s="5" t="s">
        <v>2035</v>
      </c>
      <c r="F958" s="5" t="s">
        <v>2240</v>
      </c>
      <c r="G958" s="5" t="s">
        <v>2254</v>
      </c>
      <c r="H958" s="5" t="s">
        <v>2259</v>
      </c>
      <c r="I958" s="5" t="s">
        <v>2263</v>
      </c>
      <c r="J958" s="5" t="s">
        <v>2266</v>
      </c>
      <c r="K958" s="8">
        <v>2</v>
      </c>
      <c r="L958" s="9">
        <v>120</v>
      </c>
      <c r="M958" s="10">
        <v>0</v>
      </c>
      <c r="N958" s="9">
        <f t="shared" si="178"/>
        <v>240</v>
      </c>
      <c r="O958" s="9">
        <f t="shared" si="168"/>
        <v>240</v>
      </c>
      <c r="P958" s="5" t="s">
        <v>2268</v>
      </c>
      <c r="Q958" s="5" t="s">
        <v>2270</v>
      </c>
      <c r="R958" s="5" t="s">
        <v>2275</v>
      </c>
      <c r="S958" s="5" t="s">
        <v>2283</v>
      </c>
      <c r="T958" s="5" t="s">
        <v>2290</v>
      </c>
      <c r="U958" s="8">
        <v>2</v>
      </c>
      <c r="V958" s="8">
        <v>361</v>
      </c>
      <c r="W958" s="8">
        <v>27</v>
      </c>
      <c r="X958" s="9">
        <v>65.38</v>
      </c>
      <c r="Y958" s="9">
        <f t="shared" si="169"/>
        <v>109.24000000000001</v>
      </c>
      <c r="Z958" s="5" t="s">
        <v>2293</v>
      </c>
      <c r="AA958" s="5" t="s">
        <v>2297</v>
      </c>
      <c r="AB958" s="9">
        <f t="shared" si="170"/>
        <v>240</v>
      </c>
      <c r="AC958" s="9">
        <f t="shared" si="171"/>
        <v>0</v>
      </c>
      <c r="AD958" s="9">
        <f t="shared" si="172"/>
        <v>240</v>
      </c>
      <c r="AE958" s="9">
        <f t="shared" si="173"/>
        <v>130.76</v>
      </c>
      <c r="AF958" s="9">
        <f t="shared" si="179"/>
        <v>109.24000000000001</v>
      </c>
      <c r="AG958" s="8">
        <f t="shared" si="174"/>
        <v>2024</v>
      </c>
      <c r="AH958" s="8">
        <f t="shared" si="175"/>
        <v>2</v>
      </c>
      <c r="AI958" s="5" t="str">
        <f t="shared" si="176"/>
        <v>Feb</v>
      </c>
      <c r="AJ958" s="5" t="str">
        <f t="shared" si="177"/>
        <v>Thursday</v>
      </c>
    </row>
    <row r="959" spans="1:36" x14ac:dyDescent="0.3">
      <c r="A959" s="5" t="s">
        <v>993</v>
      </c>
      <c r="B959" s="6">
        <v>45656</v>
      </c>
      <c r="C959" s="7">
        <v>0.44791666666666669</v>
      </c>
      <c r="D959" s="5" t="s">
        <v>1827</v>
      </c>
      <c r="E959" s="5" t="s">
        <v>2023</v>
      </c>
      <c r="F959" s="5" t="s">
        <v>2239</v>
      </c>
      <c r="G959" s="5" t="s">
        <v>2256</v>
      </c>
      <c r="H959" s="5" t="s">
        <v>2261</v>
      </c>
      <c r="I959" s="5" t="s">
        <v>2260</v>
      </c>
      <c r="J959" s="5" t="s">
        <v>1761</v>
      </c>
      <c r="K959" s="8">
        <v>2</v>
      </c>
      <c r="L959" s="9">
        <v>190</v>
      </c>
      <c r="M959" s="10">
        <v>0.1</v>
      </c>
      <c r="N959" s="9">
        <f t="shared" si="178"/>
        <v>380</v>
      </c>
      <c r="O959" s="9">
        <f t="shared" si="168"/>
        <v>342</v>
      </c>
      <c r="P959" s="5" t="s">
        <v>2268</v>
      </c>
      <c r="Q959" s="5" t="s">
        <v>2270</v>
      </c>
      <c r="R959" s="5" t="s">
        <v>2273</v>
      </c>
      <c r="S959" s="5" t="s">
        <v>2285</v>
      </c>
      <c r="T959" s="5" t="s">
        <v>2288</v>
      </c>
      <c r="U959" s="8">
        <v>1</v>
      </c>
      <c r="V959" s="8">
        <v>191</v>
      </c>
      <c r="W959" s="8">
        <v>36</v>
      </c>
      <c r="X959" s="9">
        <v>105.78</v>
      </c>
      <c r="Y959" s="9">
        <f t="shared" si="169"/>
        <v>130.44</v>
      </c>
      <c r="Z959" s="5" t="s">
        <v>2291</v>
      </c>
      <c r="AA959" s="5" t="s">
        <v>2296</v>
      </c>
      <c r="AB959" s="9">
        <f t="shared" si="170"/>
        <v>380</v>
      </c>
      <c r="AC959" s="9">
        <f t="shared" si="171"/>
        <v>38</v>
      </c>
      <c r="AD959" s="9">
        <f t="shared" si="172"/>
        <v>342</v>
      </c>
      <c r="AE959" s="9">
        <f t="shared" si="173"/>
        <v>211.56</v>
      </c>
      <c r="AF959" s="9">
        <f t="shared" si="179"/>
        <v>130.44</v>
      </c>
      <c r="AG959" s="8">
        <f t="shared" si="174"/>
        <v>2024</v>
      </c>
      <c r="AH959" s="8">
        <f t="shared" si="175"/>
        <v>12</v>
      </c>
      <c r="AI959" s="5" t="str">
        <f t="shared" si="176"/>
        <v>Dec</v>
      </c>
      <c r="AJ959" s="5" t="str">
        <f t="shared" si="177"/>
        <v>Monday</v>
      </c>
    </row>
    <row r="960" spans="1:36" x14ac:dyDescent="0.3">
      <c r="A960" s="5" t="s">
        <v>994</v>
      </c>
      <c r="B960" s="6">
        <v>45647</v>
      </c>
      <c r="C960" s="7">
        <v>0.82638888888888884</v>
      </c>
      <c r="D960" s="5" t="s">
        <v>1886</v>
      </c>
      <c r="E960" s="5" t="s">
        <v>2213</v>
      </c>
      <c r="F960" s="5" t="s">
        <v>2240</v>
      </c>
      <c r="G960" s="5" t="s">
        <v>2241</v>
      </c>
      <c r="H960" s="5" t="s">
        <v>2257</v>
      </c>
      <c r="I960" s="5" t="s">
        <v>2262</v>
      </c>
      <c r="J960" s="5" t="s">
        <v>1761</v>
      </c>
      <c r="K960" s="8">
        <v>1</v>
      </c>
      <c r="L960" s="9">
        <v>130</v>
      </c>
      <c r="M960" s="10">
        <v>0.1</v>
      </c>
      <c r="N960" s="9">
        <f t="shared" si="178"/>
        <v>130</v>
      </c>
      <c r="O960" s="9">
        <f t="shared" si="168"/>
        <v>117</v>
      </c>
      <c r="P960" s="5" t="s">
        <v>2267</v>
      </c>
      <c r="Q960" s="5" t="s">
        <v>2272</v>
      </c>
      <c r="R960" s="5" t="s">
        <v>2273</v>
      </c>
      <c r="S960" s="5" t="s">
        <v>2283</v>
      </c>
      <c r="T960" s="5" t="s">
        <v>2289</v>
      </c>
      <c r="U960" s="8">
        <v>2</v>
      </c>
      <c r="V960" s="8">
        <v>443</v>
      </c>
      <c r="W960" s="8">
        <v>16</v>
      </c>
      <c r="X960" s="9">
        <v>67.31</v>
      </c>
      <c r="Y960" s="9">
        <f t="shared" si="169"/>
        <v>49.69</v>
      </c>
      <c r="Z960" s="5" t="s">
        <v>1761</v>
      </c>
      <c r="AA960" s="5" t="s">
        <v>2297</v>
      </c>
      <c r="AB960" s="9">
        <f t="shared" si="170"/>
        <v>130</v>
      </c>
      <c r="AC960" s="9">
        <f t="shared" si="171"/>
        <v>13</v>
      </c>
      <c r="AD960" s="9">
        <f t="shared" si="172"/>
        <v>117</v>
      </c>
      <c r="AE960" s="9">
        <f t="shared" si="173"/>
        <v>67.31</v>
      </c>
      <c r="AF960" s="9">
        <f t="shared" si="179"/>
        <v>49.69</v>
      </c>
      <c r="AG960" s="8">
        <f t="shared" si="174"/>
        <v>2024</v>
      </c>
      <c r="AH960" s="8">
        <f t="shared" si="175"/>
        <v>12</v>
      </c>
      <c r="AI960" s="5" t="str">
        <f t="shared" si="176"/>
        <v>Dec</v>
      </c>
      <c r="AJ960" s="5" t="str">
        <f t="shared" si="177"/>
        <v>Saturday</v>
      </c>
    </row>
    <row r="961" spans="1:36" x14ac:dyDescent="0.3">
      <c r="A961" s="5" t="s">
        <v>995</v>
      </c>
      <c r="B961" s="6">
        <v>45564</v>
      </c>
      <c r="C961" s="7">
        <v>0.55555555555555558</v>
      </c>
      <c r="D961" s="5" t="s">
        <v>1770</v>
      </c>
      <c r="E961" s="5" t="s">
        <v>2061</v>
      </c>
      <c r="F961" s="5" t="s">
        <v>2240</v>
      </c>
      <c r="G961" s="5" t="s">
        <v>2252</v>
      </c>
      <c r="H961" s="5" t="s">
        <v>2257</v>
      </c>
      <c r="I961" s="5" t="s">
        <v>2262</v>
      </c>
      <c r="J961" s="5" t="s">
        <v>2265</v>
      </c>
      <c r="K961" s="8">
        <v>1</v>
      </c>
      <c r="L961" s="9">
        <v>100</v>
      </c>
      <c r="M961" s="10">
        <v>0</v>
      </c>
      <c r="N961" s="9">
        <f t="shared" si="178"/>
        <v>100</v>
      </c>
      <c r="O961" s="9">
        <f t="shared" si="168"/>
        <v>100</v>
      </c>
      <c r="P961" s="5" t="s">
        <v>2268</v>
      </c>
      <c r="Q961" s="5" t="s">
        <v>2272</v>
      </c>
      <c r="R961" s="5" t="s">
        <v>2273</v>
      </c>
      <c r="S961" s="5" t="s">
        <v>2287</v>
      </c>
      <c r="T961" s="5" t="s">
        <v>2288</v>
      </c>
      <c r="U961" s="8">
        <v>4</v>
      </c>
      <c r="V961" s="8">
        <v>106</v>
      </c>
      <c r="W961" s="19">
        <v>35</v>
      </c>
      <c r="X961" s="9">
        <v>36.090000000000003</v>
      </c>
      <c r="Y961" s="9">
        <f t="shared" si="169"/>
        <v>63.91</v>
      </c>
      <c r="Z961" s="5" t="s">
        <v>2293</v>
      </c>
      <c r="AA961" s="5" t="s">
        <v>2296</v>
      </c>
      <c r="AB961" s="9">
        <f t="shared" si="170"/>
        <v>100</v>
      </c>
      <c r="AC961" s="9">
        <f t="shared" si="171"/>
        <v>0</v>
      </c>
      <c r="AD961" s="9">
        <f t="shared" si="172"/>
        <v>100</v>
      </c>
      <c r="AE961" s="9">
        <f t="shared" si="173"/>
        <v>36.090000000000003</v>
      </c>
      <c r="AF961" s="9">
        <f t="shared" si="179"/>
        <v>63.91</v>
      </c>
      <c r="AG961" s="8">
        <f t="shared" si="174"/>
        <v>2024</v>
      </c>
      <c r="AH961" s="8">
        <f t="shared" si="175"/>
        <v>9</v>
      </c>
      <c r="AI961" s="5" t="str">
        <f t="shared" si="176"/>
        <v>Sep</v>
      </c>
      <c r="AJ961" s="5" t="str">
        <f t="shared" si="177"/>
        <v>Sunday</v>
      </c>
    </row>
    <row r="962" spans="1:36" x14ac:dyDescent="0.3">
      <c r="A962" s="5" t="s">
        <v>996</v>
      </c>
      <c r="B962" s="6">
        <v>45575</v>
      </c>
      <c r="C962" s="7">
        <v>0.41666666666666669</v>
      </c>
      <c r="D962" s="5" t="s">
        <v>1925</v>
      </c>
      <c r="E962" s="5" t="s">
        <v>2109</v>
      </c>
      <c r="F962" s="5" t="s">
        <v>2238</v>
      </c>
      <c r="G962" s="5" t="s">
        <v>2249</v>
      </c>
      <c r="H962" s="5" t="s">
        <v>2257</v>
      </c>
      <c r="I962" s="5" t="s">
        <v>2263</v>
      </c>
      <c r="J962" s="5" t="s">
        <v>2266</v>
      </c>
      <c r="K962" s="8">
        <v>4</v>
      </c>
      <c r="L962" s="9">
        <v>170</v>
      </c>
      <c r="M962" s="10">
        <v>0.1</v>
      </c>
      <c r="N962" s="9">
        <f t="shared" si="178"/>
        <v>680</v>
      </c>
      <c r="O962" s="9">
        <f t="shared" ref="O962:O1025" si="180">IF(N962="","",N962*(1-IF(M962="",0,M962)))</f>
        <v>612</v>
      </c>
      <c r="P962" s="5" t="s">
        <v>2267</v>
      </c>
      <c r="Q962" s="5" t="s">
        <v>1761</v>
      </c>
      <c r="R962" s="5" t="s">
        <v>2279</v>
      </c>
      <c r="S962" s="5" t="s">
        <v>2283</v>
      </c>
      <c r="T962" s="5" t="s">
        <v>2288</v>
      </c>
      <c r="U962" s="8">
        <v>5</v>
      </c>
      <c r="V962" s="8">
        <v>368</v>
      </c>
      <c r="W962" s="19">
        <v>36</v>
      </c>
      <c r="X962" s="9">
        <v>89</v>
      </c>
      <c r="Y962" s="9">
        <f t="shared" ref="Y962:Y1025" si="181">IF(OR(O962="",K962="",X962=""),"",O962-K962*X962)</f>
        <v>256</v>
      </c>
      <c r="Z962" s="5" t="s">
        <v>2291</v>
      </c>
      <c r="AA962" s="5" t="s">
        <v>2296</v>
      </c>
      <c r="AB962" s="9">
        <f t="shared" ref="AB962:AB1025" si="182">N962</f>
        <v>680</v>
      </c>
      <c r="AC962" s="9">
        <f t="shared" ref="AC962:AC1025" si="183">IF(N962="","",N962*IF(M962="",0,M962))</f>
        <v>68</v>
      </c>
      <c r="AD962" s="9">
        <f t="shared" ref="AD962:AD1025" si="184">O962</f>
        <v>612</v>
      </c>
      <c r="AE962" s="9">
        <f t="shared" ref="AE962:AE1025" si="185">IF(OR(K962="",X962=""),"",K962*X962)</f>
        <v>356</v>
      </c>
      <c r="AF962" s="9">
        <f t="shared" si="179"/>
        <v>256</v>
      </c>
      <c r="AG962" s="8">
        <f t="shared" ref="AG962:AG1025" si="186">IF(B962="","",YEAR(B962))</f>
        <v>2024</v>
      </c>
      <c r="AH962" s="8">
        <f t="shared" ref="AH962:AH1025" si="187">IF(B962="","",MONTH(B962))</f>
        <v>10</v>
      </c>
      <c r="AI962" s="5" t="str">
        <f t="shared" ref="AI962:AI1025" si="188">IF(B962="","",TEXT(B962,"mmm"))</f>
        <v>Oct</v>
      </c>
      <c r="AJ962" s="5" t="str">
        <f t="shared" ref="AJ962:AJ1025" si="189">IF(B962="","",TEXT(B962,"dddd"))</f>
        <v>Thursday</v>
      </c>
    </row>
    <row r="963" spans="1:36" x14ac:dyDescent="0.3">
      <c r="A963" s="5" t="s">
        <v>997</v>
      </c>
      <c r="B963" s="6">
        <v>45486</v>
      </c>
      <c r="C963" s="7">
        <v>0.63541666666666663</v>
      </c>
      <c r="D963" s="5" t="s">
        <v>1932</v>
      </c>
      <c r="E963" s="5" t="s">
        <v>2166</v>
      </c>
      <c r="F963" s="5" t="s">
        <v>2238</v>
      </c>
      <c r="G963" s="5" t="s">
        <v>2251</v>
      </c>
      <c r="H963" s="5" t="s">
        <v>2258</v>
      </c>
      <c r="I963" s="5" t="s">
        <v>2260</v>
      </c>
      <c r="J963" s="5" t="s">
        <v>2266</v>
      </c>
      <c r="K963" s="8">
        <v>1</v>
      </c>
      <c r="L963" s="9">
        <v>95</v>
      </c>
      <c r="M963" s="10">
        <v>0</v>
      </c>
      <c r="N963" s="9">
        <f t="shared" ref="N963:N1026" si="190">IFERROR(K963*L963,"")</f>
        <v>95</v>
      </c>
      <c r="O963" s="9">
        <f t="shared" si="180"/>
        <v>95</v>
      </c>
      <c r="P963" s="5" t="s">
        <v>2267</v>
      </c>
      <c r="Q963" s="5" t="s">
        <v>2272</v>
      </c>
      <c r="R963" s="5" t="s">
        <v>2278</v>
      </c>
      <c r="S963" s="5" t="s">
        <v>2282</v>
      </c>
      <c r="T963" s="5" t="s">
        <v>2288</v>
      </c>
      <c r="U963" s="8">
        <v>4</v>
      </c>
      <c r="V963" s="8">
        <v>372</v>
      </c>
      <c r="W963" s="19">
        <v>35</v>
      </c>
      <c r="X963" s="9">
        <v>38.72</v>
      </c>
      <c r="Y963" s="9">
        <f t="shared" si="181"/>
        <v>56.28</v>
      </c>
      <c r="Z963" s="5" t="s">
        <v>2293</v>
      </c>
      <c r="AA963" s="5" t="s">
        <v>2296</v>
      </c>
      <c r="AB963" s="9">
        <f t="shared" si="182"/>
        <v>95</v>
      </c>
      <c r="AC963" s="9">
        <f t="shared" si="183"/>
        <v>0</v>
      </c>
      <c r="AD963" s="9">
        <f t="shared" si="184"/>
        <v>95</v>
      </c>
      <c r="AE963" s="9">
        <f t="shared" si="185"/>
        <v>38.72</v>
      </c>
      <c r="AF963" s="9">
        <f t="shared" ref="AF963:AF1026" si="191">Y963</f>
        <v>56.28</v>
      </c>
      <c r="AG963" s="8">
        <f t="shared" si="186"/>
        <v>2024</v>
      </c>
      <c r="AH963" s="8">
        <f t="shared" si="187"/>
        <v>7</v>
      </c>
      <c r="AI963" s="5" t="str">
        <f t="shared" si="188"/>
        <v>Jul</v>
      </c>
      <c r="AJ963" s="5" t="str">
        <f t="shared" si="189"/>
        <v>Saturday</v>
      </c>
    </row>
    <row r="964" spans="1:36" x14ac:dyDescent="0.3">
      <c r="A964" s="5" t="s">
        <v>998</v>
      </c>
      <c r="B964" s="6">
        <v>45636</v>
      </c>
      <c r="C964" s="7">
        <v>0.34375</v>
      </c>
      <c r="D964" s="5" t="s">
        <v>1911</v>
      </c>
      <c r="E964" s="5" t="s">
        <v>1968</v>
      </c>
      <c r="F964" s="5" t="s">
        <v>2240</v>
      </c>
      <c r="G964" s="5" t="s">
        <v>2252</v>
      </c>
      <c r="H964" s="5" t="s">
        <v>2257</v>
      </c>
      <c r="I964" s="5" t="s">
        <v>2262</v>
      </c>
      <c r="J964" s="5" t="s">
        <v>2265</v>
      </c>
      <c r="K964" s="8">
        <v>1</v>
      </c>
      <c r="L964" s="9">
        <v>90</v>
      </c>
      <c r="M964" s="10">
        <v>0</v>
      </c>
      <c r="N964" s="9">
        <f t="shared" si="190"/>
        <v>90</v>
      </c>
      <c r="O964" s="9">
        <f t="shared" si="180"/>
        <v>90</v>
      </c>
      <c r="P964" s="5" t="s">
        <v>2269</v>
      </c>
      <c r="Q964" s="5" t="s">
        <v>2270</v>
      </c>
      <c r="R964" s="5" t="s">
        <v>2275</v>
      </c>
      <c r="S964" s="5" t="s">
        <v>2287</v>
      </c>
      <c r="T964" s="5" t="s">
        <v>2289</v>
      </c>
      <c r="U964" s="8">
        <v>5</v>
      </c>
      <c r="V964" s="8">
        <v>86</v>
      </c>
      <c r="W964" s="8">
        <v>32</v>
      </c>
      <c r="X964" s="9">
        <v>53.27</v>
      </c>
      <c r="Y964" s="9">
        <f t="shared" si="181"/>
        <v>36.729999999999997</v>
      </c>
      <c r="Z964" s="5" t="s">
        <v>2293</v>
      </c>
      <c r="AA964" s="5" t="s">
        <v>2298</v>
      </c>
      <c r="AB964" s="9">
        <f t="shared" si="182"/>
        <v>90</v>
      </c>
      <c r="AC964" s="9">
        <f t="shared" si="183"/>
        <v>0</v>
      </c>
      <c r="AD964" s="9">
        <f t="shared" si="184"/>
        <v>90</v>
      </c>
      <c r="AE964" s="9">
        <f t="shared" si="185"/>
        <v>53.27</v>
      </c>
      <c r="AF964" s="9">
        <f t="shared" si="191"/>
        <v>36.729999999999997</v>
      </c>
      <c r="AG964" s="8">
        <f t="shared" si="186"/>
        <v>2024</v>
      </c>
      <c r="AH964" s="8">
        <f t="shared" si="187"/>
        <v>12</v>
      </c>
      <c r="AI964" s="5" t="str">
        <f t="shared" si="188"/>
        <v>Dec</v>
      </c>
      <c r="AJ964" s="5" t="str">
        <f t="shared" si="189"/>
        <v>Tuesday</v>
      </c>
    </row>
    <row r="965" spans="1:36" x14ac:dyDescent="0.3">
      <c r="A965" s="5" t="s">
        <v>999</v>
      </c>
      <c r="B965" s="6">
        <v>45425</v>
      </c>
      <c r="C965" s="7">
        <v>0.70138888888888884</v>
      </c>
      <c r="D965" s="5" t="s">
        <v>1919</v>
      </c>
      <c r="E965" s="5" t="s">
        <v>2001</v>
      </c>
      <c r="F965" s="5" t="s">
        <v>2240</v>
      </c>
      <c r="G965" s="5" t="s">
        <v>2255</v>
      </c>
      <c r="H965" s="5" t="s">
        <v>2260</v>
      </c>
      <c r="I965" s="5" t="s">
        <v>2260</v>
      </c>
      <c r="J965" s="5" t="s">
        <v>1761</v>
      </c>
      <c r="K965" s="8">
        <v>1</v>
      </c>
      <c r="L965" s="9">
        <v>190</v>
      </c>
      <c r="M965" s="10">
        <v>0</v>
      </c>
      <c r="N965" s="9">
        <f t="shared" si="190"/>
        <v>190</v>
      </c>
      <c r="O965" s="9">
        <f t="shared" si="180"/>
        <v>190</v>
      </c>
      <c r="P965" s="5" t="s">
        <v>2268</v>
      </c>
      <c r="Q965" s="5" t="s">
        <v>2270</v>
      </c>
      <c r="R965" s="5" t="s">
        <v>2278</v>
      </c>
      <c r="S965" s="5" t="s">
        <v>2287</v>
      </c>
      <c r="T965" s="5" t="s">
        <v>2288</v>
      </c>
      <c r="U965" s="8">
        <v>1</v>
      </c>
      <c r="V965" s="8">
        <v>392</v>
      </c>
      <c r="W965" s="19">
        <v>34</v>
      </c>
      <c r="X965" s="9">
        <v>71.400000000000006</v>
      </c>
      <c r="Y965" s="9">
        <f t="shared" si="181"/>
        <v>118.6</v>
      </c>
      <c r="Z965" s="5" t="s">
        <v>2293</v>
      </c>
      <c r="AA965" s="5" t="s">
        <v>2296</v>
      </c>
      <c r="AB965" s="9">
        <f t="shared" si="182"/>
        <v>190</v>
      </c>
      <c r="AC965" s="9">
        <f t="shared" si="183"/>
        <v>0</v>
      </c>
      <c r="AD965" s="9">
        <f t="shared" si="184"/>
        <v>190</v>
      </c>
      <c r="AE965" s="9">
        <f t="shared" si="185"/>
        <v>71.400000000000006</v>
      </c>
      <c r="AF965" s="9">
        <f t="shared" si="191"/>
        <v>118.6</v>
      </c>
      <c r="AG965" s="8">
        <f t="shared" si="186"/>
        <v>2024</v>
      </c>
      <c r="AH965" s="8">
        <f t="shared" si="187"/>
        <v>5</v>
      </c>
      <c r="AI965" s="5" t="str">
        <f t="shared" si="188"/>
        <v>May</v>
      </c>
      <c r="AJ965" s="5" t="str">
        <f t="shared" si="189"/>
        <v>Monday</v>
      </c>
    </row>
    <row r="966" spans="1:36" x14ac:dyDescent="0.3">
      <c r="A966" s="5" t="s">
        <v>1000</v>
      </c>
      <c r="B966" s="6">
        <v>45509</v>
      </c>
      <c r="C966" s="7">
        <v>0.45833333333333331</v>
      </c>
      <c r="D966" s="5" t="s">
        <v>1821</v>
      </c>
      <c r="E966" s="5" t="s">
        <v>2018</v>
      </c>
      <c r="F966" s="5" t="s">
        <v>2240</v>
      </c>
      <c r="G966" s="5" t="s">
        <v>2255</v>
      </c>
      <c r="H966" s="5" t="s">
        <v>2260</v>
      </c>
      <c r="I966" s="5" t="s">
        <v>2260</v>
      </c>
      <c r="J966" s="5" t="s">
        <v>1761</v>
      </c>
      <c r="K966" s="8">
        <v>1</v>
      </c>
      <c r="L966" s="9">
        <v>175</v>
      </c>
      <c r="M966" s="10">
        <v>0.05</v>
      </c>
      <c r="N966" s="9">
        <f t="shared" si="190"/>
        <v>175</v>
      </c>
      <c r="O966" s="9">
        <f t="shared" si="180"/>
        <v>166.25</v>
      </c>
      <c r="P966" s="5" t="s">
        <v>1761</v>
      </c>
      <c r="Q966" s="5" t="s">
        <v>1761</v>
      </c>
      <c r="R966" s="5" t="s">
        <v>2278</v>
      </c>
      <c r="S966" s="5" t="s">
        <v>2285</v>
      </c>
      <c r="T966" s="5" t="s">
        <v>2288</v>
      </c>
      <c r="U966" s="8">
        <v>1</v>
      </c>
      <c r="V966" s="8">
        <v>90</v>
      </c>
      <c r="W966" s="8">
        <v>42</v>
      </c>
      <c r="X966" s="9">
        <v>75.55</v>
      </c>
      <c r="Y966" s="9">
        <f t="shared" si="181"/>
        <v>90.7</v>
      </c>
      <c r="Z966" s="5" t="s">
        <v>1761</v>
      </c>
      <c r="AA966" s="5" t="s">
        <v>2297</v>
      </c>
      <c r="AB966" s="9">
        <f t="shared" si="182"/>
        <v>175</v>
      </c>
      <c r="AC966" s="9">
        <f t="shared" si="183"/>
        <v>8.75</v>
      </c>
      <c r="AD966" s="9">
        <f t="shared" si="184"/>
        <v>166.25</v>
      </c>
      <c r="AE966" s="9">
        <f t="shared" si="185"/>
        <v>75.55</v>
      </c>
      <c r="AF966" s="9">
        <f t="shared" si="191"/>
        <v>90.7</v>
      </c>
      <c r="AG966" s="8">
        <f t="shared" si="186"/>
        <v>2024</v>
      </c>
      <c r="AH966" s="8">
        <f t="shared" si="187"/>
        <v>8</v>
      </c>
      <c r="AI966" s="5" t="str">
        <f t="shared" si="188"/>
        <v>Aug</v>
      </c>
      <c r="AJ966" s="5" t="str">
        <f t="shared" si="189"/>
        <v>Monday</v>
      </c>
    </row>
    <row r="967" spans="1:36" x14ac:dyDescent="0.3">
      <c r="A967" s="5" t="s">
        <v>1001</v>
      </c>
      <c r="B967" s="6">
        <v>45537</v>
      </c>
      <c r="C967" s="7">
        <v>0.69791666666666663</v>
      </c>
      <c r="D967" s="5" t="s">
        <v>1779</v>
      </c>
      <c r="E967" s="5" t="s">
        <v>2228</v>
      </c>
      <c r="F967" s="5" t="s">
        <v>2239</v>
      </c>
      <c r="G967" s="5" t="s">
        <v>2251</v>
      </c>
      <c r="H967" s="5" t="s">
        <v>2258</v>
      </c>
      <c r="I967" s="5" t="s">
        <v>2260</v>
      </c>
      <c r="J967" s="5" t="s">
        <v>2266</v>
      </c>
      <c r="K967" s="8">
        <v>5</v>
      </c>
      <c r="L967" s="9">
        <v>95</v>
      </c>
      <c r="M967" s="10">
        <v>0.1</v>
      </c>
      <c r="N967" s="9">
        <f t="shared" si="190"/>
        <v>475</v>
      </c>
      <c r="O967" s="9">
        <f t="shared" si="180"/>
        <v>427.5</v>
      </c>
      <c r="P967" s="5" t="s">
        <v>1761</v>
      </c>
      <c r="Q967" s="5" t="s">
        <v>2272</v>
      </c>
      <c r="R967" s="5" t="s">
        <v>2274</v>
      </c>
      <c r="S967" s="5" t="s">
        <v>2287</v>
      </c>
      <c r="T967" s="5" t="s">
        <v>2288</v>
      </c>
      <c r="U967" s="19">
        <v>3</v>
      </c>
      <c r="V967" s="19">
        <v>244</v>
      </c>
      <c r="W967" s="8">
        <v>57</v>
      </c>
      <c r="X967" s="9">
        <v>57.06</v>
      </c>
      <c r="Y967" s="9">
        <f t="shared" si="181"/>
        <v>142.19999999999999</v>
      </c>
      <c r="Z967" s="5" t="s">
        <v>2293</v>
      </c>
      <c r="AA967" s="5" t="s">
        <v>2298</v>
      </c>
      <c r="AB967" s="9">
        <f t="shared" si="182"/>
        <v>475</v>
      </c>
      <c r="AC967" s="9">
        <f t="shared" si="183"/>
        <v>47.5</v>
      </c>
      <c r="AD967" s="9">
        <f t="shared" si="184"/>
        <v>427.5</v>
      </c>
      <c r="AE967" s="9">
        <f t="shared" si="185"/>
        <v>285.3</v>
      </c>
      <c r="AF967" s="9">
        <f t="shared" si="191"/>
        <v>142.19999999999999</v>
      </c>
      <c r="AG967" s="8">
        <f t="shared" si="186"/>
        <v>2024</v>
      </c>
      <c r="AH967" s="8">
        <f t="shared" si="187"/>
        <v>9</v>
      </c>
      <c r="AI967" s="5" t="str">
        <f t="shared" si="188"/>
        <v>Sep</v>
      </c>
      <c r="AJ967" s="5" t="str">
        <f t="shared" si="189"/>
        <v>Monday</v>
      </c>
    </row>
    <row r="968" spans="1:36" x14ac:dyDescent="0.3">
      <c r="A968" s="5" t="s">
        <v>1002</v>
      </c>
      <c r="B968" s="6">
        <v>45598</v>
      </c>
      <c r="C968" s="7">
        <v>0.90972222222222221</v>
      </c>
      <c r="D968" s="5" t="s">
        <v>1865</v>
      </c>
      <c r="E968" s="5" t="s">
        <v>1761</v>
      </c>
      <c r="F968" s="5" t="s">
        <v>1761</v>
      </c>
      <c r="G968" s="5" t="s">
        <v>2252</v>
      </c>
      <c r="H968" s="5" t="s">
        <v>2257</v>
      </c>
      <c r="I968" s="5" t="s">
        <v>2262</v>
      </c>
      <c r="J968" s="5" t="s">
        <v>2264</v>
      </c>
      <c r="K968" s="8">
        <v>3</v>
      </c>
      <c r="L968" s="9">
        <v>90</v>
      </c>
      <c r="M968" s="10">
        <v>0.15</v>
      </c>
      <c r="N968" s="9">
        <f t="shared" si="190"/>
        <v>270</v>
      </c>
      <c r="O968" s="9">
        <f t="shared" si="180"/>
        <v>229.5</v>
      </c>
      <c r="P968" s="5" t="s">
        <v>2267</v>
      </c>
      <c r="Q968" s="5" t="s">
        <v>2272</v>
      </c>
      <c r="R968" s="5" t="s">
        <v>2274</v>
      </c>
      <c r="S968" s="5" t="s">
        <v>2286</v>
      </c>
      <c r="T968" s="5" t="s">
        <v>2288</v>
      </c>
      <c r="U968" s="8">
        <v>5</v>
      </c>
      <c r="V968" s="8">
        <v>264</v>
      </c>
      <c r="W968" s="8">
        <v>44</v>
      </c>
      <c r="X968" s="9">
        <v>32.96</v>
      </c>
      <c r="Y968" s="9">
        <f t="shared" si="181"/>
        <v>130.62</v>
      </c>
      <c r="Z968" s="5" t="s">
        <v>2292</v>
      </c>
      <c r="AA968" s="5" t="s">
        <v>2296</v>
      </c>
      <c r="AB968" s="9">
        <f t="shared" si="182"/>
        <v>270</v>
      </c>
      <c r="AC968" s="9">
        <f t="shared" si="183"/>
        <v>40.5</v>
      </c>
      <c r="AD968" s="9">
        <f t="shared" si="184"/>
        <v>229.5</v>
      </c>
      <c r="AE968" s="9">
        <f t="shared" si="185"/>
        <v>98.88</v>
      </c>
      <c r="AF968" s="9">
        <f t="shared" si="191"/>
        <v>130.62</v>
      </c>
      <c r="AG968" s="8">
        <f t="shared" si="186"/>
        <v>2024</v>
      </c>
      <c r="AH968" s="8">
        <f t="shared" si="187"/>
        <v>11</v>
      </c>
      <c r="AI968" s="5" t="str">
        <f t="shared" si="188"/>
        <v>Nov</v>
      </c>
      <c r="AJ968" s="5" t="str">
        <f t="shared" si="189"/>
        <v>Saturday</v>
      </c>
    </row>
    <row r="969" spans="1:36" x14ac:dyDescent="0.3">
      <c r="A969" s="5" t="s">
        <v>1003</v>
      </c>
      <c r="B969" s="6">
        <v>45620</v>
      </c>
      <c r="C969" s="7">
        <v>0.54861111111111116</v>
      </c>
      <c r="D969" s="5" t="s">
        <v>1831</v>
      </c>
      <c r="E969" s="5" t="s">
        <v>1993</v>
      </c>
      <c r="F969" s="5" t="s">
        <v>2238</v>
      </c>
      <c r="G969" s="5" t="s">
        <v>2245</v>
      </c>
      <c r="H969" s="5" t="s">
        <v>2257</v>
      </c>
      <c r="I969" s="5" t="s">
        <v>2263</v>
      </c>
      <c r="J969" s="5" t="s">
        <v>2266</v>
      </c>
      <c r="K969" s="8">
        <v>3</v>
      </c>
      <c r="L969" s="9">
        <v>150</v>
      </c>
      <c r="M969" s="10">
        <v>0.05</v>
      </c>
      <c r="N969" s="9">
        <f t="shared" si="190"/>
        <v>450</v>
      </c>
      <c r="O969" s="9">
        <f t="shared" si="180"/>
        <v>427.5</v>
      </c>
      <c r="P969" s="5" t="s">
        <v>2267</v>
      </c>
      <c r="Q969" s="5" t="s">
        <v>1761</v>
      </c>
      <c r="R969" s="5" t="s">
        <v>2277</v>
      </c>
      <c r="S969" s="5" t="s">
        <v>2283</v>
      </c>
      <c r="T969" s="5" t="s">
        <v>2288</v>
      </c>
      <c r="U969" s="8">
        <v>4</v>
      </c>
      <c r="V969" s="8">
        <v>47</v>
      </c>
      <c r="W969" s="8">
        <v>19</v>
      </c>
      <c r="X969" s="9">
        <v>54.49</v>
      </c>
      <c r="Y969" s="9">
        <f t="shared" si="181"/>
        <v>264.02999999999997</v>
      </c>
      <c r="Z969" s="5" t="s">
        <v>2293</v>
      </c>
      <c r="AA969" s="5" t="s">
        <v>2297</v>
      </c>
      <c r="AB969" s="9">
        <f t="shared" si="182"/>
        <v>450</v>
      </c>
      <c r="AC969" s="9">
        <f t="shared" si="183"/>
        <v>22.5</v>
      </c>
      <c r="AD969" s="9">
        <f t="shared" si="184"/>
        <v>427.5</v>
      </c>
      <c r="AE969" s="9">
        <f t="shared" si="185"/>
        <v>163.47</v>
      </c>
      <c r="AF969" s="9">
        <f t="shared" si="191"/>
        <v>264.02999999999997</v>
      </c>
      <c r="AG969" s="8">
        <f t="shared" si="186"/>
        <v>2024</v>
      </c>
      <c r="AH969" s="8">
        <f t="shared" si="187"/>
        <v>11</v>
      </c>
      <c r="AI969" s="5" t="str">
        <f t="shared" si="188"/>
        <v>Nov</v>
      </c>
      <c r="AJ969" s="5" t="str">
        <f t="shared" si="189"/>
        <v>Sunday</v>
      </c>
    </row>
    <row r="970" spans="1:36" x14ac:dyDescent="0.3">
      <c r="A970" s="5" t="s">
        <v>1004</v>
      </c>
      <c r="B970" s="6">
        <v>45457</v>
      </c>
      <c r="C970" s="7">
        <v>0.53125</v>
      </c>
      <c r="D970" s="5" t="s">
        <v>1929</v>
      </c>
      <c r="E970" s="5" t="s">
        <v>2004</v>
      </c>
      <c r="F970" s="5" t="s">
        <v>2240</v>
      </c>
      <c r="G970" s="5" t="s">
        <v>2249</v>
      </c>
      <c r="H970" s="5" t="s">
        <v>2257</v>
      </c>
      <c r="I970" s="5" t="s">
        <v>2263</v>
      </c>
      <c r="J970" s="5" t="s">
        <v>2266</v>
      </c>
      <c r="K970" s="8">
        <v>1</v>
      </c>
      <c r="L970" s="9">
        <v>160</v>
      </c>
      <c r="M970" s="10">
        <v>0.05</v>
      </c>
      <c r="N970" s="9">
        <f t="shared" si="190"/>
        <v>160</v>
      </c>
      <c r="O970" s="9">
        <f t="shared" si="180"/>
        <v>152</v>
      </c>
      <c r="P970" s="5" t="s">
        <v>2267</v>
      </c>
      <c r="Q970" s="5" t="s">
        <v>2272</v>
      </c>
      <c r="R970" s="5" t="s">
        <v>2273</v>
      </c>
      <c r="S970" s="5" t="s">
        <v>2280</v>
      </c>
      <c r="T970" s="5" t="s">
        <v>2288</v>
      </c>
      <c r="U970" s="8">
        <v>1</v>
      </c>
      <c r="V970" s="8">
        <v>396</v>
      </c>
      <c r="W970" s="19">
        <v>35</v>
      </c>
      <c r="X970" s="9">
        <v>71.849999999999994</v>
      </c>
      <c r="Y970" s="9">
        <f t="shared" si="181"/>
        <v>80.150000000000006</v>
      </c>
      <c r="Z970" s="5" t="s">
        <v>2293</v>
      </c>
      <c r="AA970" s="5" t="s">
        <v>2296</v>
      </c>
      <c r="AB970" s="9">
        <f t="shared" si="182"/>
        <v>160</v>
      </c>
      <c r="AC970" s="9">
        <f t="shared" si="183"/>
        <v>8</v>
      </c>
      <c r="AD970" s="9">
        <f t="shared" si="184"/>
        <v>152</v>
      </c>
      <c r="AE970" s="9">
        <f t="shared" si="185"/>
        <v>71.849999999999994</v>
      </c>
      <c r="AF970" s="9">
        <f t="shared" si="191"/>
        <v>80.150000000000006</v>
      </c>
      <c r="AG970" s="8">
        <f t="shared" si="186"/>
        <v>2024</v>
      </c>
      <c r="AH970" s="8">
        <f t="shared" si="187"/>
        <v>6</v>
      </c>
      <c r="AI970" s="5" t="str">
        <f t="shared" si="188"/>
        <v>Jun</v>
      </c>
      <c r="AJ970" s="5" t="str">
        <f t="shared" si="189"/>
        <v>Friday</v>
      </c>
    </row>
    <row r="971" spans="1:36" x14ac:dyDescent="0.3">
      <c r="A971" s="5" t="s">
        <v>1005</v>
      </c>
      <c r="B971" s="6">
        <v>45543</v>
      </c>
      <c r="C971" s="7">
        <v>0.40625</v>
      </c>
      <c r="D971" s="5" t="s">
        <v>1832</v>
      </c>
      <c r="E971" s="5" t="s">
        <v>2084</v>
      </c>
      <c r="F971" s="5" t="s">
        <v>2239</v>
      </c>
      <c r="G971" s="5" t="s">
        <v>2251</v>
      </c>
      <c r="H971" s="5" t="s">
        <v>2258</v>
      </c>
      <c r="I971" s="5" t="s">
        <v>2260</v>
      </c>
      <c r="J971" s="5" t="s">
        <v>2265</v>
      </c>
      <c r="K971" s="8">
        <v>1</v>
      </c>
      <c r="L971" s="9">
        <v>95</v>
      </c>
      <c r="M971" s="10">
        <v>0</v>
      </c>
      <c r="N971" s="9">
        <f t="shared" si="190"/>
        <v>95</v>
      </c>
      <c r="O971" s="9">
        <f t="shared" si="180"/>
        <v>95</v>
      </c>
      <c r="P971" s="5" t="s">
        <v>2267</v>
      </c>
      <c r="Q971" s="5" t="s">
        <v>2271</v>
      </c>
      <c r="R971" s="5" t="s">
        <v>2274</v>
      </c>
      <c r="S971" s="5" t="s">
        <v>2281</v>
      </c>
      <c r="T971" s="5" t="s">
        <v>2290</v>
      </c>
      <c r="U971" s="8">
        <v>1</v>
      </c>
      <c r="V971" s="8">
        <v>303</v>
      </c>
      <c r="W971" s="8">
        <v>45</v>
      </c>
      <c r="X971" s="9">
        <v>44.08</v>
      </c>
      <c r="Y971" s="9">
        <f t="shared" si="181"/>
        <v>50.92</v>
      </c>
      <c r="Z971" s="5" t="s">
        <v>2291</v>
      </c>
      <c r="AA971" s="5" t="s">
        <v>2296</v>
      </c>
      <c r="AB971" s="9">
        <f t="shared" si="182"/>
        <v>95</v>
      </c>
      <c r="AC971" s="9">
        <f t="shared" si="183"/>
        <v>0</v>
      </c>
      <c r="AD971" s="9">
        <f t="shared" si="184"/>
        <v>95</v>
      </c>
      <c r="AE971" s="9">
        <f t="shared" si="185"/>
        <v>44.08</v>
      </c>
      <c r="AF971" s="9">
        <f t="shared" si="191"/>
        <v>50.92</v>
      </c>
      <c r="AG971" s="8">
        <f t="shared" si="186"/>
        <v>2024</v>
      </c>
      <c r="AH971" s="8">
        <f t="shared" si="187"/>
        <v>9</v>
      </c>
      <c r="AI971" s="5" t="str">
        <f t="shared" si="188"/>
        <v>Sep</v>
      </c>
      <c r="AJ971" s="5" t="str">
        <f t="shared" si="189"/>
        <v>Sunday</v>
      </c>
    </row>
    <row r="972" spans="1:36" x14ac:dyDescent="0.3">
      <c r="A972" s="5" t="s">
        <v>1006</v>
      </c>
      <c r="B972" s="6">
        <v>45520</v>
      </c>
      <c r="C972" s="7">
        <v>0.75694444444444442</v>
      </c>
      <c r="D972" s="5" t="s">
        <v>1911</v>
      </c>
      <c r="E972" s="5" t="s">
        <v>2080</v>
      </c>
      <c r="F972" s="5" t="s">
        <v>2240</v>
      </c>
      <c r="G972" s="5" t="s">
        <v>2253</v>
      </c>
      <c r="H972" s="5" t="s">
        <v>2258</v>
      </c>
      <c r="I972" s="5" t="s">
        <v>2260</v>
      </c>
      <c r="J972" s="5" t="s">
        <v>1761</v>
      </c>
      <c r="K972" s="8">
        <v>1</v>
      </c>
      <c r="L972" s="9">
        <v>95</v>
      </c>
      <c r="M972" s="10">
        <v>0</v>
      </c>
      <c r="N972" s="9">
        <f t="shared" si="190"/>
        <v>95</v>
      </c>
      <c r="O972" s="9">
        <f t="shared" si="180"/>
        <v>95</v>
      </c>
      <c r="P972" s="5" t="s">
        <v>2268</v>
      </c>
      <c r="Q972" s="5" t="s">
        <v>1761</v>
      </c>
      <c r="R972" s="5" t="s">
        <v>2278</v>
      </c>
      <c r="S972" s="5" t="s">
        <v>2284</v>
      </c>
      <c r="T972" s="5" t="s">
        <v>2289</v>
      </c>
      <c r="U972" s="8">
        <v>5</v>
      </c>
      <c r="V972" s="8">
        <v>109</v>
      </c>
      <c r="W972" s="8">
        <v>43</v>
      </c>
      <c r="X972" s="9">
        <v>42.76</v>
      </c>
      <c r="Y972" s="9">
        <f t="shared" si="181"/>
        <v>52.24</v>
      </c>
      <c r="Z972" s="5" t="s">
        <v>2293</v>
      </c>
      <c r="AA972" s="5" t="s">
        <v>2299</v>
      </c>
      <c r="AB972" s="9">
        <f t="shared" si="182"/>
        <v>95</v>
      </c>
      <c r="AC972" s="9">
        <f t="shared" si="183"/>
        <v>0</v>
      </c>
      <c r="AD972" s="9">
        <f t="shared" si="184"/>
        <v>95</v>
      </c>
      <c r="AE972" s="9">
        <f t="shared" si="185"/>
        <v>42.76</v>
      </c>
      <c r="AF972" s="9">
        <f t="shared" si="191"/>
        <v>52.24</v>
      </c>
      <c r="AG972" s="8">
        <f t="shared" si="186"/>
        <v>2024</v>
      </c>
      <c r="AH972" s="8">
        <f t="shared" si="187"/>
        <v>8</v>
      </c>
      <c r="AI972" s="5" t="str">
        <f t="shared" si="188"/>
        <v>Aug</v>
      </c>
      <c r="AJ972" s="5" t="str">
        <f t="shared" si="189"/>
        <v>Friday</v>
      </c>
    </row>
    <row r="973" spans="1:36" x14ac:dyDescent="0.3">
      <c r="A973" s="5" t="s">
        <v>1007</v>
      </c>
      <c r="B973" s="6">
        <v>45462</v>
      </c>
      <c r="C973" s="7">
        <v>0.66666666666666663</v>
      </c>
      <c r="D973" s="5" t="s">
        <v>1873</v>
      </c>
      <c r="E973" s="5" t="s">
        <v>2029</v>
      </c>
      <c r="F973" s="5" t="s">
        <v>2238</v>
      </c>
      <c r="G973" s="5" t="s">
        <v>2247</v>
      </c>
      <c r="H973" s="5" t="s">
        <v>2257</v>
      </c>
      <c r="I973" s="5" t="s">
        <v>2262</v>
      </c>
      <c r="J973" s="5" t="s">
        <v>2265</v>
      </c>
      <c r="K973" s="8">
        <v>2</v>
      </c>
      <c r="L973" s="9">
        <v>100</v>
      </c>
      <c r="M973" s="10">
        <v>0.15</v>
      </c>
      <c r="N973" s="9">
        <f t="shared" si="190"/>
        <v>200</v>
      </c>
      <c r="O973" s="9">
        <f t="shared" si="180"/>
        <v>170</v>
      </c>
      <c r="P973" s="5" t="s">
        <v>1761</v>
      </c>
      <c r="Q973" s="5" t="s">
        <v>2272</v>
      </c>
      <c r="R973" s="5" t="s">
        <v>2273</v>
      </c>
      <c r="S973" s="5" t="s">
        <v>2282</v>
      </c>
      <c r="T973" s="5" t="s">
        <v>2288</v>
      </c>
      <c r="U973" s="8">
        <v>5</v>
      </c>
      <c r="V973" s="8">
        <v>278</v>
      </c>
      <c r="W973" s="19">
        <v>35</v>
      </c>
      <c r="X973" s="9">
        <v>35.380000000000003</v>
      </c>
      <c r="Y973" s="9">
        <f t="shared" si="181"/>
        <v>99.24</v>
      </c>
      <c r="Z973" s="5" t="s">
        <v>1761</v>
      </c>
      <c r="AA973" s="5" t="s">
        <v>2298</v>
      </c>
      <c r="AB973" s="9">
        <f t="shared" si="182"/>
        <v>200</v>
      </c>
      <c r="AC973" s="9">
        <f t="shared" si="183"/>
        <v>30</v>
      </c>
      <c r="AD973" s="9">
        <f t="shared" si="184"/>
        <v>170</v>
      </c>
      <c r="AE973" s="9">
        <f t="shared" si="185"/>
        <v>70.760000000000005</v>
      </c>
      <c r="AF973" s="9">
        <f t="shared" si="191"/>
        <v>99.24</v>
      </c>
      <c r="AG973" s="8">
        <f t="shared" si="186"/>
        <v>2024</v>
      </c>
      <c r="AH973" s="8">
        <f t="shared" si="187"/>
        <v>6</v>
      </c>
      <c r="AI973" s="5" t="str">
        <f t="shared" si="188"/>
        <v>Jun</v>
      </c>
      <c r="AJ973" s="5" t="str">
        <f t="shared" si="189"/>
        <v>Wednesday</v>
      </c>
    </row>
    <row r="974" spans="1:36" x14ac:dyDescent="0.3">
      <c r="A974" s="5" t="s">
        <v>1008</v>
      </c>
      <c r="B974" s="6">
        <v>45389</v>
      </c>
      <c r="C974" s="7">
        <v>0.90625</v>
      </c>
      <c r="D974" s="5" t="s">
        <v>1824</v>
      </c>
      <c r="E974" s="5" t="s">
        <v>2149</v>
      </c>
      <c r="F974" s="5" t="s">
        <v>2240</v>
      </c>
      <c r="G974" s="5" t="s">
        <v>2252</v>
      </c>
      <c r="H974" s="5" t="s">
        <v>2257</v>
      </c>
      <c r="I974" s="5" t="s">
        <v>2262</v>
      </c>
      <c r="J974" s="5" t="s">
        <v>2266</v>
      </c>
      <c r="K974" s="8">
        <v>1</v>
      </c>
      <c r="L974" s="9">
        <v>100</v>
      </c>
      <c r="M974" s="10">
        <v>0</v>
      </c>
      <c r="N974" s="9">
        <f t="shared" si="190"/>
        <v>100</v>
      </c>
      <c r="O974" s="9">
        <f t="shared" si="180"/>
        <v>100</v>
      </c>
      <c r="P974" s="5" t="s">
        <v>2269</v>
      </c>
      <c r="Q974" s="5" t="s">
        <v>1761</v>
      </c>
      <c r="R974" s="5" t="s">
        <v>2274</v>
      </c>
      <c r="S974" s="5" t="s">
        <v>2284</v>
      </c>
      <c r="T974" s="5" t="s">
        <v>2288</v>
      </c>
      <c r="U974" s="8">
        <v>2</v>
      </c>
      <c r="V974" s="8">
        <v>120</v>
      </c>
      <c r="W974" s="8">
        <v>13</v>
      </c>
      <c r="X974" s="9">
        <v>33.5</v>
      </c>
      <c r="Y974" s="9">
        <f t="shared" si="181"/>
        <v>66.5</v>
      </c>
      <c r="Z974" s="5" t="s">
        <v>2294</v>
      </c>
      <c r="AA974" s="5" t="s">
        <v>2296</v>
      </c>
      <c r="AB974" s="9">
        <f t="shared" si="182"/>
        <v>100</v>
      </c>
      <c r="AC974" s="9">
        <f t="shared" si="183"/>
        <v>0</v>
      </c>
      <c r="AD974" s="9">
        <f t="shared" si="184"/>
        <v>100</v>
      </c>
      <c r="AE974" s="9">
        <f t="shared" si="185"/>
        <v>33.5</v>
      </c>
      <c r="AF974" s="9">
        <f t="shared" si="191"/>
        <v>66.5</v>
      </c>
      <c r="AG974" s="8">
        <f t="shared" si="186"/>
        <v>2024</v>
      </c>
      <c r="AH974" s="8">
        <f t="shared" si="187"/>
        <v>4</v>
      </c>
      <c r="AI974" s="5" t="str">
        <f t="shared" si="188"/>
        <v>Apr</v>
      </c>
      <c r="AJ974" s="5" t="str">
        <f t="shared" si="189"/>
        <v>Sunday</v>
      </c>
    </row>
    <row r="975" spans="1:36" x14ac:dyDescent="0.3">
      <c r="A975" s="5" t="s">
        <v>1009</v>
      </c>
      <c r="B975" s="6">
        <v>45376</v>
      </c>
      <c r="C975" s="7">
        <v>0.86805555555555558</v>
      </c>
      <c r="D975" s="5" t="s">
        <v>1864</v>
      </c>
      <c r="E975" s="5" t="s">
        <v>2199</v>
      </c>
      <c r="F975" s="5" t="s">
        <v>2239</v>
      </c>
      <c r="G975" s="5" t="s">
        <v>2244</v>
      </c>
      <c r="H975" s="5" t="s">
        <v>2257</v>
      </c>
      <c r="I975" s="5" t="s">
        <v>2262</v>
      </c>
      <c r="J975" s="5" t="s">
        <v>2266</v>
      </c>
      <c r="K975" s="8">
        <v>1</v>
      </c>
      <c r="L975" s="9">
        <v>130</v>
      </c>
      <c r="M975" s="10">
        <v>0</v>
      </c>
      <c r="N975" s="9">
        <f t="shared" si="190"/>
        <v>130</v>
      </c>
      <c r="O975" s="9">
        <f t="shared" si="180"/>
        <v>130</v>
      </c>
      <c r="P975" s="5" t="s">
        <v>2269</v>
      </c>
      <c r="Q975" s="5" t="s">
        <v>2272</v>
      </c>
      <c r="R975" s="5" t="s">
        <v>2274</v>
      </c>
      <c r="S975" s="5" t="s">
        <v>2285</v>
      </c>
      <c r="T975" s="5" t="s">
        <v>2288</v>
      </c>
      <c r="U975" s="8">
        <v>4</v>
      </c>
      <c r="V975" s="8">
        <v>498</v>
      </c>
      <c r="W975" s="8">
        <v>39</v>
      </c>
      <c r="X975" s="9">
        <v>68.44</v>
      </c>
      <c r="Y975" s="9">
        <f t="shared" si="181"/>
        <v>61.56</v>
      </c>
      <c r="Z975" s="5" t="s">
        <v>2294</v>
      </c>
      <c r="AA975" s="5" t="s">
        <v>1761</v>
      </c>
      <c r="AB975" s="9">
        <f t="shared" si="182"/>
        <v>130</v>
      </c>
      <c r="AC975" s="9">
        <f t="shared" si="183"/>
        <v>0</v>
      </c>
      <c r="AD975" s="9">
        <f t="shared" si="184"/>
        <v>130</v>
      </c>
      <c r="AE975" s="9">
        <f t="shared" si="185"/>
        <v>68.44</v>
      </c>
      <c r="AF975" s="9">
        <f t="shared" si="191"/>
        <v>61.56</v>
      </c>
      <c r="AG975" s="8">
        <f t="shared" si="186"/>
        <v>2024</v>
      </c>
      <c r="AH975" s="8">
        <f t="shared" si="187"/>
        <v>3</v>
      </c>
      <c r="AI975" s="5" t="str">
        <f t="shared" si="188"/>
        <v>Mar</v>
      </c>
      <c r="AJ975" s="5" t="str">
        <f t="shared" si="189"/>
        <v>Monday</v>
      </c>
    </row>
    <row r="976" spans="1:36" x14ac:dyDescent="0.3">
      <c r="A976" s="5" t="s">
        <v>1010</v>
      </c>
      <c r="B976" s="6">
        <v>45340</v>
      </c>
      <c r="C976" s="7">
        <v>0.72222222222222221</v>
      </c>
      <c r="D976" s="5" t="s">
        <v>1927</v>
      </c>
      <c r="E976" s="5" t="s">
        <v>2079</v>
      </c>
      <c r="F976" s="5" t="s">
        <v>2239</v>
      </c>
      <c r="G976" s="5" t="s">
        <v>2254</v>
      </c>
      <c r="H976" s="5" t="s">
        <v>2259</v>
      </c>
      <c r="I976" s="5" t="s">
        <v>2263</v>
      </c>
      <c r="J976" s="5" t="s">
        <v>1761</v>
      </c>
      <c r="K976" s="8">
        <v>3</v>
      </c>
      <c r="L976" s="9">
        <v>110</v>
      </c>
      <c r="M976" s="10">
        <v>0.15</v>
      </c>
      <c r="N976" s="9">
        <f t="shared" si="190"/>
        <v>330</v>
      </c>
      <c r="O976" s="9">
        <f t="shared" si="180"/>
        <v>280.5</v>
      </c>
      <c r="P976" s="5" t="s">
        <v>2268</v>
      </c>
      <c r="Q976" s="5" t="s">
        <v>2271</v>
      </c>
      <c r="R976" s="5" t="s">
        <v>2273</v>
      </c>
      <c r="S976" s="5" t="s">
        <v>2285</v>
      </c>
      <c r="T976" s="5" t="s">
        <v>2288</v>
      </c>
      <c r="U976" s="8">
        <v>4</v>
      </c>
      <c r="V976" s="8">
        <v>416</v>
      </c>
      <c r="W976" s="19">
        <v>37</v>
      </c>
      <c r="X976" s="9">
        <v>42.16</v>
      </c>
      <c r="Y976" s="9">
        <f t="shared" si="181"/>
        <v>154.02000000000001</v>
      </c>
      <c r="Z976" s="5" t="s">
        <v>2292</v>
      </c>
      <c r="AA976" s="5" t="s">
        <v>2296</v>
      </c>
      <c r="AB976" s="9">
        <f t="shared" si="182"/>
        <v>330</v>
      </c>
      <c r="AC976" s="9">
        <f t="shared" si="183"/>
        <v>49.5</v>
      </c>
      <c r="AD976" s="9">
        <f t="shared" si="184"/>
        <v>280.5</v>
      </c>
      <c r="AE976" s="9">
        <f t="shared" si="185"/>
        <v>126.47999999999999</v>
      </c>
      <c r="AF976" s="9">
        <f t="shared" si="191"/>
        <v>154.02000000000001</v>
      </c>
      <c r="AG976" s="8">
        <f t="shared" si="186"/>
        <v>2024</v>
      </c>
      <c r="AH976" s="8">
        <f t="shared" si="187"/>
        <v>2</v>
      </c>
      <c r="AI976" s="5" t="str">
        <f t="shared" si="188"/>
        <v>Feb</v>
      </c>
      <c r="AJ976" s="5" t="str">
        <f t="shared" si="189"/>
        <v>Sunday</v>
      </c>
    </row>
    <row r="977" spans="1:36" x14ac:dyDescent="0.3">
      <c r="A977" s="5" t="s">
        <v>1011</v>
      </c>
      <c r="B977" s="6">
        <v>45612</v>
      </c>
      <c r="C977" s="7">
        <v>0.3888888888888889</v>
      </c>
      <c r="D977" s="5" t="s">
        <v>1917</v>
      </c>
      <c r="E977" s="5" t="s">
        <v>2066</v>
      </c>
      <c r="F977" s="5" t="s">
        <v>1761</v>
      </c>
      <c r="G977" s="5" t="s">
        <v>2247</v>
      </c>
      <c r="H977" s="5" t="s">
        <v>2257</v>
      </c>
      <c r="I977" s="5" t="s">
        <v>2262</v>
      </c>
      <c r="J977" s="5" t="s">
        <v>1761</v>
      </c>
      <c r="K977" s="8">
        <v>4</v>
      </c>
      <c r="L977" s="9">
        <v>110</v>
      </c>
      <c r="M977" s="10">
        <v>0.05</v>
      </c>
      <c r="N977" s="9">
        <f t="shared" si="190"/>
        <v>440</v>
      </c>
      <c r="O977" s="9">
        <f t="shared" si="180"/>
        <v>418</v>
      </c>
      <c r="P977" s="5" t="s">
        <v>2268</v>
      </c>
      <c r="Q977" s="5" t="s">
        <v>2270</v>
      </c>
      <c r="R977" s="5" t="s">
        <v>2278</v>
      </c>
      <c r="S977" s="5" t="s">
        <v>2287</v>
      </c>
      <c r="T977" s="5" t="s">
        <v>2289</v>
      </c>
      <c r="U977" s="8">
        <v>2</v>
      </c>
      <c r="V977" s="8">
        <v>236</v>
      </c>
      <c r="W977" s="8">
        <v>39</v>
      </c>
      <c r="X977" s="9">
        <v>51.62</v>
      </c>
      <c r="Y977" s="9">
        <f t="shared" si="181"/>
        <v>211.52</v>
      </c>
      <c r="Z977" s="5" t="s">
        <v>1761</v>
      </c>
      <c r="AA977" s="5" t="s">
        <v>1761</v>
      </c>
      <c r="AB977" s="9">
        <f t="shared" si="182"/>
        <v>440</v>
      </c>
      <c r="AC977" s="9">
        <f t="shared" si="183"/>
        <v>22</v>
      </c>
      <c r="AD977" s="9">
        <f t="shared" si="184"/>
        <v>418</v>
      </c>
      <c r="AE977" s="9">
        <f t="shared" si="185"/>
        <v>206.48</v>
      </c>
      <c r="AF977" s="9">
        <f t="shared" si="191"/>
        <v>211.52</v>
      </c>
      <c r="AG977" s="8">
        <f t="shared" si="186"/>
        <v>2024</v>
      </c>
      <c r="AH977" s="8">
        <f t="shared" si="187"/>
        <v>11</v>
      </c>
      <c r="AI977" s="5" t="str">
        <f t="shared" si="188"/>
        <v>Nov</v>
      </c>
      <c r="AJ977" s="5" t="str">
        <f t="shared" si="189"/>
        <v>Saturday</v>
      </c>
    </row>
    <row r="978" spans="1:36" x14ac:dyDescent="0.3">
      <c r="A978" s="5" t="s">
        <v>1012</v>
      </c>
      <c r="B978" s="6">
        <v>45510</v>
      </c>
      <c r="C978" s="7">
        <v>0.38194444444444442</v>
      </c>
      <c r="D978" s="5" t="s">
        <v>1927</v>
      </c>
      <c r="E978" s="5" t="s">
        <v>2163</v>
      </c>
      <c r="F978" s="5" t="s">
        <v>2240</v>
      </c>
      <c r="G978" s="5" t="s">
        <v>2243</v>
      </c>
      <c r="H978" s="5" t="s">
        <v>2258</v>
      </c>
      <c r="I978" s="5" t="s">
        <v>2260</v>
      </c>
      <c r="J978" s="5" t="s">
        <v>2264</v>
      </c>
      <c r="K978" s="8">
        <v>1</v>
      </c>
      <c r="L978" s="9">
        <v>70</v>
      </c>
      <c r="M978" s="10">
        <v>0</v>
      </c>
      <c r="N978" s="9">
        <f t="shared" si="190"/>
        <v>70</v>
      </c>
      <c r="O978" s="9">
        <f t="shared" si="180"/>
        <v>70</v>
      </c>
      <c r="P978" s="5" t="s">
        <v>2268</v>
      </c>
      <c r="Q978" s="5" t="s">
        <v>1761</v>
      </c>
      <c r="R978" s="5" t="s">
        <v>2273</v>
      </c>
      <c r="S978" s="5" t="s">
        <v>2286</v>
      </c>
      <c r="T978" s="5" t="s">
        <v>2288</v>
      </c>
      <c r="U978" s="19">
        <v>3</v>
      </c>
      <c r="V978" s="8">
        <v>419</v>
      </c>
      <c r="W978" s="8">
        <v>30</v>
      </c>
      <c r="X978" s="9">
        <v>27.15</v>
      </c>
      <c r="Y978" s="9">
        <f t="shared" si="181"/>
        <v>42.85</v>
      </c>
      <c r="Z978" s="5" t="s">
        <v>1761</v>
      </c>
      <c r="AA978" s="5" t="s">
        <v>2299</v>
      </c>
      <c r="AB978" s="9">
        <f t="shared" si="182"/>
        <v>70</v>
      </c>
      <c r="AC978" s="9">
        <f t="shared" si="183"/>
        <v>0</v>
      </c>
      <c r="AD978" s="9">
        <f t="shared" si="184"/>
        <v>70</v>
      </c>
      <c r="AE978" s="9">
        <f t="shared" si="185"/>
        <v>27.15</v>
      </c>
      <c r="AF978" s="9">
        <f t="shared" si="191"/>
        <v>42.85</v>
      </c>
      <c r="AG978" s="8">
        <f t="shared" si="186"/>
        <v>2024</v>
      </c>
      <c r="AH978" s="8">
        <f t="shared" si="187"/>
        <v>8</v>
      </c>
      <c r="AI978" s="5" t="str">
        <f t="shared" si="188"/>
        <v>Aug</v>
      </c>
      <c r="AJ978" s="5" t="str">
        <f t="shared" si="189"/>
        <v>Tuesday</v>
      </c>
    </row>
    <row r="979" spans="1:36" x14ac:dyDescent="0.3">
      <c r="A979" s="5" t="s">
        <v>1013</v>
      </c>
      <c r="B979" s="6">
        <v>45326</v>
      </c>
      <c r="C979" s="7">
        <v>0.59375</v>
      </c>
      <c r="D979" s="5" t="s">
        <v>1751</v>
      </c>
      <c r="E979" s="5" t="s">
        <v>2114</v>
      </c>
      <c r="F979" s="5" t="s">
        <v>2239</v>
      </c>
      <c r="G979" s="5" t="s">
        <v>2244</v>
      </c>
      <c r="H979" s="5" t="s">
        <v>2257</v>
      </c>
      <c r="I979" s="5" t="s">
        <v>2262</v>
      </c>
      <c r="J979" s="5" t="s">
        <v>2266</v>
      </c>
      <c r="K979" s="8">
        <v>1</v>
      </c>
      <c r="L979" s="9">
        <v>115</v>
      </c>
      <c r="M979" s="10">
        <v>0</v>
      </c>
      <c r="N979" s="9">
        <f t="shared" si="190"/>
        <v>115</v>
      </c>
      <c r="O979" s="9">
        <f t="shared" si="180"/>
        <v>115</v>
      </c>
      <c r="P979" s="5" t="s">
        <v>2267</v>
      </c>
      <c r="Q979" s="5" t="s">
        <v>1761</v>
      </c>
      <c r="R979" s="5" t="s">
        <v>2275</v>
      </c>
      <c r="S979" s="5" t="s">
        <v>2285</v>
      </c>
      <c r="T979" s="5" t="s">
        <v>2288</v>
      </c>
      <c r="U979" s="8">
        <v>3</v>
      </c>
      <c r="V979" s="8">
        <v>2</v>
      </c>
      <c r="W979" s="8">
        <v>57</v>
      </c>
      <c r="X979" s="9">
        <v>58.81</v>
      </c>
      <c r="Y979" s="9">
        <f t="shared" si="181"/>
        <v>56.19</v>
      </c>
      <c r="Z979" s="5" t="s">
        <v>2293</v>
      </c>
      <c r="AA979" s="5" t="s">
        <v>2296</v>
      </c>
      <c r="AB979" s="9">
        <f t="shared" si="182"/>
        <v>115</v>
      </c>
      <c r="AC979" s="9">
        <f t="shared" si="183"/>
        <v>0</v>
      </c>
      <c r="AD979" s="9">
        <f t="shared" si="184"/>
        <v>115</v>
      </c>
      <c r="AE979" s="9">
        <f t="shared" si="185"/>
        <v>58.81</v>
      </c>
      <c r="AF979" s="9">
        <f t="shared" si="191"/>
        <v>56.19</v>
      </c>
      <c r="AG979" s="8">
        <f t="shared" si="186"/>
        <v>2024</v>
      </c>
      <c r="AH979" s="8">
        <f t="shared" si="187"/>
        <v>2</v>
      </c>
      <c r="AI979" s="5" t="str">
        <f t="shared" si="188"/>
        <v>Feb</v>
      </c>
      <c r="AJ979" s="5" t="str">
        <f t="shared" si="189"/>
        <v>Sunday</v>
      </c>
    </row>
    <row r="980" spans="1:36" x14ac:dyDescent="0.3">
      <c r="A980" s="5" t="s">
        <v>1014</v>
      </c>
      <c r="B980" s="6">
        <v>45351</v>
      </c>
      <c r="C980" s="7">
        <v>0.59722222222222221</v>
      </c>
      <c r="D980" s="5" t="s">
        <v>1860</v>
      </c>
      <c r="E980" s="5" t="s">
        <v>2118</v>
      </c>
      <c r="F980" s="5" t="s">
        <v>2240</v>
      </c>
      <c r="G980" s="5" t="s">
        <v>2251</v>
      </c>
      <c r="H980" s="5" t="s">
        <v>2258</v>
      </c>
      <c r="I980" s="5" t="s">
        <v>2260</v>
      </c>
      <c r="J980" s="5" t="s">
        <v>2266</v>
      </c>
      <c r="K980" s="8">
        <v>1</v>
      </c>
      <c r="L980" s="9">
        <v>95</v>
      </c>
      <c r="M980" s="10">
        <v>0.05</v>
      </c>
      <c r="N980" s="9">
        <f t="shared" si="190"/>
        <v>95</v>
      </c>
      <c r="O980" s="9">
        <f t="shared" si="180"/>
        <v>90.25</v>
      </c>
      <c r="P980" s="5" t="s">
        <v>2267</v>
      </c>
      <c r="Q980" s="5" t="s">
        <v>1761</v>
      </c>
      <c r="R980" s="5" t="s">
        <v>2279</v>
      </c>
      <c r="S980" s="5" t="s">
        <v>2287</v>
      </c>
      <c r="T980" s="5" t="s">
        <v>2288</v>
      </c>
      <c r="U980" s="8">
        <v>3</v>
      </c>
      <c r="V980" s="8">
        <v>317</v>
      </c>
      <c r="W980" s="8">
        <v>45</v>
      </c>
      <c r="X980" s="9">
        <v>46.89</v>
      </c>
      <c r="Y980" s="9">
        <f t="shared" si="181"/>
        <v>43.36</v>
      </c>
      <c r="Z980" s="5" t="s">
        <v>1761</v>
      </c>
      <c r="AA980" s="5" t="s">
        <v>1761</v>
      </c>
      <c r="AB980" s="9">
        <f t="shared" si="182"/>
        <v>95</v>
      </c>
      <c r="AC980" s="9">
        <f t="shared" si="183"/>
        <v>4.75</v>
      </c>
      <c r="AD980" s="9">
        <f t="shared" si="184"/>
        <v>90.25</v>
      </c>
      <c r="AE980" s="9">
        <f t="shared" si="185"/>
        <v>46.89</v>
      </c>
      <c r="AF980" s="9">
        <f t="shared" si="191"/>
        <v>43.36</v>
      </c>
      <c r="AG980" s="8">
        <f t="shared" si="186"/>
        <v>2024</v>
      </c>
      <c r="AH980" s="8">
        <f t="shared" si="187"/>
        <v>2</v>
      </c>
      <c r="AI980" s="5" t="str">
        <f t="shared" si="188"/>
        <v>Feb</v>
      </c>
      <c r="AJ980" s="5" t="str">
        <f t="shared" si="189"/>
        <v>Thursday</v>
      </c>
    </row>
    <row r="981" spans="1:36" x14ac:dyDescent="0.3">
      <c r="A981" s="5" t="s">
        <v>1015</v>
      </c>
      <c r="B981" s="6">
        <v>45402</v>
      </c>
      <c r="C981" s="7">
        <v>0.58333333333333337</v>
      </c>
      <c r="D981" s="5" t="s">
        <v>1936</v>
      </c>
      <c r="E981" s="5" t="s">
        <v>2034</v>
      </c>
      <c r="F981" s="5" t="s">
        <v>1761</v>
      </c>
      <c r="G981" s="5" t="s">
        <v>2246</v>
      </c>
      <c r="H981" s="5" t="s">
        <v>2259</v>
      </c>
      <c r="I981" s="5" t="s">
        <v>2262</v>
      </c>
      <c r="J981" s="5" t="s">
        <v>2265</v>
      </c>
      <c r="K981" s="8">
        <v>2</v>
      </c>
      <c r="L981" s="9">
        <v>105</v>
      </c>
      <c r="M981" s="10">
        <v>0.1</v>
      </c>
      <c r="N981" s="9">
        <f t="shared" si="190"/>
        <v>210</v>
      </c>
      <c r="O981" s="9">
        <f t="shared" si="180"/>
        <v>189</v>
      </c>
      <c r="P981" s="5" t="s">
        <v>2269</v>
      </c>
      <c r="Q981" s="5" t="s">
        <v>2270</v>
      </c>
      <c r="R981" s="5" t="s">
        <v>2275</v>
      </c>
      <c r="S981" s="5" t="s">
        <v>2281</v>
      </c>
      <c r="T981" s="5" t="s">
        <v>2288</v>
      </c>
      <c r="U981" s="8">
        <v>4</v>
      </c>
      <c r="V981" s="8">
        <v>23</v>
      </c>
      <c r="W981" s="8">
        <v>38</v>
      </c>
      <c r="X981" s="9">
        <v>40.6</v>
      </c>
      <c r="Y981" s="9">
        <f t="shared" si="181"/>
        <v>107.8</v>
      </c>
      <c r="Z981" s="5" t="s">
        <v>1761</v>
      </c>
      <c r="AA981" s="5" t="s">
        <v>2296</v>
      </c>
      <c r="AB981" s="9">
        <f t="shared" si="182"/>
        <v>210</v>
      </c>
      <c r="AC981" s="9">
        <f t="shared" si="183"/>
        <v>21</v>
      </c>
      <c r="AD981" s="9">
        <f t="shared" si="184"/>
        <v>189</v>
      </c>
      <c r="AE981" s="9">
        <f t="shared" si="185"/>
        <v>81.2</v>
      </c>
      <c r="AF981" s="9">
        <f t="shared" si="191"/>
        <v>107.8</v>
      </c>
      <c r="AG981" s="8">
        <f t="shared" si="186"/>
        <v>2024</v>
      </c>
      <c r="AH981" s="8">
        <f t="shared" si="187"/>
        <v>4</v>
      </c>
      <c r="AI981" s="5" t="str">
        <f t="shared" si="188"/>
        <v>Apr</v>
      </c>
      <c r="AJ981" s="5" t="str">
        <f t="shared" si="189"/>
        <v>Saturday</v>
      </c>
    </row>
    <row r="982" spans="1:36" x14ac:dyDescent="0.3">
      <c r="A982" s="5" t="s">
        <v>1016</v>
      </c>
      <c r="B982" s="6">
        <v>45519</v>
      </c>
      <c r="C982" s="7">
        <v>0.29166666666666669</v>
      </c>
      <c r="D982" s="5" t="s">
        <v>1838</v>
      </c>
      <c r="E982" s="5" t="s">
        <v>2074</v>
      </c>
      <c r="F982" s="5" t="s">
        <v>2240</v>
      </c>
      <c r="G982" s="5" t="s">
        <v>2251</v>
      </c>
      <c r="H982" s="5" t="s">
        <v>2258</v>
      </c>
      <c r="I982" s="5" t="s">
        <v>2260</v>
      </c>
      <c r="J982" s="5" t="s">
        <v>2266</v>
      </c>
      <c r="K982" s="8">
        <v>1</v>
      </c>
      <c r="L982" s="9">
        <v>100</v>
      </c>
      <c r="M982" s="10">
        <v>0</v>
      </c>
      <c r="N982" s="9">
        <f t="shared" si="190"/>
        <v>100</v>
      </c>
      <c r="O982" s="9">
        <f t="shared" si="180"/>
        <v>100</v>
      </c>
      <c r="P982" s="5" t="s">
        <v>1761</v>
      </c>
      <c r="Q982" s="5" t="s">
        <v>1761</v>
      </c>
      <c r="R982" s="5" t="s">
        <v>2278</v>
      </c>
      <c r="S982" s="5" t="s">
        <v>2280</v>
      </c>
      <c r="T982" s="5" t="s">
        <v>2289</v>
      </c>
      <c r="U982" s="8">
        <v>1</v>
      </c>
      <c r="V982" s="8">
        <v>293</v>
      </c>
      <c r="W982" s="8">
        <v>46</v>
      </c>
      <c r="X982" s="9">
        <v>36.380000000000003</v>
      </c>
      <c r="Y982" s="9">
        <f t="shared" si="181"/>
        <v>63.62</v>
      </c>
      <c r="Z982" s="5" t="s">
        <v>2291</v>
      </c>
      <c r="AA982" s="5" t="s">
        <v>2297</v>
      </c>
      <c r="AB982" s="9">
        <f t="shared" si="182"/>
        <v>100</v>
      </c>
      <c r="AC982" s="9">
        <f t="shared" si="183"/>
        <v>0</v>
      </c>
      <c r="AD982" s="9">
        <f t="shared" si="184"/>
        <v>100</v>
      </c>
      <c r="AE982" s="9">
        <f t="shared" si="185"/>
        <v>36.380000000000003</v>
      </c>
      <c r="AF982" s="9">
        <f t="shared" si="191"/>
        <v>63.62</v>
      </c>
      <c r="AG982" s="8">
        <f t="shared" si="186"/>
        <v>2024</v>
      </c>
      <c r="AH982" s="8">
        <f t="shared" si="187"/>
        <v>8</v>
      </c>
      <c r="AI982" s="5" t="str">
        <f t="shared" si="188"/>
        <v>Aug</v>
      </c>
      <c r="AJ982" s="5" t="str">
        <f t="shared" si="189"/>
        <v>Thursday</v>
      </c>
    </row>
    <row r="983" spans="1:36" x14ac:dyDescent="0.3">
      <c r="A983" s="5" t="s">
        <v>1017</v>
      </c>
      <c r="B983" s="6">
        <v>45316</v>
      </c>
      <c r="C983" s="7">
        <v>0.30555555555555558</v>
      </c>
      <c r="D983" s="5" t="s">
        <v>1915</v>
      </c>
      <c r="E983" s="5" t="s">
        <v>1761</v>
      </c>
      <c r="F983" s="5" t="s">
        <v>2239</v>
      </c>
      <c r="G983" s="5" t="s">
        <v>2252</v>
      </c>
      <c r="H983" s="5" t="s">
        <v>2257</v>
      </c>
      <c r="I983" s="5" t="s">
        <v>2262</v>
      </c>
      <c r="J983" s="5" t="s">
        <v>2264</v>
      </c>
      <c r="K983" s="8">
        <v>1</v>
      </c>
      <c r="L983" s="9">
        <v>90</v>
      </c>
      <c r="M983" s="10">
        <v>0.1</v>
      </c>
      <c r="N983" s="9">
        <f t="shared" si="190"/>
        <v>90</v>
      </c>
      <c r="O983" s="9">
        <f t="shared" si="180"/>
        <v>81</v>
      </c>
      <c r="P983" s="5" t="s">
        <v>2267</v>
      </c>
      <c r="Q983" s="5" t="s">
        <v>2271</v>
      </c>
      <c r="R983" s="5" t="s">
        <v>2276</v>
      </c>
      <c r="S983" s="5" t="s">
        <v>2287</v>
      </c>
      <c r="T983" s="5" t="s">
        <v>2288</v>
      </c>
      <c r="U983" s="8">
        <v>3</v>
      </c>
      <c r="V983" s="19">
        <v>244</v>
      </c>
      <c r="W983" s="8">
        <v>24</v>
      </c>
      <c r="X983" s="9">
        <v>36.67</v>
      </c>
      <c r="Y983" s="9">
        <f t="shared" si="181"/>
        <v>44.33</v>
      </c>
      <c r="Z983" s="5" t="s">
        <v>1761</v>
      </c>
      <c r="AA983" s="5" t="s">
        <v>2296</v>
      </c>
      <c r="AB983" s="9">
        <f t="shared" si="182"/>
        <v>90</v>
      </c>
      <c r="AC983" s="9">
        <f t="shared" si="183"/>
        <v>9</v>
      </c>
      <c r="AD983" s="9">
        <f t="shared" si="184"/>
        <v>81</v>
      </c>
      <c r="AE983" s="9">
        <f t="shared" si="185"/>
        <v>36.67</v>
      </c>
      <c r="AF983" s="9">
        <f t="shared" si="191"/>
        <v>44.33</v>
      </c>
      <c r="AG983" s="8">
        <f t="shared" si="186"/>
        <v>2024</v>
      </c>
      <c r="AH983" s="8">
        <f t="shared" si="187"/>
        <v>1</v>
      </c>
      <c r="AI983" s="5" t="str">
        <f t="shared" si="188"/>
        <v>Jan</v>
      </c>
      <c r="AJ983" s="5" t="str">
        <f t="shared" si="189"/>
        <v>Thursday</v>
      </c>
    </row>
    <row r="984" spans="1:36" x14ac:dyDescent="0.3">
      <c r="A984" s="5" t="s">
        <v>1018</v>
      </c>
      <c r="B984" s="6">
        <v>45643</v>
      </c>
      <c r="C984" s="7">
        <v>0.73958333333333337</v>
      </c>
      <c r="D984" s="5" t="s">
        <v>1750</v>
      </c>
      <c r="E984" s="5" t="s">
        <v>1944</v>
      </c>
      <c r="F984" s="5" t="s">
        <v>2240</v>
      </c>
      <c r="G984" s="5" t="s">
        <v>2241</v>
      </c>
      <c r="H984" s="5" t="s">
        <v>2257</v>
      </c>
      <c r="I984" s="5" t="s">
        <v>2262</v>
      </c>
      <c r="J984" s="5" t="s">
        <v>2265</v>
      </c>
      <c r="K984" s="8">
        <v>2</v>
      </c>
      <c r="L984" s="9">
        <v>130</v>
      </c>
      <c r="M984" s="10">
        <v>0</v>
      </c>
      <c r="N984" s="9">
        <f t="shared" si="190"/>
        <v>260</v>
      </c>
      <c r="O984" s="9">
        <f t="shared" si="180"/>
        <v>260</v>
      </c>
      <c r="P984" s="5" t="s">
        <v>2269</v>
      </c>
      <c r="Q984" s="5" t="s">
        <v>1761</v>
      </c>
      <c r="R984" s="5" t="s">
        <v>2278</v>
      </c>
      <c r="S984" s="5" t="s">
        <v>2287</v>
      </c>
      <c r="T984" s="5" t="s">
        <v>2289</v>
      </c>
      <c r="U984" s="8">
        <v>1</v>
      </c>
      <c r="V984" s="8">
        <v>436</v>
      </c>
      <c r="W984" s="8">
        <v>38</v>
      </c>
      <c r="X984" s="9">
        <v>59.65</v>
      </c>
      <c r="Y984" s="9">
        <f t="shared" si="181"/>
        <v>140.69999999999999</v>
      </c>
      <c r="Z984" s="5" t="s">
        <v>2294</v>
      </c>
      <c r="AA984" s="5" t="s">
        <v>2297</v>
      </c>
      <c r="AB984" s="9">
        <f t="shared" si="182"/>
        <v>260</v>
      </c>
      <c r="AC984" s="9">
        <f t="shared" si="183"/>
        <v>0</v>
      </c>
      <c r="AD984" s="9">
        <f t="shared" si="184"/>
        <v>260</v>
      </c>
      <c r="AE984" s="9">
        <f t="shared" si="185"/>
        <v>119.3</v>
      </c>
      <c r="AF984" s="9">
        <f t="shared" si="191"/>
        <v>140.69999999999999</v>
      </c>
      <c r="AG984" s="8">
        <f t="shared" si="186"/>
        <v>2024</v>
      </c>
      <c r="AH984" s="8">
        <f t="shared" si="187"/>
        <v>12</v>
      </c>
      <c r="AI984" s="5" t="str">
        <f t="shared" si="188"/>
        <v>Dec</v>
      </c>
      <c r="AJ984" s="5" t="str">
        <f t="shared" si="189"/>
        <v>Tuesday</v>
      </c>
    </row>
    <row r="985" spans="1:36" x14ac:dyDescent="0.3">
      <c r="A985" s="5" t="s">
        <v>1019</v>
      </c>
      <c r="B985" s="6">
        <v>45469</v>
      </c>
      <c r="C985" s="7">
        <v>0.4236111111111111</v>
      </c>
      <c r="D985" s="5" t="s">
        <v>1761</v>
      </c>
      <c r="E985" s="5" t="s">
        <v>2229</v>
      </c>
      <c r="F985" s="5" t="s">
        <v>2240</v>
      </c>
      <c r="G985" s="5" t="s">
        <v>2250</v>
      </c>
      <c r="H985" s="5" t="s">
        <v>2259</v>
      </c>
      <c r="I985" s="5" t="s">
        <v>2262</v>
      </c>
      <c r="J985" s="5" t="s">
        <v>2266</v>
      </c>
      <c r="K985" s="8">
        <v>1</v>
      </c>
      <c r="L985" s="9">
        <v>90</v>
      </c>
      <c r="M985" s="10">
        <v>0.05</v>
      </c>
      <c r="N985" s="9">
        <f t="shared" si="190"/>
        <v>90</v>
      </c>
      <c r="O985" s="9">
        <f t="shared" si="180"/>
        <v>85.5</v>
      </c>
      <c r="P985" s="5" t="s">
        <v>2269</v>
      </c>
      <c r="Q985" s="5" t="s">
        <v>2271</v>
      </c>
      <c r="R985" s="5" t="s">
        <v>2276</v>
      </c>
      <c r="S985" s="5" t="s">
        <v>2281</v>
      </c>
      <c r="T985" s="5" t="s">
        <v>2290</v>
      </c>
      <c r="U985" s="19">
        <v>3</v>
      </c>
      <c r="V985" s="8">
        <v>290</v>
      </c>
      <c r="W985" s="8">
        <v>37</v>
      </c>
      <c r="X985" s="9">
        <v>42.92</v>
      </c>
      <c r="Y985" s="9">
        <f t="shared" si="181"/>
        <v>42.58</v>
      </c>
      <c r="Z985" s="5" t="s">
        <v>2294</v>
      </c>
      <c r="AA985" s="5" t="s">
        <v>2297</v>
      </c>
      <c r="AB985" s="9">
        <f t="shared" si="182"/>
        <v>90</v>
      </c>
      <c r="AC985" s="9">
        <f t="shared" si="183"/>
        <v>4.5</v>
      </c>
      <c r="AD985" s="9">
        <f t="shared" si="184"/>
        <v>85.5</v>
      </c>
      <c r="AE985" s="9">
        <f t="shared" si="185"/>
        <v>42.92</v>
      </c>
      <c r="AF985" s="9">
        <f t="shared" si="191"/>
        <v>42.58</v>
      </c>
      <c r="AG985" s="8">
        <f t="shared" si="186"/>
        <v>2024</v>
      </c>
      <c r="AH985" s="8">
        <f t="shared" si="187"/>
        <v>6</v>
      </c>
      <c r="AI985" s="5" t="str">
        <f t="shared" si="188"/>
        <v>Jun</v>
      </c>
      <c r="AJ985" s="5" t="str">
        <f t="shared" si="189"/>
        <v>Wednesday</v>
      </c>
    </row>
    <row r="986" spans="1:36" x14ac:dyDescent="0.3">
      <c r="A986" s="5" t="s">
        <v>1020</v>
      </c>
      <c r="B986" s="6">
        <v>45407</v>
      </c>
      <c r="C986" s="7">
        <v>0.32291666666666669</v>
      </c>
      <c r="D986" s="5" t="s">
        <v>1935</v>
      </c>
      <c r="E986" s="5" t="s">
        <v>1971</v>
      </c>
      <c r="F986" s="5" t="s">
        <v>2240</v>
      </c>
      <c r="G986" s="5" t="s">
        <v>2256</v>
      </c>
      <c r="H986" s="5" t="s">
        <v>2261</v>
      </c>
      <c r="I986" s="5" t="s">
        <v>2260</v>
      </c>
      <c r="J986" s="5" t="s">
        <v>2264</v>
      </c>
      <c r="K986" s="8">
        <v>1</v>
      </c>
      <c r="L986" s="9">
        <v>190</v>
      </c>
      <c r="M986" s="10">
        <v>0</v>
      </c>
      <c r="N986" s="9">
        <f t="shared" si="190"/>
        <v>190</v>
      </c>
      <c r="O986" s="9">
        <f t="shared" si="180"/>
        <v>190</v>
      </c>
      <c r="P986" s="5" t="s">
        <v>2267</v>
      </c>
      <c r="Q986" s="5" t="s">
        <v>2272</v>
      </c>
      <c r="R986" s="5" t="s">
        <v>2274</v>
      </c>
      <c r="S986" s="5" t="s">
        <v>2283</v>
      </c>
      <c r="T986" s="5" t="s">
        <v>2290</v>
      </c>
      <c r="U986" s="8">
        <v>5</v>
      </c>
      <c r="V986" s="8">
        <v>240</v>
      </c>
      <c r="W986" s="8">
        <v>52</v>
      </c>
      <c r="X986" s="9">
        <v>107.05</v>
      </c>
      <c r="Y986" s="9">
        <f t="shared" si="181"/>
        <v>82.95</v>
      </c>
      <c r="Z986" s="5" t="s">
        <v>2292</v>
      </c>
      <c r="AA986" s="5" t="s">
        <v>2296</v>
      </c>
      <c r="AB986" s="9">
        <f t="shared" si="182"/>
        <v>190</v>
      </c>
      <c r="AC986" s="9">
        <f t="shared" si="183"/>
        <v>0</v>
      </c>
      <c r="AD986" s="9">
        <f t="shared" si="184"/>
        <v>190</v>
      </c>
      <c r="AE986" s="9">
        <f t="shared" si="185"/>
        <v>107.05</v>
      </c>
      <c r="AF986" s="9">
        <f t="shared" si="191"/>
        <v>82.95</v>
      </c>
      <c r="AG986" s="8">
        <f t="shared" si="186"/>
        <v>2024</v>
      </c>
      <c r="AH986" s="8">
        <f t="shared" si="187"/>
        <v>4</v>
      </c>
      <c r="AI986" s="5" t="str">
        <f t="shared" si="188"/>
        <v>Apr</v>
      </c>
      <c r="AJ986" s="5" t="str">
        <f t="shared" si="189"/>
        <v>Thursday</v>
      </c>
    </row>
    <row r="987" spans="1:36" x14ac:dyDescent="0.3">
      <c r="A987" s="5" t="s">
        <v>1021</v>
      </c>
      <c r="B987" s="6">
        <v>45405</v>
      </c>
      <c r="C987" s="7">
        <v>0.47916666666666669</v>
      </c>
      <c r="D987" s="5" t="s">
        <v>1876</v>
      </c>
      <c r="E987" s="5" t="s">
        <v>2159</v>
      </c>
      <c r="F987" s="5" t="s">
        <v>2239</v>
      </c>
      <c r="G987" s="5" t="s">
        <v>2250</v>
      </c>
      <c r="H987" s="5" t="s">
        <v>2259</v>
      </c>
      <c r="I987" s="5" t="s">
        <v>2262</v>
      </c>
      <c r="J987" s="5" t="s">
        <v>2265</v>
      </c>
      <c r="K987" s="8">
        <v>1</v>
      </c>
      <c r="L987" s="9">
        <v>90</v>
      </c>
      <c r="M987" s="10">
        <v>0</v>
      </c>
      <c r="N987" s="9">
        <f t="shared" si="190"/>
        <v>90</v>
      </c>
      <c r="O987" s="9">
        <f t="shared" si="180"/>
        <v>90</v>
      </c>
      <c r="P987" s="5" t="s">
        <v>2269</v>
      </c>
      <c r="Q987" s="5" t="s">
        <v>2272</v>
      </c>
      <c r="R987" s="5" t="s">
        <v>2277</v>
      </c>
      <c r="S987" s="5" t="s">
        <v>2281</v>
      </c>
      <c r="T987" s="5" t="s">
        <v>2290</v>
      </c>
      <c r="U987" s="8">
        <v>5</v>
      </c>
      <c r="V987" s="8">
        <v>103</v>
      </c>
      <c r="W987" s="8">
        <v>42</v>
      </c>
      <c r="X987" s="9">
        <v>28.18</v>
      </c>
      <c r="Y987" s="9">
        <f t="shared" si="181"/>
        <v>61.82</v>
      </c>
      <c r="Z987" s="5" t="s">
        <v>2295</v>
      </c>
      <c r="AA987" s="5" t="s">
        <v>2299</v>
      </c>
      <c r="AB987" s="9">
        <f t="shared" si="182"/>
        <v>90</v>
      </c>
      <c r="AC987" s="9">
        <f t="shared" si="183"/>
        <v>0</v>
      </c>
      <c r="AD987" s="9">
        <f t="shared" si="184"/>
        <v>90</v>
      </c>
      <c r="AE987" s="9">
        <f t="shared" si="185"/>
        <v>28.18</v>
      </c>
      <c r="AF987" s="9">
        <f t="shared" si="191"/>
        <v>61.82</v>
      </c>
      <c r="AG987" s="8">
        <f t="shared" si="186"/>
        <v>2024</v>
      </c>
      <c r="AH987" s="8">
        <f t="shared" si="187"/>
        <v>4</v>
      </c>
      <c r="AI987" s="5" t="str">
        <f t="shared" si="188"/>
        <v>Apr</v>
      </c>
      <c r="AJ987" s="5" t="str">
        <f t="shared" si="189"/>
        <v>Tuesday</v>
      </c>
    </row>
    <row r="988" spans="1:36" x14ac:dyDescent="0.3">
      <c r="A988" s="5" t="s">
        <v>1022</v>
      </c>
      <c r="B988" s="6">
        <v>45486</v>
      </c>
      <c r="C988" s="7">
        <v>0.47916666666666669</v>
      </c>
      <c r="D988" s="5" t="s">
        <v>1824</v>
      </c>
      <c r="E988" s="5" t="s">
        <v>2050</v>
      </c>
      <c r="F988" s="5" t="s">
        <v>1761</v>
      </c>
      <c r="G988" s="5" t="s">
        <v>2247</v>
      </c>
      <c r="H988" s="5" t="s">
        <v>2257</v>
      </c>
      <c r="I988" s="5" t="s">
        <v>2262</v>
      </c>
      <c r="J988" s="5" t="s">
        <v>1761</v>
      </c>
      <c r="K988" s="8">
        <v>5</v>
      </c>
      <c r="L988" s="9">
        <v>110</v>
      </c>
      <c r="M988" s="10">
        <v>0.05</v>
      </c>
      <c r="N988" s="9">
        <f t="shared" si="190"/>
        <v>550</v>
      </c>
      <c r="O988" s="9">
        <f t="shared" si="180"/>
        <v>522.5</v>
      </c>
      <c r="P988" s="5" t="s">
        <v>2268</v>
      </c>
      <c r="Q988" s="5" t="s">
        <v>2271</v>
      </c>
      <c r="R988" s="5" t="s">
        <v>2279</v>
      </c>
      <c r="S988" s="5" t="s">
        <v>2285</v>
      </c>
      <c r="T988" s="5" t="s">
        <v>2288</v>
      </c>
      <c r="U988" s="8">
        <v>2</v>
      </c>
      <c r="V988" s="8">
        <v>204</v>
      </c>
      <c r="W988" s="19">
        <v>37</v>
      </c>
      <c r="X988" s="9">
        <v>49.26</v>
      </c>
      <c r="Y988" s="9">
        <f t="shared" si="181"/>
        <v>276.20000000000005</v>
      </c>
      <c r="Z988" s="5" t="s">
        <v>2294</v>
      </c>
      <c r="AA988" s="5" t="s">
        <v>2298</v>
      </c>
      <c r="AB988" s="9">
        <f t="shared" si="182"/>
        <v>550</v>
      </c>
      <c r="AC988" s="9">
        <f t="shared" si="183"/>
        <v>27.5</v>
      </c>
      <c r="AD988" s="9">
        <f t="shared" si="184"/>
        <v>522.5</v>
      </c>
      <c r="AE988" s="9">
        <f t="shared" si="185"/>
        <v>246.29999999999998</v>
      </c>
      <c r="AF988" s="9">
        <f t="shared" si="191"/>
        <v>276.20000000000005</v>
      </c>
      <c r="AG988" s="8">
        <f t="shared" si="186"/>
        <v>2024</v>
      </c>
      <c r="AH988" s="8">
        <f t="shared" si="187"/>
        <v>7</v>
      </c>
      <c r="AI988" s="5" t="str">
        <f t="shared" si="188"/>
        <v>Jul</v>
      </c>
      <c r="AJ988" s="5" t="str">
        <f t="shared" si="189"/>
        <v>Saturday</v>
      </c>
    </row>
    <row r="989" spans="1:36" x14ac:dyDescent="0.3">
      <c r="A989" s="5" t="s">
        <v>1023</v>
      </c>
      <c r="B989" s="6">
        <v>45566</v>
      </c>
      <c r="C989" s="7">
        <v>0.80208333333333337</v>
      </c>
      <c r="D989" s="5" t="s">
        <v>1843</v>
      </c>
      <c r="E989" s="5" t="s">
        <v>2123</v>
      </c>
      <c r="F989" s="5" t="s">
        <v>2238</v>
      </c>
      <c r="G989" s="5" t="s">
        <v>2256</v>
      </c>
      <c r="H989" s="5" t="s">
        <v>2261</v>
      </c>
      <c r="I989" s="5" t="s">
        <v>2260</v>
      </c>
      <c r="J989" s="5" t="s">
        <v>2264</v>
      </c>
      <c r="K989" s="8">
        <v>2</v>
      </c>
      <c r="L989" s="9">
        <v>190</v>
      </c>
      <c r="M989" s="10">
        <v>0.05</v>
      </c>
      <c r="N989" s="9">
        <f t="shared" si="190"/>
        <v>380</v>
      </c>
      <c r="O989" s="9">
        <f t="shared" si="180"/>
        <v>361</v>
      </c>
      <c r="P989" s="5" t="s">
        <v>2267</v>
      </c>
      <c r="Q989" s="5" t="s">
        <v>2270</v>
      </c>
      <c r="R989" s="5" t="s">
        <v>2276</v>
      </c>
      <c r="S989" s="5" t="s">
        <v>2285</v>
      </c>
      <c r="T989" s="5" t="s">
        <v>2288</v>
      </c>
      <c r="U989" s="8">
        <v>2</v>
      </c>
      <c r="V989" s="8">
        <v>110</v>
      </c>
      <c r="W989" s="8">
        <v>17</v>
      </c>
      <c r="X989" s="9">
        <v>74.09</v>
      </c>
      <c r="Y989" s="9">
        <f t="shared" si="181"/>
        <v>212.82</v>
      </c>
      <c r="Z989" s="5" t="s">
        <v>2293</v>
      </c>
      <c r="AA989" s="5" t="s">
        <v>2296</v>
      </c>
      <c r="AB989" s="9">
        <f t="shared" si="182"/>
        <v>380</v>
      </c>
      <c r="AC989" s="9">
        <f t="shared" si="183"/>
        <v>19</v>
      </c>
      <c r="AD989" s="9">
        <f t="shared" si="184"/>
        <v>361</v>
      </c>
      <c r="AE989" s="9">
        <f t="shared" si="185"/>
        <v>148.18</v>
      </c>
      <c r="AF989" s="9">
        <f t="shared" si="191"/>
        <v>212.82</v>
      </c>
      <c r="AG989" s="8">
        <f t="shared" si="186"/>
        <v>2024</v>
      </c>
      <c r="AH989" s="8">
        <f t="shared" si="187"/>
        <v>10</v>
      </c>
      <c r="AI989" s="5" t="str">
        <f t="shared" si="188"/>
        <v>Oct</v>
      </c>
      <c r="AJ989" s="5" t="str">
        <f t="shared" si="189"/>
        <v>Tuesday</v>
      </c>
    </row>
    <row r="990" spans="1:36" x14ac:dyDescent="0.3">
      <c r="A990" s="5" t="s">
        <v>1024</v>
      </c>
      <c r="B990" s="6">
        <v>45476</v>
      </c>
      <c r="C990" s="7">
        <v>0.83333333333333337</v>
      </c>
      <c r="D990" s="5" t="s">
        <v>1833</v>
      </c>
      <c r="E990" s="5" t="s">
        <v>1761</v>
      </c>
      <c r="F990" s="5" t="s">
        <v>2240</v>
      </c>
      <c r="G990" s="5" t="s">
        <v>2250</v>
      </c>
      <c r="H990" s="5" t="s">
        <v>2259</v>
      </c>
      <c r="I990" s="5" t="s">
        <v>2262</v>
      </c>
      <c r="J990" s="5" t="s">
        <v>2264</v>
      </c>
      <c r="K990" s="8">
        <v>1</v>
      </c>
      <c r="L990" s="9">
        <v>80</v>
      </c>
      <c r="M990" s="10">
        <v>0.05</v>
      </c>
      <c r="N990" s="9">
        <f t="shared" si="190"/>
        <v>80</v>
      </c>
      <c r="O990" s="9">
        <f t="shared" si="180"/>
        <v>76</v>
      </c>
      <c r="P990" s="5" t="s">
        <v>1761</v>
      </c>
      <c r="Q990" s="5" t="s">
        <v>1761</v>
      </c>
      <c r="R990" s="5" t="s">
        <v>2275</v>
      </c>
      <c r="S990" s="5" t="s">
        <v>2284</v>
      </c>
      <c r="T990" s="5" t="s">
        <v>2288</v>
      </c>
      <c r="U990" s="8">
        <v>5</v>
      </c>
      <c r="V990" s="8">
        <v>338</v>
      </c>
      <c r="W990" s="8">
        <v>50</v>
      </c>
      <c r="X990" s="9">
        <v>37.479999999999997</v>
      </c>
      <c r="Y990" s="9">
        <f t="shared" si="181"/>
        <v>38.520000000000003</v>
      </c>
      <c r="Z990" s="5" t="s">
        <v>2293</v>
      </c>
      <c r="AA990" s="5" t="s">
        <v>2298</v>
      </c>
      <c r="AB990" s="9">
        <f t="shared" si="182"/>
        <v>80</v>
      </c>
      <c r="AC990" s="9">
        <f t="shared" si="183"/>
        <v>4</v>
      </c>
      <c r="AD990" s="9">
        <f t="shared" si="184"/>
        <v>76</v>
      </c>
      <c r="AE990" s="9">
        <f t="shared" si="185"/>
        <v>37.479999999999997</v>
      </c>
      <c r="AF990" s="9">
        <f t="shared" si="191"/>
        <v>38.520000000000003</v>
      </c>
      <c r="AG990" s="8">
        <f t="shared" si="186"/>
        <v>2024</v>
      </c>
      <c r="AH990" s="8">
        <f t="shared" si="187"/>
        <v>7</v>
      </c>
      <c r="AI990" s="5" t="str">
        <f t="shared" si="188"/>
        <v>Jul</v>
      </c>
      <c r="AJ990" s="5" t="str">
        <f t="shared" si="189"/>
        <v>Wednesday</v>
      </c>
    </row>
    <row r="991" spans="1:36" x14ac:dyDescent="0.3">
      <c r="A991" s="5" t="s">
        <v>1025</v>
      </c>
      <c r="B991" s="6">
        <v>45439</v>
      </c>
      <c r="C991" s="7">
        <v>0.76041666666666663</v>
      </c>
      <c r="D991" s="5" t="s">
        <v>1862</v>
      </c>
      <c r="E991" s="5" t="s">
        <v>2175</v>
      </c>
      <c r="F991" s="5" t="s">
        <v>2240</v>
      </c>
      <c r="G991" s="5" t="s">
        <v>2250</v>
      </c>
      <c r="H991" s="5" t="s">
        <v>2259</v>
      </c>
      <c r="I991" s="5" t="s">
        <v>2262</v>
      </c>
      <c r="J991" s="5" t="s">
        <v>2266</v>
      </c>
      <c r="K991" s="8">
        <v>1</v>
      </c>
      <c r="L991" s="9">
        <v>90</v>
      </c>
      <c r="M991" s="10">
        <v>0</v>
      </c>
      <c r="N991" s="9">
        <f t="shared" si="190"/>
        <v>90</v>
      </c>
      <c r="O991" s="9">
        <f t="shared" si="180"/>
        <v>90</v>
      </c>
      <c r="P991" s="5" t="s">
        <v>2267</v>
      </c>
      <c r="Q991" s="5" t="s">
        <v>2270</v>
      </c>
      <c r="R991" s="5" t="s">
        <v>2277</v>
      </c>
      <c r="S991" s="5" t="s">
        <v>2281</v>
      </c>
      <c r="T991" s="5" t="s">
        <v>2289</v>
      </c>
      <c r="U991" s="8">
        <v>4</v>
      </c>
      <c r="V991" s="8">
        <v>68</v>
      </c>
      <c r="W991" s="19">
        <v>34</v>
      </c>
      <c r="X991" s="9">
        <v>36.15</v>
      </c>
      <c r="Y991" s="9">
        <f t="shared" si="181"/>
        <v>53.85</v>
      </c>
      <c r="Z991" s="5" t="s">
        <v>2292</v>
      </c>
      <c r="AA991" s="5" t="s">
        <v>2296</v>
      </c>
      <c r="AB991" s="9">
        <f t="shared" si="182"/>
        <v>90</v>
      </c>
      <c r="AC991" s="9">
        <f t="shared" si="183"/>
        <v>0</v>
      </c>
      <c r="AD991" s="9">
        <f t="shared" si="184"/>
        <v>90</v>
      </c>
      <c r="AE991" s="9">
        <f t="shared" si="185"/>
        <v>36.15</v>
      </c>
      <c r="AF991" s="9">
        <f t="shared" si="191"/>
        <v>53.85</v>
      </c>
      <c r="AG991" s="8">
        <f t="shared" si="186"/>
        <v>2024</v>
      </c>
      <c r="AH991" s="8">
        <f t="shared" si="187"/>
        <v>5</v>
      </c>
      <c r="AI991" s="5" t="str">
        <f t="shared" si="188"/>
        <v>May</v>
      </c>
      <c r="AJ991" s="5" t="str">
        <f t="shared" si="189"/>
        <v>Monday</v>
      </c>
    </row>
    <row r="992" spans="1:36" x14ac:dyDescent="0.3">
      <c r="A992" s="5" t="s">
        <v>1026</v>
      </c>
      <c r="B992" s="18">
        <v>45468</v>
      </c>
      <c r="C992" s="7">
        <v>0.4513888888888889</v>
      </c>
      <c r="D992" s="5" t="s">
        <v>1861</v>
      </c>
      <c r="E992" s="5" t="s">
        <v>2223</v>
      </c>
      <c r="F992" s="5" t="s">
        <v>2239</v>
      </c>
      <c r="G992" s="5" t="s">
        <v>2253</v>
      </c>
      <c r="H992" s="5" t="s">
        <v>2258</v>
      </c>
      <c r="I992" s="5" t="s">
        <v>2260</v>
      </c>
      <c r="J992" s="5" t="s">
        <v>2264</v>
      </c>
      <c r="K992" s="8">
        <v>4</v>
      </c>
      <c r="L992" s="9">
        <v>90</v>
      </c>
      <c r="M992" s="10">
        <v>0.05</v>
      </c>
      <c r="N992" s="9">
        <f t="shared" si="190"/>
        <v>360</v>
      </c>
      <c r="O992" s="9">
        <f t="shared" si="180"/>
        <v>342</v>
      </c>
      <c r="P992" s="5" t="s">
        <v>2268</v>
      </c>
      <c r="Q992" s="5" t="s">
        <v>1761</v>
      </c>
      <c r="R992" s="5" t="s">
        <v>2273</v>
      </c>
      <c r="S992" s="5" t="s">
        <v>2285</v>
      </c>
      <c r="T992" s="5" t="s">
        <v>2288</v>
      </c>
      <c r="U992" s="8">
        <v>1</v>
      </c>
      <c r="V992" s="8">
        <v>156</v>
      </c>
      <c r="W992" s="8">
        <v>43</v>
      </c>
      <c r="X992" s="9">
        <v>40.72</v>
      </c>
      <c r="Y992" s="9">
        <f t="shared" si="181"/>
        <v>179.12</v>
      </c>
      <c r="Z992" s="5" t="s">
        <v>1761</v>
      </c>
      <c r="AA992" s="5" t="s">
        <v>2297</v>
      </c>
      <c r="AB992" s="9">
        <f t="shared" si="182"/>
        <v>360</v>
      </c>
      <c r="AC992" s="9">
        <f t="shared" si="183"/>
        <v>18</v>
      </c>
      <c r="AD992" s="9">
        <f t="shared" si="184"/>
        <v>342</v>
      </c>
      <c r="AE992" s="9">
        <f t="shared" si="185"/>
        <v>162.88</v>
      </c>
      <c r="AF992" s="9">
        <f t="shared" si="191"/>
        <v>179.12</v>
      </c>
      <c r="AG992" s="8">
        <f t="shared" si="186"/>
        <v>2024</v>
      </c>
      <c r="AH992" s="8">
        <f t="shared" si="187"/>
        <v>6</v>
      </c>
      <c r="AI992" s="5" t="str">
        <f t="shared" si="188"/>
        <v>Jun</v>
      </c>
      <c r="AJ992" s="5" t="str">
        <f t="shared" si="189"/>
        <v>Tuesday</v>
      </c>
    </row>
    <row r="993" spans="1:36" x14ac:dyDescent="0.3">
      <c r="A993" s="5" t="s">
        <v>1027</v>
      </c>
      <c r="B993" s="6">
        <v>45528</v>
      </c>
      <c r="C993" s="7">
        <v>0.59375</v>
      </c>
      <c r="D993" s="5" t="s">
        <v>1938</v>
      </c>
      <c r="E993" s="5" t="s">
        <v>2095</v>
      </c>
      <c r="F993" s="5" t="s">
        <v>1761</v>
      </c>
      <c r="G993" s="5" t="s">
        <v>2255</v>
      </c>
      <c r="H993" s="5" t="s">
        <v>2260</v>
      </c>
      <c r="I993" s="5" t="s">
        <v>2260</v>
      </c>
      <c r="J993" s="5" t="s">
        <v>2266</v>
      </c>
      <c r="K993" s="8">
        <v>3</v>
      </c>
      <c r="L993" s="9">
        <v>185</v>
      </c>
      <c r="M993" s="10">
        <v>0.05</v>
      </c>
      <c r="N993" s="9">
        <f t="shared" si="190"/>
        <v>555</v>
      </c>
      <c r="O993" s="9">
        <f t="shared" si="180"/>
        <v>527.25</v>
      </c>
      <c r="P993" s="5" t="s">
        <v>2267</v>
      </c>
      <c r="Q993" s="5" t="s">
        <v>1761</v>
      </c>
      <c r="R993" s="5" t="s">
        <v>2277</v>
      </c>
      <c r="S993" s="5" t="s">
        <v>2282</v>
      </c>
      <c r="T993" s="5" t="s">
        <v>2290</v>
      </c>
      <c r="U993" s="8">
        <v>1</v>
      </c>
      <c r="V993" s="8">
        <v>433</v>
      </c>
      <c r="W993" s="19">
        <v>36</v>
      </c>
      <c r="X993" s="9">
        <v>80.97</v>
      </c>
      <c r="Y993" s="9">
        <f t="shared" si="181"/>
        <v>284.34000000000003</v>
      </c>
      <c r="Z993" s="5" t="s">
        <v>1761</v>
      </c>
      <c r="AA993" s="5" t="s">
        <v>1761</v>
      </c>
      <c r="AB993" s="9">
        <f t="shared" si="182"/>
        <v>555</v>
      </c>
      <c r="AC993" s="9">
        <f t="shared" si="183"/>
        <v>27.75</v>
      </c>
      <c r="AD993" s="9">
        <f t="shared" si="184"/>
        <v>527.25</v>
      </c>
      <c r="AE993" s="9">
        <f t="shared" si="185"/>
        <v>242.91</v>
      </c>
      <c r="AF993" s="9">
        <f t="shared" si="191"/>
        <v>284.34000000000003</v>
      </c>
      <c r="AG993" s="8">
        <f t="shared" si="186"/>
        <v>2024</v>
      </c>
      <c r="AH993" s="8">
        <f t="shared" si="187"/>
        <v>8</v>
      </c>
      <c r="AI993" s="5" t="str">
        <f t="shared" si="188"/>
        <v>Aug</v>
      </c>
      <c r="AJ993" s="5" t="str">
        <f t="shared" si="189"/>
        <v>Saturday</v>
      </c>
    </row>
    <row r="994" spans="1:36" x14ac:dyDescent="0.3">
      <c r="A994" s="5" t="s">
        <v>1028</v>
      </c>
      <c r="B994" s="6">
        <v>45361</v>
      </c>
      <c r="C994" s="7">
        <v>0.4236111111111111</v>
      </c>
      <c r="D994" s="5" t="s">
        <v>1916</v>
      </c>
      <c r="E994" s="5" t="s">
        <v>1969</v>
      </c>
      <c r="F994" s="5" t="s">
        <v>1761</v>
      </c>
      <c r="G994" s="5" t="s">
        <v>2241</v>
      </c>
      <c r="H994" s="5" t="s">
        <v>2257</v>
      </c>
      <c r="I994" s="5" t="s">
        <v>2262</v>
      </c>
      <c r="J994" s="5" t="s">
        <v>2264</v>
      </c>
      <c r="K994" s="8">
        <v>2</v>
      </c>
      <c r="L994" s="9">
        <v>125</v>
      </c>
      <c r="M994" s="10">
        <v>0</v>
      </c>
      <c r="N994" s="9">
        <f t="shared" si="190"/>
        <v>250</v>
      </c>
      <c r="O994" s="9">
        <f t="shared" si="180"/>
        <v>250</v>
      </c>
      <c r="P994" s="5" t="s">
        <v>1761</v>
      </c>
      <c r="Q994" s="5" t="s">
        <v>2272</v>
      </c>
      <c r="R994" s="5" t="s">
        <v>2277</v>
      </c>
      <c r="S994" s="5" t="s">
        <v>2282</v>
      </c>
      <c r="T994" s="5" t="s">
        <v>2288</v>
      </c>
      <c r="U994" s="19">
        <v>3</v>
      </c>
      <c r="V994" s="8">
        <v>365</v>
      </c>
      <c r="W994" s="8">
        <v>15</v>
      </c>
      <c r="X994" s="9">
        <v>62.45</v>
      </c>
      <c r="Y994" s="9">
        <f t="shared" si="181"/>
        <v>125.1</v>
      </c>
      <c r="Z994" s="5" t="s">
        <v>2292</v>
      </c>
      <c r="AA994" s="5" t="s">
        <v>2296</v>
      </c>
      <c r="AB994" s="9">
        <f t="shared" si="182"/>
        <v>250</v>
      </c>
      <c r="AC994" s="9">
        <f t="shared" si="183"/>
        <v>0</v>
      </c>
      <c r="AD994" s="9">
        <f t="shared" si="184"/>
        <v>250</v>
      </c>
      <c r="AE994" s="9">
        <f t="shared" si="185"/>
        <v>124.9</v>
      </c>
      <c r="AF994" s="9">
        <f t="shared" si="191"/>
        <v>125.1</v>
      </c>
      <c r="AG994" s="8">
        <f t="shared" si="186"/>
        <v>2024</v>
      </c>
      <c r="AH994" s="8">
        <f t="shared" si="187"/>
        <v>3</v>
      </c>
      <c r="AI994" s="5" t="str">
        <f t="shared" si="188"/>
        <v>Mar</v>
      </c>
      <c r="AJ994" s="5" t="str">
        <f t="shared" si="189"/>
        <v>Sunday</v>
      </c>
    </row>
    <row r="995" spans="1:36" x14ac:dyDescent="0.3">
      <c r="A995" s="5" t="s">
        <v>1029</v>
      </c>
      <c r="B995" s="6">
        <v>45412</v>
      </c>
      <c r="C995" s="7">
        <v>0.90625</v>
      </c>
      <c r="D995" s="5" t="s">
        <v>1812</v>
      </c>
      <c r="E995" s="5" t="s">
        <v>2204</v>
      </c>
      <c r="F995" s="5" t="s">
        <v>2239</v>
      </c>
      <c r="G995" s="5" t="s">
        <v>2253</v>
      </c>
      <c r="H995" s="5" t="s">
        <v>2258</v>
      </c>
      <c r="I995" s="5" t="s">
        <v>2260</v>
      </c>
      <c r="J995" s="5" t="s">
        <v>1761</v>
      </c>
      <c r="K995" s="8">
        <v>1</v>
      </c>
      <c r="L995" s="9">
        <v>90</v>
      </c>
      <c r="M995" s="10">
        <v>0.1</v>
      </c>
      <c r="N995" s="9">
        <f t="shared" si="190"/>
        <v>90</v>
      </c>
      <c r="O995" s="9">
        <f t="shared" si="180"/>
        <v>81</v>
      </c>
      <c r="P995" s="5" t="s">
        <v>2267</v>
      </c>
      <c r="Q995" s="5" t="s">
        <v>2270</v>
      </c>
      <c r="R995" s="5" t="s">
        <v>2273</v>
      </c>
      <c r="S995" s="5" t="s">
        <v>2284</v>
      </c>
      <c r="T995" s="5" t="s">
        <v>2288</v>
      </c>
      <c r="U995" s="8">
        <v>5</v>
      </c>
      <c r="V995" s="8">
        <v>5</v>
      </c>
      <c r="W995" s="19">
        <v>34</v>
      </c>
      <c r="X995" s="9">
        <v>32.590000000000003</v>
      </c>
      <c r="Y995" s="9">
        <f t="shared" si="181"/>
        <v>48.41</v>
      </c>
      <c r="Z995" s="5" t="s">
        <v>1761</v>
      </c>
      <c r="AA995" s="5" t="s">
        <v>1761</v>
      </c>
      <c r="AB995" s="9">
        <f t="shared" si="182"/>
        <v>90</v>
      </c>
      <c r="AC995" s="9">
        <f t="shared" si="183"/>
        <v>9</v>
      </c>
      <c r="AD995" s="9">
        <f t="shared" si="184"/>
        <v>81</v>
      </c>
      <c r="AE995" s="9">
        <f t="shared" si="185"/>
        <v>32.590000000000003</v>
      </c>
      <c r="AF995" s="9">
        <f t="shared" si="191"/>
        <v>48.41</v>
      </c>
      <c r="AG995" s="8">
        <f t="shared" si="186"/>
        <v>2024</v>
      </c>
      <c r="AH995" s="8">
        <f t="shared" si="187"/>
        <v>4</v>
      </c>
      <c r="AI995" s="5" t="str">
        <f t="shared" si="188"/>
        <v>Apr</v>
      </c>
      <c r="AJ995" s="5" t="str">
        <f t="shared" si="189"/>
        <v>Tuesday</v>
      </c>
    </row>
    <row r="996" spans="1:36" x14ac:dyDescent="0.3">
      <c r="A996" s="5" t="s">
        <v>1030</v>
      </c>
      <c r="B996" s="6">
        <v>45326</v>
      </c>
      <c r="C996" s="7">
        <v>0.34375</v>
      </c>
      <c r="D996" s="5" t="s">
        <v>1829</v>
      </c>
      <c r="E996" s="5" t="s">
        <v>2031</v>
      </c>
      <c r="F996" s="5" t="s">
        <v>1761</v>
      </c>
      <c r="G996" s="5" t="s">
        <v>2253</v>
      </c>
      <c r="H996" s="5" t="s">
        <v>2258</v>
      </c>
      <c r="I996" s="5" t="s">
        <v>2260</v>
      </c>
      <c r="J996" s="5" t="s">
        <v>2265</v>
      </c>
      <c r="K996" s="8">
        <v>1</v>
      </c>
      <c r="L996" s="9">
        <v>95</v>
      </c>
      <c r="M996" s="10">
        <v>0.1</v>
      </c>
      <c r="N996" s="9">
        <f t="shared" si="190"/>
        <v>95</v>
      </c>
      <c r="O996" s="9">
        <f t="shared" si="180"/>
        <v>85.5</v>
      </c>
      <c r="P996" s="5" t="s">
        <v>2268</v>
      </c>
      <c r="Q996" s="5" t="s">
        <v>2272</v>
      </c>
      <c r="R996" s="5" t="s">
        <v>2277</v>
      </c>
      <c r="S996" s="5" t="s">
        <v>2285</v>
      </c>
      <c r="T996" s="5" t="s">
        <v>2290</v>
      </c>
      <c r="U996" s="8">
        <v>3</v>
      </c>
      <c r="V996" s="8">
        <v>77</v>
      </c>
      <c r="W996" s="19">
        <v>35</v>
      </c>
      <c r="X996" s="9">
        <v>43.19</v>
      </c>
      <c r="Y996" s="9">
        <f t="shared" si="181"/>
        <v>42.31</v>
      </c>
      <c r="Z996" s="5" t="s">
        <v>2291</v>
      </c>
      <c r="AA996" s="5" t="s">
        <v>2298</v>
      </c>
      <c r="AB996" s="9">
        <f t="shared" si="182"/>
        <v>95</v>
      </c>
      <c r="AC996" s="9">
        <f t="shared" si="183"/>
        <v>9.5</v>
      </c>
      <c r="AD996" s="9">
        <f t="shared" si="184"/>
        <v>85.5</v>
      </c>
      <c r="AE996" s="9">
        <f t="shared" si="185"/>
        <v>43.19</v>
      </c>
      <c r="AF996" s="9">
        <f t="shared" si="191"/>
        <v>42.31</v>
      </c>
      <c r="AG996" s="8">
        <f t="shared" si="186"/>
        <v>2024</v>
      </c>
      <c r="AH996" s="8">
        <f t="shared" si="187"/>
        <v>2</v>
      </c>
      <c r="AI996" s="5" t="str">
        <f t="shared" si="188"/>
        <v>Feb</v>
      </c>
      <c r="AJ996" s="5" t="str">
        <f t="shared" si="189"/>
        <v>Sunday</v>
      </c>
    </row>
    <row r="997" spans="1:36" x14ac:dyDescent="0.3">
      <c r="A997" s="5" t="s">
        <v>1031</v>
      </c>
      <c r="B997" s="6">
        <v>45549</v>
      </c>
      <c r="C997" s="7">
        <v>0.63888888888888884</v>
      </c>
      <c r="D997" s="5" t="s">
        <v>1766</v>
      </c>
      <c r="E997" s="5" t="s">
        <v>2083</v>
      </c>
      <c r="F997" s="5" t="s">
        <v>1761</v>
      </c>
      <c r="G997" s="5" t="s">
        <v>2245</v>
      </c>
      <c r="H997" s="5" t="s">
        <v>2257</v>
      </c>
      <c r="I997" s="5" t="s">
        <v>2263</v>
      </c>
      <c r="J997" s="5" t="s">
        <v>2266</v>
      </c>
      <c r="K997" s="8">
        <v>1</v>
      </c>
      <c r="L997" s="9">
        <v>145</v>
      </c>
      <c r="M997" s="10">
        <v>0</v>
      </c>
      <c r="N997" s="9">
        <f t="shared" si="190"/>
        <v>145</v>
      </c>
      <c r="O997" s="9">
        <f t="shared" si="180"/>
        <v>145</v>
      </c>
      <c r="P997" s="5" t="s">
        <v>2267</v>
      </c>
      <c r="Q997" s="5" t="s">
        <v>1761</v>
      </c>
      <c r="R997" s="5" t="s">
        <v>2278</v>
      </c>
      <c r="S997" s="5" t="s">
        <v>2287</v>
      </c>
      <c r="T997" s="5" t="s">
        <v>2290</v>
      </c>
      <c r="U997" s="8">
        <v>5</v>
      </c>
      <c r="V997" s="8">
        <v>106</v>
      </c>
      <c r="W997" s="8">
        <v>42</v>
      </c>
      <c r="X997" s="9">
        <v>70.989999999999995</v>
      </c>
      <c r="Y997" s="9">
        <f t="shared" si="181"/>
        <v>74.010000000000005</v>
      </c>
      <c r="Z997" s="5" t="s">
        <v>2293</v>
      </c>
      <c r="AA997" s="5" t="s">
        <v>1761</v>
      </c>
      <c r="AB997" s="9">
        <f t="shared" si="182"/>
        <v>145</v>
      </c>
      <c r="AC997" s="9">
        <f t="shared" si="183"/>
        <v>0</v>
      </c>
      <c r="AD997" s="9">
        <f t="shared" si="184"/>
        <v>145</v>
      </c>
      <c r="AE997" s="9">
        <f t="shared" si="185"/>
        <v>70.989999999999995</v>
      </c>
      <c r="AF997" s="9">
        <f t="shared" si="191"/>
        <v>74.010000000000005</v>
      </c>
      <c r="AG997" s="8">
        <f t="shared" si="186"/>
        <v>2024</v>
      </c>
      <c r="AH997" s="8">
        <f t="shared" si="187"/>
        <v>9</v>
      </c>
      <c r="AI997" s="5" t="str">
        <f t="shared" si="188"/>
        <v>Sep</v>
      </c>
      <c r="AJ997" s="5" t="str">
        <f t="shared" si="189"/>
        <v>Saturday</v>
      </c>
    </row>
    <row r="998" spans="1:36" x14ac:dyDescent="0.3">
      <c r="A998" s="5" t="s">
        <v>1032</v>
      </c>
      <c r="B998" s="6">
        <v>45537</v>
      </c>
      <c r="C998" s="7">
        <v>0.41666666666666669</v>
      </c>
      <c r="D998" s="5" t="s">
        <v>1768</v>
      </c>
      <c r="E998" s="5" t="s">
        <v>2042</v>
      </c>
      <c r="F998" s="5" t="s">
        <v>2239</v>
      </c>
      <c r="G998" s="5" t="s">
        <v>2252</v>
      </c>
      <c r="H998" s="5" t="s">
        <v>2257</v>
      </c>
      <c r="I998" s="5" t="s">
        <v>2262</v>
      </c>
      <c r="J998" s="5" t="s">
        <v>1761</v>
      </c>
      <c r="K998" s="19">
        <v>1</v>
      </c>
      <c r="L998" s="9">
        <v>100</v>
      </c>
      <c r="M998" s="10">
        <v>0.15</v>
      </c>
      <c r="N998" s="9">
        <f t="shared" si="190"/>
        <v>100</v>
      </c>
      <c r="O998" s="9">
        <f t="shared" si="180"/>
        <v>85</v>
      </c>
      <c r="P998" s="5" t="s">
        <v>2269</v>
      </c>
      <c r="Q998" s="5" t="s">
        <v>2272</v>
      </c>
      <c r="R998" s="5" t="s">
        <v>2277</v>
      </c>
      <c r="S998" s="5" t="s">
        <v>2284</v>
      </c>
      <c r="T998" s="5" t="s">
        <v>2289</v>
      </c>
      <c r="U998" s="8">
        <v>2</v>
      </c>
      <c r="V998" s="8">
        <v>131</v>
      </c>
      <c r="W998" s="19">
        <v>35</v>
      </c>
      <c r="X998" s="9">
        <v>39.03</v>
      </c>
      <c r="Y998" s="9">
        <f t="shared" si="181"/>
        <v>45.97</v>
      </c>
      <c r="Z998" s="5" t="s">
        <v>2293</v>
      </c>
      <c r="AA998" s="5" t="s">
        <v>2296</v>
      </c>
      <c r="AB998" s="9">
        <f t="shared" si="182"/>
        <v>100</v>
      </c>
      <c r="AC998" s="9">
        <f t="shared" si="183"/>
        <v>15</v>
      </c>
      <c r="AD998" s="9">
        <f t="shared" si="184"/>
        <v>85</v>
      </c>
      <c r="AE998" s="9">
        <f t="shared" si="185"/>
        <v>39.03</v>
      </c>
      <c r="AF998" s="9">
        <f t="shared" si="191"/>
        <v>45.97</v>
      </c>
      <c r="AG998" s="8">
        <f t="shared" si="186"/>
        <v>2024</v>
      </c>
      <c r="AH998" s="8">
        <f t="shared" si="187"/>
        <v>9</v>
      </c>
      <c r="AI998" s="5" t="str">
        <f t="shared" si="188"/>
        <v>Sep</v>
      </c>
      <c r="AJ998" s="5" t="str">
        <f t="shared" si="189"/>
        <v>Monday</v>
      </c>
    </row>
    <row r="999" spans="1:36" x14ac:dyDescent="0.3">
      <c r="A999" s="5" t="s">
        <v>1033</v>
      </c>
      <c r="B999" s="6">
        <v>45413</v>
      </c>
      <c r="C999" s="7">
        <v>0.67708333333333337</v>
      </c>
      <c r="D999" s="5" t="s">
        <v>1873</v>
      </c>
      <c r="E999" s="5" t="s">
        <v>2131</v>
      </c>
      <c r="F999" s="5" t="s">
        <v>1761</v>
      </c>
      <c r="G999" s="5" t="s">
        <v>2242</v>
      </c>
      <c r="H999" s="5" t="s">
        <v>2258</v>
      </c>
      <c r="I999" s="5" t="s">
        <v>2260</v>
      </c>
      <c r="J999" s="5" t="s">
        <v>2264</v>
      </c>
      <c r="K999" s="8">
        <v>1</v>
      </c>
      <c r="L999" s="9">
        <v>120</v>
      </c>
      <c r="M999" s="10">
        <v>0.1</v>
      </c>
      <c r="N999" s="9">
        <f t="shared" si="190"/>
        <v>120</v>
      </c>
      <c r="O999" s="9">
        <f t="shared" si="180"/>
        <v>108</v>
      </c>
      <c r="P999" s="5" t="s">
        <v>2268</v>
      </c>
      <c r="Q999" s="5" t="s">
        <v>2270</v>
      </c>
      <c r="R999" s="5" t="s">
        <v>2275</v>
      </c>
      <c r="S999" s="5" t="s">
        <v>2282</v>
      </c>
      <c r="T999" s="5" t="s">
        <v>2288</v>
      </c>
      <c r="U999" s="8">
        <v>5</v>
      </c>
      <c r="V999" s="8">
        <v>465</v>
      </c>
      <c r="W999" s="8">
        <v>60</v>
      </c>
      <c r="X999" s="9">
        <v>42.82</v>
      </c>
      <c r="Y999" s="9">
        <f t="shared" si="181"/>
        <v>65.180000000000007</v>
      </c>
      <c r="Z999" s="5" t="s">
        <v>2292</v>
      </c>
      <c r="AA999" s="5" t="s">
        <v>2297</v>
      </c>
      <c r="AB999" s="9">
        <f t="shared" si="182"/>
        <v>120</v>
      </c>
      <c r="AC999" s="9">
        <f t="shared" si="183"/>
        <v>12</v>
      </c>
      <c r="AD999" s="9">
        <f t="shared" si="184"/>
        <v>108</v>
      </c>
      <c r="AE999" s="9">
        <f t="shared" si="185"/>
        <v>42.82</v>
      </c>
      <c r="AF999" s="9">
        <f t="shared" si="191"/>
        <v>65.180000000000007</v>
      </c>
      <c r="AG999" s="8">
        <f t="shared" si="186"/>
        <v>2024</v>
      </c>
      <c r="AH999" s="8">
        <f t="shared" si="187"/>
        <v>5</v>
      </c>
      <c r="AI999" s="5" t="str">
        <f t="shared" si="188"/>
        <v>May</v>
      </c>
      <c r="AJ999" s="5" t="str">
        <f t="shared" si="189"/>
        <v>Wednesday</v>
      </c>
    </row>
    <row r="1000" spans="1:36" x14ac:dyDescent="0.3">
      <c r="A1000" s="5" t="s">
        <v>1034</v>
      </c>
      <c r="B1000" s="6">
        <v>45307</v>
      </c>
      <c r="C1000" s="7">
        <v>0.77083333333333337</v>
      </c>
      <c r="D1000" s="5" t="s">
        <v>1790</v>
      </c>
      <c r="E1000" s="5" t="s">
        <v>2230</v>
      </c>
      <c r="F1000" s="5" t="s">
        <v>2239</v>
      </c>
      <c r="G1000" s="5" t="s">
        <v>2251</v>
      </c>
      <c r="H1000" s="5" t="s">
        <v>2258</v>
      </c>
      <c r="I1000" s="5" t="s">
        <v>2260</v>
      </c>
      <c r="J1000" s="5" t="s">
        <v>2265</v>
      </c>
      <c r="K1000" s="8">
        <v>1</v>
      </c>
      <c r="L1000" s="9">
        <v>95</v>
      </c>
      <c r="M1000" s="10">
        <v>0.1</v>
      </c>
      <c r="N1000" s="9">
        <f t="shared" si="190"/>
        <v>95</v>
      </c>
      <c r="O1000" s="9">
        <f t="shared" si="180"/>
        <v>85.5</v>
      </c>
      <c r="P1000" s="5" t="s">
        <v>2267</v>
      </c>
      <c r="Q1000" s="5" t="s">
        <v>2270</v>
      </c>
      <c r="R1000" s="5" t="s">
        <v>2277</v>
      </c>
      <c r="S1000" s="5" t="s">
        <v>2285</v>
      </c>
      <c r="T1000" s="5" t="s">
        <v>2288</v>
      </c>
      <c r="U1000" s="8">
        <v>5</v>
      </c>
      <c r="V1000" s="8">
        <v>58</v>
      </c>
      <c r="W1000" s="8">
        <v>15</v>
      </c>
      <c r="X1000" s="9">
        <v>39.68</v>
      </c>
      <c r="Y1000" s="9">
        <f t="shared" si="181"/>
        <v>45.82</v>
      </c>
      <c r="Z1000" s="5" t="s">
        <v>1761</v>
      </c>
      <c r="AA1000" s="5" t="s">
        <v>2299</v>
      </c>
      <c r="AB1000" s="9">
        <f t="shared" si="182"/>
        <v>95</v>
      </c>
      <c r="AC1000" s="9">
        <f t="shared" si="183"/>
        <v>9.5</v>
      </c>
      <c r="AD1000" s="9">
        <f t="shared" si="184"/>
        <v>85.5</v>
      </c>
      <c r="AE1000" s="9">
        <f t="shared" si="185"/>
        <v>39.68</v>
      </c>
      <c r="AF1000" s="9">
        <f t="shared" si="191"/>
        <v>45.82</v>
      </c>
      <c r="AG1000" s="8">
        <f t="shared" si="186"/>
        <v>2024</v>
      </c>
      <c r="AH1000" s="8">
        <f t="shared" si="187"/>
        <v>1</v>
      </c>
      <c r="AI1000" s="5" t="str">
        <f t="shared" si="188"/>
        <v>Jan</v>
      </c>
      <c r="AJ1000" s="5" t="str">
        <f t="shared" si="189"/>
        <v>Tuesday</v>
      </c>
    </row>
    <row r="1001" spans="1:36" x14ac:dyDescent="0.3">
      <c r="A1001" s="5" t="s">
        <v>1035</v>
      </c>
      <c r="B1001" s="6">
        <v>45426</v>
      </c>
      <c r="C1001" s="7">
        <v>0.33333333333333331</v>
      </c>
      <c r="D1001" s="5" t="s">
        <v>1895</v>
      </c>
      <c r="E1001" s="5" t="s">
        <v>1989</v>
      </c>
      <c r="F1001" s="5" t="s">
        <v>2239</v>
      </c>
      <c r="G1001" s="5" t="s">
        <v>2253</v>
      </c>
      <c r="H1001" s="5" t="s">
        <v>2258</v>
      </c>
      <c r="I1001" s="5" t="s">
        <v>2260</v>
      </c>
      <c r="J1001" s="5" t="s">
        <v>2264</v>
      </c>
      <c r="K1001" s="8">
        <v>1</v>
      </c>
      <c r="L1001" s="9">
        <v>90</v>
      </c>
      <c r="M1001" s="10">
        <v>0.1</v>
      </c>
      <c r="N1001" s="9">
        <f t="shared" si="190"/>
        <v>90</v>
      </c>
      <c r="O1001" s="9">
        <f t="shared" si="180"/>
        <v>81</v>
      </c>
      <c r="P1001" s="5" t="s">
        <v>2268</v>
      </c>
      <c r="Q1001" s="5" t="s">
        <v>2270</v>
      </c>
      <c r="R1001" s="5" t="s">
        <v>2275</v>
      </c>
      <c r="S1001" s="5" t="s">
        <v>2280</v>
      </c>
      <c r="T1001" s="5" t="s">
        <v>2289</v>
      </c>
      <c r="U1001" s="8">
        <v>3</v>
      </c>
      <c r="V1001" s="19">
        <v>244</v>
      </c>
      <c r="W1001" s="8">
        <v>11</v>
      </c>
      <c r="X1001" s="9">
        <v>40.78</v>
      </c>
      <c r="Y1001" s="9">
        <f t="shared" si="181"/>
        <v>40.22</v>
      </c>
      <c r="Z1001" s="5" t="s">
        <v>2293</v>
      </c>
      <c r="AA1001" s="5" t="s">
        <v>2296</v>
      </c>
      <c r="AB1001" s="9">
        <f t="shared" si="182"/>
        <v>90</v>
      </c>
      <c r="AC1001" s="9">
        <f t="shared" si="183"/>
        <v>9</v>
      </c>
      <c r="AD1001" s="9">
        <f t="shared" si="184"/>
        <v>81</v>
      </c>
      <c r="AE1001" s="9">
        <f t="shared" si="185"/>
        <v>40.78</v>
      </c>
      <c r="AF1001" s="9">
        <f t="shared" si="191"/>
        <v>40.22</v>
      </c>
      <c r="AG1001" s="8">
        <f t="shared" si="186"/>
        <v>2024</v>
      </c>
      <c r="AH1001" s="8">
        <f t="shared" si="187"/>
        <v>5</v>
      </c>
      <c r="AI1001" s="5" t="str">
        <f t="shared" si="188"/>
        <v>May</v>
      </c>
      <c r="AJ1001" s="5" t="str">
        <f t="shared" si="189"/>
        <v>Tuesday</v>
      </c>
    </row>
    <row r="1002" spans="1:36" x14ac:dyDescent="0.3">
      <c r="A1002" s="5" t="s">
        <v>1036</v>
      </c>
      <c r="B1002" s="6">
        <v>45367</v>
      </c>
      <c r="C1002" s="7">
        <v>0.875</v>
      </c>
      <c r="D1002" s="5" t="s">
        <v>1840</v>
      </c>
      <c r="E1002" s="5" t="s">
        <v>1990</v>
      </c>
      <c r="F1002" s="5" t="s">
        <v>2239</v>
      </c>
      <c r="G1002" s="5" t="s">
        <v>2250</v>
      </c>
      <c r="H1002" s="5" t="s">
        <v>2259</v>
      </c>
      <c r="I1002" s="5" t="s">
        <v>2262</v>
      </c>
      <c r="J1002" s="5" t="s">
        <v>2266</v>
      </c>
      <c r="K1002" s="8">
        <v>2</v>
      </c>
      <c r="L1002" s="9">
        <v>80</v>
      </c>
      <c r="M1002" s="10">
        <v>0</v>
      </c>
      <c r="N1002" s="9">
        <f t="shared" si="190"/>
        <v>160</v>
      </c>
      <c r="O1002" s="9">
        <f t="shared" si="180"/>
        <v>160</v>
      </c>
      <c r="P1002" s="5" t="s">
        <v>2267</v>
      </c>
      <c r="Q1002" s="5" t="s">
        <v>2271</v>
      </c>
      <c r="R1002" s="5" t="s">
        <v>2279</v>
      </c>
      <c r="S1002" s="5" t="s">
        <v>2283</v>
      </c>
      <c r="T1002" s="5" t="s">
        <v>2288</v>
      </c>
      <c r="U1002" s="8">
        <v>1</v>
      </c>
      <c r="V1002" s="8">
        <v>492</v>
      </c>
      <c r="W1002" s="8">
        <v>25</v>
      </c>
      <c r="X1002" s="9">
        <v>41.85</v>
      </c>
      <c r="Y1002" s="9">
        <f t="shared" si="181"/>
        <v>76.3</v>
      </c>
      <c r="Z1002" s="5" t="s">
        <v>2294</v>
      </c>
      <c r="AA1002" s="5" t="s">
        <v>2298</v>
      </c>
      <c r="AB1002" s="9">
        <f t="shared" si="182"/>
        <v>160</v>
      </c>
      <c r="AC1002" s="9">
        <f t="shared" si="183"/>
        <v>0</v>
      </c>
      <c r="AD1002" s="9">
        <f t="shared" si="184"/>
        <v>160</v>
      </c>
      <c r="AE1002" s="9">
        <f t="shared" si="185"/>
        <v>83.7</v>
      </c>
      <c r="AF1002" s="9">
        <f t="shared" si="191"/>
        <v>76.3</v>
      </c>
      <c r="AG1002" s="8">
        <f t="shared" si="186"/>
        <v>2024</v>
      </c>
      <c r="AH1002" s="8">
        <f t="shared" si="187"/>
        <v>3</v>
      </c>
      <c r="AI1002" s="5" t="str">
        <f t="shared" si="188"/>
        <v>Mar</v>
      </c>
      <c r="AJ1002" s="5" t="str">
        <f t="shared" si="189"/>
        <v>Saturday</v>
      </c>
    </row>
    <row r="1003" spans="1:36" x14ac:dyDescent="0.3">
      <c r="A1003" s="5" t="s">
        <v>1037</v>
      </c>
      <c r="B1003" s="6">
        <v>45528</v>
      </c>
      <c r="C1003" s="7">
        <v>0.875</v>
      </c>
      <c r="D1003" s="5" t="s">
        <v>1786</v>
      </c>
      <c r="E1003" s="5" t="s">
        <v>2163</v>
      </c>
      <c r="F1003" s="5" t="s">
        <v>2240</v>
      </c>
      <c r="G1003" s="5" t="s">
        <v>2248</v>
      </c>
      <c r="H1003" s="5" t="s">
        <v>2257</v>
      </c>
      <c r="I1003" s="5" t="s">
        <v>2262</v>
      </c>
      <c r="J1003" s="5" t="s">
        <v>2266</v>
      </c>
      <c r="K1003" s="8">
        <v>3</v>
      </c>
      <c r="L1003" s="9">
        <v>140</v>
      </c>
      <c r="M1003" s="10">
        <v>0</v>
      </c>
      <c r="N1003" s="9">
        <f t="shared" si="190"/>
        <v>420</v>
      </c>
      <c r="O1003" s="9">
        <f t="shared" si="180"/>
        <v>420</v>
      </c>
      <c r="P1003" s="5" t="s">
        <v>2269</v>
      </c>
      <c r="Q1003" s="5" t="s">
        <v>2270</v>
      </c>
      <c r="R1003" s="5" t="s">
        <v>2278</v>
      </c>
      <c r="S1003" s="5" t="s">
        <v>2284</v>
      </c>
      <c r="T1003" s="5" t="s">
        <v>2290</v>
      </c>
      <c r="U1003" s="19">
        <v>3</v>
      </c>
      <c r="V1003" s="8">
        <v>438</v>
      </c>
      <c r="W1003" s="8">
        <v>22</v>
      </c>
      <c r="X1003" s="9">
        <v>74.88</v>
      </c>
      <c r="Y1003" s="9">
        <f t="shared" si="181"/>
        <v>195.36</v>
      </c>
      <c r="Z1003" s="5" t="s">
        <v>2294</v>
      </c>
      <c r="AA1003" s="5" t="s">
        <v>2299</v>
      </c>
      <c r="AB1003" s="9">
        <f t="shared" si="182"/>
        <v>420</v>
      </c>
      <c r="AC1003" s="9">
        <f t="shared" si="183"/>
        <v>0</v>
      </c>
      <c r="AD1003" s="9">
        <f t="shared" si="184"/>
        <v>420</v>
      </c>
      <c r="AE1003" s="9">
        <f t="shared" si="185"/>
        <v>224.64</v>
      </c>
      <c r="AF1003" s="9">
        <f t="shared" si="191"/>
        <v>195.36</v>
      </c>
      <c r="AG1003" s="8">
        <f t="shared" si="186"/>
        <v>2024</v>
      </c>
      <c r="AH1003" s="8">
        <f t="shared" si="187"/>
        <v>8</v>
      </c>
      <c r="AI1003" s="5" t="str">
        <f t="shared" si="188"/>
        <v>Aug</v>
      </c>
      <c r="AJ1003" s="5" t="str">
        <f t="shared" si="189"/>
        <v>Saturday</v>
      </c>
    </row>
    <row r="1004" spans="1:36" x14ac:dyDescent="0.3">
      <c r="A1004" s="5" t="s">
        <v>1038</v>
      </c>
      <c r="B1004" s="6">
        <v>45640</v>
      </c>
      <c r="C1004" s="7">
        <v>0.38194444444444442</v>
      </c>
      <c r="D1004" s="5" t="s">
        <v>1744</v>
      </c>
      <c r="E1004" s="5" t="s">
        <v>2212</v>
      </c>
      <c r="F1004" s="5" t="s">
        <v>1761</v>
      </c>
      <c r="G1004" s="5" t="s">
        <v>2254</v>
      </c>
      <c r="H1004" s="5" t="s">
        <v>2259</v>
      </c>
      <c r="I1004" s="5" t="s">
        <v>2263</v>
      </c>
      <c r="J1004" s="5" t="s">
        <v>2264</v>
      </c>
      <c r="K1004" s="8">
        <v>1</v>
      </c>
      <c r="L1004" s="9">
        <v>105</v>
      </c>
      <c r="M1004" s="10">
        <v>0.1</v>
      </c>
      <c r="N1004" s="9">
        <f t="shared" si="190"/>
        <v>105</v>
      </c>
      <c r="O1004" s="9">
        <f t="shared" si="180"/>
        <v>94.5</v>
      </c>
      <c r="P1004" s="5" t="s">
        <v>2269</v>
      </c>
      <c r="Q1004" s="5" t="s">
        <v>2272</v>
      </c>
      <c r="R1004" s="5" t="s">
        <v>2274</v>
      </c>
      <c r="S1004" s="5" t="s">
        <v>2285</v>
      </c>
      <c r="T1004" s="5" t="s">
        <v>2288</v>
      </c>
      <c r="U1004" s="8">
        <v>3</v>
      </c>
      <c r="V1004" s="8">
        <v>341</v>
      </c>
      <c r="W1004" s="8">
        <v>30</v>
      </c>
      <c r="X1004" s="9">
        <v>48.32</v>
      </c>
      <c r="Y1004" s="9">
        <f t="shared" si="181"/>
        <v>46.18</v>
      </c>
      <c r="Z1004" s="5" t="s">
        <v>2292</v>
      </c>
      <c r="AA1004" s="5" t="s">
        <v>2298</v>
      </c>
      <c r="AB1004" s="9">
        <f t="shared" si="182"/>
        <v>105</v>
      </c>
      <c r="AC1004" s="9">
        <f t="shared" si="183"/>
        <v>10.5</v>
      </c>
      <c r="AD1004" s="9">
        <f t="shared" si="184"/>
        <v>94.5</v>
      </c>
      <c r="AE1004" s="9">
        <f t="shared" si="185"/>
        <v>48.32</v>
      </c>
      <c r="AF1004" s="9">
        <f t="shared" si="191"/>
        <v>46.18</v>
      </c>
      <c r="AG1004" s="8">
        <f t="shared" si="186"/>
        <v>2024</v>
      </c>
      <c r="AH1004" s="8">
        <f t="shared" si="187"/>
        <v>12</v>
      </c>
      <c r="AI1004" s="5" t="str">
        <f t="shared" si="188"/>
        <v>Dec</v>
      </c>
      <c r="AJ1004" s="5" t="str">
        <f t="shared" si="189"/>
        <v>Saturday</v>
      </c>
    </row>
    <row r="1005" spans="1:36" x14ac:dyDescent="0.3">
      <c r="A1005" s="5" t="s">
        <v>1039</v>
      </c>
      <c r="B1005" s="6">
        <v>45409</v>
      </c>
      <c r="C1005" s="7">
        <v>0.76041666666666663</v>
      </c>
      <c r="D1005" s="5" t="s">
        <v>1934</v>
      </c>
      <c r="E1005" s="5" t="s">
        <v>2083</v>
      </c>
      <c r="F1005" s="5" t="s">
        <v>2240</v>
      </c>
      <c r="G1005" s="5" t="s">
        <v>2242</v>
      </c>
      <c r="H1005" s="5" t="s">
        <v>2258</v>
      </c>
      <c r="I1005" s="5" t="s">
        <v>2260</v>
      </c>
      <c r="J1005" s="5" t="s">
        <v>2265</v>
      </c>
      <c r="K1005" s="8">
        <v>2</v>
      </c>
      <c r="L1005" s="9">
        <v>120</v>
      </c>
      <c r="M1005" s="10">
        <v>0.05</v>
      </c>
      <c r="N1005" s="9">
        <f t="shared" si="190"/>
        <v>240</v>
      </c>
      <c r="O1005" s="9">
        <f t="shared" si="180"/>
        <v>228</v>
      </c>
      <c r="P1005" s="5" t="s">
        <v>2269</v>
      </c>
      <c r="Q1005" s="5" t="s">
        <v>2271</v>
      </c>
      <c r="R1005" s="5" t="s">
        <v>2279</v>
      </c>
      <c r="S1005" s="5" t="s">
        <v>2281</v>
      </c>
      <c r="T1005" s="5" t="s">
        <v>2288</v>
      </c>
      <c r="U1005" s="8">
        <v>1</v>
      </c>
      <c r="V1005" s="8">
        <v>193</v>
      </c>
      <c r="W1005" s="8">
        <v>11</v>
      </c>
      <c r="X1005" s="9">
        <v>60.57</v>
      </c>
      <c r="Y1005" s="9">
        <f t="shared" si="181"/>
        <v>106.86</v>
      </c>
      <c r="Z1005" s="5" t="s">
        <v>2293</v>
      </c>
      <c r="AA1005" s="5" t="s">
        <v>1761</v>
      </c>
      <c r="AB1005" s="9">
        <f t="shared" si="182"/>
        <v>240</v>
      </c>
      <c r="AC1005" s="9">
        <f t="shared" si="183"/>
        <v>12</v>
      </c>
      <c r="AD1005" s="9">
        <f t="shared" si="184"/>
        <v>228</v>
      </c>
      <c r="AE1005" s="9">
        <f t="shared" si="185"/>
        <v>121.14</v>
      </c>
      <c r="AF1005" s="9">
        <f t="shared" si="191"/>
        <v>106.86</v>
      </c>
      <c r="AG1005" s="8">
        <f t="shared" si="186"/>
        <v>2024</v>
      </c>
      <c r="AH1005" s="8">
        <f t="shared" si="187"/>
        <v>4</v>
      </c>
      <c r="AI1005" s="5" t="str">
        <f t="shared" si="188"/>
        <v>Apr</v>
      </c>
      <c r="AJ1005" s="5" t="str">
        <f t="shared" si="189"/>
        <v>Saturday</v>
      </c>
    </row>
    <row r="1006" spans="1:36" x14ac:dyDescent="0.3">
      <c r="A1006" s="5" t="s">
        <v>1040</v>
      </c>
      <c r="B1006" s="6">
        <v>45468</v>
      </c>
      <c r="C1006" s="7">
        <v>0.72916666666666663</v>
      </c>
      <c r="D1006" s="5" t="s">
        <v>1915</v>
      </c>
      <c r="E1006" s="5" t="s">
        <v>2049</v>
      </c>
      <c r="F1006" s="5" t="s">
        <v>2239</v>
      </c>
      <c r="G1006" s="5" t="s">
        <v>2242</v>
      </c>
      <c r="H1006" s="5" t="s">
        <v>2258</v>
      </c>
      <c r="I1006" s="5" t="s">
        <v>2260</v>
      </c>
      <c r="J1006" s="5" t="s">
        <v>2266</v>
      </c>
      <c r="K1006" s="8">
        <v>3</v>
      </c>
      <c r="L1006" s="9">
        <v>130</v>
      </c>
      <c r="M1006" s="10">
        <v>0</v>
      </c>
      <c r="N1006" s="9">
        <f t="shared" si="190"/>
        <v>390</v>
      </c>
      <c r="O1006" s="9">
        <f t="shared" si="180"/>
        <v>390</v>
      </c>
      <c r="P1006" s="5" t="s">
        <v>2268</v>
      </c>
      <c r="Q1006" s="5" t="s">
        <v>2270</v>
      </c>
      <c r="R1006" s="5" t="s">
        <v>2273</v>
      </c>
      <c r="S1006" s="5" t="s">
        <v>2281</v>
      </c>
      <c r="T1006" s="5" t="s">
        <v>2290</v>
      </c>
      <c r="U1006" s="8">
        <v>4</v>
      </c>
      <c r="V1006" s="8">
        <v>488</v>
      </c>
      <c r="W1006" s="19">
        <v>34</v>
      </c>
      <c r="X1006" s="9">
        <v>52.34</v>
      </c>
      <c r="Y1006" s="9">
        <f t="shared" si="181"/>
        <v>232.98</v>
      </c>
      <c r="Z1006" s="5" t="s">
        <v>2293</v>
      </c>
      <c r="AA1006" s="5" t="s">
        <v>2296</v>
      </c>
      <c r="AB1006" s="9">
        <f t="shared" si="182"/>
        <v>390</v>
      </c>
      <c r="AC1006" s="9">
        <f t="shared" si="183"/>
        <v>0</v>
      </c>
      <c r="AD1006" s="9">
        <f t="shared" si="184"/>
        <v>390</v>
      </c>
      <c r="AE1006" s="9">
        <f t="shared" si="185"/>
        <v>157.02000000000001</v>
      </c>
      <c r="AF1006" s="9">
        <f t="shared" si="191"/>
        <v>232.98</v>
      </c>
      <c r="AG1006" s="8">
        <f t="shared" si="186"/>
        <v>2024</v>
      </c>
      <c r="AH1006" s="8">
        <f t="shared" si="187"/>
        <v>6</v>
      </c>
      <c r="AI1006" s="5" t="str">
        <f t="shared" si="188"/>
        <v>Jun</v>
      </c>
      <c r="AJ1006" s="5" t="str">
        <f t="shared" si="189"/>
        <v>Tuesday</v>
      </c>
    </row>
    <row r="1007" spans="1:36" x14ac:dyDescent="0.3">
      <c r="A1007" s="5" t="s">
        <v>1041</v>
      </c>
      <c r="B1007" s="6">
        <v>45465</v>
      </c>
      <c r="C1007" s="7">
        <v>0.34722222222222221</v>
      </c>
      <c r="D1007" s="5" t="s">
        <v>1837</v>
      </c>
      <c r="E1007" s="5" t="s">
        <v>2106</v>
      </c>
      <c r="F1007" s="5" t="s">
        <v>2239</v>
      </c>
      <c r="G1007" s="5" t="s">
        <v>2245</v>
      </c>
      <c r="H1007" s="5" t="s">
        <v>2257</v>
      </c>
      <c r="I1007" s="5" t="s">
        <v>2263</v>
      </c>
      <c r="J1007" s="5" t="s">
        <v>2265</v>
      </c>
      <c r="K1007" s="8">
        <v>2</v>
      </c>
      <c r="L1007" s="9">
        <v>160</v>
      </c>
      <c r="M1007" s="10">
        <v>0.05</v>
      </c>
      <c r="N1007" s="9">
        <f t="shared" si="190"/>
        <v>320</v>
      </c>
      <c r="O1007" s="9">
        <f t="shared" si="180"/>
        <v>304</v>
      </c>
      <c r="P1007" s="5" t="s">
        <v>2268</v>
      </c>
      <c r="Q1007" s="5" t="s">
        <v>2272</v>
      </c>
      <c r="R1007" s="5" t="s">
        <v>2279</v>
      </c>
      <c r="S1007" s="5" t="s">
        <v>2280</v>
      </c>
      <c r="T1007" s="5" t="s">
        <v>2288</v>
      </c>
      <c r="U1007" s="8">
        <v>2</v>
      </c>
      <c r="V1007" s="8">
        <v>274</v>
      </c>
      <c r="W1007" s="19">
        <v>35</v>
      </c>
      <c r="X1007" s="9">
        <v>77.89</v>
      </c>
      <c r="Y1007" s="9">
        <f t="shared" si="181"/>
        <v>148.22</v>
      </c>
      <c r="Z1007" s="5" t="s">
        <v>2291</v>
      </c>
      <c r="AA1007" s="5" t="s">
        <v>2299</v>
      </c>
      <c r="AB1007" s="9">
        <f t="shared" si="182"/>
        <v>320</v>
      </c>
      <c r="AC1007" s="9">
        <f t="shared" si="183"/>
        <v>16</v>
      </c>
      <c r="AD1007" s="9">
        <f t="shared" si="184"/>
        <v>304</v>
      </c>
      <c r="AE1007" s="9">
        <f t="shared" si="185"/>
        <v>155.78</v>
      </c>
      <c r="AF1007" s="9">
        <f t="shared" si="191"/>
        <v>148.22</v>
      </c>
      <c r="AG1007" s="8">
        <f t="shared" si="186"/>
        <v>2024</v>
      </c>
      <c r="AH1007" s="8">
        <f t="shared" si="187"/>
        <v>6</v>
      </c>
      <c r="AI1007" s="5" t="str">
        <f t="shared" si="188"/>
        <v>Jun</v>
      </c>
      <c r="AJ1007" s="5" t="str">
        <f t="shared" si="189"/>
        <v>Saturday</v>
      </c>
    </row>
    <row r="1008" spans="1:36" x14ac:dyDescent="0.3">
      <c r="A1008" s="5" t="s">
        <v>1042</v>
      </c>
      <c r="B1008" s="6">
        <v>45571</v>
      </c>
      <c r="C1008" s="7">
        <v>0.46527777777777779</v>
      </c>
      <c r="D1008" s="5" t="s">
        <v>1933</v>
      </c>
      <c r="E1008" s="5" t="s">
        <v>2225</v>
      </c>
      <c r="F1008" s="5" t="s">
        <v>2240</v>
      </c>
      <c r="G1008" s="5" t="s">
        <v>2246</v>
      </c>
      <c r="H1008" s="5" t="s">
        <v>2259</v>
      </c>
      <c r="I1008" s="5" t="s">
        <v>2262</v>
      </c>
      <c r="J1008" s="5" t="s">
        <v>1761</v>
      </c>
      <c r="K1008" s="8">
        <v>1</v>
      </c>
      <c r="L1008" s="9">
        <v>95</v>
      </c>
      <c r="M1008" s="10">
        <v>0.05</v>
      </c>
      <c r="N1008" s="9">
        <f t="shared" si="190"/>
        <v>95</v>
      </c>
      <c r="O1008" s="9">
        <f t="shared" si="180"/>
        <v>90.25</v>
      </c>
      <c r="P1008" s="5" t="s">
        <v>2269</v>
      </c>
      <c r="Q1008" s="5" t="s">
        <v>2271</v>
      </c>
      <c r="R1008" s="5" t="s">
        <v>2275</v>
      </c>
      <c r="S1008" s="5" t="s">
        <v>2283</v>
      </c>
      <c r="T1008" s="5" t="s">
        <v>2289</v>
      </c>
      <c r="U1008" s="19">
        <v>3</v>
      </c>
      <c r="V1008" s="8">
        <v>64</v>
      </c>
      <c r="W1008" s="8">
        <v>25</v>
      </c>
      <c r="X1008" s="9">
        <v>44.59</v>
      </c>
      <c r="Y1008" s="9">
        <f t="shared" si="181"/>
        <v>45.66</v>
      </c>
      <c r="Z1008" s="5" t="s">
        <v>2293</v>
      </c>
      <c r="AA1008" s="5" t="s">
        <v>1761</v>
      </c>
      <c r="AB1008" s="9">
        <f t="shared" si="182"/>
        <v>95</v>
      </c>
      <c r="AC1008" s="9">
        <f t="shared" si="183"/>
        <v>4.75</v>
      </c>
      <c r="AD1008" s="9">
        <f t="shared" si="184"/>
        <v>90.25</v>
      </c>
      <c r="AE1008" s="9">
        <f t="shared" si="185"/>
        <v>44.59</v>
      </c>
      <c r="AF1008" s="9">
        <f t="shared" si="191"/>
        <v>45.66</v>
      </c>
      <c r="AG1008" s="8">
        <f t="shared" si="186"/>
        <v>2024</v>
      </c>
      <c r="AH1008" s="8">
        <f t="shared" si="187"/>
        <v>10</v>
      </c>
      <c r="AI1008" s="5" t="str">
        <f t="shared" si="188"/>
        <v>Oct</v>
      </c>
      <c r="AJ1008" s="5" t="str">
        <f t="shared" si="189"/>
        <v>Sunday</v>
      </c>
    </row>
    <row r="1009" spans="1:36" x14ac:dyDescent="0.3">
      <c r="A1009" s="5" t="s">
        <v>1043</v>
      </c>
      <c r="B1009" s="6">
        <v>45628</v>
      </c>
      <c r="C1009" s="7">
        <v>0.43055555555555558</v>
      </c>
      <c r="D1009" s="5" t="s">
        <v>1915</v>
      </c>
      <c r="E1009" s="5" t="s">
        <v>1947</v>
      </c>
      <c r="F1009" s="5" t="s">
        <v>2240</v>
      </c>
      <c r="G1009" s="5" t="s">
        <v>2241</v>
      </c>
      <c r="H1009" s="5" t="s">
        <v>2257</v>
      </c>
      <c r="I1009" s="5" t="s">
        <v>2262</v>
      </c>
      <c r="J1009" s="5" t="s">
        <v>2266</v>
      </c>
      <c r="K1009" s="8">
        <v>1</v>
      </c>
      <c r="L1009" s="9">
        <v>125</v>
      </c>
      <c r="M1009" s="10">
        <v>0.05</v>
      </c>
      <c r="N1009" s="9">
        <f t="shared" si="190"/>
        <v>125</v>
      </c>
      <c r="O1009" s="9">
        <f t="shared" si="180"/>
        <v>118.75</v>
      </c>
      <c r="P1009" s="5" t="s">
        <v>2267</v>
      </c>
      <c r="Q1009" s="5" t="s">
        <v>2272</v>
      </c>
      <c r="R1009" s="5" t="s">
        <v>2277</v>
      </c>
      <c r="S1009" s="5" t="s">
        <v>2285</v>
      </c>
      <c r="T1009" s="5" t="s">
        <v>2288</v>
      </c>
      <c r="U1009" s="19">
        <v>3</v>
      </c>
      <c r="V1009" s="8">
        <v>413</v>
      </c>
      <c r="W1009" s="8">
        <v>22</v>
      </c>
      <c r="X1009" s="9">
        <v>47.29</v>
      </c>
      <c r="Y1009" s="9">
        <f t="shared" si="181"/>
        <v>71.460000000000008</v>
      </c>
      <c r="Z1009" s="5" t="s">
        <v>2291</v>
      </c>
      <c r="AA1009" s="5" t="s">
        <v>2299</v>
      </c>
      <c r="AB1009" s="9">
        <f t="shared" si="182"/>
        <v>125</v>
      </c>
      <c r="AC1009" s="9">
        <f t="shared" si="183"/>
        <v>6.25</v>
      </c>
      <c r="AD1009" s="9">
        <f t="shared" si="184"/>
        <v>118.75</v>
      </c>
      <c r="AE1009" s="9">
        <f t="shared" si="185"/>
        <v>47.29</v>
      </c>
      <c r="AF1009" s="9">
        <f t="shared" si="191"/>
        <v>71.460000000000008</v>
      </c>
      <c r="AG1009" s="8">
        <f t="shared" si="186"/>
        <v>2024</v>
      </c>
      <c r="AH1009" s="8">
        <f t="shared" si="187"/>
        <v>12</v>
      </c>
      <c r="AI1009" s="5" t="str">
        <f t="shared" si="188"/>
        <v>Dec</v>
      </c>
      <c r="AJ1009" s="5" t="str">
        <f t="shared" si="189"/>
        <v>Monday</v>
      </c>
    </row>
    <row r="1010" spans="1:36" x14ac:dyDescent="0.3">
      <c r="A1010" s="5" t="s">
        <v>1044</v>
      </c>
      <c r="B1010" s="18">
        <v>45468</v>
      </c>
      <c r="C1010" s="7">
        <v>0.34027777777777779</v>
      </c>
      <c r="D1010" s="5" t="s">
        <v>1795</v>
      </c>
      <c r="E1010" s="5" t="s">
        <v>2140</v>
      </c>
      <c r="F1010" s="5" t="s">
        <v>2239</v>
      </c>
      <c r="G1010" s="5" t="s">
        <v>2250</v>
      </c>
      <c r="H1010" s="5" t="s">
        <v>2259</v>
      </c>
      <c r="I1010" s="5" t="s">
        <v>2262</v>
      </c>
      <c r="J1010" s="5" t="s">
        <v>2266</v>
      </c>
      <c r="K1010" s="8">
        <v>1</v>
      </c>
      <c r="L1010" s="9">
        <v>75</v>
      </c>
      <c r="M1010" s="10">
        <v>0</v>
      </c>
      <c r="N1010" s="9">
        <f t="shared" si="190"/>
        <v>75</v>
      </c>
      <c r="O1010" s="9">
        <f t="shared" si="180"/>
        <v>75</v>
      </c>
      <c r="P1010" s="5" t="s">
        <v>1761</v>
      </c>
      <c r="Q1010" s="5" t="s">
        <v>2272</v>
      </c>
      <c r="R1010" s="5" t="s">
        <v>2274</v>
      </c>
      <c r="S1010" s="5" t="s">
        <v>2282</v>
      </c>
      <c r="T1010" s="5" t="s">
        <v>2290</v>
      </c>
      <c r="U1010" s="8">
        <v>3</v>
      </c>
      <c r="V1010" s="8">
        <v>2</v>
      </c>
      <c r="W1010" s="8">
        <v>19</v>
      </c>
      <c r="X1010" s="9">
        <v>32.74</v>
      </c>
      <c r="Y1010" s="9">
        <f t="shared" si="181"/>
        <v>42.26</v>
      </c>
      <c r="Z1010" s="5" t="s">
        <v>2293</v>
      </c>
      <c r="AA1010" s="5" t="s">
        <v>2299</v>
      </c>
      <c r="AB1010" s="9">
        <f t="shared" si="182"/>
        <v>75</v>
      </c>
      <c r="AC1010" s="9">
        <f t="shared" si="183"/>
        <v>0</v>
      </c>
      <c r="AD1010" s="9">
        <f t="shared" si="184"/>
        <v>75</v>
      </c>
      <c r="AE1010" s="9">
        <f t="shared" si="185"/>
        <v>32.74</v>
      </c>
      <c r="AF1010" s="9">
        <f t="shared" si="191"/>
        <v>42.26</v>
      </c>
      <c r="AG1010" s="8">
        <f t="shared" si="186"/>
        <v>2024</v>
      </c>
      <c r="AH1010" s="8">
        <f t="shared" si="187"/>
        <v>6</v>
      </c>
      <c r="AI1010" s="5" t="str">
        <f t="shared" si="188"/>
        <v>Jun</v>
      </c>
      <c r="AJ1010" s="5" t="str">
        <f t="shared" si="189"/>
        <v>Tuesday</v>
      </c>
    </row>
    <row r="1011" spans="1:36" x14ac:dyDescent="0.3">
      <c r="A1011" s="5" t="s">
        <v>1045</v>
      </c>
      <c r="B1011" s="6">
        <v>45574</v>
      </c>
      <c r="C1011" s="7">
        <v>0.57291666666666663</v>
      </c>
      <c r="D1011" s="5" t="s">
        <v>1798</v>
      </c>
      <c r="E1011" s="5" t="s">
        <v>2197</v>
      </c>
      <c r="F1011" s="5" t="s">
        <v>2240</v>
      </c>
      <c r="G1011" s="5" t="s">
        <v>2248</v>
      </c>
      <c r="H1011" s="5" t="s">
        <v>2257</v>
      </c>
      <c r="I1011" s="5" t="s">
        <v>2262</v>
      </c>
      <c r="J1011" s="5" t="s">
        <v>1761</v>
      </c>
      <c r="K1011" s="8">
        <v>2</v>
      </c>
      <c r="L1011" s="9">
        <v>145</v>
      </c>
      <c r="M1011" s="10">
        <v>0</v>
      </c>
      <c r="N1011" s="9">
        <f t="shared" si="190"/>
        <v>290</v>
      </c>
      <c r="O1011" s="9">
        <f t="shared" si="180"/>
        <v>290</v>
      </c>
      <c r="P1011" s="5" t="s">
        <v>2269</v>
      </c>
      <c r="Q1011" s="5" t="s">
        <v>1761</v>
      </c>
      <c r="R1011" s="5" t="s">
        <v>2277</v>
      </c>
      <c r="S1011" s="5" t="s">
        <v>2280</v>
      </c>
      <c r="T1011" s="5" t="s">
        <v>2289</v>
      </c>
      <c r="U1011" s="8">
        <v>5</v>
      </c>
      <c r="V1011" s="8">
        <v>291</v>
      </c>
      <c r="W1011" s="8">
        <v>38</v>
      </c>
      <c r="X1011" s="9">
        <v>61.78</v>
      </c>
      <c r="Y1011" s="9">
        <f t="shared" si="181"/>
        <v>166.44</v>
      </c>
      <c r="Z1011" s="5" t="s">
        <v>2293</v>
      </c>
      <c r="AA1011" s="5" t="s">
        <v>1761</v>
      </c>
      <c r="AB1011" s="9">
        <f t="shared" si="182"/>
        <v>290</v>
      </c>
      <c r="AC1011" s="9">
        <f t="shared" si="183"/>
        <v>0</v>
      </c>
      <c r="AD1011" s="9">
        <f t="shared" si="184"/>
        <v>290</v>
      </c>
      <c r="AE1011" s="9">
        <f t="shared" si="185"/>
        <v>123.56</v>
      </c>
      <c r="AF1011" s="9">
        <f t="shared" si="191"/>
        <v>166.44</v>
      </c>
      <c r="AG1011" s="8">
        <f t="shared" si="186"/>
        <v>2024</v>
      </c>
      <c r="AH1011" s="8">
        <f t="shared" si="187"/>
        <v>10</v>
      </c>
      <c r="AI1011" s="5" t="str">
        <f t="shared" si="188"/>
        <v>Oct</v>
      </c>
      <c r="AJ1011" s="5" t="str">
        <f t="shared" si="189"/>
        <v>Wednesday</v>
      </c>
    </row>
    <row r="1012" spans="1:36" x14ac:dyDescent="0.3">
      <c r="A1012" s="5" t="s">
        <v>1046</v>
      </c>
      <c r="B1012" s="6">
        <v>45323</v>
      </c>
      <c r="C1012" s="7">
        <v>0.71875</v>
      </c>
      <c r="D1012" s="5" t="s">
        <v>1861</v>
      </c>
      <c r="E1012" s="5" t="s">
        <v>1988</v>
      </c>
      <c r="F1012" s="5" t="s">
        <v>2240</v>
      </c>
      <c r="G1012" s="5" t="s">
        <v>2250</v>
      </c>
      <c r="H1012" s="5" t="s">
        <v>2259</v>
      </c>
      <c r="I1012" s="5" t="s">
        <v>2262</v>
      </c>
      <c r="J1012" s="5" t="s">
        <v>2265</v>
      </c>
      <c r="K1012" s="8">
        <v>1</v>
      </c>
      <c r="L1012" s="9">
        <v>75</v>
      </c>
      <c r="M1012" s="10">
        <v>0.05</v>
      </c>
      <c r="N1012" s="9">
        <f t="shared" si="190"/>
        <v>75</v>
      </c>
      <c r="O1012" s="9">
        <f t="shared" si="180"/>
        <v>71.25</v>
      </c>
      <c r="P1012" s="5" t="s">
        <v>1761</v>
      </c>
      <c r="Q1012" s="5" t="s">
        <v>2272</v>
      </c>
      <c r="R1012" s="5" t="s">
        <v>2273</v>
      </c>
      <c r="S1012" s="5" t="s">
        <v>2284</v>
      </c>
      <c r="T1012" s="5" t="s">
        <v>2288</v>
      </c>
      <c r="U1012" s="8">
        <v>3</v>
      </c>
      <c r="V1012" s="8">
        <v>297</v>
      </c>
      <c r="W1012" s="8">
        <v>36</v>
      </c>
      <c r="X1012" s="9">
        <v>37.15</v>
      </c>
      <c r="Y1012" s="9">
        <f t="shared" si="181"/>
        <v>34.1</v>
      </c>
      <c r="Z1012" s="5" t="s">
        <v>2293</v>
      </c>
      <c r="AA1012" s="5" t="s">
        <v>2299</v>
      </c>
      <c r="AB1012" s="9">
        <f t="shared" si="182"/>
        <v>75</v>
      </c>
      <c r="AC1012" s="9">
        <f t="shared" si="183"/>
        <v>3.75</v>
      </c>
      <c r="AD1012" s="9">
        <f t="shared" si="184"/>
        <v>71.25</v>
      </c>
      <c r="AE1012" s="9">
        <f t="shared" si="185"/>
        <v>37.15</v>
      </c>
      <c r="AF1012" s="9">
        <f t="shared" si="191"/>
        <v>34.1</v>
      </c>
      <c r="AG1012" s="8">
        <f t="shared" si="186"/>
        <v>2024</v>
      </c>
      <c r="AH1012" s="8">
        <f t="shared" si="187"/>
        <v>2</v>
      </c>
      <c r="AI1012" s="5" t="str">
        <f t="shared" si="188"/>
        <v>Feb</v>
      </c>
      <c r="AJ1012" s="5" t="str">
        <f t="shared" si="189"/>
        <v>Thursday</v>
      </c>
    </row>
    <row r="1013" spans="1:36" x14ac:dyDescent="0.3">
      <c r="A1013" s="5" t="s">
        <v>1047</v>
      </c>
      <c r="B1013" s="6">
        <v>45346</v>
      </c>
      <c r="C1013" s="7">
        <v>0.82291666666666663</v>
      </c>
      <c r="D1013" s="5" t="s">
        <v>1861</v>
      </c>
      <c r="E1013" s="5" t="s">
        <v>1761</v>
      </c>
      <c r="F1013" s="5" t="s">
        <v>2240</v>
      </c>
      <c r="G1013" s="5" t="s">
        <v>2241</v>
      </c>
      <c r="H1013" s="5" t="s">
        <v>2257</v>
      </c>
      <c r="I1013" s="5" t="s">
        <v>2262</v>
      </c>
      <c r="J1013" s="5" t="s">
        <v>2264</v>
      </c>
      <c r="K1013" s="19">
        <v>2</v>
      </c>
      <c r="L1013" s="9">
        <v>135</v>
      </c>
      <c r="M1013" s="10">
        <v>0</v>
      </c>
      <c r="N1013" s="9">
        <f t="shared" si="190"/>
        <v>270</v>
      </c>
      <c r="O1013" s="9">
        <f t="shared" si="180"/>
        <v>270</v>
      </c>
      <c r="P1013" s="5" t="s">
        <v>2269</v>
      </c>
      <c r="Q1013" s="5" t="s">
        <v>2272</v>
      </c>
      <c r="R1013" s="5" t="s">
        <v>2278</v>
      </c>
      <c r="S1013" s="5" t="s">
        <v>2287</v>
      </c>
      <c r="T1013" s="5" t="s">
        <v>2288</v>
      </c>
      <c r="U1013" s="8">
        <v>5</v>
      </c>
      <c r="V1013" s="8">
        <v>103</v>
      </c>
      <c r="W1013" s="8">
        <v>12</v>
      </c>
      <c r="X1013" s="9">
        <v>64.290000000000006</v>
      </c>
      <c r="Y1013" s="9">
        <f t="shared" si="181"/>
        <v>141.41999999999999</v>
      </c>
      <c r="Z1013" s="5" t="s">
        <v>2293</v>
      </c>
      <c r="AA1013" s="5" t="s">
        <v>2297</v>
      </c>
      <c r="AB1013" s="9">
        <f t="shared" si="182"/>
        <v>270</v>
      </c>
      <c r="AC1013" s="9">
        <f t="shared" si="183"/>
        <v>0</v>
      </c>
      <c r="AD1013" s="9">
        <f t="shared" si="184"/>
        <v>270</v>
      </c>
      <c r="AE1013" s="9">
        <f t="shared" si="185"/>
        <v>128.58000000000001</v>
      </c>
      <c r="AF1013" s="9">
        <f t="shared" si="191"/>
        <v>141.41999999999999</v>
      </c>
      <c r="AG1013" s="8">
        <f t="shared" si="186"/>
        <v>2024</v>
      </c>
      <c r="AH1013" s="8">
        <f t="shared" si="187"/>
        <v>2</v>
      </c>
      <c r="AI1013" s="5" t="str">
        <f t="shared" si="188"/>
        <v>Feb</v>
      </c>
      <c r="AJ1013" s="5" t="str">
        <f t="shared" si="189"/>
        <v>Saturday</v>
      </c>
    </row>
    <row r="1014" spans="1:36" x14ac:dyDescent="0.3">
      <c r="A1014" s="5" t="s">
        <v>1048</v>
      </c>
      <c r="B1014" s="6">
        <v>45646</v>
      </c>
      <c r="C1014" s="7">
        <v>0.60416666666666663</v>
      </c>
      <c r="D1014" s="5" t="s">
        <v>1742</v>
      </c>
      <c r="E1014" s="5" t="s">
        <v>2136</v>
      </c>
      <c r="F1014" s="5" t="s">
        <v>2238</v>
      </c>
      <c r="G1014" s="5" t="s">
        <v>2248</v>
      </c>
      <c r="H1014" s="5" t="s">
        <v>2257</v>
      </c>
      <c r="I1014" s="5" t="s">
        <v>2262</v>
      </c>
      <c r="J1014" s="5" t="s">
        <v>2264</v>
      </c>
      <c r="K1014" s="8">
        <v>3</v>
      </c>
      <c r="L1014" s="9">
        <v>145</v>
      </c>
      <c r="M1014" s="10">
        <v>0.15</v>
      </c>
      <c r="N1014" s="9">
        <f t="shared" si="190"/>
        <v>435</v>
      </c>
      <c r="O1014" s="9">
        <f t="shared" si="180"/>
        <v>369.75</v>
      </c>
      <c r="P1014" s="5" t="s">
        <v>2267</v>
      </c>
      <c r="Q1014" s="5" t="s">
        <v>1761</v>
      </c>
      <c r="R1014" s="5" t="s">
        <v>2279</v>
      </c>
      <c r="S1014" s="5" t="s">
        <v>2281</v>
      </c>
      <c r="T1014" s="5" t="s">
        <v>2288</v>
      </c>
      <c r="U1014" s="8">
        <v>1</v>
      </c>
      <c r="V1014" s="19">
        <v>244</v>
      </c>
      <c r="W1014" s="8">
        <v>27</v>
      </c>
      <c r="X1014" s="9">
        <v>51.61</v>
      </c>
      <c r="Y1014" s="9">
        <f t="shared" si="181"/>
        <v>214.92000000000002</v>
      </c>
      <c r="Z1014" s="5" t="s">
        <v>2292</v>
      </c>
      <c r="AA1014" s="5" t="s">
        <v>2296</v>
      </c>
      <c r="AB1014" s="9">
        <f t="shared" si="182"/>
        <v>435</v>
      </c>
      <c r="AC1014" s="9">
        <f t="shared" si="183"/>
        <v>65.25</v>
      </c>
      <c r="AD1014" s="9">
        <f t="shared" si="184"/>
        <v>369.75</v>
      </c>
      <c r="AE1014" s="9">
        <f t="shared" si="185"/>
        <v>154.82999999999998</v>
      </c>
      <c r="AF1014" s="9">
        <f t="shared" si="191"/>
        <v>214.92000000000002</v>
      </c>
      <c r="AG1014" s="8">
        <f t="shared" si="186"/>
        <v>2024</v>
      </c>
      <c r="AH1014" s="8">
        <f t="shared" si="187"/>
        <v>12</v>
      </c>
      <c r="AI1014" s="5" t="str">
        <f t="shared" si="188"/>
        <v>Dec</v>
      </c>
      <c r="AJ1014" s="5" t="str">
        <f t="shared" si="189"/>
        <v>Friday</v>
      </c>
    </row>
    <row r="1015" spans="1:36" x14ac:dyDescent="0.3">
      <c r="A1015" s="5" t="s">
        <v>1049</v>
      </c>
      <c r="B1015" s="6">
        <v>45650</v>
      </c>
      <c r="C1015" s="7">
        <v>0.84375</v>
      </c>
      <c r="D1015" s="5" t="s">
        <v>1916</v>
      </c>
      <c r="E1015" s="5" t="s">
        <v>2160</v>
      </c>
      <c r="F1015" s="5" t="s">
        <v>2239</v>
      </c>
      <c r="G1015" s="5" t="s">
        <v>2253</v>
      </c>
      <c r="H1015" s="5" t="s">
        <v>2258</v>
      </c>
      <c r="I1015" s="5" t="s">
        <v>2260</v>
      </c>
      <c r="J1015" s="5" t="s">
        <v>2265</v>
      </c>
      <c r="K1015" s="8">
        <v>2</v>
      </c>
      <c r="L1015" s="9">
        <v>90</v>
      </c>
      <c r="M1015" s="10">
        <v>0.05</v>
      </c>
      <c r="N1015" s="9">
        <f t="shared" si="190"/>
        <v>180</v>
      </c>
      <c r="O1015" s="9">
        <f t="shared" si="180"/>
        <v>171</v>
      </c>
      <c r="P1015" s="5" t="s">
        <v>2269</v>
      </c>
      <c r="Q1015" s="5" t="s">
        <v>2271</v>
      </c>
      <c r="R1015" s="5" t="s">
        <v>2276</v>
      </c>
      <c r="S1015" s="5" t="s">
        <v>2284</v>
      </c>
      <c r="T1015" s="5" t="s">
        <v>2288</v>
      </c>
      <c r="U1015" s="8">
        <v>2</v>
      </c>
      <c r="V1015" s="8">
        <v>98</v>
      </c>
      <c r="W1015" s="8">
        <v>39</v>
      </c>
      <c r="X1015" s="9">
        <v>50.91</v>
      </c>
      <c r="Y1015" s="9">
        <f t="shared" si="181"/>
        <v>69.180000000000007</v>
      </c>
      <c r="Z1015" s="5" t="s">
        <v>1761</v>
      </c>
      <c r="AA1015" s="5" t="s">
        <v>2297</v>
      </c>
      <c r="AB1015" s="9">
        <f t="shared" si="182"/>
        <v>180</v>
      </c>
      <c r="AC1015" s="9">
        <f t="shared" si="183"/>
        <v>9</v>
      </c>
      <c r="AD1015" s="9">
        <f t="shared" si="184"/>
        <v>171</v>
      </c>
      <c r="AE1015" s="9">
        <f t="shared" si="185"/>
        <v>101.82</v>
      </c>
      <c r="AF1015" s="9">
        <f t="shared" si="191"/>
        <v>69.180000000000007</v>
      </c>
      <c r="AG1015" s="8">
        <f t="shared" si="186"/>
        <v>2024</v>
      </c>
      <c r="AH1015" s="8">
        <f t="shared" si="187"/>
        <v>12</v>
      </c>
      <c r="AI1015" s="5" t="str">
        <f t="shared" si="188"/>
        <v>Dec</v>
      </c>
      <c r="AJ1015" s="5" t="str">
        <f t="shared" si="189"/>
        <v>Tuesday</v>
      </c>
    </row>
    <row r="1016" spans="1:36" x14ac:dyDescent="0.3">
      <c r="A1016" s="5" t="s">
        <v>1050</v>
      </c>
      <c r="B1016" s="6">
        <v>45377</v>
      </c>
      <c r="C1016" s="7">
        <v>0.47222222222222221</v>
      </c>
      <c r="D1016" s="5" t="s">
        <v>1777</v>
      </c>
      <c r="E1016" s="5" t="s">
        <v>2042</v>
      </c>
      <c r="F1016" s="5" t="s">
        <v>2240</v>
      </c>
      <c r="G1016" s="5" t="s">
        <v>2245</v>
      </c>
      <c r="H1016" s="5" t="s">
        <v>2257</v>
      </c>
      <c r="I1016" s="5" t="s">
        <v>2263</v>
      </c>
      <c r="J1016" s="5" t="s">
        <v>2265</v>
      </c>
      <c r="K1016" s="8">
        <v>5</v>
      </c>
      <c r="L1016" s="9">
        <v>145</v>
      </c>
      <c r="M1016" s="10">
        <v>0.15</v>
      </c>
      <c r="N1016" s="9">
        <f t="shared" si="190"/>
        <v>725</v>
      </c>
      <c r="O1016" s="9">
        <f t="shared" si="180"/>
        <v>616.25</v>
      </c>
      <c r="P1016" s="5" t="s">
        <v>1761</v>
      </c>
      <c r="Q1016" s="5" t="s">
        <v>2270</v>
      </c>
      <c r="R1016" s="5" t="s">
        <v>2275</v>
      </c>
      <c r="S1016" s="5" t="s">
        <v>2286</v>
      </c>
      <c r="T1016" s="5" t="s">
        <v>2288</v>
      </c>
      <c r="U1016" s="8">
        <v>3</v>
      </c>
      <c r="V1016" s="8">
        <v>123</v>
      </c>
      <c r="W1016" s="8">
        <v>26</v>
      </c>
      <c r="X1016" s="9">
        <v>71.459999999999994</v>
      </c>
      <c r="Y1016" s="9">
        <f t="shared" si="181"/>
        <v>258.95000000000005</v>
      </c>
      <c r="Z1016" s="5" t="s">
        <v>2292</v>
      </c>
      <c r="AA1016" s="5" t="s">
        <v>2299</v>
      </c>
      <c r="AB1016" s="9">
        <f t="shared" si="182"/>
        <v>725</v>
      </c>
      <c r="AC1016" s="9">
        <f t="shared" si="183"/>
        <v>108.75</v>
      </c>
      <c r="AD1016" s="9">
        <f t="shared" si="184"/>
        <v>616.25</v>
      </c>
      <c r="AE1016" s="9">
        <f t="shared" si="185"/>
        <v>357.29999999999995</v>
      </c>
      <c r="AF1016" s="9">
        <f t="shared" si="191"/>
        <v>258.95000000000005</v>
      </c>
      <c r="AG1016" s="8">
        <f t="shared" si="186"/>
        <v>2024</v>
      </c>
      <c r="AH1016" s="8">
        <f t="shared" si="187"/>
        <v>3</v>
      </c>
      <c r="AI1016" s="5" t="str">
        <f t="shared" si="188"/>
        <v>Mar</v>
      </c>
      <c r="AJ1016" s="5" t="str">
        <f t="shared" si="189"/>
        <v>Tuesday</v>
      </c>
    </row>
    <row r="1017" spans="1:36" x14ac:dyDescent="0.3">
      <c r="A1017" s="5" t="s">
        <v>1051</v>
      </c>
      <c r="B1017" s="18">
        <v>45468</v>
      </c>
      <c r="C1017" s="7">
        <v>0.61805555555555558</v>
      </c>
      <c r="D1017" s="5" t="s">
        <v>1828</v>
      </c>
      <c r="E1017" s="5" t="s">
        <v>1761</v>
      </c>
      <c r="F1017" s="5" t="s">
        <v>2240</v>
      </c>
      <c r="G1017" s="5" t="s">
        <v>2255</v>
      </c>
      <c r="H1017" s="5" t="s">
        <v>2260</v>
      </c>
      <c r="I1017" s="5" t="s">
        <v>2260</v>
      </c>
      <c r="J1017" s="5" t="s">
        <v>2264</v>
      </c>
      <c r="K1017" s="8">
        <v>1</v>
      </c>
      <c r="L1017" s="9">
        <v>175</v>
      </c>
      <c r="M1017" s="10">
        <v>0</v>
      </c>
      <c r="N1017" s="9">
        <f t="shared" si="190"/>
        <v>175</v>
      </c>
      <c r="O1017" s="9">
        <f t="shared" si="180"/>
        <v>175</v>
      </c>
      <c r="P1017" s="5" t="s">
        <v>2268</v>
      </c>
      <c r="Q1017" s="5" t="s">
        <v>2272</v>
      </c>
      <c r="R1017" s="5" t="s">
        <v>2277</v>
      </c>
      <c r="S1017" s="5" t="s">
        <v>2282</v>
      </c>
      <c r="T1017" s="5" t="s">
        <v>2288</v>
      </c>
      <c r="U1017" s="8">
        <v>4</v>
      </c>
      <c r="V1017" s="8">
        <v>280</v>
      </c>
      <c r="W1017" s="19">
        <v>35</v>
      </c>
      <c r="X1017" s="9">
        <v>78.66</v>
      </c>
      <c r="Y1017" s="9">
        <f t="shared" si="181"/>
        <v>96.34</v>
      </c>
      <c r="Z1017" s="5" t="s">
        <v>2293</v>
      </c>
      <c r="AA1017" s="5" t="s">
        <v>2296</v>
      </c>
      <c r="AB1017" s="9">
        <f t="shared" si="182"/>
        <v>175</v>
      </c>
      <c r="AC1017" s="9">
        <f t="shared" si="183"/>
        <v>0</v>
      </c>
      <c r="AD1017" s="9">
        <f t="shared" si="184"/>
        <v>175</v>
      </c>
      <c r="AE1017" s="9">
        <f t="shared" si="185"/>
        <v>78.66</v>
      </c>
      <c r="AF1017" s="9">
        <f t="shared" si="191"/>
        <v>96.34</v>
      </c>
      <c r="AG1017" s="8">
        <f t="shared" si="186"/>
        <v>2024</v>
      </c>
      <c r="AH1017" s="8">
        <f t="shared" si="187"/>
        <v>6</v>
      </c>
      <c r="AI1017" s="5" t="str">
        <f t="shared" si="188"/>
        <v>Jun</v>
      </c>
      <c r="AJ1017" s="5" t="str">
        <f t="shared" si="189"/>
        <v>Tuesday</v>
      </c>
    </row>
    <row r="1018" spans="1:36" x14ac:dyDescent="0.3">
      <c r="A1018" s="5" t="s">
        <v>1052</v>
      </c>
      <c r="B1018" s="6">
        <v>45411</v>
      </c>
      <c r="C1018" s="7">
        <v>0.57291666666666663</v>
      </c>
      <c r="D1018" s="5" t="s">
        <v>1875</v>
      </c>
      <c r="E1018" s="5" t="s">
        <v>1954</v>
      </c>
      <c r="F1018" s="5" t="s">
        <v>2240</v>
      </c>
      <c r="G1018" s="5" t="s">
        <v>2247</v>
      </c>
      <c r="H1018" s="5" t="s">
        <v>2257</v>
      </c>
      <c r="I1018" s="5" t="s">
        <v>2262</v>
      </c>
      <c r="J1018" s="5" t="s">
        <v>2264</v>
      </c>
      <c r="K1018" s="8">
        <v>1</v>
      </c>
      <c r="L1018" s="9">
        <v>105</v>
      </c>
      <c r="M1018" s="10">
        <v>0.15</v>
      </c>
      <c r="N1018" s="9">
        <f t="shared" si="190"/>
        <v>105</v>
      </c>
      <c r="O1018" s="9">
        <f t="shared" si="180"/>
        <v>89.25</v>
      </c>
      <c r="P1018" s="5" t="s">
        <v>2267</v>
      </c>
      <c r="Q1018" s="5" t="s">
        <v>2272</v>
      </c>
      <c r="R1018" s="5" t="s">
        <v>2275</v>
      </c>
      <c r="S1018" s="5" t="s">
        <v>2287</v>
      </c>
      <c r="T1018" s="5" t="s">
        <v>2288</v>
      </c>
      <c r="U1018" s="8">
        <v>3</v>
      </c>
      <c r="V1018" s="8">
        <v>224</v>
      </c>
      <c r="W1018" s="8">
        <v>43</v>
      </c>
      <c r="X1018" s="9">
        <v>48.11</v>
      </c>
      <c r="Y1018" s="9">
        <f t="shared" si="181"/>
        <v>41.14</v>
      </c>
      <c r="Z1018" s="5" t="s">
        <v>2293</v>
      </c>
      <c r="AA1018" s="5" t="s">
        <v>2297</v>
      </c>
      <c r="AB1018" s="9">
        <f t="shared" si="182"/>
        <v>105</v>
      </c>
      <c r="AC1018" s="9">
        <f t="shared" si="183"/>
        <v>15.75</v>
      </c>
      <c r="AD1018" s="9">
        <f t="shared" si="184"/>
        <v>89.25</v>
      </c>
      <c r="AE1018" s="9">
        <f t="shared" si="185"/>
        <v>48.11</v>
      </c>
      <c r="AF1018" s="9">
        <f t="shared" si="191"/>
        <v>41.14</v>
      </c>
      <c r="AG1018" s="8">
        <f t="shared" si="186"/>
        <v>2024</v>
      </c>
      <c r="AH1018" s="8">
        <f t="shared" si="187"/>
        <v>4</v>
      </c>
      <c r="AI1018" s="5" t="str">
        <f t="shared" si="188"/>
        <v>Apr</v>
      </c>
      <c r="AJ1018" s="5" t="str">
        <f t="shared" si="189"/>
        <v>Monday</v>
      </c>
    </row>
    <row r="1019" spans="1:36" x14ac:dyDescent="0.3">
      <c r="A1019" s="5" t="s">
        <v>1053</v>
      </c>
      <c r="B1019" s="18">
        <v>45468</v>
      </c>
      <c r="C1019" s="7">
        <v>0.45833333333333331</v>
      </c>
      <c r="D1019" s="5" t="s">
        <v>1912</v>
      </c>
      <c r="E1019" s="5" t="s">
        <v>2093</v>
      </c>
      <c r="F1019" s="5" t="s">
        <v>2238</v>
      </c>
      <c r="G1019" s="5" t="s">
        <v>2251</v>
      </c>
      <c r="H1019" s="5" t="s">
        <v>2258</v>
      </c>
      <c r="I1019" s="5" t="s">
        <v>2260</v>
      </c>
      <c r="J1019" s="5" t="s">
        <v>2265</v>
      </c>
      <c r="K1019" s="8">
        <v>2</v>
      </c>
      <c r="L1019" s="9">
        <v>110</v>
      </c>
      <c r="M1019" s="10">
        <v>0</v>
      </c>
      <c r="N1019" s="9">
        <f t="shared" si="190"/>
        <v>220</v>
      </c>
      <c r="O1019" s="9">
        <f t="shared" si="180"/>
        <v>220</v>
      </c>
      <c r="P1019" s="5" t="s">
        <v>2267</v>
      </c>
      <c r="Q1019" s="5" t="s">
        <v>2272</v>
      </c>
      <c r="R1019" s="5" t="s">
        <v>2279</v>
      </c>
      <c r="S1019" s="5" t="s">
        <v>2282</v>
      </c>
      <c r="T1019" s="5" t="s">
        <v>2288</v>
      </c>
      <c r="U1019" s="8">
        <v>5</v>
      </c>
      <c r="V1019" s="8">
        <v>449</v>
      </c>
      <c r="W1019" s="8">
        <v>53</v>
      </c>
      <c r="X1019" s="9">
        <v>45.17</v>
      </c>
      <c r="Y1019" s="9">
        <f t="shared" si="181"/>
        <v>129.66</v>
      </c>
      <c r="Z1019" s="5" t="s">
        <v>2291</v>
      </c>
      <c r="AA1019" s="5" t="s">
        <v>2298</v>
      </c>
      <c r="AB1019" s="9">
        <f t="shared" si="182"/>
        <v>220</v>
      </c>
      <c r="AC1019" s="9">
        <f t="shared" si="183"/>
        <v>0</v>
      </c>
      <c r="AD1019" s="9">
        <f t="shared" si="184"/>
        <v>220</v>
      </c>
      <c r="AE1019" s="9">
        <f t="shared" si="185"/>
        <v>90.34</v>
      </c>
      <c r="AF1019" s="9">
        <f t="shared" si="191"/>
        <v>129.66</v>
      </c>
      <c r="AG1019" s="8">
        <f t="shared" si="186"/>
        <v>2024</v>
      </c>
      <c r="AH1019" s="8">
        <f t="shared" si="187"/>
        <v>6</v>
      </c>
      <c r="AI1019" s="5" t="str">
        <f t="shared" si="188"/>
        <v>Jun</v>
      </c>
      <c r="AJ1019" s="5" t="str">
        <f t="shared" si="189"/>
        <v>Tuesday</v>
      </c>
    </row>
    <row r="1020" spans="1:36" x14ac:dyDescent="0.3">
      <c r="A1020" s="5" t="s">
        <v>1054</v>
      </c>
      <c r="B1020" s="6">
        <v>45517</v>
      </c>
      <c r="C1020" s="7">
        <v>0.64583333333333337</v>
      </c>
      <c r="D1020" s="5" t="s">
        <v>1828</v>
      </c>
      <c r="E1020" s="5" t="s">
        <v>2036</v>
      </c>
      <c r="F1020" s="5" t="s">
        <v>1761</v>
      </c>
      <c r="G1020" s="5" t="s">
        <v>2256</v>
      </c>
      <c r="H1020" s="5" t="s">
        <v>2261</v>
      </c>
      <c r="I1020" s="5" t="s">
        <v>2260</v>
      </c>
      <c r="J1020" s="5" t="s">
        <v>1761</v>
      </c>
      <c r="K1020" s="8">
        <v>1</v>
      </c>
      <c r="L1020" s="9">
        <v>195</v>
      </c>
      <c r="M1020" s="10">
        <v>0</v>
      </c>
      <c r="N1020" s="9">
        <f t="shared" si="190"/>
        <v>195</v>
      </c>
      <c r="O1020" s="9">
        <f t="shared" si="180"/>
        <v>195</v>
      </c>
      <c r="P1020" s="5" t="s">
        <v>2267</v>
      </c>
      <c r="Q1020" s="5" t="s">
        <v>2272</v>
      </c>
      <c r="R1020" s="5" t="s">
        <v>2273</v>
      </c>
      <c r="S1020" s="5" t="s">
        <v>2287</v>
      </c>
      <c r="T1020" s="5" t="s">
        <v>2288</v>
      </c>
      <c r="U1020" s="8">
        <v>2</v>
      </c>
      <c r="V1020" s="8">
        <v>250</v>
      </c>
      <c r="W1020" s="8">
        <v>53</v>
      </c>
      <c r="X1020" s="9">
        <v>97.23</v>
      </c>
      <c r="Y1020" s="9">
        <f t="shared" si="181"/>
        <v>97.77</v>
      </c>
      <c r="Z1020" s="5" t="s">
        <v>2293</v>
      </c>
      <c r="AA1020" s="5" t="s">
        <v>2298</v>
      </c>
      <c r="AB1020" s="9">
        <f t="shared" si="182"/>
        <v>195</v>
      </c>
      <c r="AC1020" s="9">
        <f t="shared" si="183"/>
        <v>0</v>
      </c>
      <c r="AD1020" s="9">
        <f t="shared" si="184"/>
        <v>195</v>
      </c>
      <c r="AE1020" s="9">
        <f t="shared" si="185"/>
        <v>97.23</v>
      </c>
      <c r="AF1020" s="9">
        <f t="shared" si="191"/>
        <v>97.77</v>
      </c>
      <c r="AG1020" s="8">
        <f t="shared" si="186"/>
        <v>2024</v>
      </c>
      <c r="AH1020" s="8">
        <f t="shared" si="187"/>
        <v>8</v>
      </c>
      <c r="AI1020" s="5" t="str">
        <f t="shared" si="188"/>
        <v>Aug</v>
      </c>
      <c r="AJ1020" s="5" t="str">
        <f t="shared" si="189"/>
        <v>Tuesday</v>
      </c>
    </row>
    <row r="1021" spans="1:36" x14ac:dyDescent="0.3">
      <c r="A1021" s="5" t="s">
        <v>1055</v>
      </c>
      <c r="B1021" s="6">
        <v>45615</v>
      </c>
      <c r="C1021" s="7">
        <v>0.54166666666666663</v>
      </c>
      <c r="D1021" s="5" t="s">
        <v>1856</v>
      </c>
      <c r="E1021" s="5" t="s">
        <v>1985</v>
      </c>
      <c r="F1021" s="5" t="s">
        <v>2239</v>
      </c>
      <c r="G1021" s="5" t="s">
        <v>2253</v>
      </c>
      <c r="H1021" s="5" t="s">
        <v>2258</v>
      </c>
      <c r="I1021" s="5" t="s">
        <v>2260</v>
      </c>
      <c r="J1021" s="5" t="s">
        <v>2266</v>
      </c>
      <c r="K1021" s="8">
        <v>1</v>
      </c>
      <c r="L1021" s="9">
        <v>85</v>
      </c>
      <c r="M1021" s="10">
        <v>0</v>
      </c>
      <c r="N1021" s="9">
        <f t="shared" si="190"/>
        <v>85</v>
      </c>
      <c r="O1021" s="9">
        <f t="shared" si="180"/>
        <v>85</v>
      </c>
      <c r="P1021" s="5" t="s">
        <v>2268</v>
      </c>
      <c r="Q1021" s="5" t="s">
        <v>2270</v>
      </c>
      <c r="R1021" s="5" t="s">
        <v>2276</v>
      </c>
      <c r="S1021" s="5" t="s">
        <v>2280</v>
      </c>
      <c r="T1021" s="5" t="s">
        <v>2288</v>
      </c>
      <c r="U1021" s="19">
        <v>3</v>
      </c>
      <c r="V1021" s="8">
        <v>287</v>
      </c>
      <c r="W1021" s="8">
        <v>39</v>
      </c>
      <c r="X1021" s="9">
        <v>46.09</v>
      </c>
      <c r="Y1021" s="9">
        <f t="shared" si="181"/>
        <v>38.909999999999997</v>
      </c>
      <c r="Z1021" s="5" t="s">
        <v>2293</v>
      </c>
      <c r="AA1021" s="5" t="s">
        <v>2298</v>
      </c>
      <c r="AB1021" s="9">
        <f t="shared" si="182"/>
        <v>85</v>
      </c>
      <c r="AC1021" s="9">
        <f t="shared" si="183"/>
        <v>0</v>
      </c>
      <c r="AD1021" s="9">
        <f t="shared" si="184"/>
        <v>85</v>
      </c>
      <c r="AE1021" s="9">
        <f t="shared" si="185"/>
        <v>46.09</v>
      </c>
      <c r="AF1021" s="9">
        <f t="shared" si="191"/>
        <v>38.909999999999997</v>
      </c>
      <c r="AG1021" s="8">
        <f t="shared" si="186"/>
        <v>2024</v>
      </c>
      <c r="AH1021" s="8">
        <f t="shared" si="187"/>
        <v>11</v>
      </c>
      <c r="AI1021" s="5" t="str">
        <f t="shared" si="188"/>
        <v>Nov</v>
      </c>
      <c r="AJ1021" s="5" t="str">
        <f t="shared" si="189"/>
        <v>Tuesday</v>
      </c>
    </row>
    <row r="1022" spans="1:36" x14ac:dyDescent="0.3">
      <c r="A1022" s="5" t="s">
        <v>1056</v>
      </c>
      <c r="B1022" s="18">
        <v>45468</v>
      </c>
      <c r="C1022" s="7">
        <v>0.38541666666666669</v>
      </c>
      <c r="D1022" s="5" t="s">
        <v>1820</v>
      </c>
      <c r="E1022" s="5" t="s">
        <v>1761</v>
      </c>
      <c r="F1022" s="5" t="s">
        <v>2238</v>
      </c>
      <c r="G1022" s="5" t="s">
        <v>2244</v>
      </c>
      <c r="H1022" s="5" t="s">
        <v>2257</v>
      </c>
      <c r="I1022" s="5" t="s">
        <v>2262</v>
      </c>
      <c r="J1022" s="5" t="s">
        <v>2264</v>
      </c>
      <c r="K1022" s="8">
        <v>2</v>
      </c>
      <c r="L1022" s="9">
        <v>125</v>
      </c>
      <c r="M1022" s="10">
        <v>0</v>
      </c>
      <c r="N1022" s="9">
        <f t="shared" si="190"/>
        <v>250</v>
      </c>
      <c r="O1022" s="9">
        <f t="shared" si="180"/>
        <v>250</v>
      </c>
      <c r="P1022" s="5" t="s">
        <v>2267</v>
      </c>
      <c r="Q1022" s="5" t="s">
        <v>2270</v>
      </c>
      <c r="R1022" s="5" t="s">
        <v>2278</v>
      </c>
      <c r="S1022" s="5" t="s">
        <v>2281</v>
      </c>
      <c r="T1022" s="5" t="s">
        <v>2288</v>
      </c>
      <c r="U1022" s="8">
        <v>2</v>
      </c>
      <c r="V1022" s="8">
        <v>399</v>
      </c>
      <c r="W1022" s="8">
        <v>44</v>
      </c>
      <c r="X1022" s="9">
        <v>66.459999999999994</v>
      </c>
      <c r="Y1022" s="9">
        <f t="shared" si="181"/>
        <v>117.08000000000001</v>
      </c>
      <c r="Z1022" s="5" t="s">
        <v>2294</v>
      </c>
      <c r="AA1022" s="5" t="s">
        <v>2296</v>
      </c>
      <c r="AB1022" s="9">
        <f t="shared" si="182"/>
        <v>250</v>
      </c>
      <c r="AC1022" s="9">
        <f t="shared" si="183"/>
        <v>0</v>
      </c>
      <c r="AD1022" s="9">
        <f t="shared" si="184"/>
        <v>250</v>
      </c>
      <c r="AE1022" s="9">
        <f t="shared" si="185"/>
        <v>132.91999999999999</v>
      </c>
      <c r="AF1022" s="9">
        <f t="shared" si="191"/>
        <v>117.08000000000001</v>
      </c>
      <c r="AG1022" s="8">
        <f t="shared" si="186"/>
        <v>2024</v>
      </c>
      <c r="AH1022" s="8">
        <f t="shared" si="187"/>
        <v>6</v>
      </c>
      <c r="AI1022" s="5" t="str">
        <f t="shared" si="188"/>
        <v>Jun</v>
      </c>
      <c r="AJ1022" s="5" t="str">
        <f t="shared" si="189"/>
        <v>Tuesday</v>
      </c>
    </row>
    <row r="1023" spans="1:36" x14ac:dyDescent="0.3">
      <c r="A1023" s="5" t="s">
        <v>1057</v>
      </c>
      <c r="B1023" s="6">
        <v>45403</v>
      </c>
      <c r="C1023" s="7">
        <v>0.4513888888888889</v>
      </c>
      <c r="D1023" s="5" t="s">
        <v>1816</v>
      </c>
      <c r="E1023" s="5" t="s">
        <v>2096</v>
      </c>
      <c r="F1023" s="5" t="s">
        <v>2240</v>
      </c>
      <c r="G1023" s="5" t="s">
        <v>2256</v>
      </c>
      <c r="H1023" s="5" t="s">
        <v>2261</v>
      </c>
      <c r="I1023" s="5" t="s">
        <v>2260</v>
      </c>
      <c r="J1023" s="5" t="s">
        <v>2265</v>
      </c>
      <c r="K1023" s="8">
        <v>2</v>
      </c>
      <c r="L1023" s="9">
        <v>190</v>
      </c>
      <c r="M1023" s="10">
        <v>0.05</v>
      </c>
      <c r="N1023" s="9">
        <f t="shared" si="190"/>
        <v>380</v>
      </c>
      <c r="O1023" s="9">
        <f t="shared" si="180"/>
        <v>361</v>
      </c>
      <c r="P1023" s="5" t="s">
        <v>2269</v>
      </c>
      <c r="Q1023" s="5" t="s">
        <v>1761</v>
      </c>
      <c r="R1023" s="5" t="s">
        <v>2273</v>
      </c>
      <c r="S1023" s="5" t="s">
        <v>2287</v>
      </c>
      <c r="T1023" s="5" t="s">
        <v>2290</v>
      </c>
      <c r="U1023" s="19">
        <v>3</v>
      </c>
      <c r="V1023" s="8">
        <v>464</v>
      </c>
      <c r="W1023" s="8">
        <v>13</v>
      </c>
      <c r="X1023" s="9">
        <v>67.77</v>
      </c>
      <c r="Y1023" s="9">
        <f t="shared" si="181"/>
        <v>225.46</v>
      </c>
      <c r="Z1023" s="5" t="s">
        <v>1761</v>
      </c>
      <c r="AA1023" s="5" t="s">
        <v>2297</v>
      </c>
      <c r="AB1023" s="9">
        <f t="shared" si="182"/>
        <v>380</v>
      </c>
      <c r="AC1023" s="9">
        <f t="shared" si="183"/>
        <v>19</v>
      </c>
      <c r="AD1023" s="9">
        <f t="shared" si="184"/>
        <v>361</v>
      </c>
      <c r="AE1023" s="9">
        <f t="shared" si="185"/>
        <v>135.54</v>
      </c>
      <c r="AF1023" s="9">
        <f t="shared" si="191"/>
        <v>225.46</v>
      </c>
      <c r="AG1023" s="8">
        <f t="shared" si="186"/>
        <v>2024</v>
      </c>
      <c r="AH1023" s="8">
        <f t="shared" si="187"/>
        <v>4</v>
      </c>
      <c r="AI1023" s="5" t="str">
        <f t="shared" si="188"/>
        <v>Apr</v>
      </c>
      <c r="AJ1023" s="5" t="str">
        <f t="shared" si="189"/>
        <v>Sunday</v>
      </c>
    </row>
    <row r="1024" spans="1:36" x14ac:dyDescent="0.3">
      <c r="A1024" s="5" t="s">
        <v>1058</v>
      </c>
      <c r="B1024" s="18">
        <v>45468</v>
      </c>
      <c r="C1024" s="7">
        <v>0.77083333333333337</v>
      </c>
      <c r="D1024" s="5" t="s">
        <v>1839</v>
      </c>
      <c r="E1024" s="5" t="s">
        <v>2176</v>
      </c>
      <c r="F1024" s="5" t="s">
        <v>2239</v>
      </c>
      <c r="G1024" s="5" t="s">
        <v>2256</v>
      </c>
      <c r="H1024" s="5" t="s">
        <v>2261</v>
      </c>
      <c r="I1024" s="5" t="s">
        <v>2260</v>
      </c>
      <c r="J1024" s="5" t="s">
        <v>2266</v>
      </c>
      <c r="K1024" s="8">
        <v>2</v>
      </c>
      <c r="L1024" s="9">
        <v>190</v>
      </c>
      <c r="M1024" s="10">
        <v>0.1</v>
      </c>
      <c r="N1024" s="9">
        <f t="shared" si="190"/>
        <v>380</v>
      </c>
      <c r="O1024" s="9">
        <f t="shared" si="180"/>
        <v>342</v>
      </c>
      <c r="P1024" s="5" t="s">
        <v>2269</v>
      </c>
      <c r="Q1024" s="5" t="s">
        <v>2272</v>
      </c>
      <c r="R1024" s="5" t="s">
        <v>2273</v>
      </c>
      <c r="S1024" s="5" t="s">
        <v>2284</v>
      </c>
      <c r="T1024" s="5" t="s">
        <v>2288</v>
      </c>
      <c r="U1024" s="8">
        <v>3</v>
      </c>
      <c r="V1024" s="8">
        <v>40</v>
      </c>
      <c r="W1024" s="8">
        <v>28</v>
      </c>
      <c r="X1024" s="9">
        <v>70</v>
      </c>
      <c r="Y1024" s="9">
        <f t="shared" si="181"/>
        <v>202</v>
      </c>
      <c r="Z1024" s="5" t="s">
        <v>2292</v>
      </c>
      <c r="AA1024" s="5" t="s">
        <v>2296</v>
      </c>
      <c r="AB1024" s="9">
        <f t="shared" si="182"/>
        <v>380</v>
      </c>
      <c r="AC1024" s="9">
        <f t="shared" si="183"/>
        <v>38</v>
      </c>
      <c r="AD1024" s="9">
        <f t="shared" si="184"/>
        <v>342</v>
      </c>
      <c r="AE1024" s="9">
        <f t="shared" si="185"/>
        <v>140</v>
      </c>
      <c r="AF1024" s="9">
        <f t="shared" si="191"/>
        <v>202</v>
      </c>
      <c r="AG1024" s="8">
        <f t="shared" si="186"/>
        <v>2024</v>
      </c>
      <c r="AH1024" s="8">
        <f t="shared" si="187"/>
        <v>6</v>
      </c>
      <c r="AI1024" s="5" t="str">
        <f t="shared" si="188"/>
        <v>Jun</v>
      </c>
      <c r="AJ1024" s="5" t="str">
        <f t="shared" si="189"/>
        <v>Tuesday</v>
      </c>
    </row>
    <row r="1025" spans="1:36" x14ac:dyDescent="0.3">
      <c r="A1025" s="5" t="s">
        <v>1059</v>
      </c>
      <c r="B1025" s="6">
        <v>45589</v>
      </c>
      <c r="C1025" s="7">
        <v>0.78125</v>
      </c>
      <c r="D1025" s="5" t="s">
        <v>1828</v>
      </c>
      <c r="E1025" s="5" t="s">
        <v>2048</v>
      </c>
      <c r="F1025" s="5" t="s">
        <v>2238</v>
      </c>
      <c r="G1025" s="5" t="s">
        <v>2254</v>
      </c>
      <c r="H1025" s="5" t="s">
        <v>2259</v>
      </c>
      <c r="I1025" s="5" t="s">
        <v>2263</v>
      </c>
      <c r="J1025" s="5" t="s">
        <v>2264</v>
      </c>
      <c r="K1025" s="8">
        <v>1</v>
      </c>
      <c r="L1025" s="9">
        <v>120</v>
      </c>
      <c r="M1025" s="10">
        <v>0.15</v>
      </c>
      <c r="N1025" s="9">
        <f t="shared" si="190"/>
        <v>120</v>
      </c>
      <c r="O1025" s="9">
        <f t="shared" si="180"/>
        <v>102</v>
      </c>
      <c r="P1025" s="5" t="s">
        <v>2267</v>
      </c>
      <c r="Q1025" s="5" t="s">
        <v>2271</v>
      </c>
      <c r="R1025" s="5" t="s">
        <v>2277</v>
      </c>
      <c r="S1025" s="5" t="s">
        <v>2281</v>
      </c>
      <c r="T1025" s="5" t="s">
        <v>2288</v>
      </c>
      <c r="U1025" s="8">
        <v>2</v>
      </c>
      <c r="V1025" s="19">
        <v>244</v>
      </c>
      <c r="W1025" s="8">
        <v>40</v>
      </c>
      <c r="X1025" s="9">
        <v>45.63</v>
      </c>
      <c r="Y1025" s="9">
        <f t="shared" si="181"/>
        <v>56.37</v>
      </c>
      <c r="Z1025" s="5" t="s">
        <v>2293</v>
      </c>
      <c r="AA1025" s="5" t="s">
        <v>1761</v>
      </c>
      <c r="AB1025" s="9">
        <f t="shared" si="182"/>
        <v>120</v>
      </c>
      <c r="AC1025" s="9">
        <f t="shared" si="183"/>
        <v>18</v>
      </c>
      <c r="AD1025" s="9">
        <f t="shared" si="184"/>
        <v>102</v>
      </c>
      <c r="AE1025" s="9">
        <f t="shared" si="185"/>
        <v>45.63</v>
      </c>
      <c r="AF1025" s="9">
        <f t="shared" si="191"/>
        <v>56.37</v>
      </c>
      <c r="AG1025" s="8">
        <f t="shared" si="186"/>
        <v>2024</v>
      </c>
      <c r="AH1025" s="8">
        <f t="shared" si="187"/>
        <v>10</v>
      </c>
      <c r="AI1025" s="5" t="str">
        <f t="shared" si="188"/>
        <v>Oct</v>
      </c>
      <c r="AJ1025" s="5" t="str">
        <f t="shared" si="189"/>
        <v>Thursday</v>
      </c>
    </row>
    <row r="1026" spans="1:36" x14ac:dyDescent="0.3">
      <c r="A1026" s="5" t="s">
        <v>1060</v>
      </c>
      <c r="B1026" s="6">
        <v>45524</v>
      </c>
      <c r="C1026" s="7">
        <v>0.75694444444444442</v>
      </c>
      <c r="D1026" s="5" t="s">
        <v>1834</v>
      </c>
      <c r="E1026" s="5" t="s">
        <v>1980</v>
      </c>
      <c r="F1026" s="5" t="s">
        <v>2239</v>
      </c>
      <c r="G1026" s="5" t="s">
        <v>2251</v>
      </c>
      <c r="H1026" s="5" t="s">
        <v>2258</v>
      </c>
      <c r="I1026" s="5" t="s">
        <v>2260</v>
      </c>
      <c r="J1026" s="5" t="s">
        <v>2264</v>
      </c>
      <c r="K1026" s="8">
        <v>1</v>
      </c>
      <c r="L1026" s="9">
        <v>95</v>
      </c>
      <c r="M1026" s="10">
        <v>0</v>
      </c>
      <c r="N1026" s="9">
        <f t="shared" si="190"/>
        <v>95</v>
      </c>
      <c r="O1026" s="9">
        <f t="shared" ref="O1026:O1089" si="192">IF(N1026="","",N1026*(1-IF(M1026="",0,M1026)))</f>
        <v>95</v>
      </c>
      <c r="P1026" s="5" t="s">
        <v>2267</v>
      </c>
      <c r="Q1026" s="5" t="s">
        <v>2271</v>
      </c>
      <c r="R1026" s="5" t="s">
        <v>2275</v>
      </c>
      <c r="S1026" s="5" t="s">
        <v>2285</v>
      </c>
      <c r="T1026" s="5" t="s">
        <v>2289</v>
      </c>
      <c r="U1026" s="8">
        <v>3</v>
      </c>
      <c r="V1026" s="8">
        <v>191</v>
      </c>
      <c r="W1026" s="8">
        <v>43</v>
      </c>
      <c r="X1026" s="9">
        <v>41.58</v>
      </c>
      <c r="Y1026" s="9">
        <f t="shared" ref="Y1026:Y1089" si="193">IF(OR(O1026="",K1026="",X1026=""),"",O1026-K1026*X1026)</f>
        <v>53.42</v>
      </c>
      <c r="Z1026" s="5" t="s">
        <v>1761</v>
      </c>
      <c r="AA1026" s="5" t="s">
        <v>1761</v>
      </c>
      <c r="AB1026" s="9">
        <f t="shared" ref="AB1026:AB1089" si="194">N1026</f>
        <v>95</v>
      </c>
      <c r="AC1026" s="9">
        <f t="shared" ref="AC1026:AC1089" si="195">IF(N1026="","",N1026*IF(M1026="",0,M1026))</f>
        <v>0</v>
      </c>
      <c r="AD1026" s="9">
        <f t="shared" ref="AD1026:AD1089" si="196">O1026</f>
        <v>95</v>
      </c>
      <c r="AE1026" s="9">
        <f t="shared" ref="AE1026:AE1089" si="197">IF(OR(K1026="",X1026=""),"",K1026*X1026)</f>
        <v>41.58</v>
      </c>
      <c r="AF1026" s="9">
        <f t="shared" si="191"/>
        <v>53.42</v>
      </c>
      <c r="AG1026" s="8">
        <f t="shared" ref="AG1026:AG1089" si="198">IF(B1026="","",YEAR(B1026))</f>
        <v>2024</v>
      </c>
      <c r="AH1026" s="8">
        <f t="shared" ref="AH1026:AH1089" si="199">IF(B1026="","",MONTH(B1026))</f>
        <v>8</v>
      </c>
      <c r="AI1026" s="5" t="str">
        <f t="shared" ref="AI1026:AI1089" si="200">IF(B1026="","",TEXT(B1026,"mmm"))</f>
        <v>Aug</v>
      </c>
      <c r="AJ1026" s="5" t="str">
        <f t="shared" ref="AJ1026:AJ1089" si="201">IF(B1026="","",TEXT(B1026,"dddd"))</f>
        <v>Tuesday</v>
      </c>
    </row>
    <row r="1027" spans="1:36" x14ac:dyDescent="0.3">
      <c r="A1027" s="5" t="s">
        <v>1061</v>
      </c>
      <c r="B1027" s="6">
        <v>45365</v>
      </c>
      <c r="C1027" s="7">
        <v>0.51388888888888884</v>
      </c>
      <c r="D1027" s="5" t="s">
        <v>1812</v>
      </c>
      <c r="E1027" s="5" t="s">
        <v>1997</v>
      </c>
      <c r="F1027" s="5" t="s">
        <v>1761</v>
      </c>
      <c r="G1027" s="5" t="s">
        <v>2243</v>
      </c>
      <c r="H1027" s="5" t="s">
        <v>2258</v>
      </c>
      <c r="I1027" s="5" t="s">
        <v>2260</v>
      </c>
      <c r="J1027" s="5" t="s">
        <v>2264</v>
      </c>
      <c r="K1027" s="8">
        <v>5</v>
      </c>
      <c r="L1027" s="9">
        <v>80</v>
      </c>
      <c r="M1027" s="10">
        <v>0.15</v>
      </c>
      <c r="N1027" s="9">
        <f t="shared" ref="N1027:N1090" si="202">IFERROR(K1027*L1027,"")</f>
        <v>400</v>
      </c>
      <c r="O1027" s="9">
        <f t="shared" si="192"/>
        <v>340</v>
      </c>
      <c r="P1027" s="5" t="s">
        <v>2268</v>
      </c>
      <c r="Q1027" s="5" t="s">
        <v>1761</v>
      </c>
      <c r="R1027" s="5" t="s">
        <v>2275</v>
      </c>
      <c r="S1027" s="5" t="s">
        <v>2280</v>
      </c>
      <c r="T1027" s="5" t="s">
        <v>2288</v>
      </c>
      <c r="U1027" s="8">
        <v>1</v>
      </c>
      <c r="V1027" s="19">
        <v>244</v>
      </c>
      <c r="W1027" s="8">
        <v>13</v>
      </c>
      <c r="X1027" s="9">
        <v>31.85</v>
      </c>
      <c r="Y1027" s="9">
        <f t="shared" si="193"/>
        <v>180.75</v>
      </c>
      <c r="Z1027" s="5" t="s">
        <v>1761</v>
      </c>
      <c r="AA1027" s="5" t="s">
        <v>2296</v>
      </c>
      <c r="AB1027" s="9">
        <f t="shared" si="194"/>
        <v>400</v>
      </c>
      <c r="AC1027" s="9">
        <f t="shared" si="195"/>
        <v>60</v>
      </c>
      <c r="AD1027" s="9">
        <f t="shared" si="196"/>
        <v>340</v>
      </c>
      <c r="AE1027" s="9">
        <f t="shared" si="197"/>
        <v>159.25</v>
      </c>
      <c r="AF1027" s="9">
        <f t="shared" ref="AF1027:AF1090" si="203">Y1027</f>
        <v>180.75</v>
      </c>
      <c r="AG1027" s="8">
        <f t="shared" si="198"/>
        <v>2024</v>
      </c>
      <c r="AH1027" s="8">
        <f t="shared" si="199"/>
        <v>3</v>
      </c>
      <c r="AI1027" s="5" t="str">
        <f t="shared" si="200"/>
        <v>Mar</v>
      </c>
      <c r="AJ1027" s="5" t="str">
        <f t="shared" si="201"/>
        <v>Thursday</v>
      </c>
    </row>
    <row r="1028" spans="1:36" x14ac:dyDescent="0.3">
      <c r="A1028" s="5" t="s">
        <v>1062</v>
      </c>
      <c r="B1028" s="6">
        <v>45403</v>
      </c>
      <c r="C1028" s="7">
        <v>0.32291666666666669</v>
      </c>
      <c r="D1028" s="5" t="s">
        <v>1837</v>
      </c>
      <c r="E1028" s="5" t="s">
        <v>2045</v>
      </c>
      <c r="F1028" s="5" t="s">
        <v>2238</v>
      </c>
      <c r="G1028" s="5" t="s">
        <v>2252</v>
      </c>
      <c r="H1028" s="5" t="s">
        <v>2257</v>
      </c>
      <c r="I1028" s="5" t="s">
        <v>2262</v>
      </c>
      <c r="J1028" s="5" t="s">
        <v>2264</v>
      </c>
      <c r="K1028" s="8">
        <v>1</v>
      </c>
      <c r="L1028" s="9">
        <v>85</v>
      </c>
      <c r="M1028" s="10">
        <v>0</v>
      </c>
      <c r="N1028" s="9">
        <f t="shared" si="202"/>
        <v>85</v>
      </c>
      <c r="O1028" s="9">
        <f t="shared" si="192"/>
        <v>85</v>
      </c>
      <c r="P1028" s="5" t="s">
        <v>2269</v>
      </c>
      <c r="Q1028" s="5" t="s">
        <v>2270</v>
      </c>
      <c r="R1028" s="5" t="s">
        <v>2279</v>
      </c>
      <c r="S1028" s="5" t="s">
        <v>2285</v>
      </c>
      <c r="T1028" s="5" t="s">
        <v>2288</v>
      </c>
      <c r="U1028" s="8">
        <v>5</v>
      </c>
      <c r="V1028" s="8">
        <v>278</v>
      </c>
      <c r="W1028" s="8">
        <v>35</v>
      </c>
      <c r="X1028" s="9">
        <v>33.82</v>
      </c>
      <c r="Y1028" s="9">
        <f t="shared" si="193"/>
        <v>51.18</v>
      </c>
      <c r="Z1028" s="5" t="s">
        <v>2294</v>
      </c>
      <c r="AA1028" s="5" t="s">
        <v>2296</v>
      </c>
      <c r="AB1028" s="9">
        <f t="shared" si="194"/>
        <v>85</v>
      </c>
      <c r="AC1028" s="9">
        <f t="shared" si="195"/>
        <v>0</v>
      </c>
      <c r="AD1028" s="9">
        <f t="shared" si="196"/>
        <v>85</v>
      </c>
      <c r="AE1028" s="9">
        <f t="shared" si="197"/>
        <v>33.82</v>
      </c>
      <c r="AF1028" s="9">
        <f t="shared" si="203"/>
        <v>51.18</v>
      </c>
      <c r="AG1028" s="8">
        <f t="shared" si="198"/>
        <v>2024</v>
      </c>
      <c r="AH1028" s="8">
        <f t="shared" si="199"/>
        <v>4</v>
      </c>
      <c r="AI1028" s="5" t="str">
        <f t="shared" si="200"/>
        <v>Apr</v>
      </c>
      <c r="AJ1028" s="5" t="str">
        <f t="shared" si="201"/>
        <v>Sunday</v>
      </c>
    </row>
    <row r="1029" spans="1:36" x14ac:dyDescent="0.3">
      <c r="A1029" s="5" t="s">
        <v>1063</v>
      </c>
      <c r="B1029" s="6">
        <v>45330</v>
      </c>
      <c r="C1029" s="7">
        <v>0.42708333333333331</v>
      </c>
      <c r="D1029" s="5" t="s">
        <v>1745</v>
      </c>
      <c r="E1029" s="5" t="s">
        <v>1761</v>
      </c>
      <c r="F1029" s="5" t="s">
        <v>2240</v>
      </c>
      <c r="G1029" s="5" t="s">
        <v>2246</v>
      </c>
      <c r="H1029" s="5" t="s">
        <v>2259</v>
      </c>
      <c r="I1029" s="5" t="s">
        <v>2262</v>
      </c>
      <c r="J1029" s="5" t="s">
        <v>2265</v>
      </c>
      <c r="K1029" s="8">
        <v>1</v>
      </c>
      <c r="L1029" s="9">
        <v>95</v>
      </c>
      <c r="M1029" s="10">
        <v>0</v>
      </c>
      <c r="N1029" s="9">
        <f t="shared" si="202"/>
        <v>95</v>
      </c>
      <c r="O1029" s="9">
        <f t="shared" si="192"/>
        <v>95</v>
      </c>
      <c r="P1029" s="5" t="s">
        <v>2267</v>
      </c>
      <c r="Q1029" s="5" t="s">
        <v>2270</v>
      </c>
      <c r="R1029" s="5" t="s">
        <v>2276</v>
      </c>
      <c r="S1029" s="5" t="s">
        <v>2286</v>
      </c>
      <c r="T1029" s="5" t="s">
        <v>2290</v>
      </c>
      <c r="U1029" s="8">
        <v>5</v>
      </c>
      <c r="V1029" s="8">
        <v>442</v>
      </c>
      <c r="W1029" s="8">
        <v>16</v>
      </c>
      <c r="X1029" s="9">
        <v>46</v>
      </c>
      <c r="Y1029" s="9">
        <f t="shared" si="193"/>
        <v>49</v>
      </c>
      <c r="Z1029" s="5" t="s">
        <v>1761</v>
      </c>
      <c r="AA1029" s="5" t="s">
        <v>2297</v>
      </c>
      <c r="AB1029" s="9">
        <f t="shared" si="194"/>
        <v>95</v>
      </c>
      <c r="AC1029" s="9">
        <f t="shared" si="195"/>
        <v>0</v>
      </c>
      <c r="AD1029" s="9">
        <f t="shared" si="196"/>
        <v>95</v>
      </c>
      <c r="AE1029" s="9">
        <f t="shared" si="197"/>
        <v>46</v>
      </c>
      <c r="AF1029" s="9">
        <f t="shared" si="203"/>
        <v>49</v>
      </c>
      <c r="AG1029" s="8">
        <f t="shared" si="198"/>
        <v>2024</v>
      </c>
      <c r="AH1029" s="8">
        <f t="shared" si="199"/>
        <v>2</v>
      </c>
      <c r="AI1029" s="5" t="str">
        <f t="shared" si="200"/>
        <v>Feb</v>
      </c>
      <c r="AJ1029" s="5" t="str">
        <f t="shared" si="201"/>
        <v>Thursday</v>
      </c>
    </row>
    <row r="1030" spans="1:36" x14ac:dyDescent="0.3">
      <c r="A1030" s="5" t="s">
        <v>1064</v>
      </c>
      <c r="B1030" s="6">
        <v>45376</v>
      </c>
      <c r="C1030" s="7">
        <v>0.88194444444444442</v>
      </c>
      <c r="D1030" s="5" t="s">
        <v>1805</v>
      </c>
      <c r="E1030" s="5" t="s">
        <v>1761</v>
      </c>
      <c r="F1030" s="5" t="s">
        <v>2239</v>
      </c>
      <c r="G1030" s="5" t="s">
        <v>2255</v>
      </c>
      <c r="H1030" s="5" t="s">
        <v>2260</v>
      </c>
      <c r="I1030" s="5" t="s">
        <v>2260</v>
      </c>
      <c r="J1030" s="5" t="s">
        <v>2264</v>
      </c>
      <c r="K1030" s="8">
        <v>2</v>
      </c>
      <c r="L1030" s="9">
        <v>180</v>
      </c>
      <c r="M1030" s="10">
        <v>0.1</v>
      </c>
      <c r="N1030" s="9">
        <f t="shared" si="202"/>
        <v>360</v>
      </c>
      <c r="O1030" s="9">
        <f t="shared" si="192"/>
        <v>324</v>
      </c>
      <c r="P1030" s="5" t="s">
        <v>2267</v>
      </c>
      <c r="Q1030" s="5" t="s">
        <v>2272</v>
      </c>
      <c r="R1030" s="5" t="s">
        <v>2274</v>
      </c>
      <c r="S1030" s="5" t="s">
        <v>2280</v>
      </c>
      <c r="T1030" s="5" t="s">
        <v>2288</v>
      </c>
      <c r="U1030" s="8">
        <v>5</v>
      </c>
      <c r="V1030" s="8">
        <v>386</v>
      </c>
      <c r="W1030" s="8">
        <v>31</v>
      </c>
      <c r="X1030" s="9">
        <v>89.46</v>
      </c>
      <c r="Y1030" s="9">
        <f t="shared" si="193"/>
        <v>145.08000000000001</v>
      </c>
      <c r="Z1030" s="5" t="s">
        <v>2293</v>
      </c>
      <c r="AA1030" s="5" t="s">
        <v>2296</v>
      </c>
      <c r="AB1030" s="9">
        <f t="shared" si="194"/>
        <v>360</v>
      </c>
      <c r="AC1030" s="9">
        <f t="shared" si="195"/>
        <v>36</v>
      </c>
      <c r="AD1030" s="9">
        <f t="shared" si="196"/>
        <v>324</v>
      </c>
      <c r="AE1030" s="9">
        <f t="shared" si="197"/>
        <v>178.92</v>
      </c>
      <c r="AF1030" s="9">
        <f t="shared" si="203"/>
        <v>145.08000000000001</v>
      </c>
      <c r="AG1030" s="8">
        <f t="shared" si="198"/>
        <v>2024</v>
      </c>
      <c r="AH1030" s="8">
        <f t="shared" si="199"/>
        <v>3</v>
      </c>
      <c r="AI1030" s="5" t="str">
        <f t="shared" si="200"/>
        <v>Mar</v>
      </c>
      <c r="AJ1030" s="5" t="str">
        <f t="shared" si="201"/>
        <v>Monday</v>
      </c>
    </row>
    <row r="1031" spans="1:36" x14ac:dyDescent="0.3">
      <c r="A1031" s="5" t="s">
        <v>1065</v>
      </c>
      <c r="B1031" s="6">
        <v>45542</v>
      </c>
      <c r="C1031" s="7">
        <v>0.44791666666666669</v>
      </c>
      <c r="D1031" s="5" t="s">
        <v>1931</v>
      </c>
      <c r="E1031" s="5" t="s">
        <v>2127</v>
      </c>
      <c r="F1031" s="5" t="s">
        <v>2240</v>
      </c>
      <c r="G1031" s="5" t="s">
        <v>2252</v>
      </c>
      <c r="H1031" s="5" t="s">
        <v>2257</v>
      </c>
      <c r="I1031" s="5" t="s">
        <v>2262</v>
      </c>
      <c r="J1031" s="5" t="s">
        <v>2264</v>
      </c>
      <c r="K1031" s="8">
        <v>2</v>
      </c>
      <c r="L1031" s="9">
        <v>85</v>
      </c>
      <c r="M1031" s="10">
        <v>0</v>
      </c>
      <c r="N1031" s="9">
        <f t="shared" si="202"/>
        <v>170</v>
      </c>
      <c r="O1031" s="9">
        <f t="shared" si="192"/>
        <v>170</v>
      </c>
      <c r="P1031" s="5" t="s">
        <v>2269</v>
      </c>
      <c r="Q1031" s="5" t="s">
        <v>2272</v>
      </c>
      <c r="R1031" s="5" t="s">
        <v>2277</v>
      </c>
      <c r="S1031" s="5" t="s">
        <v>2284</v>
      </c>
      <c r="T1031" s="5" t="s">
        <v>2290</v>
      </c>
      <c r="U1031" s="8">
        <v>5</v>
      </c>
      <c r="V1031" s="8">
        <v>398</v>
      </c>
      <c r="W1031" s="8">
        <v>35</v>
      </c>
      <c r="X1031" s="9">
        <v>43.18</v>
      </c>
      <c r="Y1031" s="9">
        <f t="shared" si="193"/>
        <v>83.64</v>
      </c>
      <c r="Z1031" s="5" t="s">
        <v>2294</v>
      </c>
      <c r="AA1031" s="5" t="s">
        <v>2297</v>
      </c>
      <c r="AB1031" s="9">
        <f t="shared" si="194"/>
        <v>170</v>
      </c>
      <c r="AC1031" s="9">
        <f t="shared" si="195"/>
        <v>0</v>
      </c>
      <c r="AD1031" s="9">
        <f t="shared" si="196"/>
        <v>170</v>
      </c>
      <c r="AE1031" s="9">
        <f t="shared" si="197"/>
        <v>86.36</v>
      </c>
      <c r="AF1031" s="9">
        <f t="shared" si="203"/>
        <v>83.64</v>
      </c>
      <c r="AG1031" s="8">
        <f t="shared" si="198"/>
        <v>2024</v>
      </c>
      <c r="AH1031" s="8">
        <f t="shared" si="199"/>
        <v>9</v>
      </c>
      <c r="AI1031" s="5" t="str">
        <f t="shared" si="200"/>
        <v>Sep</v>
      </c>
      <c r="AJ1031" s="5" t="str">
        <f t="shared" si="201"/>
        <v>Saturday</v>
      </c>
    </row>
    <row r="1032" spans="1:36" x14ac:dyDescent="0.3">
      <c r="A1032" s="5" t="s">
        <v>1066</v>
      </c>
      <c r="B1032" s="6">
        <v>45626</v>
      </c>
      <c r="C1032" s="7">
        <v>0.41666666666666669</v>
      </c>
      <c r="D1032" s="5" t="s">
        <v>1769</v>
      </c>
      <c r="E1032" s="5" t="s">
        <v>2138</v>
      </c>
      <c r="F1032" s="5" t="s">
        <v>1761</v>
      </c>
      <c r="G1032" s="5" t="s">
        <v>2252</v>
      </c>
      <c r="H1032" s="5" t="s">
        <v>2257</v>
      </c>
      <c r="I1032" s="5" t="s">
        <v>2262</v>
      </c>
      <c r="J1032" s="5" t="s">
        <v>2264</v>
      </c>
      <c r="K1032" s="8">
        <v>3</v>
      </c>
      <c r="L1032" s="9">
        <v>90</v>
      </c>
      <c r="M1032" s="10">
        <v>0</v>
      </c>
      <c r="N1032" s="9">
        <f t="shared" si="202"/>
        <v>270</v>
      </c>
      <c r="O1032" s="9">
        <f t="shared" si="192"/>
        <v>270</v>
      </c>
      <c r="P1032" s="5" t="s">
        <v>2267</v>
      </c>
      <c r="Q1032" s="5" t="s">
        <v>1761</v>
      </c>
      <c r="R1032" s="5" t="s">
        <v>2279</v>
      </c>
      <c r="S1032" s="5" t="s">
        <v>2281</v>
      </c>
      <c r="T1032" s="5" t="s">
        <v>2288</v>
      </c>
      <c r="U1032" s="8">
        <v>3</v>
      </c>
      <c r="V1032" s="8">
        <v>486</v>
      </c>
      <c r="W1032" s="19">
        <v>36</v>
      </c>
      <c r="X1032" s="9">
        <v>50.09</v>
      </c>
      <c r="Y1032" s="9">
        <f t="shared" si="193"/>
        <v>119.72999999999999</v>
      </c>
      <c r="Z1032" s="5" t="s">
        <v>2293</v>
      </c>
      <c r="AA1032" s="5" t="s">
        <v>2299</v>
      </c>
      <c r="AB1032" s="9">
        <f t="shared" si="194"/>
        <v>270</v>
      </c>
      <c r="AC1032" s="9">
        <f t="shared" si="195"/>
        <v>0</v>
      </c>
      <c r="AD1032" s="9">
        <f t="shared" si="196"/>
        <v>270</v>
      </c>
      <c r="AE1032" s="9">
        <f t="shared" si="197"/>
        <v>150.27000000000001</v>
      </c>
      <c r="AF1032" s="9">
        <f t="shared" si="203"/>
        <v>119.72999999999999</v>
      </c>
      <c r="AG1032" s="8">
        <f t="shared" si="198"/>
        <v>2024</v>
      </c>
      <c r="AH1032" s="8">
        <f t="shared" si="199"/>
        <v>11</v>
      </c>
      <c r="AI1032" s="5" t="str">
        <f t="shared" si="200"/>
        <v>Nov</v>
      </c>
      <c r="AJ1032" s="5" t="str">
        <f t="shared" si="201"/>
        <v>Saturday</v>
      </c>
    </row>
    <row r="1033" spans="1:36" x14ac:dyDescent="0.3">
      <c r="A1033" s="5" t="s">
        <v>1067</v>
      </c>
      <c r="B1033" s="6">
        <v>45656</v>
      </c>
      <c r="C1033" s="7">
        <v>0.49305555555555558</v>
      </c>
      <c r="D1033" s="5" t="s">
        <v>1791</v>
      </c>
      <c r="E1033" s="5" t="s">
        <v>1980</v>
      </c>
      <c r="F1033" s="5" t="s">
        <v>1761</v>
      </c>
      <c r="G1033" s="5" t="s">
        <v>2251</v>
      </c>
      <c r="H1033" s="5" t="s">
        <v>2258</v>
      </c>
      <c r="I1033" s="5" t="s">
        <v>2260</v>
      </c>
      <c r="J1033" s="5" t="s">
        <v>2265</v>
      </c>
      <c r="K1033" s="8">
        <v>1</v>
      </c>
      <c r="L1033" s="9">
        <v>100</v>
      </c>
      <c r="M1033" s="10">
        <v>0</v>
      </c>
      <c r="N1033" s="9">
        <f t="shared" si="202"/>
        <v>100</v>
      </c>
      <c r="O1033" s="9">
        <f t="shared" si="192"/>
        <v>100</v>
      </c>
      <c r="P1033" s="5" t="s">
        <v>2267</v>
      </c>
      <c r="Q1033" s="5" t="s">
        <v>2272</v>
      </c>
      <c r="R1033" s="5" t="s">
        <v>2277</v>
      </c>
      <c r="S1033" s="5" t="s">
        <v>2280</v>
      </c>
      <c r="T1033" s="5" t="s">
        <v>2288</v>
      </c>
      <c r="U1033" s="19">
        <v>3</v>
      </c>
      <c r="V1033" s="8">
        <v>442</v>
      </c>
      <c r="W1033" s="8">
        <v>51</v>
      </c>
      <c r="X1033" s="9">
        <v>57.5</v>
      </c>
      <c r="Y1033" s="9">
        <f t="shared" si="193"/>
        <v>42.5</v>
      </c>
      <c r="Z1033" s="5" t="s">
        <v>2293</v>
      </c>
      <c r="AA1033" s="5" t="s">
        <v>2299</v>
      </c>
      <c r="AB1033" s="9">
        <f t="shared" si="194"/>
        <v>100</v>
      </c>
      <c r="AC1033" s="9">
        <f t="shared" si="195"/>
        <v>0</v>
      </c>
      <c r="AD1033" s="9">
        <f t="shared" si="196"/>
        <v>100</v>
      </c>
      <c r="AE1033" s="9">
        <f t="shared" si="197"/>
        <v>57.5</v>
      </c>
      <c r="AF1033" s="9">
        <f t="shared" si="203"/>
        <v>42.5</v>
      </c>
      <c r="AG1033" s="8">
        <f t="shared" si="198"/>
        <v>2024</v>
      </c>
      <c r="AH1033" s="8">
        <f t="shared" si="199"/>
        <v>12</v>
      </c>
      <c r="AI1033" s="5" t="str">
        <f t="shared" si="200"/>
        <v>Dec</v>
      </c>
      <c r="AJ1033" s="5" t="str">
        <f t="shared" si="201"/>
        <v>Monday</v>
      </c>
    </row>
    <row r="1034" spans="1:36" x14ac:dyDescent="0.3">
      <c r="A1034" s="5" t="s">
        <v>1068</v>
      </c>
      <c r="B1034" s="6">
        <v>45477</v>
      </c>
      <c r="C1034" s="7">
        <v>0.38541666666666669</v>
      </c>
      <c r="D1034" s="5" t="s">
        <v>1750</v>
      </c>
      <c r="E1034" s="5" t="s">
        <v>2136</v>
      </c>
      <c r="F1034" s="5" t="s">
        <v>2239</v>
      </c>
      <c r="G1034" s="5" t="s">
        <v>2247</v>
      </c>
      <c r="H1034" s="5" t="s">
        <v>2257</v>
      </c>
      <c r="I1034" s="5" t="s">
        <v>2262</v>
      </c>
      <c r="J1034" s="5" t="s">
        <v>2266</v>
      </c>
      <c r="K1034" s="8">
        <v>4</v>
      </c>
      <c r="L1034" s="9">
        <v>100</v>
      </c>
      <c r="M1034" s="10">
        <v>0.1</v>
      </c>
      <c r="N1034" s="9">
        <f t="shared" si="202"/>
        <v>400</v>
      </c>
      <c r="O1034" s="9">
        <f t="shared" si="192"/>
        <v>360</v>
      </c>
      <c r="P1034" s="5" t="s">
        <v>2268</v>
      </c>
      <c r="Q1034" s="5" t="s">
        <v>1761</v>
      </c>
      <c r="R1034" s="5" t="s">
        <v>2273</v>
      </c>
      <c r="S1034" s="5" t="s">
        <v>2283</v>
      </c>
      <c r="T1034" s="5" t="s">
        <v>2288</v>
      </c>
      <c r="U1034" s="8">
        <v>5</v>
      </c>
      <c r="V1034" s="19">
        <v>244</v>
      </c>
      <c r="W1034" s="19">
        <v>36</v>
      </c>
      <c r="X1034" s="9">
        <v>57.76</v>
      </c>
      <c r="Y1034" s="9">
        <f t="shared" si="193"/>
        <v>128.96</v>
      </c>
      <c r="Z1034" s="5" t="s">
        <v>2292</v>
      </c>
      <c r="AA1034" s="5" t="s">
        <v>2296</v>
      </c>
      <c r="AB1034" s="9">
        <f t="shared" si="194"/>
        <v>400</v>
      </c>
      <c r="AC1034" s="9">
        <f t="shared" si="195"/>
        <v>40</v>
      </c>
      <c r="AD1034" s="9">
        <f t="shared" si="196"/>
        <v>360</v>
      </c>
      <c r="AE1034" s="9">
        <f t="shared" si="197"/>
        <v>231.04</v>
      </c>
      <c r="AF1034" s="9">
        <f t="shared" si="203"/>
        <v>128.96</v>
      </c>
      <c r="AG1034" s="8">
        <f t="shared" si="198"/>
        <v>2024</v>
      </c>
      <c r="AH1034" s="8">
        <f t="shared" si="199"/>
        <v>7</v>
      </c>
      <c r="AI1034" s="5" t="str">
        <f t="shared" si="200"/>
        <v>Jul</v>
      </c>
      <c r="AJ1034" s="5" t="str">
        <f t="shared" si="201"/>
        <v>Thursday</v>
      </c>
    </row>
    <row r="1035" spans="1:36" x14ac:dyDescent="0.3">
      <c r="A1035" s="5" t="s">
        <v>1069</v>
      </c>
      <c r="B1035" s="6">
        <v>45325</v>
      </c>
      <c r="C1035" s="7">
        <v>0.55555555555555558</v>
      </c>
      <c r="D1035" s="5" t="s">
        <v>1856</v>
      </c>
      <c r="E1035" s="5" t="s">
        <v>2140</v>
      </c>
      <c r="F1035" s="5" t="s">
        <v>2239</v>
      </c>
      <c r="G1035" s="5" t="s">
        <v>2249</v>
      </c>
      <c r="H1035" s="5" t="s">
        <v>2257</v>
      </c>
      <c r="I1035" s="5" t="s">
        <v>2263</v>
      </c>
      <c r="J1035" s="5" t="s">
        <v>2266</v>
      </c>
      <c r="K1035" s="8">
        <v>2</v>
      </c>
      <c r="L1035" s="9">
        <v>170</v>
      </c>
      <c r="M1035" s="10">
        <v>0</v>
      </c>
      <c r="N1035" s="9">
        <f t="shared" si="202"/>
        <v>340</v>
      </c>
      <c r="O1035" s="9">
        <f t="shared" si="192"/>
        <v>340</v>
      </c>
      <c r="P1035" s="5" t="s">
        <v>2267</v>
      </c>
      <c r="Q1035" s="5" t="s">
        <v>2270</v>
      </c>
      <c r="R1035" s="5" t="s">
        <v>2276</v>
      </c>
      <c r="S1035" s="5" t="s">
        <v>2286</v>
      </c>
      <c r="T1035" s="5" t="s">
        <v>2288</v>
      </c>
      <c r="U1035" s="8">
        <v>1</v>
      </c>
      <c r="V1035" s="8">
        <v>320</v>
      </c>
      <c r="W1035" s="8">
        <v>23</v>
      </c>
      <c r="X1035" s="9">
        <v>89.49</v>
      </c>
      <c r="Y1035" s="9">
        <f t="shared" si="193"/>
        <v>161.02000000000001</v>
      </c>
      <c r="Z1035" s="5" t="s">
        <v>1761</v>
      </c>
      <c r="AA1035" s="5" t="s">
        <v>1761</v>
      </c>
      <c r="AB1035" s="9">
        <f t="shared" si="194"/>
        <v>340</v>
      </c>
      <c r="AC1035" s="9">
        <f t="shared" si="195"/>
        <v>0</v>
      </c>
      <c r="AD1035" s="9">
        <f t="shared" si="196"/>
        <v>340</v>
      </c>
      <c r="AE1035" s="9">
        <f t="shared" si="197"/>
        <v>178.98</v>
      </c>
      <c r="AF1035" s="9">
        <f t="shared" si="203"/>
        <v>161.02000000000001</v>
      </c>
      <c r="AG1035" s="8">
        <f t="shared" si="198"/>
        <v>2024</v>
      </c>
      <c r="AH1035" s="8">
        <f t="shared" si="199"/>
        <v>2</v>
      </c>
      <c r="AI1035" s="5" t="str">
        <f t="shared" si="200"/>
        <v>Feb</v>
      </c>
      <c r="AJ1035" s="5" t="str">
        <f t="shared" si="201"/>
        <v>Saturday</v>
      </c>
    </row>
    <row r="1036" spans="1:36" x14ac:dyDescent="0.3">
      <c r="A1036" s="5" t="s">
        <v>1070</v>
      </c>
      <c r="B1036" s="6">
        <v>45428</v>
      </c>
      <c r="C1036" s="7">
        <v>0.32291666666666669</v>
      </c>
      <c r="D1036" s="5" t="s">
        <v>1761</v>
      </c>
      <c r="E1036" s="5" t="s">
        <v>2138</v>
      </c>
      <c r="F1036" s="5" t="s">
        <v>2240</v>
      </c>
      <c r="G1036" s="5" t="s">
        <v>2247</v>
      </c>
      <c r="H1036" s="5" t="s">
        <v>2257</v>
      </c>
      <c r="I1036" s="5" t="s">
        <v>2262</v>
      </c>
      <c r="J1036" s="5" t="s">
        <v>2265</v>
      </c>
      <c r="K1036" s="8">
        <v>2</v>
      </c>
      <c r="L1036" s="9">
        <v>100</v>
      </c>
      <c r="M1036" s="10">
        <v>0</v>
      </c>
      <c r="N1036" s="9">
        <f t="shared" si="202"/>
        <v>200</v>
      </c>
      <c r="O1036" s="9">
        <f t="shared" si="192"/>
        <v>200</v>
      </c>
      <c r="P1036" s="5" t="s">
        <v>2267</v>
      </c>
      <c r="Q1036" s="5" t="s">
        <v>2272</v>
      </c>
      <c r="R1036" s="5" t="s">
        <v>2276</v>
      </c>
      <c r="S1036" s="5" t="s">
        <v>2282</v>
      </c>
      <c r="T1036" s="5" t="s">
        <v>2290</v>
      </c>
      <c r="U1036" s="8">
        <v>2</v>
      </c>
      <c r="V1036" s="8">
        <v>321</v>
      </c>
      <c r="W1036" s="19">
        <v>35</v>
      </c>
      <c r="X1036" s="9">
        <v>59.82</v>
      </c>
      <c r="Y1036" s="9">
        <f t="shared" si="193"/>
        <v>80.36</v>
      </c>
      <c r="Z1036" s="5" t="s">
        <v>2295</v>
      </c>
      <c r="AA1036" s="5" t="s">
        <v>1761</v>
      </c>
      <c r="AB1036" s="9">
        <f t="shared" si="194"/>
        <v>200</v>
      </c>
      <c r="AC1036" s="9">
        <f t="shared" si="195"/>
        <v>0</v>
      </c>
      <c r="AD1036" s="9">
        <f t="shared" si="196"/>
        <v>200</v>
      </c>
      <c r="AE1036" s="9">
        <f t="shared" si="197"/>
        <v>119.64</v>
      </c>
      <c r="AF1036" s="9">
        <f t="shared" si="203"/>
        <v>80.36</v>
      </c>
      <c r="AG1036" s="8">
        <f t="shared" si="198"/>
        <v>2024</v>
      </c>
      <c r="AH1036" s="8">
        <f t="shared" si="199"/>
        <v>5</v>
      </c>
      <c r="AI1036" s="5" t="str">
        <f t="shared" si="200"/>
        <v>May</v>
      </c>
      <c r="AJ1036" s="5" t="str">
        <f t="shared" si="201"/>
        <v>Thursday</v>
      </c>
    </row>
    <row r="1037" spans="1:36" x14ac:dyDescent="0.3">
      <c r="A1037" s="5" t="s">
        <v>1071</v>
      </c>
      <c r="B1037" s="6">
        <v>45654</v>
      </c>
      <c r="C1037" s="7">
        <v>0.33333333333333331</v>
      </c>
      <c r="D1037" s="5" t="s">
        <v>1742</v>
      </c>
      <c r="E1037" s="5" t="s">
        <v>2015</v>
      </c>
      <c r="F1037" s="5" t="s">
        <v>2239</v>
      </c>
      <c r="G1037" s="5" t="s">
        <v>2243</v>
      </c>
      <c r="H1037" s="5" t="s">
        <v>2258</v>
      </c>
      <c r="I1037" s="5" t="s">
        <v>2260</v>
      </c>
      <c r="J1037" s="5" t="s">
        <v>2264</v>
      </c>
      <c r="K1037" s="8">
        <v>2</v>
      </c>
      <c r="L1037" s="9">
        <v>70</v>
      </c>
      <c r="M1037" s="10">
        <v>0.05</v>
      </c>
      <c r="N1037" s="9">
        <f t="shared" si="202"/>
        <v>140</v>
      </c>
      <c r="O1037" s="9">
        <f t="shared" si="192"/>
        <v>133</v>
      </c>
      <c r="P1037" s="5" t="s">
        <v>2267</v>
      </c>
      <c r="Q1037" s="5" t="s">
        <v>2272</v>
      </c>
      <c r="R1037" s="5" t="s">
        <v>2276</v>
      </c>
      <c r="S1037" s="5" t="s">
        <v>2287</v>
      </c>
      <c r="T1037" s="5" t="s">
        <v>2288</v>
      </c>
      <c r="U1037" s="8">
        <v>5</v>
      </c>
      <c r="V1037" s="8">
        <v>22</v>
      </c>
      <c r="W1037" s="8">
        <v>47</v>
      </c>
      <c r="X1037" s="9">
        <v>40.68</v>
      </c>
      <c r="Y1037" s="9">
        <f t="shared" si="193"/>
        <v>51.64</v>
      </c>
      <c r="Z1037" s="5" t="s">
        <v>1761</v>
      </c>
      <c r="AA1037" s="5" t="s">
        <v>2297</v>
      </c>
      <c r="AB1037" s="9">
        <f t="shared" si="194"/>
        <v>140</v>
      </c>
      <c r="AC1037" s="9">
        <f t="shared" si="195"/>
        <v>7</v>
      </c>
      <c r="AD1037" s="9">
        <f t="shared" si="196"/>
        <v>133</v>
      </c>
      <c r="AE1037" s="9">
        <f t="shared" si="197"/>
        <v>81.36</v>
      </c>
      <c r="AF1037" s="9">
        <f t="shared" si="203"/>
        <v>51.64</v>
      </c>
      <c r="AG1037" s="8">
        <f t="shared" si="198"/>
        <v>2024</v>
      </c>
      <c r="AH1037" s="8">
        <f t="shared" si="199"/>
        <v>12</v>
      </c>
      <c r="AI1037" s="5" t="str">
        <f t="shared" si="200"/>
        <v>Dec</v>
      </c>
      <c r="AJ1037" s="5" t="str">
        <f t="shared" si="201"/>
        <v>Saturday</v>
      </c>
    </row>
    <row r="1038" spans="1:36" x14ac:dyDescent="0.3">
      <c r="A1038" s="5" t="s">
        <v>1072</v>
      </c>
      <c r="B1038" s="6">
        <v>45325</v>
      </c>
      <c r="C1038" s="7">
        <v>0.76388888888888884</v>
      </c>
      <c r="D1038" s="5" t="s">
        <v>1866</v>
      </c>
      <c r="E1038" s="5" t="s">
        <v>2111</v>
      </c>
      <c r="F1038" s="5" t="s">
        <v>2239</v>
      </c>
      <c r="G1038" s="5" t="s">
        <v>2245</v>
      </c>
      <c r="H1038" s="5" t="s">
        <v>2257</v>
      </c>
      <c r="I1038" s="5" t="s">
        <v>2263</v>
      </c>
      <c r="J1038" s="5" t="s">
        <v>2264</v>
      </c>
      <c r="K1038" s="8">
        <v>1</v>
      </c>
      <c r="L1038" s="9">
        <v>150</v>
      </c>
      <c r="M1038" s="10">
        <v>0.1</v>
      </c>
      <c r="N1038" s="9">
        <f t="shared" si="202"/>
        <v>150</v>
      </c>
      <c r="O1038" s="9">
        <f t="shared" si="192"/>
        <v>135</v>
      </c>
      <c r="P1038" s="5" t="s">
        <v>1761</v>
      </c>
      <c r="Q1038" s="5" t="s">
        <v>2270</v>
      </c>
      <c r="R1038" s="5" t="s">
        <v>2277</v>
      </c>
      <c r="S1038" s="5" t="s">
        <v>2286</v>
      </c>
      <c r="T1038" s="5" t="s">
        <v>2288</v>
      </c>
      <c r="U1038" s="8">
        <v>1</v>
      </c>
      <c r="V1038" s="8">
        <v>157</v>
      </c>
      <c r="W1038" s="8">
        <v>40</v>
      </c>
      <c r="X1038" s="9">
        <v>67.95</v>
      </c>
      <c r="Y1038" s="9">
        <f t="shared" si="193"/>
        <v>67.05</v>
      </c>
      <c r="Z1038" s="5" t="s">
        <v>2293</v>
      </c>
      <c r="AA1038" s="5" t="s">
        <v>2296</v>
      </c>
      <c r="AB1038" s="9">
        <f t="shared" si="194"/>
        <v>150</v>
      </c>
      <c r="AC1038" s="9">
        <f t="shared" si="195"/>
        <v>15</v>
      </c>
      <c r="AD1038" s="9">
        <f t="shared" si="196"/>
        <v>135</v>
      </c>
      <c r="AE1038" s="9">
        <f t="shared" si="197"/>
        <v>67.95</v>
      </c>
      <c r="AF1038" s="9">
        <f t="shared" si="203"/>
        <v>67.05</v>
      </c>
      <c r="AG1038" s="8">
        <f t="shared" si="198"/>
        <v>2024</v>
      </c>
      <c r="AH1038" s="8">
        <f t="shared" si="199"/>
        <v>2</v>
      </c>
      <c r="AI1038" s="5" t="str">
        <f t="shared" si="200"/>
        <v>Feb</v>
      </c>
      <c r="AJ1038" s="5" t="str">
        <f t="shared" si="201"/>
        <v>Saturday</v>
      </c>
    </row>
    <row r="1039" spans="1:36" x14ac:dyDescent="0.3">
      <c r="A1039" s="5" t="s">
        <v>1073</v>
      </c>
      <c r="B1039" s="6">
        <v>45367</v>
      </c>
      <c r="C1039" s="7">
        <v>0.42708333333333331</v>
      </c>
      <c r="D1039" s="5" t="s">
        <v>1752</v>
      </c>
      <c r="E1039" s="5" t="s">
        <v>2093</v>
      </c>
      <c r="F1039" s="5" t="s">
        <v>2239</v>
      </c>
      <c r="G1039" s="5" t="s">
        <v>2247</v>
      </c>
      <c r="H1039" s="5" t="s">
        <v>2257</v>
      </c>
      <c r="I1039" s="5" t="s">
        <v>2262</v>
      </c>
      <c r="J1039" s="5" t="s">
        <v>2265</v>
      </c>
      <c r="K1039" s="8">
        <v>2</v>
      </c>
      <c r="L1039" s="9">
        <v>100</v>
      </c>
      <c r="M1039" s="10">
        <v>0.15</v>
      </c>
      <c r="N1039" s="9">
        <f t="shared" si="202"/>
        <v>200</v>
      </c>
      <c r="O1039" s="9">
        <f t="shared" si="192"/>
        <v>170</v>
      </c>
      <c r="P1039" s="5" t="s">
        <v>1761</v>
      </c>
      <c r="Q1039" s="5" t="s">
        <v>2271</v>
      </c>
      <c r="R1039" s="5" t="s">
        <v>2279</v>
      </c>
      <c r="S1039" s="5" t="s">
        <v>2283</v>
      </c>
      <c r="T1039" s="5" t="s">
        <v>2288</v>
      </c>
      <c r="U1039" s="19">
        <v>3</v>
      </c>
      <c r="V1039" s="19">
        <v>244</v>
      </c>
      <c r="W1039" s="19">
        <v>37</v>
      </c>
      <c r="X1039" s="9">
        <v>52.05</v>
      </c>
      <c r="Y1039" s="9">
        <f t="shared" si="193"/>
        <v>65.900000000000006</v>
      </c>
      <c r="Z1039" s="5" t="s">
        <v>1761</v>
      </c>
      <c r="AA1039" s="5" t="s">
        <v>1761</v>
      </c>
      <c r="AB1039" s="9">
        <f t="shared" si="194"/>
        <v>200</v>
      </c>
      <c r="AC1039" s="9">
        <f t="shared" si="195"/>
        <v>30</v>
      </c>
      <c r="AD1039" s="9">
        <f t="shared" si="196"/>
        <v>170</v>
      </c>
      <c r="AE1039" s="9">
        <f t="shared" si="197"/>
        <v>104.1</v>
      </c>
      <c r="AF1039" s="9">
        <f t="shared" si="203"/>
        <v>65.900000000000006</v>
      </c>
      <c r="AG1039" s="8">
        <f t="shared" si="198"/>
        <v>2024</v>
      </c>
      <c r="AH1039" s="8">
        <f t="shared" si="199"/>
        <v>3</v>
      </c>
      <c r="AI1039" s="5" t="str">
        <f t="shared" si="200"/>
        <v>Mar</v>
      </c>
      <c r="AJ1039" s="5" t="str">
        <f t="shared" si="201"/>
        <v>Saturday</v>
      </c>
    </row>
    <row r="1040" spans="1:36" x14ac:dyDescent="0.3">
      <c r="A1040" s="5" t="s">
        <v>1074</v>
      </c>
      <c r="B1040" s="6">
        <v>45629</v>
      </c>
      <c r="C1040" s="7">
        <v>0.32291666666666669</v>
      </c>
      <c r="D1040" s="5" t="s">
        <v>1864</v>
      </c>
      <c r="E1040" s="5" t="s">
        <v>2017</v>
      </c>
      <c r="F1040" s="5" t="s">
        <v>2239</v>
      </c>
      <c r="G1040" s="5" t="s">
        <v>2252</v>
      </c>
      <c r="H1040" s="5" t="s">
        <v>2257</v>
      </c>
      <c r="I1040" s="5" t="s">
        <v>2262</v>
      </c>
      <c r="J1040" s="5" t="s">
        <v>1761</v>
      </c>
      <c r="K1040" s="8">
        <v>5</v>
      </c>
      <c r="L1040" s="9">
        <v>90</v>
      </c>
      <c r="M1040" s="10">
        <v>0</v>
      </c>
      <c r="N1040" s="9">
        <f t="shared" si="202"/>
        <v>450</v>
      </c>
      <c r="O1040" s="9">
        <f t="shared" si="192"/>
        <v>450</v>
      </c>
      <c r="P1040" s="5" t="s">
        <v>1761</v>
      </c>
      <c r="Q1040" s="5" t="s">
        <v>1761</v>
      </c>
      <c r="R1040" s="5" t="s">
        <v>2276</v>
      </c>
      <c r="S1040" s="5" t="s">
        <v>2286</v>
      </c>
      <c r="T1040" s="5" t="s">
        <v>2288</v>
      </c>
      <c r="U1040" s="8">
        <v>5</v>
      </c>
      <c r="V1040" s="8">
        <v>134</v>
      </c>
      <c r="W1040" s="8">
        <v>59</v>
      </c>
      <c r="X1040" s="9">
        <v>34.56</v>
      </c>
      <c r="Y1040" s="9">
        <f t="shared" si="193"/>
        <v>277.2</v>
      </c>
      <c r="Z1040" s="5" t="s">
        <v>2291</v>
      </c>
      <c r="AA1040" s="5" t="s">
        <v>2296</v>
      </c>
      <c r="AB1040" s="9">
        <f t="shared" si="194"/>
        <v>450</v>
      </c>
      <c r="AC1040" s="9">
        <f t="shared" si="195"/>
        <v>0</v>
      </c>
      <c r="AD1040" s="9">
        <f t="shared" si="196"/>
        <v>450</v>
      </c>
      <c r="AE1040" s="9">
        <f t="shared" si="197"/>
        <v>172.8</v>
      </c>
      <c r="AF1040" s="9">
        <f t="shared" si="203"/>
        <v>277.2</v>
      </c>
      <c r="AG1040" s="8">
        <f t="shared" si="198"/>
        <v>2024</v>
      </c>
      <c r="AH1040" s="8">
        <f t="shared" si="199"/>
        <v>12</v>
      </c>
      <c r="AI1040" s="5" t="str">
        <f t="shared" si="200"/>
        <v>Dec</v>
      </c>
      <c r="AJ1040" s="5" t="str">
        <f t="shared" si="201"/>
        <v>Tuesday</v>
      </c>
    </row>
    <row r="1041" spans="1:36" x14ac:dyDescent="0.3">
      <c r="A1041" s="5" t="s">
        <v>1075</v>
      </c>
      <c r="B1041" s="18">
        <v>45468</v>
      </c>
      <c r="C1041" s="7">
        <v>0.64583333333333337</v>
      </c>
      <c r="D1041" s="5" t="s">
        <v>1902</v>
      </c>
      <c r="E1041" s="5" t="s">
        <v>2102</v>
      </c>
      <c r="F1041" s="5" t="s">
        <v>2238</v>
      </c>
      <c r="G1041" s="5" t="s">
        <v>2254</v>
      </c>
      <c r="H1041" s="5" t="s">
        <v>2259</v>
      </c>
      <c r="I1041" s="5" t="s">
        <v>2263</v>
      </c>
      <c r="J1041" s="5" t="s">
        <v>2265</v>
      </c>
      <c r="K1041" s="8">
        <v>3</v>
      </c>
      <c r="L1041" s="9">
        <v>120</v>
      </c>
      <c r="M1041" s="10">
        <v>0.05</v>
      </c>
      <c r="N1041" s="9">
        <f t="shared" si="202"/>
        <v>360</v>
      </c>
      <c r="O1041" s="9">
        <f t="shared" si="192"/>
        <v>342</v>
      </c>
      <c r="P1041" s="5" t="s">
        <v>1761</v>
      </c>
      <c r="Q1041" s="5" t="s">
        <v>2270</v>
      </c>
      <c r="R1041" s="5" t="s">
        <v>2278</v>
      </c>
      <c r="S1041" s="5" t="s">
        <v>2284</v>
      </c>
      <c r="T1041" s="5" t="s">
        <v>2288</v>
      </c>
      <c r="U1041" s="8">
        <v>5</v>
      </c>
      <c r="V1041" s="8">
        <v>296</v>
      </c>
      <c r="W1041" s="8">
        <v>25</v>
      </c>
      <c r="X1041" s="9">
        <v>48.09</v>
      </c>
      <c r="Y1041" s="9">
        <f t="shared" si="193"/>
        <v>197.73</v>
      </c>
      <c r="Z1041" s="5" t="s">
        <v>2293</v>
      </c>
      <c r="AA1041" s="5" t="s">
        <v>2296</v>
      </c>
      <c r="AB1041" s="9">
        <f t="shared" si="194"/>
        <v>360</v>
      </c>
      <c r="AC1041" s="9">
        <f t="shared" si="195"/>
        <v>18</v>
      </c>
      <c r="AD1041" s="9">
        <f t="shared" si="196"/>
        <v>342</v>
      </c>
      <c r="AE1041" s="9">
        <f t="shared" si="197"/>
        <v>144.27000000000001</v>
      </c>
      <c r="AF1041" s="9">
        <f t="shared" si="203"/>
        <v>197.73</v>
      </c>
      <c r="AG1041" s="8">
        <f t="shared" si="198"/>
        <v>2024</v>
      </c>
      <c r="AH1041" s="8">
        <f t="shared" si="199"/>
        <v>6</v>
      </c>
      <c r="AI1041" s="5" t="str">
        <f t="shared" si="200"/>
        <v>Jun</v>
      </c>
      <c r="AJ1041" s="5" t="str">
        <f t="shared" si="201"/>
        <v>Tuesday</v>
      </c>
    </row>
    <row r="1042" spans="1:36" x14ac:dyDescent="0.3">
      <c r="A1042" s="5" t="s">
        <v>1076</v>
      </c>
      <c r="B1042" s="6">
        <v>45424</v>
      </c>
      <c r="C1042" s="7">
        <v>0.4375</v>
      </c>
      <c r="D1042" s="5" t="s">
        <v>1910</v>
      </c>
      <c r="E1042" s="5" t="s">
        <v>2059</v>
      </c>
      <c r="F1042" s="5" t="s">
        <v>1761</v>
      </c>
      <c r="G1042" s="5" t="s">
        <v>2241</v>
      </c>
      <c r="H1042" s="5" t="s">
        <v>2257</v>
      </c>
      <c r="I1042" s="5" t="s">
        <v>2262</v>
      </c>
      <c r="J1042" s="5" t="s">
        <v>2264</v>
      </c>
      <c r="K1042" s="8">
        <v>2</v>
      </c>
      <c r="L1042" s="9">
        <v>135</v>
      </c>
      <c r="M1042" s="10">
        <v>0.1</v>
      </c>
      <c r="N1042" s="9">
        <f t="shared" si="202"/>
        <v>270</v>
      </c>
      <c r="O1042" s="9">
        <f t="shared" si="192"/>
        <v>243</v>
      </c>
      <c r="P1042" s="5" t="s">
        <v>2269</v>
      </c>
      <c r="Q1042" s="5" t="s">
        <v>1761</v>
      </c>
      <c r="R1042" s="5" t="s">
        <v>2273</v>
      </c>
      <c r="S1042" s="5" t="s">
        <v>2281</v>
      </c>
      <c r="T1042" s="5" t="s">
        <v>2288</v>
      </c>
      <c r="U1042" s="8">
        <v>5</v>
      </c>
      <c r="V1042" s="8">
        <v>344</v>
      </c>
      <c r="W1042" s="19">
        <v>36</v>
      </c>
      <c r="X1042" s="9">
        <v>55.46</v>
      </c>
      <c r="Y1042" s="9">
        <f t="shared" si="193"/>
        <v>132.07999999999998</v>
      </c>
      <c r="Z1042" s="5" t="s">
        <v>2293</v>
      </c>
      <c r="AA1042" s="5" t="s">
        <v>2296</v>
      </c>
      <c r="AB1042" s="9">
        <f t="shared" si="194"/>
        <v>270</v>
      </c>
      <c r="AC1042" s="9">
        <f t="shared" si="195"/>
        <v>27</v>
      </c>
      <c r="AD1042" s="9">
        <f t="shared" si="196"/>
        <v>243</v>
      </c>
      <c r="AE1042" s="9">
        <f t="shared" si="197"/>
        <v>110.92</v>
      </c>
      <c r="AF1042" s="9">
        <f t="shared" si="203"/>
        <v>132.07999999999998</v>
      </c>
      <c r="AG1042" s="8">
        <f t="shared" si="198"/>
        <v>2024</v>
      </c>
      <c r="AH1042" s="8">
        <f t="shared" si="199"/>
        <v>5</v>
      </c>
      <c r="AI1042" s="5" t="str">
        <f t="shared" si="200"/>
        <v>May</v>
      </c>
      <c r="AJ1042" s="5" t="str">
        <f t="shared" si="201"/>
        <v>Sunday</v>
      </c>
    </row>
    <row r="1043" spans="1:36" x14ac:dyDescent="0.3">
      <c r="A1043" s="5" t="s">
        <v>1077</v>
      </c>
      <c r="B1043" s="6">
        <v>45645</v>
      </c>
      <c r="C1043" s="7">
        <v>0.3888888888888889</v>
      </c>
      <c r="D1043" s="5" t="s">
        <v>1848</v>
      </c>
      <c r="E1043" s="5" t="s">
        <v>2103</v>
      </c>
      <c r="F1043" s="5" t="s">
        <v>2240</v>
      </c>
      <c r="G1043" s="5" t="s">
        <v>2256</v>
      </c>
      <c r="H1043" s="5" t="s">
        <v>2261</v>
      </c>
      <c r="I1043" s="5" t="s">
        <v>2260</v>
      </c>
      <c r="J1043" s="5" t="s">
        <v>2265</v>
      </c>
      <c r="K1043" s="8">
        <v>2</v>
      </c>
      <c r="L1043" s="9">
        <v>190</v>
      </c>
      <c r="M1043" s="10">
        <v>0</v>
      </c>
      <c r="N1043" s="9">
        <f t="shared" si="202"/>
        <v>380</v>
      </c>
      <c r="O1043" s="9">
        <f t="shared" si="192"/>
        <v>380</v>
      </c>
      <c r="P1043" s="5" t="s">
        <v>2267</v>
      </c>
      <c r="Q1043" s="5" t="s">
        <v>2272</v>
      </c>
      <c r="R1043" s="5" t="s">
        <v>2276</v>
      </c>
      <c r="S1043" s="5" t="s">
        <v>2284</v>
      </c>
      <c r="T1043" s="5" t="s">
        <v>2288</v>
      </c>
      <c r="U1043" s="19">
        <v>3</v>
      </c>
      <c r="V1043" s="8">
        <v>335</v>
      </c>
      <c r="W1043" s="8">
        <v>25</v>
      </c>
      <c r="X1043" s="9">
        <v>78.83</v>
      </c>
      <c r="Y1043" s="9">
        <f t="shared" si="193"/>
        <v>222.34</v>
      </c>
      <c r="Z1043" s="5" t="s">
        <v>1761</v>
      </c>
      <c r="AA1043" s="5" t="s">
        <v>2297</v>
      </c>
      <c r="AB1043" s="9">
        <f t="shared" si="194"/>
        <v>380</v>
      </c>
      <c r="AC1043" s="9">
        <f t="shared" si="195"/>
        <v>0</v>
      </c>
      <c r="AD1043" s="9">
        <f t="shared" si="196"/>
        <v>380</v>
      </c>
      <c r="AE1043" s="9">
        <f t="shared" si="197"/>
        <v>157.66</v>
      </c>
      <c r="AF1043" s="9">
        <f t="shared" si="203"/>
        <v>222.34</v>
      </c>
      <c r="AG1043" s="8">
        <f t="shared" si="198"/>
        <v>2024</v>
      </c>
      <c r="AH1043" s="8">
        <f t="shared" si="199"/>
        <v>12</v>
      </c>
      <c r="AI1043" s="5" t="str">
        <f t="shared" si="200"/>
        <v>Dec</v>
      </c>
      <c r="AJ1043" s="5" t="str">
        <f t="shared" si="201"/>
        <v>Thursday</v>
      </c>
    </row>
    <row r="1044" spans="1:36" x14ac:dyDescent="0.3">
      <c r="A1044" s="5" t="s">
        <v>1078</v>
      </c>
      <c r="B1044" s="6">
        <v>45588</v>
      </c>
      <c r="C1044" s="7">
        <v>0.32291666666666669</v>
      </c>
      <c r="D1044" s="5" t="s">
        <v>1846</v>
      </c>
      <c r="E1044" s="5" t="s">
        <v>2032</v>
      </c>
      <c r="F1044" s="5" t="s">
        <v>2239</v>
      </c>
      <c r="G1044" s="5" t="s">
        <v>2256</v>
      </c>
      <c r="H1044" s="5" t="s">
        <v>2261</v>
      </c>
      <c r="I1044" s="5" t="s">
        <v>2260</v>
      </c>
      <c r="J1044" s="5" t="s">
        <v>1761</v>
      </c>
      <c r="K1044" s="8">
        <v>1</v>
      </c>
      <c r="L1044" s="9">
        <v>195</v>
      </c>
      <c r="M1044" s="10">
        <v>0.15</v>
      </c>
      <c r="N1044" s="9">
        <f t="shared" si="202"/>
        <v>195</v>
      </c>
      <c r="O1044" s="9">
        <f t="shared" si="192"/>
        <v>165.75</v>
      </c>
      <c r="P1044" s="5" t="s">
        <v>2267</v>
      </c>
      <c r="Q1044" s="5" t="s">
        <v>2272</v>
      </c>
      <c r="R1044" s="5" t="s">
        <v>2278</v>
      </c>
      <c r="S1044" s="5" t="s">
        <v>2285</v>
      </c>
      <c r="T1044" s="5" t="s">
        <v>2288</v>
      </c>
      <c r="U1044" s="8">
        <v>3</v>
      </c>
      <c r="V1044" s="8">
        <v>81</v>
      </c>
      <c r="W1044" s="8">
        <v>20</v>
      </c>
      <c r="X1044" s="9">
        <v>106.81</v>
      </c>
      <c r="Y1044" s="9">
        <f t="shared" si="193"/>
        <v>58.94</v>
      </c>
      <c r="Z1044" s="5" t="s">
        <v>2292</v>
      </c>
      <c r="AA1044" s="5" t="s">
        <v>2297</v>
      </c>
      <c r="AB1044" s="9">
        <f t="shared" si="194"/>
        <v>195</v>
      </c>
      <c r="AC1044" s="9">
        <f t="shared" si="195"/>
        <v>29.25</v>
      </c>
      <c r="AD1044" s="9">
        <f t="shared" si="196"/>
        <v>165.75</v>
      </c>
      <c r="AE1044" s="9">
        <f t="shared" si="197"/>
        <v>106.81</v>
      </c>
      <c r="AF1044" s="9">
        <f t="shared" si="203"/>
        <v>58.94</v>
      </c>
      <c r="AG1044" s="8">
        <f t="shared" si="198"/>
        <v>2024</v>
      </c>
      <c r="AH1044" s="8">
        <f t="shared" si="199"/>
        <v>10</v>
      </c>
      <c r="AI1044" s="5" t="str">
        <f t="shared" si="200"/>
        <v>Oct</v>
      </c>
      <c r="AJ1044" s="5" t="str">
        <f t="shared" si="201"/>
        <v>Wednesday</v>
      </c>
    </row>
    <row r="1045" spans="1:36" x14ac:dyDescent="0.3">
      <c r="A1045" s="5" t="s">
        <v>1079</v>
      </c>
      <c r="B1045" s="6">
        <v>45441</v>
      </c>
      <c r="C1045" s="7">
        <v>0.59027777777777779</v>
      </c>
      <c r="D1045" s="5" t="s">
        <v>1785</v>
      </c>
      <c r="E1045" s="5" t="s">
        <v>2091</v>
      </c>
      <c r="F1045" s="5" t="s">
        <v>1761</v>
      </c>
      <c r="G1045" s="5" t="s">
        <v>2254</v>
      </c>
      <c r="H1045" s="5" t="s">
        <v>2259</v>
      </c>
      <c r="I1045" s="5" t="s">
        <v>2263</v>
      </c>
      <c r="J1045" s="5" t="s">
        <v>2264</v>
      </c>
      <c r="K1045" s="8">
        <v>1</v>
      </c>
      <c r="L1045" s="9">
        <v>110</v>
      </c>
      <c r="M1045" s="10">
        <v>0.15</v>
      </c>
      <c r="N1045" s="9">
        <f t="shared" si="202"/>
        <v>110</v>
      </c>
      <c r="O1045" s="9">
        <f t="shared" si="192"/>
        <v>93.5</v>
      </c>
      <c r="P1045" s="5" t="s">
        <v>2269</v>
      </c>
      <c r="Q1045" s="5" t="s">
        <v>2272</v>
      </c>
      <c r="R1045" s="5" t="s">
        <v>2279</v>
      </c>
      <c r="S1045" s="5" t="s">
        <v>2282</v>
      </c>
      <c r="T1045" s="5" t="s">
        <v>2288</v>
      </c>
      <c r="U1045" s="8">
        <v>2</v>
      </c>
      <c r="V1045" s="8">
        <v>463</v>
      </c>
      <c r="W1045" s="8">
        <v>37</v>
      </c>
      <c r="X1045" s="9">
        <v>55.48</v>
      </c>
      <c r="Y1045" s="9">
        <f t="shared" si="193"/>
        <v>38.020000000000003</v>
      </c>
      <c r="Z1045" s="5" t="s">
        <v>2291</v>
      </c>
      <c r="AA1045" s="5" t="s">
        <v>2296</v>
      </c>
      <c r="AB1045" s="9">
        <f t="shared" si="194"/>
        <v>110</v>
      </c>
      <c r="AC1045" s="9">
        <f t="shared" si="195"/>
        <v>16.5</v>
      </c>
      <c r="AD1045" s="9">
        <f t="shared" si="196"/>
        <v>93.5</v>
      </c>
      <c r="AE1045" s="9">
        <f t="shared" si="197"/>
        <v>55.48</v>
      </c>
      <c r="AF1045" s="9">
        <f t="shared" si="203"/>
        <v>38.020000000000003</v>
      </c>
      <c r="AG1045" s="8">
        <f t="shared" si="198"/>
        <v>2024</v>
      </c>
      <c r="AH1045" s="8">
        <f t="shared" si="199"/>
        <v>5</v>
      </c>
      <c r="AI1045" s="5" t="str">
        <f t="shared" si="200"/>
        <v>May</v>
      </c>
      <c r="AJ1045" s="5" t="str">
        <f t="shared" si="201"/>
        <v>Wednesday</v>
      </c>
    </row>
    <row r="1046" spans="1:36" x14ac:dyDescent="0.3">
      <c r="A1046" s="5" t="s">
        <v>1080</v>
      </c>
      <c r="B1046" s="6">
        <v>45320</v>
      </c>
      <c r="C1046" s="7">
        <v>0.875</v>
      </c>
      <c r="D1046" s="5" t="s">
        <v>1791</v>
      </c>
      <c r="E1046" s="5" t="s">
        <v>1985</v>
      </c>
      <c r="F1046" s="5" t="s">
        <v>1761</v>
      </c>
      <c r="G1046" s="5" t="s">
        <v>2244</v>
      </c>
      <c r="H1046" s="5" t="s">
        <v>2257</v>
      </c>
      <c r="I1046" s="5" t="s">
        <v>2262</v>
      </c>
      <c r="J1046" s="5" t="s">
        <v>2264</v>
      </c>
      <c r="K1046" s="19">
        <v>1</v>
      </c>
      <c r="L1046" s="9">
        <v>125</v>
      </c>
      <c r="M1046" s="10">
        <v>0</v>
      </c>
      <c r="N1046" s="9">
        <f t="shared" si="202"/>
        <v>125</v>
      </c>
      <c r="O1046" s="9">
        <f t="shared" si="192"/>
        <v>125</v>
      </c>
      <c r="P1046" s="5" t="s">
        <v>2269</v>
      </c>
      <c r="Q1046" s="5" t="s">
        <v>2272</v>
      </c>
      <c r="R1046" s="5" t="s">
        <v>2277</v>
      </c>
      <c r="S1046" s="5" t="s">
        <v>2283</v>
      </c>
      <c r="T1046" s="5" t="s">
        <v>2288</v>
      </c>
      <c r="U1046" s="8">
        <v>1</v>
      </c>
      <c r="V1046" s="8">
        <v>457</v>
      </c>
      <c r="W1046" s="8">
        <v>57</v>
      </c>
      <c r="X1046" s="9">
        <v>64.13</v>
      </c>
      <c r="Y1046" s="9">
        <f t="shared" si="193"/>
        <v>60.870000000000005</v>
      </c>
      <c r="Z1046" s="5" t="s">
        <v>1761</v>
      </c>
      <c r="AA1046" s="5" t="s">
        <v>2298</v>
      </c>
      <c r="AB1046" s="9">
        <f t="shared" si="194"/>
        <v>125</v>
      </c>
      <c r="AC1046" s="9">
        <f t="shared" si="195"/>
        <v>0</v>
      </c>
      <c r="AD1046" s="9">
        <f t="shared" si="196"/>
        <v>125</v>
      </c>
      <c r="AE1046" s="9">
        <f t="shared" si="197"/>
        <v>64.13</v>
      </c>
      <c r="AF1046" s="9">
        <f t="shared" si="203"/>
        <v>60.870000000000005</v>
      </c>
      <c r="AG1046" s="8">
        <f t="shared" si="198"/>
        <v>2024</v>
      </c>
      <c r="AH1046" s="8">
        <f t="shared" si="199"/>
        <v>1</v>
      </c>
      <c r="AI1046" s="5" t="str">
        <f t="shared" si="200"/>
        <v>Jan</v>
      </c>
      <c r="AJ1046" s="5" t="str">
        <f t="shared" si="201"/>
        <v>Monday</v>
      </c>
    </row>
    <row r="1047" spans="1:36" x14ac:dyDescent="0.3">
      <c r="A1047" s="5" t="s">
        <v>1081</v>
      </c>
      <c r="B1047" s="6">
        <v>45437</v>
      </c>
      <c r="C1047" s="7">
        <v>0.36805555555555558</v>
      </c>
      <c r="D1047" s="5" t="s">
        <v>1872</v>
      </c>
      <c r="E1047" s="5" t="s">
        <v>2203</v>
      </c>
      <c r="F1047" s="5" t="s">
        <v>1761</v>
      </c>
      <c r="G1047" s="5" t="s">
        <v>2245</v>
      </c>
      <c r="H1047" s="5" t="s">
        <v>2257</v>
      </c>
      <c r="I1047" s="5" t="s">
        <v>2263</v>
      </c>
      <c r="J1047" s="5" t="s">
        <v>2265</v>
      </c>
      <c r="K1047" s="8">
        <v>1</v>
      </c>
      <c r="L1047" s="9">
        <v>160</v>
      </c>
      <c r="M1047" s="10">
        <v>0.15</v>
      </c>
      <c r="N1047" s="9">
        <f t="shared" si="202"/>
        <v>160</v>
      </c>
      <c r="O1047" s="9">
        <f t="shared" si="192"/>
        <v>136</v>
      </c>
      <c r="P1047" s="5" t="s">
        <v>2267</v>
      </c>
      <c r="Q1047" s="5" t="s">
        <v>2271</v>
      </c>
      <c r="R1047" s="5" t="s">
        <v>2275</v>
      </c>
      <c r="S1047" s="5" t="s">
        <v>2287</v>
      </c>
      <c r="T1047" s="5" t="s">
        <v>2290</v>
      </c>
      <c r="U1047" s="8">
        <v>1</v>
      </c>
      <c r="V1047" s="8">
        <v>61</v>
      </c>
      <c r="W1047" s="19">
        <v>37</v>
      </c>
      <c r="X1047" s="9">
        <v>86.74</v>
      </c>
      <c r="Y1047" s="9">
        <f t="shared" si="193"/>
        <v>49.260000000000005</v>
      </c>
      <c r="Z1047" s="5" t="s">
        <v>2293</v>
      </c>
      <c r="AA1047" s="5" t="s">
        <v>2299</v>
      </c>
      <c r="AB1047" s="9">
        <f t="shared" si="194"/>
        <v>160</v>
      </c>
      <c r="AC1047" s="9">
        <f t="shared" si="195"/>
        <v>24</v>
      </c>
      <c r="AD1047" s="9">
        <f t="shared" si="196"/>
        <v>136</v>
      </c>
      <c r="AE1047" s="9">
        <f t="shared" si="197"/>
        <v>86.74</v>
      </c>
      <c r="AF1047" s="9">
        <f t="shared" si="203"/>
        <v>49.260000000000005</v>
      </c>
      <c r="AG1047" s="8">
        <f t="shared" si="198"/>
        <v>2024</v>
      </c>
      <c r="AH1047" s="8">
        <f t="shared" si="199"/>
        <v>5</v>
      </c>
      <c r="AI1047" s="5" t="str">
        <f t="shared" si="200"/>
        <v>May</v>
      </c>
      <c r="AJ1047" s="5" t="str">
        <f t="shared" si="201"/>
        <v>Saturday</v>
      </c>
    </row>
    <row r="1048" spans="1:36" x14ac:dyDescent="0.3">
      <c r="A1048" s="5" t="s">
        <v>1082</v>
      </c>
      <c r="B1048" s="6">
        <v>45563</v>
      </c>
      <c r="C1048" s="7">
        <v>0.47916666666666669</v>
      </c>
      <c r="D1048" s="5" t="s">
        <v>1832</v>
      </c>
      <c r="E1048" s="5" t="s">
        <v>2165</v>
      </c>
      <c r="F1048" s="5" t="s">
        <v>2238</v>
      </c>
      <c r="G1048" s="5" t="s">
        <v>2245</v>
      </c>
      <c r="H1048" s="5" t="s">
        <v>2257</v>
      </c>
      <c r="I1048" s="5" t="s">
        <v>2263</v>
      </c>
      <c r="J1048" s="5" t="s">
        <v>2264</v>
      </c>
      <c r="K1048" s="8">
        <v>2</v>
      </c>
      <c r="L1048" s="9">
        <v>150</v>
      </c>
      <c r="M1048" s="10">
        <v>0</v>
      </c>
      <c r="N1048" s="9">
        <f t="shared" si="202"/>
        <v>300</v>
      </c>
      <c r="O1048" s="9">
        <f t="shared" si="192"/>
        <v>300</v>
      </c>
      <c r="P1048" s="5" t="s">
        <v>2268</v>
      </c>
      <c r="Q1048" s="5" t="s">
        <v>1761</v>
      </c>
      <c r="R1048" s="5" t="s">
        <v>2279</v>
      </c>
      <c r="S1048" s="5" t="s">
        <v>2280</v>
      </c>
      <c r="T1048" s="5" t="s">
        <v>2288</v>
      </c>
      <c r="U1048" s="8">
        <v>4</v>
      </c>
      <c r="V1048" s="8">
        <v>250</v>
      </c>
      <c r="W1048" s="8">
        <v>35</v>
      </c>
      <c r="X1048" s="9">
        <v>64.36</v>
      </c>
      <c r="Y1048" s="9">
        <f t="shared" si="193"/>
        <v>171.28</v>
      </c>
      <c r="Z1048" s="5" t="s">
        <v>2292</v>
      </c>
      <c r="AA1048" s="5" t="s">
        <v>2299</v>
      </c>
      <c r="AB1048" s="9">
        <f t="shared" si="194"/>
        <v>300</v>
      </c>
      <c r="AC1048" s="9">
        <f t="shared" si="195"/>
        <v>0</v>
      </c>
      <c r="AD1048" s="9">
        <f t="shared" si="196"/>
        <v>300</v>
      </c>
      <c r="AE1048" s="9">
        <f t="shared" si="197"/>
        <v>128.72</v>
      </c>
      <c r="AF1048" s="9">
        <f t="shared" si="203"/>
        <v>171.28</v>
      </c>
      <c r="AG1048" s="8">
        <f t="shared" si="198"/>
        <v>2024</v>
      </c>
      <c r="AH1048" s="8">
        <f t="shared" si="199"/>
        <v>9</v>
      </c>
      <c r="AI1048" s="5" t="str">
        <f t="shared" si="200"/>
        <v>Sep</v>
      </c>
      <c r="AJ1048" s="5" t="str">
        <f t="shared" si="201"/>
        <v>Saturday</v>
      </c>
    </row>
    <row r="1049" spans="1:36" x14ac:dyDescent="0.3">
      <c r="A1049" s="5" t="s">
        <v>1083</v>
      </c>
      <c r="B1049" s="6">
        <v>45437</v>
      </c>
      <c r="C1049" s="7">
        <v>0.53472222222222221</v>
      </c>
      <c r="D1049" s="5" t="s">
        <v>1865</v>
      </c>
      <c r="E1049" s="5" t="s">
        <v>1968</v>
      </c>
      <c r="F1049" s="5" t="s">
        <v>1761</v>
      </c>
      <c r="G1049" s="5" t="s">
        <v>2250</v>
      </c>
      <c r="H1049" s="5" t="s">
        <v>2259</v>
      </c>
      <c r="I1049" s="5" t="s">
        <v>2262</v>
      </c>
      <c r="J1049" s="5" t="s">
        <v>2264</v>
      </c>
      <c r="K1049" s="8">
        <v>1</v>
      </c>
      <c r="L1049" s="9">
        <v>90</v>
      </c>
      <c r="M1049" s="10">
        <v>0</v>
      </c>
      <c r="N1049" s="9">
        <f t="shared" si="202"/>
        <v>90</v>
      </c>
      <c r="O1049" s="9">
        <f t="shared" si="192"/>
        <v>90</v>
      </c>
      <c r="P1049" s="5" t="s">
        <v>1761</v>
      </c>
      <c r="Q1049" s="5" t="s">
        <v>2272</v>
      </c>
      <c r="R1049" s="5" t="s">
        <v>2279</v>
      </c>
      <c r="S1049" s="5" t="s">
        <v>2287</v>
      </c>
      <c r="T1049" s="5" t="s">
        <v>2288</v>
      </c>
      <c r="U1049" s="8">
        <v>1</v>
      </c>
      <c r="V1049" s="8">
        <v>251</v>
      </c>
      <c r="W1049" s="8">
        <v>21</v>
      </c>
      <c r="X1049" s="9">
        <v>31.37</v>
      </c>
      <c r="Y1049" s="9">
        <f t="shared" si="193"/>
        <v>58.629999999999995</v>
      </c>
      <c r="Z1049" s="5" t="s">
        <v>2293</v>
      </c>
      <c r="AA1049" s="5" t="s">
        <v>2298</v>
      </c>
      <c r="AB1049" s="9">
        <f t="shared" si="194"/>
        <v>90</v>
      </c>
      <c r="AC1049" s="9">
        <f t="shared" si="195"/>
        <v>0</v>
      </c>
      <c r="AD1049" s="9">
        <f t="shared" si="196"/>
        <v>90</v>
      </c>
      <c r="AE1049" s="9">
        <f t="shared" si="197"/>
        <v>31.37</v>
      </c>
      <c r="AF1049" s="9">
        <f t="shared" si="203"/>
        <v>58.629999999999995</v>
      </c>
      <c r="AG1049" s="8">
        <f t="shared" si="198"/>
        <v>2024</v>
      </c>
      <c r="AH1049" s="8">
        <f t="shared" si="199"/>
        <v>5</v>
      </c>
      <c r="AI1049" s="5" t="str">
        <f t="shared" si="200"/>
        <v>May</v>
      </c>
      <c r="AJ1049" s="5" t="str">
        <f t="shared" si="201"/>
        <v>Saturday</v>
      </c>
    </row>
    <row r="1050" spans="1:36" x14ac:dyDescent="0.3">
      <c r="A1050" s="5" t="s">
        <v>1084</v>
      </c>
      <c r="B1050" s="6">
        <v>45530</v>
      </c>
      <c r="C1050" s="7">
        <v>0.60416666666666663</v>
      </c>
      <c r="D1050" s="5" t="s">
        <v>1854</v>
      </c>
      <c r="E1050" s="5" t="s">
        <v>2220</v>
      </c>
      <c r="F1050" s="5" t="s">
        <v>2239</v>
      </c>
      <c r="G1050" s="5" t="s">
        <v>2242</v>
      </c>
      <c r="H1050" s="5" t="s">
        <v>2258</v>
      </c>
      <c r="I1050" s="5" t="s">
        <v>2260</v>
      </c>
      <c r="J1050" s="5" t="s">
        <v>2266</v>
      </c>
      <c r="K1050" s="8">
        <v>3</v>
      </c>
      <c r="L1050" s="9">
        <v>120</v>
      </c>
      <c r="M1050" s="10">
        <v>0</v>
      </c>
      <c r="N1050" s="9">
        <f t="shared" si="202"/>
        <v>360</v>
      </c>
      <c r="O1050" s="9">
        <f t="shared" si="192"/>
        <v>360</v>
      </c>
      <c r="P1050" s="5" t="s">
        <v>2267</v>
      </c>
      <c r="Q1050" s="5" t="s">
        <v>1761</v>
      </c>
      <c r="R1050" s="5" t="s">
        <v>2279</v>
      </c>
      <c r="S1050" s="5" t="s">
        <v>2280</v>
      </c>
      <c r="T1050" s="5" t="s">
        <v>2289</v>
      </c>
      <c r="U1050" s="8">
        <v>4</v>
      </c>
      <c r="V1050" s="8">
        <v>458</v>
      </c>
      <c r="W1050" s="8">
        <v>35</v>
      </c>
      <c r="X1050" s="9">
        <v>59.88</v>
      </c>
      <c r="Y1050" s="9">
        <f t="shared" si="193"/>
        <v>180.35999999999999</v>
      </c>
      <c r="Z1050" s="5" t="s">
        <v>2293</v>
      </c>
      <c r="AA1050" s="5" t="s">
        <v>2298</v>
      </c>
      <c r="AB1050" s="9">
        <f t="shared" si="194"/>
        <v>360</v>
      </c>
      <c r="AC1050" s="9">
        <f t="shared" si="195"/>
        <v>0</v>
      </c>
      <c r="AD1050" s="9">
        <f t="shared" si="196"/>
        <v>360</v>
      </c>
      <c r="AE1050" s="9">
        <f t="shared" si="197"/>
        <v>179.64000000000001</v>
      </c>
      <c r="AF1050" s="9">
        <f t="shared" si="203"/>
        <v>180.35999999999999</v>
      </c>
      <c r="AG1050" s="8">
        <f t="shared" si="198"/>
        <v>2024</v>
      </c>
      <c r="AH1050" s="8">
        <f t="shared" si="199"/>
        <v>8</v>
      </c>
      <c r="AI1050" s="5" t="str">
        <f t="shared" si="200"/>
        <v>Aug</v>
      </c>
      <c r="AJ1050" s="5" t="str">
        <f t="shared" si="201"/>
        <v>Monday</v>
      </c>
    </row>
    <row r="1051" spans="1:36" x14ac:dyDescent="0.3">
      <c r="A1051" s="5" t="s">
        <v>1085</v>
      </c>
      <c r="B1051" s="6">
        <v>45386</v>
      </c>
      <c r="C1051" s="7">
        <v>0.53472222222222221</v>
      </c>
      <c r="D1051" s="5" t="s">
        <v>1914</v>
      </c>
      <c r="E1051" s="5" t="s">
        <v>2072</v>
      </c>
      <c r="F1051" s="5" t="s">
        <v>2240</v>
      </c>
      <c r="G1051" s="5" t="s">
        <v>2249</v>
      </c>
      <c r="H1051" s="5" t="s">
        <v>2257</v>
      </c>
      <c r="I1051" s="5" t="s">
        <v>2263</v>
      </c>
      <c r="J1051" s="5" t="s">
        <v>2264</v>
      </c>
      <c r="K1051" s="8">
        <v>4</v>
      </c>
      <c r="L1051" s="9">
        <v>155</v>
      </c>
      <c r="M1051" s="10">
        <v>0.05</v>
      </c>
      <c r="N1051" s="9">
        <f t="shared" si="202"/>
        <v>620</v>
      </c>
      <c r="O1051" s="9">
        <f t="shared" si="192"/>
        <v>589</v>
      </c>
      <c r="P1051" s="5" t="s">
        <v>2267</v>
      </c>
      <c r="Q1051" s="5" t="s">
        <v>2271</v>
      </c>
      <c r="R1051" s="5" t="s">
        <v>2275</v>
      </c>
      <c r="S1051" s="5" t="s">
        <v>2286</v>
      </c>
      <c r="T1051" s="5" t="s">
        <v>2288</v>
      </c>
      <c r="U1051" s="8">
        <v>5</v>
      </c>
      <c r="V1051" s="8">
        <v>260</v>
      </c>
      <c r="W1051" s="19">
        <v>37</v>
      </c>
      <c r="X1051" s="9">
        <v>66.55</v>
      </c>
      <c r="Y1051" s="9">
        <f t="shared" si="193"/>
        <v>322.8</v>
      </c>
      <c r="Z1051" s="5" t="s">
        <v>2291</v>
      </c>
      <c r="AA1051" s="5" t="s">
        <v>2299</v>
      </c>
      <c r="AB1051" s="9">
        <f t="shared" si="194"/>
        <v>620</v>
      </c>
      <c r="AC1051" s="9">
        <f t="shared" si="195"/>
        <v>31</v>
      </c>
      <c r="AD1051" s="9">
        <f t="shared" si="196"/>
        <v>589</v>
      </c>
      <c r="AE1051" s="9">
        <f t="shared" si="197"/>
        <v>266.2</v>
      </c>
      <c r="AF1051" s="9">
        <f t="shared" si="203"/>
        <v>322.8</v>
      </c>
      <c r="AG1051" s="8">
        <f t="shared" si="198"/>
        <v>2024</v>
      </c>
      <c r="AH1051" s="8">
        <f t="shared" si="199"/>
        <v>4</v>
      </c>
      <c r="AI1051" s="5" t="str">
        <f t="shared" si="200"/>
        <v>Apr</v>
      </c>
      <c r="AJ1051" s="5" t="str">
        <f t="shared" si="201"/>
        <v>Thursday</v>
      </c>
    </row>
    <row r="1052" spans="1:36" x14ac:dyDescent="0.3">
      <c r="A1052" s="5" t="s">
        <v>1086</v>
      </c>
      <c r="B1052" s="6">
        <v>45551</v>
      </c>
      <c r="C1052" s="7">
        <v>0.82291666666666663</v>
      </c>
      <c r="D1052" s="5" t="s">
        <v>1743</v>
      </c>
      <c r="E1052" s="5" t="s">
        <v>2070</v>
      </c>
      <c r="F1052" s="5" t="s">
        <v>2239</v>
      </c>
      <c r="G1052" s="5" t="s">
        <v>2246</v>
      </c>
      <c r="H1052" s="5" t="s">
        <v>2259</v>
      </c>
      <c r="I1052" s="5" t="s">
        <v>2262</v>
      </c>
      <c r="J1052" s="5" t="s">
        <v>2266</v>
      </c>
      <c r="K1052" s="8">
        <v>1</v>
      </c>
      <c r="L1052" s="9">
        <v>90</v>
      </c>
      <c r="M1052" s="10">
        <v>0.15</v>
      </c>
      <c r="N1052" s="9">
        <f t="shared" si="202"/>
        <v>90</v>
      </c>
      <c r="O1052" s="9">
        <f t="shared" si="192"/>
        <v>76.5</v>
      </c>
      <c r="P1052" s="5" t="s">
        <v>2268</v>
      </c>
      <c r="Q1052" s="5" t="s">
        <v>2271</v>
      </c>
      <c r="R1052" s="5" t="s">
        <v>2277</v>
      </c>
      <c r="S1052" s="5" t="s">
        <v>2284</v>
      </c>
      <c r="T1052" s="5" t="s">
        <v>2288</v>
      </c>
      <c r="U1052" s="8">
        <v>1</v>
      </c>
      <c r="V1052" s="8">
        <v>152</v>
      </c>
      <c r="W1052" s="8">
        <v>60</v>
      </c>
      <c r="X1052" s="9">
        <v>47.69</v>
      </c>
      <c r="Y1052" s="9">
        <f t="shared" si="193"/>
        <v>28.810000000000002</v>
      </c>
      <c r="Z1052" s="5" t="s">
        <v>2293</v>
      </c>
      <c r="AA1052" s="5" t="s">
        <v>2296</v>
      </c>
      <c r="AB1052" s="9">
        <f t="shared" si="194"/>
        <v>90</v>
      </c>
      <c r="AC1052" s="9">
        <f t="shared" si="195"/>
        <v>13.5</v>
      </c>
      <c r="AD1052" s="9">
        <f t="shared" si="196"/>
        <v>76.5</v>
      </c>
      <c r="AE1052" s="9">
        <f t="shared" si="197"/>
        <v>47.69</v>
      </c>
      <c r="AF1052" s="9">
        <f t="shared" si="203"/>
        <v>28.810000000000002</v>
      </c>
      <c r="AG1052" s="8">
        <f t="shared" si="198"/>
        <v>2024</v>
      </c>
      <c r="AH1052" s="8">
        <f t="shared" si="199"/>
        <v>9</v>
      </c>
      <c r="AI1052" s="5" t="str">
        <f t="shared" si="200"/>
        <v>Sep</v>
      </c>
      <c r="AJ1052" s="5" t="str">
        <f t="shared" si="201"/>
        <v>Monday</v>
      </c>
    </row>
    <row r="1053" spans="1:36" x14ac:dyDescent="0.3">
      <c r="A1053" s="5" t="s">
        <v>1087</v>
      </c>
      <c r="B1053" s="6">
        <v>45313</v>
      </c>
      <c r="C1053" s="7">
        <v>0.6875</v>
      </c>
      <c r="D1053" s="5" t="s">
        <v>1867</v>
      </c>
      <c r="E1053" s="5" t="s">
        <v>2022</v>
      </c>
      <c r="F1053" s="5" t="s">
        <v>2240</v>
      </c>
      <c r="G1053" s="5" t="s">
        <v>2249</v>
      </c>
      <c r="H1053" s="5" t="s">
        <v>2257</v>
      </c>
      <c r="I1053" s="5" t="s">
        <v>2263</v>
      </c>
      <c r="J1053" s="5" t="s">
        <v>2264</v>
      </c>
      <c r="K1053" s="8">
        <v>1</v>
      </c>
      <c r="L1053" s="9">
        <v>170</v>
      </c>
      <c r="M1053" s="10">
        <v>0</v>
      </c>
      <c r="N1053" s="9">
        <f t="shared" si="202"/>
        <v>170</v>
      </c>
      <c r="O1053" s="9">
        <f t="shared" si="192"/>
        <v>170</v>
      </c>
      <c r="P1053" s="5" t="s">
        <v>2269</v>
      </c>
      <c r="Q1053" s="5" t="s">
        <v>2271</v>
      </c>
      <c r="R1053" s="5" t="s">
        <v>2277</v>
      </c>
      <c r="S1053" s="5" t="s">
        <v>2285</v>
      </c>
      <c r="T1053" s="5" t="s">
        <v>2288</v>
      </c>
      <c r="U1053" s="8">
        <v>4</v>
      </c>
      <c r="V1053" s="8">
        <v>109</v>
      </c>
      <c r="W1053" s="8">
        <v>18</v>
      </c>
      <c r="X1053" s="9">
        <v>64.510000000000005</v>
      </c>
      <c r="Y1053" s="9">
        <f t="shared" si="193"/>
        <v>105.49</v>
      </c>
      <c r="Z1053" s="5" t="s">
        <v>1761</v>
      </c>
      <c r="AA1053" s="5" t="s">
        <v>2296</v>
      </c>
      <c r="AB1053" s="9">
        <f t="shared" si="194"/>
        <v>170</v>
      </c>
      <c r="AC1053" s="9">
        <f t="shared" si="195"/>
        <v>0</v>
      </c>
      <c r="AD1053" s="9">
        <f t="shared" si="196"/>
        <v>170</v>
      </c>
      <c r="AE1053" s="9">
        <f t="shared" si="197"/>
        <v>64.510000000000005</v>
      </c>
      <c r="AF1053" s="9">
        <f t="shared" si="203"/>
        <v>105.49</v>
      </c>
      <c r="AG1053" s="8">
        <f t="shared" si="198"/>
        <v>2024</v>
      </c>
      <c r="AH1053" s="8">
        <f t="shared" si="199"/>
        <v>1</v>
      </c>
      <c r="AI1053" s="5" t="str">
        <f t="shared" si="200"/>
        <v>Jan</v>
      </c>
      <c r="AJ1053" s="5" t="str">
        <f t="shared" si="201"/>
        <v>Monday</v>
      </c>
    </row>
    <row r="1054" spans="1:36" x14ac:dyDescent="0.3">
      <c r="A1054" s="5" t="s">
        <v>1088</v>
      </c>
      <c r="B1054" s="6">
        <v>45387</v>
      </c>
      <c r="C1054" s="7">
        <v>0.80555555555555558</v>
      </c>
      <c r="D1054" s="5" t="s">
        <v>1847</v>
      </c>
      <c r="E1054" s="5" t="s">
        <v>2210</v>
      </c>
      <c r="F1054" s="5" t="s">
        <v>1761</v>
      </c>
      <c r="G1054" s="5" t="s">
        <v>2244</v>
      </c>
      <c r="H1054" s="5" t="s">
        <v>2257</v>
      </c>
      <c r="I1054" s="5" t="s">
        <v>2262</v>
      </c>
      <c r="J1054" s="5" t="s">
        <v>2266</v>
      </c>
      <c r="K1054" s="8">
        <v>1</v>
      </c>
      <c r="L1054" s="9">
        <v>120</v>
      </c>
      <c r="M1054" s="10">
        <v>0</v>
      </c>
      <c r="N1054" s="9">
        <f t="shared" si="202"/>
        <v>120</v>
      </c>
      <c r="O1054" s="9">
        <f t="shared" si="192"/>
        <v>120</v>
      </c>
      <c r="P1054" s="5" t="s">
        <v>2267</v>
      </c>
      <c r="Q1054" s="5" t="s">
        <v>1761</v>
      </c>
      <c r="R1054" s="5" t="s">
        <v>2276</v>
      </c>
      <c r="S1054" s="5" t="s">
        <v>2280</v>
      </c>
      <c r="T1054" s="5" t="s">
        <v>2288</v>
      </c>
      <c r="U1054" s="19">
        <v>3</v>
      </c>
      <c r="V1054" s="8">
        <v>150</v>
      </c>
      <c r="W1054" s="8">
        <v>45</v>
      </c>
      <c r="X1054" s="9">
        <v>53.52</v>
      </c>
      <c r="Y1054" s="9">
        <f t="shared" si="193"/>
        <v>66.47999999999999</v>
      </c>
      <c r="Z1054" s="5" t="s">
        <v>2291</v>
      </c>
      <c r="AA1054" s="5" t="s">
        <v>2296</v>
      </c>
      <c r="AB1054" s="9">
        <f t="shared" si="194"/>
        <v>120</v>
      </c>
      <c r="AC1054" s="9">
        <f t="shared" si="195"/>
        <v>0</v>
      </c>
      <c r="AD1054" s="9">
        <f t="shared" si="196"/>
        <v>120</v>
      </c>
      <c r="AE1054" s="9">
        <f t="shared" si="197"/>
        <v>53.52</v>
      </c>
      <c r="AF1054" s="9">
        <f t="shared" si="203"/>
        <v>66.47999999999999</v>
      </c>
      <c r="AG1054" s="8">
        <f t="shared" si="198"/>
        <v>2024</v>
      </c>
      <c r="AH1054" s="8">
        <f t="shared" si="199"/>
        <v>4</v>
      </c>
      <c r="AI1054" s="5" t="str">
        <f t="shared" si="200"/>
        <v>Apr</v>
      </c>
      <c r="AJ1054" s="5" t="str">
        <f t="shared" si="201"/>
        <v>Friday</v>
      </c>
    </row>
    <row r="1055" spans="1:36" x14ac:dyDescent="0.3">
      <c r="A1055" s="5" t="s">
        <v>1089</v>
      </c>
      <c r="B1055" s="6">
        <v>45480</v>
      </c>
      <c r="C1055" s="7">
        <v>0.625</v>
      </c>
      <c r="D1055" s="5" t="s">
        <v>1872</v>
      </c>
      <c r="E1055" s="5" t="s">
        <v>2076</v>
      </c>
      <c r="F1055" s="5" t="s">
        <v>2239</v>
      </c>
      <c r="G1055" s="5" t="s">
        <v>2253</v>
      </c>
      <c r="H1055" s="5" t="s">
        <v>2258</v>
      </c>
      <c r="I1055" s="5" t="s">
        <v>2260</v>
      </c>
      <c r="J1055" s="5" t="s">
        <v>2264</v>
      </c>
      <c r="K1055" s="8">
        <v>1</v>
      </c>
      <c r="L1055" s="9">
        <v>90</v>
      </c>
      <c r="M1055" s="10">
        <v>0.05</v>
      </c>
      <c r="N1055" s="9">
        <f t="shared" si="202"/>
        <v>90</v>
      </c>
      <c r="O1055" s="9">
        <f t="shared" si="192"/>
        <v>85.5</v>
      </c>
      <c r="P1055" s="5" t="s">
        <v>2269</v>
      </c>
      <c r="Q1055" s="5" t="s">
        <v>2272</v>
      </c>
      <c r="R1055" s="5" t="s">
        <v>2273</v>
      </c>
      <c r="S1055" s="5" t="s">
        <v>2286</v>
      </c>
      <c r="T1055" s="5" t="s">
        <v>2288</v>
      </c>
      <c r="U1055" s="8">
        <v>4</v>
      </c>
      <c r="V1055" s="8">
        <v>325</v>
      </c>
      <c r="W1055" s="8">
        <v>30</v>
      </c>
      <c r="X1055" s="9">
        <v>50.84</v>
      </c>
      <c r="Y1055" s="9">
        <f t="shared" si="193"/>
        <v>34.659999999999997</v>
      </c>
      <c r="Z1055" s="5" t="s">
        <v>2293</v>
      </c>
      <c r="AA1055" s="5" t="s">
        <v>2297</v>
      </c>
      <c r="AB1055" s="9">
        <f t="shared" si="194"/>
        <v>90</v>
      </c>
      <c r="AC1055" s="9">
        <f t="shared" si="195"/>
        <v>4.5</v>
      </c>
      <c r="AD1055" s="9">
        <f t="shared" si="196"/>
        <v>85.5</v>
      </c>
      <c r="AE1055" s="9">
        <f t="shared" si="197"/>
        <v>50.84</v>
      </c>
      <c r="AF1055" s="9">
        <f t="shared" si="203"/>
        <v>34.659999999999997</v>
      </c>
      <c r="AG1055" s="8">
        <f t="shared" si="198"/>
        <v>2024</v>
      </c>
      <c r="AH1055" s="8">
        <f t="shared" si="199"/>
        <v>7</v>
      </c>
      <c r="AI1055" s="5" t="str">
        <f t="shared" si="200"/>
        <v>Jul</v>
      </c>
      <c r="AJ1055" s="5" t="str">
        <f t="shared" si="201"/>
        <v>Sunday</v>
      </c>
    </row>
    <row r="1056" spans="1:36" x14ac:dyDescent="0.3">
      <c r="A1056" s="5" t="s">
        <v>1090</v>
      </c>
      <c r="B1056" s="6">
        <v>45436</v>
      </c>
      <c r="C1056" s="7">
        <v>0.38194444444444442</v>
      </c>
      <c r="D1056" s="5" t="s">
        <v>1795</v>
      </c>
      <c r="E1056" s="5" t="s">
        <v>2188</v>
      </c>
      <c r="F1056" s="5" t="s">
        <v>2240</v>
      </c>
      <c r="G1056" s="5" t="s">
        <v>2254</v>
      </c>
      <c r="H1056" s="5" t="s">
        <v>2259</v>
      </c>
      <c r="I1056" s="5" t="s">
        <v>2263</v>
      </c>
      <c r="J1056" s="5" t="s">
        <v>2265</v>
      </c>
      <c r="K1056" s="8">
        <v>2</v>
      </c>
      <c r="L1056" s="9">
        <v>110</v>
      </c>
      <c r="M1056" s="10">
        <v>0</v>
      </c>
      <c r="N1056" s="9">
        <f t="shared" si="202"/>
        <v>220</v>
      </c>
      <c r="O1056" s="9">
        <f t="shared" si="192"/>
        <v>220</v>
      </c>
      <c r="P1056" s="5" t="s">
        <v>2269</v>
      </c>
      <c r="Q1056" s="5" t="s">
        <v>2272</v>
      </c>
      <c r="R1056" s="5" t="s">
        <v>2276</v>
      </c>
      <c r="S1056" s="5" t="s">
        <v>2280</v>
      </c>
      <c r="T1056" s="5" t="s">
        <v>2288</v>
      </c>
      <c r="U1056" s="8">
        <v>5</v>
      </c>
      <c r="V1056" s="8">
        <v>259</v>
      </c>
      <c r="W1056" s="8">
        <v>25</v>
      </c>
      <c r="X1056" s="9">
        <v>45.62</v>
      </c>
      <c r="Y1056" s="9">
        <f t="shared" si="193"/>
        <v>128.76</v>
      </c>
      <c r="Z1056" s="5" t="s">
        <v>2293</v>
      </c>
      <c r="AA1056" s="5" t="s">
        <v>2296</v>
      </c>
      <c r="AB1056" s="9">
        <f t="shared" si="194"/>
        <v>220</v>
      </c>
      <c r="AC1056" s="9">
        <f t="shared" si="195"/>
        <v>0</v>
      </c>
      <c r="AD1056" s="9">
        <f t="shared" si="196"/>
        <v>220</v>
      </c>
      <c r="AE1056" s="9">
        <f t="shared" si="197"/>
        <v>91.24</v>
      </c>
      <c r="AF1056" s="9">
        <f t="shared" si="203"/>
        <v>128.76</v>
      </c>
      <c r="AG1056" s="8">
        <f t="shared" si="198"/>
        <v>2024</v>
      </c>
      <c r="AH1056" s="8">
        <f t="shared" si="199"/>
        <v>5</v>
      </c>
      <c r="AI1056" s="5" t="str">
        <f t="shared" si="200"/>
        <v>May</v>
      </c>
      <c r="AJ1056" s="5" t="str">
        <f t="shared" si="201"/>
        <v>Friday</v>
      </c>
    </row>
    <row r="1057" spans="1:36" x14ac:dyDescent="0.3">
      <c r="A1057" s="5" t="s">
        <v>1091</v>
      </c>
      <c r="B1057" s="6">
        <v>45615</v>
      </c>
      <c r="C1057" s="7">
        <v>0.5625</v>
      </c>
      <c r="D1057" s="5" t="s">
        <v>1742</v>
      </c>
      <c r="E1057" s="5" t="s">
        <v>1984</v>
      </c>
      <c r="F1057" s="5" t="s">
        <v>2239</v>
      </c>
      <c r="G1057" s="5" t="s">
        <v>2251</v>
      </c>
      <c r="H1057" s="5" t="s">
        <v>2258</v>
      </c>
      <c r="I1057" s="5" t="s">
        <v>2260</v>
      </c>
      <c r="J1057" s="5" t="s">
        <v>2264</v>
      </c>
      <c r="K1057" s="8">
        <v>4</v>
      </c>
      <c r="L1057" s="9">
        <v>100</v>
      </c>
      <c r="M1057" s="10">
        <v>0</v>
      </c>
      <c r="N1057" s="9">
        <f t="shared" si="202"/>
        <v>400</v>
      </c>
      <c r="O1057" s="9">
        <f t="shared" si="192"/>
        <v>400</v>
      </c>
      <c r="P1057" s="5" t="s">
        <v>2267</v>
      </c>
      <c r="Q1057" s="5" t="s">
        <v>1761</v>
      </c>
      <c r="R1057" s="5" t="s">
        <v>2276</v>
      </c>
      <c r="S1057" s="5" t="s">
        <v>2283</v>
      </c>
      <c r="T1057" s="5" t="s">
        <v>2290</v>
      </c>
      <c r="U1057" s="19">
        <v>3</v>
      </c>
      <c r="V1057" s="8">
        <v>467</v>
      </c>
      <c r="W1057" s="19">
        <v>36</v>
      </c>
      <c r="X1057" s="9">
        <v>49.16</v>
      </c>
      <c r="Y1057" s="9">
        <f t="shared" si="193"/>
        <v>203.36</v>
      </c>
      <c r="Z1057" s="5" t="s">
        <v>2291</v>
      </c>
      <c r="AA1057" s="5" t="s">
        <v>2297</v>
      </c>
      <c r="AB1057" s="9">
        <f t="shared" si="194"/>
        <v>400</v>
      </c>
      <c r="AC1057" s="9">
        <f t="shared" si="195"/>
        <v>0</v>
      </c>
      <c r="AD1057" s="9">
        <f t="shared" si="196"/>
        <v>400</v>
      </c>
      <c r="AE1057" s="9">
        <f t="shared" si="197"/>
        <v>196.64</v>
      </c>
      <c r="AF1057" s="9">
        <f t="shared" si="203"/>
        <v>203.36</v>
      </c>
      <c r="AG1057" s="8">
        <f t="shared" si="198"/>
        <v>2024</v>
      </c>
      <c r="AH1057" s="8">
        <f t="shared" si="199"/>
        <v>11</v>
      </c>
      <c r="AI1057" s="5" t="str">
        <f t="shared" si="200"/>
        <v>Nov</v>
      </c>
      <c r="AJ1057" s="5" t="str">
        <f t="shared" si="201"/>
        <v>Tuesday</v>
      </c>
    </row>
    <row r="1058" spans="1:36" x14ac:dyDescent="0.3">
      <c r="A1058" s="5" t="s">
        <v>1092</v>
      </c>
      <c r="B1058" s="6">
        <v>45580</v>
      </c>
      <c r="C1058" s="7">
        <v>0.2986111111111111</v>
      </c>
      <c r="D1058" s="5" t="s">
        <v>1930</v>
      </c>
      <c r="E1058" s="5" t="s">
        <v>2156</v>
      </c>
      <c r="F1058" s="5" t="s">
        <v>2239</v>
      </c>
      <c r="G1058" s="5" t="s">
        <v>2255</v>
      </c>
      <c r="H1058" s="5" t="s">
        <v>2260</v>
      </c>
      <c r="I1058" s="5" t="s">
        <v>2260</v>
      </c>
      <c r="J1058" s="5" t="s">
        <v>2265</v>
      </c>
      <c r="K1058" s="8">
        <v>1</v>
      </c>
      <c r="L1058" s="9">
        <v>180</v>
      </c>
      <c r="M1058" s="10">
        <v>0.1</v>
      </c>
      <c r="N1058" s="9">
        <f t="shared" si="202"/>
        <v>180</v>
      </c>
      <c r="O1058" s="9">
        <f t="shared" si="192"/>
        <v>162</v>
      </c>
      <c r="P1058" s="5" t="s">
        <v>2268</v>
      </c>
      <c r="Q1058" s="5" t="s">
        <v>1761</v>
      </c>
      <c r="R1058" s="5" t="s">
        <v>2276</v>
      </c>
      <c r="S1058" s="5" t="s">
        <v>2285</v>
      </c>
      <c r="T1058" s="5" t="s">
        <v>2288</v>
      </c>
      <c r="U1058" s="8">
        <v>1</v>
      </c>
      <c r="V1058" s="8">
        <v>217</v>
      </c>
      <c r="W1058" s="8">
        <v>57</v>
      </c>
      <c r="X1058" s="9">
        <v>91.48</v>
      </c>
      <c r="Y1058" s="9">
        <f t="shared" si="193"/>
        <v>70.52</v>
      </c>
      <c r="Z1058" s="5" t="s">
        <v>1761</v>
      </c>
      <c r="AA1058" s="5" t="s">
        <v>2298</v>
      </c>
      <c r="AB1058" s="9">
        <f t="shared" si="194"/>
        <v>180</v>
      </c>
      <c r="AC1058" s="9">
        <f t="shared" si="195"/>
        <v>18</v>
      </c>
      <c r="AD1058" s="9">
        <f t="shared" si="196"/>
        <v>162</v>
      </c>
      <c r="AE1058" s="9">
        <f t="shared" si="197"/>
        <v>91.48</v>
      </c>
      <c r="AF1058" s="9">
        <f t="shared" si="203"/>
        <v>70.52</v>
      </c>
      <c r="AG1058" s="8">
        <f t="shared" si="198"/>
        <v>2024</v>
      </c>
      <c r="AH1058" s="8">
        <f t="shared" si="199"/>
        <v>10</v>
      </c>
      <c r="AI1058" s="5" t="str">
        <f t="shared" si="200"/>
        <v>Oct</v>
      </c>
      <c r="AJ1058" s="5" t="str">
        <f t="shared" si="201"/>
        <v>Tuesday</v>
      </c>
    </row>
    <row r="1059" spans="1:36" x14ac:dyDescent="0.3">
      <c r="A1059" s="5" t="s">
        <v>1093</v>
      </c>
      <c r="B1059" s="6">
        <v>45562</v>
      </c>
      <c r="C1059" s="7">
        <v>0.65625</v>
      </c>
      <c r="D1059" s="5" t="s">
        <v>1896</v>
      </c>
      <c r="E1059" s="5" t="s">
        <v>2228</v>
      </c>
      <c r="F1059" s="5" t="s">
        <v>2239</v>
      </c>
      <c r="G1059" s="5" t="s">
        <v>2256</v>
      </c>
      <c r="H1059" s="5" t="s">
        <v>2261</v>
      </c>
      <c r="I1059" s="5" t="s">
        <v>2260</v>
      </c>
      <c r="J1059" s="5" t="s">
        <v>2265</v>
      </c>
      <c r="K1059" s="8">
        <v>2</v>
      </c>
      <c r="L1059" s="9">
        <v>190</v>
      </c>
      <c r="M1059" s="10">
        <v>0</v>
      </c>
      <c r="N1059" s="9">
        <f t="shared" si="202"/>
        <v>380</v>
      </c>
      <c r="O1059" s="9">
        <f t="shared" si="192"/>
        <v>380</v>
      </c>
      <c r="P1059" s="5" t="s">
        <v>2269</v>
      </c>
      <c r="Q1059" s="5" t="s">
        <v>2271</v>
      </c>
      <c r="R1059" s="5" t="s">
        <v>2278</v>
      </c>
      <c r="S1059" s="5" t="s">
        <v>2280</v>
      </c>
      <c r="T1059" s="5" t="s">
        <v>2290</v>
      </c>
      <c r="U1059" s="8">
        <v>5</v>
      </c>
      <c r="V1059" s="8">
        <v>171</v>
      </c>
      <c r="W1059" s="19">
        <v>37</v>
      </c>
      <c r="X1059" s="9">
        <v>105</v>
      </c>
      <c r="Y1059" s="9">
        <f t="shared" si="193"/>
        <v>170</v>
      </c>
      <c r="Z1059" s="5" t="s">
        <v>1761</v>
      </c>
      <c r="AA1059" s="5" t="s">
        <v>2296</v>
      </c>
      <c r="AB1059" s="9">
        <f t="shared" si="194"/>
        <v>380</v>
      </c>
      <c r="AC1059" s="9">
        <f t="shared" si="195"/>
        <v>0</v>
      </c>
      <c r="AD1059" s="9">
        <f t="shared" si="196"/>
        <v>380</v>
      </c>
      <c r="AE1059" s="9">
        <f t="shared" si="197"/>
        <v>210</v>
      </c>
      <c r="AF1059" s="9">
        <f t="shared" si="203"/>
        <v>170</v>
      </c>
      <c r="AG1059" s="8">
        <f t="shared" si="198"/>
        <v>2024</v>
      </c>
      <c r="AH1059" s="8">
        <f t="shared" si="199"/>
        <v>9</v>
      </c>
      <c r="AI1059" s="5" t="str">
        <f t="shared" si="200"/>
        <v>Sep</v>
      </c>
      <c r="AJ1059" s="5" t="str">
        <f t="shared" si="201"/>
        <v>Friday</v>
      </c>
    </row>
    <row r="1060" spans="1:36" x14ac:dyDescent="0.3">
      <c r="A1060" s="5" t="s">
        <v>1094</v>
      </c>
      <c r="B1060" s="6">
        <v>45437</v>
      </c>
      <c r="C1060" s="7">
        <v>0.88888888888888884</v>
      </c>
      <c r="D1060" s="5" t="s">
        <v>1783</v>
      </c>
      <c r="E1060" s="5" t="s">
        <v>2136</v>
      </c>
      <c r="F1060" s="5" t="s">
        <v>1761</v>
      </c>
      <c r="G1060" s="5" t="s">
        <v>2250</v>
      </c>
      <c r="H1060" s="5" t="s">
        <v>2259</v>
      </c>
      <c r="I1060" s="5" t="s">
        <v>2262</v>
      </c>
      <c r="J1060" s="5" t="s">
        <v>2264</v>
      </c>
      <c r="K1060" s="8">
        <v>1</v>
      </c>
      <c r="L1060" s="9">
        <v>80</v>
      </c>
      <c r="M1060" s="10">
        <v>0</v>
      </c>
      <c r="N1060" s="9">
        <f t="shared" si="202"/>
        <v>80</v>
      </c>
      <c r="O1060" s="9">
        <f t="shared" si="192"/>
        <v>80</v>
      </c>
      <c r="P1060" s="5" t="s">
        <v>2269</v>
      </c>
      <c r="Q1060" s="5" t="s">
        <v>2272</v>
      </c>
      <c r="R1060" s="5" t="s">
        <v>2273</v>
      </c>
      <c r="S1060" s="5" t="s">
        <v>2281</v>
      </c>
      <c r="T1060" s="5" t="s">
        <v>2290</v>
      </c>
      <c r="U1060" s="8">
        <v>5</v>
      </c>
      <c r="V1060" s="8">
        <v>437</v>
      </c>
      <c r="W1060" s="8">
        <v>51</v>
      </c>
      <c r="X1060" s="9">
        <v>44.82</v>
      </c>
      <c r="Y1060" s="9">
        <f t="shared" si="193"/>
        <v>35.18</v>
      </c>
      <c r="Z1060" s="5" t="s">
        <v>2291</v>
      </c>
      <c r="AA1060" s="5" t="s">
        <v>2299</v>
      </c>
      <c r="AB1060" s="9">
        <f t="shared" si="194"/>
        <v>80</v>
      </c>
      <c r="AC1060" s="9">
        <f t="shared" si="195"/>
        <v>0</v>
      </c>
      <c r="AD1060" s="9">
        <f t="shared" si="196"/>
        <v>80</v>
      </c>
      <c r="AE1060" s="9">
        <f t="shared" si="197"/>
        <v>44.82</v>
      </c>
      <c r="AF1060" s="9">
        <f t="shared" si="203"/>
        <v>35.18</v>
      </c>
      <c r="AG1060" s="8">
        <f t="shared" si="198"/>
        <v>2024</v>
      </c>
      <c r="AH1060" s="8">
        <f t="shared" si="199"/>
        <v>5</v>
      </c>
      <c r="AI1060" s="5" t="str">
        <f t="shared" si="200"/>
        <v>May</v>
      </c>
      <c r="AJ1060" s="5" t="str">
        <f t="shared" si="201"/>
        <v>Saturday</v>
      </c>
    </row>
    <row r="1061" spans="1:36" x14ac:dyDescent="0.3">
      <c r="A1061" s="5" t="s">
        <v>1095</v>
      </c>
      <c r="B1061" s="6">
        <v>45505</v>
      </c>
      <c r="C1061" s="7">
        <v>0.82291666666666663</v>
      </c>
      <c r="D1061" s="5" t="s">
        <v>1859</v>
      </c>
      <c r="E1061" s="5" t="s">
        <v>2128</v>
      </c>
      <c r="F1061" s="5" t="s">
        <v>1761</v>
      </c>
      <c r="G1061" s="5" t="s">
        <v>2254</v>
      </c>
      <c r="H1061" s="5" t="s">
        <v>2259</v>
      </c>
      <c r="I1061" s="5" t="s">
        <v>2263</v>
      </c>
      <c r="J1061" s="5" t="s">
        <v>2265</v>
      </c>
      <c r="K1061" s="8">
        <v>1</v>
      </c>
      <c r="L1061" s="9">
        <v>110</v>
      </c>
      <c r="M1061" s="10">
        <v>0</v>
      </c>
      <c r="N1061" s="9">
        <f t="shared" si="202"/>
        <v>110</v>
      </c>
      <c r="O1061" s="9">
        <f t="shared" si="192"/>
        <v>110</v>
      </c>
      <c r="P1061" s="5" t="s">
        <v>2269</v>
      </c>
      <c r="Q1061" s="5" t="s">
        <v>2272</v>
      </c>
      <c r="R1061" s="5" t="s">
        <v>2274</v>
      </c>
      <c r="S1061" s="5" t="s">
        <v>2286</v>
      </c>
      <c r="T1061" s="5" t="s">
        <v>2288</v>
      </c>
      <c r="U1061" s="8">
        <v>1</v>
      </c>
      <c r="V1061" s="19">
        <v>244</v>
      </c>
      <c r="W1061" s="8">
        <v>59</v>
      </c>
      <c r="X1061" s="9">
        <v>62.49</v>
      </c>
      <c r="Y1061" s="9">
        <f t="shared" si="193"/>
        <v>47.51</v>
      </c>
      <c r="Z1061" s="5" t="s">
        <v>2292</v>
      </c>
      <c r="AA1061" s="5" t="s">
        <v>2296</v>
      </c>
      <c r="AB1061" s="9">
        <f t="shared" si="194"/>
        <v>110</v>
      </c>
      <c r="AC1061" s="9">
        <f t="shared" si="195"/>
        <v>0</v>
      </c>
      <c r="AD1061" s="9">
        <f t="shared" si="196"/>
        <v>110</v>
      </c>
      <c r="AE1061" s="9">
        <f t="shared" si="197"/>
        <v>62.49</v>
      </c>
      <c r="AF1061" s="9">
        <f t="shared" si="203"/>
        <v>47.51</v>
      </c>
      <c r="AG1061" s="8">
        <f t="shared" si="198"/>
        <v>2024</v>
      </c>
      <c r="AH1061" s="8">
        <f t="shared" si="199"/>
        <v>8</v>
      </c>
      <c r="AI1061" s="5" t="str">
        <f t="shared" si="200"/>
        <v>Aug</v>
      </c>
      <c r="AJ1061" s="5" t="str">
        <f t="shared" si="201"/>
        <v>Thursday</v>
      </c>
    </row>
    <row r="1062" spans="1:36" x14ac:dyDescent="0.3">
      <c r="A1062" s="5" t="s">
        <v>1096</v>
      </c>
      <c r="B1062" s="6">
        <v>45536</v>
      </c>
      <c r="C1062" s="7">
        <v>0.78125</v>
      </c>
      <c r="D1062" s="5" t="s">
        <v>1783</v>
      </c>
      <c r="E1062" s="5" t="s">
        <v>2121</v>
      </c>
      <c r="F1062" s="5" t="s">
        <v>2240</v>
      </c>
      <c r="G1062" s="5" t="s">
        <v>2253</v>
      </c>
      <c r="H1062" s="5" t="s">
        <v>2258</v>
      </c>
      <c r="I1062" s="5" t="s">
        <v>2260</v>
      </c>
      <c r="J1062" s="5" t="s">
        <v>1761</v>
      </c>
      <c r="K1062" s="8">
        <v>1</v>
      </c>
      <c r="L1062" s="9">
        <v>90</v>
      </c>
      <c r="M1062" s="10">
        <v>0.05</v>
      </c>
      <c r="N1062" s="9">
        <f t="shared" si="202"/>
        <v>90</v>
      </c>
      <c r="O1062" s="9">
        <f t="shared" si="192"/>
        <v>85.5</v>
      </c>
      <c r="P1062" s="5" t="s">
        <v>2267</v>
      </c>
      <c r="Q1062" s="5" t="s">
        <v>1761</v>
      </c>
      <c r="R1062" s="5" t="s">
        <v>2279</v>
      </c>
      <c r="S1062" s="5" t="s">
        <v>2283</v>
      </c>
      <c r="T1062" s="5" t="s">
        <v>2288</v>
      </c>
      <c r="U1062" s="8">
        <v>5</v>
      </c>
      <c r="V1062" s="8">
        <v>450</v>
      </c>
      <c r="W1062" s="8">
        <v>36</v>
      </c>
      <c r="X1062" s="9">
        <v>37.19</v>
      </c>
      <c r="Y1062" s="9">
        <f t="shared" si="193"/>
        <v>48.31</v>
      </c>
      <c r="Z1062" s="5" t="s">
        <v>2291</v>
      </c>
      <c r="AA1062" s="5" t="s">
        <v>2296</v>
      </c>
      <c r="AB1062" s="9">
        <f t="shared" si="194"/>
        <v>90</v>
      </c>
      <c r="AC1062" s="9">
        <f t="shared" si="195"/>
        <v>4.5</v>
      </c>
      <c r="AD1062" s="9">
        <f t="shared" si="196"/>
        <v>85.5</v>
      </c>
      <c r="AE1062" s="9">
        <f t="shared" si="197"/>
        <v>37.19</v>
      </c>
      <c r="AF1062" s="9">
        <f t="shared" si="203"/>
        <v>48.31</v>
      </c>
      <c r="AG1062" s="8">
        <f t="shared" si="198"/>
        <v>2024</v>
      </c>
      <c r="AH1062" s="8">
        <f t="shared" si="199"/>
        <v>9</v>
      </c>
      <c r="AI1062" s="5" t="str">
        <f t="shared" si="200"/>
        <v>Sep</v>
      </c>
      <c r="AJ1062" s="5" t="str">
        <f t="shared" si="201"/>
        <v>Sunday</v>
      </c>
    </row>
    <row r="1063" spans="1:36" x14ac:dyDescent="0.3">
      <c r="A1063" s="5" t="s">
        <v>1097</v>
      </c>
      <c r="B1063" s="6">
        <v>45458</v>
      </c>
      <c r="C1063" s="7">
        <v>0.33333333333333331</v>
      </c>
      <c r="D1063" s="5" t="s">
        <v>1764</v>
      </c>
      <c r="E1063" s="5" t="s">
        <v>2009</v>
      </c>
      <c r="F1063" s="5" t="s">
        <v>2238</v>
      </c>
      <c r="G1063" s="5" t="s">
        <v>2242</v>
      </c>
      <c r="H1063" s="5" t="s">
        <v>2258</v>
      </c>
      <c r="I1063" s="5" t="s">
        <v>2260</v>
      </c>
      <c r="J1063" s="5" t="s">
        <v>2265</v>
      </c>
      <c r="K1063" s="8">
        <v>1</v>
      </c>
      <c r="L1063" s="9">
        <v>130</v>
      </c>
      <c r="M1063" s="10">
        <v>0</v>
      </c>
      <c r="N1063" s="9">
        <f t="shared" si="202"/>
        <v>130</v>
      </c>
      <c r="O1063" s="9">
        <f t="shared" si="192"/>
        <v>130</v>
      </c>
      <c r="P1063" s="5" t="s">
        <v>2268</v>
      </c>
      <c r="Q1063" s="5" t="s">
        <v>2272</v>
      </c>
      <c r="R1063" s="5" t="s">
        <v>2279</v>
      </c>
      <c r="S1063" s="5" t="s">
        <v>2284</v>
      </c>
      <c r="T1063" s="5" t="s">
        <v>2288</v>
      </c>
      <c r="U1063" s="8">
        <v>3</v>
      </c>
      <c r="V1063" s="8">
        <v>400</v>
      </c>
      <c r="W1063" s="19">
        <v>35</v>
      </c>
      <c r="X1063" s="9">
        <v>64.88</v>
      </c>
      <c r="Y1063" s="9">
        <f t="shared" si="193"/>
        <v>65.12</v>
      </c>
      <c r="Z1063" s="5" t="s">
        <v>2293</v>
      </c>
      <c r="AA1063" s="5" t="s">
        <v>1761</v>
      </c>
      <c r="AB1063" s="9">
        <f t="shared" si="194"/>
        <v>130</v>
      </c>
      <c r="AC1063" s="9">
        <f t="shared" si="195"/>
        <v>0</v>
      </c>
      <c r="AD1063" s="9">
        <f t="shared" si="196"/>
        <v>130</v>
      </c>
      <c r="AE1063" s="9">
        <f t="shared" si="197"/>
        <v>64.88</v>
      </c>
      <c r="AF1063" s="9">
        <f t="shared" si="203"/>
        <v>65.12</v>
      </c>
      <c r="AG1063" s="8">
        <f t="shared" si="198"/>
        <v>2024</v>
      </c>
      <c r="AH1063" s="8">
        <f t="shared" si="199"/>
        <v>6</v>
      </c>
      <c r="AI1063" s="5" t="str">
        <f t="shared" si="200"/>
        <v>Jun</v>
      </c>
      <c r="AJ1063" s="5" t="str">
        <f t="shared" si="201"/>
        <v>Saturday</v>
      </c>
    </row>
    <row r="1064" spans="1:36" x14ac:dyDescent="0.3">
      <c r="A1064" s="5" t="s">
        <v>1098</v>
      </c>
      <c r="B1064" s="6">
        <v>45551</v>
      </c>
      <c r="C1064" s="7">
        <v>0.72222222222222221</v>
      </c>
      <c r="D1064" s="5" t="s">
        <v>1818</v>
      </c>
      <c r="E1064" s="5" t="s">
        <v>2070</v>
      </c>
      <c r="F1064" s="5" t="s">
        <v>2238</v>
      </c>
      <c r="G1064" s="5" t="s">
        <v>2248</v>
      </c>
      <c r="H1064" s="5" t="s">
        <v>2257</v>
      </c>
      <c r="I1064" s="5" t="s">
        <v>2262</v>
      </c>
      <c r="J1064" s="5" t="s">
        <v>2265</v>
      </c>
      <c r="K1064" s="8">
        <v>1</v>
      </c>
      <c r="L1064" s="9">
        <v>145</v>
      </c>
      <c r="M1064" s="10">
        <v>0</v>
      </c>
      <c r="N1064" s="9">
        <f t="shared" si="202"/>
        <v>145</v>
      </c>
      <c r="O1064" s="9">
        <f t="shared" si="192"/>
        <v>145</v>
      </c>
      <c r="P1064" s="5" t="s">
        <v>2268</v>
      </c>
      <c r="Q1064" s="5" t="s">
        <v>2272</v>
      </c>
      <c r="R1064" s="5" t="s">
        <v>2277</v>
      </c>
      <c r="S1064" s="5" t="s">
        <v>2282</v>
      </c>
      <c r="T1064" s="5" t="s">
        <v>2289</v>
      </c>
      <c r="U1064" s="8">
        <v>3</v>
      </c>
      <c r="V1064" s="8">
        <v>276</v>
      </c>
      <c r="W1064" s="19">
        <v>35</v>
      </c>
      <c r="X1064" s="9">
        <v>58.92</v>
      </c>
      <c r="Y1064" s="9">
        <f t="shared" si="193"/>
        <v>86.08</v>
      </c>
      <c r="Z1064" s="5" t="s">
        <v>1761</v>
      </c>
      <c r="AA1064" s="5" t="s">
        <v>1761</v>
      </c>
      <c r="AB1064" s="9">
        <f t="shared" si="194"/>
        <v>145</v>
      </c>
      <c r="AC1064" s="9">
        <f t="shared" si="195"/>
        <v>0</v>
      </c>
      <c r="AD1064" s="9">
        <f t="shared" si="196"/>
        <v>145</v>
      </c>
      <c r="AE1064" s="9">
        <f t="shared" si="197"/>
        <v>58.92</v>
      </c>
      <c r="AF1064" s="9">
        <f t="shared" si="203"/>
        <v>86.08</v>
      </c>
      <c r="AG1064" s="8">
        <f t="shared" si="198"/>
        <v>2024</v>
      </c>
      <c r="AH1064" s="8">
        <f t="shared" si="199"/>
        <v>9</v>
      </c>
      <c r="AI1064" s="5" t="str">
        <f t="shared" si="200"/>
        <v>Sep</v>
      </c>
      <c r="AJ1064" s="5" t="str">
        <f t="shared" si="201"/>
        <v>Monday</v>
      </c>
    </row>
    <row r="1065" spans="1:36" x14ac:dyDescent="0.3">
      <c r="A1065" s="5" t="s">
        <v>1099</v>
      </c>
      <c r="B1065" s="6">
        <v>45467</v>
      </c>
      <c r="C1065" s="7">
        <v>0.34722222222222221</v>
      </c>
      <c r="D1065" s="5" t="s">
        <v>1839</v>
      </c>
      <c r="E1065" s="5" t="s">
        <v>1948</v>
      </c>
      <c r="F1065" s="5" t="s">
        <v>2239</v>
      </c>
      <c r="G1065" s="5" t="s">
        <v>2256</v>
      </c>
      <c r="H1065" s="5" t="s">
        <v>2261</v>
      </c>
      <c r="I1065" s="5" t="s">
        <v>2260</v>
      </c>
      <c r="J1065" s="5" t="s">
        <v>2266</v>
      </c>
      <c r="K1065" s="8">
        <v>1</v>
      </c>
      <c r="L1065" s="9">
        <v>190</v>
      </c>
      <c r="M1065" s="10">
        <v>0.05</v>
      </c>
      <c r="N1065" s="9">
        <f t="shared" si="202"/>
        <v>190</v>
      </c>
      <c r="O1065" s="9">
        <f t="shared" si="192"/>
        <v>180.5</v>
      </c>
      <c r="P1065" s="5" t="s">
        <v>2269</v>
      </c>
      <c r="Q1065" s="5" t="s">
        <v>2272</v>
      </c>
      <c r="R1065" s="5" t="s">
        <v>2273</v>
      </c>
      <c r="S1065" s="5" t="s">
        <v>2286</v>
      </c>
      <c r="T1065" s="5" t="s">
        <v>2288</v>
      </c>
      <c r="U1065" s="8">
        <v>1</v>
      </c>
      <c r="V1065" s="8">
        <v>53</v>
      </c>
      <c r="W1065" s="19">
        <v>35</v>
      </c>
      <c r="X1065" s="9">
        <v>104.58</v>
      </c>
      <c r="Y1065" s="9">
        <f t="shared" si="193"/>
        <v>75.92</v>
      </c>
      <c r="Z1065" s="5" t="s">
        <v>2291</v>
      </c>
      <c r="AA1065" s="5" t="s">
        <v>2299</v>
      </c>
      <c r="AB1065" s="9">
        <f t="shared" si="194"/>
        <v>190</v>
      </c>
      <c r="AC1065" s="9">
        <f t="shared" si="195"/>
        <v>9.5</v>
      </c>
      <c r="AD1065" s="9">
        <f t="shared" si="196"/>
        <v>180.5</v>
      </c>
      <c r="AE1065" s="9">
        <f t="shared" si="197"/>
        <v>104.58</v>
      </c>
      <c r="AF1065" s="9">
        <f t="shared" si="203"/>
        <v>75.92</v>
      </c>
      <c r="AG1065" s="8">
        <f t="shared" si="198"/>
        <v>2024</v>
      </c>
      <c r="AH1065" s="8">
        <f t="shared" si="199"/>
        <v>6</v>
      </c>
      <c r="AI1065" s="5" t="str">
        <f t="shared" si="200"/>
        <v>Jun</v>
      </c>
      <c r="AJ1065" s="5" t="str">
        <f t="shared" si="201"/>
        <v>Monday</v>
      </c>
    </row>
    <row r="1066" spans="1:36" x14ac:dyDescent="0.3">
      <c r="A1066" s="5" t="s">
        <v>1100</v>
      </c>
      <c r="B1066" s="6">
        <v>45657</v>
      </c>
      <c r="C1066" s="7">
        <v>0.39583333333333331</v>
      </c>
      <c r="D1066" s="5" t="s">
        <v>1935</v>
      </c>
      <c r="E1066" s="5" t="s">
        <v>1987</v>
      </c>
      <c r="F1066" s="5" t="s">
        <v>2238</v>
      </c>
      <c r="G1066" s="5" t="s">
        <v>2247</v>
      </c>
      <c r="H1066" s="5" t="s">
        <v>2257</v>
      </c>
      <c r="I1066" s="5" t="s">
        <v>2262</v>
      </c>
      <c r="J1066" s="5" t="s">
        <v>2264</v>
      </c>
      <c r="K1066" s="8">
        <v>1</v>
      </c>
      <c r="L1066" s="9">
        <v>110</v>
      </c>
      <c r="M1066" s="10">
        <v>0</v>
      </c>
      <c r="N1066" s="9">
        <f t="shared" si="202"/>
        <v>110</v>
      </c>
      <c r="O1066" s="9">
        <f t="shared" si="192"/>
        <v>110</v>
      </c>
      <c r="P1066" s="5" t="s">
        <v>2267</v>
      </c>
      <c r="Q1066" s="5" t="s">
        <v>2272</v>
      </c>
      <c r="R1066" s="5" t="s">
        <v>2278</v>
      </c>
      <c r="S1066" s="5" t="s">
        <v>2284</v>
      </c>
      <c r="T1066" s="5" t="s">
        <v>2288</v>
      </c>
      <c r="U1066" s="8">
        <v>4</v>
      </c>
      <c r="V1066" s="8">
        <v>1</v>
      </c>
      <c r="W1066" s="8">
        <v>48</v>
      </c>
      <c r="X1066" s="9">
        <v>58.6</v>
      </c>
      <c r="Y1066" s="9">
        <f t="shared" si="193"/>
        <v>51.4</v>
      </c>
      <c r="Z1066" s="5" t="s">
        <v>2293</v>
      </c>
      <c r="AA1066" s="5" t="s">
        <v>2296</v>
      </c>
      <c r="AB1066" s="9">
        <f t="shared" si="194"/>
        <v>110</v>
      </c>
      <c r="AC1066" s="9">
        <f t="shared" si="195"/>
        <v>0</v>
      </c>
      <c r="AD1066" s="9">
        <f t="shared" si="196"/>
        <v>110</v>
      </c>
      <c r="AE1066" s="9">
        <f t="shared" si="197"/>
        <v>58.6</v>
      </c>
      <c r="AF1066" s="9">
        <f t="shared" si="203"/>
        <v>51.4</v>
      </c>
      <c r="AG1066" s="8">
        <f t="shared" si="198"/>
        <v>2024</v>
      </c>
      <c r="AH1066" s="8">
        <f t="shared" si="199"/>
        <v>12</v>
      </c>
      <c r="AI1066" s="5" t="str">
        <f t="shared" si="200"/>
        <v>Dec</v>
      </c>
      <c r="AJ1066" s="5" t="str">
        <f t="shared" si="201"/>
        <v>Tuesday</v>
      </c>
    </row>
    <row r="1067" spans="1:36" x14ac:dyDescent="0.3">
      <c r="A1067" s="5" t="s">
        <v>1101</v>
      </c>
      <c r="B1067" s="6">
        <v>45292</v>
      </c>
      <c r="C1067" s="7">
        <v>0.76388888888888884</v>
      </c>
      <c r="D1067" s="5" t="s">
        <v>1830</v>
      </c>
      <c r="E1067" s="5" t="s">
        <v>2138</v>
      </c>
      <c r="F1067" s="5" t="s">
        <v>2240</v>
      </c>
      <c r="G1067" s="5" t="s">
        <v>2247</v>
      </c>
      <c r="H1067" s="5" t="s">
        <v>2257</v>
      </c>
      <c r="I1067" s="5" t="s">
        <v>2262</v>
      </c>
      <c r="J1067" s="5" t="s">
        <v>2266</v>
      </c>
      <c r="K1067" s="8">
        <v>1</v>
      </c>
      <c r="L1067" s="9">
        <v>100</v>
      </c>
      <c r="M1067" s="10">
        <v>0.05</v>
      </c>
      <c r="N1067" s="9">
        <f t="shared" si="202"/>
        <v>100</v>
      </c>
      <c r="O1067" s="9">
        <f t="shared" si="192"/>
        <v>95</v>
      </c>
      <c r="P1067" s="5" t="s">
        <v>2267</v>
      </c>
      <c r="Q1067" s="5" t="s">
        <v>2270</v>
      </c>
      <c r="R1067" s="5" t="s">
        <v>2273</v>
      </c>
      <c r="S1067" s="5" t="s">
        <v>2284</v>
      </c>
      <c r="T1067" s="5" t="s">
        <v>2290</v>
      </c>
      <c r="U1067" s="19">
        <v>3</v>
      </c>
      <c r="V1067" s="19">
        <v>244</v>
      </c>
      <c r="W1067" s="8">
        <v>25</v>
      </c>
      <c r="X1067" s="9">
        <v>38.04</v>
      </c>
      <c r="Y1067" s="9">
        <f t="shared" si="193"/>
        <v>56.96</v>
      </c>
      <c r="Z1067" s="5" t="s">
        <v>2292</v>
      </c>
      <c r="AA1067" s="5" t="s">
        <v>2299</v>
      </c>
      <c r="AB1067" s="9">
        <f t="shared" si="194"/>
        <v>100</v>
      </c>
      <c r="AC1067" s="9">
        <f t="shared" si="195"/>
        <v>5</v>
      </c>
      <c r="AD1067" s="9">
        <f t="shared" si="196"/>
        <v>95</v>
      </c>
      <c r="AE1067" s="9">
        <f t="shared" si="197"/>
        <v>38.04</v>
      </c>
      <c r="AF1067" s="9">
        <f t="shared" si="203"/>
        <v>56.96</v>
      </c>
      <c r="AG1067" s="8">
        <f t="shared" si="198"/>
        <v>2024</v>
      </c>
      <c r="AH1067" s="8">
        <f t="shared" si="199"/>
        <v>1</v>
      </c>
      <c r="AI1067" s="5" t="str">
        <f t="shared" si="200"/>
        <v>Jan</v>
      </c>
      <c r="AJ1067" s="5" t="str">
        <f t="shared" si="201"/>
        <v>Monday</v>
      </c>
    </row>
    <row r="1068" spans="1:36" x14ac:dyDescent="0.3">
      <c r="A1068" s="5" t="s">
        <v>1102</v>
      </c>
      <c r="B1068" s="6">
        <v>45617</v>
      </c>
      <c r="C1068" s="7">
        <v>0.71527777777777779</v>
      </c>
      <c r="D1068" s="5" t="s">
        <v>1814</v>
      </c>
      <c r="E1068" s="5" t="s">
        <v>2215</v>
      </c>
      <c r="F1068" s="5" t="s">
        <v>2238</v>
      </c>
      <c r="G1068" s="5" t="s">
        <v>2248</v>
      </c>
      <c r="H1068" s="5" t="s">
        <v>2257</v>
      </c>
      <c r="I1068" s="5" t="s">
        <v>2262</v>
      </c>
      <c r="J1068" s="5" t="s">
        <v>2266</v>
      </c>
      <c r="K1068" s="8">
        <v>2</v>
      </c>
      <c r="L1068" s="9">
        <v>145</v>
      </c>
      <c r="M1068" s="10">
        <v>0</v>
      </c>
      <c r="N1068" s="9">
        <f t="shared" si="202"/>
        <v>290</v>
      </c>
      <c r="O1068" s="9">
        <f t="shared" si="192"/>
        <v>290</v>
      </c>
      <c r="P1068" s="5" t="s">
        <v>1761</v>
      </c>
      <c r="Q1068" s="5" t="s">
        <v>2272</v>
      </c>
      <c r="R1068" s="5" t="s">
        <v>2276</v>
      </c>
      <c r="S1068" s="5" t="s">
        <v>2283</v>
      </c>
      <c r="T1068" s="5" t="s">
        <v>2289</v>
      </c>
      <c r="U1068" s="8">
        <v>1</v>
      </c>
      <c r="V1068" s="8">
        <v>38</v>
      </c>
      <c r="W1068" s="19">
        <v>35</v>
      </c>
      <c r="X1068" s="9">
        <v>57.34</v>
      </c>
      <c r="Y1068" s="9">
        <f t="shared" si="193"/>
        <v>175.32</v>
      </c>
      <c r="Z1068" s="5" t="s">
        <v>1761</v>
      </c>
      <c r="AA1068" s="5" t="s">
        <v>2296</v>
      </c>
      <c r="AB1068" s="9">
        <f t="shared" si="194"/>
        <v>290</v>
      </c>
      <c r="AC1068" s="9">
        <f t="shared" si="195"/>
        <v>0</v>
      </c>
      <c r="AD1068" s="9">
        <f t="shared" si="196"/>
        <v>290</v>
      </c>
      <c r="AE1068" s="9">
        <f t="shared" si="197"/>
        <v>114.68</v>
      </c>
      <c r="AF1068" s="9">
        <f t="shared" si="203"/>
        <v>175.32</v>
      </c>
      <c r="AG1068" s="8">
        <f t="shared" si="198"/>
        <v>2024</v>
      </c>
      <c r="AH1068" s="8">
        <f t="shared" si="199"/>
        <v>11</v>
      </c>
      <c r="AI1068" s="5" t="str">
        <f t="shared" si="200"/>
        <v>Nov</v>
      </c>
      <c r="AJ1068" s="5" t="str">
        <f t="shared" si="201"/>
        <v>Thursday</v>
      </c>
    </row>
    <row r="1069" spans="1:36" x14ac:dyDescent="0.3">
      <c r="A1069" s="5" t="s">
        <v>1103</v>
      </c>
      <c r="B1069" s="6">
        <v>45548</v>
      </c>
      <c r="C1069" s="7">
        <v>0.36458333333333331</v>
      </c>
      <c r="D1069" s="5" t="s">
        <v>1879</v>
      </c>
      <c r="E1069" s="5" t="s">
        <v>2031</v>
      </c>
      <c r="F1069" s="5" t="s">
        <v>2240</v>
      </c>
      <c r="G1069" s="5" t="s">
        <v>2243</v>
      </c>
      <c r="H1069" s="5" t="s">
        <v>2258</v>
      </c>
      <c r="I1069" s="5" t="s">
        <v>2260</v>
      </c>
      <c r="J1069" s="5" t="s">
        <v>2264</v>
      </c>
      <c r="K1069" s="8">
        <v>2</v>
      </c>
      <c r="L1069" s="9">
        <v>65</v>
      </c>
      <c r="M1069" s="10">
        <v>0</v>
      </c>
      <c r="N1069" s="9">
        <f t="shared" si="202"/>
        <v>130</v>
      </c>
      <c r="O1069" s="9">
        <f t="shared" si="192"/>
        <v>130</v>
      </c>
      <c r="P1069" s="5" t="s">
        <v>2269</v>
      </c>
      <c r="Q1069" s="5" t="s">
        <v>2272</v>
      </c>
      <c r="R1069" s="5" t="s">
        <v>2274</v>
      </c>
      <c r="S1069" s="5" t="s">
        <v>2282</v>
      </c>
      <c r="T1069" s="5" t="s">
        <v>2288</v>
      </c>
      <c r="U1069" s="19">
        <v>3</v>
      </c>
      <c r="V1069" s="19">
        <v>244</v>
      </c>
      <c r="W1069" s="19">
        <v>35</v>
      </c>
      <c r="X1069" s="9">
        <v>31.13</v>
      </c>
      <c r="Y1069" s="9">
        <f t="shared" si="193"/>
        <v>67.740000000000009</v>
      </c>
      <c r="Z1069" s="5" t="s">
        <v>2292</v>
      </c>
      <c r="AA1069" s="5" t="s">
        <v>2297</v>
      </c>
      <c r="AB1069" s="9">
        <f t="shared" si="194"/>
        <v>130</v>
      </c>
      <c r="AC1069" s="9">
        <f t="shared" si="195"/>
        <v>0</v>
      </c>
      <c r="AD1069" s="9">
        <f t="shared" si="196"/>
        <v>130</v>
      </c>
      <c r="AE1069" s="9">
        <f t="shared" si="197"/>
        <v>62.26</v>
      </c>
      <c r="AF1069" s="9">
        <f t="shared" si="203"/>
        <v>67.740000000000009</v>
      </c>
      <c r="AG1069" s="8">
        <f t="shared" si="198"/>
        <v>2024</v>
      </c>
      <c r="AH1069" s="8">
        <f t="shared" si="199"/>
        <v>9</v>
      </c>
      <c r="AI1069" s="5" t="str">
        <f t="shared" si="200"/>
        <v>Sep</v>
      </c>
      <c r="AJ1069" s="5" t="str">
        <f t="shared" si="201"/>
        <v>Friday</v>
      </c>
    </row>
    <row r="1070" spans="1:36" x14ac:dyDescent="0.3">
      <c r="A1070" s="5" t="s">
        <v>1104</v>
      </c>
      <c r="B1070" s="6">
        <v>45551</v>
      </c>
      <c r="C1070" s="7">
        <v>0.58333333333333337</v>
      </c>
      <c r="D1070" s="5" t="s">
        <v>1820</v>
      </c>
      <c r="E1070" s="5" t="s">
        <v>1980</v>
      </c>
      <c r="F1070" s="5" t="s">
        <v>2240</v>
      </c>
      <c r="G1070" s="5" t="s">
        <v>2248</v>
      </c>
      <c r="H1070" s="5" t="s">
        <v>2257</v>
      </c>
      <c r="I1070" s="5" t="s">
        <v>2262</v>
      </c>
      <c r="J1070" s="5" t="s">
        <v>1761</v>
      </c>
      <c r="K1070" s="8">
        <v>4</v>
      </c>
      <c r="L1070" s="9">
        <v>145</v>
      </c>
      <c r="M1070" s="10">
        <v>0</v>
      </c>
      <c r="N1070" s="9">
        <f t="shared" si="202"/>
        <v>580</v>
      </c>
      <c r="O1070" s="9">
        <f t="shared" si="192"/>
        <v>580</v>
      </c>
      <c r="P1070" s="5" t="s">
        <v>2269</v>
      </c>
      <c r="Q1070" s="5" t="s">
        <v>2270</v>
      </c>
      <c r="R1070" s="5" t="s">
        <v>2274</v>
      </c>
      <c r="S1070" s="5" t="s">
        <v>2283</v>
      </c>
      <c r="T1070" s="5" t="s">
        <v>2289</v>
      </c>
      <c r="U1070" s="8">
        <v>2</v>
      </c>
      <c r="V1070" s="8">
        <v>364</v>
      </c>
      <c r="W1070" s="8">
        <v>58</v>
      </c>
      <c r="X1070" s="9">
        <v>68.05</v>
      </c>
      <c r="Y1070" s="9">
        <f t="shared" si="193"/>
        <v>307.8</v>
      </c>
      <c r="Z1070" s="5" t="s">
        <v>2292</v>
      </c>
      <c r="AA1070" s="5" t="s">
        <v>2296</v>
      </c>
      <c r="AB1070" s="9">
        <f t="shared" si="194"/>
        <v>580</v>
      </c>
      <c r="AC1070" s="9">
        <f t="shared" si="195"/>
        <v>0</v>
      </c>
      <c r="AD1070" s="9">
        <f t="shared" si="196"/>
        <v>580</v>
      </c>
      <c r="AE1070" s="9">
        <f t="shared" si="197"/>
        <v>272.2</v>
      </c>
      <c r="AF1070" s="9">
        <f t="shared" si="203"/>
        <v>307.8</v>
      </c>
      <c r="AG1070" s="8">
        <f t="shared" si="198"/>
        <v>2024</v>
      </c>
      <c r="AH1070" s="8">
        <f t="shared" si="199"/>
        <v>9</v>
      </c>
      <c r="AI1070" s="5" t="str">
        <f t="shared" si="200"/>
        <v>Sep</v>
      </c>
      <c r="AJ1070" s="5" t="str">
        <f t="shared" si="201"/>
        <v>Monday</v>
      </c>
    </row>
    <row r="1071" spans="1:36" x14ac:dyDescent="0.3">
      <c r="A1071" s="5" t="s">
        <v>1105</v>
      </c>
      <c r="B1071" s="6">
        <v>45589</v>
      </c>
      <c r="C1071" s="7">
        <v>0.55555555555555558</v>
      </c>
      <c r="D1071" s="5" t="s">
        <v>1792</v>
      </c>
      <c r="E1071" s="5" t="s">
        <v>2027</v>
      </c>
      <c r="F1071" s="5" t="s">
        <v>2240</v>
      </c>
      <c r="G1071" s="5" t="s">
        <v>2253</v>
      </c>
      <c r="H1071" s="5" t="s">
        <v>2258</v>
      </c>
      <c r="I1071" s="5" t="s">
        <v>2260</v>
      </c>
      <c r="J1071" s="5" t="s">
        <v>2266</v>
      </c>
      <c r="K1071" s="19">
        <v>1</v>
      </c>
      <c r="L1071" s="9">
        <v>100</v>
      </c>
      <c r="M1071" s="10">
        <v>0</v>
      </c>
      <c r="N1071" s="9">
        <f t="shared" si="202"/>
        <v>100</v>
      </c>
      <c r="O1071" s="9">
        <f t="shared" si="192"/>
        <v>100</v>
      </c>
      <c r="P1071" s="5" t="s">
        <v>2267</v>
      </c>
      <c r="Q1071" s="5" t="s">
        <v>1761</v>
      </c>
      <c r="R1071" s="5" t="s">
        <v>2277</v>
      </c>
      <c r="S1071" s="5" t="s">
        <v>2281</v>
      </c>
      <c r="T1071" s="5" t="s">
        <v>2288</v>
      </c>
      <c r="U1071" s="8">
        <v>5</v>
      </c>
      <c r="V1071" s="8">
        <v>8</v>
      </c>
      <c r="W1071" s="19">
        <v>36</v>
      </c>
      <c r="X1071" s="9">
        <v>32.14</v>
      </c>
      <c r="Y1071" s="9">
        <f t="shared" si="193"/>
        <v>67.86</v>
      </c>
      <c r="Z1071" s="5" t="s">
        <v>1761</v>
      </c>
      <c r="AA1071" s="5" t="s">
        <v>2299</v>
      </c>
      <c r="AB1071" s="9">
        <f t="shared" si="194"/>
        <v>100</v>
      </c>
      <c r="AC1071" s="9">
        <f t="shared" si="195"/>
        <v>0</v>
      </c>
      <c r="AD1071" s="9">
        <f t="shared" si="196"/>
        <v>100</v>
      </c>
      <c r="AE1071" s="9">
        <f t="shared" si="197"/>
        <v>32.14</v>
      </c>
      <c r="AF1071" s="9">
        <f t="shared" si="203"/>
        <v>67.86</v>
      </c>
      <c r="AG1071" s="8">
        <f t="shared" si="198"/>
        <v>2024</v>
      </c>
      <c r="AH1071" s="8">
        <f t="shared" si="199"/>
        <v>10</v>
      </c>
      <c r="AI1071" s="5" t="str">
        <f t="shared" si="200"/>
        <v>Oct</v>
      </c>
      <c r="AJ1071" s="5" t="str">
        <f t="shared" si="201"/>
        <v>Thursday</v>
      </c>
    </row>
    <row r="1072" spans="1:36" x14ac:dyDescent="0.3">
      <c r="A1072" s="5" t="s">
        <v>1106</v>
      </c>
      <c r="B1072" s="6">
        <v>45404</v>
      </c>
      <c r="C1072" s="7">
        <v>0.75</v>
      </c>
      <c r="D1072" s="5" t="s">
        <v>1742</v>
      </c>
      <c r="E1072" s="5" t="s">
        <v>2192</v>
      </c>
      <c r="F1072" s="5" t="s">
        <v>2239</v>
      </c>
      <c r="G1072" s="5" t="s">
        <v>2251</v>
      </c>
      <c r="H1072" s="5" t="s">
        <v>2258</v>
      </c>
      <c r="I1072" s="5" t="s">
        <v>2260</v>
      </c>
      <c r="J1072" s="5" t="s">
        <v>2264</v>
      </c>
      <c r="K1072" s="8">
        <v>2</v>
      </c>
      <c r="L1072" s="9">
        <v>105</v>
      </c>
      <c r="M1072" s="10">
        <v>0.1</v>
      </c>
      <c r="N1072" s="9">
        <f t="shared" si="202"/>
        <v>210</v>
      </c>
      <c r="O1072" s="9">
        <f t="shared" si="192"/>
        <v>189</v>
      </c>
      <c r="P1072" s="5" t="s">
        <v>2267</v>
      </c>
      <c r="Q1072" s="5" t="s">
        <v>1761</v>
      </c>
      <c r="R1072" s="5" t="s">
        <v>2275</v>
      </c>
      <c r="S1072" s="5" t="s">
        <v>2284</v>
      </c>
      <c r="T1072" s="5" t="s">
        <v>2288</v>
      </c>
      <c r="U1072" s="19">
        <v>3</v>
      </c>
      <c r="V1072" s="8">
        <v>366</v>
      </c>
      <c r="W1072" s="8">
        <v>45</v>
      </c>
      <c r="X1072" s="9">
        <v>39.770000000000003</v>
      </c>
      <c r="Y1072" s="9">
        <f t="shared" si="193"/>
        <v>109.46</v>
      </c>
      <c r="Z1072" s="5" t="s">
        <v>2294</v>
      </c>
      <c r="AA1072" s="5" t="s">
        <v>2296</v>
      </c>
      <c r="AB1072" s="9">
        <f t="shared" si="194"/>
        <v>210</v>
      </c>
      <c r="AC1072" s="9">
        <f t="shared" si="195"/>
        <v>21</v>
      </c>
      <c r="AD1072" s="9">
        <f t="shared" si="196"/>
        <v>189</v>
      </c>
      <c r="AE1072" s="9">
        <f t="shared" si="197"/>
        <v>79.540000000000006</v>
      </c>
      <c r="AF1072" s="9">
        <f t="shared" si="203"/>
        <v>109.46</v>
      </c>
      <c r="AG1072" s="8">
        <f t="shared" si="198"/>
        <v>2024</v>
      </c>
      <c r="AH1072" s="8">
        <f t="shared" si="199"/>
        <v>4</v>
      </c>
      <c r="AI1072" s="5" t="str">
        <f t="shared" si="200"/>
        <v>Apr</v>
      </c>
      <c r="AJ1072" s="5" t="str">
        <f t="shared" si="201"/>
        <v>Monday</v>
      </c>
    </row>
    <row r="1073" spans="1:36" x14ac:dyDescent="0.3">
      <c r="A1073" s="5" t="s">
        <v>1107</v>
      </c>
      <c r="B1073" s="6">
        <v>45316</v>
      </c>
      <c r="C1073" s="7">
        <v>0.88541666666666663</v>
      </c>
      <c r="D1073" s="5" t="s">
        <v>1820</v>
      </c>
      <c r="E1073" s="5" t="s">
        <v>2147</v>
      </c>
      <c r="F1073" s="5" t="s">
        <v>1761</v>
      </c>
      <c r="G1073" s="5" t="s">
        <v>2242</v>
      </c>
      <c r="H1073" s="5" t="s">
        <v>2258</v>
      </c>
      <c r="I1073" s="5" t="s">
        <v>2260</v>
      </c>
      <c r="J1073" s="5" t="s">
        <v>2265</v>
      </c>
      <c r="K1073" s="8">
        <v>1</v>
      </c>
      <c r="L1073" s="9">
        <v>120</v>
      </c>
      <c r="M1073" s="10">
        <v>0</v>
      </c>
      <c r="N1073" s="9">
        <f t="shared" si="202"/>
        <v>120</v>
      </c>
      <c r="O1073" s="9">
        <f t="shared" si="192"/>
        <v>120</v>
      </c>
      <c r="P1073" s="5" t="s">
        <v>2268</v>
      </c>
      <c r="Q1073" s="5" t="s">
        <v>2270</v>
      </c>
      <c r="R1073" s="5" t="s">
        <v>2278</v>
      </c>
      <c r="S1073" s="5" t="s">
        <v>2280</v>
      </c>
      <c r="T1073" s="5" t="s">
        <v>2288</v>
      </c>
      <c r="U1073" s="19">
        <v>3</v>
      </c>
      <c r="V1073" s="8">
        <v>7</v>
      </c>
      <c r="W1073" s="8">
        <v>15</v>
      </c>
      <c r="X1073" s="9">
        <v>52.29</v>
      </c>
      <c r="Y1073" s="9">
        <f t="shared" si="193"/>
        <v>67.710000000000008</v>
      </c>
      <c r="Z1073" s="5" t="s">
        <v>2293</v>
      </c>
      <c r="AA1073" s="5" t="s">
        <v>2296</v>
      </c>
      <c r="AB1073" s="9">
        <f t="shared" si="194"/>
        <v>120</v>
      </c>
      <c r="AC1073" s="9">
        <f t="shared" si="195"/>
        <v>0</v>
      </c>
      <c r="AD1073" s="9">
        <f t="shared" si="196"/>
        <v>120</v>
      </c>
      <c r="AE1073" s="9">
        <f t="shared" si="197"/>
        <v>52.29</v>
      </c>
      <c r="AF1073" s="9">
        <f t="shared" si="203"/>
        <v>67.710000000000008</v>
      </c>
      <c r="AG1073" s="8">
        <f t="shared" si="198"/>
        <v>2024</v>
      </c>
      <c r="AH1073" s="8">
        <f t="shared" si="199"/>
        <v>1</v>
      </c>
      <c r="AI1073" s="5" t="str">
        <f t="shared" si="200"/>
        <v>Jan</v>
      </c>
      <c r="AJ1073" s="5" t="str">
        <f t="shared" si="201"/>
        <v>Thursday</v>
      </c>
    </row>
    <row r="1074" spans="1:36" x14ac:dyDescent="0.3">
      <c r="A1074" s="5" t="s">
        <v>1108</v>
      </c>
      <c r="B1074" s="6">
        <v>45594</v>
      </c>
      <c r="C1074" s="7">
        <v>0.29166666666666669</v>
      </c>
      <c r="D1074" s="5" t="s">
        <v>1815</v>
      </c>
      <c r="E1074" s="5" t="s">
        <v>1761</v>
      </c>
      <c r="F1074" s="5" t="s">
        <v>1761</v>
      </c>
      <c r="G1074" s="5" t="s">
        <v>2242</v>
      </c>
      <c r="H1074" s="5" t="s">
        <v>2258</v>
      </c>
      <c r="I1074" s="5" t="s">
        <v>2260</v>
      </c>
      <c r="J1074" s="5" t="s">
        <v>2265</v>
      </c>
      <c r="K1074" s="8">
        <v>2</v>
      </c>
      <c r="L1074" s="9">
        <v>120</v>
      </c>
      <c r="M1074" s="10">
        <v>0.05</v>
      </c>
      <c r="N1074" s="9">
        <f t="shared" si="202"/>
        <v>240</v>
      </c>
      <c r="O1074" s="9">
        <f t="shared" si="192"/>
        <v>228</v>
      </c>
      <c r="P1074" s="5" t="s">
        <v>2268</v>
      </c>
      <c r="Q1074" s="5" t="s">
        <v>1761</v>
      </c>
      <c r="R1074" s="5" t="s">
        <v>2278</v>
      </c>
      <c r="S1074" s="5" t="s">
        <v>2281</v>
      </c>
      <c r="T1074" s="5" t="s">
        <v>2289</v>
      </c>
      <c r="U1074" s="8">
        <v>5</v>
      </c>
      <c r="V1074" s="8">
        <v>258</v>
      </c>
      <c r="W1074" s="8">
        <v>43</v>
      </c>
      <c r="X1074" s="9">
        <v>52.92</v>
      </c>
      <c r="Y1074" s="9">
        <f t="shared" si="193"/>
        <v>122.16</v>
      </c>
      <c r="Z1074" s="5" t="s">
        <v>2291</v>
      </c>
      <c r="AA1074" s="5" t="s">
        <v>2296</v>
      </c>
      <c r="AB1074" s="9">
        <f t="shared" si="194"/>
        <v>240</v>
      </c>
      <c r="AC1074" s="9">
        <f t="shared" si="195"/>
        <v>12</v>
      </c>
      <c r="AD1074" s="9">
        <f t="shared" si="196"/>
        <v>228</v>
      </c>
      <c r="AE1074" s="9">
        <f t="shared" si="197"/>
        <v>105.84</v>
      </c>
      <c r="AF1074" s="9">
        <f t="shared" si="203"/>
        <v>122.16</v>
      </c>
      <c r="AG1074" s="8">
        <f t="shared" si="198"/>
        <v>2024</v>
      </c>
      <c r="AH1074" s="8">
        <f t="shared" si="199"/>
        <v>10</v>
      </c>
      <c r="AI1074" s="5" t="str">
        <f t="shared" si="200"/>
        <v>Oct</v>
      </c>
      <c r="AJ1074" s="5" t="str">
        <f t="shared" si="201"/>
        <v>Tuesday</v>
      </c>
    </row>
    <row r="1075" spans="1:36" x14ac:dyDescent="0.3">
      <c r="A1075" s="5" t="s">
        <v>1109</v>
      </c>
      <c r="B1075" s="6">
        <v>45547</v>
      </c>
      <c r="C1075" s="7">
        <v>0.63888888888888884</v>
      </c>
      <c r="D1075" s="5" t="s">
        <v>1761</v>
      </c>
      <c r="E1075" s="5" t="s">
        <v>2231</v>
      </c>
      <c r="F1075" s="5" t="s">
        <v>1761</v>
      </c>
      <c r="G1075" s="5" t="s">
        <v>2252</v>
      </c>
      <c r="H1075" s="5" t="s">
        <v>2257</v>
      </c>
      <c r="I1075" s="5" t="s">
        <v>2262</v>
      </c>
      <c r="J1075" s="5" t="s">
        <v>2264</v>
      </c>
      <c r="K1075" s="8">
        <v>1</v>
      </c>
      <c r="L1075" s="9">
        <v>90</v>
      </c>
      <c r="M1075" s="10">
        <v>0</v>
      </c>
      <c r="N1075" s="9">
        <f t="shared" si="202"/>
        <v>90</v>
      </c>
      <c r="O1075" s="9">
        <f t="shared" si="192"/>
        <v>90</v>
      </c>
      <c r="P1075" s="5" t="s">
        <v>2267</v>
      </c>
      <c r="Q1075" s="5" t="s">
        <v>2272</v>
      </c>
      <c r="R1075" s="5" t="s">
        <v>2277</v>
      </c>
      <c r="S1075" s="5" t="s">
        <v>2286</v>
      </c>
      <c r="T1075" s="5" t="s">
        <v>2288</v>
      </c>
      <c r="U1075" s="8">
        <v>2</v>
      </c>
      <c r="V1075" s="8">
        <v>394</v>
      </c>
      <c r="W1075" s="8">
        <v>55</v>
      </c>
      <c r="X1075" s="9">
        <v>31.54</v>
      </c>
      <c r="Y1075" s="9">
        <f t="shared" si="193"/>
        <v>58.46</v>
      </c>
      <c r="Z1075" s="5" t="s">
        <v>2293</v>
      </c>
      <c r="AA1075" s="5" t="s">
        <v>2296</v>
      </c>
      <c r="AB1075" s="9">
        <f t="shared" si="194"/>
        <v>90</v>
      </c>
      <c r="AC1075" s="9">
        <f t="shared" si="195"/>
        <v>0</v>
      </c>
      <c r="AD1075" s="9">
        <f t="shared" si="196"/>
        <v>90</v>
      </c>
      <c r="AE1075" s="9">
        <f t="shared" si="197"/>
        <v>31.54</v>
      </c>
      <c r="AF1075" s="9">
        <f t="shared" si="203"/>
        <v>58.46</v>
      </c>
      <c r="AG1075" s="8">
        <f t="shared" si="198"/>
        <v>2024</v>
      </c>
      <c r="AH1075" s="8">
        <f t="shared" si="199"/>
        <v>9</v>
      </c>
      <c r="AI1075" s="5" t="str">
        <f t="shared" si="200"/>
        <v>Sep</v>
      </c>
      <c r="AJ1075" s="5" t="str">
        <f t="shared" si="201"/>
        <v>Thursday</v>
      </c>
    </row>
    <row r="1076" spans="1:36" x14ac:dyDescent="0.3">
      <c r="A1076" s="5" t="s">
        <v>1110</v>
      </c>
      <c r="B1076" s="6">
        <v>45530</v>
      </c>
      <c r="C1076" s="7">
        <v>0.75694444444444442</v>
      </c>
      <c r="D1076" s="5" t="s">
        <v>1894</v>
      </c>
      <c r="E1076" s="5" t="s">
        <v>1946</v>
      </c>
      <c r="F1076" s="5" t="s">
        <v>2239</v>
      </c>
      <c r="G1076" s="5" t="s">
        <v>2251</v>
      </c>
      <c r="H1076" s="5" t="s">
        <v>2258</v>
      </c>
      <c r="I1076" s="5" t="s">
        <v>2260</v>
      </c>
      <c r="J1076" s="5" t="s">
        <v>2265</v>
      </c>
      <c r="K1076" s="8">
        <v>1</v>
      </c>
      <c r="L1076" s="9">
        <v>110</v>
      </c>
      <c r="M1076" s="10">
        <v>0.05</v>
      </c>
      <c r="N1076" s="9">
        <f t="shared" si="202"/>
        <v>110</v>
      </c>
      <c r="O1076" s="9">
        <f t="shared" si="192"/>
        <v>104.5</v>
      </c>
      <c r="P1076" s="5" t="s">
        <v>2267</v>
      </c>
      <c r="Q1076" s="5" t="s">
        <v>2270</v>
      </c>
      <c r="R1076" s="5" t="s">
        <v>2278</v>
      </c>
      <c r="S1076" s="5" t="s">
        <v>2286</v>
      </c>
      <c r="T1076" s="5" t="s">
        <v>2288</v>
      </c>
      <c r="U1076" s="8">
        <v>4</v>
      </c>
      <c r="V1076" s="8">
        <v>240</v>
      </c>
      <c r="W1076" s="8">
        <v>20</v>
      </c>
      <c r="X1076" s="9">
        <v>45.01</v>
      </c>
      <c r="Y1076" s="9">
        <f t="shared" si="193"/>
        <v>59.49</v>
      </c>
      <c r="Z1076" s="5" t="s">
        <v>2293</v>
      </c>
      <c r="AA1076" s="5" t="s">
        <v>2299</v>
      </c>
      <c r="AB1076" s="9">
        <f t="shared" si="194"/>
        <v>110</v>
      </c>
      <c r="AC1076" s="9">
        <f t="shared" si="195"/>
        <v>5.5</v>
      </c>
      <c r="AD1076" s="9">
        <f t="shared" si="196"/>
        <v>104.5</v>
      </c>
      <c r="AE1076" s="9">
        <f t="shared" si="197"/>
        <v>45.01</v>
      </c>
      <c r="AF1076" s="9">
        <f t="shared" si="203"/>
        <v>59.49</v>
      </c>
      <c r="AG1076" s="8">
        <f t="shared" si="198"/>
        <v>2024</v>
      </c>
      <c r="AH1076" s="8">
        <f t="shared" si="199"/>
        <v>8</v>
      </c>
      <c r="AI1076" s="5" t="str">
        <f t="shared" si="200"/>
        <v>Aug</v>
      </c>
      <c r="AJ1076" s="5" t="str">
        <f t="shared" si="201"/>
        <v>Monday</v>
      </c>
    </row>
    <row r="1077" spans="1:36" x14ac:dyDescent="0.3">
      <c r="A1077" s="5" t="s">
        <v>1111</v>
      </c>
      <c r="B1077" s="6">
        <v>45617</v>
      </c>
      <c r="C1077" s="7">
        <v>0.85416666666666663</v>
      </c>
      <c r="D1077" s="5" t="s">
        <v>1899</v>
      </c>
      <c r="E1077" s="5" t="s">
        <v>2181</v>
      </c>
      <c r="F1077" s="5" t="s">
        <v>2240</v>
      </c>
      <c r="G1077" s="5" t="s">
        <v>2247</v>
      </c>
      <c r="H1077" s="5" t="s">
        <v>2257</v>
      </c>
      <c r="I1077" s="5" t="s">
        <v>2262</v>
      </c>
      <c r="J1077" s="5" t="s">
        <v>2265</v>
      </c>
      <c r="K1077" s="8">
        <v>2</v>
      </c>
      <c r="L1077" s="9">
        <v>105</v>
      </c>
      <c r="M1077" s="10">
        <v>0.1</v>
      </c>
      <c r="N1077" s="9">
        <f t="shared" si="202"/>
        <v>210</v>
      </c>
      <c r="O1077" s="9">
        <f t="shared" si="192"/>
        <v>189</v>
      </c>
      <c r="P1077" s="5" t="s">
        <v>2269</v>
      </c>
      <c r="Q1077" s="5" t="s">
        <v>2271</v>
      </c>
      <c r="R1077" s="5" t="s">
        <v>2276</v>
      </c>
      <c r="S1077" s="5" t="s">
        <v>2287</v>
      </c>
      <c r="T1077" s="5" t="s">
        <v>2289</v>
      </c>
      <c r="U1077" s="8">
        <v>5</v>
      </c>
      <c r="V1077" s="8">
        <v>414</v>
      </c>
      <c r="W1077" s="8">
        <v>13</v>
      </c>
      <c r="X1077" s="9">
        <v>40.03</v>
      </c>
      <c r="Y1077" s="9">
        <f t="shared" si="193"/>
        <v>108.94</v>
      </c>
      <c r="Z1077" s="5" t="s">
        <v>2293</v>
      </c>
      <c r="AA1077" s="5" t="s">
        <v>2296</v>
      </c>
      <c r="AB1077" s="9">
        <f t="shared" si="194"/>
        <v>210</v>
      </c>
      <c r="AC1077" s="9">
        <f t="shared" si="195"/>
        <v>21</v>
      </c>
      <c r="AD1077" s="9">
        <f t="shared" si="196"/>
        <v>189</v>
      </c>
      <c r="AE1077" s="9">
        <f t="shared" si="197"/>
        <v>80.06</v>
      </c>
      <c r="AF1077" s="9">
        <f t="shared" si="203"/>
        <v>108.94</v>
      </c>
      <c r="AG1077" s="8">
        <f t="shared" si="198"/>
        <v>2024</v>
      </c>
      <c r="AH1077" s="8">
        <f t="shared" si="199"/>
        <v>11</v>
      </c>
      <c r="AI1077" s="5" t="str">
        <f t="shared" si="200"/>
        <v>Nov</v>
      </c>
      <c r="AJ1077" s="5" t="str">
        <f t="shared" si="201"/>
        <v>Thursday</v>
      </c>
    </row>
    <row r="1078" spans="1:36" x14ac:dyDescent="0.3">
      <c r="A1078" s="5" t="s">
        <v>1112</v>
      </c>
      <c r="B1078" s="6">
        <v>45391</v>
      </c>
      <c r="C1078" s="7">
        <v>0.40972222222222221</v>
      </c>
      <c r="D1078" s="5" t="s">
        <v>1928</v>
      </c>
      <c r="E1078" s="5" t="s">
        <v>2138</v>
      </c>
      <c r="F1078" s="5" t="s">
        <v>2240</v>
      </c>
      <c r="G1078" s="5" t="s">
        <v>2252</v>
      </c>
      <c r="H1078" s="5" t="s">
        <v>2257</v>
      </c>
      <c r="I1078" s="5" t="s">
        <v>2262</v>
      </c>
      <c r="J1078" s="5" t="s">
        <v>2265</v>
      </c>
      <c r="K1078" s="8">
        <v>3</v>
      </c>
      <c r="L1078" s="9">
        <v>90</v>
      </c>
      <c r="M1078" s="10">
        <v>0.1</v>
      </c>
      <c r="N1078" s="9">
        <f t="shared" si="202"/>
        <v>270</v>
      </c>
      <c r="O1078" s="9">
        <f t="shared" si="192"/>
        <v>243</v>
      </c>
      <c r="P1078" s="5" t="s">
        <v>2267</v>
      </c>
      <c r="Q1078" s="5" t="s">
        <v>2272</v>
      </c>
      <c r="R1078" s="5" t="s">
        <v>2274</v>
      </c>
      <c r="S1078" s="5" t="s">
        <v>2283</v>
      </c>
      <c r="T1078" s="5" t="s">
        <v>2288</v>
      </c>
      <c r="U1078" s="8">
        <v>4</v>
      </c>
      <c r="V1078" s="8">
        <v>265</v>
      </c>
      <c r="W1078" s="19">
        <v>35</v>
      </c>
      <c r="X1078" s="9">
        <v>39.65</v>
      </c>
      <c r="Y1078" s="9">
        <f t="shared" si="193"/>
        <v>124.05000000000001</v>
      </c>
      <c r="Z1078" s="5" t="s">
        <v>1761</v>
      </c>
      <c r="AA1078" s="5" t="s">
        <v>2297</v>
      </c>
      <c r="AB1078" s="9">
        <f t="shared" si="194"/>
        <v>270</v>
      </c>
      <c r="AC1078" s="9">
        <f t="shared" si="195"/>
        <v>27</v>
      </c>
      <c r="AD1078" s="9">
        <f t="shared" si="196"/>
        <v>243</v>
      </c>
      <c r="AE1078" s="9">
        <f t="shared" si="197"/>
        <v>118.94999999999999</v>
      </c>
      <c r="AF1078" s="9">
        <f t="shared" si="203"/>
        <v>124.05000000000001</v>
      </c>
      <c r="AG1078" s="8">
        <f t="shared" si="198"/>
        <v>2024</v>
      </c>
      <c r="AH1078" s="8">
        <f t="shared" si="199"/>
        <v>4</v>
      </c>
      <c r="AI1078" s="5" t="str">
        <f t="shared" si="200"/>
        <v>Apr</v>
      </c>
      <c r="AJ1078" s="5" t="str">
        <f t="shared" si="201"/>
        <v>Tuesday</v>
      </c>
    </row>
    <row r="1079" spans="1:36" x14ac:dyDescent="0.3">
      <c r="A1079" s="5" t="s">
        <v>1113</v>
      </c>
      <c r="B1079" s="6">
        <v>45414</v>
      </c>
      <c r="C1079" s="7">
        <v>0.69791666666666663</v>
      </c>
      <c r="D1079" s="5" t="s">
        <v>1863</v>
      </c>
      <c r="E1079" s="5" t="s">
        <v>1961</v>
      </c>
      <c r="F1079" s="5" t="s">
        <v>2239</v>
      </c>
      <c r="G1079" s="5" t="s">
        <v>2243</v>
      </c>
      <c r="H1079" s="5" t="s">
        <v>2258</v>
      </c>
      <c r="I1079" s="5" t="s">
        <v>2260</v>
      </c>
      <c r="J1079" s="5" t="s">
        <v>2265</v>
      </c>
      <c r="K1079" s="8">
        <v>2</v>
      </c>
      <c r="L1079" s="9">
        <v>65</v>
      </c>
      <c r="M1079" s="10">
        <v>0.05</v>
      </c>
      <c r="N1079" s="9">
        <f t="shared" si="202"/>
        <v>130</v>
      </c>
      <c r="O1079" s="9">
        <f t="shared" si="192"/>
        <v>123.5</v>
      </c>
      <c r="P1079" s="5" t="s">
        <v>2267</v>
      </c>
      <c r="Q1079" s="5" t="s">
        <v>1761</v>
      </c>
      <c r="R1079" s="5" t="s">
        <v>2273</v>
      </c>
      <c r="S1079" s="5" t="s">
        <v>2287</v>
      </c>
      <c r="T1079" s="5" t="s">
        <v>2288</v>
      </c>
      <c r="U1079" s="8">
        <v>5</v>
      </c>
      <c r="V1079" s="19">
        <v>244</v>
      </c>
      <c r="W1079" s="8">
        <v>19</v>
      </c>
      <c r="X1079" s="9">
        <v>25.1</v>
      </c>
      <c r="Y1079" s="9">
        <f t="shared" si="193"/>
        <v>73.3</v>
      </c>
      <c r="Z1079" s="5" t="s">
        <v>2291</v>
      </c>
      <c r="AA1079" s="5" t="s">
        <v>2298</v>
      </c>
      <c r="AB1079" s="9">
        <f t="shared" si="194"/>
        <v>130</v>
      </c>
      <c r="AC1079" s="9">
        <f t="shared" si="195"/>
        <v>6.5</v>
      </c>
      <c r="AD1079" s="9">
        <f t="shared" si="196"/>
        <v>123.5</v>
      </c>
      <c r="AE1079" s="9">
        <f t="shared" si="197"/>
        <v>50.2</v>
      </c>
      <c r="AF1079" s="9">
        <f t="shared" si="203"/>
        <v>73.3</v>
      </c>
      <c r="AG1079" s="8">
        <f t="shared" si="198"/>
        <v>2024</v>
      </c>
      <c r="AH1079" s="8">
        <f t="shared" si="199"/>
        <v>5</v>
      </c>
      <c r="AI1079" s="5" t="str">
        <f t="shared" si="200"/>
        <v>May</v>
      </c>
      <c r="AJ1079" s="5" t="str">
        <f t="shared" si="201"/>
        <v>Thursday</v>
      </c>
    </row>
    <row r="1080" spans="1:36" x14ac:dyDescent="0.3">
      <c r="A1080" s="5" t="s">
        <v>1114</v>
      </c>
      <c r="B1080" s="6">
        <v>45535</v>
      </c>
      <c r="C1080" s="7">
        <v>0.86458333333333337</v>
      </c>
      <c r="D1080" s="5" t="s">
        <v>1903</v>
      </c>
      <c r="E1080" s="5" t="s">
        <v>2185</v>
      </c>
      <c r="F1080" s="5" t="s">
        <v>2239</v>
      </c>
      <c r="G1080" s="5" t="s">
        <v>2253</v>
      </c>
      <c r="H1080" s="5" t="s">
        <v>2258</v>
      </c>
      <c r="I1080" s="5" t="s">
        <v>2260</v>
      </c>
      <c r="J1080" s="5" t="s">
        <v>2265</v>
      </c>
      <c r="K1080" s="8">
        <v>2</v>
      </c>
      <c r="L1080" s="9">
        <v>100</v>
      </c>
      <c r="M1080" s="10">
        <v>0</v>
      </c>
      <c r="N1080" s="9">
        <f t="shared" si="202"/>
        <v>200</v>
      </c>
      <c r="O1080" s="9">
        <f t="shared" si="192"/>
        <v>200</v>
      </c>
      <c r="P1080" s="5" t="s">
        <v>2267</v>
      </c>
      <c r="Q1080" s="5" t="s">
        <v>2271</v>
      </c>
      <c r="R1080" s="5" t="s">
        <v>2274</v>
      </c>
      <c r="S1080" s="5" t="s">
        <v>2283</v>
      </c>
      <c r="T1080" s="5" t="s">
        <v>2288</v>
      </c>
      <c r="U1080" s="8">
        <v>4</v>
      </c>
      <c r="V1080" s="8">
        <v>176</v>
      </c>
      <c r="W1080" s="19">
        <v>37</v>
      </c>
      <c r="X1080" s="9">
        <v>39.99</v>
      </c>
      <c r="Y1080" s="9">
        <f t="shared" si="193"/>
        <v>120.02</v>
      </c>
      <c r="Z1080" s="5" t="s">
        <v>2293</v>
      </c>
      <c r="AA1080" s="5" t="s">
        <v>2297</v>
      </c>
      <c r="AB1080" s="9">
        <f t="shared" si="194"/>
        <v>200</v>
      </c>
      <c r="AC1080" s="9">
        <f t="shared" si="195"/>
        <v>0</v>
      </c>
      <c r="AD1080" s="9">
        <f t="shared" si="196"/>
        <v>200</v>
      </c>
      <c r="AE1080" s="9">
        <f t="shared" si="197"/>
        <v>79.98</v>
      </c>
      <c r="AF1080" s="9">
        <f t="shared" si="203"/>
        <v>120.02</v>
      </c>
      <c r="AG1080" s="8">
        <f t="shared" si="198"/>
        <v>2024</v>
      </c>
      <c r="AH1080" s="8">
        <f t="shared" si="199"/>
        <v>8</v>
      </c>
      <c r="AI1080" s="5" t="str">
        <f t="shared" si="200"/>
        <v>Aug</v>
      </c>
      <c r="AJ1080" s="5" t="str">
        <f t="shared" si="201"/>
        <v>Saturday</v>
      </c>
    </row>
    <row r="1081" spans="1:36" x14ac:dyDescent="0.3">
      <c r="A1081" s="5" t="s">
        <v>1115</v>
      </c>
      <c r="B1081" s="6">
        <v>45463</v>
      </c>
      <c r="C1081" s="7">
        <v>0.79861111111111116</v>
      </c>
      <c r="D1081" s="5" t="s">
        <v>1879</v>
      </c>
      <c r="E1081" s="5" t="s">
        <v>1989</v>
      </c>
      <c r="F1081" s="5" t="s">
        <v>2239</v>
      </c>
      <c r="G1081" s="5" t="s">
        <v>2252</v>
      </c>
      <c r="H1081" s="5" t="s">
        <v>2257</v>
      </c>
      <c r="I1081" s="5" t="s">
        <v>2262</v>
      </c>
      <c r="J1081" s="5" t="s">
        <v>2265</v>
      </c>
      <c r="K1081" s="8">
        <v>1</v>
      </c>
      <c r="L1081" s="9">
        <v>85</v>
      </c>
      <c r="M1081" s="10">
        <v>0.1</v>
      </c>
      <c r="N1081" s="9">
        <f t="shared" si="202"/>
        <v>85</v>
      </c>
      <c r="O1081" s="9">
        <f t="shared" si="192"/>
        <v>76.5</v>
      </c>
      <c r="P1081" s="5" t="s">
        <v>2269</v>
      </c>
      <c r="Q1081" s="5" t="s">
        <v>1761</v>
      </c>
      <c r="R1081" s="5" t="s">
        <v>2274</v>
      </c>
      <c r="S1081" s="5" t="s">
        <v>2285</v>
      </c>
      <c r="T1081" s="5" t="s">
        <v>2288</v>
      </c>
      <c r="U1081" s="19">
        <v>3</v>
      </c>
      <c r="V1081" s="8">
        <v>338</v>
      </c>
      <c r="W1081" s="19">
        <v>36</v>
      </c>
      <c r="X1081" s="9">
        <v>42.92</v>
      </c>
      <c r="Y1081" s="9">
        <f t="shared" si="193"/>
        <v>33.58</v>
      </c>
      <c r="Z1081" s="5" t="s">
        <v>1761</v>
      </c>
      <c r="AA1081" s="5" t="s">
        <v>1761</v>
      </c>
      <c r="AB1081" s="9">
        <f t="shared" si="194"/>
        <v>85</v>
      </c>
      <c r="AC1081" s="9">
        <f t="shared" si="195"/>
        <v>8.5</v>
      </c>
      <c r="AD1081" s="9">
        <f t="shared" si="196"/>
        <v>76.5</v>
      </c>
      <c r="AE1081" s="9">
        <f t="shared" si="197"/>
        <v>42.92</v>
      </c>
      <c r="AF1081" s="9">
        <f t="shared" si="203"/>
        <v>33.58</v>
      </c>
      <c r="AG1081" s="8">
        <f t="shared" si="198"/>
        <v>2024</v>
      </c>
      <c r="AH1081" s="8">
        <f t="shared" si="199"/>
        <v>6</v>
      </c>
      <c r="AI1081" s="5" t="str">
        <f t="shared" si="200"/>
        <v>Jun</v>
      </c>
      <c r="AJ1081" s="5" t="str">
        <f t="shared" si="201"/>
        <v>Thursday</v>
      </c>
    </row>
    <row r="1082" spans="1:36" x14ac:dyDescent="0.3">
      <c r="A1082" s="5" t="s">
        <v>1116</v>
      </c>
      <c r="B1082" s="6">
        <v>45462</v>
      </c>
      <c r="C1082" s="7">
        <v>0.63888888888888884</v>
      </c>
      <c r="D1082" s="5" t="s">
        <v>1851</v>
      </c>
      <c r="E1082" s="5" t="s">
        <v>1951</v>
      </c>
      <c r="F1082" s="5" t="s">
        <v>1761</v>
      </c>
      <c r="G1082" s="5" t="s">
        <v>2252</v>
      </c>
      <c r="H1082" s="5" t="s">
        <v>2257</v>
      </c>
      <c r="I1082" s="5" t="s">
        <v>2262</v>
      </c>
      <c r="J1082" s="5" t="s">
        <v>2264</v>
      </c>
      <c r="K1082" s="8">
        <v>1</v>
      </c>
      <c r="L1082" s="9">
        <v>100</v>
      </c>
      <c r="M1082" s="10">
        <v>0.15</v>
      </c>
      <c r="N1082" s="9">
        <f t="shared" si="202"/>
        <v>100</v>
      </c>
      <c r="O1082" s="9">
        <f t="shared" si="192"/>
        <v>85</v>
      </c>
      <c r="P1082" s="5" t="s">
        <v>2268</v>
      </c>
      <c r="Q1082" s="5" t="s">
        <v>2270</v>
      </c>
      <c r="R1082" s="5" t="s">
        <v>2276</v>
      </c>
      <c r="S1082" s="5" t="s">
        <v>2285</v>
      </c>
      <c r="T1082" s="5" t="s">
        <v>2288</v>
      </c>
      <c r="U1082" s="8">
        <v>3</v>
      </c>
      <c r="V1082" s="8">
        <v>262</v>
      </c>
      <c r="W1082" s="8">
        <v>40</v>
      </c>
      <c r="X1082" s="9">
        <v>33.86</v>
      </c>
      <c r="Y1082" s="9">
        <f t="shared" si="193"/>
        <v>51.14</v>
      </c>
      <c r="Z1082" s="5" t="s">
        <v>2294</v>
      </c>
      <c r="AA1082" s="5" t="s">
        <v>2297</v>
      </c>
      <c r="AB1082" s="9">
        <f t="shared" si="194"/>
        <v>100</v>
      </c>
      <c r="AC1082" s="9">
        <f t="shared" si="195"/>
        <v>15</v>
      </c>
      <c r="AD1082" s="9">
        <f t="shared" si="196"/>
        <v>85</v>
      </c>
      <c r="AE1082" s="9">
        <f t="shared" si="197"/>
        <v>33.86</v>
      </c>
      <c r="AF1082" s="9">
        <f t="shared" si="203"/>
        <v>51.14</v>
      </c>
      <c r="AG1082" s="8">
        <f t="shared" si="198"/>
        <v>2024</v>
      </c>
      <c r="AH1082" s="8">
        <f t="shared" si="199"/>
        <v>6</v>
      </c>
      <c r="AI1082" s="5" t="str">
        <f t="shared" si="200"/>
        <v>Jun</v>
      </c>
      <c r="AJ1082" s="5" t="str">
        <f t="shared" si="201"/>
        <v>Wednesday</v>
      </c>
    </row>
    <row r="1083" spans="1:36" x14ac:dyDescent="0.3">
      <c r="A1083" s="5" t="s">
        <v>1117</v>
      </c>
      <c r="B1083" s="6">
        <v>45472</v>
      </c>
      <c r="C1083" s="7">
        <v>0.63194444444444442</v>
      </c>
      <c r="D1083" s="5" t="s">
        <v>1859</v>
      </c>
      <c r="E1083" s="5" t="s">
        <v>1952</v>
      </c>
      <c r="F1083" s="5" t="s">
        <v>2239</v>
      </c>
      <c r="G1083" s="5" t="s">
        <v>2241</v>
      </c>
      <c r="H1083" s="5" t="s">
        <v>2257</v>
      </c>
      <c r="I1083" s="5" t="s">
        <v>2262</v>
      </c>
      <c r="J1083" s="5" t="s">
        <v>2266</v>
      </c>
      <c r="K1083" s="8">
        <v>1</v>
      </c>
      <c r="L1083" s="9">
        <v>130</v>
      </c>
      <c r="M1083" s="10">
        <v>0</v>
      </c>
      <c r="N1083" s="9">
        <f t="shared" si="202"/>
        <v>130</v>
      </c>
      <c r="O1083" s="9">
        <f t="shared" si="192"/>
        <v>130</v>
      </c>
      <c r="P1083" s="5" t="s">
        <v>1761</v>
      </c>
      <c r="Q1083" s="5" t="s">
        <v>2272</v>
      </c>
      <c r="R1083" s="5" t="s">
        <v>2279</v>
      </c>
      <c r="S1083" s="5" t="s">
        <v>2281</v>
      </c>
      <c r="T1083" s="5" t="s">
        <v>2288</v>
      </c>
      <c r="U1083" s="19">
        <v>3</v>
      </c>
      <c r="V1083" s="8">
        <v>481</v>
      </c>
      <c r="W1083" s="8">
        <v>46</v>
      </c>
      <c r="X1083" s="9">
        <v>55.19</v>
      </c>
      <c r="Y1083" s="9">
        <f t="shared" si="193"/>
        <v>74.81</v>
      </c>
      <c r="Z1083" s="5" t="s">
        <v>2292</v>
      </c>
      <c r="AA1083" s="5" t="s">
        <v>2298</v>
      </c>
      <c r="AB1083" s="9">
        <f t="shared" si="194"/>
        <v>130</v>
      </c>
      <c r="AC1083" s="9">
        <f t="shared" si="195"/>
        <v>0</v>
      </c>
      <c r="AD1083" s="9">
        <f t="shared" si="196"/>
        <v>130</v>
      </c>
      <c r="AE1083" s="9">
        <f t="shared" si="197"/>
        <v>55.19</v>
      </c>
      <c r="AF1083" s="9">
        <f t="shared" si="203"/>
        <v>74.81</v>
      </c>
      <c r="AG1083" s="8">
        <f t="shared" si="198"/>
        <v>2024</v>
      </c>
      <c r="AH1083" s="8">
        <f t="shared" si="199"/>
        <v>6</v>
      </c>
      <c r="AI1083" s="5" t="str">
        <f t="shared" si="200"/>
        <v>Jun</v>
      </c>
      <c r="AJ1083" s="5" t="str">
        <f t="shared" si="201"/>
        <v>Saturday</v>
      </c>
    </row>
    <row r="1084" spans="1:36" x14ac:dyDescent="0.3">
      <c r="A1084" s="5" t="s">
        <v>1118</v>
      </c>
      <c r="B1084" s="6">
        <v>45325</v>
      </c>
      <c r="C1084" s="7">
        <v>0.84722222222222221</v>
      </c>
      <c r="D1084" s="5" t="s">
        <v>1874</v>
      </c>
      <c r="E1084" s="5" t="s">
        <v>2163</v>
      </c>
      <c r="F1084" s="5" t="s">
        <v>2240</v>
      </c>
      <c r="G1084" s="5" t="s">
        <v>2241</v>
      </c>
      <c r="H1084" s="5" t="s">
        <v>2257</v>
      </c>
      <c r="I1084" s="5" t="s">
        <v>2262</v>
      </c>
      <c r="J1084" s="5" t="s">
        <v>2264</v>
      </c>
      <c r="K1084" s="8">
        <v>2</v>
      </c>
      <c r="L1084" s="9">
        <v>135</v>
      </c>
      <c r="M1084" s="10">
        <v>0.1</v>
      </c>
      <c r="N1084" s="9">
        <f t="shared" si="202"/>
        <v>270</v>
      </c>
      <c r="O1084" s="9">
        <f t="shared" si="192"/>
        <v>243</v>
      </c>
      <c r="P1084" s="5" t="s">
        <v>2269</v>
      </c>
      <c r="Q1084" s="5" t="s">
        <v>2270</v>
      </c>
      <c r="R1084" s="5" t="s">
        <v>2279</v>
      </c>
      <c r="S1084" s="5" t="s">
        <v>2281</v>
      </c>
      <c r="T1084" s="5" t="s">
        <v>2288</v>
      </c>
      <c r="U1084" s="8">
        <v>5</v>
      </c>
      <c r="V1084" s="8">
        <v>98</v>
      </c>
      <c r="W1084" s="8">
        <v>50</v>
      </c>
      <c r="X1084" s="9">
        <v>63.19</v>
      </c>
      <c r="Y1084" s="9">
        <f t="shared" si="193"/>
        <v>116.62</v>
      </c>
      <c r="Z1084" s="5" t="s">
        <v>2293</v>
      </c>
      <c r="AA1084" s="5" t="s">
        <v>1761</v>
      </c>
      <c r="AB1084" s="9">
        <f t="shared" si="194"/>
        <v>270</v>
      </c>
      <c r="AC1084" s="9">
        <f t="shared" si="195"/>
        <v>27</v>
      </c>
      <c r="AD1084" s="9">
        <f t="shared" si="196"/>
        <v>243</v>
      </c>
      <c r="AE1084" s="9">
        <f t="shared" si="197"/>
        <v>126.38</v>
      </c>
      <c r="AF1084" s="9">
        <f t="shared" si="203"/>
        <v>116.62</v>
      </c>
      <c r="AG1084" s="8">
        <f t="shared" si="198"/>
        <v>2024</v>
      </c>
      <c r="AH1084" s="8">
        <f t="shared" si="199"/>
        <v>2</v>
      </c>
      <c r="AI1084" s="5" t="str">
        <f t="shared" si="200"/>
        <v>Feb</v>
      </c>
      <c r="AJ1084" s="5" t="str">
        <f t="shared" si="201"/>
        <v>Saturday</v>
      </c>
    </row>
    <row r="1085" spans="1:36" x14ac:dyDescent="0.3">
      <c r="A1085" s="5" t="s">
        <v>1119</v>
      </c>
      <c r="B1085" s="6">
        <v>45417</v>
      </c>
      <c r="C1085" s="7">
        <v>0.72916666666666663</v>
      </c>
      <c r="D1085" s="5" t="s">
        <v>1755</v>
      </c>
      <c r="E1085" s="5" t="s">
        <v>1955</v>
      </c>
      <c r="F1085" s="5" t="s">
        <v>2240</v>
      </c>
      <c r="G1085" s="5" t="s">
        <v>2254</v>
      </c>
      <c r="H1085" s="5" t="s">
        <v>2259</v>
      </c>
      <c r="I1085" s="5" t="s">
        <v>2263</v>
      </c>
      <c r="J1085" s="5" t="s">
        <v>2266</v>
      </c>
      <c r="K1085" s="8">
        <v>1</v>
      </c>
      <c r="L1085" s="9">
        <v>120</v>
      </c>
      <c r="M1085" s="10">
        <v>0.1</v>
      </c>
      <c r="N1085" s="9">
        <f t="shared" si="202"/>
        <v>120</v>
      </c>
      <c r="O1085" s="9">
        <f t="shared" si="192"/>
        <v>108</v>
      </c>
      <c r="P1085" s="5" t="s">
        <v>2267</v>
      </c>
      <c r="Q1085" s="5" t="s">
        <v>1761</v>
      </c>
      <c r="R1085" s="5" t="s">
        <v>2275</v>
      </c>
      <c r="S1085" s="5" t="s">
        <v>2286</v>
      </c>
      <c r="T1085" s="5" t="s">
        <v>2288</v>
      </c>
      <c r="U1085" s="8">
        <v>3</v>
      </c>
      <c r="V1085" s="8">
        <v>447</v>
      </c>
      <c r="W1085" s="8">
        <v>52</v>
      </c>
      <c r="X1085" s="9">
        <v>60.57</v>
      </c>
      <c r="Y1085" s="9">
        <f t="shared" si="193"/>
        <v>47.43</v>
      </c>
      <c r="Z1085" s="5" t="s">
        <v>1761</v>
      </c>
      <c r="AA1085" s="5" t="s">
        <v>1761</v>
      </c>
      <c r="AB1085" s="9">
        <f t="shared" si="194"/>
        <v>120</v>
      </c>
      <c r="AC1085" s="9">
        <f t="shared" si="195"/>
        <v>12</v>
      </c>
      <c r="AD1085" s="9">
        <f t="shared" si="196"/>
        <v>108</v>
      </c>
      <c r="AE1085" s="9">
        <f t="shared" si="197"/>
        <v>60.57</v>
      </c>
      <c r="AF1085" s="9">
        <f t="shared" si="203"/>
        <v>47.43</v>
      </c>
      <c r="AG1085" s="8">
        <f t="shared" si="198"/>
        <v>2024</v>
      </c>
      <c r="AH1085" s="8">
        <f t="shared" si="199"/>
        <v>5</v>
      </c>
      <c r="AI1085" s="5" t="str">
        <f t="shared" si="200"/>
        <v>May</v>
      </c>
      <c r="AJ1085" s="5" t="str">
        <f t="shared" si="201"/>
        <v>Sunday</v>
      </c>
    </row>
    <row r="1086" spans="1:36" x14ac:dyDescent="0.3">
      <c r="A1086" s="5" t="s">
        <v>1120</v>
      </c>
      <c r="B1086" s="6">
        <v>45431</v>
      </c>
      <c r="C1086" s="7">
        <v>0.40625</v>
      </c>
      <c r="D1086" s="5" t="s">
        <v>1888</v>
      </c>
      <c r="E1086" s="5" t="s">
        <v>2021</v>
      </c>
      <c r="F1086" s="5" t="s">
        <v>2240</v>
      </c>
      <c r="G1086" s="5" t="s">
        <v>2253</v>
      </c>
      <c r="H1086" s="5" t="s">
        <v>2258</v>
      </c>
      <c r="I1086" s="5" t="s">
        <v>2260</v>
      </c>
      <c r="J1086" s="5" t="s">
        <v>2264</v>
      </c>
      <c r="K1086" s="8">
        <v>4</v>
      </c>
      <c r="L1086" s="9">
        <v>90</v>
      </c>
      <c r="M1086" s="10">
        <v>0.1</v>
      </c>
      <c r="N1086" s="9">
        <f t="shared" si="202"/>
        <v>360</v>
      </c>
      <c r="O1086" s="9">
        <f t="shared" si="192"/>
        <v>324</v>
      </c>
      <c r="P1086" s="5" t="s">
        <v>2269</v>
      </c>
      <c r="Q1086" s="5" t="s">
        <v>2272</v>
      </c>
      <c r="R1086" s="5" t="s">
        <v>2278</v>
      </c>
      <c r="S1086" s="5" t="s">
        <v>2283</v>
      </c>
      <c r="T1086" s="5" t="s">
        <v>2289</v>
      </c>
      <c r="U1086" s="8">
        <v>5</v>
      </c>
      <c r="V1086" s="8">
        <v>49</v>
      </c>
      <c r="W1086" s="8">
        <v>34</v>
      </c>
      <c r="X1086" s="9">
        <v>48.37</v>
      </c>
      <c r="Y1086" s="9">
        <f t="shared" si="193"/>
        <v>130.52000000000001</v>
      </c>
      <c r="Z1086" s="5" t="s">
        <v>1761</v>
      </c>
      <c r="AA1086" s="5" t="s">
        <v>2299</v>
      </c>
      <c r="AB1086" s="9">
        <f t="shared" si="194"/>
        <v>360</v>
      </c>
      <c r="AC1086" s="9">
        <f t="shared" si="195"/>
        <v>36</v>
      </c>
      <c r="AD1086" s="9">
        <f t="shared" si="196"/>
        <v>324</v>
      </c>
      <c r="AE1086" s="9">
        <f t="shared" si="197"/>
        <v>193.48</v>
      </c>
      <c r="AF1086" s="9">
        <f t="shared" si="203"/>
        <v>130.52000000000001</v>
      </c>
      <c r="AG1086" s="8">
        <f t="shared" si="198"/>
        <v>2024</v>
      </c>
      <c r="AH1086" s="8">
        <f t="shared" si="199"/>
        <v>5</v>
      </c>
      <c r="AI1086" s="5" t="str">
        <f t="shared" si="200"/>
        <v>May</v>
      </c>
      <c r="AJ1086" s="5" t="str">
        <f t="shared" si="201"/>
        <v>Sunday</v>
      </c>
    </row>
    <row r="1087" spans="1:36" x14ac:dyDescent="0.3">
      <c r="A1087" s="5" t="s">
        <v>1121</v>
      </c>
      <c r="B1087" s="6">
        <v>45453</v>
      </c>
      <c r="C1087" s="7">
        <v>0.75694444444444442</v>
      </c>
      <c r="D1087" s="5" t="s">
        <v>1926</v>
      </c>
      <c r="E1087" s="5" t="s">
        <v>2146</v>
      </c>
      <c r="F1087" s="5" t="s">
        <v>2240</v>
      </c>
      <c r="G1087" s="5" t="s">
        <v>2253</v>
      </c>
      <c r="H1087" s="5" t="s">
        <v>2258</v>
      </c>
      <c r="I1087" s="5" t="s">
        <v>2260</v>
      </c>
      <c r="J1087" s="5" t="s">
        <v>2264</v>
      </c>
      <c r="K1087" s="8">
        <v>2</v>
      </c>
      <c r="L1087" s="9">
        <v>100</v>
      </c>
      <c r="M1087" s="10">
        <v>0.05</v>
      </c>
      <c r="N1087" s="9">
        <f t="shared" si="202"/>
        <v>200</v>
      </c>
      <c r="O1087" s="9">
        <f t="shared" si="192"/>
        <v>190</v>
      </c>
      <c r="P1087" s="5" t="s">
        <v>2267</v>
      </c>
      <c r="Q1087" s="5" t="s">
        <v>2271</v>
      </c>
      <c r="R1087" s="5" t="s">
        <v>2279</v>
      </c>
      <c r="S1087" s="5" t="s">
        <v>2283</v>
      </c>
      <c r="T1087" s="5" t="s">
        <v>2288</v>
      </c>
      <c r="U1087" s="8">
        <v>5</v>
      </c>
      <c r="V1087" s="8">
        <v>335</v>
      </c>
      <c r="W1087" s="8">
        <v>26</v>
      </c>
      <c r="X1087" s="9">
        <v>42.23</v>
      </c>
      <c r="Y1087" s="9">
        <f t="shared" si="193"/>
        <v>105.54</v>
      </c>
      <c r="Z1087" s="5" t="s">
        <v>1761</v>
      </c>
      <c r="AA1087" s="5" t="s">
        <v>2296</v>
      </c>
      <c r="AB1087" s="9">
        <f t="shared" si="194"/>
        <v>200</v>
      </c>
      <c r="AC1087" s="9">
        <f t="shared" si="195"/>
        <v>10</v>
      </c>
      <c r="AD1087" s="9">
        <f t="shared" si="196"/>
        <v>190</v>
      </c>
      <c r="AE1087" s="9">
        <f t="shared" si="197"/>
        <v>84.46</v>
      </c>
      <c r="AF1087" s="9">
        <f t="shared" si="203"/>
        <v>105.54</v>
      </c>
      <c r="AG1087" s="8">
        <f t="shared" si="198"/>
        <v>2024</v>
      </c>
      <c r="AH1087" s="8">
        <f t="shared" si="199"/>
        <v>6</v>
      </c>
      <c r="AI1087" s="5" t="str">
        <f t="shared" si="200"/>
        <v>Jun</v>
      </c>
      <c r="AJ1087" s="5" t="str">
        <f t="shared" si="201"/>
        <v>Monday</v>
      </c>
    </row>
    <row r="1088" spans="1:36" x14ac:dyDescent="0.3">
      <c r="A1088" s="5" t="s">
        <v>1122</v>
      </c>
      <c r="B1088" s="6">
        <v>45545</v>
      </c>
      <c r="C1088" s="7">
        <v>0.42708333333333331</v>
      </c>
      <c r="D1088" s="5" t="s">
        <v>1771</v>
      </c>
      <c r="E1088" s="5" t="s">
        <v>2204</v>
      </c>
      <c r="F1088" s="5" t="s">
        <v>2239</v>
      </c>
      <c r="G1088" s="5" t="s">
        <v>2249</v>
      </c>
      <c r="H1088" s="5" t="s">
        <v>2257</v>
      </c>
      <c r="I1088" s="5" t="s">
        <v>2263</v>
      </c>
      <c r="J1088" s="5" t="s">
        <v>2264</v>
      </c>
      <c r="K1088" s="8">
        <v>1</v>
      </c>
      <c r="L1088" s="9">
        <v>165</v>
      </c>
      <c r="M1088" s="10">
        <v>0.05</v>
      </c>
      <c r="N1088" s="9">
        <f t="shared" si="202"/>
        <v>165</v>
      </c>
      <c r="O1088" s="9">
        <f t="shared" si="192"/>
        <v>156.75</v>
      </c>
      <c r="P1088" s="5" t="s">
        <v>2268</v>
      </c>
      <c r="Q1088" s="5" t="s">
        <v>1761</v>
      </c>
      <c r="R1088" s="5" t="s">
        <v>2278</v>
      </c>
      <c r="S1088" s="5" t="s">
        <v>2284</v>
      </c>
      <c r="T1088" s="5" t="s">
        <v>2288</v>
      </c>
      <c r="U1088" s="8">
        <v>2</v>
      </c>
      <c r="V1088" s="8">
        <v>211</v>
      </c>
      <c r="W1088" s="19">
        <v>36</v>
      </c>
      <c r="X1088" s="9">
        <v>84.52</v>
      </c>
      <c r="Y1088" s="9">
        <f t="shared" si="193"/>
        <v>72.23</v>
      </c>
      <c r="Z1088" s="5" t="s">
        <v>1761</v>
      </c>
      <c r="AA1088" s="5" t="s">
        <v>2298</v>
      </c>
      <c r="AB1088" s="9">
        <f t="shared" si="194"/>
        <v>165</v>
      </c>
      <c r="AC1088" s="9">
        <f t="shared" si="195"/>
        <v>8.25</v>
      </c>
      <c r="AD1088" s="9">
        <f t="shared" si="196"/>
        <v>156.75</v>
      </c>
      <c r="AE1088" s="9">
        <f t="shared" si="197"/>
        <v>84.52</v>
      </c>
      <c r="AF1088" s="9">
        <f t="shared" si="203"/>
        <v>72.23</v>
      </c>
      <c r="AG1088" s="8">
        <f t="shared" si="198"/>
        <v>2024</v>
      </c>
      <c r="AH1088" s="8">
        <f t="shared" si="199"/>
        <v>9</v>
      </c>
      <c r="AI1088" s="5" t="str">
        <f t="shared" si="200"/>
        <v>Sep</v>
      </c>
      <c r="AJ1088" s="5" t="str">
        <f t="shared" si="201"/>
        <v>Tuesday</v>
      </c>
    </row>
    <row r="1089" spans="1:36" x14ac:dyDescent="0.3">
      <c r="A1089" s="5" t="s">
        <v>1123</v>
      </c>
      <c r="B1089" s="6">
        <v>45507</v>
      </c>
      <c r="C1089" s="7">
        <v>0.4375</v>
      </c>
      <c r="D1089" s="5" t="s">
        <v>1838</v>
      </c>
      <c r="E1089" s="5" t="s">
        <v>2091</v>
      </c>
      <c r="F1089" s="5" t="s">
        <v>2239</v>
      </c>
      <c r="G1089" s="5" t="s">
        <v>2245</v>
      </c>
      <c r="H1089" s="5" t="s">
        <v>2257</v>
      </c>
      <c r="I1089" s="5" t="s">
        <v>2263</v>
      </c>
      <c r="J1089" s="5" t="s">
        <v>2266</v>
      </c>
      <c r="K1089" s="8">
        <v>1</v>
      </c>
      <c r="L1089" s="9">
        <v>150</v>
      </c>
      <c r="M1089" s="10">
        <v>0.1</v>
      </c>
      <c r="N1089" s="9">
        <f t="shared" si="202"/>
        <v>150</v>
      </c>
      <c r="O1089" s="9">
        <f t="shared" si="192"/>
        <v>135</v>
      </c>
      <c r="P1089" s="5" t="s">
        <v>2269</v>
      </c>
      <c r="Q1089" s="5" t="s">
        <v>2270</v>
      </c>
      <c r="R1089" s="5" t="s">
        <v>2279</v>
      </c>
      <c r="S1089" s="5" t="s">
        <v>2281</v>
      </c>
      <c r="T1089" s="5" t="s">
        <v>2288</v>
      </c>
      <c r="U1089" s="8">
        <v>4</v>
      </c>
      <c r="V1089" s="19">
        <v>244</v>
      </c>
      <c r="W1089" s="8">
        <v>19</v>
      </c>
      <c r="X1089" s="9">
        <v>78.75</v>
      </c>
      <c r="Y1089" s="9">
        <f t="shared" si="193"/>
        <v>56.25</v>
      </c>
      <c r="Z1089" s="5" t="s">
        <v>1761</v>
      </c>
      <c r="AA1089" s="5" t="s">
        <v>2297</v>
      </c>
      <c r="AB1089" s="9">
        <f t="shared" si="194"/>
        <v>150</v>
      </c>
      <c r="AC1089" s="9">
        <f t="shared" si="195"/>
        <v>15</v>
      </c>
      <c r="AD1089" s="9">
        <f t="shared" si="196"/>
        <v>135</v>
      </c>
      <c r="AE1089" s="9">
        <f t="shared" si="197"/>
        <v>78.75</v>
      </c>
      <c r="AF1089" s="9">
        <f t="shared" si="203"/>
        <v>56.25</v>
      </c>
      <c r="AG1089" s="8">
        <f t="shared" si="198"/>
        <v>2024</v>
      </c>
      <c r="AH1089" s="8">
        <f t="shared" si="199"/>
        <v>8</v>
      </c>
      <c r="AI1089" s="5" t="str">
        <f t="shared" si="200"/>
        <v>Aug</v>
      </c>
      <c r="AJ1089" s="5" t="str">
        <f t="shared" si="201"/>
        <v>Saturday</v>
      </c>
    </row>
    <row r="1090" spans="1:36" x14ac:dyDescent="0.3">
      <c r="A1090" s="5" t="s">
        <v>1124</v>
      </c>
      <c r="B1090" s="6">
        <v>45442</v>
      </c>
      <c r="C1090" s="7">
        <v>0.4513888888888889</v>
      </c>
      <c r="D1090" s="5" t="s">
        <v>1863</v>
      </c>
      <c r="E1090" s="5" t="s">
        <v>2125</v>
      </c>
      <c r="F1090" s="5" t="s">
        <v>2240</v>
      </c>
      <c r="G1090" s="5" t="s">
        <v>2243</v>
      </c>
      <c r="H1090" s="5" t="s">
        <v>2258</v>
      </c>
      <c r="I1090" s="5" t="s">
        <v>2260</v>
      </c>
      <c r="J1090" s="5" t="s">
        <v>2265</v>
      </c>
      <c r="K1090" s="8">
        <v>1</v>
      </c>
      <c r="L1090" s="9">
        <v>75</v>
      </c>
      <c r="M1090" s="10">
        <v>0</v>
      </c>
      <c r="N1090" s="9">
        <f t="shared" si="202"/>
        <v>75</v>
      </c>
      <c r="O1090" s="9">
        <f t="shared" ref="O1090:O1153" si="204">IF(N1090="","",N1090*(1-IF(M1090="",0,M1090)))</f>
        <v>75</v>
      </c>
      <c r="P1090" s="5" t="s">
        <v>2268</v>
      </c>
      <c r="Q1090" s="5" t="s">
        <v>2272</v>
      </c>
      <c r="R1090" s="5" t="s">
        <v>2273</v>
      </c>
      <c r="S1090" s="5" t="s">
        <v>2282</v>
      </c>
      <c r="T1090" s="5" t="s">
        <v>2289</v>
      </c>
      <c r="U1090" s="8">
        <v>2</v>
      </c>
      <c r="V1090" s="19">
        <v>244</v>
      </c>
      <c r="W1090" s="8">
        <v>21</v>
      </c>
      <c r="X1090" s="9">
        <v>33.799999999999997</v>
      </c>
      <c r="Y1090" s="9">
        <f t="shared" ref="Y1090:Y1153" si="205">IF(OR(O1090="",K1090="",X1090=""),"",O1090-K1090*X1090)</f>
        <v>41.2</v>
      </c>
      <c r="Z1090" s="5" t="s">
        <v>2294</v>
      </c>
      <c r="AA1090" s="5" t="s">
        <v>2297</v>
      </c>
      <c r="AB1090" s="9">
        <f t="shared" ref="AB1090:AB1153" si="206">N1090</f>
        <v>75</v>
      </c>
      <c r="AC1090" s="9">
        <f t="shared" ref="AC1090:AC1153" si="207">IF(N1090="","",N1090*IF(M1090="",0,M1090))</f>
        <v>0</v>
      </c>
      <c r="AD1090" s="9">
        <f t="shared" ref="AD1090:AD1153" si="208">O1090</f>
        <v>75</v>
      </c>
      <c r="AE1090" s="9">
        <f t="shared" ref="AE1090:AE1153" si="209">IF(OR(K1090="",X1090=""),"",K1090*X1090)</f>
        <v>33.799999999999997</v>
      </c>
      <c r="AF1090" s="9">
        <f t="shared" si="203"/>
        <v>41.2</v>
      </c>
      <c r="AG1090" s="8">
        <f t="shared" ref="AG1090:AG1153" si="210">IF(B1090="","",YEAR(B1090))</f>
        <v>2024</v>
      </c>
      <c r="AH1090" s="8">
        <f t="shared" ref="AH1090:AH1153" si="211">IF(B1090="","",MONTH(B1090))</f>
        <v>5</v>
      </c>
      <c r="AI1090" s="5" t="str">
        <f t="shared" ref="AI1090:AI1153" si="212">IF(B1090="","",TEXT(B1090,"mmm"))</f>
        <v>May</v>
      </c>
      <c r="AJ1090" s="5" t="str">
        <f t="shared" ref="AJ1090:AJ1153" si="213">IF(B1090="","",TEXT(B1090,"dddd"))</f>
        <v>Thursday</v>
      </c>
    </row>
    <row r="1091" spans="1:36" x14ac:dyDescent="0.3">
      <c r="A1091" s="5" t="s">
        <v>1125</v>
      </c>
      <c r="B1091" s="6">
        <v>45596</v>
      </c>
      <c r="C1091" s="7">
        <v>0.39583333333333331</v>
      </c>
      <c r="D1091" s="5" t="s">
        <v>1864</v>
      </c>
      <c r="E1091" s="5" t="s">
        <v>2014</v>
      </c>
      <c r="F1091" s="5" t="s">
        <v>1761</v>
      </c>
      <c r="G1091" s="5" t="s">
        <v>2242</v>
      </c>
      <c r="H1091" s="5" t="s">
        <v>2258</v>
      </c>
      <c r="I1091" s="5" t="s">
        <v>2260</v>
      </c>
      <c r="J1091" s="5" t="s">
        <v>2265</v>
      </c>
      <c r="K1091" s="8">
        <v>3</v>
      </c>
      <c r="L1091" s="9">
        <v>120</v>
      </c>
      <c r="M1091" s="10">
        <v>0.1</v>
      </c>
      <c r="N1091" s="9">
        <f t="shared" ref="N1091:N1154" si="214">IFERROR(K1091*L1091,"")</f>
        <v>360</v>
      </c>
      <c r="O1091" s="9">
        <f t="shared" si="204"/>
        <v>324</v>
      </c>
      <c r="P1091" s="5" t="s">
        <v>2268</v>
      </c>
      <c r="Q1091" s="5" t="s">
        <v>2271</v>
      </c>
      <c r="R1091" s="5" t="s">
        <v>2279</v>
      </c>
      <c r="S1091" s="5" t="s">
        <v>2282</v>
      </c>
      <c r="T1091" s="5" t="s">
        <v>2288</v>
      </c>
      <c r="U1091" s="8">
        <v>1</v>
      </c>
      <c r="V1091" s="8">
        <v>202</v>
      </c>
      <c r="W1091" s="8">
        <v>48</v>
      </c>
      <c r="X1091" s="9">
        <v>52.32</v>
      </c>
      <c r="Y1091" s="9">
        <f t="shared" si="205"/>
        <v>167.04</v>
      </c>
      <c r="Z1091" s="5" t="s">
        <v>2293</v>
      </c>
      <c r="AA1091" s="5" t="s">
        <v>1761</v>
      </c>
      <c r="AB1091" s="9">
        <f t="shared" si="206"/>
        <v>360</v>
      </c>
      <c r="AC1091" s="9">
        <f t="shared" si="207"/>
        <v>36</v>
      </c>
      <c r="AD1091" s="9">
        <f t="shared" si="208"/>
        <v>324</v>
      </c>
      <c r="AE1091" s="9">
        <f t="shared" si="209"/>
        <v>156.96</v>
      </c>
      <c r="AF1091" s="9">
        <f t="shared" ref="AF1091:AF1154" si="215">Y1091</f>
        <v>167.04</v>
      </c>
      <c r="AG1091" s="8">
        <f t="shared" si="210"/>
        <v>2024</v>
      </c>
      <c r="AH1091" s="8">
        <f t="shared" si="211"/>
        <v>10</v>
      </c>
      <c r="AI1091" s="5" t="str">
        <f t="shared" si="212"/>
        <v>Oct</v>
      </c>
      <c r="AJ1091" s="5" t="str">
        <f t="shared" si="213"/>
        <v>Thursday</v>
      </c>
    </row>
    <row r="1092" spans="1:36" x14ac:dyDescent="0.3">
      <c r="A1092" s="5" t="s">
        <v>1126</v>
      </c>
      <c r="B1092" s="6">
        <v>45530</v>
      </c>
      <c r="C1092" s="7">
        <v>0.79861111111111116</v>
      </c>
      <c r="D1092" s="5" t="s">
        <v>1773</v>
      </c>
      <c r="E1092" s="5" t="s">
        <v>2159</v>
      </c>
      <c r="F1092" s="5" t="s">
        <v>2240</v>
      </c>
      <c r="G1092" s="5" t="s">
        <v>2243</v>
      </c>
      <c r="H1092" s="5" t="s">
        <v>2258</v>
      </c>
      <c r="I1092" s="5" t="s">
        <v>2260</v>
      </c>
      <c r="J1092" s="5" t="s">
        <v>1761</v>
      </c>
      <c r="K1092" s="8">
        <v>2</v>
      </c>
      <c r="L1092" s="9">
        <v>70</v>
      </c>
      <c r="M1092" s="10">
        <v>0.05</v>
      </c>
      <c r="N1092" s="9">
        <f t="shared" si="214"/>
        <v>140</v>
      </c>
      <c r="O1092" s="9">
        <f t="shared" si="204"/>
        <v>133</v>
      </c>
      <c r="P1092" s="5" t="s">
        <v>1761</v>
      </c>
      <c r="Q1092" s="5" t="s">
        <v>2270</v>
      </c>
      <c r="R1092" s="5" t="s">
        <v>2279</v>
      </c>
      <c r="S1092" s="5" t="s">
        <v>2283</v>
      </c>
      <c r="T1092" s="5" t="s">
        <v>2288</v>
      </c>
      <c r="U1092" s="8">
        <v>2</v>
      </c>
      <c r="V1092" s="8">
        <v>122</v>
      </c>
      <c r="W1092" s="8">
        <v>27</v>
      </c>
      <c r="X1092" s="9">
        <v>36.29</v>
      </c>
      <c r="Y1092" s="9">
        <f t="shared" si="205"/>
        <v>60.42</v>
      </c>
      <c r="Z1092" s="5" t="s">
        <v>2292</v>
      </c>
      <c r="AA1092" s="5" t="s">
        <v>2296</v>
      </c>
      <c r="AB1092" s="9">
        <f t="shared" si="206"/>
        <v>140</v>
      </c>
      <c r="AC1092" s="9">
        <f t="shared" si="207"/>
        <v>7</v>
      </c>
      <c r="AD1092" s="9">
        <f t="shared" si="208"/>
        <v>133</v>
      </c>
      <c r="AE1092" s="9">
        <f t="shared" si="209"/>
        <v>72.58</v>
      </c>
      <c r="AF1092" s="9">
        <f t="shared" si="215"/>
        <v>60.42</v>
      </c>
      <c r="AG1092" s="8">
        <f t="shared" si="210"/>
        <v>2024</v>
      </c>
      <c r="AH1092" s="8">
        <f t="shared" si="211"/>
        <v>8</v>
      </c>
      <c r="AI1092" s="5" t="str">
        <f t="shared" si="212"/>
        <v>Aug</v>
      </c>
      <c r="AJ1092" s="5" t="str">
        <f t="shared" si="213"/>
        <v>Monday</v>
      </c>
    </row>
    <row r="1093" spans="1:36" x14ac:dyDescent="0.3">
      <c r="A1093" s="5" t="s">
        <v>1127</v>
      </c>
      <c r="B1093" s="6">
        <v>45437</v>
      </c>
      <c r="C1093" s="7">
        <v>0.76041666666666663</v>
      </c>
      <c r="D1093" s="5" t="s">
        <v>1864</v>
      </c>
      <c r="E1093" s="5" t="s">
        <v>2206</v>
      </c>
      <c r="F1093" s="5" t="s">
        <v>2240</v>
      </c>
      <c r="G1093" s="5" t="s">
        <v>2246</v>
      </c>
      <c r="H1093" s="5" t="s">
        <v>2259</v>
      </c>
      <c r="I1093" s="5" t="s">
        <v>2262</v>
      </c>
      <c r="J1093" s="5" t="s">
        <v>1761</v>
      </c>
      <c r="K1093" s="8">
        <v>1</v>
      </c>
      <c r="L1093" s="9">
        <v>95</v>
      </c>
      <c r="M1093" s="10">
        <v>0</v>
      </c>
      <c r="N1093" s="9">
        <f t="shared" si="214"/>
        <v>95</v>
      </c>
      <c r="O1093" s="9">
        <f t="shared" si="204"/>
        <v>95</v>
      </c>
      <c r="P1093" s="5" t="s">
        <v>2269</v>
      </c>
      <c r="Q1093" s="5" t="s">
        <v>2270</v>
      </c>
      <c r="R1093" s="5" t="s">
        <v>2279</v>
      </c>
      <c r="S1093" s="5" t="s">
        <v>2286</v>
      </c>
      <c r="T1093" s="5" t="s">
        <v>2288</v>
      </c>
      <c r="U1093" s="19">
        <v>3</v>
      </c>
      <c r="V1093" s="8">
        <v>453</v>
      </c>
      <c r="W1093" s="19">
        <v>34</v>
      </c>
      <c r="X1093" s="9">
        <v>51.94</v>
      </c>
      <c r="Y1093" s="9">
        <f t="shared" si="205"/>
        <v>43.06</v>
      </c>
      <c r="Z1093" s="5" t="s">
        <v>2293</v>
      </c>
      <c r="AA1093" s="5" t="s">
        <v>2296</v>
      </c>
      <c r="AB1093" s="9">
        <f t="shared" si="206"/>
        <v>95</v>
      </c>
      <c r="AC1093" s="9">
        <f t="shared" si="207"/>
        <v>0</v>
      </c>
      <c r="AD1093" s="9">
        <f t="shared" si="208"/>
        <v>95</v>
      </c>
      <c r="AE1093" s="9">
        <f t="shared" si="209"/>
        <v>51.94</v>
      </c>
      <c r="AF1093" s="9">
        <f t="shared" si="215"/>
        <v>43.06</v>
      </c>
      <c r="AG1093" s="8">
        <f t="shared" si="210"/>
        <v>2024</v>
      </c>
      <c r="AH1093" s="8">
        <f t="shared" si="211"/>
        <v>5</v>
      </c>
      <c r="AI1093" s="5" t="str">
        <f t="shared" si="212"/>
        <v>May</v>
      </c>
      <c r="AJ1093" s="5" t="str">
        <f t="shared" si="213"/>
        <v>Saturday</v>
      </c>
    </row>
    <row r="1094" spans="1:36" x14ac:dyDescent="0.3">
      <c r="A1094" s="5" t="s">
        <v>1128</v>
      </c>
      <c r="B1094" s="6">
        <v>45642</v>
      </c>
      <c r="C1094" s="7">
        <v>0.375</v>
      </c>
      <c r="D1094" s="5" t="s">
        <v>1901</v>
      </c>
      <c r="E1094" s="5" t="s">
        <v>1959</v>
      </c>
      <c r="F1094" s="5" t="s">
        <v>2239</v>
      </c>
      <c r="G1094" s="5" t="s">
        <v>2254</v>
      </c>
      <c r="H1094" s="5" t="s">
        <v>2259</v>
      </c>
      <c r="I1094" s="5" t="s">
        <v>2263</v>
      </c>
      <c r="J1094" s="5" t="s">
        <v>2265</v>
      </c>
      <c r="K1094" s="8">
        <v>3</v>
      </c>
      <c r="L1094" s="9">
        <v>110</v>
      </c>
      <c r="M1094" s="10">
        <v>0.05</v>
      </c>
      <c r="N1094" s="9">
        <f t="shared" si="214"/>
        <v>330</v>
      </c>
      <c r="O1094" s="9">
        <f t="shared" si="204"/>
        <v>313.5</v>
      </c>
      <c r="P1094" s="5" t="s">
        <v>2267</v>
      </c>
      <c r="Q1094" s="5" t="s">
        <v>2270</v>
      </c>
      <c r="R1094" s="5" t="s">
        <v>2279</v>
      </c>
      <c r="S1094" s="5" t="s">
        <v>2281</v>
      </c>
      <c r="T1094" s="5" t="s">
        <v>2288</v>
      </c>
      <c r="U1094" s="8">
        <v>3</v>
      </c>
      <c r="V1094" s="8">
        <v>375</v>
      </c>
      <c r="W1094" s="8">
        <v>23</v>
      </c>
      <c r="X1094" s="9">
        <v>43.55</v>
      </c>
      <c r="Y1094" s="9">
        <f t="shared" si="205"/>
        <v>182.85000000000002</v>
      </c>
      <c r="Z1094" s="5" t="s">
        <v>2294</v>
      </c>
      <c r="AA1094" s="5" t="s">
        <v>2296</v>
      </c>
      <c r="AB1094" s="9">
        <f t="shared" si="206"/>
        <v>330</v>
      </c>
      <c r="AC1094" s="9">
        <f t="shared" si="207"/>
        <v>16.5</v>
      </c>
      <c r="AD1094" s="9">
        <f t="shared" si="208"/>
        <v>313.5</v>
      </c>
      <c r="AE1094" s="9">
        <f t="shared" si="209"/>
        <v>130.64999999999998</v>
      </c>
      <c r="AF1094" s="9">
        <f t="shared" si="215"/>
        <v>182.85000000000002</v>
      </c>
      <c r="AG1094" s="8">
        <f t="shared" si="210"/>
        <v>2024</v>
      </c>
      <c r="AH1094" s="8">
        <f t="shared" si="211"/>
        <v>12</v>
      </c>
      <c r="AI1094" s="5" t="str">
        <f t="shared" si="212"/>
        <v>Dec</v>
      </c>
      <c r="AJ1094" s="5" t="str">
        <f t="shared" si="213"/>
        <v>Monday</v>
      </c>
    </row>
    <row r="1095" spans="1:36" x14ac:dyDescent="0.3">
      <c r="A1095" s="5" t="s">
        <v>1129</v>
      </c>
      <c r="B1095" s="6">
        <v>45368</v>
      </c>
      <c r="C1095" s="7">
        <v>0.59375</v>
      </c>
      <c r="D1095" s="5" t="s">
        <v>1793</v>
      </c>
      <c r="E1095" s="5" t="s">
        <v>2193</v>
      </c>
      <c r="F1095" s="5" t="s">
        <v>2240</v>
      </c>
      <c r="G1095" s="5" t="s">
        <v>2250</v>
      </c>
      <c r="H1095" s="5" t="s">
        <v>2259</v>
      </c>
      <c r="I1095" s="5" t="s">
        <v>2262</v>
      </c>
      <c r="J1095" s="5" t="s">
        <v>2265</v>
      </c>
      <c r="K1095" s="8">
        <v>2</v>
      </c>
      <c r="L1095" s="9">
        <v>80</v>
      </c>
      <c r="M1095" s="10">
        <v>0.15</v>
      </c>
      <c r="N1095" s="9">
        <f t="shared" si="214"/>
        <v>160</v>
      </c>
      <c r="O1095" s="9">
        <f t="shared" si="204"/>
        <v>136</v>
      </c>
      <c r="P1095" s="5" t="s">
        <v>2267</v>
      </c>
      <c r="Q1095" s="5" t="s">
        <v>1761</v>
      </c>
      <c r="R1095" s="5" t="s">
        <v>2279</v>
      </c>
      <c r="S1095" s="5" t="s">
        <v>2285</v>
      </c>
      <c r="T1095" s="5" t="s">
        <v>2290</v>
      </c>
      <c r="U1095" s="8">
        <v>5</v>
      </c>
      <c r="V1095" s="8">
        <v>125</v>
      </c>
      <c r="W1095" s="19">
        <v>36</v>
      </c>
      <c r="X1095" s="9">
        <v>30.83</v>
      </c>
      <c r="Y1095" s="9">
        <f t="shared" si="205"/>
        <v>74.34</v>
      </c>
      <c r="Z1095" s="5" t="s">
        <v>2291</v>
      </c>
      <c r="AA1095" s="5" t="s">
        <v>2296</v>
      </c>
      <c r="AB1095" s="9">
        <f t="shared" si="206"/>
        <v>160</v>
      </c>
      <c r="AC1095" s="9">
        <f t="shared" si="207"/>
        <v>24</v>
      </c>
      <c r="AD1095" s="9">
        <f t="shared" si="208"/>
        <v>136</v>
      </c>
      <c r="AE1095" s="9">
        <f t="shared" si="209"/>
        <v>61.66</v>
      </c>
      <c r="AF1095" s="9">
        <f t="shared" si="215"/>
        <v>74.34</v>
      </c>
      <c r="AG1095" s="8">
        <f t="shared" si="210"/>
        <v>2024</v>
      </c>
      <c r="AH1095" s="8">
        <f t="shared" si="211"/>
        <v>3</v>
      </c>
      <c r="AI1095" s="5" t="str">
        <f t="shared" si="212"/>
        <v>Mar</v>
      </c>
      <c r="AJ1095" s="5" t="str">
        <f t="shared" si="213"/>
        <v>Sunday</v>
      </c>
    </row>
    <row r="1096" spans="1:36" x14ac:dyDescent="0.3">
      <c r="A1096" s="5" t="s">
        <v>1130</v>
      </c>
      <c r="B1096" s="6">
        <v>45472</v>
      </c>
      <c r="C1096" s="7">
        <v>0.42708333333333331</v>
      </c>
      <c r="D1096" s="5" t="s">
        <v>1811</v>
      </c>
      <c r="E1096" s="5" t="s">
        <v>1761</v>
      </c>
      <c r="F1096" s="5" t="s">
        <v>2239</v>
      </c>
      <c r="G1096" s="5" t="s">
        <v>2250</v>
      </c>
      <c r="H1096" s="5" t="s">
        <v>2259</v>
      </c>
      <c r="I1096" s="5" t="s">
        <v>2262</v>
      </c>
      <c r="J1096" s="5" t="s">
        <v>2264</v>
      </c>
      <c r="K1096" s="8">
        <v>2</v>
      </c>
      <c r="L1096" s="9">
        <v>90</v>
      </c>
      <c r="M1096" s="10">
        <v>0</v>
      </c>
      <c r="N1096" s="9">
        <f t="shared" si="214"/>
        <v>180</v>
      </c>
      <c r="O1096" s="9">
        <f t="shared" si="204"/>
        <v>180</v>
      </c>
      <c r="P1096" s="5" t="s">
        <v>2268</v>
      </c>
      <c r="Q1096" s="5" t="s">
        <v>2272</v>
      </c>
      <c r="R1096" s="5" t="s">
        <v>2279</v>
      </c>
      <c r="S1096" s="5" t="s">
        <v>2282</v>
      </c>
      <c r="T1096" s="5" t="s">
        <v>2288</v>
      </c>
      <c r="U1096" s="8">
        <v>5</v>
      </c>
      <c r="V1096" s="8">
        <v>77</v>
      </c>
      <c r="W1096" s="8">
        <v>32</v>
      </c>
      <c r="X1096" s="9">
        <v>28.49</v>
      </c>
      <c r="Y1096" s="9">
        <f t="shared" si="205"/>
        <v>123.02000000000001</v>
      </c>
      <c r="Z1096" s="5" t="s">
        <v>2293</v>
      </c>
      <c r="AA1096" s="5" t="s">
        <v>2299</v>
      </c>
      <c r="AB1096" s="9">
        <f t="shared" si="206"/>
        <v>180</v>
      </c>
      <c r="AC1096" s="9">
        <f t="shared" si="207"/>
        <v>0</v>
      </c>
      <c r="AD1096" s="9">
        <f t="shared" si="208"/>
        <v>180</v>
      </c>
      <c r="AE1096" s="9">
        <f t="shared" si="209"/>
        <v>56.98</v>
      </c>
      <c r="AF1096" s="9">
        <f t="shared" si="215"/>
        <v>123.02000000000001</v>
      </c>
      <c r="AG1096" s="8">
        <f t="shared" si="210"/>
        <v>2024</v>
      </c>
      <c r="AH1096" s="8">
        <f t="shared" si="211"/>
        <v>6</v>
      </c>
      <c r="AI1096" s="5" t="str">
        <f t="shared" si="212"/>
        <v>Jun</v>
      </c>
      <c r="AJ1096" s="5" t="str">
        <f t="shared" si="213"/>
        <v>Saturday</v>
      </c>
    </row>
    <row r="1097" spans="1:36" x14ac:dyDescent="0.3">
      <c r="A1097" s="5" t="s">
        <v>1131</v>
      </c>
      <c r="B1097" s="6">
        <v>45365</v>
      </c>
      <c r="C1097" s="7">
        <v>0.77083333333333337</v>
      </c>
      <c r="D1097" s="5" t="s">
        <v>1832</v>
      </c>
      <c r="E1097" s="5" t="s">
        <v>1995</v>
      </c>
      <c r="F1097" s="5" t="s">
        <v>2239</v>
      </c>
      <c r="G1097" s="5" t="s">
        <v>2256</v>
      </c>
      <c r="H1097" s="5" t="s">
        <v>2261</v>
      </c>
      <c r="I1097" s="5" t="s">
        <v>2260</v>
      </c>
      <c r="J1097" s="5" t="s">
        <v>1761</v>
      </c>
      <c r="K1097" s="8">
        <v>1</v>
      </c>
      <c r="L1097" s="9">
        <v>190</v>
      </c>
      <c r="M1097" s="10">
        <v>0</v>
      </c>
      <c r="N1097" s="9">
        <f t="shared" si="214"/>
        <v>190</v>
      </c>
      <c r="O1097" s="9">
        <f t="shared" si="204"/>
        <v>190</v>
      </c>
      <c r="P1097" s="5" t="s">
        <v>2269</v>
      </c>
      <c r="Q1097" s="5" t="s">
        <v>2270</v>
      </c>
      <c r="R1097" s="5" t="s">
        <v>2276</v>
      </c>
      <c r="S1097" s="5" t="s">
        <v>2282</v>
      </c>
      <c r="T1097" s="5" t="s">
        <v>2288</v>
      </c>
      <c r="U1097" s="8">
        <v>5</v>
      </c>
      <c r="V1097" s="8">
        <v>177</v>
      </c>
      <c r="W1097" s="8">
        <v>37</v>
      </c>
      <c r="X1097" s="9">
        <v>97.09</v>
      </c>
      <c r="Y1097" s="9">
        <f t="shared" si="205"/>
        <v>92.91</v>
      </c>
      <c r="Z1097" s="5" t="s">
        <v>2293</v>
      </c>
      <c r="AA1097" s="5" t="s">
        <v>2297</v>
      </c>
      <c r="AB1097" s="9">
        <f t="shared" si="206"/>
        <v>190</v>
      </c>
      <c r="AC1097" s="9">
        <f t="shared" si="207"/>
        <v>0</v>
      </c>
      <c r="AD1097" s="9">
        <f t="shared" si="208"/>
        <v>190</v>
      </c>
      <c r="AE1097" s="9">
        <f t="shared" si="209"/>
        <v>97.09</v>
      </c>
      <c r="AF1097" s="9">
        <f t="shared" si="215"/>
        <v>92.91</v>
      </c>
      <c r="AG1097" s="8">
        <f t="shared" si="210"/>
        <v>2024</v>
      </c>
      <c r="AH1097" s="8">
        <f t="shared" si="211"/>
        <v>3</v>
      </c>
      <c r="AI1097" s="5" t="str">
        <f t="shared" si="212"/>
        <v>Mar</v>
      </c>
      <c r="AJ1097" s="5" t="str">
        <f t="shared" si="213"/>
        <v>Thursday</v>
      </c>
    </row>
    <row r="1098" spans="1:36" x14ac:dyDescent="0.3">
      <c r="A1098" s="5" t="s">
        <v>1132</v>
      </c>
      <c r="B1098" s="6">
        <v>45433</v>
      </c>
      <c r="C1098" s="7">
        <v>0.40625</v>
      </c>
      <c r="D1098" s="5" t="s">
        <v>1850</v>
      </c>
      <c r="E1098" s="5" t="s">
        <v>2123</v>
      </c>
      <c r="F1098" s="5" t="s">
        <v>1761</v>
      </c>
      <c r="G1098" s="5" t="s">
        <v>2254</v>
      </c>
      <c r="H1098" s="5" t="s">
        <v>2259</v>
      </c>
      <c r="I1098" s="5" t="s">
        <v>2263</v>
      </c>
      <c r="J1098" s="5" t="s">
        <v>2265</v>
      </c>
      <c r="K1098" s="8">
        <v>1</v>
      </c>
      <c r="L1098" s="9">
        <v>110</v>
      </c>
      <c r="M1098" s="10">
        <v>0</v>
      </c>
      <c r="N1098" s="9">
        <f t="shared" si="214"/>
        <v>110</v>
      </c>
      <c r="O1098" s="9">
        <f t="shared" si="204"/>
        <v>110</v>
      </c>
      <c r="P1098" s="5" t="s">
        <v>2269</v>
      </c>
      <c r="Q1098" s="5" t="s">
        <v>2272</v>
      </c>
      <c r="R1098" s="5" t="s">
        <v>2279</v>
      </c>
      <c r="S1098" s="5" t="s">
        <v>2286</v>
      </c>
      <c r="T1098" s="5" t="s">
        <v>2288</v>
      </c>
      <c r="U1098" s="8">
        <v>4</v>
      </c>
      <c r="V1098" s="8">
        <v>375</v>
      </c>
      <c r="W1098" s="19">
        <v>35</v>
      </c>
      <c r="X1098" s="9">
        <v>63.86</v>
      </c>
      <c r="Y1098" s="9">
        <f t="shared" si="205"/>
        <v>46.14</v>
      </c>
      <c r="Z1098" s="5" t="s">
        <v>2293</v>
      </c>
      <c r="AA1098" s="5" t="s">
        <v>2296</v>
      </c>
      <c r="AB1098" s="9">
        <f t="shared" si="206"/>
        <v>110</v>
      </c>
      <c r="AC1098" s="9">
        <f t="shared" si="207"/>
        <v>0</v>
      </c>
      <c r="AD1098" s="9">
        <f t="shared" si="208"/>
        <v>110</v>
      </c>
      <c r="AE1098" s="9">
        <f t="shared" si="209"/>
        <v>63.86</v>
      </c>
      <c r="AF1098" s="9">
        <f t="shared" si="215"/>
        <v>46.14</v>
      </c>
      <c r="AG1098" s="8">
        <f t="shared" si="210"/>
        <v>2024</v>
      </c>
      <c r="AH1098" s="8">
        <f t="shared" si="211"/>
        <v>5</v>
      </c>
      <c r="AI1098" s="5" t="str">
        <f t="shared" si="212"/>
        <v>May</v>
      </c>
      <c r="AJ1098" s="5" t="str">
        <f t="shared" si="213"/>
        <v>Tuesday</v>
      </c>
    </row>
    <row r="1099" spans="1:36" x14ac:dyDescent="0.3">
      <c r="A1099" s="5" t="s">
        <v>1133</v>
      </c>
      <c r="B1099" s="6">
        <v>45475</v>
      </c>
      <c r="C1099" s="7">
        <v>0.67361111111111116</v>
      </c>
      <c r="D1099" s="5" t="s">
        <v>1811</v>
      </c>
      <c r="E1099" s="5" t="s">
        <v>2047</v>
      </c>
      <c r="F1099" s="5" t="s">
        <v>1761</v>
      </c>
      <c r="G1099" s="5" t="s">
        <v>2246</v>
      </c>
      <c r="H1099" s="5" t="s">
        <v>2259</v>
      </c>
      <c r="I1099" s="5" t="s">
        <v>2262</v>
      </c>
      <c r="J1099" s="5" t="s">
        <v>2266</v>
      </c>
      <c r="K1099" s="8">
        <v>1</v>
      </c>
      <c r="L1099" s="9">
        <v>100</v>
      </c>
      <c r="M1099" s="10">
        <v>0</v>
      </c>
      <c r="N1099" s="9">
        <f t="shared" si="214"/>
        <v>100</v>
      </c>
      <c r="O1099" s="9">
        <f t="shared" si="204"/>
        <v>100</v>
      </c>
      <c r="P1099" s="5" t="s">
        <v>2267</v>
      </c>
      <c r="Q1099" s="5" t="s">
        <v>2272</v>
      </c>
      <c r="R1099" s="5" t="s">
        <v>2278</v>
      </c>
      <c r="S1099" s="5" t="s">
        <v>2280</v>
      </c>
      <c r="T1099" s="5" t="s">
        <v>2288</v>
      </c>
      <c r="U1099" s="8">
        <v>2</v>
      </c>
      <c r="V1099" s="8">
        <v>389</v>
      </c>
      <c r="W1099" s="8">
        <v>13</v>
      </c>
      <c r="X1099" s="9">
        <v>40.71</v>
      </c>
      <c r="Y1099" s="9">
        <f t="shared" si="205"/>
        <v>59.29</v>
      </c>
      <c r="Z1099" s="5" t="s">
        <v>2291</v>
      </c>
      <c r="AA1099" s="5" t="s">
        <v>2296</v>
      </c>
      <c r="AB1099" s="9">
        <f t="shared" si="206"/>
        <v>100</v>
      </c>
      <c r="AC1099" s="9">
        <f t="shared" si="207"/>
        <v>0</v>
      </c>
      <c r="AD1099" s="9">
        <f t="shared" si="208"/>
        <v>100</v>
      </c>
      <c r="AE1099" s="9">
        <f t="shared" si="209"/>
        <v>40.71</v>
      </c>
      <c r="AF1099" s="9">
        <f t="shared" si="215"/>
        <v>59.29</v>
      </c>
      <c r="AG1099" s="8">
        <f t="shared" si="210"/>
        <v>2024</v>
      </c>
      <c r="AH1099" s="8">
        <f t="shared" si="211"/>
        <v>7</v>
      </c>
      <c r="AI1099" s="5" t="str">
        <f t="shared" si="212"/>
        <v>Jul</v>
      </c>
      <c r="AJ1099" s="5" t="str">
        <f t="shared" si="213"/>
        <v>Tuesday</v>
      </c>
    </row>
    <row r="1100" spans="1:36" x14ac:dyDescent="0.3">
      <c r="A1100" s="5" t="s">
        <v>1134</v>
      </c>
      <c r="B1100" s="6">
        <v>45648</v>
      </c>
      <c r="C1100" s="7">
        <v>0.79166666666666663</v>
      </c>
      <c r="D1100" s="5" t="s">
        <v>1791</v>
      </c>
      <c r="E1100" s="5" t="s">
        <v>1970</v>
      </c>
      <c r="F1100" s="5" t="s">
        <v>2239</v>
      </c>
      <c r="G1100" s="5" t="s">
        <v>2253</v>
      </c>
      <c r="H1100" s="5" t="s">
        <v>2258</v>
      </c>
      <c r="I1100" s="5" t="s">
        <v>2260</v>
      </c>
      <c r="J1100" s="5" t="s">
        <v>2265</v>
      </c>
      <c r="K1100" s="8">
        <v>1</v>
      </c>
      <c r="L1100" s="9">
        <v>90</v>
      </c>
      <c r="M1100" s="10">
        <v>0.05</v>
      </c>
      <c r="N1100" s="9">
        <f t="shared" si="214"/>
        <v>90</v>
      </c>
      <c r="O1100" s="9">
        <f t="shared" si="204"/>
        <v>85.5</v>
      </c>
      <c r="P1100" s="5" t="s">
        <v>2268</v>
      </c>
      <c r="Q1100" s="5" t="s">
        <v>2272</v>
      </c>
      <c r="R1100" s="5" t="s">
        <v>2273</v>
      </c>
      <c r="S1100" s="5" t="s">
        <v>2285</v>
      </c>
      <c r="T1100" s="5" t="s">
        <v>2289</v>
      </c>
      <c r="U1100" s="8">
        <v>2</v>
      </c>
      <c r="V1100" s="8">
        <v>272</v>
      </c>
      <c r="W1100" s="19">
        <v>35</v>
      </c>
      <c r="X1100" s="9">
        <v>46.97</v>
      </c>
      <c r="Y1100" s="9">
        <f t="shared" si="205"/>
        <v>38.53</v>
      </c>
      <c r="Z1100" s="5" t="s">
        <v>2291</v>
      </c>
      <c r="AA1100" s="5" t="s">
        <v>2296</v>
      </c>
      <c r="AB1100" s="9">
        <f t="shared" si="206"/>
        <v>90</v>
      </c>
      <c r="AC1100" s="9">
        <f t="shared" si="207"/>
        <v>4.5</v>
      </c>
      <c r="AD1100" s="9">
        <f t="shared" si="208"/>
        <v>85.5</v>
      </c>
      <c r="AE1100" s="9">
        <f t="shared" si="209"/>
        <v>46.97</v>
      </c>
      <c r="AF1100" s="9">
        <f t="shared" si="215"/>
        <v>38.53</v>
      </c>
      <c r="AG1100" s="8">
        <f t="shared" si="210"/>
        <v>2024</v>
      </c>
      <c r="AH1100" s="8">
        <f t="shared" si="211"/>
        <v>12</v>
      </c>
      <c r="AI1100" s="5" t="str">
        <f t="shared" si="212"/>
        <v>Dec</v>
      </c>
      <c r="AJ1100" s="5" t="str">
        <f t="shared" si="213"/>
        <v>Sunday</v>
      </c>
    </row>
    <row r="1101" spans="1:36" x14ac:dyDescent="0.3">
      <c r="A1101" s="5" t="s">
        <v>1135</v>
      </c>
      <c r="B1101" s="6">
        <v>45579</v>
      </c>
      <c r="C1101" s="7">
        <v>0.40625</v>
      </c>
      <c r="D1101" s="5" t="s">
        <v>1858</v>
      </c>
      <c r="E1101" s="5" t="s">
        <v>2096</v>
      </c>
      <c r="F1101" s="5" t="s">
        <v>2239</v>
      </c>
      <c r="G1101" s="5" t="s">
        <v>2241</v>
      </c>
      <c r="H1101" s="5" t="s">
        <v>2257</v>
      </c>
      <c r="I1101" s="5" t="s">
        <v>2262</v>
      </c>
      <c r="J1101" s="5" t="s">
        <v>2266</v>
      </c>
      <c r="K1101" s="8">
        <v>1</v>
      </c>
      <c r="L1101" s="9">
        <v>135</v>
      </c>
      <c r="M1101" s="10">
        <v>0</v>
      </c>
      <c r="N1101" s="9">
        <f t="shared" si="214"/>
        <v>135</v>
      </c>
      <c r="O1101" s="9">
        <f t="shared" si="204"/>
        <v>135</v>
      </c>
      <c r="P1101" s="5" t="s">
        <v>2269</v>
      </c>
      <c r="Q1101" s="5" t="s">
        <v>2271</v>
      </c>
      <c r="R1101" s="5" t="s">
        <v>2275</v>
      </c>
      <c r="S1101" s="5" t="s">
        <v>2287</v>
      </c>
      <c r="T1101" s="5" t="s">
        <v>2288</v>
      </c>
      <c r="U1101" s="8">
        <v>3</v>
      </c>
      <c r="V1101" s="8">
        <v>410</v>
      </c>
      <c r="W1101" s="8">
        <v>43</v>
      </c>
      <c r="X1101" s="9">
        <v>66.2</v>
      </c>
      <c r="Y1101" s="9">
        <f t="shared" si="205"/>
        <v>68.8</v>
      </c>
      <c r="Z1101" s="5" t="s">
        <v>2294</v>
      </c>
      <c r="AA1101" s="5" t="s">
        <v>2298</v>
      </c>
      <c r="AB1101" s="9">
        <f t="shared" si="206"/>
        <v>135</v>
      </c>
      <c r="AC1101" s="9">
        <f t="shared" si="207"/>
        <v>0</v>
      </c>
      <c r="AD1101" s="9">
        <f t="shared" si="208"/>
        <v>135</v>
      </c>
      <c r="AE1101" s="9">
        <f t="shared" si="209"/>
        <v>66.2</v>
      </c>
      <c r="AF1101" s="9">
        <f t="shared" si="215"/>
        <v>68.8</v>
      </c>
      <c r="AG1101" s="8">
        <f t="shared" si="210"/>
        <v>2024</v>
      </c>
      <c r="AH1101" s="8">
        <f t="shared" si="211"/>
        <v>10</v>
      </c>
      <c r="AI1101" s="5" t="str">
        <f t="shared" si="212"/>
        <v>Oct</v>
      </c>
      <c r="AJ1101" s="5" t="str">
        <f t="shared" si="213"/>
        <v>Monday</v>
      </c>
    </row>
    <row r="1102" spans="1:36" x14ac:dyDescent="0.3">
      <c r="A1102" s="5" t="s">
        <v>1136</v>
      </c>
      <c r="B1102" s="6">
        <v>45361</v>
      </c>
      <c r="C1102" s="7">
        <v>0.55555555555555558</v>
      </c>
      <c r="D1102" s="5" t="s">
        <v>1811</v>
      </c>
      <c r="E1102" s="5" t="s">
        <v>2055</v>
      </c>
      <c r="F1102" s="5" t="s">
        <v>2238</v>
      </c>
      <c r="G1102" s="5" t="s">
        <v>2256</v>
      </c>
      <c r="H1102" s="5" t="s">
        <v>2261</v>
      </c>
      <c r="I1102" s="5" t="s">
        <v>2260</v>
      </c>
      <c r="J1102" s="5" t="s">
        <v>2266</v>
      </c>
      <c r="K1102" s="8">
        <v>1</v>
      </c>
      <c r="L1102" s="9">
        <v>190</v>
      </c>
      <c r="M1102" s="10">
        <v>0.05</v>
      </c>
      <c r="N1102" s="9">
        <f t="shared" si="214"/>
        <v>190</v>
      </c>
      <c r="O1102" s="9">
        <f t="shared" si="204"/>
        <v>180.5</v>
      </c>
      <c r="P1102" s="5" t="s">
        <v>1761</v>
      </c>
      <c r="Q1102" s="5" t="s">
        <v>2272</v>
      </c>
      <c r="R1102" s="5" t="s">
        <v>2273</v>
      </c>
      <c r="S1102" s="5" t="s">
        <v>2280</v>
      </c>
      <c r="T1102" s="5" t="s">
        <v>2289</v>
      </c>
      <c r="U1102" s="8">
        <v>5</v>
      </c>
      <c r="V1102" s="8">
        <v>162</v>
      </c>
      <c r="W1102" s="8">
        <v>50</v>
      </c>
      <c r="X1102" s="9">
        <v>70.3</v>
      </c>
      <c r="Y1102" s="9">
        <f t="shared" si="205"/>
        <v>110.2</v>
      </c>
      <c r="Z1102" s="5" t="s">
        <v>2293</v>
      </c>
      <c r="AA1102" s="5" t="s">
        <v>1761</v>
      </c>
      <c r="AB1102" s="9">
        <f t="shared" si="206"/>
        <v>190</v>
      </c>
      <c r="AC1102" s="9">
        <f t="shared" si="207"/>
        <v>9.5</v>
      </c>
      <c r="AD1102" s="9">
        <f t="shared" si="208"/>
        <v>180.5</v>
      </c>
      <c r="AE1102" s="9">
        <f t="shared" si="209"/>
        <v>70.3</v>
      </c>
      <c r="AF1102" s="9">
        <f t="shared" si="215"/>
        <v>110.2</v>
      </c>
      <c r="AG1102" s="8">
        <f t="shared" si="210"/>
        <v>2024</v>
      </c>
      <c r="AH1102" s="8">
        <f t="shared" si="211"/>
        <v>3</v>
      </c>
      <c r="AI1102" s="5" t="str">
        <f t="shared" si="212"/>
        <v>Mar</v>
      </c>
      <c r="AJ1102" s="5" t="str">
        <f t="shared" si="213"/>
        <v>Sunday</v>
      </c>
    </row>
    <row r="1103" spans="1:36" x14ac:dyDescent="0.3">
      <c r="A1103" s="5" t="s">
        <v>1137</v>
      </c>
      <c r="B1103" s="6">
        <v>45377</v>
      </c>
      <c r="C1103" s="7">
        <v>0.82291666666666663</v>
      </c>
      <c r="D1103" s="5" t="s">
        <v>1840</v>
      </c>
      <c r="E1103" s="5" t="s">
        <v>1957</v>
      </c>
      <c r="F1103" s="5" t="s">
        <v>2239</v>
      </c>
      <c r="G1103" s="5" t="s">
        <v>2246</v>
      </c>
      <c r="H1103" s="5" t="s">
        <v>2259</v>
      </c>
      <c r="I1103" s="5" t="s">
        <v>2262</v>
      </c>
      <c r="J1103" s="5" t="s">
        <v>2264</v>
      </c>
      <c r="K1103" s="8">
        <v>1</v>
      </c>
      <c r="L1103" s="9">
        <v>90</v>
      </c>
      <c r="M1103" s="10">
        <v>0.15</v>
      </c>
      <c r="N1103" s="9">
        <f t="shared" si="214"/>
        <v>90</v>
      </c>
      <c r="O1103" s="9">
        <f t="shared" si="204"/>
        <v>76.5</v>
      </c>
      <c r="P1103" s="5" t="s">
        <v>1761</v>
      </c>
      <c r="Q1103" s="5" t="s">
        <v>1761</v>
      </c>
      <c r="R1103" s="5" t="s">
        <v>2276</v>
      </c>
      <c r="S1103" s="5" t="s">
        <v>2287</v>
      </c>
      <c r="T1103" s="5" t="s">
        <v>2288</v>
      </c>
      <c r="U1103" s="8">
        <v>3</v>
      </c>
      <c r="V1103" s="8">
        <v>0</v>
      </c>
      <c r="W1103" s="8">
        <v>32</v>
      </c>
      <c r="X1103" s="9">
        <v>46.34</v>
      </c>
      <c r="Y1103" s="9">
        <f t="shared" si="205"/>
        <v>30.159999999999997</v>
      </c>
      <c r="Z1103" s="5" t="s">
        <v>2293</v>
      </c>
      <c r="AA1103" s="5" t="s">
        <v>2297</v>
      </c>
      <c r="AB1103" s="9">
        <f t="shared" si="206"/>
        <v>90</v>
      </c>
      <c r="AC1103" s="9">
        <f t="shared" si="207"/>
        <v>13.5</v>
      </c>
      <c r="AD1103" s="9">
        <f t="shared" si="208"/>
        <v>76.5</v>
      </c>
      <c r="AE1103" s="9">
        <f t="shared" si="209"/>
        <v>46.34</v>
      </c>
      <c r="AF1103" s="9">
        <f t="shared" si="215"/>
        <v>30.159999999999997</v>
      </c>
      <c r="AG1103" s="8">
        <f t="shared" si="210"/>
        <v>2024</v>
      </c>
      <c r="AH1103" s="8">
        <f t="shared" si="211"/>
        <v>3</v>
      </c>
      <c r="AI1103" s="5" t="str">
        <f t="shared" si="212"/>
        <v>Mar</v>
      </c>
      <c r="AJ1103" s="5" t="str">
        <f t="shared" si="213"/>
        <v>Tuesday</v>
      </c>
    </row>
    <row r="1104" spans="1:36" x14ac:dyDescent="0.3">
      <c r="A1104" s="5" t="s">
        <v>1138</v>
      </c>
      <c r="B1104" s="6">
        <v>45344</v>
      </c>
      <c r="C1104" s="7">
        <v>0.73958333333333337</v>
      </c>
      <c r="D1104" s="5" t="s">
        <v>1786</v>
      </c>
      <c r="E1104" s="5" t="s">
        <v>1976</v>
      </c>
      <c r="F1104" s="5" t="s">
        <v>1761</v>
      </c>
      <c r="G1104" s="5" t="s">
        <v>2249</v>
      </c>
      <c r="H1104" s="5" t="s">
        <v>2257</v>
      </c>
      <c r="I1104" s="5" t="s">
        <v>2263</v>
      </c>
      <c r="J1104" s="5" t="s">
        <v>2266</v>
      </c>
      <c r="K1104" s="8">
        <v>1</v>
      </c>
      <c r="L1104" s="9">
        <v>155</v>
      </c>
      <c r="M1104" s="10">
        <v>0</v>
      </c>
      <c r="N1104" s="9">
        <f t="shared" si="214"/>
        <v>155</v>
      </c>
      <c r="O1104" s="9">
        <f t="shared" si="204"/>
        <v>155</v>
      </c>
      <c r="P1104" s="5" t="s">
        <v>2267</v>
      </c>
      <c r="Q1104" s="5" t="s">
        <v>2272</v>
      </c>
      <c r="R1104" s="5" t="s">
        <v>2279</v>
      </c>
      <c r="S1104" s="5" t="s">
        <v>2284</v>
      </c>
      <c r="T1104" s="5" t="s">
        <v>2288</v>
      </c>
      <c r="U1104" s="8">
        <v>5</v>
      </c>
      <c r="V1104" s="19">
        <v>244</v>
      </c>
      <c r="W1104" s="19">
        <v>35</v>
      </c>
      <c r="X1104" s="9">
        <v>85.38</v>
      </c>
      <c r="Y1104" s="9">
        <f t="shared" si="205"/>
        <v>69.62</v>
      </c>
      <c r="Z1104" s="5" t="s">
        <v>1761</v>
      </c>
      <c r="AA1104" s="5" t="s">
        <v>2298</v>
      </c>
      <c r="AB1104" s="9">
        <f t="shared" si="206"/>
        <v>155</v>
      </c>
      <c r="AC1104" s="9">
        <f t="shared" si="207"/>
        <v>0</v>
      </c>
      <c r="AD1104" s="9">
        <f t="shared" si="208"/>
        <v>155</v>
      </c>
      <c r="AE1104" s="9">
        <f t="shared" si="209"/>
        <v>85.38</v>
      </c>
      <c r="AF1104" s="9">
        <f t="shared" si="215"/>
        <v>69.62</v>
      </c>
      <c r="AG1104" s="8">
        <f t="shared" si="210"/>
        <v>2024</v>
      </c>
      <c r="AH1104" s="8">
        <f t="shared" si="211"/>
        <v>2</v>
      </c>
      <c r="AI1104" s="5" t="str">
        <f t="shared" si="212"/>
        <v>Feb</v>
      </c>
      <c r="AJ1104" s="5" t="str">
        <f t="shared" si="213"/>
        <v>Thursday</v>
      </c>
    </row>
    <row r="1105" spans="1:36" x14ac:dyDescent="0.3">
      <c r="A1105" s="5" t="s">
        <v>1139</v>
      </c>
      <c r="B1105" s="6">
        <v>45368</v>
      </c>
      <c r="C1105" s="7">
        <v>0.3125</v>
      </c>
      <c r="D1105" s="5" t="s">
        <v>1809</v>
      </c>
      <c r="E1105" s="5" t="s">
        <v>1761</v>
      </c>
      <c r="F1105" s="5" t="s">
        <v>2238</v>
      </c>
      <c r="G1105" s="5" t="s">
        <v>2241</v>
      </c>
      <c r="H1105" s="5" t="s">
        <v>2257</v>
      </c>
      <c r="I1105" s="5" t="s">
        <v>2262</v>
      </c>
      <c r="J1105" s="5" t="s">
        <v>2264</v>
      </c>
      <c r="K1105" s="8">
        <v>1</v>
      </c>
      <c r="L1105" s="9">
        <v>135</v>
      </c>
      <c r="M1105" s="10">
        <v>0.15</v>
      </c>
      <c r="N1105" s="9">
        <f t="shared" si="214"/>
        <v>135</v>
      </c>
      <c r="O1105" s="9">
        <f t="shared" si="204"/>
        <v>114.75</v>
      </c>
      <c r="P1105" s="5" t="s">
        <v>2267</v>
      </c>
      <c r="Q1105" s="5" t="s">
        <v>1761</v>
      </c>
      <c r="R1105" s="5" t="s">
        <v>2278</v>
      </c>
      <c r="S1105" s="5" t="s">
        <v>2285</v>
      </c>
      <c r="T1105" s="5" t="s">
        <v>2288</v>
      </c>
      <c r="U1105" s="8">
        <v>4</v>
      </c>
      <c r="V1105" s="8">
        <v>423</v>
      </c>
      <c r="W1105" s="8">
        <v>22</v>
      </c>
      <c r="X1105" s="9">
        <v>46.79</v>
      </c>
      <c r="Y1105" s="9">
        <f t="shared" si="205"/>
        <v>67.960000000000008</v>
      </c>
      <c r="Z1105" s="5" t="s">
        <v>2293</v>
      </c>
      <c r="AA1105" s="5" t="s">
        <v>2299</v>
      </c>
      <c r="AB1105" s="9">
        <f t="shared" si="206"/>
        <v>135</v>
      </c>
      <c r="AC1105" s="9">
        <f t="shared" si="207"/>
        <v>20.25</v>
      </c>
      <c r="AD1105" s="9">
        <f t="shared" si="208"/>
        <v>114.75</v>
      </c>
      <c r="AE1105" s="9">
        <f t="shared" si="209"/>
        <v>46.79</v>
      </c>
      <c r="AF1105" s="9">
        <f t="shared" si="215"/>
        <v>67.960000000000008</v>
      </c>
      <c r="AG1105" s="8">
        <f t="shared" si="210"/>
        <v>2024</v>
      </c>
      <c r="AH1105" s="8">
        <f t="shared" si="211"/>
        <v>3</v>
      </c>
      <c r="AI1105" s="5" t="str">
        <f t="shared" si="212"/>
        <v>Mar</v>
      </c>
      <c r="AJ1105" s="5" t="str">
        <f t="shared" si="213"/>
        <v>Sunday</v>
      </c>
    </row>
    <row r="1106" spans="1:36" x14ac:dyDescent="0.3">
      <c r="A1106" s="5" t="s">
        <v>1140</v>
      </c>
      <c r="B1106" s="6">
        <v>45415</v>
      </c>
      <c r="C1106" s="7">
        <v>0.4236111111111111</v>
      </c>
      <c r="D1106" s="5" t="s">
        <v>1793</v>
      </c>
      <c r="E1106" s="5" t="s">
        <v>2037</v>
      </c>
      <c r="F1106" s="5" t="s">
        <v>2240</v>
      </c>
      <c r="G1106" s="5" t="s">
        <v>2249</v>
      </c>
      <c r="H1106" s="5" t="s">
        <v>2257</v>
      </c>
      <c r="I1106" s="5" t="s">
        <v>2263</v>
      </c>
      <c r="J1106" s="5" t="s">
        <v>2266</v>
      </c>
      <c r="K1106" s="8">
        <v>1</v>
      </c>
      <c r="L1106" s="9">
        <v>165</v>
      </c>
      <c r="M1106" s="10">
        <v>0</v>
      </c>
      <c r="N1106" s="9">
        <f t="shared" si="214"/>
        <v>165</v>
      </c>
      <c r="O1106" s="9">
        <f t="shared" si="204"/>
        <v>165</v>
      </c>
      <c r="P1106" s="5" t="s">
        <v>2267</v>
      </c>
      <c r="Q1106" s="5" t="s">
        <v>1761</v>
      </c>
      <c r="R1106" s="5" t="s">
        <v>2275</v>
      </c>
      <c r="S1106" s="5" t="s">
        <v>2281</v>
      </c>
      <c r="T1106" s="5" t="s">
        <v>2290</v>
      </c>
      <c r="U1106" s="8">
        <v>5</v>
      </c>
      <c r="V1106" s="8">
        <v>420</v>
      </c>
      <c r="W1106" s="8">
        <v>53</v>
      </c>
      <c r="X1106" s="9">
        <v>95.99</v>
      </c>
      <c r="Y1106" s="9">
        <f t="shared" si="205"/>
        <v>69.010000000000005</v>
      </c>
      <c r="Z1106" s="5" t="s">
        <v>1761</v>
      </c>
      <c r="AA1106" s="5" t="s">
        <v>1761</v>
      </c>
      <c r="AB1106" s="9">
        <f t="shared" si="206"/>
        <v>165</v>
      </c>
      <c r="AC1106" s="9">
        <f t="shared" si="207"/>
        <v>0</v>
      </c>
      <c r="AD1106" s="9">
        <f t="shared" si="208"/>
        <v>165</v>
      </c>
      <c r="AE1106" s="9">
        <f t="shared" si="209"/>
        <v>95.99</v>
      </c>
      <c r="AF1106" s="9">
        <f t="shared" si="215"/>
        <v>69.010000000000005</v>
      </c>
      <c r="AG1106" s="8">
        <f t="shared" si="210"/>
        <v>2024</v>
      </c>
      <c r="AH1106" s="8">
        <f t="shared" si="211"/>
        <v>5</v>
      </c>
      <c r="AI1106" s="5" t="str">
        <f t="shared" si="212"/>
        <v>May</v>
      </c>
      <c r="AJ1106" s="5" t="str">
        <f t="shared" si="213"/>
        <v>Friday</v>
      </c>
    </row>
    <row r="1107" spans="1:36" x14ac:dyDescent="0.3">
      <c r="A1107" s="5" t="s">
        <v>1141</v>
      </c>
      <c r="B1107" s="6">
        <v>45339</v>
      </c>
      <c r="C1107" s="7">
        <v>0.40625</v>
      </c>
      <c r="D1107" s="5" t="s">
        <v>1753</v>
      </c>
      <c r="E1107" s="5" t="s">
        <v>2038</v>
      </c>
      <c r="F1107" s="5" t="s">
        <v>2240</v>
      </c>
      <c r="G1107" s="5" t="s">
        <v>2253</v>
      </c>
      <c r="H1107" s="5" t="s">
        <v>2258</v>
      </c>
      <c r="I1107" s="5" t="s">
        <v>2260</v>
      </c>
      <c r="J1107" s="5" t="s">
        <v>2265</v>
      </c>
      <c r="K1107" s="8">
        <v>1</v>
      </c>
      <c r="L1107" s="9">
        <v>90</v>
      </c>
      <c r="M1107" s="10">
        <v>0.15</v>
      </c>
      <c r="N1107" s="9">
        <f t="shared" si="214"/>
        <v>90</v>
      </c>
      <c r="O1107" s="9">
        <f t="shared" si="204"/>
        <v>76.5</v>
      </c>
      <c r="P1107" s="5" t="s">
        <v>2269</v>
      </c>
      <c r="Q1107" s="5" t="s">
        <v>2271</v>
      </c>
      <c r="R1107" s="5" t="s">
        <v>2273</v>
      </c>
      <c r="S1107" s="5" t="s">
        <v>2280</v>
      </c>
      <c r="T1107" s="5" t="s">
        <v>2288</v>
      </c>
      <c r="U1107" s="8">
        <v>5</v>
      </c>
      <c r="V1107" s="8">
        <v>184</v>
      </c>
      <c r="W1107" s="19">
        <v>37</v>
      </c>
      <c r="X1107" s="9">
        <v>32.299999999999997</v>
      </c>
      <c r="Y1107" s="9">
        <f t="shared" si="205"/>
        <v>44.2</v>
      </c>
      <c r="Z1107" s="5" t="s">
        <v>1761</v>
      </c>
      <c r="AA1107" s="5" t="s">
        <v>2298</v>
      </c>
      <c r="AB1107" s="9">
        <f t="shared" si="206"/>
        <v>90</v>
      </c>
      <c r="AC1107" s="9">
        <f t="shared" si="207"/>
        <v>13.5</v>
      </c>
      <c r="AD1107" s="9">
        <f t="shared" si="208"/>
        <v>76.5</v>
      </c>
      <c r="AE1107" s="9">
        <f t="shared" si="209"/>
        <v>32.299999999999997</v>
      </c>
      <c r="AF1107" s="9">
        <f t="shared" si="215"/>
        <v>44.2</v>
      </c>
      <c r="AG1107" s="8">
        <f t="shared" si="210"/>
        <v>2024</v>
      </c>
      <c r="AH1107" s="8">
        <f t="shared" si="211"/>
        <v>2</v>
      </c>
      <c r="AI1107" s="5" t="str">
        <f t="shared" si="212"/>
        <v>Feb</v>
      </c>
      <c r="AJ1107" s="5" t="str">
        <f t="shared" si="213"/>
        <v>Saturday</v>
      </c>
    </row>
    <row r="1108" spans="1:36" x14ac:dyDescent="0.3">
      <c r="A1108" s="5" t="s">
        <v>1142</v>
      </c>
      <c r="B1108" s="6">
        <v>45385</v>
      </c>
      <c r="C1108" s="7">
        <v>0.52083333333333337</v>
      </c>
      <c r="D1108" s="5" t="s">
        <v>1919</v>
      </c>
      <c r="E1108" s="5" t="s">
        <v>2207</v>
      </c>
      <c r="F1108" s="5" t="s">
        <v>2240</v>
      </c>
      <c r="G1108" s="5" t="s">
        <v>2246</v>
      </c>
      <c r="H1108" s="5" t="s">
        <v>2259</v>
      </c>
      <c r="I1108" s="5" t="s">
        <v>2262</v>
      </c>
      <c r="J1108" s="5" t="s">
        <v>2265</v>
      </c>
      <c r="K1108" s="8">
        <v>1</v>
      </c>
      <c r="L1108" s="9">
        <v>90</v>
      </c>
      <c r="M1108" s="10">
        <v>0.1</v>
      </c>
      <c r="N1108" s="9">
        <f t="shared" si="214"/>
        <v>90</v>
      </c>
      <c r="O1108" s="9">
        <f t="shared" si="204"/>
        <v>81</v>
      </c>
      <c r="P1108" s="5" t="s">
        <v>2267</v>
      </c>
      <c r="Q1108" s="5" t="s">
        <v>2271</v>
      </c>
      <c r="R1108" s="5" t="s">
        <v>2275</v>
      </c>
      <c r="S1108" s="5" t="s">
        <v>2280</v>
      </c>
      <c r="T1108" s="5" t="s">
        <v>2289</v>
      </c>
      <c r="U1108" s="19">
        <v>3</v>
      </c>
      <c r="V1108" s="8">
        <v>220</v>
      </c>
      <c r="W1108" s="8">
        <v>46</v>
      </c>
      <c r="X1108" s="9">
        <v>54.16</v>
      </c>
      <c r="Y1108" s="9">
        <f t="shared" si="205"/>
        <v>26.840000000000003</v>
      </c>
      <c r="Z1108" s="5" t="s">
        <v>2293</v>
      </c>
      <c r="AA1108" s="5" t="s">
        <v>1761</v>
      </c>
      <c r="AB1108" s="9">
        <f t="shared" si="206"/>
        <v>90</v>
      </c>
      <c r="AC1108" s="9">
        <f t="shared" si="207"/>
        <v>9</v>
      </c>
      <c r="AD1108" s="9">
        <f t="shared" si="208"/>
        <v>81</v>
      </c>
      <c r="AE1108" s="9">
        <f t="shared" si="209"/>
        <v>54.16</v>
      </c>
      <c r="AF1108" s="9">
        <f t="shared" si="215"/>
        <v>26.840000000000003</v>
      </c>
      <c r="AG1108" s="8">
        <f t="shared" si="210"/>
        <v>2024</v>
      </c>
      <c r="AH1108" s="8">
        <f t="shared" si="211"/>
        <v>4</v>
      </c>
      <c r="AI1108" s="5" t="str">
        <f t="shared" si="212"/>
        <v>Apr</v>
      </c>
      <c r="AJ1108" s="5" t="str">
        <f t="shared" si="213"/>
        <v>Wednesday</v>
      </c>
    </row>
    <row r="1109" spans="1:36" x14ac:dyDescent="0.3">
      <c r="A1109" s="5" t="s">
        <v>1143</v>
      </c>
      <c r="B1109" s="6">
        <v>45599</v>
      </c>
      <c r="C1109" s="7">
        <v>0.83333333333333337</v>
      </c>
      <c r="D1109" s="5" t="s">
        <v>1746</v>
      </c>
      <c r="E1109" s="5" t="s">
        <v>2212</v>
      </c>
      <c r="F1109" s="5" t="s">
        <v>2239</v>
      </c>
      <c r="G1109" s="5" t="s">
        <v>2250</v>
      </c>
      <c r="H1109" s="5" t="s">
        <v>2259</v>
      </c>
      <c r="I1109" s="5" t="s">
        <v>2262</v>
      </c>
      <c r="J1109" s="5" t="s">
        <v>2266</v>
      </c>
      <c r="K1109" s="8">
        <v>2</v>
      </c>
      <c r="L1109" s="9">
        <v>80</v>
      </c>
      <c r="M1109" s="10">
        <v>0.1</v>
      </c>
      <c r="N1109" s="9">
        <f t="shared" si="214"/>
        <v>160</v>
      </c>
      <c r="O1109" s="9">
        <f t="shared" si="204"/>
        <v>144</v>
      </c>
      <c r="P1109" s="5" t="s">
        <v>2269</v>
      </c>
      <c r="Q1109" s="5" t="s">
        <v>2270</v>
      </c>
      <c r="R1109" s="5" t="s">
        <v>2274</v>
      </c>
      <c r="S1109" s="5" t="s">
        <v>2283</v>
      </c>
      <c r="T1109" s="5" t="s">
        <v>2288</v>
      </c>
      <c r="U1109" s="8">
        <v>2</v>
      </c>
      <c r="V1109" s="8">
        <v>42</v>
      </c>
      <c r="W1109" s="8">
        <v>26</v>
      </c>
      <c r="X1109" s="9">
        <v>41.96</v>
      </c>
      <c r="Y1109" s="9">
        <f t="shared" si="205"/>
        <v>60.08</v>
      </c>
      <c r="Z1109" s="5" t="s">
        <v>1761</v>
      </c>
      <c r="AA1109" s="5" t="s">
        <v>2297</v>
      </c>
      <c r="AB1109" s="9">
        <f t="shared" si="206"/>
        <v>160</v>
      </c>
      <c r="AC1109" s="9">
        <f t="shared" si="207"/>
        <v>16</v>
      </c>
      <c r="AD1109" s="9">
        <f t="shared" si="208"/>
        <v>144</v>
      </c>
      <c r="AE1109" s="9">
        <f t="shared" si="209"/>
        <v>83.92</v>
      </c>
      <c r="AF1109" s="9">
        <f t="shared" si="215"/>
        <v>60.08</v>
      </c>
      <c r="AG1109" s="8">
        <f t="shared" si="210"/>
        <v>2024</v>
      </c>
      <c r="AH1109" s="8">
        <f t="shared" si="211"/>
        <v>11</v>
      </c>
      <c r="AI1109" s="5" t="str">
        <f t="shared" si="212"/>
        <v>Nov</v>
      </c>
      <c r="AJ1109" s="5" t="str">
        <f t="shared" si="213"/>
        <v>Sunday</v>
      </c>
    </row>
    <row r="1110" spans="1:36" x14ac:dyDescent="0.3">
      <c r="A1110" s="5" t="s">
        <v>1144</v>
      </c>
      <c r="B1110" s="18">
        <v>45468</v>
      </c>
      <c r="C1110" s="7">
        <v>0.3263888888888889</v>
      </c>
      <c r="D1110" s="5" t="s">
        <v>1761</v>
      </c>
      <c r="E1110" s="5" t="s">
        <v>2104</v>
      </c>
      <c r="F1110" s="5" t="s">
        <v>2239</v>
      </c>
      <c r="G1110" s="5" t="s">
        <v>2251</v>
      </c>
      <c r="H1110" s="5" t="s">
        <v>2258</v>
      </c>
      <c r="I1110" s="5" t="s">
        <v>2260</v>
      </c>
      <c r="J1110" s="5" t="s">
        <v>2264</v>
      </c>
      <c r="K1110" s="8">
        <v>1</v>
      </c>
      <c r="L1110" s="9">
        <v>100</v>
      </c>
      <c r="M1110" s="10">
        <v>0</v>
      </c>
      <c r="N1110" s="9">
        <f t="shared" si="214"/>
        <v>100</v>
      </c>
      <c r="O1110" s="9">
        <f t="shared" si="204"/>
        <v>100</v>
      </c>
      <c r="P1110" s="5" t="s">
        <v>2269</v>
      </c>
      <c r="Q1110" s="5" t="s">
        <v>2272</v>
      </c>
      <c r="R1110" s="5" t="s">
        <v>2277</v>
      </c>
      <c r="S1110" s="5" t="s">
        <v>2285</v>
      </c>
      <c r="T1110" s="5" t="s">
        <v>2288</v>
      </c>
      <c r="U1110" s="8">
        <v>1</v>
      </c>
      <c r="V1110" s="19">
        <v>244</v>
      </c>
      <c r="W1110" s="8">
        <v>30</v>
      </c>
      <c r="X1110" s="9">
        <v>44.24</v>
      </c>
      <c r="Y1110" s="9">
        <f t="shared" si="205"/>
        <v>55.76</v>
      </c>
      <c r="Z1110" s="5" t="s">
        <v>2293</v>
      </c>
      <c r="AA1110" s="5" t="s">
        <v>2298</v>
      </c>
      <c r="AB1110" s="9">
        <f t="shared" si="206"/>
        <v>100</v>
      </c>
      <c r="AC1110" s="9">
        <f t="shared" si="207"/>
        <v>0</v>
      </c>
      <c r="AD1110" s="9">
        <f t="shared" si="208"/>
        <v>100</v>
      </c>
      <c r="AE1110" s="9">
        <f t="shared" si="209"/>
        <v>44.24</v>
      </c>
      <c r="AF1110" s="9">
        <f t="shared" si="215"/>
        <v>55.76</v>
      </c>
      <c r="AG1110" s="8">
        <f t="shared" si="210"/>
        <v>2024</v>
      </c>
      <c r="AH1110" s="8">
        <f t="shared" si="211"/>
        <v>6</v>
      </c>
      <c r="AI1110" s="5" t="str">
        <f t="shared" si="212"/>
        <v>Jun</v>
      </c>
      <c r="AJ1110" s="5" t="str">
        <f t="shared" si="213"/>
        <v>Tuesday</v>
      </c>
    </row>
    <row r="1111" spans="1:36" x14ac:dyDescent="0.3">
      <c r="A1111" s="5" t="s">
        <v>1145</v>
      </c>
      <c r="B1111" s="6">
        <v>45414</v>
      </c>
      <c r="C1111" s="7">
        <v>0.2986111111111111</v>
      </c>
      <c r="D1111" s="5" t="s">
        <v>1928</v>
      </c>
      <c r="E1111" s="5" t="s">
        <v>2045</v>
      </c>
      <c r="F1111" s="5" t="s">
        <v>2240</v>
      </c>
      <c r="G1111" s="5" t="s">
        <v>2241</v>
      </c>
      <c r="H1111" s="5" t="s">
        <v>2257</v>
      </c>
      <c r="I1111" s="5" t="s">
        <v>2262</v>
      </c>
      <c r="J1111" s="5" t="s">
        <v>2266</v>
      </c>
      <c r="K1111" s="8">
        <v>3</v>
      </c>
      <c r="L1111" s="9">
        <v>130</v>
      </c>
      <c r="M1111" s="10">
        <v>0.05</v>
      </c>
      <c r="N1111" s="9">
        <f t="shared" si="214"/>
        <v>390</v>
      </c>
      <c r="O1111" s="9">
        <f t="shared" si="204"/>
        <v>370.5</v>
      </c>
      <c r="P1111" s="5" t="s">
        <v>1761</v>
      </c>
      <c r="Q1111" s="5" t="s">
        <v>2272</v>
      </c>
      <c r="R1111" s="5" t="s">
        <v>2275</v>
      </c>
      <c r="S1111" s="5" t="s">
        <v>2282</v>
      </c>
      <c r="T1111" s="5" t="s">
        <v>2290</v>
      </c>
      <c r="U1111" s="8">
        <v>2</v>
      </c>
      <c r="V1111" s="8">
        <v>80</v>
      </c>
      <c r="W1111" s="8">
        <v>21</v>
      </c>
      <c r="X1111" s="9">
        <v>57.47</v>
      </c>
      <c r="Y1111" s="9">
        <f t="shared" si="205"/>
        <v>198.09</v>
      </c>
      <c r="Z1111" s="5" t="s">
        <v>2292</v>
      </c>
      <c r="AA1111" s="5" t="s">
        <v>2298</v>
      </c>
      <c r="AB1111" s="9">
        <f t="shared" si="206"/>
        <v>390</v>
      </c>
      <c r="AC1111" s="9">
        <f t="shared" si="207"/>
        <v>19.5</v>
      </c>
      <c r="AD1111" s="9">
        <f t="shared" si="208"/>
        <v>370.5</v>
      </c>
      <c r="AE1111" s="9">
        <f t="shared" si="209"/>
        <v>172.41</v>
      </c>
      <c r="AF1111" s="9">
        <f t="shared" si="215"/>
        <v>198.09</v>
      </c>
      <c r="AG1111" s="8">
        <f t="shared" si="210"/>
        <v>2024</v>
      </c>
      <c r="AH1111" s="8">
        <f t="shared" si="211"/>
        <v>5</v>
      </c>
      <c r="AI1111" s="5" t="str">
        <f t="shared" si="212"/>
        <v>May</v>
      </c>
      <c r="AJ1111" s="5" t="str">
        <f t="shared" si="213"/>
        <v>Thursday</v>
      </c>
    </row>
    <row r="1112" spans="1:36" x14ac:dyDescent="0.3">
      <c r="A1112" s="5" t="s">
        <v>1146</v>
      </c>
      <c r="B1112" s="6">
        <v>45615</v>
      </c>
      <c r="C1112" s="7">
        <v>0.4375</v>
      </c>
      <c r="D1112" s="5" t="s">
        <v>1741</v>
      </c>
      <c r="E1112" s="5" t="s">
        <v>1979</v>
      </c>
      <c r="F1112" s="5" t="s">
        <v>1761</v>
      </c>
      <c r="G1112" s="5" t="s">
        <v>2246</v>
      </c>
      <c r="H1112" s="5" t="s">
        <v>2259</v>
      </c>
      <c r="I1112" s="5" t="s">
        <v>2262</v>
      </c>
      <c r="J1112" s="5" t="s">
        <v>1761</v>
      </c>
      <c r="K1112" s="8">
        <v>2</v>
      </c>
      <c r="L1112" s="9">
        <v>95</v>
      </c>
      <c r="M1112" s="10">
        <v>0.05</v>
      </c>
      <c r="N1112" s="9">
        <f t="shared" si="214"/>
        <v>190</v>
      </c>
      <c r="O1112" s="9">
        <f t="shared" si="204"/>
        <v>180.5</v>
      </c>
      <c r="P1112" s="5" t="s">
        <v>1761</v>
      </c>
      <c r="Q1112" s="5" t="s">
        <v>2270</v>
      </c>
      <c r="R1112" s="5" t="s">
        <v>2276</v>
      </c>
      <c r="S1112" s="5" t="s">
        <v>2280</v>
      </c>
      <c r="T1112" s="5" t="s">
        <v>2288</v>
      </c>
      <c r="U1112" s="8">
        <v>2</v>
      </c>
      <c r="V1112" s="8">
        <v>260</v>
      </c>
      <c r="W1112" s="8">
        <v>13</v>
      </c>
      <c r="X1112" s="9">
        <v>50.39</v>
      </c>
      <c r="Y1112" s="9">
        <f t="shared" si="205"/>
        <v>79.72</v>
      </c>
      <c r="Z1112" s="5" t="s">
        <v>2293</v>
      </c>
      <c r="AA1112" s="5" t="s">
        <v>2299</v>
      </c>
      <c r="AB1112" s="9">
        <f t="shared" si="206"/>
        <v>190</v>
      </c>
      <c r="AC1112" s="9">
        <f t="shared" si="207"/>
        <v>9.5</v>
      </c>
      <c r="AD1112" s="9">
        <f t="shared" si="208"/>
        <v>180.5</v>
      </c>
      <c r="AE1112" s="9">
        <f t="shared" si="209"/>
        <v>100.78</v>
      </c>
      <c r="AF1112" s="9">
        <f t="shared" si="215"/>
        <v>79.72</v>
      </c>
      <c r="AG1112" s="8">
        <f t="shared" si="210"/>
        <v>2024</v>
      </c>
      <c r="AH1112" s="8">
        <f t="shared" si="211"/>
        <v>11</v>
      </c>
      <c r="AI1112" s="5" t="str">
        <f t="shared" si="212"/>
        <v>Nov</v>
      </c>
      <c r="AJ1112" s="5" t="str">
        <f t="shared" si="213"/>
        <v>Tuesday</v>
      </c>
    </row>
    <row r="1113" spans="1:36" x14ac:dyDescent="0.3">
      <c r="A1113" s="5" t="s">
        <v>1147</v>
      </c>
      <c r="B1113" s="6">
        <v>45602</v>
      </c>
      <c r="C1113" s="7">
        <v>0.38541666666666669</v>
      </c>
      <c r="D1113" s="5" t="s">
        <v>1910</v>
      </c>
      <c r="E1113" s="5" t="s">
        <v>2196</v>
      </c>
      <c r="F1113" s="5" t="s">
        <v>2239</v>
      </c>
      <c r="G1113" s="5" t="s">
        <v>2249</v>
      </c>
      <c r="H1113" s="5" t="s">
        <v>2257</v>
      </c>
      <c r="I1113" s="5" t="s">
        <v>2263</v>
      </c>
      <c r="J1113" s="5" t="s">
        <v>2264</v>
      </c>
      <c r="K1113" s="8">
        <v>1</v>
      </c>
      <c r="L1113" s="9">
        <v>160</v>
      </c>
      <c r="M1113" s="10">
        <v>0.1</v>
      </c>
      <c r="N1113" s="9">
        <f t="shared" si="214"/>
        <v>160</v>
      </c>
      <c r="O1113" s="9">
        <f t="shared" si="204"/>
        <v>144</v>
      </c>
      <c r="P1113" s="5" t="s">
        <v>1761</v>
      </c>
      <c r="Q1113" s="5" t="s">
        <v>2271</v>
      </c>
      <c r="R1113" s="5" t="s">
        <v>2275</v>
      </c>
      <c r="S1113" s="5" t="s">
        <v>2286</v>
      </c>
      <c r="T1113" s="5" t="s">
        <v>2288</v>
      </c>
      <c r="U1113" s="8">
        <v>3</v>
      </c>
      <c r="V1113" s="8">
        <v>457</v>
      </c>
      <c r="W1113" s="19">
        <v>37</v>
      </c>
      <c r="X1113" s="9">
        <v>93.19</v>
      </c>
      <c r="Y1113" s="9">
        <f t="shared" si="205"/>
        <v>50.81</v>
      </c>
      <c r="Z1113" s="5" t="s">
        <v>2294</v>
      </c>
      <c r="AA1113" s="5" t="s">
        <v>2296</v>
      </c>
      <c r="AB1113" s="9">
        <f t="shared" si="206"/>
        <v>160</v>
      </c>
      <c r="AC1113" s="9">
        <f t="shared" si="207"/>
        <v>16</v>
      </c>
      <c r="AD1113" s="9">
        <f t="shared" si="208"/>
        <v>144</v>
      </c>
      <c r="AE1113" s="9">
        <f t="shared" si="209"/>
        <v>93.19</v>
      </c>
      <c r="AF1113" s="9">
        <f t="shared" si="215"/>
        <v>50.81</v>
      </c>
      <c r="AG1113" s="8">
        <f t="shared" si="210"/>
        <v>2024</v>
      </c>
      <c r="AH1113" s="8">
        <f t="shared" si="211"/>
        <v>11</v>
      </c>
      <c r="AI1113" s="5" t="str">
        <f t="shared" si="212"/>
        <v>Nov</v>
      </c>
      <c r="AJ1113" s="5" t="str">
        <f t="shared" si="213"/>
        <v>Wednesday</v>
      </c>
    </row>
    <row r="1114" spans="1:36" x14ac:dyDescent="0.3">
      <c r="A1114" s="5" t="s">
        <v>1148</v>
      </c>
      <c r="B1114" s="6">
        <v>45513</v>
      </c>
      <c r="C1114" s="7">
        <v>0.71527777777777779</v>
      </c>
      <c r="D1114" s="5" t="s">
        <v>1845</v>
      </c>
      <c r="E1114" s="5" t="s">
        <v>2149</v>
      </c>
      <c r="F1114" s="5" t="s">
        <v>2238</v>
      </c>
      <c r="G1114" s="5" t="s">
        <v>2250</v>
      </c>
      <c r="H1114" s="5" t="s">
        <v>2259</v>
      </c>
      <c r="I1114" s="5" t="s">
        <v>2262</v>
      </c>
      <c r="J1114" s="5" t="s">
        <v>2264</v>
      </c>
      <c r="K1114" s="8">
        <v>2</v>
      </c>
      <c r="L1114" s="9">
        <v>90</v>
      </c>
      <c r="M1114" s="10">
        <v>0</v>
      </c>
      <c r="N1114" s="9">
        <f t="shared" si="214"/>
        <v>180</v>
      </c>
      <c r="O1114" s="9">
        <f t="shared" si="204"/>
        <v>180</v>
      </c>
      <c r="P1114" s="5" t="s">
        <v>2267</v>
      </c>
      <c r="Q1114" s="5" t="s">
        <v>2270</v>
      </c>
      <c r="R1114" s="5" t="s">
        <v>2276</v>
      </c>
      <c r="S1114" s="5" t="s">
        <v>2286</v>
      </c>
      <c r="T1114" s="5" t="s">
        <v>2290</v>
      </c>
      <c r="U1114" s="8">
        <v>5</v>
      </c>
      <c r="V1114" s="8">
        <v>144</v>
      </c>
      <c r="W1114" s="19">
        <v>34</v>
      </c>
      <c r="X1114" s="9">
        <v>47.44</v>
      </c>
      <c r="Y1114" s="9">
        <f t="shared" si="205"/>
        <v>85.12</v>
      </c>
      <c r="Z1114" s="5" t="s">
        <v>2292</v>
      </c>
      <c r="AA1114" s="5" t="s">
        <v>2296</v>
      </c>
      <c r="AB1114" s="9">
        <f t="shared" si="206"/>
        <v>180</v>
      </c>
      <c r="AC1114" s="9">
        <f t="shared" si="207"/>
        <v>0</v>
      </c>
      <c r="AD1114" s="9">
        <f t="shared" si="208"/>
        <v>180</v>
      </c>
      <c r="AE1114" s="9">
        <f t="shared" si="209"/>
        <v>94.88</v>
      </c>
      <c r="AF1114" s="9">
        <f t="shared" si="215"/>
        <v>85.12</v>
      </c>
      <c r="AG1114" s="8">
        <f t="shared" si="210"/>
        <v>2024</v>
      </c>
      <c r="AH1114" s="8">
        <f t="shared" si="211"/>
        <v>8</v>
      </c>
      <c r="AI1114" s="5" t="str">
        <f t="shared" si="212"/>
        <v>Aug</v>
      </c>
      <c r="AJ1114" s="5" t="str">
        <f t="shared" si="213"/>
        <v>Friday</v>
      </c>
    </row>
    <row r="1115" spans="1:36" x14ac:dyDescent="0.3">
      <c r="A1115" s="5" t="s">
        <v>1149</v>
      </c>
      <c r="B1115" s="6">
        <v>45608</v>
      </c>
      <c r="C1115" s="7">
        <v>0.61458333333333337</v>
      </c>
      <c r="D1115" s="5" t="s">
        <v>1760</v>
      </c>
      <c r="E1115" s="5" t="s">
        <v>2080</v>
      </c>
      <c r="F1115" s="5" t="s">
        <v>2240</v>
      </c>
      <c r="G1115" s="5" t="s">
        <v>2249</v>
      </c>
      <c r="H1115" s="5" t="s">
        <v>2257</v>
      </c>
      <c r="I1115" s="5" t="s">
        <v>2263</v>
      </c>
      <c r="J1115" s="5" t="s">
        <v>2264</v>
      </c>
      <c r="K1115" s="8">
        <v>1</v>
      </c>
      <c r="L1115" s="9">
        <v>160</v>
      </c>
      <c r="M1115" s="10">
        <v>0.1</v>
      </c>
      <c r="N1115" s="9">
        <f t="shared" si="214"/>
        <v>160</v>
      </c>
      <c r="O1115" s="9">
        <f t="shared" si="204"/>
        <v>144</v>
      </c>
      <c r="P1115" s="5" t="s">
        <v>2267</v>
      </c>
      <c r="Q1115" s="5" t="s">
        <v>2272</v>
      </c>
      <c r="R1115" s="5" t="s">
        <v>2279</v>
      </c>
      <c r="S1115" s="5" t="s">
        <v>2285</v>
      </c>
      <c r="T1115" s="5" t="s">
        <v>2288</v>
      </c>
      <c r="U1115" s="8">
        <v>2</v>
      </c>
      <c r="V1115" s="8">
        <v>25</v>
      </c>
      <c r="W1115" s="8">
        <v>32</v>
      </c>
      <c r="X1115" s="9">
        <v>73.069999999999993</v>
      </c>
      <c r="Y1115" s="9">
        <f t="shared" si="205"/>
        <v>70.930000000000007</v>
      </c>
      <c r="Z1115" s="5" t="s">
        <v>2291</v>
      </c>
      <c r="AA1115" s="5" t="s">
        <v>2297</v>
      </c>
      <c r="AB1115" s="9">
        <f t="shared" si="206"/>
        <v>160</v>
      </c>
      <c r="AC1115" s="9">
        <f t="shared" si="207"/>
        <v>16</v>
      </c>
      <c r="AD1115" s="9">
        <f t="shared" si="208"/>
        <v>144</v>
      </c>
      <c r="AE1115" s="9">
        <f t="shared" si="209"/>
        <v>73.069999999999993</v>
      </c>
      <c r="AF1115" s="9">
        <f t="shared" si="215"/>
        <v>70.930000000000007</v>
      </c>
      <c r="AG1115" s="8">
        <f t="shared" si="210"/>
        <v>2024</v>
      </c>
      <c r="AH1115" s="8">
        <f t="shared" si="211"/>
        <v>11</v>
      </c>
      <c r="AI1115" s="5" t="str">
        <f t="shared" si="212"/>
        <v>Nov</v>
      </c>
      <c r="AJ1115" s="5" t="str">
        <f t="shared" si="213"/>
        <v>Tuesday</v>
      </c>
    </row>
    <row r="1116" spans="1:36" x14ac:dyDescent="0.3">
      <c r="A1116" s="5" t="s">
        <v>1150</v>
      </c>
      <c r="B1116" s="6">
        <v>45467</v>
      </c>
      <c r="C1116" s="7">
        <v>0.36458333333333331</v>
      </c>
      <c r="D1116" s="5" t="s">
        <v>1925</v>
      </c>
      <c r="E1116" s="5" t="s">
        <v>1994</v>
      </c>
      <c r="F1116" s="5" t="s">
        <v>2239</v>
      </c>
      <c r="G1116" s="5" t="s">
        <v>2250</v>
      </c>
      <c r="H1116" s="5" t="s">
        <v>2259</v>
      </c>
      <c r="I1116" s="5" t="s">
        <v>2262</v>
      </c>
      <c r="J1116" s="5" t="s">
        <v>2266</v>
      </c>
      <c r="K1116" s="8">
        <v>1</v>
      </c>
      <c r="L1116" s="9">
        <v>75</v>
      </c>
      <c r="M1116" s="10">
        <v>0</v>
      </c>
      <c r="N1116" s="9">
        <f t="shared" si="214"/>
        <v>75</v>
      </c>
      <c r="O1116" s="9">
        <f t="shared" si="204"/>
        <v>75</v>
      </c>
      <c r="P1116" s="5" t="s">
        <v>2269</v>
      </c>
      <c r="Q1116" s="5" t="s">
        <v>2270</v>
      </c>
      <c r="R1116" s="5" t="s">
        <v>2274</v>
      </c>
      <c r="S1116" s="5" t="s">
        <v>2287</v>
      </c>
      <c r="T1116" s="5" t="s">
        <v>2289</v>
      </c>
      <c r="U1116" s="19">
        <v>3</v>
      </c>
      <c r="V1116" s="8">
        <v>461</v>
      </c>
      <c r="W1116" s="8">
        <v>25</v>
      </c>
      <c r="X1116" s="9">
        <v>35.380000000000003</v>
      </c>
      <c r="Y1116" s="9">
        <f t="shared" si="205"/>
        <v>39.619999999999997</v>
      </c>
      <c r="Z1116" s="5" t="s">
        <v>1761</v>
      </c>
      <c r="AA1116" s="5" t="s">
        <v>2296</v>
      </c>
      <c r="AB1116" s="9">
        <f t="shared" si="206"/>
        <v>75</v>
      </c>
      <c r="AC1116" s="9">
        <f t="shared" si="207"/>
        <v>0</v>
      </c>
      <c r="AD1116" s="9">
        <f t="shared" si="208"/>
        <v>75</v>
      </c>
      <c r="AE1116" s="9">
        <f t="shared" si="209"/>
        <v>35.380000000000003</v>
      </c>
      <c r="AF1116" s="9">
        <f t="shared" si="215"/>
        <v>39.619999999999997</v>
      </c>
      <c r="AG1116" s="8">
        <f t="shared" si="210"/>
        <v>2024</v>
      </c>
      <c r="AH1116" s="8">
        <f t="shared" si="211"/>
        <v>6</v>
      </c>
      <c r="AI1116" s="5" t="str">
        <f t="shared" si="212"/>
        <v>Jun</v>
      </c>
      <c r="AJ1116" s="5" t="str">
        <f t="shared" si="213"/>
        <v>Monday</v>
      </c>
    </row>
    <row r="1117" spans="1:36" x14ac:dyDescent="0.3">
      <c r="A1117" s="5" t="s">
        <v>1151</v>
      </c>
      <c r="B1117" s="6">
        <v>45628</v>
      </c>
      <c r="C1117" s="7">
        <v>0.76388888888888884</v>
      </c>
      <c r="D1117" s="5" t="s">
        <v>1863</v>
      </c>
      <c r="E1117" s="5" t="s">
        <v>2039</v>
      </c>
      <c r="F1117" s="5" t="s">
        <v>1761</v>
      </c>
      <c r="G1117" s="5" t="s">
        <v>2247</v>
      </c>
      <c r="H1117" s="5" t="s">
        <v>2257</v>
      </c>
      <c r="I1117" s="5" t="s">
        <v>2262</v>
      </c>
      <c r="J1117" s="5" t="s">
        <v>2266</v>
      </c>
      <c r="K1117" s="8">
        <v>4</v>
      </c>
      <c r="L1117" s="9">
        <v>105</v>
      </c>
      <c r="M1117" s="10">
        <v>0.1</v>
      </c>
      <c r="N1117" s="9">
        <f t="shared" si="214"/>
        <v>420</v>
      </c>
      <c r="O1117" s="9">
        <f t="shared" si="204"/>
        <v>378</v>
      </c>
      <c r="P1117" s="5" t="s">
        <v>2267</v>
      </c>
      <c r="Q1117" s="5" t="s">
        <v>1761</v>
      </c>
      <c r="R1117" s="5" t="s">
        <v>2279</v>
      </c>
      <c r="S1117" s="5" t="s">
        <v>2283</v>
      </c>
      <c r="T1117" s="5" t="s">
        <v>2288</v>
      </c>
      <c r="U1117" s="8">
        <v>3</v>
      </c>
      <c r="V1117" s="8">
        <v>465</v>
      </c>
      <c r="W1117" s="8">
        <v>33</v>
      </c>
      <c r="X1117" s="9">
        <v>39.49</v>
      </c>
      <c r="Y1117" s="9">
        <f t="shared" si="205"/>
        <v>220.04</v>
      </c>
      <c r="Z1117" s="5" t="s">
        <v>1761</v>
      </c>
      <c r="AA1117" s="5" t="s">
        <v>2296</v>
      </c>
      <c r="AB1117" s="9">
        <f t="shared" si="206"/>
        <v>420</v>
      </c>
      <c r="AC1117" s="9">
        <f t="shared" si="207"/>
        <v>42</v>
      </c>
      <c r="AD1117" s="9">
        <f t="shared" si="208"/>
        <v>378</v>
      </c>
      <c r="AE1117" s="9">
        <f t="shared" si="209"/>
        <v>157.96</v>
      </c>
      <c r="AF1117" s="9">
        <f t="shared" si="215"/>
        <v>220.04</v>
      </c>
      <c r="AG1117" s="8">
        <f t="shared" si="210"/>
        <v>2024</v>
      </c>
      <c r="AH1117" s="8">
        <f t="shared" si="211"/>
        <v>12</v>
      </c>
      <c r="AI1117" s="5" t="str">
        <f t="shared" si="212"/>
        <v>Dec</v>
      </c>
      <c r="AJ1117" s="5" t="str">
        <f t="shared" si="213"/>
        <v>Monday</v>
      </c>
    </row>
    <row r="1118" spans="1:36" x14ac:dyDescent="0.3">
      <c r="A1118" s="5" t="s">
        <v>1152</v>
      </c>
      <c r="B1118" s="6">
        <v>45335</v>
      </c>
      <c r="C1118" s="7">
        <v>0.85416666666666663</v>
      </c>
      <c r="D1118" s="5" t="s">
        <v>1921</v>
      </c>
      <c r="E1118" s="5" t="s">
        <v>2080</v>
      </c>
      <c r="F1118" s="5" t="s">
        <v>2239</v>
      </c>
      <c r="G1118" s="5" t="s">
        <v>2249</v>
      </c>
      <c r="H1118" s="5" t="s">
        <v>2257</v>
      </c>
      <c r="I1118" s="5" t="s">
        <v>2263</v>
      </c>
      <c r="J1118" s="5" t="s">
        <v>2266</v>
      </c>
      <c r="K1118" s="8">
        <v>2</v>
      </c>
      <c r="L1118" s="9">
        <v>160</v>
      </c>
      <c r="M1118" s="10">
        <v>0.05</v>
      </c>
      <c r="N1118" s="9">
        <f t="shared" si="214"/>
        <v>320</v>
      </c>
      <c r="O1118" s="9">
        <f t="shared" si="204"/>
        <v>304</v>
      </c>
      <c r="P1118" s="5" t="s">
        <v>2268</v>
      </c>
      <c r="Q1118" s="5" t="s">
        <v>2272</v>
      </c>
      <c r="R1118" s="5" t="s">
        <v>2277</v>
      </c>
      <c r="S1118" s="5" t="s">
        <v>2281</v>
      </c>
      <c r="T1118" s="5" t="s">
        <v>2288</v>
      </c>
      <c r="U1118" s="19">
        <v>3</v>
      </c>
      <c r="V1118" s="8">
        <v>282</v>
      </c>
      <c r="W1118" s="8">
        <v>53</v>
      </c>
      <c r="X1118" s="9">
        <v>61</v>
      </c>
      <c r="Y1118" s="9">
        <f t="shared" si="205"/>
        <v>182</v>
      </c>
      <c r="Z1118" s="5" t="s">
        <v>2292</v>
      </c>
      <c r="AA1118" s="5" t="s">
        <v>2297</v>
      </c>
      <c r="AB1118" s="9">
        <f t="shared" si="206"/>
        <v>320</v>
      </c>
      <c r="AC1118" s="9">
        <f t="shared" si="207"/>
        <v>16</v>
      </c>
      <c r="AD1118" s="9">
        <f t="shared" si="208"/>
        <v>304</v>
      </c>
      <c r="AE1118" s="9">
        <f t="shared" si="209"/>
        <v>122</v>
      </c>
      <c r="AF1118" s="9">
        <f t="shared" si="215"/>
        <v>182</v>
      </c>
      <c r="AG1118" s="8">
        <f t="shared" si="210"/>
        <v>2024</v>
      </c>
      <c r="AH1118" s="8">
        <f t="shared" si="211"/>
        <v>2</v>
      </c>
      <c r="AI1118" s="5" t="str">
        <f t="shared" si="212"/>
        <v>Feb</v>
      </c>
      <c r="AJ1118" s="5" t="str">
        <f t="shared" si="213"/>
        <v>Tuesday</v>
      </c>
    </row>
    <row r="1119" spans="1:36" x14ac:dyDescent="0.3">
      <c r="A1119" s="5" t="s">
        <v>1153</v>
      </c>
      <c r="B1119" s="6">
        <v>45478</v>
      </c>
      <c r="C1119" s="7">
        <v>0.41666666666666669</v>
      </c>
      <c r="D1119" s="5" t="s">
        <v>1894</v>
      </c>
      <c r="E1119" s="5" t="s">
        <v>2103</v>
      </c>
      <c r="F1119" s="5" t="s">
        <v>2240</v>
      </c>
      <c r="G1119" s="5" t="s">
        <v>2246</v>
      </c>
      <c r="H1119" s="5" t="s">
        <v>2259</v>
      </c>
      <c r="I1119" s="5" t="s">
        <v>2262</v>
      </c>
      <c r="J1119" s="5" t="s">
        <v>2265</v>
      </c>
      <c r="K1119" s="19">
        <v>1</v>
      </c>
      <c r="L1119" s="9">
        <v>90</v>
      </c>
      <c r="M1119" s="10">
        <v>0</v>
      </c>
      <c r="N1119" s="9">
        <f t="shared" si="214"/>
        <v>90</v>
      </c>
      <c r="O1119" s="9">
        <f t="shared" si="204"/>
        <v>90</v>
      </c>
      <c r="P1119" s="5" t="s">
        <v>2268</v>
      </c>
      <c r="Q1119" s="5" t="s">
        <v>2270</v>
      </c>
      <c r="R1119" s="5" t="s">
        <v>2279</v>
      </c>
      <c r="S1119" s="5" t="s">
        <v>2287</v>
      </c>
      <c r="T1119" s="5" t="s">
        <v>2288</v>
      </c>
      <c r="U1119" s="8">
        <v>1</v>
      </c>
      <c r="V1119" s="8">
        <v>96</v>
      </c>
      <c r="W1119" s="19">
        <v>34</v>
      </c>
      <c r="X1119" s="9">
        <v>48.51</v>
      </c>
      <c r="Y1119" s="9">
        <f t="shared" si="205"/>
        <v>41.49</v>
      </c>
      <c r="Z1119" s="5" t="s">
        <v>1761</v>
      </c>
      <c r="AA1119" s="5" t="s">
        <v>2296</v>
      </c>
      <c r="AB1119" s="9">
        <f t="shared" si="206"/>
        <v>90</v>
      </c>
      <c r="AC1119" s="9">
        <f t="shared" si="207"/>
        <v>0</v>
      </c>
      <c r="AD1119" s="9">
        <f t="shared" si="208"/>
        <v>90</v>
      </c>
      <c r="AE1119" s="9">
        <f t="shared" si="209"/>
        <v>48.51</v>
      </c>
      <c r="AF1119" s="9">
        <f t="shared" si="215"/>
        <v>41.49</v>
      </c>
      <c r="AG1119" s="8">
        <f t="shared" si="210"/>
        <v>2024</v>
      </c>
      <c r="AH1119" s="8">
        <f t="shared" si="211"/>
        <v>7</v>
      </c>
      <c r="AI1119" s="5" t="str">
        <f t="shared" si="212"/>
        <v>Jul</v>
      </c>
      <c r="AJ1119" s="5" t="str">
        <f t="shared" si="213"/>
        <v>Friday</v>
      </c>
    </row>
    <row r="1120" spans="1:36" x14ac:dyDescent="0.3">
      <c r="A1120" s="5" t="s">
        <v>1154</v>
      </c>
      <c r="B1120" s="6">
        <v>45549</v>
      </c>
      <c r="C1120" s="7">
        <v>0.51388888888888884</v>
      </c>
      <c r="D1120" s="5" t="s">
        <v>1917</v>
      </c>
      <c r="E1120" s="5" t="s">
        <v>2122</v>
      </c>
      <c r="F1120" s="5" t="s">
        <v>2240</v>
      </c>
      <c r="G1120" s="5" t="s">
        <v>2245</v>
      </c>
      <c r="H1120" s="5" t="s">
        <v>2257</v>
      </c>
      <c r="I1120" s="5" t="s">
        <v>2263</v>
      </c>
      <c r="J1120" s="5" t="s">
        <v>2266</v>
      </c>
      <c r="K1120" s="8">
        <v>1</v>
      </c>
      <c r="L1120" s="9">
        <v>155</v>
      </c>
      <c r="M1120" s="10">
        <v>0.1</v>
      </c>
      <c r="N1120" s="9">
        <f t="shared" si="214"/>
        <v>155</v>
      </c>
      <c r="O1120" s="9">
        <f t="shared" si="204"/>
        <v>139.5</v>
      </c>
      <c r="P1120" s="5" t="s">
        <v>2269</v>
      </c>
      <c r="Q1120" s="5" t="s">
        <v>2270</v>
      </c>
      <c r="R1120" s="5" t="s">
        <v>2278</v>
      </c>
      <c r="S1120" s="5" t="s">
        <v>2286</v>
      </c>
      <c r="T1120" s="5" t="s">
        <v>2288</v>
      </c>
      <c r="U1120" s="8">
        <v>1</v>
      </c>
      <c r="V1120" s="8">
        <v>290</v>
      </c>
      <c r="W1120" s="8">
        <v>16</v>
      </c>
      <c r="X1120" s="9">
        <v>63.43</v>
      </c>
      <c r="Y1120" s="9">
        <f t="shared" si="205"/>
        <v>76.069999999999993</v>
      </c>
      <c r="Z1120" s="5" t="s">
        <v>2293</v>
      </c>
      <c r="AA1120" s="5" t="s">
        <v>2296</v>
      </c>
      <c r="AB1120" s="9">
        <f t="shared" si="206"/>
        <v>155</v>
      </c>
      <c r="AC1120" s="9">
        <f t="shared" si="207"/>
        <v>15.5</v>
      </c>
      <c r="AD1120" s="9">
        <f t="shared" si="208"/>
        <v>139.5</v>
      </c>
      <c r="AE1120" s="9">
        <f t="shared" si="209"/>
        <v>63.43</v>
      </c>
      <c r="AF1120" s="9">
        <f t="shared" si="215"/>
        <v>76.069999999999993</v>
      </c>
      <c r="AG1120" s="8">
        <f t="shared" si="210"/>
        <v>2024</v>
      </c>
      <c r="AH1120" s="8">
        <f t="shared" si="211"/>
        <v>9</v>
      </c>
      <c r="AI1120" s="5" t="str">
        <f t="shared" si="212"/>
        <v>Sep</v>
      </c>
      <c r="AJ1120" s="5" t="str">
        <f t="shared" si="213"/>
        <v>Saturday</v>
      </c>
    </row>
    <row r="1121" spans="1:36" x14ac:dyDescent="0.3">
      <c r="A1121" s="5" t="s">
        <v>1155</v>
      </c>
      <c r="B1121" s="6">
        <v>45470</v>
      </c>
      <c r="C1121" s="7">
        <v>0.75</v>
      </c>
      <c r="D1121" s="5" t="s">
        <v>1786</v>
      </c>
      <c r="E1121" s="5" t="s">
        <v>1973</v>
      </c>
      <c r="F1121" s="5" t="s">
        <v>2239</v>
      </c>
      <c r="G1121" s="5" t="s">
        <v>2255</v>
      </c>
      <c r="H1121" s="5" t="s">
        <v>2260</v>
      </c>
      <c r="I1121" s="5" t="s">
        <v>2260</v>
      </c>
      <c r="J1121" s="5" t="s">
        <v>2265</v>
      </c>
      <c r="K1121" s="8">
        <v>4</v>
      </c>
      <c r="L1121" s="9">
        <v>175</v>
      </c>
      <c r="M1121" s="10">
        <v>0</v>
      </c>
      <c r="N1121" s="9">
        <f t="shared" si="214"/>
        <v>700</v>
      </c>
      <c r="O1121" s="9">
        <f t="shared" si="204"/>
        <v>700</v>
      </c>
      <c r="P1121" s="5" t="s">
        <v>2267</v>
      </c>
      <c r="Q1121" s="5" t="s">
        <v>2272</v>
      </c>
      <c r="R1121" s="5" t="s">
        <v>2276</v>
      </c>
      <c r="S1121" s="5" t="s">
        <v>2286</v>
      </c>
      <c r="T1121" s="5" t="s">
        <v>2288</v>
      </c>
      <c r="U1121" s="8">
        <v>5</v>
      </c>
      <c r="V1121" s="19">
        <v>244</v>
      </c>
      <c r="W1121" s="8">
        <v>56</v>
      </c>
      <c r="X1121" s="9">
        <v>76.23</v>
      </c>
      <c r="Y1121" s="9">
        <f t="shared" si="205"/>
        <v>395.08</v>
      </c>
      <c r="Z1121" s="5" t="s">
        <v>2291</v>
      </c>
      <c r="AA1121" s="5" t="s">
        <v>2298</v>
      </c>
      <c r="AB1121" s="9">
        <f t="shared" si="206"/>
        <v>700</v>
      </c>
      <c r="AC1121" s="9">
        <f t="shared" si="207"/>
        <v>0</v>
      </c>
      <c r="AD1121" s="9">
        <f t="shared" si="208"/>
        <v>700</v>
      </c>
      <c r="AE1121" s="9">
        <f t="shared" si="209"/>
        <v>304.92</v>
      </c>
      <c r="AF1121" s="9">
        <f t="shared" si="215"/>
        <v>395.08</v>
      </c>
      <c r="AG1121" s="8">
        <f t="shared" si="210"/>
        <v>2024</v>
      </c>
      <c r="AH1121" s="8">
        <f t="shared" si="211"/>
        <v>6</v>
      </c>
      <c r="AI1121" s="5" t="str">
        <f t="shared" si="212"/>
        <v>Jun</v>
      </c>
      <c r="AJ1121" s="5" t="str">
        <f t="shared" si="213"/>
        <v>Thursday</v>
      </c>
    </row>
    <row r="1122" spans="1:36" x14ac:dyDescent="0.3">
      <c r="A1122" s="5" t="s">
        <v>1156</v>
      </c>
      <c r="B1122" s="6">
        <v>45611</v>
      </c>
      <c r="C1122" s="7">
        <v>0.76388888888888884</v>
      </c>
      <c r="D1122" s="5" t="s">
        <v>1793</v>
      </c>
      <c r="E1122" s="5" t="s">
        <v>1942</v>
      </c>
      <c r="F1122" s="5" t="s">
        <v>2238</v>
      </c>
      <c r="G1122" s="5" t="s">
        <v>2254</v>
      </c>
      <c r="H1122" s="5" t="s">
        <v>2259</v>
      </c>
      <c r="I1122" s="5" t="s">
        <v>2263</v>
      </c>
      <c r="J1122" s="5" t="s">
        <v>2264</v>
      </c>
      <c r="K1122" s="8">
        <v>1</v>
      </c>
      <c r="L1122" s="9">
        <v>110</v>
      </c>
      <c r="M1122" s="10">
        <v>0</v>
      </c>
      <c r="N1122" s="9">
        <f t="shared" si="214"/>
        <v>110</v>
      </c>
      <c r="O1122" s="9">
        <f t="shared" si="204"/>
        <v>110</v>
      </c>
      <c r="P1122" s="5" t="s">
        <v>2269</v>
      </c>
      <c r="Q1122" s="5" t="s">
        <v>2272</v>
      </c>
      <c r="R1122" s="5" t="s">
        <v>2273</v>
      </c>
      <c r="S1122" s="5" t="s">
        <v>2284</v>
      </c>
      <c r="T1122" s="5" t="s">
        <v>2288</v>
      </c>
      <c r="U1122" s="19">
        <v>3</v>
      </c>
      <c r="V1122" s="19">
        <v>244</v>
      </c>
      <c r="W1122" s="8">
        <v>34</v>
      </c>
      <c r="X1122" s="9">
        <v>47.04</v>
      </c>
      <c r="Y1122" s="9">
        <f t="shared" si="205"/>
        <v>62.96</v>
      </c>
      <c r="Z1122" s="5" t="s">
        <v>2294</v>
      </c>
      <c r="AA1122" s="5" t="s">
        <v>2298</v>
      </c>
      <c r="AB1122" s="9">
        <f t="shared" si="206"/>
        <v>110</v>
      </c>
      <c r="AC1122" s="9">
        <f t="shared" si="207"/>
        <v>0</v>
      </c>
      <c r="AD1122" s="9">
        <f t="shared" si="208"/>
        <v>110</v>
      </c>
      <c r="AE1122" s="9">
        <f t="shared" si="209"/>
        <v>47.04</v>
      </c>
      <c r="AF1122" s="9">
        <f t="shared" si="215"/>
        <v>62.96</v>
      </c>
      <c r="AG1122" s="8">
        <f t="shared" si="210"/>
        <v>2024</v>
      </c>
      <c r="AH1122" s="8">
        <f t="shared" si="211"/>
        <v>11</v>
      </c>
      <c r="AI1122" s="5" t="str">
        <f t="shared" si="212"/>
        <v>Nov</v>
      </c>
      <c r="AJ1122" s="5" t="str">
        <f t="shared" si="213"/>
        <v>Friday</v>
      </c>
    </row>
    <row r="1123" spans="1:36" x14ac:dyDescent="0.3">
      <c r="A1123" s="5" t="s">
        <v>1157</v>
      </c>
      <c r="B1123" s="6">
        <v>45470</v>
      </c>
      <c r="C1123" s="7">
        <v>0.55208333333333337</v>
      </c>
      <c r="D1123" s="5" t="s">
        <v>1804</v>
      </c>
      <c r="E1123" s="5" t="s">
        <v>2232</v>
      </c>
      <c r="F1123" s="5" t="s">
        <v>2240</v>
      </c>
      <c r="G1123" s="5" t="s">
        <v>2243</v>
      </c>
      <c r="H1123" s="5" t="s">
        <v>2258</v>
      </c>
      <c r="I1123" s="5" t="s">
        <v>2260</v>
      </c>
      <c r="J1123" s="5" t="s">
        <v>2265</v>
      </c>
      <c r="K1123" s="8">
        <v>3</v>
      </c>
      <c r="L1123" s="9">
        <v>70</v>
      </c>
      <c r="M1123" s="10">
        <v>0.1</v>
      </c>
      <c r="N1123" s="9">
        <f t="shared" si="214"/>
        <v>210</v>
      </c>
      <c r="O1123" s="9">
        <f t="shared" si="204"/>
        <v>189</v>
      </c>
      <c r="P1123" s="5" t="s">
        <v>2269</v>
      </c>
      <c r="Q1123" s="5" t="s">
        <v>1761</v>
      </c>
      <c r="R1123" s="5" t="s">
        <v>2279</v>
      </c>
      <c r="S1123" s="5" t="s">
        <v>2283</v>
      </c>
      <c r="T1123" s="5" t="s">
        <v>2289</v>
      </c>
      <c r="U1123" s="8">
        <v>1</v>
      </c>
      <c r="V1123" s="8">
        <v>484</v>
      </c>
      <c r="W1123" s="8">
        <v>28</v>
      </c>
      <c r="X1123" s="9">
        <v>32.619999999999997</v>
      </c>
      <c r="Y1123" s="9">
        <f t="shared" si="205"/>
        <v>91.140000000000015</v>
      </c>
      <c r="Z1123" s="5" t="s">
        <v>2292</v>
      </c>
      <c r="AA1123" s="5" t="s">
        <v>2299</v>
      </c>
      <c r="AB1123" s="9">
        <f t="shared" si="206"/>
        <v>210</v>
      </c>
      <c r="AC1123" s="9">
        <f t="shared" si="207"/>
        <v>21</v>
      </c>
      <c r="AD1123" s="9">
        <f t="shared" si="208"/>
        <v>189</v>
      </c>
      <c r="AE1123" s="9">
        <f t="shared" si="209"/>
        <v>97.859999999999985</v>
      </c>
      <c r="AF1123" s="9">
        <f t="shared" si="215"/>
        <v>91.140000000000015</v>
      </c>
      <c r="AG1123" s="8">
        <f t="shared" si="210"/>
        <v>2024</v>
      </c>
      <c r="AH1123" s="8">
        <f t="shared" si="211"/>
        <v>6</v>
      </c>
      <c r="AI1123" s="5" t="str">
        <f t="shared" si="212"/>
        <v>Jun</v>
      </c>
      <c r="AJ1123" s="5" t="str">
        <f t="shared" si="213"/>
        <v>Thursday</v>
      </c>
    </row>
    <row r="1124" spans="1:36" x14ac:dyDescent="0.3">
      <c r="A1124" s="5" t="s">
        <v>1158</v>
      </c>
      <c r="B1124" s="6">
        <v>45385</v>
      </c>
      <c r="C1124" s="7">
        <v>0.53125</v>
      </c>
      <c r="D1124" s="5" t="s">
        <v>1761</v>
      </c>
      <c r="E1124" s="5" t="s">
        <v>2070</v>
      </c>
      <c r="F1124" s="5" t="s">
        <v>2239</v>
      </c>
      <c r="G1124" s="5" t="s">
        <v>2244</v>
      </c>
      <c r="H1124" s="5" t="s">
        <v>2257</v>
      </c>
      <c r="I1124" s="5" t="s">
        <v>2262</v>
      </c>
      <c r="J1124" s="5" t="s">
        <v>2266</v>
      </c>
      <c r="K1124" s="8">
        <v>1</v>
      </c>
      <c r="L1124" s="9">
        <v>120</v>
      </c>
      <c r="M1124" s="10">
        <v>0</v>
      </c>
      <c r="N1124" s="9">
        <f t="shared" si="214"/>
        <v>120</v>
      </c>
      <c r="O1124" s="9">
        <f t="shared" si="204"/>
        <v>120</v>
      </c>
      <c r="P1124" s="5" t="s">
        <v>2267</v>
      </c>
      <c r="Q1124" s="5" t="s">
        <v>2271</v>
      </c>
      <c r="R1124" s="5" t="s">
        <v>2274</v>
      </c>
      <c r="S1124" s="5" t="s">
        <v>2287</v>
      </c>
      <c r="T1124" s="5" t="s">
        <v>2288</v>
      </c>
      <c r="U1124" s="8">
        <v>2</v>
      </c>
      <c r="V1124" s="8">
        <v>398</v>
      </c>
      <c r="W1124" s="19">
        <v>37</v>
      </c>
      <c r="X1124" s="9">
        <v>53.34</v>
      </c>
      <c r="Y1124" s="9">
        <f t="shared" si="205"/>
        <v>66.66</v>
      </c>
      <c r="Z1124" s="5" t="s">
        <v>2291</v>
      </c>
      <c r="AA1124" s="5" t="s">
        <v>2297</v>
      </c>
      <c r="AB1124" s="9">
        <f t="shared" si="206"/>
        <v>120</v>
      </c>
      <c r="AC1124" s="9">
        <f t="shared" si="207"/>
        <v>0</v>
      </c>
      <c r="AD1124" s="9">
        <f t="shared" si="208"/>
        <v>120</v>
      </c>
      <c r="AE1124" s="9">
        <f t="shared" si="209"/>
        <v>53.34</v>
      </c>
      <c r="AF1124" s="9">
        <f t="shared" si="215"/>
        <v>66.66</v>
      </c>
      <c r="AG1124" s="8">
        <f t="shared" si="210"/>
        <v>2024</v>
      </c>
      <c r="AH1124" s="8">
        <f t="shared" si="211"/>
        <v>4</v>
      </c>
      <c r="AI1124" s="5" t="str">
        <f t="shared" si="212"/>
        <v>Apr</v>
      </c>
      <c r="AJ1124" s="5" t="str">
        <f t="shared" si="213"/>
        <v>Wednesday</v>
      </c>
    </row>
    <row r="1125" spans="1:36" x14ac:dyDescent="0.3">
      <c r="A1125" s="5" t="s">
        <v>1159</v>
      </c>
      <c r="B1125" s="6">
        <v>45461</v>
      </c>
      <c r="C1125" s="7">
        <v>0.58333333333333337</v>
      </c>
      <c r="D1125" s="5" t="s">
        <v>1770</v>
      </c>
      <c r="E1125" s="5" t="s">
        <v>1952</v>
      </c>
      <c r="F1125" s="5" t="s">
        <v>2238</v>
      </c>
      <c r="G1125" s="5" t="s">
        <v>2247</v>
      </c>
      <c r="H1125" s="5" t="s">
        <v>2257</v>
      </c>
      <c r="I1125" s="5" t="s">
        <v>2262</v>
      </c>
      <c r="J1125" s="5" t="s">
        <v>2266</v>
      </c>
      <c r="K1125" s="8">
        <v>1</v>
      </c>
      <c r="L1125" s="9">
        <v>100</v>
      </c>
      <c r="M1125" s="10">
        <v>0.05</v>
      </c>
      <c r="N1125" s="9">
        <f t="shared" si="214"/>
        <v>100</v>
      </c>
      <c r="O1125" s="9">
        <f t="shared" si="204"/>
        <v>95</v>
      </c>
      <c r="P1125" s="5" t="s">
        <v>2269</v>
      </c>
      <c r="Q1125" s="5" t="s">
        <v>2270</v>
      </c>
      <c r="R1125" s="5" t="s">
        <v>2278</v>
      </c>
      <c r="S1125" s="5" t="s">
        <v>2286</v>
      </c>
      <c r="T1125" s="5" t="s">
        <v>2289</v>
      </c>
      <c r="U1125" s="8">
        <v>1</v>
      </c>
      <c r="V1125" s="8">
        <v>337</v>
      </c>
      <c r="W1125" s="19">
        <v>34</v>
      </c>
      <c r="X1125" s="9">
        <v>41.08</v>
      </c>
      <c r="Y1125" s="9">
        <f t="shared" si="205"/>
        <v>53.92</v>
      </c>
      <c r="Z1125" s="5" t="s">
        <v>2293</v>
      </c>
      <c r="AA1125" s="5" t="s">
        <v>2296</v>
      </c>
      <c r="AB1125" s="9">
        <f t="shared" si="206"/>
        <v>100</v>
      </c>
      <c r="AC1125" s="9">
        <f t="shared" si="207"/>
        <v>5</v>
      </c>
      <c r="AD1125" s="9">
        <f t="shared" si="208"/>
        <v>95</v>
      </c>
      <c r="AE1125" s="9">
        <f t="shared" si="209"/>
        <v>41.08</v>
      </c>
      <c r="AF1125" s="9">
        <f t="shared" si="215"/>
        <v>53.92</v>
      </c>
      <c r="AG1125" s="8">
        <f t="shared" si="210"/>
        <v>2024</v>
      </c>
      <c r="AH1125" s="8">
        <f t="shared" si="211"/>
        <v>6</v>
      </c>
      <c r="AI1125" s="5" t="str">
        <f t="shared" si="212"/>
        <v>Jun</v>
      </c>
      <c r="AJ1125" s="5" t="str">
        <f t="shared" si="213"/>
        <v>Tuesday</v>
      </c>
    </row>
    <row r="1126" spans="1:36" x14ac:dyDescent="0.3">
      <c r="A1126" s="5" t="s">
        <v>1160</v>
      </c>
      <c r="B1126" s="6">
        <v>45505</v>
      </c>
      <c r="C1126" s="7">
        <v>0.83333333333333337</v>
      </c>
      <c r="D1126" s="5" t="s">
        <v>1752</v>
      </c>
      <c r="E1126" s="5" t="s">
        <v>2149</v>
      </c>
      <c r="F1126" s="5" t="s">
        <v>2239</v>
      </c>
      <c r="G1126" s="5" t="s">
        <v>2243</v>
      </c>
      <c r="H1126" s="5" t="s">
        <v>2258</v>
      </c>
      <c r="I1126" s="5" t="s">
        <v>2260</v>
      </c>
      <c r="J1126" s="5" t="s">
        <v>1761</v>
      </c>
      <c r="K1126" s="8">
        <v>1</v>
      </c>
      <c r="L1126" s="9">
        <v>65</v>
      </c>
      <c r="M1126" s="10">
        <v>0.05</v>
      </c>
      <c r="N1126" s="9">
        <f t="shared" si="214"/>
        <v>65</v>
      </c>
      <c r="O1126" s="9">
        <f t="shared" si="204"/>
        <v>61.75</v>
      </c>
      <c r="P1126" s="5" t="s">
        <v>2269</v>
      </c>
      <c r="Q1126" s="5" t="s">
        <v>1761</v>
      </c>
      <c r="R1126" s="5" t="s">
        <v>2279</v>
      </c>
      <c r="S1126" s="5" t="s">
        <v>2286</v>
      </c>
      <c r="T1126" s="5" t="s">
        <v>2288</v>
      </c>
      <c r="U1126" s="8">
        <v>5</v>
      </c>
      <c r="V1126" s="8">
        <v>187</v>
      </c>
      <c r="W1126" s="19">
        <v>36</v>
      </c>
      <c r="X1126" s="9">
        <v>41.75</v>
      </c>
      <c r="Y1126" s="9">
        <f t="shared" si="205"/>
        <v>20</v>
      </c>
      <c r="Z1126" s="5" t="s">
        <v>2292</v>
      </c>
      <c r="AA1126" s="5" t="s">
        <v>2298</v>
      </c>
      <c r="AB1126" s="9">
        <f t="shared" si="206"/>
        <v>65</v>
      </c>
      <c r="AC1126" s="9">
        <f t="shared" si="207"/>
        <v>3.25</v>
      </c>
      <c r="AD1126" s="9">
        <f t="shared" si="208"/>
        <v>61.75</v>
      </c>
      <c r="AE1126" s="9">
        <f t="shared" si="209"/>
        <v>41.75</v>
      </c>
      <c r="AF1126" s="9">
        <f t="shared" si="215"/>
        <v>20</v>
      </c>
      <c r="AG1126" s="8">
        <f t="shared" si="210"/>
        <v>2024</v>
      </c>
      <c r="AH1126" s="8">
        <f t="shared" si="211"/>
        <v>8</v>
      </c>
      <c r="AI1126" s="5" t="str">
        <f t="shared" si="212"/>
        <v>Aug</v>
      </c>
      <c r="AJ1126" s="5" t="str">
        <f t="shared" si="213"/>
        <v>Thursday</v>
      </c>
    </row>
    <row r="1127" spans="1:36" x14ac:dyDescent="0.3">
      <c r="A1127" s="5" t="s">
        <v>1161</v>
      </c>
      <c r="B1127" s="6">
        <v>45647</v>
      </c>
      <c r="C1127" s="7">
        <v>0.88194444444444442</v>
      </c>
      <c r="D1127" s="5" t="s">
        <v>1868</v>
      </c>
      <c r="E1127" s="5" t="s">
        <v>1963</v>
      </c>
      <c r="F1127" s="5" t="s">
        <v>2240</v>
      </c>
      <c r="G1127" s="5" t="s">
        <v>2254</v>
      </c>
      <c r="H1127" s="5" t="s">
        <v>2259</v>
      </c>
      <c r="I1127" s="5" t="s">
        <v>2263</v>
      </c>
      <c r="J1127" s="5" t="s">
        <v>2264</v>
      </c>
      <c r="K1127" s="8">
        <v>1</v>
      </c>
      <c r="L1127" s="9">
        <v>120</v>
      </c>
      <c r="M1127" s="10">
        <v>0</v>
      </c>
      <c r="N1127" s="9">
        <f t="shared" si="214"/>
        <v>120</v>
      </c>
      <c r="O1127" s="9">
        <f t="shared" si="204"/>
        <v>120</v>
      </c>
      <c r="P1127" s="5" t="s">
        <v>2269</v>
      </c>
      <c r="Q1127" s="5" t="s">
        <v>2272</v>
      </c>
      <c r="R1127" s="5" t="s">
        <v>2276</v>
      </c>
      <c r="S1127" s="5" t="s">
        <v>2285</v>
      </c>
      <c r="T1127" s="5" t="s">
        <v>2289</v>
      </c>
      <c r="U1127" s="19">
        <v>3</v>
      </c>
      <c r="V1127" s="8">
        <v>309</v>
      </c>
      <c r="W1127" s="8">
        <v>52</v>
      </c>
      <c r="X1127" s="9">
        <v>55.53</v>
      </c>
      <c r="Y1127" s="9">
        <f t="shared" si="205"/>
        <v>64.47</v>
      </c>
      <c r="Z1127" s="5" t="s">
        <v>2293</v>
      </c>
      <c r="AA1127" s="5" t="s">
        <v>2299</v>
      </c>
      <c r="AB1127" s="9">
        <f t="shared" si="206"/>
        <v>120</v>
      </c>
      <c r="AC1127" s="9">
        <f t="shared" si="207"/>
        <v>0</v>
      </c>
      <c r="AD1127" s="9">
        <f t="shared" si="208"/>
        <v>120</v>
      </c>
      <c r="AE1127" s="9">
        <f t="shared" si="209"/>
        <v>55.53</v>
      </c>
      <c r="AF1127" s="9">
        <f t="shared" si="215"/>
        <v>64.47</v>
      </c>
      <c r="AG1127" s="8">
        <f t="shared" si="210"/>
        <v>2024</v>
      </c>
      <c r="AH1127" s="8">
        <f t="shared" si="211"/>
        <v>12</v>
      </c>
      <c r="AI1127" s="5" t="str">
        <f t="shared" si="212"/>
        <v>Dec</v>
      </c>
      <c r="AJ1127" s="5" t="str">
        <f t="shared" si="213"/>
        <v>Saturday</v>
      </c>
    </row>
    <row r="1128" spans="1:36" x14ac:dyDescent="0.3">
      <c r="A1128" s="5" t="s">
        <v>1162</v>
      </c>
      <c r="B1128" s="6">
        <v>45366</v>
      </c>
      <c r="C1128" s="7">
        <v>0.60416666666666663</v>
      </c>
      <c r="D1128" s="5" t="s">
        <v>1810</v>
      </c>
      <c r="E1128" s="5" t="s">
        <v>2229</v>
      </c>
      <c r="F1128" s="5" t="s">
        <v>2238</v>
      </c>
      <c r="G1128" s="5" t="s">
        <v>2245</v>
      </c>
      <c r="H1128" s="5" t="s">
        <v>2257</v>
      </c>
      <c r="I1128" s="5" t="s">
        <v>2263</v>
      </c>
      <c r="J1128" s="5" t="s">
        <v>2265</v>
      </c>
      <c r="K1128" s="8">
        <v>1</v>
      </c>
      <c r="L1128" s="9">
        <v>145</v>
      </c>
      <c r="M1128" s="10">
        <v>0.1</v>
      </c>
      <c r="N1128" s="9">
        <f t="shared" si="214"/>
        <v>145</v>
      </c>
      <c r="O1128" s="9">
        <f t="shared" si="204"/>
        <v>130.5</v>
      </c>
      <c r="P1128" s="5" t="s">
        <v>2269</v>
      </c>
      <c r="Q1128" s="5" t="s">
        <v>1761</v>
      </c>
      <c r="R1128" s="5" t="s">
        <v>2275</v>
      </c>
      <c r="S1128" s="5" t="s">
        <v>2283</v>
      </c>
      <c r="T1128" s="5" t="s">
        <v>2288</v>
      </c>
      <c r="U1128" s="8">
        <v>2</v>
      </c>
      <c r="V1128" s="8">
        <v>119</v>
      </c>
      <c r="W1128" s="8">
        <v>50</v>
      </c>
      <c r="X1128" s="9">
        <v>81.66</v>
      </c>
      <c r="Y1128" s="9">
        <f t="shared" si="205"/>
        <v>48.84</v>
      </c>
      <c r="Z1128" s="5" t="s">
        <v>2293</v>
      </c>
      <c r="AA1128" s="5" t="s">
        <v>2296</v>
      </c>
      <c r="AB1128" s="9">
        <f t="shared" si="206"/>
        <v>145</v>
      </c>
      <c r="AC1128" s="9">
        <f t="shared" si="207"/>
        <v>14.5</v>
      </c>
      <c r="AD1128" s="9">
        <f t="shared" si="208"/>
        <v>130.5</v>
      </c>
      <c r="AE1128" s="9">
        <f t="shared" si="209"/>
        <v>81.66</v>
      </c>
      <c r="AF1128" s="9">
        <f t="shared" si="215"/>
        <v>48.84</v>
      </c>
      <c r="AG1128" s="8">
        <f t="shared" si="210"/>
        <v>2024</v>
      </c>
      <c r="AH1128" s="8">
        <f t="shared" si="211"/>
        <v>3</v>
      </c>
      <c r="AI1128" s="5" t="str">
        <f t="shared" si="212"/>
        <v>Mar</v>
      </c>
      <c r="AJ1128" s="5" t="str">
        <f t="shared" si="213"/>
        <v>Friday</v>
      </c>
    </row>
    <row r="1129" spans="1:36" x14ac:dyDescent="0.3">
      <c r="A1129" s="5" t="s">
        <v>1163</v>
      </c>
      <c r="B1129" s="6">
        <v>45444</v>
      </c>
      <c r="C1129" s="7">
        <v>0.78472222222222221</v>
      </c>
      <c r="D1129" s="5" t="s">
        <v>1769</v>
      </c>
      <c r="E1129" s="5" t="s">
        <v>1948</v>
      </c>
      <c r="F1129" s="5" t="s">
        <v>2240</v>
      </c>
      <c r="G1129" s="5" t="s">
        <v>2251</v>
      </c>
      <c r="H1129" s="5" t="s">
        <v>2258</v>
      </c>
      <c r="I1129" s="5" t="s">
        <v>2260</v>
      </c>
      <c r="J1129" s="5" t="s">
        <v>2264</v>
      </c>
      <c r="K1129" s="8">
        <v>5</v>
      </c>
      <c r="L1129" s="9">
        <v>105</v>
      </c>
      <c r="M1129" s="10">
        <v>0.1</v>
      </c>
      <c r="N1129" s="9">
        <f t="shared" si="214"/>
        <v>525</v>
      </c>
      <c r="O1129" s="9">
        <f t="shared" si="204"/>
        <v>472.5</v>
      </c>
      <c r="P1129" s="5" t="s">
        <v>2269</v>
      </c>
      <c r="Q1129" s="5" t="s">
        <v>1761</v>
      </c>
      <c r="R1129" s="5" t="s">
        <v>2277</v>
      </c>
      <c r="S1129" s="5" t="s">
        <v>2284</v>
      </c>
      <c r="T1129" s="5" t="s">
        <v>2288</v>
      </c>
      <c r="U1129" s="8">
        <v>4</v>
      </c>
      <c r="V1129" s="8">
        <v>116</v>
      </c>
      <c r="W1129" s="19">
        <v>36</v>
      </c>
      <c r="X1129" s="9">
        <v>51.69</v>
      </c>
      <c r="Y1129" s="9">
        <f t="shared" si="205"/>
        <v>214.05</v>
      </c>
      <c r="Z1129" s="5" t="s">
        <v>2294</v>
      </c>
      <c r="AA1129" s="5" t="s">
        <v>2299</v>
      </c>
      <c r="AB1129" s="9">
        <f t="shared" si="206"/>
        <v>525</v>
      </c>
      <c r="AC1129" s="9">
        <f t="shared" si="207"/>
        <v>52.5</v>
      </c>
      <c r="AD1129" s="9">
        <f t="shared" si="208"/>
        <v>472.5</v>
      </c>
      <c r="AE1129" s="9">
        <f t="shared" si="209"/>
        <v>258.45</v>
      </c>
      <c r="AF1129" s="9">
        <f t="shared" si="215"/>
        <v>214.05</v>
      </c>
      <c r="AG1129" s="8">
        <f t="shared" si="210"/>
        <v>2024</v>
      </c>
      <c r="AH1129" s="8">
        <f t="shared" si="211"/>
        <v>6</v>
      </c>
      <c r="AI1129" s="5" t="str">
        <f t="shared" si="212"/>
        <v>Jun</v>
      </c>
      <c r="AJ1129" s="5" t="str">
        <f t="shared" si="213"/>
        <v>Saturday</v>
      </c>
    </row>
    <row r="1130" spans="1:36" x14ac:dyDescent="0.3">
      <c r="A1130" s="5" t="s">
        <v>1164</v>
      </c>
      <c r="B1130" s="6">
        <v>45350</v>
      </c>
      <c r="C1130" s="7">
        <v>0.4236111111111111</v>
      </c>
      <c r="D1130" s="5" t="s">
        <v>1750</v>
      </c>
      <c r="E1130" s="5" t="s">
        <v>2013</v>
      </c>
      <c r="F1130" s="5" t="s">
        <v>1761</v>
      </c>
      <c r="G1130" s="5" t="s">
        <v>2247</v>
      </c>
      <c r="H1130" s="5" t="s">
        <v>2257</v>
      </c>
      <c r="I1130" s="5" t="s">
        <v>2262</v>
      </c>
      <c r="J1130" s="5" t="s">
        <v>2264</v>
      </c>
      <c r="K1130" s="8">
        <v>1</v>
      </c>
      <c r="L1130" s="9">
        <v>100</v>
      </c>
      <c r="M1130" s="10">
        <v>0</v>
      </c>
      <c r="N1130" s="9">
        <f t="shared" si="214"/>
        <v>100</v>
      </c>
      <c r="O1130" s="9">
        <f t="shared" si="204"/>
        <v>100</v>
      </c>
      <c r="P1130" s="5" t="s">
        <v>2267</v>
      </c>
      <c r="Q1130" s="5" t="s">
        <v>2270</v>
      </c>
      <c r="R1130" s="5" t="s">
        <v>2278</v>
      </c>
      <c r="S1130" s="5" t="s">
        <v>2281</v>
      </c>
      <c r="T1130" s="5" t="s">
        <v>2288</v>
      </c>
      <c r="U1130" s="8">
        <v>1</v>
      </c>
      <c r="V1130" s="8">
        <v>38</v>
      </c>
      <c r="W1130" s="19">
        <v>34</v>
      </c>
      <c r="X1130" s="9">
        <v>44.75</v>
      </c>
      <c r="Y1130" s="9">
        <f t="shared" si="205"/>
        <v>55.25</v>
      </c>
      <c r="Z1130" s="5" t="s">
        <v>2294</v>
      </c>
      <c r="AA1130" s="5" t="s">
        <v>1761</v>
      </c>
      <c r="AB1130" s="9">
        <f t="shared" si="206"/>
        <v>100</v>
      </c>
      <c r="AC1130" s="9">
        <f t="shared" si="207"/>
        <v>0</v>
      </c>
      <c r="AD1130" s="9">
        <f t="shared" si="208"/>
        <v>100</v>
      </c>
      <c r="AE1130" s="9">
        <f t="shared" si="209"/>
        <v>44.75</v>
      </c>
      <c r="AF1130" s="9">
        <f t="shared" si="215"/>
        <v>55.25</v>
      </c>
      <c r="AG1130" s="8">
        <f t="shared" si="210"/>
        <v>2024</v>
      </c>
      <c r="AH1130" s="8">
        <f t="shared" si="211"/>
        <v>2</v>
      </c>
      <c r="AI1130" s="5" t="str">
        <f t="shared" si="212"/>
        <v>Feb</v>
      </c>
      <c r="AJ1130" s="5" t="str">
        <f t="shared" si="213"/>
        <v>Wednesday</v>
      </c>
    </row>
    <row r="1131" spans="1:36" x14ac:dyDescent="0.3">
      <c r="A1131" s="5" t="s">
        <v>1165</v>
      </c>
      <c r="B1131" s="6">
        <v>45301</v>
      </c>
      <c r="C1131" s="7">
        <v>0.63541666666666663</v>
      </c>
      <c r="D1131" s="5" t="s">
        <v>1854</v>
      </c>
      <c r="E1131" s="5" t="s">
        <v>1976</v>
      </c>
      <c r="F1131" s="5" t="s">
        <v>2239</v>
      </c>
      <c r="G1131" s="5" t="s">
        <v>2255</v>
      </c>
      <c r="H1131" s="5" t="s">
        <v>2260</v>
      </c>
      <c r="I1131" s="5" t="s">
        <v>2260</v>
      </c>
      <c r="J1131" s="5" t="s">
        <v>2264</v>
      </c>
      <c r="K1131" s="8">
        <v>2</v>
      </c>
      <c r="L1131" s="9">
        <v>180</v>
      </c>
      <c r="M1131" s="10">
        <v>0</v>
      </c>
      <c r="N1131" s="9">
        <f t="shared" si="214"/>
        <v>360</v>
      </c>
      <c r="O1131" s="9">
        <f t="shared" si="204"/>
        <v>360</v>
      </c>
      <c r="P1131" s="5" t="s">
        <v>2267</v>
      </c>
      <c r="Q1131" s="5" t="s">
        <v>2272</v>
      </c>
      <c r="R1131" s="5" t="s">
        <v>2276</v>
      </c>
      <c r="S1131" s="5" t="s">
        <v>2286</v>
      </c>
      <c r="T1131" s="5" t="s">
        <v>2288</v>
      </c>
      <c r="U1131" s="8">
        <v>1</v>
      </c>
      <c r="V1131" s="8">
        <v>200</v>
      </c>
      <c r="W1131" s="8">
        <v>60</v>
      </c>
      <c r="X1131" s="9">
        <v>65.47</v>
      </c>
      <c r="Y1131" s="9">
        <f t="shared" si="205"/>
        <v>229.06</v>
      </c>
      <c r="Z1131" s="5" t="s">
        <v>1761</v>
      </c>
      <c r="AA1131" s="5" t="s">
        <v>1761</v>
      </c>
      <c r="AB1131" s="9">
        <f t="shared" si="206"/>
        <v>360</v>
      </c>
      <c r="AC1131" s="9">
        <f t="shared" si="207"/>
        <v>0</v>
      </c>
      <c r="AD1131" s="9">
        <f t="shared" si="208"/>
        <v>360</v>
      </c>
      <c r="AE1131" s="9">
        <f t="shared" si="209"/>
        <v>130.94</v>
      </c>
      <c r="AF1131" s="9">
        <f t="shared" si="215"/>
        <v>229.06</v>
      </c>
      <c r="AG1131" s="8">
        <f t="shared" si="210"/>
        <v>2024</v>
      </c>
      <c r="AH1131" s="8">
        <f t="shared" si="211"/>
        <v>1</v>
      </c>
      <c r="AI1131" s="5" t="str">
        <f t="shared" si="212"/>
        <v>Jan</v>
      </c>
      <c r="AJ1131" s="5" t="str">
        <f t="shared" si="213"/>
        <v>Wednesday</v>
      </c>
    </row>
    <row r="1132" spans="1:36" x14ac:dyDescent="0.3">
      <c r="A1132" s="5" t="s">
        <v>1166</v>
      </c>
      <c r="B1132" s="6">
        <v>45329</v>
      </c>
      <c r="C1132" s="7">
        <v>0.59722222222222221</v>
      </c>
      <c r="D1132" s="5" t="s">
        <v>1851</v>
      </c>
      <c r="E1132" s="5" t="s">
        <v>2161</v>
      </c>
      <c r="F1132" s="5" t="s">
        <v>2240</v>
      </c>
      <c r="G1132" s="5" t="s">
        <v>2245</v>
      </c>
      <c r="H1132" s="5" t="s">
        <v>2257</v>
      </c>
      <c r="I1132" s="5" t="s">
        <v>2263</v>
      </c>
      <c r="J1132" s="5" t="s">
        <v>2266</v>
      </c>
      <c r="K1132" s="8">
        <v>1</v>
      </c>
      <c r="L1132" s="9">
        <v>145</v>
      </c>
      <c r="M1132" s="10">
        <v>0.15</v>
      </c>
      <c r="N1132" s="9">
        <f t="shared" si="214"/>
        <v>145</v>
      </c>
      <c r="O1132" s="9">
        <f t="shared" si="204"/>
        <v>123.25</v>
      </c>
      <c r="P1132" s="5" t="s">
        <v>2268</v>
      </c>
      <c r="Q1132" s="5" t="s">
        <v>2272</v>
      </c>
      <c r="R1132" s="5" t="s">
        <v>2278</v>
      </c>
      <c r="S1132" s="5" t="s">
        <v>2287</v>
      </c>
      <c r="T1132" s="5" t="s">
        <v>2288</v>
      </c>
      <c r="U1132" s="8">
        <v>2</v>
      </c>
      <c r="V1132" s="8">
        <v>129</v>
      </c>
      <c r="W1132" s="19">
        <v>35</v>
      </c>
      <c r="X1132" s="9">
        <v>84.34</v>
      </c>
      <c r="Y1132" s="9">
        <f t="shared" si="205"/>
        <v>38.909999999999997</v>
      </c>
      <c r="Z1132" s="5" t="s">
        <v>2293</v>
      </c>
      <c r="AA1132" s="5" t="s">
        <v>2296</v>
      </c>
      <c r="AB1132" s="9">
        <f t="shared" si="206"/>
        <v>145</v>
      </c>
      <c r="AC1132" s="9">
        <f t="shared" si="207"/>
        <v>21.75</v>
      </c>
      <c r="AD1132" s="9">
        <f t="shared" si="208"/>
        <v>123.25</v>
      </c>
      <c r="AE1132" s="9">
        <f t="shared" si="209"/>
        <v>84.34</v>
      </c>
      <c r="AF1132" s="9">
        <f t="shared" si="215"/>
        <v>38.909999999999997</v>
      </c>
      <c r="AG1132" s="8">
        <f t="shared" si="210"/>
        <v>2024</v>
      </c>
      <c r="AH1132" s="8">
        <f t="shared" si="211"/>
        <v>2</v>
      </c>
      <c r="AI1132" s="5" t="str">
        <f t="shared" si="212"/>
        <v>Feb</v>
      </c>
      <c r="AJ1132" s="5" t="str">
        <f t="shared" si="213"/>
        <v>Wednesday</v>
      </c>
    </row>
    <row r="1133" spans="1:36" x14ac:dyDescent="0.3">
      <c r="A1133" s="5" t="s">
        <v>1167</v>
      </c>
      <c r="B1133" s="6">
        <v>45655</v>
      </c>
      <c r="C1133" s="7">
        <v>0.72916666666666663</v>
      </c>
      <c r="D1133" s="5" t="s">
        <v>1924</v>
      </c>
      <c r="E1133" s="5" t="s">
        <v>2067</v>
      </c>
      <c r="F1133" s="5" t="s">
        <v>2240</v>
      </c>
      <c r="G1133" s="5" t="s">
        <v>2255</v>
      </c>
      <c r="H1133" s="5" t="s">
        <v>2260</v>
      </c>
      <c r="I1133" s="5" t="s">
        <v>2260</v>
      </c>
      <c r="J1133" s="5" t="s">
        <v>2266</v>
      </c>
      <c r="K1133" s="8">
        <v>1</v>
      </c>
      <c r="L1133" s="9">
        <v>180</v>
      </c>
      <c r="M1133" s="10">
        <v>0.05</v>
      </c>
      <c r="N1133" s="9">
        <f t="shared" si="214"/>
        <v>180</v>
      </c>
      <c r="O1133" s="9">
        <f t="shared" si="204"/>
        <v>171</v>
      </c>
      <c r="P1133" s="5" t="s">
        <v>2269</v>
      </c>
      <c r="Q1133" s="5" t="s">
        <v>2272</v>
      </c>
      <c r="R1133" s="5" t="s">
        <v>2274</v>
      </c>
      <c r="S1133" s="5" t="s">
        <v>2287</v>
      </c>
      <c r="T1133" s="5" t="s">
        <v>2288</v>
      </c>
      <c r="U1133" s="8">
        <v>5</v>
      </c>
      <c r="V1133" s="8">
        <v>173</v>
      </c>
      <c r="W1133" s="8">
        <v>40</v>
      </c>
      <c r="X1133" s="9">
        <v>103.42</v>
      </c>
      <c r="Y1133" s="9">
        <f t="shared" si="205"/>
        <v>67.58</v>
      </c>
      <c r="Z1133" s="5" t="s">
        <v>2293</v>
      </c>
      <c r="AA1133" s="5" t="s">
        <v>2297</v>
      </c>
      <c r="AB1133" s="9">
        <f t="shared" si="206"/>
        <v>180</v>
      </c>
      <c r="AC1133" s="9">
        <f t="shared" si="207"/>
        <v>9</v>
      </c>
      <c r="AD1133" s="9">
        <f t="shared" si="208"/>
        <v>171</v>
      </c>
      <c r="AE1133" s="9">
        <f t="shared" si="209"/>
        <v>103.42</v>
      </c>
      <c r="AF1133" s="9">
        <f t="shared" si="215"/>
        <v>67.58</v>
      </c>
      <c r="AG1133" s="8">
        <f t="shared" si="210"/>
        <v>2024</v>
      </c>
      <c r="AH1133" s="8">
        <f t="shared" si="211"/>
        <v>12</v>
      </c>
      <c r="AI1133" s="5" t="str">
        <f t="shared" si="212"/>
        <v>Dec</v>
      </c>
      <c r="AJ1133" s="5" t="str">
        <f t="shared" si="213"/>
        <v>Sunday</v>
      </c>
    </row>
    <row r="1134" spans="1:36" x14ac:dyDescent="0.3">
      <c r="A1134" s="5" t="s">
        <v>1168</v>
      </c>
      <c r="B1134" s="6">
        <v>45293</v>
      </c>
      <c r="C1134" s="7">
        <v>0.83333333333333337</v>
      </c>
      <c r="D1134" s="5" t="s">
        <v>1745</v>
      </c>
      <c r="E1134" s="5" t="s">
        <v>1980</v>
      </c>
      <c r="F1134" s="5" t="s">
        <v>2239</v>
      </c>
      <c r="G1134" s="5" t="s">
        <v>2256</v>
      </c>
      <c r="H1134" s="5" t="s">
        <v>2261</v>
      </c>
      <c r="I1134" s="5" t="s">
        <v>2260</v>
      </c>
      <c r="J1134" s="5" t="s">
        <v>2266</v>
      </c>
      <c r="K1134" s="8">
        <v>1</v>
      </c>
      <c r="L1134" s="9">
        <v>200</v>
      </c>
      <c r="M1134" s="10">
        <v>0</v>
      </c>
      <c r="N1134" s="9">
        <f t="shared" si="214"/>
        <v>200</v>
      </c>
      <c r="O1134" s="9">
        <f t="shared" si="204"/>
        <v>200</v>
      </c>
      <c r="P1134" s="5" t="s">
        <v>2269</v>
      </c>
      <c r="Q1134" s="5" t="s">
        <v>2272</v>
      </c>
      <c r="R1134" s="5" t="s">
        <v>2279</v>
      </c>
      <c r="S1134" s="5" t="s">
        <v>2282</v>
      </c>
      <c r="T1134" s="5" t="s">
        <v>2288</v>
      </c>
      <c r="U1134" s="8">
        <v>3</v>
      </c>
      <c r="V1134" s="8">
        <v>220</v>
      </c>
      <c r="W1134" s="8">
        <v>47</v>
      </c>
      <c r="X1134" s="9">
        <v>113.05</v>
      </c>
      <c r="Y1134" s="9">
        <f t="shared" si="205"/>
        <v>86.95</v>
      </c>
      <c r="Z1134" s="5" t="s">
        <v>1761</v>
      </c>
      <c r="AA1134" s="5" t="s">
        <v>2296</v>
      </c>
      <c r="AB1134" s="9">
        <f t="shared" si="206"/>
        <v>200</v>
      </c>
      <c r="AC1134" s="9">
        <f t="shared" si="207"/>
        <v>0</v>
      </c>
      <c r="AD1134" s="9">
        <f t="shared" si="208"/>
        <v>200</v>
      </c>
      <c r="AE1134" s="9">
        <f t="shared" si="209"/>
        <v>113.05</v>
      </c>
      <c r="AF1134" s="9">
        <f t="shared" si="215"/>
        <v>86.95</v>
      </c>
      <c r="AG1134" s="8">
        <f t="shared" si="210"/>
        <v>2024</v>
      </c>
      <c r="AH1134" s="8">
        <f t="shared" si="211"/>
        <v>1</v>
      </c>
      <c r="AI1134" s="5" t="str">
        <f t="shared" si="212"/>
        <v>Jan</v>
      </c>
      <c r="AJ1134" s="5" t="str">
        <f t="shared" si="213"/>
        <v>Tuesday</v>
      </c>
    </row>
    <row r="1135" spans="1:36" x14ac:dyDescent="0.3">
      <c r="A1135" s="5" t="s">
        <v>1169</v>
      </c>
      <c r="B1135" s="6">
        <v>45478</v>
      </c>
      <c r="C1135" s="7">
        <v>0.51041666666666663</v>
      </c>
      <c r="D1135" s="5" t="s">
        <v>1748</v>
      </c>
      <c r="E1135" s="5" t="s">
        <v>2159</v>
      </c>
      <c r="F1135" s="5" t="s">
        <v>1761</v>
      </c>
      <c r="G1135" s="5" t="s">
        <v>2250</v>
      </c>
      <c r="H1135" s="5" t="s">
        <v>2259</v>
      </c>
      <c r="I1135" s="5" t="s">
        <v>2262</v>
      </c>
      <c r="J1135" s="5" t="s">
        <v>2264</v>
      </c>
      <c r="K1135" s="8">
        <v>1</v>
      </c>
      <c r="L1135" s="9">
        <v>90</v>
      </c>
      <c r="M1135" s="10">
        <v>0.15</v>
      </c>
      <c r="N1135" s="9">
        <f t="shared" si="214"/>
        <v>90</v>
      </c>
      <c r="O1135" s="9">
        <f t="shared" si="204"/>
        <v>76.5</v>
      </c>
      <c r="P1135" s="5" t="s">
        <v>2267</v>
      </c>
      <c r="Q1135" s="5" t="s">
        <v>2270</v>
      </c>
      <c r="R1135" s="5" t="s">
        <v>2279</v>
      </c>
      <c r="S1135" s="5" t="s">
        <v>2286</v>
      </c>
      <c r="T1135" s="5" t="s">
        <v>2290</v>
      </c>
      <c r="U1135" s="8">
        <v>1</v>
      </c>
      <c r="V1135" s="8">
        <v>205</v>
      </c>
      <c r="W1135" s="8">
        <v>37</v>
      </c>
      <c r="X1135" s="9">
        <v>47.9</v>
      </c>
      <c r="Y1135" s="9">
        <f t="shared" si="205"/>
        <v>28.6</v>
      </c>
      <c r="Z1135" s="5" t="s">
        <v>2294</v>
      </c>
      <c r="AA1135" s="5" t="s">
        <v>2296</v>
      </c>
      <c r="AB1135" s="9">
        <f t="shared" si="206"/>
        <v>90</v>
      </c>
      <c r="AC1135" s="9">
        <f t="shared" si="207"/>
        <v>13.5</v>
      </c>
      <c r="AD1135" s="9">
        <f t="shared" si="208"/>
        <v>76.5</v>
      </c>
      <c r="AE1135" s="9">
        <f t="shared" si="209"/>
        <v>47.9</v>
      </c>
      <c r="AF1135" s="9">
        <f t="shared" si="215"/>
        <v>28.6</v>
      </c>
      <c r="AG1135" s="8">
        <f t="shared" si="210"/>
        <v>2024</v>
      </c>
      <c r="AH1135" s="8">
        <f t="shared" si="211"/>
        <v>7</v>
      </c>
      <c r="AI1135" s="5" t="str">
        <f t="shared" si="212"/>
        <v>Jul</v>
      </c>
      <c r="AJ1135" s="5" t="str">
        <f t="shared" si="213"/>
        <v>Friday</v>
      </c>
    </row>
    <row r="1136" spans="1:36" x14ac:dyDescent="0.3">
      <c r="A1136" s="5" t="s">
        <v>1170</v>
      </c>
      <c r="B1136" s="6">
        <v>45465</v>
      </c>
      <c r="C1136" s="7">
        <v>0.46527777777777779</v>
      </c>
      <c r="D1136" s="5" t="s">
        <v>1802</v>
      </c>
      <c r="E1136" s="5" t="s">
        <v>2080</v>
      </c>
      <c r="F1136" s="5" t="s">
        <v>2239</v>
      </c>
      <c r="G1136" s="5" t="s">
        <v>2252</v>
      </c>
      <c r="H1136" s="5" t="s">
        <v>2257</v>
      </c>
      <c r="I1136" s="5" t="s">
        <v>2262</v>
      </c>
      <c r="J1136" s="5" t="s">
        <v>2266</v>
      </c>
      <c r="K1136" s="8">
        <v>3</v>
      </c>
      <c r="L1136" s="9">
        <v>95</v>
      </c>
      <c r="M1136" s="10">
        <v>0.1</v>
      </c>
      <c r="N1136" s="9">
        <f t="shared" si="214"/>
        <v>285</v>
      </c>
      <c r="O1136" s="9">
        <f t="shared" si="204"/>
        <v>256.5</v>
      </c>
      <c r="P1136" s="5" t="s">
        <v>2267</v>
      </c>
      <c r="Q1136" s="5" t="s">
        <v>2272</v>
      </c>
      <c r="R1136" s="5" t="s">
        <v>2273</v>
      </c>
      <c r="S1136" s="5" t="s">
        <v>2283</v>
      </c>
      <c r="T1136" s="5" t="s">
        <v>2289</v>
      </c>
      <c r="U1136" s="19">
        <v>3</v>
      </c>
      <c r="V1136" s="8">
        <v>89</v>
      </c>
      <c r="W1136" s="19">
        <v>35</v>
      </c>
      <c r="X1136" s="9">
        <v>38.299999999999997</v>
      </c>
      <c r="Y1136" s="9">
        <f t="shared" si="205"/>
        <v>141.60000000000002</v>
      </c>
      <c r="Z1136" s="5" t="s">
        <v>2293</v>
      </c>
      <c r="AA1136" s="5" t="s">
        <v>2299</v>
      </c>
      <c r="AB1136" s="9">
        <f t="shared" si="206"/>
        <v>285</v>
      </c>
      <c r="AC1136" s="9">
        <f t="shared" si="207"/>
        <v>28.5</v>
      </c>
      <c r="AD1136" s="9">
        <f t="shared" si="208"/>
        <v>256.5</v>
      </c>
      <c r="AE1136" s="9">
        <f t="shared" si="209"/>
        <v>114.89999999999999</v>
      </c>
      <c r="AF1136" s="9">
        <f t="shared" si="215"/>
        <v>141.60000000000002</v>
      </c>
      <c r="AG1136" s="8">
        <f t="shared" si="210"/>
        <v>2024</v>
      </c>
      <c r="AH1136" s="8">
        <f t="shared" si="211"/>
        <v>6</v>
      </c>
      <c r="AI1136" s="5" t="str">
        <f t="shared" si="212"/>
        <v>Jun</v>
      </c>
      <c r="AJ1136" s="5" t="str">
        <f t="shared" si="213"/>
        <v>Saturday</v>
      </c>
    </row>
    <row r="1137" spans="1:36" x14ac:dyDescent="0.3">
      <c r="A1137" s="5" t="s">
        <v>1171</v>
      </c>
      <c r="B1137" s="6">
        <v>45545</v>
      </c>
      <c r="C1137" s="7">
        <v>0.49305555555555558</v>
      </c>
      <c r="D1137" s="5" t="s">
        <v>1888</v>
      </c>
      <c r="E1137" s="5" t="s">
        <v>1955</v>
      </c>
      <c r="F1137" s="5" t="s">
        <v>2239</v>
      </c>
      <c r="G1137" s="5" t="s">
        <v>2251</v>
      </c>
      <c r="H1137" s="5" t="s">
        <v>2258</v>
      </c>
      <c r="I1137" s="5" t="s">
        <v>2260</v>
      </c>
      <c r="J1137" s="5" t="s">
        <v>1761</v>
      </c>
      <c r="K1137" s="8">
        <v>1</v>
      </c>
      <c r="L1137" s="9">
        <v>100</v>
      </c>
      <c r="M1137" s="10">
        <v>0</v>
      </c>
      <c r="N1137" s="9">
        <f t="shared" si="214"/>
        <v>100</v>
      </c>
      <c r="O1137" s="9">
        <f t="shared" si="204"/>
        <v>100</v>
      </c>
      <c r="P1137" s="5" t="s">
        <v>1761</v>
      </c>
      <c r="Q1137" s="5" t="s">
        <v>2272</v>
      </c>
      <c r="R1137" s="5" t="s">
        <v>2273</v>
      </c>
      <c r="S1137" s="5" t="s">
        <v>2287</v>
      </c>
      <c r="T1137" s="5" t="s">
        <v>2288</v>
      </c>
      <c r="U1137" s="8">
        <v>5</v>
      </c>
      <c r="V1137" s="8">
        <v>453</v>
      </c>
      <c r="W1137" s="8">
        <v>18</v>
      </c>
      <c r="X1137" s="9">
        <v>57.97</v>
      </c>
      <c r="Y1137" s="9">
        <f t="shared" si="205"/>
        <v>42.03</v>
      </c>
      <c r="Z1137" s="5" t="s">
        <v>1761</v>
      </c>
      <c r="AA1137" s="5" t="s">
        <v>2296</v>
      </c>
      <c r="AB1137" s="9">
        <f t="shared" si="206"/>
        <v>100</v>
      </c>
      <c r="AC1137" s="9">
        <f t="shared" si="207"/>
        <v>0</v>
      </c>
      <c r="AD1137" s="9">
        <f t="shared" si="208"/>
        <v>100</v>
      </c>
      <c r="AE1137" s="9">
        <f t="shared" si="209"/>
        <v>57.97</v>
      </c>
      <c r="AF1137" s="9">
        <f t="shared" si="215"/>
        <v>42.03</v>
      </c>
      <c r="AG1137" s="8">
        <f t="shared" si="210"/>
        <v>2024</v>
      </c>
      <c r="AH1137" s="8">
        <f t="shared" si="211"/>
        <v>9</v>
      </c>
      <c r="AI1137" s="5" t="str">
        <f t="shared" si="212"/>
        <v>Sep</v>
      </c>
      <c r="AJ1137" s="5" t="str">
        <f t="shared" si="213"/>
        <v>Tuesday</v>
      </c>
    </row>
    <row r="1138" spans="1:36" x14ac:dyDescent="0.3">
      <c r="A1138" s="5" t="s">
        <v>1172</v>
      </c>
      <c r="B1138" s="6">
        <v>45492</v>
      </c>
      <c r="C1138" s="7">
        <v>0.42708333333333331</v>
      </c>
      <c r="D1138" s="5" t="s">
        <v>1807</v>
      </c>
      <c r="E1138" s="5" t="s">
        <v>2053</v>
      </c>
      <c r="F1138" s="5" t="s">
        <v>2240</v>
      </c>
      <c r="G1138" s="5" t="s">
        <v>2251</v>
      </c>
      <c r="H1138" s="5" t="s">
        <v>2258</v>
      </c>
      <c r="I1138" s="5" t="s">
        <v>2260</v>
      </c>
      <c r="J1138" s="5" t="s">
        <v>2266</v>
      </c>
      <c r="K1138" s="8">
        <v>2</v>
      </c>
      <c r="L1138" s="9">
        <v>100</v>
      </c>
      <c r="M1138" s="10">
        <v>0.05</v>
      </c>
      <c r="N1138" s="9">
        <f t="shared" si="214"/>
        <v>200</v>
      </c>
      <c r="O1138" s="9">
        <f t="shared" si="204"/>
        <v>190</v>
      </c>
      <c r="P1138" s="5" t="s">
        <v>2267</v>
      </c>
      <c r="Q1138" s="5" t="s">
        <v>2270</v>
      </c>
      <c r="R1138" s="5" t="s">
        <v>2275</v>
      </c>
      <c r="S1138" s="5" t="s">
        <v>2281</v>
      </c>
      <c r="T1138" s="5" t="s">
        <v>2289</v>
      </c>
      <c r="U1138" s="8">
        <v>3</v>
      </c>
      <c r="V1138" s="8">
        <v>436</v>
      </c>
      <c r="W1138" s="19">
        <v>34</v>
      </c>
      <c r="X1138" s="9">
        <v>47.35</v>
      </c>
      <c r="Y1138" s="9">
        <f t="shared" si="205"/>
        <v>95.3</v>
      </c>
      <c r="Z1138" s="5" t="s">
        <v>1761</v>
      </c>
      <c r="AA1138" s="5" t="s">
        <v>2298</v>
      </c>
      <c r="AB1138" s="9">
        <f t="shared" si="206"/>
        <v>200</v>
      </c>
      <c r="AC1138" s="9">
        <f t="shared" si="207"/>
        <v>10</v>
      </c>
      <c r="AD1138" s="9">
        <f t="shared" si="208"/>
        <v>190</v>
      </c>
      <c r="AE1138" s="9">
        <f t="shared" si="209"/>
        <v>94.7</v>
      </c>
      <c r="AF1138" s="9">
        <f t="shared" si="215"/>
        <v>95.3</v>
      </c>
      <c r="AG1138" s="8">
        <f t="shared" si="210"/>
        <v>2024</v>
      </c>
      <c r="AH1138" s="8">
        <f t="shared" si="211"/>
        <v>7</v>
      </c>
      <c r="AI1138" s="5" t="str">
        <f t="shared" si="212"/>
        <v>Jul</v>
      </c>
      <c r="AJ1138" s="5" t="str">
        <f t="shared" si="213"/>
        <v>Friday</v>
      </c>
    </row>
    <row r="1139" spans="1:36" x14ac:dyDescent="0.3">
      <c r="A1139" s="5" t="s">
        <v>1173</v>
      </c>
      <c r="B1139" s="6">
        <v>45339</v>
      </c>
      <c r="C1139" s="7">
        <v>0.49305555555555558</v>
      </c>
      <c r="D1139" s="5" t="s">
        <v>1899</v>
      </c>
      <c r="E1139" s="5" t="s">
        <v>2220</v>
      </c>
      <c r="F1139" s="5" t="s">
        <v>1761</v>
      </c>
      <c r="G1139" s="5" t="s">
        <v>2250</v>
      </c>
      <c r="H1139" s="5" t="s">
        <v>2259</v>
      </c>
      <c r="I1139" s="5" t="s">
        <v>2262</v>
      </c>
      <c r="J1139" s="5" t="s">
        <v>2264</v>
      </c>
      <c r="K1139" s="8">
        <v>1</v>
      </c>
      <c r="L1139" s="9">
        <v>80</v>
      </c>
      <c r="M1139" s="10">
        <v>0.05</v>
      </c>
      <c r="N1139" s="9">
        <f t="shared" si="214"/>
        <v>80</v>
      </c>
      <c r="O1139" s="9">
        <f t="shared" si="204"/>
        <v>76</v>
      </c>
      <c r="P1139" s="5" t="s">
        <v>2267</v>
      </c>
      <c r="Q1139" s="5" t="s">
        <v>1761</v>
      </c>
      <c r="R1139" s="5" t="s">
        <v>2276</v>
      </c>
      <c r="S1139" s="5" t="s">
        <v>2286</v>
      </c>
      <c r="T1139" s="5" t="s">
        <v>2289</v>
      </c>
      <c r="U1139" s="8">
        <v>4</v>
      </c>
      <c r="V1139" s="8">
        <v>174</v>
      </c>
      <c r="W1139" s="8">
        <v>16</v>
      </c>
      <c r="X1139" s="9">
        <v>32.450000000000003</v>
      </c>
      <c r="Y1139" s="9">
        <f t="shared" si="205"/>
        <v>43.55</v>
      </c>
      <c r="Z1139" s="5" t="s">
        <v>2292</v>
      </c>
      <c r="AA1139" s="5" t="s">
        <v>2297</v>
      </c>
      <c r="AB1139" s="9">
        <f t="shared" si="206"/>
        <v>80</v>
      </c>
      <c r="AC1139" s="9">
        <f t="shared" si="207"/>
        <v>4</v>
      </c>
      <c r="AD1139" s="9">
        <f t="shared" si="208"/>
        <v>76</v>
      </c>
      <c r="AE1139" s="9">
        <f t="shared" si="209"/>
        <v>32.450000000000003</v>
      </c>
      <c r="AF1139" s="9">
        <f t="shared" si="215"/>
        <v>43.55</v>
      </c>
      <c r="AG1139" s="8">
        <f t="shared" si="210"/>
        <v>2024</v>
      </c>
      <c r="AH1139" s="8">
        <f t="shared" si="211"/>
        <v>2</v>
      </c>
      <c r="AI1139" s="5" t="str">
        <f t="shared" si="212"/>
        <v>Feb</v>
      </c>
      <c r="AJ1139" s="5" t="str">
        <f t="shared" si="213"/>
        <v>Saturday</v>
      </c>
    </row>
    <row r="1140" spans="1:36" x14ac:dyDescent="0.3">
      <c r="A1140" s="5" t="s">
        <v>1174</v>
      </c>
      <c r="B1140" s="6">
        <v>45650</v>
      </c>
      <c r="C1140" s="7">
        <v>0.67708333333333337</v>
      </c>
      <c r="D1140" s="5" t="s">
        <v>1930</v>
      </c>
      <c r="E1140" s="5" t="s">
        <v>2070</v>
      </c>
      <c r="F1140" s="5" t="s">
        <v>2240</v>
      </c>
      <c r="G1140" s="5" t="s">
        <v>2244</v>
      </c>
      <c r="H1140" s="5" t="s">
        <v>2257</v>
      </c>
      <c r="I1140" s="5" t="s">
        <v>2262</v>
      </c>
      <c r="J1140" s="5" t="s">
        <v>2266</v>
      </c>
      <c r="K1140" s="8">
        <v>1</v>
      </c>
      <c r="L1140" s="9">
        <v>125</v>
      </c>
      <c r="M1140" s="10">
        <v>0</v>
      </c>
      <c r="N1140" s="9">
        <f t="shared" si="214"/>
        <v>125</v>
      </c>
      <c r="O1140" s="9">
        <f t="shared" si="204"/>
        <v>125</v>
      </c>
      <c r="P1140" s="5" t="s">
        <v>1761</v>
      </c>
      <c r="Q1140" s="5" t="s">
        <v>2270</v>
      </c>
      <c r="R1140" s="5" t="s">
        <v>2276</v>
      </c>
      <c r="S1140" s="5" t="s">
        <v>2280</v>
      </c>
      <c r="T1140" s="5" t="s">
        <v>2288</v>
      </c>
      <c r="U1140" s="8">
        <v>5</v>
      </c>
      <c r="V1140" s="8">
        <v>209</v>
      </c>
      <c r="W1140" s="19">
        <v>34</v>
      </c>
      <c r="X1140" s="9">
        <v>50.78</v>
      </c>
      <c r="Y1140" s="9">
        <f t="shared" si="205"/>
        <v>74.22</v>
      </c>
      <c r="Z1140" s="5" t="s">
        <v>2293</v>
      </c>
      <c r="AA1140" s="5" t="s">
        <v>2296</v>
      </c>
      <c r="AB1140" s="9">
        <f t="shared" si="206"/>
        <v>125</v>
      </c>
      <c r="AC1140" s="9">
        <f t="shared" si="207"/>
        <v>0</v>
      </c>
      <c r="AD1140" s="9">
        <f t="shared" si="208"/>
        <v>125</v>
      </c>
      <c r="AE1140" s="9">
        <f t="shared" si="209"/>
        <v>50.78</v>
      </c>
      <c r="AF1140" s="9">
        <f t="shared" si="215"/>
        <v>74.22</v>
      </c>
      <c r="AG1140" s="8">
        <f t="shared" si="210"/>
        <v>2024</v>
      </c>
      <c r="AH1140" s="8">
        <f t="shared" si="211"/>
        <v>12</v>
      </c>
      <c r="AI1140" s="5" t="str">
        <f t="shared" si="212"/>
        <v>Dec</v>
      </c>
      <c r="AJ1140" s="5" t="str">
        <f t="shared" si="213"/>
        <v>Tuesday</v>
      </c>
    </row>
    <row r="1141" spans="1:36" x14ac:dyDescent="0.3">
      <c r="A1141" s="5" t="s">
        <v>1175</v>
      </c>
      <c r="B1141" s="6">
        <v>45365</v>
      </c>
      <c r="C1141" s="7">
        <v>0.29166666666666669</v>
      </c>
      <c r="D1141" s="5" t="s">
        <v>1769</v>
      </c>
      <c r="E1141" s="5" t="s">
        <v>2134</v>
      </c>
      <c r="F1141" s="5" t="s">
        <v>1761</v>
      </c>
      <c r="G1141" s="5" t="s">
        <v>2249</v>
      </c>
      <c r="H1141" s="5" t="s">
        <v>2257</v>
      </c>
      <c r="I1141" s="5" t="s">
        <v>2263</v>
      </c>
      <c r="J1141" s="5" t="s">
        <v>2264</v>
      </c>
      <c r="K1141" s="8">
        <v>2</v>
      </c>
      <c r="L1141" s="9">
        <v>170</v>
      </c>
      <c r="M1141" s="10">
        <v>0</v>
      </c>
      <c r="N1141" s="9">
        <f t="shared" si="214"/>
        <v>340</v>
      </c>
      <c r="O1141" s="9">
        <f t="shared" si="204"/>
        <v>340</v>
      </c>
      <c r="P1141" s="5" t="s">
        <v>2269</v>
      </c>
      <c r="Q1141" s="5" t="s">
        <v>2270</v>
      </c>
      <c r="R1141" s="5" t="s">
        <v>2278</v>
      </c>
      <c r="S1141" s="5" t="s">
        <v>2284</v>
      </c>
      <c r="T1141" s="5" t="s">
        <v>2288</v>
      </c>
      <c r="U1141" s="19">
        <v>3</v>
      </c>
      <c r="V1141" s="8">
        <v>51</v>
      </c>
      <c r="W1141" s="8">
        <v>57</v>
      </c>
      <c r="X1141" s="9">
        <v>59.89</v>
      </c>
      <c r="Y1141" s="9">
        <f t="shared" si="205"/>
        <v>220.22</v>
      </c>
      <c r="Z1141" s="5" t="s">
        <v>1761</v>
      </c>
      <c r="AA1141" s="5" t="s">
        <v>2297</v>
      </c>
      <c r="AB1141" s="9">
        <f t="shared" si="206"/>
        <v>340</v>
      </c>
      <c r="AC1141" s="9">
        <f t="shared" si="207"/>
        <v>0</v>
      </c>
      <c r="AD1141" s="9">
        <f t="shared" si="208"/>
        <v>340</v>
      </c>
      <c r="AE1141" s="9">
        <f t="shared" si="209"/>
        <v>119.78</v>
      </c>
      <c r="AF1141" s="9">
        <f t="shared" si="215"/>
        <v>220.22</v>
      </c>
      <c r="AG1141" s="8">
        <f t="shared" si="210"/>
        <v>2024</v>
      </c>
      <c r="AH1141" s="8">
        <f t="shared" si="211"/>
        <v>3</v>
      </c>
      <c r="AI1141" s="5" t="str">
        <f t="shared" si="212"/>
        <v>Mar</v>
      </c>
      <c r="AJ1141" s="5" t="str">
        <f t="shared" si="213"/>
        <v>Thursday</v>
      </c>
    </row>
    <row r="1142" spans="1:36" x14ac:dyDescent="0.3">
      <c r="A1142" s="5" t="s">
        <v>1176</v>
      </c>
      <c r="B1142" s="6">
        <v>45606</v>
      </c>
      <c r="C1142" s="7">
        <v>0.6875</v>
      </c>
      <c r="D1142" s="5" t="s">
        <v>1889</v>
      </c>
      <c r="E1142" s="5" t="s">
        <v>1989</v>
      </c>
      <c r="F1142" s="5" t="s">
        <v>2238</v>
      </c>
      <c r="G1142" s="5" t="s">
        <v>2255</v>
      </c>
      <c r="H1142" s="5" t="s">
        <v>2260</v>
      </c>
      <c r="I1142" s="5" t="s">
        <v>2260</v>
      </c>
      <c r="J1142" s="5" t="s">
        <v>2266</v>
      </c>
      <c r="K1142" s="8">
        <v>1</v>
      </c>
      <c r="L1142" s="9">
        <v>185</v>
      </c>
      <c r="M1142" s="10">
        <v>0</v>
      </c>
      <c r="N1142" s="9">
        <f t="shared" si="214"/>
        <v>185</v>
      </c>
      <c r="O1142" s="9">
        <f t="shared" si="204"/>
        <v>185</v>
      </c>
      <c r="P1142" s="5" t="s">
        <v>2267</v>
      </c>
      <c r="Q1142" s="5" t="s">
        <v>2270</v>
      </c>
      <c r="R1142" s="5" t="s">
        <v>2279</v>
      </c>
      <c r="S1142" s="5" t="s">
        <v>2286</v>
      </c>
      <c r="T1142" s="5" t="s">
        <v>2289</v>
      </c>
      <c r="U1142" s="8">
        <v>1</v>
      </c>
      <c r="V1142" s="19">
        <v>244</v>
      </c>
      <c r="W1142" s="8">
        <v>13</v>
      </c>
      <c r="X1142" s="9">
        <v>93.07</v>
      </c>
      <c r="Y1142" s="9">
        <f t="shared" si="205"/>
        <v>91.93</v>
      </c>
      <c r="Z1142" s="5" t="s">
        <v>1761</v>
      </c>
      <c r="AA1142" s="5" t="s">
        <v>2296</v>
      </c>
      <c r="AB1142" s="9">
        <f t="shared" si="206"/>
        <v>185</v>
      </c>
      <c r="AC1142" s="9">
        <f t="shared" si="207"/>
        <v>0</v>
      </c>
      <c r="AD1142" s="9">
        <f t="shared" si="208"/>
        <v>185</v>
      </c>
      <c r="AE1142" s="9">
        <f t="shared" si="209"/>
        <v>93.07</v>
      </c>
      <c r="AF1142" s="9">
        <f t="shared" si="215"/>
        <v>91.93</v>
      </c>
      <c r="AG1142" s="8">
        <f t="shared" si="210"/>
        <v>2024</v>
      </c>
      <c r="AH1142" s="8">
        <f t="shared" si="211"/>
        <v>11</v>
      </c>
      <c r="AI1142" s="5" t="str">
        <f t="shared" si="212"/>
        <v>Nov</v>
      </c>
      <c r="AJ1142" s="5" t="str">
        <f t="shared" si="213"/>
        <v>Sunday</v>
      </c>
    </row>
    <row r="1143" spans="1:36" x14ac:dyDescent="0.3">
      <c r="A1143" s="5" t="s">
        <v>1177</v>
      </c>
      <c r="B1143" s="6">
        <v>45654</v>
      </c>
      <c r="C1143" s="7">
        <v>0.5625</v>
      </c>
      <c r="D1143" s="5" t="s">
        <v>1939</v>
      </c>
      <c r="E1143" s="5" t="s">
        <v>2208</v>
      </c>
      <c r="F1143" s="5" t="s">
        <v>2239</v>
      </c>
      <c r="G1143" s="5" t="s">
        <v>2244</v>
      </c>
      <c r="H1143" s="5" t="s">
        <v>2257</v>
      </c>
      <c r="I1143" s="5" t="s">
        <v>2262</v>
      </c>
      <c r="J1143" s="5" t="s">
        <v>2265</v>
      </c>
      <c r="K1143" s="8">
        <v>1</v>
      </c>
      <c r="L1143" s="9">
        <v>125</v>
      </c>
      <c r="M1143" s="10">
        <v>0.1</v>
      </c>
      <c r="N1143" s="9">
        <f t="shared" si="214"/>
        <v>125</v>
      </c>
      <c r="O1143" s="9">
        <f t="shared" si="204"/>
        <v>112.5</v>
      </c>
      <c r="P1143" s="5" t="s">
        <v>1761</v>
      </c>
      <c r="Q1143" s="5" t="s">
        <v>2270</v>
      </c>
      <c r="R1143" s="5" t="s">
        <v>2278</v>
      </c>
      <c r="S1143" s="5" t="s">
        <v>2287</v>
      </c>
      <c r="T1143" s="5" t="s">
        <v>2289</v>
      </c>
      <c r="U1143" s="8">
        <v>4</v>
      </c>
      <c r="V1143" s="8">
        <v>285</v>
      </c>
      <c r="W1143" s="8">
        <v>25</v>
      </c>
      <c r="X1143" s="9">
        <v>57.79</v>
      </c>
      <c r="Y1143" s="9">
        <f t="shared" si="205"/>
        <v>54.71</v>
      </c>
      <c r="Z1143" s="5" t="s">
        <v>2292</v>
      </c>
      <c r="AA1143" s="5" t="s">
        <v>1761</v>
      </c>
      <c r="AB1143" s="9">
        <f t="shared" si="206"/>
        <v>125</v>
      </c>
      <c r="AC1143" s="9">
        <f t="shared" si="207"/>
        <v>12.5</v>
      </c>
      <c r="AD1143" s="9">
        <f t="shared" si="208"/>
        <v>112.5</v>
      </c>
      <c r="AE1143" s="9">
        <f t="shared" si="209"/>
        <v>57.79</v>
      </c>
      <c r="AF1143" s="9">
        <f t="shared" si="215"/>
        <v>54.71</v>
      </c>
      <c r="AG1143" s="8">
        <f t="shared" si="210"/>
        <v>2024</v>
      </c>
      <c r="AH1143" s="8">
        <f t="shared" si="211"/>
        <v>12</v>
      </c>
      <c r="AI1143" s="5" t="str">
        <f t="shared" si="212"/>
        <v>Dec</v>
      </c>
      <c r="AJ1143" s="5" t="str">
        <f t="shared" si="213"/>
        <v>Saturday</v>
      </c>
    </row>
    <row r="1144" spans="1:36" x14ac:dyDescent="0.3">
      <c r="A1144" s="5" t="s">
        <v>1178</v>
      </c>
      <c r="B1144" s="6">
        <v>45464</v>
      </c>
      <c r="C1144" s="7">
        <v>0.39583333333333331</v>
      </c>
      <c r="D1144" s="5" t="s">
        <v>1815</v>
      </c>
      <c r="E1144" s="5" t="s">
        <v>2155</v>
      </c>
      <c r="F1144" s="5" t="s">
        <v>1761</v>
      </c>
      <c r="G1144" s="5" t="s">
        <v>2247</v>
      </c>
      <c r="H1144" s="5" t="s">
        <v>2257</v>
      </c>
      <c r="I1144" s="5" t="s">
        <v>2262</v>
      </c>
      <c r="J1144" s="5" t="s">
        <v>2265</v>
      </c>
      <c r="K1144" s="8">
        <v>1</v>
      </c>
      <c r="L1144" s="9">
        <v>110</v>
      </c>
      <c r="M1144" s="10">
        <v>0</v>
      </c>
      <c r="N1144" s="9">
        <f t="shared" si="214"/>
        <v>110</v>
      </c>
      <c r="O1144" s="9">
        <f t="shared" si="204"/>
        <v>110</v>
      </c>
      <c r="P1144" s="5" t="s">
        <v>2269</v>
      </c>
      <c r="Q1144" s="5" t="s">
        <v>1761</v>
      </c>
      <c r="R1144" s="5" t="s">
        <v>2277</v>
      </c>
      <c r="S1144" s="5" t="s">
        <v>2282</v>
      </c>
      <c r="T1144" s="5" t="s">
        <v>2290</v>
      </c>
      <c r="U1144" s="8">
        <v>4</v>
      </c>
      <c r="V1144" s="8">
        <v>499</v>
      </c>
      <c r="W1144" s="8">
        <v>45</v>
      </c>
      <c r="X1144" s="9">
        <v>58.22</v>
      </c>
      <c r="Y1144" s="9">
        <f t="shared" si="205"/>
        <v>51.78</v>
      </c>
      <c r="Z1144" s="5" t="s">
        <v>2293</v>
      </c>
      <c r="AA1144" s="5" t="s">
        <v>2296</v>
      </c>
      <c r="AB1144" s="9">
        <f t="shared" si="206"/>
        <v>110</v>
      </c>
      <c r="AC1144" s="9">
        <f t="shared" si="207"/>
        <v>0</v>
      </c>
      <c r="AD1144" s="9">
        <f t="shared" si="208"/>
        <v>110</v>
      </c>
      <c r="AE1144" s="9">
        <f t="shared" si="209"/>
        <v>58.22</v>
      </c>
      <c r="AF1144" s="9">
        <f t="shared" si="215"/>
        <v>51.78</v>
      </c>
      <c r="AG1144" s="8">
        <f t="shared" si="210"/>
        <v>2024</v>
      </c>
      <c r="AH1144" s="8">
        <f t="shared" si="211"/>
        <v>6</v>
      </c>
      <c r="AI1144" s="5" t="str">
        <f t="shared" si="212"/>
        <v>Jun</v>
      </c>
      <c r="AJ1144" s="5" t="str">
        <f t="shared" si="213"/>
        <v>Friday</v>
      </c>
    </row>
    <row r="1145" spans="1:36" x14ac:dyDescent="0.3">
      <c r="A1145" s="5" t="s">
        <v>1179</v>
      </c>
      <c r="B1145" s="6">
        <v>45609</v>
      </c>
      <c r="C1145" s="7">
        <v>0.38194444444444442</v>
      </c>
      <c r="D1145" s="5" t="s">
        <v>1761</v>
      </c>
      <c r="E1145" s="5" t="s">
        <v>2141</v>
      </c>
      <c r="F1145" s="5" t="s">
        <v>2240</v>
      </c>
      <c r="G1145" s="5" t="s">
        <v>2250</v>
      </c>
      <c r="H1145" s="5" t="s">
        <v>2259</v>
      </c>
      <c r="I1145" s="5" t="s">
        <v>2262</v>
      </c>
      <c r="J1145" s="5" t="s">
        <v>2265</v>
      </c>
      <c r="K1145" s="8">
        <v>1</v>
      </c>
      <c r="L1145" s="9">
        <v>80</v>
      </c>
      <c r="M1145" s="10">
        <v>0.1</v>
      </c>
      <c r="N1145" s="9">
        <f t="shared" si="214"/>
        <v>80</v>
      </c>
      <c r="O1145" s="9">
        <f t="shared" si="204"/>
        <v>72</v>
      </c>
      <c r="P1145" s="5" t="s">
        <v>2269</v>
      </c>
      <c r="Q1145" s="5" t="s">
        <v>2272</v>
      </c>
      <c r="R1145" s="5" t="s">
        <v>2278</v>
      </c>
      <c r="S1145" s="5" t="s">
        <v>2287</v>
      </c>
      <c r="T1145" s="5" t="s">
        <v>2289</v>
      </c>
      <c r="U1145" s="8">
        <v>3</v>
      </c>
      <c r="V1145" s="8">
        <v>241</v>
      </c>
      <c r="W1145" s="8">
        <v>50</v>
      </c>
      <c r="X1145" s="9">
        <v>33.07</v>
      </c>
      <c r="Y1145" s="9">
        <f t="shared" si="205"/>
        <v>38.93</v>
      </c>
      <c r="Z1145" s="5" t="s">
        <v>2291</v>
      </c>
      <c r="AA1145" s="5" t="s">
        <v>2297</v>
      </c>
      <c r="AB1145" s="9">
        <f t="shared" si="206"/>
        <v>80</v>
      </c>
      <c r="AC1145" s="9">
        <f t="shared" si="207"/>
        <v>8</v>
      </c>
      <c r="AD1145" s="9">
        <f t="shared" si="208"/>
        <v>72</v>
      </c>
      <c r="AE1145" s="9">
        <f t="shared" si="209"/>
        <v>33.07</v>
      </c>
      <c r="AF1145" s="9">
        <f t="shared" si="215"/>
        <v>38.93</v>
      </c>
      <c r="AG1145" s="8">
        <f t="shared" si="210"/>
        <v>2024</v>
      </c>
      <c r="AH1145" s="8">
        <f t="shared" si="211"/>
        <v>11</v>
      </c>
      <c r="AI1145" s="5" t="str">
        <f t="shared" si="212"/>
        <v>Nov</v>
      </c>
      <c r="AJ1145" s="5" t="str">
        <f t="shared" si="213"/>
        <v>Wednesday</v>
      </c>
    </row>
    <row r="1146" spans="1:36" x14ac:dyDescent="0.3">
      <c r="A1146" s="5" t="s">
        <v>1180</v>
      </c>
      <c r="B1146" s="18">
        <v>45468</v>
      </c>
      <c r="C1146" s="7">
        <v>0.52083333333333337</v>
      </c>
      <c r="D1146" s="5" t="s">
        <v>1869</v>
      </c>
      <c r="E1146" s="5" t="s">
        <v>2149</v>
      </c>
      <c r="F1146" s="5" t="s">
        <v>2240</v>
      </c>
      <c r="G1146" s="5" t="s">
        <v>2253</v>
      </c>
      <c r="H1146" s="5" t="s">
        <v>2258</v>
      </c>
      <c r="I1146" s="5" t="s">
        <v>2260</v>
      </c>
      <c r="J1146" s="5" t="s">
        <v>1761</v>
      </c>
      <c r="K1146" s="8">
        <v>2</v>
      </c>
      <c r="L1146" s="9">
        <v>95</v>
      </c>
      <c r="M1146" s="10">
        <v>0</v>
      </c>
      <c r="N1146" s="9">
        <f t="shared" si="214"/>
        <v>190</v>
      </c>
      <c r="O1146" s="9">
        <f t="shared" si="204"/>
        <v>190</v>
      </c>
      <c r="P1146" s="5" t="s">
        <v>1761</v>
      </c>
      <c r="Q1146" s="5" t="s">
        <v>2272</v>
      </c>
      <c r="R1146" s="5" t="s">
        <v>2274</v>
      </c>
      <c r="S1146" s="5" t="s">
        <v>2283</v>
      </c>
      <c r="T1146" s="5" t="s">
        <v>2288</v>
      </c>
      <c r="U1146" s="8">
        <v>3</v>
      </c>
      <c r="V1146" s="8">
        <v>107</v>
      </c>
      <c r="W1146" s="8">
        <v>14</v>
      </c>
      <c r="X1146" s="9">
        <v>40.700000000000003</v>
      </c>
      <c r="Y1146" s="9">
        <f t="shared" si="205"/>
        <v>108.6</v>
      </c>
      <c r="Z1146" s="5" t="s">
        <v>1761</v>
      </c>
      <c r="AA1146" s="5" t="s">
        <v>2296</v>
      </c>
      <c r="AB1146" s="9">
        <f t="shared" si="206"/>
        <v>190</v>
      </c>
      <c r="AC1146" s="9">
        <f t="shared" si="207"/>
        <v>0</v>
      </c>
      <c r="AD1146" s="9">
        <f t="shared" si="208"/>
        <v>190</v>
      </c>
      <c r="AE1146" s="9">
        <f t="shared" si="209"/>
        <v>81.400000000000006</v>
      </c>
      <c r="AF1146" s="9">
        <f t="shared" si="215"/>
        <v>108.6</v>
      </c>
      <c r="AG1146" s="8">
        <f t="shared" si="210"/>
        <v>2024</v>
      </c>
      <c r="AH1146" s="8">
        <f t="shared" si="211"/>
        <v>6</v>
      </c>
      <c r="AI1146" s="5" t="str">
        <f t="shared" si="212"/>
        <v>Jun</v>
      </c>
      <c r="AJ1146" s="5" t="str">
        <f t="shared" si="213"/>
        <v>Tuesday</v>
      </c>
    </row>
    <row r="1147" spans="1:36" x14ac:dyDescent="0.3">
      <c r="A1147" s="5" t="s">
        <v>1181</v>
      </c>
      <c r="B1147" s="6">
        <v>45633</v>
      </c>
      <c r="C1147" s="7">
        <v>0.86805555555555558</v>
      </c>
      <c r="D1147" s="5" t="s">
        <v>1909</v>
      </c>
      <c r="E1147" s="5" t="s">
        <v>2018</v>
      </c>
      <c r="F1147" s="5" t="s">
        <v>2239</v>
      </c>
      <c r="G1147" s="5" t="s">
        <v>2243</v>
      </c>
      <c r="H1147" s="5" t="s">
        <v>2258</v>
      </c>
      <c r="I1147" s="5" t="s">
        <v>2260</v>
      </c>
      <c r="J1147" s="5" t="s">
        <v>2264</v>
      </c>
      <c r="K1147" s="8">
        <v>1</v>
      </c>
      <c r="L1147" s="9">
        <v>75</v>
      </c>
      <c r="M1147" s="10">
        <v>0.05</v>
      </c>
      <c r="N1147" s="9">
        <f t="shared" si="214"/>
        <v>75</v>
      </c>
      <c r="O1147" s="9">
        <f t="shared" si="204"/>
        <v>71.25</v>
      </c>
      <c r="P1147" s="5" t="s">
        <v>2267</v>
      </c>
      <c r="Q1147" s="5" t="s">
        <v>1761</v>
      </c>
      <c r="R1147" s="5" t="s">
        <v>2275</v>
      </c>
      <c r="S1147" s="5" t="s">
        <v>2281</v>
      </c>
      <c r="T1147" s="5" t="s">
        <v>2289</v>
      </c>
      <c r="U1147" s="8">
        <v>4</v>
      </c>
      <c r="V1147" s="8">
        <v>278</v>
      </c>
      <c r="W1147" s="8">
        <v>46</v>
      </c>
      <c r="X1147" s="9">
        <v>37.29</v>
      </c>
      <c r="Y1147" s="9">
        <f t="shared" si="205"/>
        <v>33.96</v>
      </c>
      <c r="Z1147" s="5" t="s">
        <v>2291</v>
      </c>
      <c r="AA1147" s="5" t="s">
        <v>2296</v>
      </c>
      <c r="AB1147" s="9">
        <f t="shared" si="206"/>
        <v>75</v>
      </c>
      <c r="AC1147" s="9">
        <f t="shared" si="207"/>
        <v>3.75</v>
      </c>
      <c r="AD1147" s="9">
        <f t="shared" si="208"/>
        <v>71.25</v>
      </c>
      <c r="AE1147" s="9">
        <f t="shared" si="209"/>
        <v>37.29</v>
      </c>
      <c r="AF1147" s="9">
        <f t="shared" si="215"/>
        <v>33.96</v>
      </c>
      <c r="AG1147" s="8">
        <f t="shared" si="210"/>
        <v>2024</v>
      </c>
      <c r="AH1147" s="8">
        <f t="shared" si="211"/>
        <v>12</v>
      </c>
      <c r="AI1147" s="5" t="str">
        <f t="shared" si="212"/>
        <v>Dec</v>
      </c>
      <c r="AJ1147" s="5" t="str">
        <f t="shared" si="213"/>
        <v>Saturday</v>
      </c>
    </row>
    <row r="1148" spans="1:36" x14ac:dyDescent="0.3">
      <c r="A1148" s="5" t="s">
        <v>1182</v>
      </c>
      <c r="B1148" s="6">
        <v>45397</v>
      </c>
      <c r="C1148" s="7">
        <v>0.79166666666666663</v>
      </c>
      <c r="D1148" s="5" t="s">
        <v>1816</v>
      </c>
      <c r="E1148" s="5" t="s">
        <v>2120</v>
      </c>
      <c r="F1148" s="5" t="s">
        <v>2238</v>
      </c>
      <c r="G1148" s="5" t="s">
        <v>2248</v>
      </c>
      <c r="H1148" s="5" t="s">
        <v>2257</v>
      </c>
      <c r="I1148" s="5" t="s">
        <v>2262</v>
      </c>
      <c r="J1148" s="5" t="s">
        <v>2266</v>
      </c>
      <c r="K1148" s="19">
        <v>2</v>
      </c>
      <c r="L1148" s="9">
        <v>140</v>
      </c>
      <c r="M1148" s="10">
        <v>0</v>
      </c>
      <c r="N1148" s="9">
        <f t="shared" si="214"/>
        <v>280</v>
      </c>
      <c r="O1148" s="9">
        <f t="shared" si="204"/>
        <v>280</v>
      </c>
      <c r="P1148" s="5" t="s">
        <v>2268</v>
      </c>
      <c r="Q1148" s="5" t="s">
        <v>2272</v>
      </c>
      <c r="R1148" s="5" t="s">
        <v>2277</v>
      </c>
      <c r="S1148" s="5" t="s">
        <v>2285</v>
      </c>
      <c r="T1148" s="5" t="s">
        <v>2289</v>
      </c>
      <c r="U1148" s="19">
        <v>3</v>
      </c>
      <c r="V1148" s="19">
        <v>244</v>
      </c>
      <c r="W1148" s="8">
        <v>55</v>
      </c>
      <c r="X1148" s="9">
        <v>54</v>
      </c>
      <c r="Y1148" s="9">
        <f t="shared" si="205"/>
        <v>172</v>
      </c>
      <c r="Z1148" s="5" t="s">
        <v>2291</v>
      </c>
      <c r="AA1148" s="5" t="s">
        <v>2296</v>
      </c>
      <c r="AB1148" s="9">
        <f t="shared" si="206"/>
        <v>280</v>
      </c>
      <c r="AC1148" s="9">
        <f t="shared" si="207"/>
        <v>0</v>
      </c>
      <c r="AD1148" s="9">
        <f t="shared" si="208"/>
        <v>280</v>
      </c>
      <c r="AE1148" s="9">
        <f t="shared" si="209"/>
        <v>108</v>
      </c>
      <c r="AF1148" s="9">
        <f t="shared" si="215"/>
        <v>172</v>
      </c>
      <c r="AG1148" s="8">
        <f t="shared" si="210"/>
        <v>2024</v>
      </c>
      <c r="AH1148" s="8">
        <f t="shared" si="211"/>
        <v>4</v>
      </c>
      <c r="AI1148" s="5" t="str">
        <f t="shared" si="212"/>
        <v>Apr</v>
      </c>
      <c r="AJ1148" s="5" t="str">
        <f t="shared" si="213"/>
        <v>Monday</v>
      </c>
    </row>
    <row r="1149" spans="1:36" x14ac:dyDescent="0.3">
      <c r="A1149" s="5" t="s">
        <v>1183</v>
      </c>
      <c r="B1149" s="6">
        <v>45522</v>
      </c>
      <c r="C1149" s="7">
        <v>0.84375</v>
      </c>
      <c r="D1149" s="5" t="s">
        <v>1862</v>
      </c>
      <c r="E1149" s="5" t="s">
        <v>2010</v>
      </c>
      <c r="F1149" s="5" t="s">
        <v>2239</v>
      </c>
      <c r="G1149" s="5" t="s">
        <v>2255</v>
      </c>
      <c r="H1149" s="5" t="s">
        <v>2260</v>
      </c>
      <c r="I1149" s="5" t="s">
        <v>2260</v>
      </c>
      <c r="J1149" s="5" t="s">
        <v>2266</v>
      </c>
      <c r="K1149" s="8">
        <v>1</v>
      </c>
      <c r="L1149" s="9">
        <v>180</v>
      </c>
      <c r="M1149" s="10">
        <v>0.05</v>
      </c>
      <c r="N1149" s="9">
        <f t="shared" si="214"/>
        <v>180</v>
      </c>
      <c r="O1149" s="9">
        <f t="shared" si="204"/>
        <v>171</v>
      </c>
      <c r="P1149" s="5" t="s">
        <v>2268</v>
      </c>
      <c r="Q1149" s="5" t="s">
        <v>2271</v>
      </c>
      <c r="R1149" s="5" t="s">
        <v>2275</v>
      </c>
      <c r="S1149" s="5" t="s">
        <v>2283</v>
      </c>
      <c r="T1149" s="5" t="s">
        <v>2288</v>
      </c>
      <c r="U1149" s="8">
        <v>5</v>
      </c>
      <c r="V1149" s="8">
        <v>400</v>
      </c>
      <c r="W1149" s="8">
        <v>56</v>
      </c>
      <c r="X1149" s="9">
        <v>92.49</v>
      </c>
      <c r="Y1149" s="9">
        <f t="shared" si="205"/>
        <v>78.510000000000005</v>
      </c>
      <c r="Z1149" s="5" t="s">
        <v>2293</v>
      </c>
      <c r="AA1149" s="5" t="s">
        <v>2299</v>
      </c>
      <c r="AB1149" s="9">
        <f t="shared" si="206"/>
        <v>180</v>
      </c>
      <c r="AC1149" s="9">
        <f t="shared" si="207"/>
        <v>9</v>
      </c>
      <c r="AD1149" s="9">
        <f t="shared" si="208"/>
        <v>171</v>
      </c>
      <c r="AE1149" s="9">
        <f t="shared" si="209"/>
        <v>92.49</v>
      </c>
      <c r="AF1149" s="9">
        <f t="shared" si="215"/>
        <v>78.510000000000005</v>
      </c>
      <c r="AG1149" s="8">
        <f t="shared" si="210"/>
        <v>2024</v>
      </c>
      <c r="AH1149" s="8">
        <f t="shared" si="211"/>
        <v>8</v>
      </c>
      <c r="AI1149" s="5" t="str">
        <f t="shared" si="212"/>
        <v>Aug</v>
      </c>
      <c r="AJ1149" s="5" t="str">
        <f t="shared" si="213"/>
        <v>Sunday</v>
      </c>
    </row>
    <row r="1150" spans="1:36" x14ac:dyDescent="0.3">
      <c r="A1150" s="5" t="s">
        <v>1184</v>
      </c>
      <c r="B1150" s="6">
        <v>45348</v>
      </c>
      <c r="C1150" s="7">
        <v>0.50694444444444442</v>
      </c>
      <c r="D1150" s="5" t="s">
        <v>1843</v>
      </c>
      <c r="E1150" s="5" t="s">
        <v>2209</v>
      </c>
      <c r="F1150" s="5" t="s">
        <v>1761</v>
      </c>
      <c r="G1150" s="5" t="s">
        <v>2246</v>
      </c>
      <c r="H1150" s="5" t="s">
        <v>2259</v>
      </c>
      <c r="I1150" s="5" t="s">
        <v>2262</v>
      </c>
      <c r="J1150" s="5" t="s">
        <v>2264</v>
      </c>
      <c r="K1150" s="8">
        <v>1</v>
      </c>
      <c r="L1150" s="9">
        <v>90</v>
      </c>
      <c r="M1150" s="10">
        <v>0.05</v>
      </c>
      <c r="N1150" s="9">
        <f t="shared" si="214"/>
        <v>90</v>
      </c>
      <c r="O1150" s="9">
        <f t="shared" si="204"/>
        <v>85.5</v>
      </c>
      <c r="P1150" s="5" t="s">
        <v>2269</v>
      </c>
      <c r="Q1150" s="5" t="s">
        <v>2271</v>
      </c>
      <c r="R1150" s="5" t="s">
        <v>2277</v>
      </c>
      <c r="S1150" s="5" t="s">
        <v>2280</v>
      </c>
      <c r="T1150" s="5" t="s">
        <v>2290</v>
      </c>
      <c r="U1150" s="8">
        <v>3</v>
      </c>
      <c r="V1150" s="8">
        <v>450</v>
      </c>
      <c r="W1150" s="8">
        <v>34</v>
      </c>
      <c r="X1150" s="9">
        <v>38.4</v>
      </c>
      <c r="Y1150" s="9">
        <f t="shared" si="205"/>
        <v>47.1</v>
      </c>
      <c r="Z1150" s="5" t="s">
        <v>2291</v>
      </c>
      <c r="AA1150" s="5" t="s">
        <v>1761</v>
      </c>
      <c r="AB1150" s="9">
        <f t="shared" si="206"/>
        <v>90</v>
      </c>
      <c r="AC1150" s="9">
        <f t="shared" si="207"/>
        <v>4.5</v>
      </c>
      <c r="AD1150" s="9">
        <f t="shared" si="208"/>
        <v>85.5</v>
      </c>
      <c r="AE1150" s="9">
        <f t="shared" si="209"/>
        <v>38.4</v>
      </c>
      <c r="AF1150" s="9">
        <f t="shared" si="215"/>
        <v>47.1</v>
      </c>
      <c r="AG1150" s="8">
        <f t="shared" si="210"/>
        <v>2024</v>
      </c>
      <c r="AH1150" s="8">
        <f t="shared" si="211"/>
        <v>2</v>
      </c>
      <c r="AI1150" s="5" t="str">
        <f t="shared" si="212"/>
        <v>Feb</v>
      </c>
      <c r="AJ1150" s="5" t="str">
        <f t="shared" si="213"/>
        <v>Monday</v>
      </c>
    </row>
    <row r="1151" spans="1:36" x14ac:dyDescent="0.3">
      <c r="A1151" s="5" t="s">
        <v>1185</v>
      </c>
      <c r="B1151" s="6">
        <v>45452</v>
      </c>
      <c r="C1151" s="7">
        <v>0.63541666666666663</v>
      </c>
      <c r="D1151" s="5" t="s">
        <v>1914</v>
      </c>
      <c r="E1151" s="5" t="s">
        <v>2033</v>
      </c>
      <c r="F1151" s="5" t="s">
        <v>2239</v>
      </c>
      <c r="G1151" s="5" t="s">
        <v>2242</v>
      </c>
      <c r="H1151" s="5" t="s">
        <v>2258</v>
      </c>
      <c r="I1151" s="5" t="s">
        <v>2260</v>
      </c>
      <c r="J1151" s="5" t="s">
        <v>2265</v>
      </c>
      <c r="K1151" s="8">
        <v>2</v>
      </c>
      <c r="L1151" s="9">
        <v>115</v>
      </c>
      <c r="M1151" s="10">
        <v>0</v>
      </c>
      <c r="N1151" s="9">
        <f t="shared" si="214"/>
        <v>230</v>
      </c>
      <c r="O1151" s="9">
        <f t="shared" si="204"/>
        <v>230</v>
      </c>
      <c r="P1151" s="5" t="s">
        <v>2267</v>
      </c>
      <c r="Q1151" s="5" t="s">
        <v>2272</v>
      </c>
      <c r="R1151" s="5" t="s">
        <v>2277</v>
      </c>
      <c r="S1151" s="5" t="s">
        <v>2281</v>
      </c>
      <c r="T1151" s="5" t="s">
        <v>2290</v>
      </c>
      <c r="U1151" s="8">
        <v>3</v>
      </c>
      <c r="V1151" s="8">
        <v>221</v>
      </c>
      <c r="W1151" s="8">
        <v>25</v>
      </c>
      <c r="X1151" s="9">
        <v>46.86</v>
      </c>
      <c r="Y1151" s="9">
        <f t="shared" si="205"/>
        <v>136.28</v>
      </c>
      <c r="Z1151" s="5" t="s">
        <v>2292</v>
      </c>
      <c r="AA1151" s="5" t="s">
        <v>2299</v>
      </c>
      <c r="AB1151" s="9">
        <f t="shared" si="206"/>
        <v>230</v>
      </c>
      <c r="AC1151" s="9">
        <f t="shared" si="207"/>
        <v>0</v>
      </c>
      <c r="AD1151" s="9">
        <f t="shared" si="208"/>
        <v>230</v>
      </c>
      <c r="AE1151" s="9">
        <f t="shared" si="209"/>
        <v>93.72</v>
      </c>
      <c r="AF1151" s="9">
        <f t="shared" si="215"/>
        <v>136.28</v>
      </c>
      <c r="AG1151" s="8">
        <f t="shared" si="210"/>
        <v>2024</v>
      </c>
      <c r="AH1151" s="8">
        <f t="shared" si="211"/>
        <v>6</v>
      </c>
      <c r="AI1151" s="5" t="str">
        <f t="shared" si="212"/>
        <v>Jun</v>
      </c>
      <c r="AJ1151" s="5" t="str">
        <f t="shared" si="213"/>
        <v>Sunday</v>
      </c>
    </row>
    <row r="1152" spans="1:36" x14ac:dyDescent="0.3">
      <c r="A1152" s="5" t="s">
        <v>1186</v>
      </c>
      <c r="B1152" s="6">
        <v>45356</v>
      </c>
      <c r="C1152" s="7">
        <v>0.48958333333333331</v>
      </c>
      <c r="D1152" s="5" t="s">
        <v>1827</v>
      </c>
      <c r="E1152" s="5" t="s">
        <v>1973</v>
      </c>
      <c r="F1152" s="5" t="s">
        <v>2240</v>
      </c>
      <c r="G1152" s="5" t="s">
        <v>2249</v>
      </c>
      <c r="H1152" s="5" t="s">
        <v>2257</v>
      </c>
      <c r="I1152" s="5" t="s">
        <v>2263</v>
      </c>
      <c r="J1152" s="5" t="s">
        <v>2264</v>
      </c>
      <c r="K1152" s="8">
        <v>2</v>
      </c>
      <c r="L1152" s="9">
        <v>160</v>
      </c>
      <c r="M1152" s="10">
        <v>0.1</v>
      </c>
      <c r="N1152" s="9">
        <f t="shared" si="214"/>
        <v>320</v>
      </c>
      <c r="O1152" s="9">
        <f t="shared" si="204"/>
        <v>288</v>
      </c>
      <c r="P1152" s="5" t="s">
        <v>2269</v>
      </c>
      <c r="Q1152" s="5" t="s">
        <v>2272</v>
      </c>
      <c r="R1152" s="5" t="s">
        <v>2274</v>
      </c>
      <c r="S1152" s="5" t="s">
        <v>2281</v>
      </c>
      <c r="T1152" s="5" t="s">
        <v>2288</v>
      </c>
      <c r="U1152" s="8">
        <v>5</v>
      </c>
      <c r="V1152" s="8">
        <v>238</v>
      </c>
      <c r="W1152" s="8">
        <v>15</v>
      </c>
      <c r="X1152" s="9">
        <v>87.78</v>
      </c>
      <c r="Y1152" s="9">
        <f t="shared" si="205"/>
        <v>112.44</v>
      </c>
      <c r="Z1152" s="5" t="s">
        <v>2293</v>
      </c>
      <c r="AA1152" s="5" t="s">
        <v>2297</v>
      </c>
      <c r="AB1152" s="9">
        <f t="shared" si="206"/>
        <v>320</v>
      </c>
      <c r="AC1152" s="9">
        <f t="shared" si="207"/>
        <v>32</v>
      </c>
      <c r="AD1152" s="9">
        <f t="shared" si="208"/>
        <v>288</v>
      </c>
      <c r="AE1152" s="9">
        <f t="shared" si="209"/>
        <v>175.56</v>
      </c>
      <c r="AF1152" s="9">
        <f t="shared" si="215"/>
        <v>112.44</v>
      </c>
      <c r="AG1152" s="8">
        <f t="shared" si="210"/>
        <v>2024</v>
      </c>
      <c r="AH1152" s="8">
        <f t="shared" si="211"/>
        <v>3</v>
      </c>
      <c r="AI1152" s="5" t="str">
        <f t="shared" si="212"/>
        <v>Mar</v>
      </c>
      <c r="AJ1152" s="5" t="str">
        <f t="shared" si="213"/>
        <v>Tuesday</v>
      </c>
    </row>
    <row r="1153" spans="1:36" x14ac:dyDescent="0.3">
      <c r="A1153" s="5" t="s">
        <v>1187</v>
      </c>
      <c r="B1153" s="6">
        <v>45608</v>
      </c>
      <c r="C1153" s="7">
        <v>0.29166666666666669</v>
      </c>
      <c r="D1153" s="5" t="s">
        <v>1825</v>
      </c>
      <c r="E1153" s="5" t="s">
        <v>2192</v>
      </c>
      <c r="F1153" s="5" t="s">
        <v>1761</v>
      </c>
      <c r="G1153" s="5" t="s">
        <v>2251</v>
      </c>
      <c r="H1153" s="5" t="s">
        <v>2258</v>
      </c>
      <c r="I1153" s="5" t="s">
        <v>2260</v>
      </c>
      <c r="J1153" s="5" t="s">
        <v>2264</v>
      </c>
      <c r="K1153" s="8">
        <v>2</v>
      </c>
      <c r="L1153" s="9">
        <v>100</v>
      </c>
      <c r="M1153" s="10">
        <v>0.1</v>
      </c>
      <c r="N1153" s="9">
        <f t="shared" si="214"/>
        <v>200</v>
      </c>
      <c r="O1153" s="9">
        <f t="shared" si="204"/>
        <v>180</v>
      </c>
      <c r="P1153" s="5" t="s">
        <v>2268</v>
      </c>
      <c r="Q1153" s="5" t="s">
        <v>2271</v>
      </c>
      <c r="R1153" s="5" t="s">
        <v>2279</v>
      </c>
      <c r="S1153" s="5" t="s">
        <v>2281</v>
      </c>
      <c r="T1153" s="5" t="s">
        <v>2290</v>
      </c>
      <c r="U1153" s="8">
        <v>2</v>
      </c>
      <c r="V1153" s="8">
        <v>81</v>
      </c>
      <c r="W1153" s="8">
        <v>45</v>
      </c>
      <c r="X1153" s="9">
        <v>54.15</v>
      </c>
      <c r="Y1153" s="9">
        <f t="shared" si="205"/>
        <v>71.7</v>
      </c>
      <c r="Z1153" s="5" t="s">
        <v>2291</v>
      </c>
      <c r="AA1153" s="5" t="s">
        <v>1761</v>
      </c>
      <c r="AB1153" s="9">
        <f t="shared" si="206"/>
        <v>200</v>
      </c>
      <c r="AC1153" s="9">
        <f t="shared" si="207"/>
        <v>20</v>
      </c>
      <c r="AD1153" s="9">
        <f t="shared" si="208"/>
        <v>180</v>
      </c>
      <c r="AE1153" s="9">
        <f t="shared" si="209"/>
        <v>108.3</v>
      </c>
      <c r="AF1153" s="9">
        <f t="shared" si="215"/>
        <v>71.7</v>
      </c>
      <c r="AG1153" s="8">
        <f t="shared" si="210"/>
        <v>2024</v>
      </c>
      <c r="AH1153" s="8">
        <f t="shared" si="211"/>
        <v>11</v>
      </c>
      <c r="AI1153" s="5" t="str">
        <f t="shared" si="212"/>
        <v>Nov</v>
      </c>
      <c r="AJ1153" s="5" t="str">
        <f t="shared" si="213"/>
        <v>Tuesday</v>
      </c>
    </row>
    <row r="1154" spans="1:36" x14ac:dyDescent="0.3">
      <c r="A1154" s="5" t="s">
        <v>1188</v>
      </c>
      <c r="B1154" s="6">
        <v>45607</v>
      </c>
      <c r="C1154" s="7">
        <v>0.38541666666666669</v>
      </c>
      <c r="D1154" s="5" t="s">
        <v>1938</v>
      </c>
      <c r="E1154" s="5" t="s">
        <v>2216</v>
      </c>
      <c r="F1154" s="5" t="s">
        <v>2240</v>
      </c>
      <c r="G1154" s="5" t="s">
        <v>2253</v>
      </c>
      <c r="H1154" s="5" t="s">
        <v>2258</v>
      </c>
      <c r="I1154" s="5" t="s">
        <v>2260</v>
      </c>
      <c r="J1154" s="5" t="s">
        <v>2265</v>
      </c>
      <c r="K1154" s="8">
        <v>1</v>
      </c>
      <c r="L1154" s="9">
        <v>85</v>
      </c>
      <c r="M1154" s="10">
        <v>0</v>
      </c>
      <c r="N1154" s="9">
        <f t="shared" si="214"/>
        <v>85</v>
      </c>
      <c r="O1154" s="9">
        <f t="shared" ref="O1154:O1217" si="216">IF(N1154="","",N1154*(1-IF(M1154="",0,M1154)))</f>
        <v>85</v>
      </c>
      <c r="P1154" s="5" t="s">
        <v>2268</v>
      </c>
      <c r="Q1154" s="5" t="s">
        <v>2272</v>
      </c>
      <c r="R1154" s="5" t="s">
        <v>2279</v>
      </c>
      <c r="S1154" s="5" t="s">
        <v>2287</v>
      </c>
      <c r="T1154" s="5" t="s">
        <v>2288</v>
      </c>
      <c r="U1154" s="8">
        <v>3</v>
      </c>
      <c r="V1154" s="8">
        <v>366</v>
      </c>
      <c r="W1154" s="8">
        <v>60</v>
      </c>
      <c r="X1154" s="9">
        <v>37.21</v>
      </c>
      <c r="Y1154" s="9">
        <f t="shared" ref="Y1154:Y1217" si="217">IF(OR(O1154="",K1154="",X1154=""),"",O1154-K1154*X1154)</f>
        <v>47.79</v>
      </c>
      <c r="Z1154" s="5" t="s">
        <v>1761</v>
      </c>
      <c r="AA1154" s="5" t="s">
        <v>1761</v>
      </c>
      <c r="AB1154" s="9">
        <f t="shared" ref="AB1154:AB1217" si="218">N1154</f>
        <v>85</v>
      </c>
      <c r="AC1154" s="9">
        <f t="shared" ref="AC1154:AC1217" si="219">IF(N1154="","",N1154*IF(M1154="",0,M1154))</f>
        <v>0</v>
      </c>
      <c r="AD1154" s="9">
        <f t="shared" ref="AD1154:AD1217" si="220">O1154</f>
        <v>85</v>
      </c>
      <c r="AE1154" s="9">
        <f t="shared" ref="AE1154:AE1217" si="221">IF(OR(K1154="",X1154=""),"",K1154*X1154)</f>
        <v>37.21</v>
      </c>
      <c r="AF1154" s="9">
        <f t="shared" si="215"/>
        <v>47.79</v>
      </c>
      <c r="AG1154" s="8">
        <f t="shared" ref="AG1154:AG1217" si="222">IF(B1154="","",YEAR(B1154))</f>
        <v>2024</v>
      </c>
      <c r="AH1154" s="8">
        <f t="shared" ref="AH1154:AH1217" si="223">IF(B1154="","",MONTH(B1154))</f>
        <v>11</v>
      </c>
      <c r="AI1154" s="5" t="str">
        <f t="shared" ref="AI1154:AI1217" si="224">IF(B1154="","",TEXT(B1154,"mmm"))</f>
        <v>Nov</v>
      </c>
      <c r="AJ1154" s="5" t="str">
        <f t="shared" ref="AJ1154:AJ1217" si="225">IF(B1154="","",TEXT(B1154,"dddd"))</f>
        <v>Monday</v>
      </c>
    </row>
    <row r="1155" spans="1:36" x14ac:dyDescent="0.3">
      <c r="A1155" s="5" t="s">
        <v>1189</v>
      </c>
      <c r="B1155" s="6">
        <v>45516</v>
      </c>
      <c r="C1155" s="7">
        <v>0.63194444444444442</v>
      </c>
      <c r="D1155" s="5" t="s">
        <v>1866</v>
      </c>
      <c r="E1155" s="5" t="s">
        <v>2014</v>
      </c>
      <c r="F1155" s="5" t="s">
        <v>2239</v>
      </c>
      <c r="G1155" s="5" t="s">
        <v>2254</v>
      </c>
      <c r="H1155" s="5" t="s">
        <v>2259</v>
      </c>
      <c r="I1155" s="5" t="s">
        <v>2263</v>
      </c>
      <c r="J1155" s="5" t="s">
        <v>2266</v>
      </c>
      <c r="K1155" s="8">
        <v>1</v>
      </c>
      <c r="L1155" s="9">
        <v>110</v>
      </c>
      <c r="M1155" s="10">
        <v>0</v>
      </c>
      <c r="N1155" s="9">
        <f t="shared" ref="N1155:N1218" si="226">IFERROR(K1155*L1155,"")</f>
        <v>110</v>
      </c>
      <c r="O1155" s="9">
        <f t="shared" si="216"/>
        <v>110</v>
      </c>
      <c r="P1155" s="5" t="s">
        <v>1761</v>
      </c>
      <c r="Q1155" s="5" t="s">
        <v>2272</v>
      </c>
      <c r="R1155" s="5" t="s">
        <v>2276</v>
      </c>
      <c r="S1155" s="5" t="s">
        <v>2286</v>
      </c>
      <c r="T1155" s="5" t="s">
        <v>2288</v>
      </c>
      <c r="U1155" s="8">
        <v>4</v>
      </c>
      <c r="V1155" s="8">
        <v>132</v>
      </c>
      <c r="W1155" s="8">
        <v>32</v>
      </c>
      <c r="X1155" s="9">
        <v>60.11</v>
      </c>
      <c r="Y1155" s="9">
        <f t="shared" si="217"/>
        <v>49.89</v>
      </c>
      <c r="Z1155" s="5" t="s">
        <v>2293</v>
      </c>
      <c r="AA1155" s="5" t="s">
        <v>2296</v>
      </c>
      <c r="AB1155" s="9">
        <f t="shared" si="218"/>
        <v>110</v>
      </c>
      <c r="AC1155" s="9">
        <f t="shared" si="219"/>
        <v>0</v>
      </c>
      <c r="AD1155" s="9">
        <f t="shared" si="220"/>
        <v>110</v>
      </c>
      <c r="AE1155" s="9">
        <f t="shared" si="221"/>
        <v>60.11</v>
      </c>
      <c r="AF1155" s="9">
        <f t="shared" ref="AF1155:AF1218" si="227">Y1155</f>
        <v>49.89</v>
      </c>
      <c r="AG1155" s="8">
        <f t="shared" si="222"/>
        <v>2024</v>
      </c>
      <c r="AH1155" s="8">
        <f t="shared" si="223"/>
        <v>8</v>
      </c>
      <c r="AI1155" s="5" t="str">
        <f t="shared" si="224"/>
        <v>Aug</v>
      </c>
      <c r="AJ1155" s="5" t="str">
        <f t="shared" si="225"/>
        <v>Monday</v>
      </c>
    </row>
    <row r="1156" spans="1:36" x14ac:dyDescent="0.3">
      <c r="A1156" s="5" t="s">
        <v>1190</v>
      </c>
      <c r="B1156" s="6">
        <v>45312</v>
      </c>
      <c r="C1156" s="7">
        <v>0.80555555555555558</v>
      </c>
      <c r="D1156" s="5" t="s">
        <v>1857</v>
      </c>
      <c r="E1156" s="5" t="s">
        <v>2209</v>
      </c>
      <c r="F1156" s="5" t="s">
        <v>1761</v>
      </c>
      <c r="G1156" s="5" t="s">
        <v>2249</v>
      </c>
      <c r="H1156" s="5" t="s">
        <v>2257</v>
      </c>
      <c r="I1156" s="5" t="s">
        <v>2263</v>
      </c>
      <c r="J1156" s="5" t="s">
        <v>2264</v>
      </c>
      <c r="K1156" s="8">
        <v>1</v>
      </c>
      <c r="L1156" s="9">
        <v>170</v>
      </c>
      <c r="M1156" s="10">
        <v>0.1</v>
      </c>
      <c r="N1156" s="9">
        <f t="shared" si="226"/>
        <v>170</v>
      </c>
      <c r="O1156" s="9">
        <f t="shared" si="216"/>
        <v>153</v>
      </c>
      <c r="P1156" s="5" t="s">
        <v>2267</v>
      </c>
      <c r="Q1156" s="5" t="s">
        <v>1761</v>
      </c>
      <c r="R1156" s="5" t="s">
        <v>2275</v>
      </c>
      <c r="S1156" s="5" t="s">
        <v>2284</v>
      </c>
      <c r="T1156" s="5" t="s">
        <v>2289</v>
      </c>
      <c r="U1156" s="8">
        <v>3</v>
      </c>
      <c r="V1156" s="8">
        <v>142</v>
      </c>
      <c r="W1156" s="8">
        <v>36</v>
      </c>
      <c r="X1156" s="9">
        <v>72.59</v>
      </c>
      <c r="Y1156" s="9">
        <f t="shared" si="217"/>
        <v>80.41</v>
      </c>
      <c r="Z1156" s="5" t="s">
        <v>2293</v>
      </c>
      <c r="AA1156" s="5" t="s">
        <v>2297</v>
      </c>
      <c r="AB1156" s="9">
        <f t="shared" si="218"/>
        <v>170</v>
      </c>
      <c r="AC1156" s="9">
        <f t="shared" si="219"/>
        <v>17</v>
      </c>
      <c r="AD1156" s="9">
        <f t="shared" si="220"/>
        <v>153</v>
      </c>
      <c r="AE1156" s="9">
        <f t="shared" si="221"/>
        <v>72.59</v>
      </c>
      <c r="AF1156" s="9">
        <f t="shared" si="227"/>
        <v>80.41</v>
      </c>
      <c r="AG1156" s="8">
        <f t="shared" si="222"/>
        <v>2024</v>
      </c>
      <c r="AH1156" s="8">
        <f t="shared" si="223"/>
        <v>1</v>
      </c>
      <c r="AI1156" s="5" t="str">
        <f t="shared" si="224"/>
        <v>Jan</v>
      </c>
      <c r="AJ1156" s="5" t="str">
        <f t="shared" si="225"/>
        <v>Sunday</v>
      </c>
    </row>
    <row r="1157" spans="1:36" x14ac:dyDescent="0.3">
      <c r="A1157" s="5" t="s">
        <v>1191</v>
      </c>
      <c r="B1157" s="6">
        <v>45549</v>
      </c>
      <c r="C1157" s="7">
        <v>0.34027777777777779</v>
      </c>
      <c r="D1157" s="5" t="s">
        <v>1858</v>
      </c>
      <c r="E1157" s="5" t="s">
        <v>2089</v>
      </c>
      <c r="F1157" s="5" t="s">
        <v>1761</v>
      </c>
      <c r="G1157" s="5" t="s">
        <v>2251</v>
      </c>
      <c r="H1157" s="5" t="s">
        <v>2258</v>
      </c>
      <c r="I1157" s="5" t="s">
        <v>2260</v>
      </c>
      <c r="J1157" s="5" t="s">
        <v>2264</v>
      </c>
      <c r="K1157" s="8">
        <v>1</v>
      </c>
      <c r="L1157" s="9">
        <v>95</v>
      </c>
      <c r="M1157" s="10">
        <v>0</v>
      </c>
      <c r="N1157" s="9">
        <f t="shared" si="226"/>
        <v>95</v>
      </c>
      <c r="O1157" s="9">
        <f t="shared" si="216"/>
        <v>95</v>
      </c>
      <c r="P1157" s="5" t="s">
        <v>2267</v>
      </c>
      <c r="Q1157" s="5" t="s">
        <v>2271</v>
      </c>
      <c r="R1157" s="5" t="s">
        <v>2273</v>
      </c>
      <c r="S1157" s="5" t="s">
        <v>2287</v>
      </c>
      <c r="T1157" s="5" t="s">
        <v>2288</v>
      </c>
      <c r="U1157" s="19">
        <v>3</v>
      </c>
      <c r="V1157" s="19">
        <v>244</v>
      </c>
      <c r="W1157" s="8">
        <v>27</v>
      </c>
      <c r="X1157" s="9">
        <v>35.03</v>
      </c>
      <c r="Y1157" s="9">
        <f t="shared" si="217"/>
        <v>59.97</v>
      </c>
      <c r="Z1157" s="5" t="s">
        <v>1761</v>
      </c>
      <c r="AA1157" s="5" t="s">
        <v>1761</v>
      </c>
      <c r="AB1157" s="9">
        <f t="shared" si="218"/>
        <v>95</v>
      </c>
      <c r="AC1157" s="9">
        <f t="shared" si="219"/>
        <v>0</v>
      </c>
      <c r="AD1157" s="9">
        <f t="shared" si="220"/>
        <v>95</v>
      </c>
      <c r="AE1157" s="9">
        <f t="shared" si="221"/>
        <v>35.03</v>
      </c>
      <c r="AF1157" s="9">
        <f t="shared" si="227"/>
        <v>59.97</v>
      </c>
      <c r="AG1157" s="8">
        <f t="shared" si="222"/>
        <v>2024</v>
      </c>
      <c r="AH1157" s="8">
        <f t="shared" si="223"/>
        <v>9</v>
      </c>
      <c r="AI1157" s="5" t="str">
        <f t="shared" si="224"/>
        <v>Sep</v>
      </c>
      <c r="AJ1157" s="5" t="str">
        <f t="shared" si="225"/>
        <v>Saturday</v>
      </c>
    </row>
    <row r="1158" spans="1:36" x14ac:dyDescent="0.3">
      <c r="A1158" s="5" t="s">
        <v>1192</v>
      </c>
      <c r="B1158" s="6">
        <v>45395</v>
      </c>
      <c r="C1158" s="7">
        <v>0.38541666666666669</v>
      </c>
      <c r="D1158" s="5" t="s">
        <v>1789</v>
      </c>
      <c r="E1158" s="5" t="s">
        <v>1965</v>
      </c>
      <c r="F1158" s="5" t="s">
        <v>2238</v>
      </c>
      <c r="G1158" s="5" t="s">
        <v>2244</v>
      </c>
      <c r="H1158" s="5" t="s">
        <v>2257</v>
      </c>
      <c r="I1158" s="5" t="s">
        <v>2262</v>
      </c>
      <c r="J1158" s="5" t="s">
        <v>2266</v>
      </c>
      <c r="K1158" s="8">
        <v>1</v>
      </c>
      <c r="L1158" s="9">
        <v>120</v>
      </c>
      <c r="M1158" s="10">
        <v>0</v>
      </c>
      <c r="N1158" s="9">
        <f t="shared" si="226"/>
        <v>120</v>
      </c>
      <c r="O1158" s="9">
        <f t="shared" si="216"/>
        <v>120</v>
      </c>
      <c r="P1158" s="5" t="s">
        <v>2269</v>
      </c>
      <c r="Q1158" s="5" t="s">
        <v>2272</v>
      </c>
      <c r="R1158" s="5" t="s">
        <v>2278</v>
      </c>
      <c r="S1158" s="5" t="s">
        <v>2286</v>
      </c>
      <c r="T1158" s="5" t="s">
        <v>2288</v>
      </c>
      <c r="U1158" s="8">
        <v>2</v>
      </c>
      <c r="V1158" s="8">
        <v>217</v>
      </c>
      <c r="W1158" s="19">
        <v>35</v>
      </c>
      <c r="X1158" s="9">
        <v>57.92</v>
      </c>
      <c r="Y1158" s="9">
        <f t="shared" si="217"/>
        <v>62.08</v>
      </c>
      <c r="Z1158" s="5" t="s">
        <v>2292</v>
      </c>
      <c r="AA1158" s="5" t="s">
        <v>2297</v>
      </c>
      <c r="AB1158" s="9">
        <f t="shared" si="218"/>
        <v>120</v>
      </c>
      <c r="AC1158" s="9">
        <f t="shared" si="219"/>
        <v>0</v>
      </c>
      <c r="AD1158" s="9">
        <f t="shared" si="220"/>
        <v>120</v>
      </c>
      <c r="AE1158" s="9">
        <f t="shared" si="221"/>
        <v>57.92</v>
      </c>
      <c r="AF1158" s="9">
        <f t="shared" si="227"/>
        <v>62.08</v>
      </c>
      <c r="AG1158" s="8">
        <f t="shared" si="222"/>
        <v>2024</v>
      </c>
      <c r="AH1158" s="8">
        <f t="shared" si="223"/>
        <v>4</v>
      </c>
      <c r="AI1158" s="5" t="str">
        <f t="shared" si="224"/>
        <v>Apr</v>
      </c>
      <c r="AJ1158" s="5" t="str">
        <f t="shared" si="225"/>
        <v>Saturday</v>
      </c>
    </row>
    <row r="1159" spans="1:36" x14ac:dyDescent="0.3">
      <c r="A1159" s="5" t="s">
        <v>1193</v>
      </c>
      <c r="B1159" s="6">
        <v>45296</v>
      </c>
      <c r="C1159" s="7">
        <v>0.71527777777777779</v>
      </c>
      <c r="D1159" s="5" t="s">
        <v>1854</v>
      </c>
      <c r="E1159" s="5" t="s">
        <v>2229</v>
      </c>
      <c r="F1159" s="5" t="s">
        <v>2238</v>
      </c>
      <c r="G1159" s="5" t="s">
        <v>2241</v>
      </c>
      <c r="H1159" s="5" t="s">
        <v>2257</v>
      </c>
      <c r="I1159" s="5" t="s">
        <v>2262</v>
      </c>
      <c r="J1159" s="5" t="s">
        <v>2266</v>
      </c>
      <c r="K1159" s="8">
        <v>1</v>
      </c>
      <c r="L1159" s="9">
        <v>130</v>
      </c>
      <c r="M1159" s="10">
        <v>0</v>
      </c>
      <c r="N1159" s="9">
        <f t="shared" si="226"/>
        <v>130</v>
      </c>
      <c r="O1159" s="9">
        <f t="shared" si="216"/>
        <v>130</v>
      </c>
      <c r="P1159" s="5" t="s">
        <v>2269</v>
      </c>
      <c r="Q1159" s="5" t="s">
        <v>1761</v>
      </c>
      <c r="R1159" s="5" t="s">
        <v>2275</v>
      </c>
      <c r="S1159" s="5" t="s">
        <v>2281</v>
      </c>
      <c r="T1159" s="5" t="s">
        <v>2290</v>
      </c>
      <c r="U1159" s="8">
        <v>4</v>
      </c>
      <c r="V1159" s="8">
        <v>443</v>
      </c>
      <c r="W1159" s="8">
        <v>60</v>
      </c>
      <c r="X1159" s="9">
        <v>45.69</v>
      </c>
      <c r="Y1159" s="9">
        <f t="shared" si="217"/>
        <v>84.31</v>
      </c>
      <c r="Z1159" s="5" t="s">
        <v>2292</v>
      </c>
      <c r="AA1159" s="5" t="s">
        <v>2297</v>
      </c>
      <c r="AB1159" s="9">
        <f t="shared" si="218"/>
        <v>130</v>
      </c>
      <c r="AC1159" s="9">
        <f t="shared" si="219"/>
        <v>0</v>
      </c>
      <c r="AD1159" s="9">
        <f t="shared" si="220"/>
        <v>130</v>
      </c>
      <c r="AE1159" s="9">
        <f t="shared" si="221"/>
        <v>45.69</v>
      </c>
      <c r="AF1159" s="9">
        <f t="shared" si="227"/>
        <v>84.31</v>
      </c>
      <c r="AG1159" s="8">
        <f t="shared" si="222"/>
        <v>2024</v>
      </c>
      <c r="AH1159" s="8">
        <f t="shared" si="223"/>
        <v>1</v>
      </c>
      <c r="AI1159" s="5" t="str">
        <f t="shared" si="224"/>
        <v>Jan</v>
      </c>
      <c r="AJ1159" s="5" t="str">
        <f t="shared" si="225"/>
        <v>Friday</v>
      </c>
    </row>
    <row r="1160" spans="1:36" x14ac:dyDescent="0.3">
      <c r="A1160" s="5" t="s">
        <v>1194</v>
      </c>
      <c r="B1160" s="6">
        <v>45639</v>
      </c>
      <c r="C1160" s="7">
        <v>0.38541666666666669</v>
      </c>
      <c r="D1160" s="5" t="s">
        <v>1835</v>
      </c>
      <c r="E1160" s="5" t="s">
        <v>2019</v>
      </c>
      <c r="F1160" s="5" t="s">
        <v>1761</v>
      </c>
      <c r="G1160" s="5" t="s">
        <v>2243</v>
      </c>
      <c r="H1160" s="5" t="s">
        <v>2258</v>
      </c>
      <c r="I1160" s="5" t="s">
        <v>2260</v>
      </c>
      <c r="J1160" s="5" t="s">
        <v>2264</v>
      </c>
      <c r="K1160" s="8">
        <v>2</v>
      </c>
      <c r="L1160" s="9">
        <v>65</v>
      </c>
      <c r="M1160" s="10">
        <v>0.1</v>
      </c>
      <c r="N1160" s="9">
        <f t="shared" si="226"/>
        <v>130</v>
      </c>
      <c r="O1160" s="9">
        <f t="shared" si="216"/>
        <v>117</v>
      </c>
      <c r="P1160" s="5" t="s">
        <v>2267</v>
      </c>
      <c r="Q1160" s="5" t="s">
        <v>2272</v>
      </c>
      <c r="R1160" s="5" t="s">
        <v>2279</v>
      </c>
      <c r="S1160" s="5" t="s">
        <v>2287</v>
      </c>
      <c r="T1160" s="5" t="s">
        <v>2289</v>
      </c>
      <c r="U1160" s="8">
        <v>3</v>
      </c>
      <c r="V1160" s="8">
        <v>267</v>
      </c>
      <c r="W1160" s="19">
        <v>35</v>
      </c>
      <c r="X1160" s="9">
        <v>33.61</v>
      </c>
      <c r="Y1160" s="9">
        <f t="shared" si="217"/>
        <v>49.78</v>
      </c>
      <c r="Z1160" s="5" t="s">
        <v>2294</v>
      </c>
      <c r="AA1160" s="5" t="s">
        <v>2296</v>
      </c>
      <c r="AB1160" s="9">
        <f t="shared" si="218"/>
        <v>130</v>
      </c>
      <c r="AC1160" s="9">
        <f t="shared" si="219"/>
        <v>13</v>
      </c>
      <c r="AD1160" s="9">
        <f t="shared" si="220"/>
        <v>117</v>
      </c>
      <c r="AE1160" s="9">
        <f t="shared" si="221"/>
        <v>67.22</v>
      </c>
      <c r="AF1160" s="9">
        <f t="shared" si="227"/>
        <v>49.78</v>
      </c>
      <c r="AG1160" s="8">
        <f t="shared" si="222"/>
        <v>2024</v>
      </c>
      <c r="AH1160" s="8">
        <f t="shared" si="223"/>
        <v>12</v>
      </c>
      <c r="AI1160" s="5" t="str">
        <f t="shared" si="224"/>
        <v>Dec</v>
      </c>
      <c r="AJ1160" s="5" t="str">
        <f t="shared" si="225"/>
        <v>Friday</v>
      </c>
    </row>
    <row r="1161" spans="1:36" x14ac:dyDescent="0.3">
      <c r="A1161" s="5" t="s">
        <v>1195</v>
      </c>
      <c r="B1161" s="6">
        <v>45555</v>
      </c>
      <c r="C1161" s="7">
        <v>0.85416666666666663</v>
      </c>
      <c r="D1161" s="5" t="s">
        <v>1806</v>
      </c>
      <c r="E1161" s="5" t="s">
        <v>1972</v>
      </c>
      <c r="F1161" s="5" t="s">
        <v>2240</v>
      </c>
      <c r="G1161" s="5" t="s">
        <v>2256</v>
      </c>
      <c r="H1161" s="5" t="s">
        <v>2261</v>
      </c>
      <c r="I1161" s="5" t="s">
        <v>2260</v>
      </c>
      <c r="J1161" s="5" t="s">
        <v>2266</v>
      </c>
      <c r="K1161" s="8">
        <v>1</v>
      </c>
      <c r="L1161" s="9">
        <v>190</v>
      </c>
      <c r="M1161" s="10">
        <v>0.1</v>
      </c>
      <c r="N1161" s="9">
        <f t="shared" si="226"/>
        <v>190</v>
      </c>
      <c r="O1161" s="9">
        <f t="shared" si="216"/>
        <v>171</v>
      </c>
      <c r="P1161" s="5" t="s">
        <v>2269</v>
      </c>
      <c r="Q1161" s="5" t="s">
        <v>2270</v>
      </c>
      <c r="R1161" s="5" t="s">
        <v>2277</v>
      </c>
      <c r="S1161" s="5" t="s">
        <v>2286</v>
      </c>
      <c r="T1161" s="5" t="s">
        <v>2288</v>
      </c>
      <c r="U1161" s="8">
        <v>2</v>
      </c>
      <c r="V1161" s="8">
        <v>135</v>
      </c>
      <c r="W1161" s="8">
        <v>47</v>
      </c>
      <c r="X1161" s="9">
        <v>67.56</v>
      </c>
      <c r="Y1161" s="9">
        <f t="shared" si="217"/>
        <v>103.44</v>
      </c>
      <c r="Z1161" s="5" t="s">
        <v>1761</v>
      </c>
      <c r="AA1161" s="5" t="s">
        <v>2298</v>
      </c>
      <c r="AB1161" s="9">
        <f t="shared" si="218"/>
        <v>190</v>
      </c>
      <c r="AC1161" s="9">
        <f t="shared" si="219"/>
        <v>19</v>
      </c>
      <c r="AD1161" s="9">
        <f t="shared" si="220"/>
        <v>171</v>
      </c>
      <c r="AE1161" s="9">
        <f t="shared" si="221"/>
        <v>67.56</v>
      </c>
      <c r="AF1161" s="9">
        <f t="shared" si="227"/>
        <v>103.44</v>
      </c>
      <c r="AG1161" s="8">
        <f t="shared" si="222"/>
        <v>2024</v>
      </c>
      <c r="AH1161" s="8">
        <f t="shared" si="223"/>
        <v>9</v>
      </c>
      <c r="AI1161" s="5" t="str">
        <f t="shared" si="224"/>
        <v>Sep</v>
      </c>
      <c r="AJ1161" s="5" t="str">
        <f t="shared" si="225"/>
        <v>Friday</v>
      </c>
    </row>
    <row r="1162" spans="1:36" x14ac:dyDescent="0.3">
      <c r="A1162" s="5" t="s">
        <v>1196</v>
      </c>
      <c r="B1162" s="6">
        <v>45619</v>
      </c>
      <c r="C1162" s="7">
        <v>0.67361111111111116</v>
      </c>
      <c r="D1162" s="5" t="s">
        <v>1902</v>
      </c>
      <c r="E1162" s="5" t="s">
        <v>1975</v>
      </c>
      <c r="F1162" s="5" t="s">
        <v>2239</v>
      </c>
      <c r="G1162" s="5" t="s">
        <v>2249</v>
      </c>
      <c r="H1162" s="5" t="s">
        <v>2257</v>
      </c>
      <c r="I1162" s="5" t="s">
        <v>2263</v>
      </c>
      <c r="J1162" s="5" t="s">
        <v>2264</v>
      </c>
      <c r="K1162" s="8">
        <v>4</v>
      </c>
      <c r="L1162" s="9">
        <v>160</v>
      </c>
      <c r="M1162" s="10">
        <v>0</v>
      </c>
      <c r="N1162" s="9">
        <f t="shared" si="226"/>
        <v>640</v>
      </c>
      <c r="O1162" s="9">
        <f t="shared" si="216"/>
        <v>640</v>
      </c>
      <c r="P1162" s="5" t="s">
        <v>2269</v>
      </c>
      <c r="Q1162" s="5" t="s">
        <v>2271</v>
      </c>
      <c r="R1162" s="5" t="s">
        <v>2273</v>
      </c>
      <c r="S1162" s="5" t="s">
        <v>2282</v>
      </c>
      <c r="T1162" s="5" t="s">
        <v>2289</v>
      </c>
      <c r="U1162" s="8">
        <v>4</v>
      </c>
      <c r="V1162" s="8">
        <v>350</v>
      </c>
      <c r="W1162" s="19">
        <v>37</v>
      </c>
      <c r="X1162" s="9">
        <v>72.92</v>
      </c>
      <c r="Y1162" s="9">
        <f t="shared" si="217"/>
        <v>348.32</v>
      </c>
      <c r="Z1162" s="5" t="s">
        <v>2291</v>
      </c>
      <c r="AA1162" s="5" t="s">
        <v>2297</v>
      </c>
      <c r="AB1162" s="9">
        <f t="shared" si="218"/>
        <v>640</v>
      </c>
      <c r="AC1162" s="9">
        <f t="shared" si="219"/>
        <v>0</v>
      </c>
      <c r="AD1162" s="9">
        <f t="shared" si="220"/>
        <v>640</v>
      </c>
      <c r="AE1162" s="9">
        <f t="shared" si="221"/>
        <v>291.68</v>
      </c>
      <c r="AF1162" s="9">
        <f t="shared" si="227"/>
        <v>348.32</v>
      </c>
      <c r="AG1162" s="8">
        <f t="shared" si="222"/>
        <v>2024</v>
      </c>
      <c r="AH1162" s="8">
        <f t="shared" si="223"/>
        <v>11</v>
      </c>
      <c r="AI1162" s="5" t="str">
        <f t="shared" si="224"/>
        <v>Nov</v>
      </c>
      <c r="AJ1162" s="5" t="str">
        <f t="shared" si="225"/>
        <v>Saturday</v>
      </c>
    </row>
    <row r="1163" spans="1:36" x14ac:dyDescent="0.3">
      <c r="A1163" s="5" t="s">
        <v>1197</v>
      </c>
      <c r="B1163" s="6">
        <v>45417</v>
      </c>
      <c r="C1163" s="7">
        <v>0.46527777777777779</v>
      </c>
      <c r="D1163" s="5" t="s">
        <v>1852</v>
      </c>
      <c r="E1163" s="5" t="s">
        <v>2040</v>
      </c>
      <c r="F1163" s="5" t="s">
        <v>2240</v>
      </c>
      <c r="G1163" s="5" t="s">
        <v>2246</v>
      </c>
      <c r="H1163" s="5" t="s">
        <v>2259</v>
      </c>
      <c r="I1163" s="5" t="s">
        <v>2262</v>
      </c>
      <c r="J1163" s="5" t="s">
        <v>2266</v>
      </c>
      <c r="K1163" s="8">
        <v>1</v>
      </c>
      <c r="L1163" s="9">
        <v>95</v>
      </c>
      <c r="M1163" s="10">
        <v>0.1</v>
      </c>
      <c r="N1163" s="9">
        <f t="shared" si="226"/>
        <v>95</v>
      </c>
      <c r="O1163" s="9">
        <f t="shared" si="216"/>
        <v>85.5</v>
      </c>
      <c r="P1163" s="5" t="s">
        <v>2269</v>
      </c>
      <c r="Q1163" s="5" t="s">
        <v>2272</v>
      </c>
      <c r="R1163" s="5" t="s">
        <v>2273</v>
      </c>
      <c r="S1163" s="5" t="s">
        <v>2280</v>
      </c>
      <c r="T1163" s="5" t="s">
        <v>2289</v>
      </c>
      <c r="U1163" s="8">
        <v>1</v>
      </c>
      <c r="V1163" s="8">
        <v>113</v>
      </c>
      <c r="W1163" s="8">
        <v>24</v>
      </c>
      <c r="X1163" s="9">
        <v>40.770000000000003</v>
      </c>
      <c r="Y1163" s="9">
        <f t="shared" si="217"/>
        <v>44.73</v>
      </c>
      <c r="Z1163" s="5" t="s">
        <v>2292</v>
      </c>
      <c r="AA1163" s="5" t="s">
        <v>2299</v>
      </c>
      <c r="AB1163" s="9">
        <f t="shared" si="218"/>
        <v>95</v>
      </c>
      <c r="AC1163" s="9">
        <f t="shared" si="219"/>
        <v>9.5</v>
      </c>
      <c r="AD1163" s="9">
        <f t="shared" si="220"/>
        <v>85.5</v>
      </c>
      <c r="AE1163" s="9">
        <f t="shared" si="221"/>
        <v>40.770000000000003</v>
      </c>
      <c r="AF1163" s="9">
        <f t="shared" si="227"/>
        <v>44.73</v>
      </c>
      <c r="AG1163" s="8">
        <f t="shared" si="222"/>
        <v>2024</v>
      </c>
      <c r="AH1163" s="8">
        <f t="shared" si="223"/>
        <v>5</v>
      </c>
      <c r="AI1163" s="5" t="str">
        <f t="shared" si="224"/>
        <v>May</v>
      </c>
      <c r="AJ1163" s="5" t="str">
        <f t="shared" si="225"/>
        <v>Sunday</v>
      </c>
    </row>
    <row r="1164" spans="1:36" x14ac:dyDescent="0.3">
      <c r="A1164" s="5" t="s">
        <v>1198</v>
      </c>
      <c r="B1164" s="6">
        <v>45421</v>
      </c>
      <c r="C1164" s="7">
        <v>0.59375</v>
      </c>
      <c r="D1164" s="5" t="s">
        <v>1757</v>
      </c>
      <c r="E1164" s="5" t="s">
        <v>2233</v>
      </c>
      <c r="F1164" s="5" t="s">
        <v>1761</v>
      </c>
      <c r="G1164" s="5" t="s">
        <v>2248</v>
      </c>
      <c r="H1164" s="5" t="s">
        <v>2257</v>
      </c>
      <c r="I1164" s="5" t="s">
        <v>2262</v>
      </c>
      <c r="J1164" s="5" t="s">
        <v>2265</v>
      </c>
      <c r="K1164" s="8">
        <v>4</v>
      </c>
      <c r="L1164" s="9">
        <v>145</v>
      </c>
      <c r="M1164" s="10">
        <v>0.05</v>
      </c>
      <c r="N1164" s="9">
        <f t="shared" si="226"/>
        <v>580</v>
      </c>
      <c r="O1164" s="9">
        <f t="shared" si="216"/>
        <v>551</v>
      </c>
      <c r="P1164" s="5" t="s">
        <v>2269</v>
      </c>
      <c r="Q1164" s="5" t="s">
        <v>2270</v>
      </c>
      <c r="R1164" s="5" t="s">
        <v>2278</v>
      </c>
      <c r="S1164" s="5" t="s">
        <v>2287</v>
      </c>
      <c r="T1164" s="5" t="s">
        <v>2288</v>
      </c>
      <c r="U1164" s="8">
        <v>5</v>
      </c>
      <c r="V1164" s="8">
        <v>79</v>
      </c>
      <c r="W1164" s="8">
        <v>42</v>
      </c>
      <c r="X1164" s="9">
        <v>83.99</v>
      </c>
      <c r="Y1164" s="9">
        <f t="shared" si="217"/>
        <v>215.04000000000002</v>
      </c>
      <c r="Z1164" s="5" t="s">
        <v>1761</v>
      </c>
      <c r="AA1164" s="5" t="s">
        <v>2296</v>
      </c>
      <c r="AB1164" s="9">
        <f t="shared" si="218"/>
        <v>580</v>
      </c>
      <c r="AC1164" s="9">
        <f t="shared" si="219"/>
        <v>29</v>
      </c>
      <c r="AD1164" s="9">
        <f t="shared" si="220"/>
        <v>551</v>
      </c>
      <c r="AE1164" s="9">
        <f t="shared" si="221"/>
        <v>335.96</v>
      </c>
      <c r="AF1164" s="9">
        <f t="shared" si="227"/>
        <v>215.04000000000002</v>
      </c>
      <c r="AG1164" s="8">
        <f t="shared" si="222"/>
        <v>2024</v>
      </c>
      <c r="AH1164" s="8">
        <f t="shared" si="223"/>
        <v>5</v>
      </c>
      <c r="AI1164" s="5" t="str">
        <f t="shared" si="224"/>
        <v>May</v>
      </c>
      <c r="AJ1164" s="5" t="str">
        <f t="shared" si="225"/>
        <v>Thursday</v>
      </c>
    </row>
    <row r="1165" spans="1:36" x14ac:dyDescent="0.3">
      <c r="A1165" s="5" t="s">
        <v>1199</v>
      </c>
      <c r="B1165" s="6">
        <v>45337</v>
      </c>
      <c r="C1165" s="7">
        <v>0.53125</v>
      </c>
      <c r="D1165" s="5" t="s">
        <v>1828</v>
      </c>
      <c r="E1165" s="5" t="s">
        <v>2154</v>
      </c>
      <c r="F1165" s="5" t="s">
        <v>1761</v>
      </c>
      <c r="G1165" s="5" t="s">
        <v>2244</v>
      </c>
      <c r="H1165" s="5" t="s">
        <v>2257</v>
      </c>
      <c r="I1165" s="5" t="s">
        <v>2262</v>
      </c>
      <c r="J1165" s="5" t="s">
        <v>1761</v>
      </c>
      <c r="K1165" s="8">
        <v>4</v>
      </c>
      <c r="L1165" s="9">
        <v>120</v>
      </c>
      <c r="M1165" s="10">
        <v>0.1</v>
      </c>
      <c r="N1165" s="9">
        <f t="shared" si="226"/>
        <v>480</v>
      </c>
      <c r="O1165" s="9">
        <f t="shared" si="216"/>
        <v>432</v>
      </c>
      <c r="P1165" s="5" t="s">
        <v>2267</v>
      </c>
      <c r="Q1165" s="5" t="s">
        <v>2272</v>
      </c>
      <c r="R1165" s="5" t="s">
        <v>2278</v>
      </c>
      <c r="S1165" s="5" t="s">
        <v>2285</v>
      </c>
      <c r="T1165" s="5" t="s">
        <v>2288</v>
      </c>
      <c r="U1165" s="8">
        <v>2</v>
      </c>
      <c r="V1165" s="8">
        <v>190</v>
      </c>
      <c r="W1165" s="19">
        <v>35</v>
      </c>
      <c r="X1165" s="9">
        <v>63.06</v>
      </c>
      <c r="Y1165" s="9">
        <f t="shared" si="217"/>
        <v>179.76</v>
      </c>
      <c r="Z1165" s="5" t="s">
        <v>2293</v>
      </c>
      <c r="AA1165" s="5" t="s">
        <v>2298</v>
      </c>
      <c r="AB1165" s="9">
        <f t="shared" si="218"/>
        <v>480</v>
      </c>
      <c r="AC1165" s="9">
        <f t="shared" si="219"/>
        <v>48</v>
      </c>
      <c r="AD1165" s="9">
        <f t="shared" si="220"/>
        <v>432</v>
      </c>
      <c r="AE1165" s="9">
        <f t="shared" si="221"/>
        <v>252.24</v>
      </c>
      <c r="AF1165" s="9">
        <f t="shared" si="227"/>
        <v>179.76</v>
      </c>
      <c r="AG1165" s="8">
        <f t="shared" si="222"/>
        <v>2024</v>
      </c>
      <c r="AH1165" s="8">
        <f t="shared" si="223"/>
        <v>2</v>
      </c>
      <c r="AI1165" s="5" t="str">
        <f t="shared" si="224"/>
        <v>Feb</v>
      </c>
      <c r="AJ1165" s="5" t="str">
        <f t="shared" si="225"/>
        <v>Thursday</v>
      </c>
    </row>
    <row r="1166" spans="1:36" x14ac:dyDescent="0.3">
      <c r="A1166" s="5" t="s">
        <v>1200</v>
      </c>
      <c r="B1166" s="6">
        <v>45379</v>
      </c>
      <c r="C1166" s="7">
        <v>0.30208333333333331</v>
      </c>
      <c r="D1166" s="5" t="s">
        <v>1761</v>
      </c>
      <c r="E1166" s="5" t="s">
        <v>2024</v>
      </c>
      <c r="F1166" s="5" t="s">
        <v>2238</v>
      </c>
      <c r="G1166" s="5" t="s">
        <v>2253</v>
      </c>
      <c r="H1166" s="5" t="s">
        <v>2258</v>
      </c>
      <c r="I1166" s="5" t="s">
        <v>2260</v>
      </c>
      <c r="J1166" s="5" t="s">
        <v>2264</v>
      </c>
      <c r="K1166" s="8">
        <v>1</v>
      </c>
      <c r="L1166" s="9">
        <v>90</v>
      </c>
      <c r="M1166" s="10">
        <v>0.15</v>
      </c>
      <c r="N1166" s="9">
        <f t="shared" si="226"/>
        <v>90</v>
      </c>
      <c r="O1166" s="9">
        <f t="shared" si="216"/>
        <v>76.5</v>
      </c>
      <c r="P1166" s="5" t="s">
        <v>2269</v>
      </c>
      <c r="Q1166" s="5" t="s">
        <v>2272</v>
      </c>
      <c r="R1166" s="5" t="s">
        <v>2279</v>
      </c>
      <c r="S1166" s="5" t="s">
        <v>2282</v>
      </c>
      <c r="T1166" s="5" t="s">
        <v>2288</v>
      </c>
      <c r="U1166" s="8">
        <v>5</v>
      </c>
      <c r="V1166" s="8">
        <v>278</v>
      </c>
      <c r="W1166" s="19">
        <v>35</v>
      </c>
      <c r="X1166" s="9">
        <v>52.29</v>
      </c>
      <c r="Y1166" s="9">
        <f t="shared" si="217"/>
        <v>24.21</v>
      </c>
      <c r="Z1166" s="5" t="s">
        <v>2293</v>
      </c>
      <c r="AA1166" s="5" t="s">
        <v>1761</v>
      </c>
      <c r="AB1166" s="9">
        <f t="shared" si="218"/>
        <v>90</v>
      </c>
      <c r="AC1166" s="9">
        <f t="shared" si="219"/>
        <v>13.5</v>
      </c>
      <c r="AD1166" s="9">
        <f t="shared" si="220"/>
        <v>76.5</v>
      </c>
      <c r="AE1166" s="9">
        <f t="shared" si="221"/>
        <v>52.29</v>
      </c>
      <c r="AF1166" s="9">
        <f t="shared" si="227"/>
        <v>24.21</v>
      </c>
      <c r="AG1166" s="8">
        <f t="shared" si="222"/>
        <v>2024</v>
      </c>
      <c r="AH1166" s="8">
        <f t="shared" si="223"/>
        <v>3</v>
      </c>
      <c r="AI1166" s="5" t="str">
        <f t="shared" si="224"/>
        <v>Mar</v>
      </c>
      <c r="AJ1166" s="5" t="str">
        <f t="shared" si="225"/>
        <v>Thursday</v>
      </c>
    </row>
    <row r="1167" spans="1:36" x14ac:dyDescent="0.3">
      <c r="A1167" s="5" t="s">
        <v>1201</v>
      </c>
      <c r="B1167" s="6">
        <v>45467</v>
      </c>
      <c r="C1167" s="7">
        <v>0.85416666666666663</v>
      </c>
      <c r="D1167" s="5" t="s">
        <v>1856</v>
      </c>
      <c r="E1167" s="5" t="s">
        <v>2089</v>
      </c>
      <c r="F1167" s="5" t="s">
        <v>2238</v>
      </c>
      <c r="G1167" s="5" t="s">
        <v>2244</v>
      </c>
      <c r="H1167" s="5" t="s">
        <v>2257</v>
      </c>
      <c r="I1167" s="5" t="s">
        <v>2262</v>
      </c>
      <c r="J1167" s="5" t="s">
        <v>2265</v>
      </c>
      <c r="K1167" s="8">
        <v>1</v>
      </c>
      <c r="L1167" s="9">
        <v>120</v>
      </c>
      <c r="M1167" s="10">
        <v>0.1</v>
      </c>
      <c r="N1167" s="9">
        <f t="shared" si="226"/>
        <v>120</v>
      </c>
      <c r="O1167" s="9">
        <f t="shared" si="216"/>
        <v>108</v>
      </c>
      <c r="P1167" s="5" t="s">
        <v>2269</v>
      </c>
      <c r="Q1167" s="5" t="s">
        <v>2272</v>
      </c>
      <c r="R1167" s="5" t="s">
        <v>2277</v>
      </c>
      <c r="S1167" s="5" t="s">
        <v>2287</v>
      </c>
      <c r="T1167" s="5" t="s">
        <v>2288</v>
      </c>
      <c r="U1167" s="8">
        <v>2</v>
      </c>
      <c r="V1167" s="8">
        <v>234</v>
      </c>
      <c r="W1167" s="8">
        <v>31</v>
      </c>
      <c r="X1167" s="9">
        <v>54.06</v>
      </c>
      <c r="Y1167" s="9">
        <f t="shared" si="217"/>
        <v>53.94</v>
      </c>
      <c r="Z1167" s="5" t="s">
        <v>1761</v>
      </c>
      <c r="AA1167" s="5" t="s">
        <v>2299</v>
      </c>
      <c r="AB1167" s="9">
        <f t="shared" si="218"/>
        <v>120</v>
      </c>
      <c r="AC1167" s="9">
        <f t="shared" si="219"/>
        <v>12</v>
      </c>
      <c r="AD1167" s="9">
        <f t="shared" si="220"/>
        <v>108</v>
      </c>
      <c r="AE1167" s="9">
        <f t="shared" si="221"/>
        <v>54.06</v>
      </c>
      <c r="AF1167" s="9">
        <f t="shared" si="227"/>
        <v>53.94</v>
      </c>
      <c r="AG1167" s="8">
        <f t="shared" si="222"/>
        <v>2024</v>
      </c>
      <c r="AH1167" s="8">
        <f t="shared" si="223"/>
        <v>6</v>
      </c>
      <c r="AI1167" s="5" t="str">
        <f t="shared" si="224"/>
        <v>Jun</v>
      </c>
      <c r="AJ1167" s="5" t="str">
        <f t="shared" si="225"/>
        <v>Monday</v>
      </c>
    </row>
    <row r="1168" spans="1:36" x14ac:dyDescent="0.3">
      <c r="A1168" s="5" t="s">
        <v>1202</v>
      </c>
      <c r="B1168" s="6">
        <v>45642</v>
      </c>
      <c r="C1168" s="7">
        <v>0.3125</v>
      </c>
      <c r="D1168" s="5" t="s">
        <v>1898</v>
      </c>
      <c r="E1168" s="5" t="s">
        <v>2089</v>
      </c>
      <c r="F1168" s="5" t="s">
        <v>2239</v>
      </c>
      <c r="G1168" s="5" t="s">
        <v>2248</v>
      </c>
      <c r="H1168" s="5" t="s">
        <v>2257</v>
      </c>
      <c r="I1168" s="5" t="s">
        <v>2262</v>
      </c>
      <c r="J1168" s="5" t="s">
        <v>1761</v>
      </c>
      <c r="K1168" s="8">
        <v>2</v>
      </c>
      <c r="L1168" s="9">
        <v>145</v>
      </c>
      <c r="M1168" s="10">
        <v>0</v>
      </c>
      <c r="N1168" s="9">
        <f t="shared" si="226"/>
        <v>290</v>
      </c>
      <c r="O1168" s="9">
        <f t="shared" si="216"/>
        <v>290</v>
      </c>
      <c r="P1168" s="5" t="s">
        <v>2269</v>
      </c>
      <c r="Q1168" s="5" t="s">
        <v>1761</v>
      </c>
      <c r="R1168" s="5" t="s">
        <v>2279</v>
      </c>
      <c r="S1168" s="5" t="s">
        <v>2280</v>
      </c>
      <c r="T1168" s="5" t="s">
        <v>2290</v>
      </c>
      <c r="U1168" s="8">
        <v>1</v>
      </c>
      <c r="V1168" s="19">
        <v>244</v>
      </c>
      <c r="W1168" s="8">
        <v>55</v>
      </c>
      <c r="X1168" s="9">
        <v>76.66</v>
      </c>
      <c r="Y1168" s="9">
        <f t="shared" si="217"/>
        <v>136.68</v>
      </c>
      <c r="Z1168" s="5" t="s">
        <v>2293</v>
      </c>
      <c r="AA1168" s="5" t="s">
        <v>2296</v>
      </c>
      <c r="AB1168" s="9">
        <f t="shared" si="218"/>
        <v>290</v>
      </c>
      <c r="AC1168" s="9">
        <f t="shared" si="219"/>
        <v>0</v>
      </c>
      <c r="AD1168" s="9">
        <f t="shared" si="220"/>
        <v>290</v>
      </c>
      <c r="AE1168" s="9">
        <f t="shared" si="221"/>
        <v>153.32</v>
      </c>
      <c r="AF1168" s="9">
        <f t="shared" si="227"/>
        <v>136.68</v>
      </c>
      <c r="AG1168" s="8">
        <f t="shared" si="222"/>
        <v>2024</v>
      </c>
      <c r="AH1168" s="8">
        <f t="shared" si="223"/>
        <v>12</v>
      </c>
      <c r="AI1168" s="5" t="str">
        <f t="shared" si="224"/>
        <v>Dec</v>
      </c>
      <c r="AJ1168" s="5" t="str">
        <f t="shared" si="225"/>
        <v>Monday</v>
      </c>
    </row>
    <row r="1169" spans="1:36" x14ac:dyDescent="0.3">
      <c r="A1169" s="5" t="s">
        <v>1203</v>
      </c>
      <c r="B1169" s="6">
        <v>45428</v>
      </c>
      <c r="C1169" s="7">
        <v>0.2986111111111111</v>
      </c>
      <c r="D1169" s="5" t="s">
        <v>1900</v>
      </c>
      <c r="E1169" s="5" t="s">
        <v>1971</v>
      </c>
      <c r="F1169" s="5" t="s">
        <v>1761</v>
      </c>
      <c r="G1169" s="5" t="s">
        <v>2248</v>
      </c>
      <c r="H1169" s="5" t="s">
        <v>2257</v>
      </c>
      <c r="I1169" s="5" t="s">
        <v>2262</v>
      </c>
      <c r="J1169" s="5" t="s">
        <v>2265</v>
      </c>
      <c r="K1169" s="8">
        <v>2</v>
      </c>
      <c r="L1169" s="9">
        <v>150</v>
      </c>
      <c r="M1169" s="10">
        <v>0.05</v>
      </c>
      <c r="N1169" s="9">
        <f t="shared" si="226"/>
        <v>300</v>
      </c>
      <c r="O1169" s="9">
        <f t="shared" si="216"/>
        <v>285</v>
      </c>
      <c r="P1169" s="5" t="s">
        <v>2269</v>
      </c>
      <c r="Q1169" s="5" t="s">
        <v>1761</v>
      </c>
      <c r="R1169" s="5" t="s">
        <v>2275</v>
      </c>
      <c r="S1169" s="5" t="s">
        <v>2286</v>
      </c>
      <c r="T1169" s="5" t="s">
        <v>2288</v>
      </c>
      <c r="U1169" s="8">
        <v>1</v>
      </c>
      <c r="V1169" s="8">
        <v>75</v>
      </c>
      <c r="W1169" s="8">
        <v>45</v>
      </c>
      <c r="X1169" s="9">
        <v>80.12</v>
      </c>
      <c r="Y1169" s="9">
        <f t="shared" si="217"/>
        <v>124.75999999999999</v>
      </c>
      <c r="Z1169" s="5" t="s">
        <v>1761</v>
      </c>
      <c r="AA1169" s="5" t="s">
        <v>2299</v>
      </c>
      <c r="AB1169" s="9">
        <f t="shared" si="218"/>
        <v>300</v>
      </c>
      <c r="AC1169" s="9">
        <f t="shared" si="219"/>
        <v>15</v>
      </c>
      <c r="AD1169" s="9">
        <f t="shared" si="220"/>
        <v>285</v>
      </c>
      <c r="AE1169" s="9">
        <f t="shared" si="221"/>
        <v>160.24</v>
      </c>
      <c r="AF1169" s="9">
        <f t="shared" si="227"/>
        <v>124.75999999999999</v>
      </c>
      <c r="AG1169" s="8">
        <f t="shared" si="222"/>
        <v>2024</v>
      </c>
      <c r="AH1169" s="8">
        <f t="shared" si="223"/>
        <v>5</v>
      </c>
      <c r="AI1169" s="5" t="str">
        <f t="shared" si="224"/>
        <v>May</v>
      </c>
      <c r="AJ1169" s="5" t="str">
        <f t="shared" si="225"/>
        <v>Thursday</v>
      </c>
    </row>
    <row r="1170" spans="1:36" x14ac:dyDescent="0.3">
      <c r="A1170" s="5" t="s">
        <v>1204</v>
      </c>
      <c r="B1170" s="6">
        <v>45409</v>
      </c>
      <c r="C1170" s="7">
        <v>0.64583333333333337</v>
      </c>
      <c r="D1170" s="5" t="s">
        <v>1887</v>
      </c>
      <c r="E1170" s="5" t="s">
        <v>2077</v>
      </c>
      <c r="F1170" s="5" t="s">
        <v>2239</v>
      </c>
      <c r="G1170" s="5" t="s">
        <v>2254</v>
      </c>
      <c r="H1170" s="5" t="s">
        <v>2259</v>
      </c>
      <c r="I1170" s="5" t="s">
        <v>2263</v>
      </c>
      <c r="J1170" s="5" t="s">
        <v>2264</v>
      </c>
      <c r="K1170" s="8">
        <v>2</v>
      </c>
      <c r="L1170" s="9">
        <v>115</v>
      </c>
      <c r="M1170" s="10">
        <v>0</v>
      </c>
      <c r="N1170" s="9">
        <f t="shared" si="226"/>
        <v>230</v>
      </c>
      <c r="O1170" s="9">
        <f t="shared" si="216"/>
        <v>230</v>
      </c>
      <c r="P1170" s="5" t="s">
        <v>2267</v>
      </c>
      <c r="Q1170" s="5" t="s">
        <v>1761</v>
      </c>
      <c r="R1170" s="5" t="s">
        <v>2279</v>
      </c>
      <c r="S1170" s="5" t="s">
        <v>2282</v>
      </c>
      <c r="T1170" s="5" t="s">
        <v>2290</v>
      </c>
      <c r="U1170" s="19">
        <v>3</v>
      </c>
      <c r="V1170" s="8">
        <v>145</v>
      </c>
      <c r="W1170" s="8">
        <v>57</v>
      </c>
      <c r="X1170" s="9">
        <v>61.19</v>
      </c>
      <c r="Y1170" s="9">
        <f t="shared" si="217"/>
        <v>107.62</v>
      </c>
      <c r="Z1170" s="5" t="s">
        <v>1761</v>
      </c>
      <c r="AA1170" s="5" t="s">
        <v>2296</v>
      </c>
      <c r="AB1170" s="9">
        <f t="shared" si="218"/>
        <v>230</v>
      </c>
      <c r="AC1170" s="9">
        <f t="shared" si="219"/>
        <v>0</v>
      </c>
      <c r="AD1170" s="9">
        <f t="shared" si="220"/>
        <v>230</v>
      </c>
      <c r="AE1170" s="9">
        <f t="shared" si="221"/>
        <v>122.38</v>
      </c>
      <c r="AF1170" s="9">
        <f t="shared" si="227"/>
        <v>107.62</v>
      </c>
      <c r="AG1170" s="8">
        <f t="shared" si="222"/>
        <v>2024</v>
      </c>
      <c r="AH1170" s="8">
        <f t="shared" si="223"/>
        <v>4</v>
      </c>
      <c r="AI1170" s="5" t="str">
        <f t="shared" si="224"/>
        <v>Apr</v>
      </c>
      <c r="AJ1170" s="5" t="str">
        <f t="shared" si="225"/>
        <v>Saturday</v>
      </c>
    </row>
    <row r="1171" spans="1:36" x14ac:dyDescent="0.3">
      <c r="A1171" s="5" t="s">
        <v>1205</v>
      </c>
      <c r="B1171" s="6">
        <v>45628</v>
      </c>
      <c r="C1171" s="7">
        <v>0.67708333333333337</v>
      </c>
      <c r="D1171" s="5" t="s">
        <v>1905</v>
      </c>
      <c r="E1171" s="5" t="s">
        <v>2172</v>
      </c>
      <c r="F1171" s="5" t="s">
        <v>2240</v>
      </c>
      <c r="G1171" s="5" t="s">
        <v>2254</v>
      </c>
      <c r="H1171" s="5" t="s">
        <v>2259</v>
      </c>
      <c r="I1171" s="5" t="s">
        <v>2263</v>
      </c>
      <c r="J1171" s="5" t="s">
        <v>1761</v>
      </c>
      <c r="K1171" s="19">
        <v>1</v>
      </c>
      <c r="L1171" s="9">
        <v>120</v>
      </c>
      <c r="M1171" s="10">
        <v>0</v>
      </c>
      <c r="N1171" s="9">
        <f t="shared" si="226"/>
        <v>120</v>
      </c>
      <c r="O1171" s="9">
        <f t="shared" si="216"/>
        <v>120</v>
      </c>
      <c r="P1171" s="5" t="s">
        <v>1761</v>
      </c>
      <c r="Q1171" s="5" t="s">
        <v>2270</v>
      </c>
      <c r="R1171" s="5" t="s">
        <v>2273</v>
      </c>
      <c r="S1171" s="5" t="s">
        <v>2284</v>
      </c>
      <c r="T1171" s="5" t="s">
        <v>2288</v>
      </c>
      <c r="U1171" s="8">
        <v>4</v>
      </c>
      <c r="V1171" s="8">
        <v>420</v>
      </c>
      <c r="W1171" s="19">
        <v>34</v>
      </c>
      <c r="X1171" s="9">
        <v>43.39</v>
      </c>
      <c r="Y1171" s="9">
        <f t="shared" si="217"/>
        <v>76.61</v>
      </c>
      <c r="Z1171" s="5" t="s">
        <v>2291</v>
      </c>
      <c r="AA1171" s="5" t="s">
        <v>2299</v>
      </c>
      <c r="AB1171" s="9">
        <f t="shared" si="218"/>
        <v>120</v>
      </c>
      <c r="AC1171" s="9">
        <f t="shared" si="219"/>
        <v>0</v>
      </c>
      <c r="AD1171" s="9">
        <f t="shared" si="220"/>
        <v>120</v>
      </c>
      <c r="AE1171" s="9">
        <f t="shared" si="221"/>
        <v>43.39</v>
      </c>
      <c r="AF1171" s="9">
        <f t="shared" si="227"/>
        <v>76.61</v>
      </c>
      <c r="AG1171" s="8">
        <f t="shared" si="222"/>
        <v>2024</v>
      </c>
      <c r="AH1171" s="8">
        <f t="shared" si="223"/>
        <v>12</v>
      </c>
      <c r="AI1171" s="5" t="str">
        <f t="shared" si="224"/>
        <v>Dec</v>
      </c>
      <c r="AJ1171" s="5" t="str">
        <f t="shared" si="225"/>
        <v>Monday</v>
      </c>
    </row>
    <row r="1172" spans="1:36" x14ac:dyDescent="0.3">
      <c r="A1172" s="5" t="s">
        <v>1206</v>
      </c>
      <c r="B1172" s="6">
        <v>45585</v>
      </c>
      <c r="C1172" s="7">
        <v>0.3888888888888889</v>
      </c>
      <c r="D1172" s="5" t="s">
        <v>1786</v>
      </c>
      <c r="E1172" s="5" t="s">
        <v>2146</v>
      </c>
      <c r="F1172" s="5" t="s">
        <v>2240</v>
      </c>
      <c r="G1172" s="5" t="s">
        <v>2243</v>
      </c>
      <c r="H1172" s="5" t="s">
        <v>2258</v>
      </c>
      <c r="I1172" s="5" t="s">
        <v>2260</v>
      </c>
      <c r="J1172" s="5" t="s">
        <v>2264</v>
      </c>
      <c r="K1172" s="8">
        <v>1</v>
      </c>
      <c r="L1172" s="9">
        <v>80</v>
      </c>
      <c r="M1172" s="10">
        <v>0</v>
      </c>
      <c r="N1172" s="9">
        <f t="shared" si="226"/>
        <v>80</v>
      </c>
      <c r="O1172" s="9">
        <f t="shared" si="216"/>
        <v>80</v>
      </c>
      <c r="P1172" s="5" t="s">
        <v>2268</v>
      </c>
      <c r="Q1172" s="5" t="s">
        <v>2270</v>
      </c>
      <c r="R1172" s="5" t="s">
        <v>2273</v>
      </c>
      <c r="S1172" s="5" t="s">
        <v>2285</v>
      </c>
      <c r="T1172" s="5" t="s">
        <v>2288</v>
      </c>
      <c r="U1172" s="8">
        <v>2</v>
      </c>
      <c r="V1172" s="8">
        <v>231</v>
      </c>
      <c r="W1172" s="8">
        <v>30</v>
      </c>
      <c r="X1172" s="9">
        <v>38.29</v>
      </c>
      <c r="Y1172" s="9">
        <f t="shared" si="217"/>
        <v>41.71</v>
      </c>
      <c r="Z1172" s="5" t="s">
        <v>1761</v>
      </c>
      <c r="AA1172" s="5" t="s">
        <v>2298</v>
      </c>
      <c r="AB1172" s="9">
        <f t="shared" si="218"/>
        <v>80</v>
      </c>
      <c r="AC1172" s="9">
        <f t="shared" si="219"/>
        <v>0</v>
      </c>
      <c r="AD1172" s="9">
        <f t="shared" si="220"/>
        <v>80</v>
      </c>
      <c r="AE1172" s="9">
        <f t="shared" si="221"/>
        <v>38.29</v>
      </c>
      <c r="AF1172" s="9">
        <f t="shared" si="227"/>
        <v>41.71</v>
      </c>
      <c r="AG1172" s="8">
        <f t="shared" si="222"/>
        <v>2024</v>
      </c>
      <c r="AH1172" s="8">
        <f t="shared" si="223"/>
        <v>10</v>
      </c>
      <c r="AI1172" s="5" t="str">
        <f t="shared" si="224"/>
        <v>Oct</v>
      </c>
      <c r="AJ1172" s="5" t="str">
        <f t="shared" si="225"/>
        <v>Sunday</v>
      </c>
    </row>
    <row r="1173" spans="1:36" x14ac:dyDescent="0.3">
      <c r="A1173" s="5" t="s">
        <v>1207</v>
      </c>
      <c r="B1173" s="6">
        <v>45531</v>
      </c>
      <c r="C1173" s="7">
        <v>0.65972222222222221</v>
      </c>
      <c r="D1173" s="5" t="s">
        <v>1795</v>
      </c>
      <c r="E1173" s="5" t="s">
        <v>2041</v>
      </c>
      <c r="F1173" s="5" t="s">
        <v>2240</v>
      </c>
      <c r="G1173" s="5" t="s">
        <v>2243</v>
      </c>
      <c r="H1173" s="5" t="s">
        <v>2258</v>
      </c>
      <c r="I1173" s="5" t="s">
        <v>2260</v>
      </c>
      <c r="J1173" s="5" t="s">
        <v>2264</v>
      </c>
      <c r="K1173" s="8">
        <v>2</v>
      </c>
      <c r="L1173" s="9">
        <v>75</v>
      </c>
      <c r="M1173" s="10">
        <v>0.15</v>
      </c>
      <c r="N1173" s="9">
        <f t="shared" si="226"/>
        <v>150</v>
      </c>
      <c r="O1173" s="9">
        <f t="shared" si="216"/>
        <v>127.5</v>
      </c>
      <c r="P1173" s="5" t="s">
        <v>1761</v>
      </c>
      <c r="Q1173" s="5" t="s">
        <v>2272</v>
      </c>
      <c r="R1173" s="5" t="s">
        <v>2274</v>
      </c>
      <c r="S1173" s="5" t="s">
        <v>2280</v>
      </c>
      <c r="T1173" s="5" t="s">
        <v>2290</v>
      </c>
      <c r="U1173" s="8">
        <v>5</v>
      </c>
      <c r="V1173" s="8">
        <v>200</v>
      </c>
      <c r="W1173" s="8">
        <v>39</v>
      </c>
      <c r="X1173" s="9">
        <v>29.28</v>
      </c>
      <c r="Y1173" s="9">
        <f t="shared" si="217"/>
        <v>68.94</v>
      </c>
      <c r="Z1173" s="5" t="s">
        <v>2291</v>
      </c>
      <c r="AA1173" s="5" t="s">
        <v>2298</v>
      </c>
      <c r="AB1173" s="9">
        <f t="shared" si="218"/>
        <v>150</v>
      </c>
      <c r="AC1173" s="9">
        <f t="shared" si="219"/>
        <v>22.5</v>
      </c>
      <c r="AD1173" s="9">
        <f t="shared" si="220"/>
        <v>127.5</v>
      </c>
      <c r="AE1173" s="9">
        <f t="shared" si="221"/>
        <v>58.56</v>
      </c>
      <c r="AF1173" s="9">
        <f t="shared" si="227"/>
        <v>68.94</v>
      </c>
      <c r="AG1173" s="8">
        <f t="shared" si="222"/>
        <v>2024</v>
      </c>
      <c r="AH1173" s="8">
        <f t="shared" si="223"/>
        <v>8</v>
      </c>
      <c r="AI1173" s="5" t="str">
        <f t="shared" si="224"/>
        <v>Aug</v>
      </c>
      <c r="AJ1173" s="5" t="str">
        <f t="shared" si="225"/>
        <v>Tuesday</v>
      </c>
    </row>
    <row r="1174" spans="1:36" x14ac:dyDescent="0.3">
      <c r="A1174" s="5" t="s">
        <v>1208</v>
      </c>
      <c r="B1174" s="6">
        <v>45514</v>
      </c>
      <c r="C1174" s="7">
        <v>0.65625</v>
      </c>
      <c r="D1174" s="5" t="s">
        <v>1773</v>
      </c>
      <c r="E1174" s="5" t="s">
        <v>1968</v>
      </c>
      <c r="F1174" s="5" t="s">
        <v>1761</v>
      </c>
      <c r="G1174" s="5" t="s">
        <v>2249</v>
      </c>
      <c r="H1174" s="5" t="s">
        <v>2257</v>
      </c>
      <c r="I1174" s="5" t="s">
        <v>2263</v>
      </c>
      <c r="J1174" s="5" t="s">
        <v>2264</v>
      </c>
      <c r="K1174" s="8">
        <v>2</v>
      </c>
      <c r="L1174" s="9">
        <v>155</v>
      </c>
      <c r="M1174" s="10">
        <v>0</v>
      </c>
      <c r="N1174" s="9">
        <f t="shared" si="226"/>
        <v>310</v>
      </c>
      <c r="O1174" s="9">
        <f t="shared" si="216"/>
        <v>310</v>
      </c>
      <c r="P1174" s="5" t="s">
        <v>2269</v>
      </c>
      <c r="Q1174" s="5" t="s">
        <v>2272</v>
      </c>
      <c r="R1174" s="5" t="s">
        <v>2275</v>
      </c>
      <c r="S1174" s="5" t="s">
        <v>2280</v>
      </c>
      <c r="T1174" s="5" t="s">
        <v>2290</v>
      </c>
      <c r="U1174" s="8">
        <v>3</v>
      </c>
      <c r="V1174" s="8">
        <v>204</v>
      </c>
      <c r="W1174" s="8">
        <v>18</v>
      </c>
      <c r="X1174" s="9">
        <v>90.4</v>
      </c>
      <c r="Y1174" s="9">
        <f t="shared" si="217"/>
        <v>129.19999999999999</v>
      </c>
      <c r="Z1174" s="5" t="s">
        <v>2291</v>
      </c>
      <c r="AA1174" s="5" t="s">
        <v>2297</v>
      </c>
      <c r="AB1174" s="9">
        <f t="shared" si="218"/>
        <v>310</v>
      </c>
      <c r="AC1174" s="9">
        <f t="shared" si="219"/>
        <v>0</v>
      </c>
      <c r="AD1174" s="9">
        <f t="shared" si="220"/>
        <v>310</v>
      </c>
      <c r="AE1174" s="9">
        <f t="shared" si="221"/>
        <v>180.8</v>
      </c>
      <c r="AF1174" s="9">
        <f t="shared" si="227"/>
        <v>129.19999999999999</v>
      </c>
      <c r="AG1174" s="8">
        <f t="shared" si="222"/>
        <v>2024</v>
      </c>
      <c r="AH1174" s="8">
        <f t="shared" si="223"/>
        <v>8</v>
      </c>
      <c r="AI1174" s="5" t="str">
        <f t="shared" si="224"/>
        <v>Aug</v>
      </c>
      <c r="AJ1174" s="5" t="str">
        <f t="shared" si="225"/>
        <v>Saturday</v>
      </c>
    </row>
    <row r="1175" spans="1:36" x14ac:dyDescent="0.3">
      <c r="A1175" s="5" t="s">
        <v>1209</v>
      </c>
      <c r="B1175" s="6">
        <v>45632</v>
      </c>
      <c r="C1175" s="7">
        <v>0.64583333333333337</v>
      </c>
      <c r="D1175" s="5" t="s">
        <v>1931</v>
      </c>
      <c r="E1175" s="5" t="s">
        <v>2024</v>
      </c>
      <c r="F1175" s="5" t="s">
        <v>2240</v>
      </c>
      <c r="G1175" s="5" t="s">
        <v>2255</v>
      </c>
      <c r="H1175" s="5" t="s">
        <v>2260</v>
      </c>
      <c r="I1175" s="5" t="s">
        <v>2260</v>
      </c>
      <c r="J1175" s="5" t="s">
        <v>2264</v>
      </c>
      <c r="K1175" s="8">
        <v>2</v>
      </c>
      <c r="L1175" s="9">
        <v>190</v>
      </c>
      <c r="M1175" s="10">
        <v>0.1</v>
      </c>
      <c r="N1175" s="9">
        <f t="shared" si="226"/>
        <v>380</v>
      </c>
      <c r="O1175" s="9">
        <f t="shared" si="216"/>
        <v>342</v>
      </c>
      <c r="P1175" s="5" t="s">
        <v>1761</v>
      </c>
      <c r="Q1175" s="5" t="s">
        <v>2270</v>
      </c>
      <c r="R1175" s="5" t="s">
        <v>2277</v>
      </c>
      <c r="S1175" s="5" t="s">
        <v>2280</v>
      </c>
      <c r="T1175" s="5" t="s">
        <v>2288</v>
      </c>
      <c r="U1175" s="8">
        <v>5</v>
      </c>
      <c r="V1175" s="8">
        <v>101</v>
      </c>
      <c r="W1175" s="8">
        <v>20</v>
      </c>
      <c r="X1175" s="9">
        <v>67.47</v>
      </c>
      <c r="Y1175" s="9">
        <f t="shared" si="217"/>
        <v>207.06</v>
      </c>
      <c r="Z1175" s="5" t="s">
        <v>2294</v>
      </c>
      <c r="AA1175" s="5" t="s">
        <v>1761</v>
      </c>
      <c r="AB1175" s="9">
        <f t="shared" si="218"/>
        <v>380</v>
      </c>
      <c r="AC1175" s="9">
        <f t="shared" si="219"/>
        <v>38</v>
      </c>
      <c r="AD1175" s="9">
        <f t="shared" si="220"/>
        <v>342</v>
      </c>
      <c r="AE1175" s="9">
        <f t="shared" si="221"/>
        <v>134.94</v>
      </c>
      <c r="AF1175" s="9">
        <f t="shared" si="227"/>
        <v>207.06</v>
      </c>
      <c r="AG1175" s="8">
        <f t="shared" si="222"/>
        <v>2024</v>
      </c>
      <c r="AH1175" s="8">
        <f t="shared" si="223"/>
        <v>12</v>
      </c>
      <c r="AI1175" s="5" t="str">
        <f t="shared" si="224"/>
        <v>Dec</v>
      </c>
      <c r="AJ1175" s="5" t="str">
        <f t="shared" si="225"/>
        <v>Friday</v>
      </c>
    </row>
    <row r="1176" spans="1:36" x14ac:dyDescent="0.3">
      <c r="A1176" s="5" t="s">
        <v>1210</v>
      </c>
      <c r="B1176" s="6">
        <v>45405</v>
      </c>
      <c r="C1176" s="7">
        <v>0.83333333333333337</v>
      </c>
      <c r="D1176" s="5" t="s">
        <v>1923</v>
      </c>
      <c r="E1176" s="5" t="s">
        <v>2142</v>
      </c>
      <c r="F1176" s="5" t="s">
        <v>1761</v>
      </c>
      <c r="G1176" s="5" t="s">
        <v>2247</v>
      </c>
      <c r="H1176" s="5" t="s">
        <v>2257</v>
      </c>
      <c r="I1176" s="5" t="s">
        <v>2262</v>
      </c>
      <c r="J1176" s="5" t="s">
        <v>2264</v>
      </c>
      <c r="K1176" s="8">
        <v>1</v>
      </c>
      <c r="L1176" s="9">
        <v>95</v>
      </c>
      <c r="M1176" s="10">
        <v>0</v>
      </c>
      <c r="N1176" s="9">
        <f t="shared" si="226"/>
        <v>95</v>
      </c>
      <c r="O1176" s="9">
        <f t="shared" si="216"/>
        <v>95</v>
      </c>
      <c r="P1176" s="5" t="s">
        <v>2269</v>
      </c>
      <c r="Q1176" s="5" t="s">
        <v>2270</v>
      </c>
      <c r="R1176" s="5" t="s">
        <v>2273</v>
      </c>
      <c r="S1176" s="5" t="s">
        <v>2284</v>
      </c>
      <c r="T1176" s="5" t="s">
        <v>2290</v>
      </c>
      <c r="U1176" s="8">
        <v>5</v>
      </c>
      <c r="V1176" s="8">
        <v>486</v>
      </c>
      <c r="W1176" s="19">
        <v>34</v>
      </c>
      <c r="X1176" s="9">
        <v>53.37</v>
      </c>
      <c r="Y1176" s="9">
        <f t="shared" si="217"/>
        <v>41.63</v>
      </c>
      <c r="Z1176" s="5" t="s">
        <v>2291</v>
      </c>
      <c r="AA1176" s="5" t="s">
        <v>2298</v>
      </c>
      <c r="AB1176" s="9">
        <f t="shared" si="218"/>
        <v>95</v>
      </c>
      <c r="AC1176" s="9">
        <f t="shared" si="219"/>
        <v>0</v>
      </c>
      <c r="AD1176" s="9">
        <f t="shared" si="220"/>
        <v>95</v>
      </c>
      <c r="AE1176" s="9">
        <f t="shared" si="221"/>
        <v>53.37</v>
      </c>
      <c r="AF1176" s="9">
        <f t="shared" si="227"/>
        <v>41.63</v>
      </c>
      <c r="AG1176" s="8">
        <f t="shared" si="222"/>
        <v>2024</v>
      </c>
      <c r="AH1176" s="8">
        <f t="shared" si="223"/>
        <v>4</v>
      </c>
      <c r="AI1176" s="5" t="str">
        <f t="shared" si="224"/>
        <v>Apr</v>
      </c>
      <c r="AJ1176" s="5" t="str">
        <f t="shared" si="225"/>
        <v>Tuesday</v>
      </c>
    </row>
    <row r="1177" spans="1:36" x14ac:dyDescent="0.3">
      <c r="A1177" s="5" t="s">
        <v>1211</v>
      </c>
      <c r="B1177" s="6">
        <v>45619</v>
      </c>
      <c r="C1177" s="7">
        <v>0.79861111111111116</v>
      </c>
      <c r="D1177" s="5" t="s">
        <v>1871</v>
      </c>
      <c r="E1177" s="5" t="s">
        <v>2119</v>
      </c>
      <c r="F1177" s="5" t="s">
        <v>2240</v>
      </c>
      <c r="G1177" s="5" t="s">
        <v>2245</v>
      </c>
      <c r="H1177" s="5" t="s">
        <v>2257</v>
      </c>
      <c r="I1177" s="5" t="s">
        <v>2263</v>
      </c>
      <c r="J1177" s="5" t="s">
        <v>2265</v>
      </c>
      <c r="K1177" s="8">
        <v>2</v>
      </c>
      <c r="L1177" s="9">
        <v>150</v>
      </c>
      <c r="M1177" s="10">
        <v>0.05</v>
      </c>
      <c r="N1177" s="9">
        <f t="shared" si="226"/>
        <v>300</v>
      </c>
      <c r="O1177" s="9">
        <f t="shared" si="216"/>
        <v>285</v>
      </c>
      <c r="P1177" s="5" t="s">
        <v>1761</v>
      </c>
      <c r="Q1177" s="5" t="s">
        <v>2271</v>
      </c>
      <c r="R1177" s="5" t="s">
        <v>2276</v>
      </c>
      <c r="S1177" s="5" t="s">
        <v>2284</v>
      </c>
      <c r="T1177" s="5" t="s">
        <v>2288</v>
      </c>
      <c r="U1177" s="8">
        <v>5</v>
      </c>
      <c r="V1177" s="8">
        <v>137</v>
      </c>
      <c r="W1177" s="8">
        <v>44</v>
      </c>
      <c r="X1177" s="9">
        <v>78.77</v>
      </c>
      <c r="Y1177" s="9">
        <f t="shared" si="217"/>
        <v>127.46000000000001</v>
      </c>
      <c r="Z1177" s="5" t="s">
        <v>2291</v>
      </c>
      <c r="AA1177" s="5" t="s">
        <v>2298</v>
      </c>
      <c r="AB1177" s="9">
        <f t="shared" si="218"/>
        <v>300</v>
      </c>
      <c r="AC1177" s="9">
        <f t="shared" si="219"/>
        <v>15</v>
      </c>
      <c r="AD1177" s="9">
        <f t="shared" si="220"/>
        <v>285</v>
      </c>
      <c r="AE1177" s="9">
        <f t="shared" si="221"/>
        <v>157.54</v>
      </c>
      <c r="AF1177" s="9">
        <f t="shared" si="227"/>
        <v>127.46000000000001</v>
      </c>
      <c r="AG1177" s="8">
        <f t="shared" si="222"/>
        <v>2024</v>
      </c>
      <c r="AH1177" s="8">
        <f t="shared" si="223"/>
        <v>11</v>
      </c>
      <c r="AI1177" s="5" t="str">
        <f t="shared" si="224"/>
        <v>Nov</v>
      </c>
      <c r="AJ1177" s="5" t="str">
        <f t="shared" si="225"/>
        <v>Saturday</v>
      </c>
    </row>
    <row r="1178" spans="1:36" x14ac:dyDescent="0.3">
      <c r="A1178" s="5" t="s">
        <v>1212</v>
      </c>
      <c r="B1178" s="6">
        <v>45626</v>
      </c>
      <c r="C1178" s="7">
        <v>0.78472222222222221</v>
      </c>
      <c r="D1178" s="5" t="s">
        <v>1860</v>
      </c>
      <c r="E1178" s="5" t="s">
        <v>1964</v>
      </c>
      <c r="F1178" s="5" t="s">
        <v>2240</v>
      </c>
      <c r="G1178" s="5" t="s">
        <v>2249</v>
      </c>
      <c r="H1178" s="5" t="s">
        <v>2257</v>
      </c>
      <c r="I1178" s="5" t="s">
        <v>2263</v>
      </c>
      <c r="J1178" s="5" t="s">
        <v>2264</v>
      </c>
      <c r="K1178" s="8">
        <v>1</v>
      </c>
      <c r="L1178" s="9">
        <v>165</v>
      </c>
      <c r="M1178" s="10">
        <v>0.1</v>
      </c>
      <c r="N1178" s="9">
        <f t="shared" si="226"/>
        <v>165</v>
      </c>
      <c r="O1178" s="9">
        <f t="shared" si="216"/>
        <v>148.5</v>
      </c>
      <c r="P1178" s="5" t="s">
        <v>2269</v>
      </c>
      <c r="Q1178" s="5" t="s">
        <v>2271</v>
      </c>
      <c r="R1178" s="5" t="s">
        <v>2276</v>
      </c>
      <c r="S1178" s="5" t="s">
        <v>2284</v>
      </c>
      <c r="T1178" s="5" t="s">
        <v>2288</v>
      </c>
      <c r="U1178" s="8">
        <v>3</v>
      </c>
      <c r="V1178" s="8">
        <v>497</v>
      </c>
      <c r="W1178" s="8">
        <v>37</v>
      </c>
      <c r="X1178" s="9">
        <v>59.07</v>
      </c>
      <c r="Y1178" s="9">
        <f t="shared" si="217"/>
        <v>89.43</v>
      </c>
      <c r="Z1178" s="5" t="s">
        <v>2293</v>
      </c>
      <c r="AA1178" s="5" t="s">
        <v>2299</v>
      </c>
      <c r="AB1178" s="9">
        <f t="shared" si="218"/>
        <v>165</v>
      </c>
      <c r="AC1178" s="9">
        <f t="shared" si="219"/>
        <v>16.5</v>
      </c>
      <c r="AD1178" s="9">
        <f t="shared" si="220"/>
        <v>148.5</v>
      </c>
      <c r="AE1178" s="9">
        <f t="shared" si="221"/>
        <v>59.07</v>
      </c>
      <c r="AF1178" s="9">
        <f t="shared" si="227"/>
        <v>89.43</v>
      </c>
      <c r="AG1178" s="8">
        <f t="shared" si="222"/>
        <v>2024</v>
      </c>
      <c r="AH1178" s="8">
        <f t="shared" si="223"/>
        <v>11</v>
      </c>
      <c r="AI1178" s="5" t="str">
        <f t="shared" si="224"/>
        <v>Nov</v>
      </c>
      <c r="AJ1178" s="5" t="str">
        <f t="shared" si="225"/>
        <v>Saturday</v>
      </c>
    </row>
    <row r="1179" spans="1:36" x14ac:dyDescent="0.3">
      <c r="A1179" s="5" t="s">
        <v>1213</v>
      </c>
      <c r="B1179" s="6">
        <v>45647</v>
      </c>
      <c r="C1179" s="7">
        <v>0.72222222222222221</v>
      </c>
      <c r="D1179" s="5" t="s">
        <v>1827</v>
      </c>
      <c r="E1179" s="5" t="s">
        <v>2059</v>
      </c>
      <c r="F1179" s="5" t="s">
        <v>2240</v>
      </c>
      <c r="G1179" s="5" t="s">
        <v>2242</v>
      </c>
      <c r="H1179" s="5" t="s">
        <v>2258</v>
      </c>
      <c r="I1179" s="5" t="s">
        <v>2260</v>
      </c>
      <c r="J1179" s="5" t="s">
        <v>2266</v>
      </c>
      <c r="K1179" s="8">
        <v>1</v>
      </c>
      <c r="L1179" s="9">
        <v>120</v>
      </c>
      <c r="M1179" s="10">
        <v>0</v>
      </c>
      <c r="N1179" s="9">
        <f t="shared" si="226"/>
        <v>120</v>
      </c>
      <c r="O1179" s="9">
        <f t="shared" si="216"/>
        <v>120</v>
      </c>
      <c r="P1179" s="5" t="s">
        <v>2267</v>
      </c>
      <c r="Q1179" s="5" t="s">
        <v>2272</v>
      </c>
      <c r="R1179" s="5" t="s">
        <v>2277</v>
      </c>
      <c r="S1179" s="5" t="s">
        <v>2280</v>
      </c>
      <c r="T1179" s="5" t="s">
        <v>2288</v>
      </c>
      <c r="U1179" s="8">
        <v>1</v>
      </c>
      <c r="V1179" s="8">
        <v>470</v>
      </c>
      <c r="W1179" s="8">
        <v>12</v>
      </c>
      <c r="X1179" s="9">
        <v>65.209999999999994</v>
      </c>
      <c r="Y1179" s="9">
        <f t="shared" si="217"/>
        <v>54.790000000000006</v>
      </c>
      <c r="Z1179" s="5" t="s">
        <v>1761</v>
      </c>
      <c r="AA1179" s="5" t="s">
        <v>2296</v>
      </c>
      <c r="AB1179" s="9">
        <f t="shared" si="218"/>
        <v>120</v>
      </c>
      <c r="AC1179" s="9">
        <f t="shared" si="219"/>
        <v>0</v>
      </c>
      <c r="AD1179" s="9">
        <f t="shared" si="220"/>
        <v>120</v>
      </c>
      <c r="AE1179" s="9">
        <f t="shared" si="221"/>
        <v>65.209999999999994</v>
      </c>
      <c r="AF1179" s="9">
        <f t="shared" si="227"/>
        <v>54.790000000000006</v>
      </c>
      <c r="AG1179" s="8">
        <f t="shared" si="222"/>
        <v>2024</v>
      </c>
      <c r="AH1179" s="8">
        <f t="shared" si="223"/>
        <v>12</v>
      </c>
      <c r="AI1179" s="5" t="str">
        <f t="shared" si="224"/>
        <v>Dec</v>
      </c>
      <c r="AJ1179" s="5" t="str">
        <f t="shared" si="225"/>
        <v>Saturday</v>
      </c>
    </row>
    <row r="1180" spans="1:36" x14ac:dyDescent="0.3">
      <c r="A1180" s="5" t="s">
        <v>1214</v>
      </c>
      <c r="B1180" s="6">
        <v>45346</v>
      </c>
      <c r="C1180" s="7">
        <v>0.83333333333333337</v>
      </c>
      <c r="D1180" s="5" t="s">
        <v>1917</v>
      </c>
      <c r="E1180" s="5" t="s">
        <v>2208</v>
      </c>
      <c r="F1180" s="5" t="s">
        <v>2239</v>
      </c>
      <c r="G1180" s="5" t="s">
        <v>2243</v>
      </c>
      <c r="H1180" s="5" t="s">
        <v>2258</v>
      </c>
      <c r="I1180" s="5" t="s">
        <v>2260</v>
      </c>
      <c r="J1180" s="5" t="s">
        <v>2266</v>
      </c>
      <c r="K1180" s="8">
        <v>3</v>
      </c>
      <c r="L1180" s="9">
        <v>70</v>
      </c>
      <c r="M1180" s="10">
        <v>0.1</v>
      </c>
      <c r="N1180" s="9">
        <f t="shared" si="226"/>
        <v>210</v>
      </c>
      <c r="O1180" s="9">
        <f t="shared" si="216"/>
        <v>189</v>
      </c>
      <c r="P1180" s="5" t="s">
        <v>2268</v>
      </c>
      <c r="Q1180" s="5" t="s">
        <v>2270</v>
      </c>
      <c r="R1180" s="5" t="s">
        <v>2278</v>
      </c>
      <c r="S1180" s="5" t="s">
        <v>2281</v>
      </c>
      <c r="T1180" s="5" t="s">
        <v>2288</v>
      </c>
      <c r="U1180" s="8">
        <v>3</v>
      </c>
      <c r="V1180" s="19">
        <v>244</v>
      </c>
      <c r="W1180" s="8">
        <v>34</v>
      </c>
      <c r="X1180" s="9">
        <v>40.04</v>
      </c>
      <c r="Y1180" s="9">
        <f t="shared" si="217"/>
        <v>68.88</v>
      </c>
      <c r="Z1180" s="5" t="s">
        <v>2294</v>
      </c>
      <c r="AA1180" s="5" t="s">
        <v>2298</v>
      </c>
      <c r="AB1180" s="9">
        <f t="shared" si="218"/>
        <v>210</v>
      </c>
      <c r="AC1180" s="9">
        <f t="shared" si="219"/>
        <v>21</v>
      </c>
      <c r="AD1180" s="9">
        <f t="shared" si="220"/>
        <v>189</v>
      </c>
      <c r="AE1180" s="9">
        <f t="shared" si="221"/>
        <v>120.12</v>
      </c>
      <c r="AF1180" s="9">
        <f t="shared" si="227"/>
        <v>68.88</v>
      </c>
      <c r="AG1180" s="8">
        <f t="shared" si="222"/>
        <v>2024</v>
      </c>
      <c r="AH1180" s="8">
        <f t="shared" si="223"/>
        <v>2</v>
      </c>
      <c r="AI1180" s="5" t="str">
        <f t="shared" si="224"/>
        <v>Feb</v>
      </c>
      <c r="AJ1180" s="5" t="str">
        <f t="shared" si="225"/>
        <v>Saturday</v>
      </c>
    </row>
    <row r="1181" spans="1:36" x14ac:dyDescent="0.3">
      <c r="A1181" s="5" t="s">
        <v>1215</v>
      </c>
      <c r="B1181" s="6">
        <v>45396</v>
      </c>
      <c r="C1181" s="7">
        <v>0.61805555555555558</v>
      </c>
      <c r="D1181" s="5" t="s">
        <v>1801</v>
      </c>
      <c r="E1181" s="5" t="s">
        <v>1957</v>
      </c>
      <c r="F1181" s="5" t="s">
        <v>2239</v>
      </c>
      <c r="G1181" s="5" t="s">
        <v>2253</v>
      </c>
      <c r="H1181" s="5" t="s">
        <v>2258</v>
      </c>
      <c r="I1181" s="5" t="s">
        <v>2260</v>
      </c>
      <c r="J1181" s="5" t="s">
        <v>2266</v>
      </c>
      <c r="K1181" s="8">
        <v>3</v>
      </c>
      <c r="L1181" s="9">
        <v>90</v>
      </c>
      <c r="M1181" s="10">
        <v>0</v>
      </c>
      <c r="N1181" s="9">
        <f t="shared" si="226"/>
        <v>270</v>
      </c>
      <c r="O1181" s="9">
        <f t="shared" si="216"/>
        <v>270</v>
      </c>
      <c r="P1181" s="5" t="s">
        <v>2269</v>
      </c>
      <c r="Q1181" s="5" t="s">
        <v>2270</v>
      </c>
      <c r="R1181" s="5" t="s">
        <v>2277</v>
      </c>
      <c r="S1181" s="5" t="s">
        <v>2285</v>
      </c>
      <c r="T1181" s="5" t="s">
        <v>2290</v>
      </c>
      <c r="U1181" s="8">
        <v>3</v>
      </c>
      <c r="V1181" s="8">
        <v>347</v>
      </c>
      <c r="W1181" s="19">
        <v>34</v>
      </c>
      <c r="X1181" s="9">
        <v>34.42</v>
      </c>
      <c r="Y1181" s="9">
        <f t="shared" si="217"/>
        <v>166.74</v>
      </c>
      <c r="Z1181" s="5" t="s">
        <v>1761</v>
      </c>
      <c r="AA1181" s="5" t="s">
        <v>2297</v>
      </c>
      <c r="AB1181" s="9">
        <f t="shared" si="218"/>
        <v>270</v>
      </c>
      <c r="AC1181" s="9">
        <f t="shared" si="219"/>
        <v>0</v>
      </c>
      <c r="AD1181" s="9">
        <f t="shared" si="220"/>
        <v>270</v>
      </c>
      <c r="AE1181" s="9">
        <f t="shared" si="221"/>
        <v>103.26</v>
      </c>
      <c r="AF1181" s="9">
        <f t="shared" si="227"/>
        <v>166.74</v>
      </c>
      <c r="AG1181" s="8">
        <f t="shared" si="222"/>
        <v>2024</v>
      </c>
      <c r="AH1181" s="8">
        <f t="shared" si="223"/>
        <v>4</v>
      </c>
      <c r="AI1181" s="5" t="str">
        <f t="shared" si="224"/>
        <v>Apr</v>
      </c>
      <c r="AJ1181" s="5" t="str">
        <f t="shared" si="225"/>
        <v>Sunday</v>
      </c>
    </row>
    <row r="1182" spans="1:36" x14ac:dyDescent="0.3">
      <c r="A1182" s="5" t="s">
        <v>1216</v>
      </c>
      <c r="B1182" s="6">
        <v>45647</v>
      </c>
      <c r="C1182" s="7">
        <v>0.57638888888888884</v>
      </c>
      <c r="D1182" s="5" t="s">
        <v>1770</v>
      </c>
      <c r="E1182" s="5" t="s">
        <v>2221</v>
      </c>
      <c r="F1182" s="5" t="s">
        <v>2240</v>
      </c>
      <c r="G1182" s="5" t="s">
        <v>2241</v>
      </c>
      <c r="H1182" s="5" t="s">
        <v>2257</v>
      </c>
      <c r="I1182" s="5" t="s">
        <v>2262</v>
      </c>
      <c r="J1182" s="5" t="s">
        <v>2265</v>
      </c>
      <c r="K1182" s="8">
        <v>1</v>
      </c>
      <c r="L1182" s="9">
        <v>135</v>
      </c>
      <c r="M1182" s="10">
        <v>0.15</v>
      </c>
      <c r="N1182" s="9">
        <f t="shared" si="226"/>
        <v>135</v>
      </c>
      <c r="O1182" s="9">
        <f t="shared" si="216"/>
        <v>114.75</v>
      </c>
      <c r="P1182" s="5" t="s">
        <v>2269</v>
      </c>
      <c r="Q1182" s="5" t="s">
        <v>2270</v>
      </c>
      <c r="R1182" s="5" t="s">
        <v>2277</v>
      </c>
      <c r="S1182" s="5" t="s">
        <v>2283</v>
      </c>
      <c r="T1182" s="5" t="s">
        <v>2288</v>
      </c>
      <c r="U1182" s="8">
        <v>2</v>
      </c>
      <c r="V1182" s="8">
        <v>152</v>
      </c>
      <c r="W1182" s="19">
        <v>34</v>
      </c>
      <c r="X1182" s="9">
        <v>75.16</v>
      </c>
      <c r="Y1182" s="9">
        <f t="shared" si="217"/>
        <v>39.590000000000003</v>
      </c>
      <c r="Z1182" s="5" t="s">
        <v>2294</v>
      </c>
      <c r="AA1182" s="5" t="s">
        <v>2296</v>
      </c>
      <c r="AB1182" s="9">
        <f t="shared" si="218"/>
        <v>135</v>
      </c>
      <c r="AC1182" s="9">
        <f t="shared" si="219"/>
        <v>20.25</v>
      </c>
      <c r="AD1182" s="9">
        <f t="shared" si="220"/>
        <v>114.75</v>
      </c>
      <c r="AE1182" s="9">
        <f t="shared" si="221"/>
        <v>75.16</v>
      </c>
      <c r="AF1182" s="9">
        <f t="shared" si="227"/>
        <v>39.590000000000003</v>
      </c>
      <c r="AG1182" s="8">
        <f t="shared" si="222"/>
        <v>2024</v>
      </c>
      <c r="AH1182" s="8">
        <f t="shared" si="223"/>
        <v>12</v>
      </c>
      <c r="AI1182" s="5" t="str">
        <f t="shared" si="224"/>
        <v>Dec</v>
      </c>
      <c r="AJ1182" s="5" t="str">
        <f t="shared" si="225"/>
        <v>Saturday</v>
      </c>
    </row>
    <row r="1183" spans="1:36" x14ac:dyDescent="0.3">
      <c r="A1183" s="5" t="s">
        <v>1217</v>
      </c>
      <c r="B1183" s="6">
        <v>45446</v>
      </c>
      <c r="C1183" s="7">
        <v>0.78125</v>
      </c>
      <c r="D1183" s="5" t="s">
        <v>1803</v>
      </c>
      <c r="E1183" s="5" t="s">
        <v>2017</v>
      </c>
      <c r="F1183" s="5" t="s">
        <v>2239</v>
      </c>
      <c r="G1183" s="5" t="s">
        <v>2249</v>
      </c>
      <c r="H1183" s="5" t="s">
        <v>2257</v>
      </c>
      <c r="I1183" s="5" t="s">
        <v>2263</v>
      </c>
      <c r="J1183" s="5" t="s">
        <v>1761</v>
      </c>
      <c r="K1183" s="8">
        <v>1</v>
      </c>
      <c r="L1183" s="9">
        <v>160</v>
      </c>
      <c r="M1183" s="10">
        <v>0</v>
      </c>
      <c r="N1183" s="9">
        <f t="shared" si="226"/>
        <v>160</v>
      </c>
      <c r="O1183" s="9">
        <f t="shared" si="216"/>
        <v>160</v>
      </c>
      <c r="P1183" s="5" t="s">
        <v>2267</v>
      </c>
      <c r="Q1183" s="5" t="s">
        <v>1761</v>
      </c>
      <c r="R1183" s="5" t="s">
        <v>2276</v>
      </c>
      <c r="S1183" s="5" t="s">
        <v>2286</v>
      </c>
      <c r="T1183" s="5" t="s">
        <v>2288</v>
      </c>
      <c r="U1183" s="8">
        <v>5</v>
      </c>
      <c r="V1183" s="8">
        <v>220</v>
      </c>
      <c r="W1183" s="8">
        <v>50</v>
      </c>
      <c r="X1183" s="9">
        <v>94.81</v>
      </c>
      <c r="Y1183" s="9">
        <f t="shared" si="217"/>
        <v>65.19</v>
      </c>
      <c r="Z1183" s="5" t="s">
        <v>1761</v>
      </c>
      <c r="AA1183" s="5" t="s">
        <v>2296</v>
      </c>
      <c r="AB1183" s="9">
        <f t="shared" si="218"/>
        <v>160</v>
      </c>
      <c r="AC1183" s="9">
        <f t="shared" si="219"/>
        <v>0</v>
      </c>
      <c r="AD1183" s="9">
        <f t="shared" si="220"/>
        <v>160</v>
      </c>
      <c r="AE1183" s="9">
        <f t="shared" si="221"/>
        <v>94.81</v>
      </c>
      <c r="AF1183" s="9">
        <f t="shared" si="227"/>
        <v>65.19</v>
      </c>
      <c r="AG1183" s="8">
        <f t="shared" si="222"/>
        <v>2024</v>
      </c>
      <c r="AH1183" s="8">
        <f t="shared" si="223"/>
        <v>6</v>
      </c>
      <c r="AI1183" s="5" t="str">
        <f t="shared" si="224"/>
        <v>Jun</v>
      </c>
      <c r="AJ1183" s="5" t="str">
        <f t="shared" si="225"/>
        <v>Monday</v>
      </c>
    </row>
    <row r="1184" spans="1:36" x14ac:dyDescent="0.3">
      <c r="A1184" s="5" t="s">
        <v>1218</v>
      </c>
      <c r="B1184" s="6">
        <v>45557</v>
      </c>
      <c r="C1184" s="7">
        <v>0.89583333333333337</v>
      </c>
      <c r="D1184" s="5" t="s">
        <v>1794</v>
      </c>
      <c r="E1184" s="5" t="s">
        <v>1960</v>
      </c>
      <c r="F1184" s="5" t="s">
        <v>2240</v>
      </c>
      <c r="G1184" s="5" t="s">
        <v>2242</v>
      </c>
      <c r="H1184" s="5" t="s">
        <v>2258</v>
      </c>
      <c r="I1184" s="5" t="s">
        <v>2260</v>
      </c>
      <c r="J1184" s="5" t="s">
        <v>2265</v>
      </c>
      <c r="K1184" s="8">
        <v>2</v>
      </c>
      <c r="L1184" s="9">
        <v>130</v>
      </c>
      <c r="M1184" s="10">
        <v>0</v>
      </c>
      <c r="N1184" s="9">
        <f t="shared" si="226"/>
        <v>260</v>
      </c>
      <c r="O1184" s="9">
        <f t="shared" si="216"/>
        <v>260</v>
      </c>
      <c r="P1184" s="5" t="s">
        <v>2268</v>
      </c>
      <c r="Q1184" s="5" t="s">
        <v>2272</v>
      </c>
      <c r="R1184" s="5" t="s">
        <v>2274</v>
      </c>
      <c r="S1184" s="5" t="s">
        <v>2284</v>
      </c>
      <c r="T1184" s="5" t="s">
        <v>2288</v>
      </c>
      <c r="U1184" s="8">
        <v>4</v>
      </c>
      <c r="V1184" s="8">
        <v>179</v>
      </c>
      <c r="W1184" s="8">
        <v>43</v>
      </c>
      <c r="X1184" s="9">
        <v>71.87</v>
      </c>
      <c r="Y1184" s="9">
        <f t="shared" si="217"/>
        <v>116.25999999999999</v>
      </c>
      <c r="Z1184" s="5" t="s">
        <v>1761</v>
      </c>
      <c r="AA1184" s="5" t="s">
        <v>1761</v>
      </c>
      <c r="AB1184" s="9">
        <f t="shared" si="218"/>
        <v>260</v>
      </c>
      <c r="AC1184" s="9">
        <f t="shared" si="219"/>
        <v>0</v>
      </c>
      <c r="AD1184" s="9">
        <f t="shared" si="220"/>
        <v>260</v>
      </c>
      <c r="AE1184" s="9">
        <f t="shared" si="221"/>
        <v>143.74</v>
      </c>
      <c r="AF1184" s="9">
        <f t="shared" si="227"/>
        <v>116.25999999999999</v>
      </c>
      <c r="AG1184" s="8">
        <f t="shared" si="222"/>
        <v>2024</v>
      </c>
      <c r="AH1184" s="8">
        <f t="shared" si="223"/>
        <v>9</v>
      </c>
      <c r="AI1184" s="5" t="str">
        <f t="shared" si="224"/>
        <v>Sep</v>
      </c>
      <c r="AJ1184" s="5" t="str">
        <f t="shared" si="225"/>
        <v>Sunday</v>
      </c>
    </row>
    <row r="1185" spans="1:36" x14ac:dyDescent="0.3">
      <c r="A1185" s="5" t="s">
        <v>1219</v>
      </c>
      <c r="B1185" s="6">
        <v>45469</v>
      </c>
      <c r="C1185" s="7">
        <v>0.625</v>
      </c>
      <c r="D1185" s="5" t="s">
        <v>1791</v>
      </c>
      <c r="E1185" s="5" t="s">
        <v>1960</v>
      </c>
      <c r="F1185" s="5" t="s">
        <v>2239</v>
      </c>
      <c r="G1185" s="5" t="s">
        <v>2252</v>
      </c>
      <c r="H1185" s="5" t="s">
        <v>2257</v>
      </c>
      <c r="I1185" s="5" t="s">
        <v>2262</v>
      </c>
      <c r="J1185" s="5" t="s">
        <v>2265</v>
      </c>
      <c r="K1185" s="8">
        <v>5</v>
      </c>
      <c r="L1185" s="9">
        <v>90</v>
      </c>
      <c r="M1185" s="10">
        <v>0.1</v>
      </c>
      <c r="N1185" s="9">
        <f t="shared" si="226"/>
        <v>450</v>
      </c>
      <c r="O1185" s="9">
        <f t="shared" si="216"/>
        <v>405</v>
      </c>
      <c r="P1185" s="5" t="s">
        <v>2267</v>
      </c>
      <c r="Q1185" s="5" t="s">
        <v>2272</v>
      </c>
      <c r="R1185" s="5" t="s">
        <v>2274</v>
      </c>
      <c r="S1185" s="5" t="s">
        <v>2281</v>
      </c>
      <c r="T1185" s="5" t="s">
        <v>2290</v>
      </c>
      <c r="U1185" s="8">
        <v>1</v>
      </c>
      <c r="V1185" s="19">
        <v>244</v>
      </c>
      <c r="W1185" s="19">
        <v>35</v>
      </c>
      <c r="X1185" s="9">
        <v>52.52</v>
      </c>
      <c r="Y1185" s="9">
        <f t="shared" si="217"/>
        <v>142.39999999999998</v>
      </c>
      <c r="Z1185" s="5" t="s">
        <v>2293</v>
      </c>
      <c r="AA1185" s="5" t="s">
        <v>1761</v>
      </c>
      <c r="AB1185" s="9">
        <f t="shared" si="218"/>
        <v>450</v>
      </c>
      <c r="AC1185" s="9">
        <f t="shared" si="219"/>
        <v>45</v>
      </c>
      <c r="AD1185" s="9">
        <f t="shared" si="220"/>
        <v>405</v>
      </c>
      <c r="AE1185" s="9">
        <f t="shared" si="221"/>
        <v>262.60000000000002</v>
      </c>
      <c r="AF1185" s="9">
        <f t="shared" si="227"/>
        <v>142.39999999999998</v>
      </c>
      <c r="AG1185" s="8">
        <f t="shared" si="222"/>
        <v>2024</v>
      </c>
      <c r="AH1185" s="8">
        <f t="shared" si="223"/>
        <v>6</v>
      </c>
      <c r="AI1185" s="5" t="str">
        <f t="shared" si="224"/>
        <v>Jun</v>
      </c>
      <c r="AJ1185" s="5" t="str">
        <f t="shared" si="225"/>
        <v>Wednesday</v>
      </c>
    </row>
    <row r="1186" spans="1:36" x14ac:dyDescent="0.3">
      <c r="A1186" s="5" t="s">
        <v>1220</v>
      </c>
      <c r="B1186" s="6">
        <v>45413</v>
      </c>
      <c r="C1186" s="7">
        <v>0.59722222222222221</v>
      </c>
      <c r="D1186" s="5" t="s">
        <v>1866</v>
      </c>
      <c r="E1186" s="5" t="s">
        <v>2221</v>
      </c>
      <c r="F1186" s="5" t="s">
        <v>2239</v>
      </c>
      <c r="G1186" s="5" t="s">
        <v>2241</v>
      </c>
      <c r="H1186" s="5" t="s">
        <v>2257</v>
      </c>
      <c r="I1186" s="5" t="s">
        <v>2262</v>
      </c>
      <c r="J1186" s="5" t="s">
        <v>2265</v>
      </c>
      <c r="K1186" s="8">
        <v>3</v>
      </c>
      <c r="L1186" s="9">
        <v>130</v>
      </c>
      <c r="M1186" s="10">
        <v>0.1</v>
      </c>
      <c r="N1186" s="9">
        <f t="shared" si="226"/>
        <v>390</v>
      </c>
      <c r="O1186" s="9">
        <f t="shared" si="216"/>
        <v>351</v>
      </c>
      <c r="P1186" s="5" t="s">
        <v>1761</v>
      </c>
      <c r="Q1186" s="5" t="s">
        <v>2271</v>
      </c>
      <c r="R1186" s="5" t="s">
        <v>2276</v>
      </c>
      <c r="S1186" s="5" t="s">
        <v>2282</v>
      </c>
      <c r="T1186" s="5" t="s">
        <v>2288</v>
      </c>
      <c r="U1186" s="8">
        <v>4</v>
      </c>
      <c r="V1186" s="8">
        <v>204</v>
      </c>
      <c r="W1186" s="8">
        <v>33</v>
      </c>
      <c r="X1186" s="9">
        <v>46.75</v>
      </c>
      <c r="Y1186" s="9">
        <f t="shared" si="217"/>
        <v>210.75</v>
      </c>
      <c r="Z1186" s="5" t="s">
        <v>2293</v>
      </c>
      <c r="AA1186" s="5" t="s">
        <v>2299</v>
      </c>
      <c r="AB1186" s="9">
        <f t="shared" si="218"/>
        <v>390</v>
      </c>
      <c r="AC1186" s="9">
        <f t="shared" si="219"/>
        <v>39</v>
      </c>
      <c r="AD1186" s="9">
        <f t="shared" si="220"/>
        <v>351</v>
      </c>
      <c r="AE1186" s="9">
        <f t="shared" si="221"/>
        <v>140.25</v>
      </c>
      <c r="AF1186" s="9">
        <f t="shared" si="227"/>
        <v>210.75</v>
      </c>
      <c r="AG1186" s="8">
        <f t="shared" si="222"/>
        <v>2024</v>
      </c>
      <c r="AH1186" s="8">
        <f t="shared" si="223"/>
        <v>5</v>
      </c>
      <c r="AI1186" s="5" t="str">
        <f t="shared" si="224"/>
        <v>May</v>
      </c>
      <c r="AJ1186" s="5" t="str">
        <f t="shared" si="225"/>
        <v>Wednesday</v>
      </c>
    </row>
    <row r="1187" spans="1:36" x14ac:dyDescent="0.3">
      <c r="A1187" s="5" t="s">
        <v>1221</v>
      </c>
      <c r="B1187" s="6">
        <v>45359</v>
      </c>
      <c r="C1187" s="7">
        <v>0.85416666666666663</v>
      </c>
      <c r="D1187" s="5" t="s">
        <v>1805</v>
      </c>
      <c r="E1187" s="5" t="s">
        <v>1962</v>
      </c>
      <c r="F1187" s="5" t="s">
        <v>2239</v>
      </c>
      <c r="G1187" s="5" t="s">
        <v>2247</v>
      </c>
      <c r="H1187" s="5" t="s">
        <v>2257</v>
      </c>
      <c r="I1187" s="5" t="s">
        <v>2262</v>
      </c>
      <c r="J1187" s="5" t="s">
        <v>2264</v>
      </c>
      <c r="K1187" s="8">
        <v>3</v>
      </c>
      <c r="L1187" s="9">
        <v>100</v>
      </c>
      <c r="M1187" s="10">
        <v>0</v>
      </c>
      <c r="N1187" s="9">
        <f t="shared" si="226"/>
        <v>300</v>
      </c>
      <c r="O1187" s="9">
        <f t="shared" si="216"/>
        <v>300</v>
      </c>
      <c r="P1187" s="5" t="s">
        <v>2269</v>
      </c>
      <c r="Q1187" s="5" t="s">
        <v>2272</v>
      </c>
      <c r="R1187" s="5" t="s">
        <v>2274</v>
      </c>
      <c r="S1187" s="5" t="s">
        <v>2286</v>
      </c>
      <c r="T1187" s="5" t="s">
        <v>2288</v>
      </c>
      <c r="U1187" s="8">
        <v>2</v>
      </c>
      <c r="V1187" s="19">
        <v>244</v>
      </c>
      <c r="W1187" s="8">
        <v>21</v>
      </c>
      <c r="X1187" s="9">
        <v>57.29</v>
      </c>
      <c r="Y1187" s="9">
        <f t="shared" si="217"/>
        <v>128.13</v>
      </c>
      <c r="Z1187" s="5" t="s">
        <v>1761</v>
      </c>
      <c r="AA1187" s="5" t="s">
        <v>2298</v>
      </c>
      <c r="AB1187" s="9">
        <f t="shared" si="218"/>
        <v>300</v>
      </c>
      <c r="AC1187" s="9">
        <f t="shared" si="219"/>
        <v>0</v>
      </c>
      <c r="AD1187" s="9">
        <f t="shared" si="220"/>
        <v>300</v>
      </c>
      <c r="AE1187" s="9">
        <f t="shared" si="221"/>
        <v>171.87</v>
      </c>
      <c r="AF1187" s="9">
        <f t="shared" si="227"/>
        <v>128.13</v>
      </c>
      <c r="AG1187" s="8">
        <f t="shared" si="222"/>
        <v>2024</v>
      </c>
      <c r="AH1187" s="8">
        <f t="shared" si="223"/>
        <v>3</v>
      </c>
      <c r="AI1187" s="5" t="str">
        <f t="shared" si="224"/>
        <v>Mar</v>
      </c>
      <c r="AJ1187" s="5" t="str">
        <f t="shared" si="225"/>
        <v>Friday</v>
      </c>
    </row>
    <row r="1188" spans="1:36" x14ac:dyDescent="0.3">
      <c r="A1188" s="5" t="s">
        <v>1222</v>
      </c>
      <c r="B1188" s="6">
        <v>45597</v>
      </c>
      <c r="C1188" s="7">
        <v>0.55555555555555558</v>
      </c>
      <c r="D1188" s="5" t="s">
        <v>1903</v>
      </c>
      <c r="E1188" s="5" t="s">
        <v>2133</v>
      </c>
      <c r="F1188" s="5" t="s">
        <v>2239</v>
      </c>
      <c r="G1188" s="5" t="s">
        <v>2253</v>
      </c>
      <c r="H1188" s="5" t="s">
        <v>2258</v>
      </c>
      <c r="I1188" s="5" t="s">
        <v>2260</v>
      </c>
      <c r="J1188" s="5" t="s">
        <v>2265</v>
      </c>
      <c r="K1188" s="8">
        <v>2</v>
      </c>
      <c r="L1188" s="9">
        <v>100</v>
      </c>
      <c r="M1188" s="10">
        <v>0</v>
      </c>
      <c r="N1188" s="9">
        <f t="shared" si="226"/>
        <v>200</v>
      </c>
      <c r="O1188" s="9">
        <f t="shared" si="216"/>
        <v>200</v>
      </c>
      <c r="P1188" s="5" t="s">
        <v>2268</v>
      </c>
      <c r="Q1188" s="5" t="s">
        <v>2270</v>
      </c>
      <c r="R1188" s="5" t="s">
        <v>2274</v>
      </c>
      <c r="S1188" s="5" t="s">
        <v>2285</v>
      </c>
      <c r="T1188" s="5" t="s">
        <v>2288</v>
      </c>
      <c r="U1188" s="8">
        <v>5</v>
      </c>
      <c r="V1188" s="8">
        <v>77</v>
      </c>
      <c r="W1188" s="8">
        <v>35</v>
      </c>
      <c r="X1188" s="9">
        <v>33.44</v>
      </c>
      <c r="Y1188" s="9">
        <f t="shared" si="217"/>
        <v>133.12</v>
      </c>
      <c r="Z1188" s="5" t="s">
        <v>2294</v>
      </c>
      <c r="AA1188" s="5" t="s">
        <v>1761</v>
      </c>
      <c r="AB1188" s="9">
        <f t="shared" si="218"/>
        <v>200</v>
      </c>
      <c r="AC1188" s="9">
        <f t="shared" si="219"/>
        <v>0</v>
      </c>
      <c r="AD1188" s="9">
        <f t="shared" si="220"/>
        <v>200</v>
      </c>
      <c r="AE1188" s="9">
        <f t="shared" si="221"/>
        <v>66.88</v>
      </c>
      <c r="AF1188" s="9">
        <f t="shared" si="227"/>
        <v>133.12</v>
      </c>
      <c r="AG1188" s="8">
        <f t="shared" si="222"/>
        <v>2024</v>
      </c>
      <c r="AH1188" s="8">
        <f t="shared" si="223"/>
        <v>11</v>
      </c>
      <c r="AI1188" s="5" t="str">
        <f t="shared" si="224"/>
        <v>Nov</v>
      </c>
      <c r="AJ1188" s="5" t="str">
        <f t="shared" si="225"/>
        <v>Friday</v>
      </c>
    </row>
    <row r="1189" spans="1:36" x14ac:dyDescent="0.3">
      <c r="A1189" s="5" t="s">
        <v>1223</v>
      </c>
      <c r="B1189" s="6">
        <v>45456</v>
      </c>
      <c r="C1189" s="7">
        <v>0.82291666666666663</v>
      </c>
      <c r="D1189" s="5" t="s">
        <v>1779</v>
      </c>
      <c r="E1189" s="5" t="s">
        <v>2119</v>
      </c>
      <c r="F1189" s="5" t="s">
        <v>2239</v>
      </c>
      <c r="G1189" s="5" t="s">
        <v>2247</v>
      </c>
      <c r="H1189" s="5" t="s">
        <v>2257</v>
      </c>
      <c r="I1189" s="5" t="s">
        <v>2262</v>
      </c>
      <c r="J1189" s="5" t="s">
        <v>2266</v>
      </c>
      <c r="K1189" s="8">
        <v>2</v>
      </c>
      <c r="L1189" s="9">
        <v>95</v>
      </c>
      <c r="M1189" s="10">
        <v>0.05</v>
      </c>
      <c r="N1189" s="9">
        <f t="shared" si="226"/>
        <v>190</v>
      </c>
      <c r="O1189" s="9">
        <f t="shared" si="216"/>
        <v>180.5</v>
      </c>
      <c r="P1189" s="5" t="s">
        <v>2269</v>
      </c>
      <c r="Q1189" s="5" t="s">
        <v>2271</v>
      </c>
      <c r="R1189" s="5" t="s">
        <v>2276</v>
      </c>
      <c r="S1189" s="5" t="s">
        <v>2282</v>
      </c>
      <c r="T1189" s="5" t="s">
        <v>2288</v>
      </c>
      <c r="U1189" s="8">
        <v>5</v>
      </c>
      <c r="V1189" s="8">
        <v>225</v>
      </c>
      <c r="W1189" s="8">
        <v>48</v>
      </c>
      <c r="X1189" s="9">
        <v>55.14</v>
      </c>
      <c r="Y1189" s="9">
        <f t="shared" si="217"/>
        <v>70.22</v>
      </c>
      <c r="Z1189" s="5" t="s">
        <v>2293</v>
      </c>
      <c r="AA1189" s="5" t="s">
        <v>1761</v>
      </c>
      <c r="AB1189" s="9">
        <f t="shared" si="218"/>
        <v>190</v>
      </c>
      <c r="AC1189" s="9">
        <f t="shared" si="219"/>
        <v>9.5</v>
      </c>
      <c r="AD1189" s="9">
        <f t="shared" si="220"/>
        <v>180.5</v>
      </c>
      <c r="AE1189" s="9">
        <f t="shared" si="221"/>
        <v>110.28</v>
      </c>
      <c r="AF1189" s="9">
        <f t="shared" si="227"/>
        <v>70.22</v>
      </c>
      <c r="AG1189" s="8">
        <f t="shared" si="222"/>
        <v>2024</v>
      </c>
      <c r="AH1189" s="8">
        <f t="shared" si="223"/>
        <v>6</v>
      </c>
      <c r="AI1189" s="5" t="str">
        <f t="shared" si="224"/>
        <v>Jun</v>
      </c>
      <c r="AJ1189" s="5" t="str">
        <f t="shared" si="225"/>
        <v>Thursday</v>
      </c>
    </row>
    <row r="1190" spans="1:36" x14ac:dyDescent="0.3">
      <c r="A1190" s="5" t="s">
        <v>1224</v>
      </c>
      <c r="B1190" s="6">
        <v>45375</v>
      </c>
      <c r="C1190" s="7">
        <v>0.40625</v>
      </c>
      <c r="D1190" s="5" t="s">
        <v>1852</v>
      </c>
      <c r="E1190" s="5" t="s">
        <v>2071</v>
      </c>
      <c r="F1190" s="5" t="s">
        <v>1761</v>
      </c>
      <c r="G1190" s="5" t="s">
        <v>2250</v>
      </c>
      <c r="H1190" s="5" t="s">
        <v>2259</v>
      </c>
      <c r="I1190" s="5" t="s">
        <v>2262</v>
      </c>
      <c r="J1190" s="5" t="s">
        <v>2266</v>
      </c>
      <c r="K1190" s="8">
        <v>1</v>
      </c>
      <c r="L1190" s="9">
        <v>80</v>
      </c>
      <c r="M1190" s="10">
        <v>0.1</v>
      </c>
      <c r="N1190" s="9">
        <f t="shared" si="226"/>
        <v>80</v>
      </c>
      <c r="O1190" s="9">
        <f t="shared" si="216"/>
        <v>72</v>
      </c>
      <c r="P1190" s="5" t="s">
        <v>2268</v>
      </c>
      <c r="Q1190" s="5" t="s">
        <v>2270</v>
      </c>
      <c r="R1190" s="5" t="s">
        <v>2275</v>
      </c>
      <c r="S1190" s="5" t="s">
        <v>2284</v>
      </c>
      <c r="T1190" s="5" t="s">
        <v>2288</v>
      </c>
      <c r="U1190" s="8">
        <v>5</v>
      </c>
      <c r="V1190" s="8">
        <v>480</v>
      </c>
      <c r="W1190" s="8">
        <v>48</v>
      </c>
      <c r="X1190" s="9">
        <v>32.49</v>
      </c>
      <c r="Y1190" s="9">
        <f t="shared" si="217"/>
        <v>39.51</v>
      </c>
      <c r="Z1190" s="5" t="s">
        <v>2293</v>
      </c>
      <c r="AA1190" s="5" t="s">
        <v>1761</v>
      </c>
      <c r="AB1190" s="9">
        <f t="shared" si="218"/>
        <v>80</v>
      </c>
      <c r="AC1190" s="9">
        <f t="shared" si="219"/>
        <v>8</v>
      </c>
      <c r="AD1190" s="9">
        <f t="shared" si="220"/>
        <v>72</v>
      </c>
      <c r="AE1190" s="9">
        <f t="shared" si="221"/>
        <v>32.49</v>
      </c>
      <c r="AF1190" s="9">
        <f t="shared" si="227"/>
        <v>39.51</v>
      </c>
      <c r="AG1190" s="8">
        <f t="shared" si="222"/>
        <v>2024</v>
      </c>
      <c r="AH1190" s="8">
        <f t="shared" si="223"/>
        <v>3</v>
      </c>
      <c r="AI1190" s="5" t="str">
        <f t="shared" si="224"/>
        <v>Mar</v>
      </c>
      <c r="AJ1190" s="5" t="str">
        <f t="shared" si="225"/>
        <v>Sunday</v>
      </c>
    </row>
    <row r="1191" spans="1:36" x14ac:dyDescent="0.3">
      <c r="A1191" s="5" t="s">
        <v>1225</v>
      </c>
      <c r="B1191" s="6">
        <v>45343</v>
      </c>
      <c r="C1191" s="7">
        <v>0.75694444444444442</v>
      </c>
      <c r="D1191" s="5" t="s">
        <v>1851</v>
      </c>
      <c r="E1191" s="5" t="s">
        <v>2159</v>
      </c>
      <c r="F1191" s="5" t="s">
        <v>2240</v>
      </c>
      <c r="G1191" s="5" t="s">
        <v>2248</v>
      </c>
      <c r="H1191" s="5" t="s">
        <v>2257</v>
      </c>
      <c r="I1191" s="5" t="s">
        <v>2262</v>
      </c>
      <c r="J1191" s="5" t="s">
        <v>2264</v>
      </c>
      <c r="K1191" s="8">
        <v>3</v>
      </c>
      <c r="L1191" s="9">
        <v>140</v>
      </c>
      <c r="M1191" s="10">
        <v>0.05</v>
      </c>
      <c r="N1191" s="9">
        <f t="shared" si="226"/>
        <v>420</v>
      </c>
      <c r="O1191" s="9">
        <f t="shared" si="216"/>
        <v>399</v>
      </c>
      <c r="P1191" s="5" t="s">
        <v>2269</v>
      </c>
      <c r="Q1191" s="5" t="s">
        <v>2270</v>
      </c>
      <c r="R1191" s="5" t="s">
        <v>2276</v>
      </c>
      <c r="S1191" s="5" t="s">
        <v>2283</v>
      </c>
      <c r="T1191" s="5" t="s">
        <v>2289</v>
      </c>
      <c r="U1191" s="8">
        <v>5</v>
      </c>
      <c r="V1191" s="8">
        <v>188</v>
      </c>
      <c r="W1191" s="19">
        <v>34</v>
      </c>
      <c r="X1191" s="9">
        <v>61.24</v>
      </c>
      <c r="Y1191" s="9">
        <f t="shared" si="217"/>
        <v>215.28</v>
      </c>
      <c r="Z1191" s="5" t="s">
        <v>1761</v>
      </c>
      <c r="AA1191" s="5" t="s">
        <v>2299</v>
      </c>
      <c r="AB1191" s="9">
        <f t="shared" si="218"/>
        <v>420</v>
      </c>
      <c r="AC1191" s="9">
        <f t="shared" si="219"/>
        <v>21</v>
      </c>
      <c r="AD1191" s="9">
        <f t="shared" si="220"/>
        <v>399</v>
      </c>
      <c r="AE1191" s="9">
        <f t="shared" si="221"/>
        <v>183.72</v>
      </c>
      <c r="AF1191" s="9">
        <f t="shared" si="227"/>
        <v>215.28</v>
      </c>
      <c r="AG1191" s="8">
        <f t="shared" si="222"/>
        <v>2024</v>
      </c>
      <c r="AH1191" s="8">
        <f t="shared" si="223"/>
        <v>2</v>
      </c>
      <c r="AI1191" s="5" t="str">
        <f t="shared" si="224"/>
        <v>Feb</v>
      </c>
      <c r="AJ1191" s="5" t="str">
        <f t="shared" si="225"/>
        <v>Wednesday</v>
      </c>
    </row>
    <row r="1192" spans="1:36" x14ac:dyDescent="0.3">
      <c r="A1192" s="5" t="s">
        <v>1226</v>
      </c>
      <c r="B1192" s="6">
        <v>45324</v>
      </c>
      <c r="C1192" s="7">
        <v>0.55208333333333337</v>
      </c>
      <c r="D1192" s="5" t="s">
        <v>1898</v>
      </c>
      <c r="E1192" s="5" t="s">
        <v>1945</v>
      </c>
      <c r="F1192" s="5" t="s">
        <v>2240</v>
      </c>
      <c r="G1192" s="5" t="s">
        <v>2248</v>
      </c>
      <c r="H1192" s="5" t="s">
        <v>2257</v>
      </c>
      <c r="I1192" s="5" t="s">
        <v>2262</v>
      </c>
      <c r="J1192" s="5" t="s">
        <v>1761</v>
      </c>
      <c r="K1192" s="8">
        <v>3</v>
      </c>
      <c r="L1192" s="9">
        <v>150</v>
      </c>
      <c r="M1192" s="10">
        <v>0</v>
      </c>
      <c r="N1192" s="9">
        <f t="shared" si="226"/>
        <v>450</v>
      </c>
      <c r="O1192" s="9">
        <f t="shared" si="216"/>
        <v>450</v>
      </c>
      <c r="P1192" s="5" t="s">
        <v>2269</v>
      </c>
      <c r="Q1192" s="5" t="s">
        <v>2271</v>
      </c>
      <c r="R1192" s="5" t="s">
        <v>2274</v>
      </c>
      <c r="S1192" s="5" t="s">
        <v>2286</v>
      </c>
      <c r="T1192" s="5" t="s">
        <v>2288</v>
      </c>
      <c r="U1192" s="8">
        <v>5</v>
      </c>
      <c r="V1192" s="8">
        <v>312</v>
      </c>
      <c r="W1192" s="19">
        <v>37</v>
      </c>
      <c r="X1192" s="9">
        <v>76.540000000000006</v>
      </c>
      <c r="Y1192" s="9">
        <f t="shared" si="217"/>
        <v>220.38</v>
      </c>
      <c r="Z1192" s="5" t="s">
        <v>2292</v>
      </c>
      <c r="AA1192" s="5" t="s">
        <v>2297</v>
      </c>
      <c r="AB1192" s="9">
        <f t="shared" si="218"/>
        <v>450</v>
      </c>
      <c r="AC1192" s="9">
        <f t="shared" si="219"/>
        <v>0</v>
      </c>
      <c r="AD1192" s="9">
        <f t="shared" si="220"/>
        <v>450</v>
      </c>
      <c r="AE1192" s="9">
        <f t="shared" si="221"/>
        <v>229.62</v>
      </c>
      <c r="AF1192" s="9">
        <f t="shared" si="227"/>
        <v>220.38</v>
      </c>
      <c r="AG1192" s="8">
        <f t="shared" si="222"/>
        <v>2024</v>
      </c>
      <c r="AH1192" s="8">
        <f t="shared" si="223"/>
        <v>2</v>
      </c>
      <c r="AI1192" s="5" t="str">
        <f t="shared" si="224"/>
        <v>Feb</v>
      </c>
      <c r="AJ1192" s="5" t="str">
        <f t="shared" si="225"/>
        <v>Friday</v>
      </c>
    </row>
    <row r="1193" spans="1:36" x14ac:dyDescent="0.3">
      <c r="A1193" s="5" t="s">
        <v>1227</v>
      </c>
      <c r="B1193" s="6">
        <v>45423</v>
      </c>
      <c r="C1193" s="7">
        <v>0.875</v>
      </c>
      <c r="D1193" s="5" t="s">
        <v>1920</v>
      </c>
      <c r="E1193" s="5" t="s">
        <v>2017</v>
      </c>
      <c r="F1193" s="5" t="s">
        <v>1761</v>
      </c>
      <c r="G1193" s="5" t="s">
        <v>2249</v>
      </c>
      <c r="H1193" s="5" t="s">
        <v>2257</v>
      </c>
      <c r="I1193" s="5" t="s">
        <v>2263</v>
      </c>
      <c r="J1193" s="5" t="s">
        <v>2266</v>
      </c>
      <c r="K1193" s="8">
        <v>2</v>
      </c>
      <c r="L1193" s="9">
        <v>170</v>
      </c>
      <c r="M1193" s="10">
        <v>0</v>
      </c>
      <c r="N1193" s="9">
        <f t="shared" si="226"/>
        <v>340</v>
      </c>
      <c r="O1193" s="9">
        <f t="shared" si="216"/>
        <v>340</v>
      </c>
      <c r="P1193" s="5" t="s">
        <v>2267</v>
      </c>
      <c r="Q1193" s="5" t="s">
        <v>1761</v>
      </c>
      <c r="R1193" s="5" t="s">
        <v>2274</v>
      </c>
      <c r="S1193" s="5" t="s">
        <v>2286</v>
      </c>
      <c r="T1193" s="5" t="s">
        <v>2288</v>
      </c>
      <c r="U1193" s="8">
        <v>2</v>
      </c>
      <c r="V1193" s="8">
        <v>75</v>
      </c>
      <c r="W1193" s="8">
        <v>38</v>
      </c>
      <c r="X1193" s="9">
        <v>76.02</v>
      </c>
      <c r="Y1193" s="9">
        <f t="shared" si="217"/>
        <v>187.96</v>
      </c>
      <c r="Z1193" s="5" t="s">
        <v>1761</v>
      </c>
      <c r="AA1193" s="5" t="s">
        <v>2299</v>
      </c>
      <c r="AB1193" s="9">
        <f t="shared" si="218"/>
        <v>340</v>
      </c>
      <c r="AC1193" s="9">
        <f t="shared" si="219"/>
        <v>0</v>
      </c>
      <c r="AD1193" s="9">
        <f t="shared" si="220"/>
        <v>340</v>
      </c>
      <c r="AE1193" s="9">
        <f t="shared" si="221"/>
        <v>152.04</v>
      </c>
      <c r="AF1193" s="9">
        <f t="shared" si="227"/>
        <v>187.96</v>
      </c>
      <c r="AG1193" s="8">
        <f t="shared" si="222"/>
        <v>2024</v>
      </c>
      <c r="AH1193" s="8">
        <f t="shared" si="223"/>
        <v>5</v>
      </c>
      <c r="AI1193" s="5" t="str">
        <f t="shared" si="224"/>
        <v>May</v>
      </c>
      <c r="AJ1193" s="5" t="str">
        <f t="shared" si="225"/>
        <v>Saturday</v>
      </c>
    </row>
    <row r="1194" spans="1:36" x14ac:dyDescent="0.3">
      <c r="A1194" s="5" t="s">
        <v>1228</v>
      </c>
      <c r="B1194" s="6">
        <v>45292</v>
      </c>
      <c r="C1194" s="7">
        <v>0.75</v>
      </c>
      <c r="D1194" s="5" t="s">
        <v>1761</v>
      </c>
      <c r="E1194" s="5" t="s">
        <v>1956</v>
      </c>
      <c r="F1194" s="5" t="s">
        <v>1761</v>
      </c>
      <c r="G1194" s="5" t="s">
        <v>2250</v>
      </c>
      <c r="H1194" s="5" t="s">
        <v>2259</v>
      </c>
      <c r="I1194" s="5" t="s">
        <v>2262</v>
      </c>
      <c r="J1194" s="5" t="s">
        <v>1761</v>
      </c>
      <c r="K1194" s="8">
        <v>1</v>
      </c>
      <c r="L1194" s="9">
        <v>80</v>
      </c>
      <c r="M1194" s="10">
        <v>0</v>
      </c>
      <c r="N1194" s="9">
        <f t="shared" si="226"/>
        <v>80</v>
      </c>
      <c r="O1194" s="9">
        <f t="shared" si="216"/>
        <v>80</v>
      </c>
      <c r="P1194" s="5" t="s">
        <v>2269</v>
      </c>
      <c r="Q1194" s="5" t="s">
        <v>2270</v>
      </c>
      <c r="R1194" s="5" t="s">
        <v>2277</v>
      </c>
      <c r="S1194" s="5" t="s">
        <v>2281</v>
      </c>
      <c r="T1194" s="5" t="s">
        <v>2289</v>
      </c>
      <c r="U1194" s="19">
        <v>3</v>
      </c>
      <c r="V1194" s="8">
        <v>327</v>
      </c>
      <c r="W1194" s="8">
        <v>38</v>
      </c>
      <c r="X1194" s="9">
        <v>38.04</v>
      </c>
      <c r="Y1194" s="9">
        <f t="shared" si="217"/>
        <v>41.96</v>
      </c>
      <c r="Z1194" s="5" t="s">
        <v>2293</v>
      </c>
      <c r="AA1194" s="5" t="s">
        <v>2299</v>
      </c>
      <c r="AB1194" s="9">
        <f t="shared" si="218"/>
        <v>80</v>
      </c>
      <c r="AC1194" s="9">
        <f t="shared" si="219"/>
        <v>0</v>
      </c>
      <c r="AD1194" s="9">
        <f t="shared" si="220"/>
        <v>80</v>
      </c>
      <c r="AE1194" s="9">
        <f t="shared" si="221"/>
        <v>38.04</v>
      </c>
      <c r="AF1194" s="9">
        <f t="shared" si="227"/>
        <v>41.96</v>
      </c>
      <c r="AG1194" s="8">
        <f t="shared" si="222"/>
        <v>2024</v>
      </c>
      <c r="AH1194" s="8">
        <f t="shared" si="223"/>
        <v>1</v>
      </c>
      <c r="AI1194" s="5" t="str">
        <f t="shared" si="224"/>
        <v>Jan</v>
      </c>
      <c r="AJ1194" s="5" t="str">
        <f t="shared" si="225"/>
        <v>Monday</v>
      </c>
    </row>
    <row r="1195" spans="1:36" x14ac:dyDescent="0.3">
      <c r="A1195" s="5" t="s">
        <v>1229</v>
      </c>
      <c r="B1195" s="6">
        <v>45414</v>
      </c>
      <c r="C1195" s="7">
        <v>0.65972222222222221</v>
      </c>
      <c r="D1195" s="5" t="s">
        <v>1865</v>
      </c>
      <c r="E1195" s="5" t="s">
        <v>2039</v>
      </c>
      <c r="F1195" s="5" t="s">
        <v>2240</v>
      </c>
      <c r="G1195" s="5" t="s">
        <v>2243</v>
      </c>
      <c r="H1195" s="5" t="s">
        <v>2258</v>
      </c>
      <c r="I1195" s="5" t="s">
        <v>2260</v>
      </c>
      <c r="J1195" s="5" t="s">
        <v>2264</v>
      </c>
      <c r="K1195" s="8">
        <v>4</v>
      </c>
      <c r="L1195" s="9">
        <v>75</v>
      </c>
      <c r="M1195" s="10">
        <v>0.1</v>
      </c>
      <c r="N1195" s="9">
        <f t="shared" si="226"/>
        <v>300</v>
      </c>
      <c r="O1195" s="9">
        <f t="shared" si="216"/>
        <v>270</v>
      </c>
      <c r="P1195" s="5" t="s">
        <v>2268</v>
      </c>
      <c r="Q1195" s="5" t="s">
        <v>1761</v>
      </c>
      <c r="R1195" s="5" t="s">
        <v>2277</v>
      </c>
      <c r="S1195" s="5" t="s">
        <v>2280</v>
      </c>
      <c r="T1195" s="5" t="s">
        <v>2288</v>
      </c>
      <c r="U1195" s="8">
        <v>5</v>
      </c>
      <c r="V1195" s="8">
        <v>165</v>
      </c>
      <c r="W1195" s="8">
        <v>26</v>
      </c>
      <c r="X1195" s="9">
        <v>31.07</v>
      </c>
      <c r="Y1195" s="9">
        <f t="shared" si="217"/>
        <v>145.72</v>
      </c>
      <c r="Z1195" s="5" t="s">
        <v>2291</v>
      </c>
      <c r="AA1195" s="5" t="s">
        <v>2296</v>
      </c>
      <c r="AB1195" s="9">
        <f t="shared" si="218"/>
        <v>300</v>
      </c>
      <c r="AC1195" s="9">
        <f t="shared" si="219"/>
        <v>30</v>
      </c>
      <c r="AD1195" s="9">
        <f t="shared" si="220"/>
        <v>270</v>
      </c>
      <c r="AE1195" s="9">
        <f t="shared" si="221"/>
        <v>124.28</v>
      </c>
      <c r="AF1195" s="9">
        <f t="shared" si="227"/>
        <v>145.72</v>
      </c>
      <c r="AG1195" s="8">
        <f t="shared" si="222"/>
        <v>2024</v>
      </c>
      <c r="AH1195" s="8">
        <f t="shared" si="223"/>
        <v>5</v>
      </c>
      <c r="AI1195" s="5" t="str">
        <f t="shared" si="224"/>
        <v>May</v>
      </c>
      <c r="AJ1195" s="5" t="str">
        <f t="shared" si="225"/>
        <v>Thursday</v>
      </c>
    </row>
    <row r="1196" spans="1:36" x14ac:dyDescent="0.3">
      <c r="A1196" s="5" t="s">
        <v>1230</v>
      </c>
      <c r="B1196" s="6">
        <v>45362</v>
      </c>
      <c r="C1196" s="7">
        <v>0.59027777777777779</v>
      </c>
      <c r="D1196" s="5" t="s">
        <v>1761</v>
      </c>
      <c r="E1196" s="5" t="s">
        <v>2091</v>
      </c>
      <c r="F1196" s="5" t="s">
        <v>2240</v>
      </c>
      <c r="G1196" s="5" t="s">
        <v>2247</v>
      </c>
      <c r="H1196" s="5" t="s">
        <v>2257</v>
      </c>
      <c r="I1196" s="5" t="s">
        <v>2262</v>
      </c>
      <c r="J1196" s="5" t="s">
        <v>2266</v>
      </c>
      <c r="K1196" s="8">
        <v>1</v>
      </c>
      <c r="L1196" s="9">
        <v>100</v>
      </c>
      <c r="M1196" s="10">
        <v>0</v>
      </c>
      <c r="N1196" s="9">
        <f t="shared" si="226"/>
        <v>100</v>
      </c>
      <c r="O1196" s="9">
        <f t="shared" si="216"/>
        <v>100</v>
      </c>
      <c r="P1196" s="5" t="s">
        <v>2268</v>
      </c>
      <c r="Q1196" s="5" t="s">
        <v>2270</v>
      </c>
      <c r="R1196" s="5" t="s">
        <v>2277</v>
      </c>
      <c r="S1196" s="5" t="s">
        <v>2287</v>
      </c>
      <c r="T1196" s="5" t="s">
        <v>2288</v>
      </c>
      <c r="U1196" s="8">
        <v>4</v>
      </c>
      <c r="V1196" s="19">
        <v>244</v>
      </c>
      <c r="W1196" s="19">
        <v>34</v>
      </c>
      <c r="X1196" s="9">
        <v>50.93</v>
      </c>
      <c r="Y1196" s="9">
        <f t="shared" si="217"/>
        <v>49.07</v>
      </c>
      <c r="Z1196" s="5" t="s">
        <v>2294</v>
      </c>
      <c r="AA1196" s="5" t="s">
        <v>2296</v>
      </c>
      <c r="AB1196" s="9">
        <f t="shared" si="218"/>
        <v>100</v>
      </c>
      <c r="AC1196" s="9">
        <f t="shared" si="219"/>
        <v>0</v>
      </c>
      <c r="AD1196" s="9">
        <f t="shared" si="220"/>
        <v>100</v>
      </c>
      <c r="AE1196" s="9">
        <f t="shared" si="221"/>
        <v>50.93</v>
      </c>
      <c r="AF1196" s="9">
        <f t="shared" si="227"/>
        <v>49.07</v>
      </c>
      <c r="AG1196" s="8">
        <f t="shared" si="222"/>
        <v>2024</v>
      </c>
      <c r="AH1196" s="8">
        <f t="shared" si="223"/>
        <v>3</v>
      </c>
      <c r="AI1196" s="5" t="str">
        <f t="shared" si="224"/>
        <v>Mar</v>
      </c>
      <c r="AJ1196" s="5" t="str">
        <f t="shared" si="225"/>
        <v>Monday</v>
      </c>
    </row>
    <row r="1197" spans="1:36" x14ac:dyDescent="0.3">
      <c r="A1197" s="5" t="s">
        <v>1231</v>
      </c>
      <c r="B1197" s="6">
        <v>45392</v>
      </c>
      <c r="C1197" s="7">
        <v>0.63888888888888884</v>
      </c>
      <c r="D1197" s="5" t="s">
        <v>1762</v>
      </c>
      <c r="E1197" s="5" t="s">
        <v>2067</v>
      </c>
      <c r="F1197" s="5" t="s">
        <v>2239</v>
      </c>
      <c r="G1197" s="5" t="s">
        <v>2242</v>
      </c>
      <c r="H1197" s="5" t="s">
        <v>2258</v>
      </c>
      <c r="I1197" s="5" t="s">
        <v>2260</v>
      </c>
      <c r="J1197" s="5" t="s">
        <v>2264</v>
      </c>
      <c r="K1197" s="8">
        <v>1</v>
      </c>
      <c r="L1197" s="9">
        <v>115</v>
      </c>
      <c r="M1197" s="10">
        <v>0.1</v>
      </c>
      <c r="N1197" s="9">
        <f t="shared" si="226"/>
        <v>115</v>
      </c>
      <c r="O1197" s="9">
        <f t="shared" si="216"/>
        <v>103.5</v>
      </c>
      <c r="P1197" s="5" t="s">
        <v>2267</v>
      </c>
      <c r="Q1197" s="5" t="s">
        <v>2271</v>
      </c>
      <c r="R1197" s="5" t="s">
        <v>2278</v>
      </c>
      <c r="S1197" s="5" t="s">
        <v>2287</v>
      </c>
      <c r="T1197" s="5" t="s">
        <v>2288</v>
      </c>
      <c r="U1197" s="8">
        <v>5</v>
      </c>
      <c r="V1197" s="8">
        <v>180</v>
      </c>
      <c r="W1197" s="8">
        <v>60</v>
      </c>
      <c r="X1197" s="9">
        <v>61.47</v>
      </c>
      <c r="Y1197" s="9">
        <f t="shared" si="217"/>
        <v>42.03</v>
      </c>
      <c r="Z1197" s="5" t="s">
        <v>2292</v>
      </c>
      <c r="AA1197" s="5" t="s">
        <v>1761</v>
      </c>
      <c r="AB1197" s="9">
        <f t="shared" si="218"/>
        <v>115</v>
      </c>
      <c r="AC1197" s="9">
        <f t="shared" si="219"/>
        <v>11.5</v>
      </c>
      <c r="AD1197" s="9">
        <f t="shared" si="220"/>
        <v>103.5</v>
      </c>
      <c r="AE1197" s="9">
        <f t="shared" si="221"/>
        <v>61.47</v>
      </c>
      <c r="AF1197" s="9">
        <f t="shared" si="227"/>
        <v>42.03</v>
      </c>
      <c r="AG1197" s="8">
        <f t="shared" si="222"/>
        <v>2024</v>
      </c>
      <c r="AH1197" s="8">
        <f t="shared" si="223"/>
        <v>4</v>
      </c>
      <c r="AI1197" s="5" t="str">
        <f t="shared" si="224"/>
        <v>Apr</v>
      </c>
      <c r="AJ1197" s="5" t="str">
        <f t="shared" si="225"/>
        <v>Wednesday</v>
      </c>
    </row>
    <row r="1198" spans="1:36" x14ac:dyDescent="0.3">
      <c r="A1198" s="5" t="s">
        <v>1232</v>
      </c>
      <c r="B1198" s="6">
        <v>45655</v>
      </c>
      <c r="C1198" s="7">
        <v>0.625</v>
      </c>
      <c r="D1198" s="5" t="s">
        <v>1898</v>
      </c>
      <c r="E1198" s="5" t="s">
        <v>2080</v>
      </c>
      <c r="F1198" s="5" t="s">
        <v>1761</v>
      </c>
      <c r="G1198" s="5" t="s">
        <v>2253</v>
      </c>
      <c r="H1198" s="5" t="s">
        <v>2258</v>
      </c>
      <c r="I1198" s="5" t="s">
        <v>2260</v>
      </c>
      <c r="J1198" s="5" t="s">
        <v>1761</v>
      </c>
      <c r="K1198" s="8">
        <v>1</v>
      </c>
      <c r="L1198" s="9">
        <v>85</v>
      </c>
      <c r="M1198" s="10">
        <v>0</v>
      </c>
      <c r="N1198" s="9">
        <f t="shared" si="226"/>
        <v>85</v>
      </c>
      <c r="O1198" s="9">
        <f t="shared" si="216"/>
        <v>85</v>
      </c>
      <c r="P1198" s="5" t="s">
        <v>2267</v>
      </c>
      <c r="Q1198" s="5" t="s">
        <v>2270</v>
      </c>
      <c r="R1198" s="5" t="s">
        <v>2276</v>
      </c>
      <c r="S1198" s="5" t="s">
        <v>2287</v>
      </c>
      <c r="T1198" s="5" t="s">
        <v>2290</v>
      </c>
      <c r="U1198" s="8">
        <v>1</v>
      </c>
      <c r="V1198" s="8">
        <v>271</v>
      </c>
      <c r="W1198" s="8">
        <v>13</v>
      </c>
      <c r="X1198" s="9">
        <v>47.42</v>
      </c>
      <c r="Y1198" s="9">
        <f t="shared" si="217"/>
        <v>37.58</v>
      </c>
      <c r="Z1198" s="5" t="s">
        <v>1761</v>
      </c>
      <c r="AA1198" s="5" t="s">
        <v>2299</v>
      </c>
      <c r="AB1198" s="9">
        <f t="shared" si="218"/>
        <v>85</v>
      </c>
      <c r="AC1198" s="9">
        <f t="shared" si="219"/>
        <v>0</v>
      </c>
      <c r="AD1198" s="9">
        <f t="shared" si="220"/>
        <v>85</v>
      </c>
      <c r="AE1198" s="9">
        <f t="shared" si="221"/>
        <v>47.42</v>
      </c>
      <c r="AF1198" s="9">
        <f t="shared" si="227"/>
        <v>37.58</v>
      </c>
      <c r="AG1198" s="8">
        <f t="shared" si="222"/>
        <v>2024</v>
      </c>
      <c r="AH1198" s="8">
        <f t="shared" si="223"/>
        <v>12</v>
      </c>
      <c r="AI1198" s="5" t="str">
        <f t="shared" si="224"/>
        <v>Dec</v>
      </c>
      <c r="AJ1198" s="5" t="str">
        <f t="shared" si="225"/>
        <v>Sunday</v>
      </c>
    </row>
    <row r="1199" spans="1:36" x14ac:dyDescent="0.3">
      <c r="A1199" s="5" t="s">
        <v>1233</v>
      </c>
      <c r="B1199" s="6">
        <v>45537</v>
      </c>
      <c r="C1199" s="7">
        <v>0.61805555555555558</v>
      </c>
      <c r="D1199" s="5" t="s">
        <v>1889</v>
      </c>
      <c r="E1199" s="5" t="s">
        <v>1956</v>
      </c>
      <c r="F1199" s="5" t="s">
        <v>2240</v>
      </c>
      <c r="G1199" s="5" t="s">
        <v>2256</v>
      </c>
      <c r="H1199" s="5" t="s">
        <v>2261</v>
      </c>
      <c r="I1199" s="5" t="s">
        <v>2260</v>
      </c>
      <c r="J1199" s="5" t="s">
        <v>1761</v>
      </c>
      <c r="K1199" s="19">
        <v>2</v>
      </c>
      <c r="L1199" s="9">
        <v>190</v>
      </c>
      <c r="M1199" s="10">
        <v>0.1</v>
      </c>
      <c r="N1199" s="9">
        <f t="shared" si="226"/>
        <v>380</v>
      </c>
      <c r="O1199" s="9">
        <f t="shared" si="216"/>
        <v>342</v>
      </c>
      <c r="P1199" s="5" t="s">
        <v>2268</v>
      </c>
      <c r="Q1199" s="5" t="s">
        <v>2270</v>
      </c>
      <c r="R1199" s="5" t="s">
        <v>2273</v>
      </c>
      <c r="S1199" s="5" t="s">
        <v>2287</v>
      </c>
      <c r="T1199" s="5" t="s">
        <v>2289</v>
      </c>
      <c r="U1199" s="8">
        <v>4</v>
      </c>
      <c r="V1199" s="8">
        <v>76</v>
      </c>
      <c r="W1199" s="8">
        <v>40</v>
      </c>
      <c r="X1199" s="9">
        <v>105.99</v>
      </c>
      <c r="Y1199" s="9">
        <f t="shared" si="217"/>
        <v>130.02000000000001</v>
      </c>
      <c r="Z1199" s="5" t="s">
        <v>2293</v>
      </c>
      <c r="AA1199" s="5" t="s">
        <v>1761</v>
      </c>
      <c r="AB1199" s="9">
        <f t="shared" si="218"/>
        <v>380</v>
      </c>
      <c r="AC1199" s="9">
        <f t="shared" si="219"/>
        <v>38</v>
      </c>
      <c r="AD1199" s="9">
        <f t="shared" si="220"/>
        <v>342</v>
      </c>
      <c r="AE1199" s="9">
        <f t="shared" si="221"/>
        <v>211.98</v>
      </c>
      <c r="AF1199" s="9">
        <f t="shared" si="227"/>
        <v>130.02000000000001</v>
      </c>
      <c r="AG1199" s="8">
        <f t="shared" si="222"/>
        <v>2024</v>
      </c>
      <c r="AH1199" s="8">
        <f t="shared" si="223"/>
        <v>9</v>
      </c>
      <c r="AI1199" s="5" t="str">
        <f t="shared" si="224"/>
        <v>Sep</v>
      </c>
      <c r="AJ1199" s="5" t="str">
        <f t="shared" si="225"/>
        <v>Monday</v>
      </c>
    </row>
    <row r="1200" spans="1:36" x14ac:dyDescent="0.3">
      <c r="A1200" s="5" t="s">
        <v>1234</v>
      </c>
      <c r="B1200" s="6">
        <v>45638</v>
      </c>
      <c r="C1200" s="7">
        <v>0.46875</v>
      </c>
      <c r="D1200" s="5" t="s">
        <v>1788</v>
      </c>
      <c r="E1200" s="5" t="s">
        <v>2155</v>
      </c>
      <c r="F1200" s="5" t="s">
        <v>2240</v>
      </c>
      <c r="G1200" s="5" t="s">
        <v>2253</v>
      </c>
      <c r="H1200" s="5" t="s">
        <v>2258</v>
      </c>
      <c r="I1200" s="5" t="s">
        <v>2260</v>
      </c>
      <c r="J1200" s="5" t="s">
        <v>2266</v>
      </c>
      <c r="K1200" s="8">
        <v>1</v>
      </c>
      <c r="L1200" s="9">
        <v>95</v>
      </c>
      <c r="M1200" s="10">
        <v>0</v>
      </c>
      <c r="N1200" s="9">
        <f t="shared" si="226"/>
        <v>95</v>
      </c>
      <c r="O1200" s="9">
        <f t="shared" si="216"/>
        <v>95</v>
      </c>
      <c r="P1200" s="5" t="s">
        <v>2267</v>
      </c>
      <c r="Q1200" s="5" t="s">
        <v>2270</v>
      </c>
      <c r="R1200" s="5" t="s">
        <v>2273</v>
      </c>
      <c r="S1200" s="5" t="s">
        <v>2285</v>
      </c>
      <c r="T1200" s="5" t="s">
        <v>2288</v>
      </c>
      <c r="U1200" s="8">
        <v>3</v>
      </c>
      <c r="V1200" s="8">
        <v>216</v>
      </c>
      <c r="W1200" s="8">
        <v>15</v>
      </c>
      <c r="X1200" s="9">
        <v>34.97</v>
      </c>
      <c r="Y1200" s="9">
        <f t="shared" si="217"/>
        <v>60.03</v>
      </c>
      <c r="Z1200" s="5" t="s">
        <v>2293</v>
      </c>
      <c r="AA1200" s="5" t="s">
        <v>2299</v>
      </c>
      <c r="AB1200" s="9">
        <f t="shared" si="218"/>
        <v>95</v>
      </c>
      <c r="AC1200" s="9">
        <f t="shared" si="219"/>
        <v>0</v>
      </c>
      <c r="AD1200" s="9">
        <f t="shared" si="220"/>
        <v>95</v>
      </c>
      <c r="AE1200" s="9">
        <f t="shared" si="221"/>
        <v>34.97</v>
      </c>
      <c r="AF1200" s="9">
        <f t="shared" si="227"/>
        <v>60.03</v>
      </c>
      <c r="AG1200" s="8">
        <f t="shared" si="222"/>
        <v>2024</v>
      </c>
      <c r="AH1200" s="8">
        <f t="shared" si="223"/>
        <v>12</v>
      </c>
      <c r="AI1200" s="5" t="str">
        <f t="shared" si="224"/>
        <v>Dec</v>
      </c>
      <c r="AJ1200" s="5" t="str">
        <f t="shared" si="225"/>
        <v>Thursday</v>
      </c>
    </row>
    <row r="1201" spans="1:36" x14ac:dyDescent="0.3">
      <c r="A1201" s="5" t="s">
        <v>1235</v>
      </c>
      <c r="B1201" s="6">
        <v>45644</v>
      </c>
      <c r="C1201" s="7">
        <v>0.42708333333333331</v>
      </c>
      <c r="D1201" s="5" t="s">
        <v>1787</v>
      </c>
      <c r="E1201" s="5" t="s">
        <v>2045</v>
      </c>
      <c r="F1201" s="5" t="s">
        <v>1761</v>
      </c>
      <c r="G1201" s="5" t="s">
        <v>2254</v>
      </c>
      <c r="H1201" s="5" t="s">
        <v>2259</v>
      </c>
      <c r="I1201" s="5" t="s">
        <v>2263</v>
      </c>
      <c r="J1201" s="5" t="s">
        <v>2264</v>
      </c>
      <c r="K1201" s="8">
        <v>2</v>
      </c>
      <c r="L1201" s="9">
        <v>110</v>
      </c>
      <c r="M1201" s="10">
        <v>0.1</v>
      </c>
      <c r="N1201" s="9">
        <f t="shared" si="226"/>
        <v>220</v>
      </c>
      <c r="O1201" s="9">
        <f t="shared" si="216"/>
        <v>198</v>
      </c>
      <c r="P1201" s="5" t="s">
        <v>2268</v>
      </c>
      <c r="Q1201" s="5" t="s">
        <v>2272</v>
      </c>
      <c r="R1201" s="5" t="s">
        <v>2274</v>
      </c>
      <c r="S1201" s="5" t="s">
        <v>2284</v>
      </c>
      <c r="T1201" s="5" t="s">
        <v>2290</v>
      </c>
      <c r="U1201" s="8">
        <v>5</v>
      </c>
      <c r="V1201" s="8">
        <v>382</v>
      </c>
      <c r="W1201" s="8">
        <v>60</v>
      </c>
      <c r="X1201" s="9">
        <v>56.2</v>
      </c>
      <c r="Y1201" s="9">
        <f t="shared" si="217"/>
        <v>85.6</v>
      </c>
      <c r="Z1201" s="5" t="s">
        <v>2294</v>
      </c>
      <c r="AA1201" s="5" t="s">
        <v>2298</v>
      </c>
      <c r="AB1201" s="9">
        <f t="shared" si="218"/>
        <v>220</v>
      </c>
      <c r="AC1201" s="9">
        <f t="shared" si="219"/>
        <v>22</v>
      </c>
      <c r="AD1201" s="9">
        <f t="shared" si="220"/>
        <v>198</v>
      </c>
      <c r="AE1201" s="9">
        <f t="shared" si="221"/>
        <v>112.4</v>
      </c>
      <c r="AF1201" s="9">
        <f t="shared" si="227"/>
        <v>85.6</v>
      </c>
      <c r="AG1201" s="8">
        <f t="shared" si="222"/>
        <v>2024</v>
      </c>
      <c r="AH1201" s="8">
        <f t="shared" si="223"/>
        <v>12</v>
      </c>
      <c r="AI1201" s="5" t="str">
        <f t="shared" si="224"/>
        <v>Dec</v>
      </c>
      <c r="AJ1201" s="5" t="str">
        <f t="shared" si="225"/>
        <v>Wednesday</v>
      </c>
    </row>
    <row r="1202" spans="1:36" x14ac:dyDescent="0.3">
      <c r="A1202" s="5" t="s">
        <v>1236</v>
      </c>
      <c r="B1202" s="6">
        <v>45524</v>
      </c>
      <c r="C1202" s="7">
        <v>0.3263888888888889</v>
      </c>
      <c r="D1202" s="5" t="s">
        <v>1794</v>
      </c>
      <c r="E1202" s="5" t="s">
        <v>2122</v>
      </c>
      <c r="F1202" s="5" t="s">
        <v>1761</v>
      </c>
      <c r="G1202" s="5" t="s">
        <v>2246</v>
      </c>
      <c r="H1202" s="5" t="s">
        <v>2259</v>
      </c>
      <c r="I1202" s="5" t="s">
        <v>2262</v>
      </c>
      <c r="J1202" s="5" t="s">
        <v>2264</v>
      </c>
      <c r="K1202" s="8">
        <v>1</v>
      </c>
      <c r="L1202" s="9">
        <v>90</v>
      </c>
      <c r="M1202" s="10">
        <v>0.1</v>
      </c>
      <c r="N1202" s="9">
        <f t="shared" si="226"/>
        <v>90</v>
      </c>
      <c r="O1202" s="9">
        <f t="shared" si="216"/>
        <v>81</v>
      </c>
      <c r="P1202" s="5" t="s">
        <v>2269</v>
      </c>
      <c r="Q1202" s="5" t="s">
        <v>2270</v>
      </c>
      <c r="R1202" s="5" t="s">
        <v>2275</v>
      </c>
      <c r="S1202" s="5" t="s">
        <v>2287</v>
      </c>
      <c r="T1202" s="5" t="s">
        <v>2289</v>
      </c>
      <c r="U1202" s="8">
        <v>3</v>
      </c>
      <c r="V1202" s="8">
        <v>382</v>
      </c>
      <c r="W1202" s="8">
        <v>27</v>
      </c>
      <c r="X1202" s="9">
        <v>40.01</v>
      </c>
      <c r="Y1202" s="9">
        <f t="shared" si="217"/>
        <v>40.99</v>
      </c>
      <c r="Z1202" s="5" t="s">
        <v>2291</v>
      </c>
      <c r="AA1202" s="5" t="s">
        <v>2296</v>
      </c>
      <c r="AB1202" s="9">
        <f t="shared" si="218"/>
        <v>90</v>
      </c>
      <c r="AC1202" s="9">
        <f t="shared" si="219"/>
        <v>9</v>
      </c>
      <c r="AD1202" s="9">
        <f t="shared" si="220"/>
        <v>81</v>
      </c>
      <c r="AE1202" s="9">
        <f t="shared" si="221"/>
        <v>40.01</v>
      </c>
      <c r="AF1202" s="9">
        <f t="shared" si="227"/>
        <v>40.99</v>
      </c>
      <c r="AG1202" s="8">
        <f t="shared" si="222"/>
        <v>2024</v>
      </c>
      <c r="AH1202" s="8">
        <f t="shared" si="223"/>
        <v>8</v>
      </c>
      <c r="AI1202" s="5" t="str">
        <f t="shared" si="224"/>
        <v>Aug</v>
      </c>
      <c r="AJ1202" s="5" t="str">
        <f t="shared" si="225"/>
        <v>Tuesday</v>
      </c>
    </row>
    <row r="1203" spans="1:36" x14ac:dyDescent="0.3">
      <c r="A1203" s="5" t="s">
        <v>1237</v>
      </c>
      <c r="B1203" s="6">
        <v>45450</v>
      </c>
      <c r="C1203" s="7">
        <v>0.51388888888888884</v>
      </c>
      <c r="D1203" s="5" t="s">
        <v>1807</v>
      </c>
      <c r="E1203" s="5" t="s">
        <v>2208</v>
      </c>
      <c r="F1203" s="5" t="s">
        <v>2240</v>
      </c>
      <c r="G1203" s="5" t="s">
        <v>2243</v>
      </c>
      <c r="H1203" s="5" t="s">
        <v>2258</v>
      </c>
      <c r="I1203" s="5" t="s">
        <v>2260</v>
      </c>
      <c r="J1203" s="5" t="s">
        <v>2266</v>
      </c>
      <c r="K1203" s="8">
        <v>1</v>
      </c>
      <c r="L1203" s="9">
        <v>80</v>
      </c>
      <c r="M1203" s="10">
        <v>0</v>
      </c>
      <c r="N1203" s="9">
        <f t="shared" si="226"/>
        <v>80</v>
      </c>
      <c r="O1203" s="9">
        <f t="shared" si="216"/>
        <v>80</v>
      </c>
      <c r="P1203" s="5" t="s">
        <v>1761</v>
      </c>
      <c r="Q1203" s="5" t="s">
        <v>2270</v>
      </c>
      <c r="R1203" s="5" t="s">
        <v>2279</v>
      </c>
      <c r="S1203" s="5" t="s">
        <v>2287</v>
      </c>
      <c r="T1203" s="5" t="s">
        <v>2289</v>
      </c>
      <c r="U1203" s="8">
        <v>3</v>
      </c>
      <c r="V1203" s="8">
        <v>94</v>
      </c>
      <c r="W1203" s="8">
        <v>60</v>
      </c>
      <c r="X1203" s="9">
        <v>37.950000000000003</v>
      </c>
      <c r="Y1203" s="9">
        <f t="shared" si="217"/>
        <v>42.05</v>
      </c>
      <c r="Z1203" s="5" t="s">
        <v>1761</v>
      </c>
      <c r="AA1203" s="5" t="s">
        <v>2298</v>
      </c>
      <c r="AB1203" s="9">
        <f t="shared" si="218"/>
        <v>80</v>
      </c>
      <c r="AC1203" s="9">
        <f t="shared" si="219"/>
        <v>0</v>
      </c>
      <c r="AD1203" s="9">
        <f t="shared" si="220"/>
        <v>80</v>
      </c>
      <c r="AE1203" s="9">
        <f t="shared" si="221"/>
        <v>37.950000000000003</v>
      </c>
      <c r="AF1203" s="9">
        <f t="shared" si="227"/>
        <v>42.05</v>
      </c>
      <c r="AG1203" s="8">
        <f t="shared" si="222"/>
        <v>2024</v>
      </c>
      <c r="AH1203" s="8">
        <f t="shared" si="223"/>
        <v>6</v>
      </c>
      <c r="AI1203" s="5" t="str">
        <f t="shared" si="224"/>
        <v>Jun</v>
      </c>
      <c r="AJ1203" s="5" t="str">
        <f t="shared" si="225"/>
        <v>Friday</v>
      </c>
    </row>
    <row r="1204" spans="1:36" x14ac:dyDescent="0.3">
      <c r="A1204" s="5" t="s">
        <v>1238</v>
      </c>
      <c r="B1204" s="6">
        <v>45507</v>
      </c>
      <c r="C1204" s="7">
        <v>0.35416666666666669</v>
      </c>
      <c r="D1204" s="5" t="s">
        <v>1836</v>
      </c>
      <c r="E1204" s="5" t="s">
        <v>2131</v>
      </c>
      <c r="F1204" s="5" t="s">
        <v>1761</v>
      </c>
      <c r="G1204" s="5" t="s">
        <v>2244</v>
      </c>
      <c r="H1204" s="5" t="s">
        <v>2257</v>
      </c>
      <c r="I1204" s="5" t="s">
        <v>2262</v>
      </c>
      <c r="J1204" s="5" t="s">
        <v>2264</v>
      </c>
      <c r="K1204" s="8">
        <v>1</v>
      </c>
      <c r="L1204" s="9">
        <v>130</v>
      </c>
      <c r="M1204" s="10">
        <v>0.1</v>
      </c>
      <c r="N1204" s="9">
        <f t="shared" si="226"/>
        <v>130</v>
      </c>
      <c r="O1204" s="9">
        <f t="shared" si="216"/>
        <v>117</v>
      </c>
      <c r="P1204" s="5" t="s">
        <v>2268</v>
      </c>
      <c r="Q1204" s="5" t="s">
        <v>2271</v>
      </c>
      <c r="R1204" s="5" t="s">
        <v>2275</v>
      </c>
      <c r="S1204" s="5" t="s">
        <v>2283</v>
      </c>
      <c r="T1204" s="5" t="s">
        <v>2290</v>
      </c>
      <c r="U1204" s="8">
        <v>3</v>
      </c>
      <c r="V1204" s="8">
        <v>163</v>
      </c>
      <c r="W1204" s="8">
        <v>18</v>
      </c>
      <c r="X1204" s="9">
        <v>56.77</v>
      </c>
      <c r="Y1204" s="9">
        <f t="shared" si="217"/>
        <v>60.23</v>
      </c>
      <c r="Z1204" s="5" t="s">
        <v>1761</v>
      </c>
      <c r="AA1204" s="5" t="s">
        <v>2296</v>
      </c>
      <c r="AB1204" s="9">
        <f t="shared" si="218"/>
        <v>130</v>
      </c>
      <c r="AC1204" s="9">
        <f t="shared" si="219"/>
        <v>13</v>
      </c>
      <c r="AD1204" s="9">
        <f t="shared" si="220"/>
        <v>117</v>
      </c>
      <c r="AE1204" s="9">
        <f t="shared" si="221"/>
        <v>56.77</v>
      </c>
      <c r="AF1204" s="9">
        <f t="shared" si="227"/>
        <v>60.23</v>
      </c>
      <c r="AG1204" s="8">
        <f t="shared" si="222"/>
        <v>2024</v>
      </c>
      <c r="AH1204" s="8">
        <f t="shared" si="223"/>
        <v>8</v>
      </c>
      <c r="AI1204" s="5" t="str">
        <f t="shared" si="224"/>
        <v>Aug</v>
      </c>
      <c r="AJ1204" s="5" t="str">
        <f t="shared" si="225"/>
        <v>Saturday</v>
      </c>
    </row>
    <row r="1205" spans="1:36" x14ac:dyDescent="0.3">
      <c r="A1205" s="5" t="s">
        <v>1239</v>
      </c>
      <c r="B1205" s="6">
        <v>45619</v>
      </c>
      <c r="C1205" s="7">
        <v>0.71875</v>
      </c>
      <c r="D1205" s="5" t="s">
        <v>1748</v>
      </c>
      <c r="E1205" s="5" t="s">
        <v>2104</v>
      </c>
      <c r="F1205" s="5" t="s">
        <v>2240</v>
      </c>
      <c r="G1205" s="5" t="s">
        <v>2249</v>
      </c>
      <c r="H1205" s="5" t="s">
        <v>2257</v>
      </c>
      <c r="I1205" s="5" t="s">
        <v>2263</v>
      </c>
      <c r="J1205" s="5" t="s">
        <v>2264</v>
      </c>
      <c r="K1205" s="8">
        <v>1</v>
      </c>
      <c r="L1205" s="9">
        <v>160</v>
      </c>
      <c r="M1205" s="10">
        <v>0</v>
      </c>
      <c r="N1205" s="9">
        <f t="shared" si="226"/>
        <v>160</v>
      </c>
      <c r="O1205" s="9">
        <f t="shared" si="216"/>
        <v>160</v>
      </c>
      <c r="P1205" s="5" t="s">
        <v>2267</v>
      </c>
      <c r="Q1205" s="5" t="s">
        <v>1761</v>
      </c>
      <c r="R1205" s="5" t="s">
        <v>2277</v>
      </c>
      <c r="S1205" s="5" t="s">
        <v>2280</v>
      </c>
      <c r="T1205" s="5" t="s">
        <v>2288</v>
      </c>
      <c r="U1205" s="8">
        <v>4</v>
      </c>
      <c r="V1205" s="8">
        <v>113</v>
      </c>
      <c r="W1205" s="19">
        <v>36</v>
      </c>
      <c r="X1205" s="9">
        <v>70.52</v>
      </c>
      <c r="Y1205" s="9">
        <f t="shared" si="217"/>
        <v>89.48</v>
      </c>
      <c r="Z1205" s="5" t="s">
        <v>2293</v>
      </c>
      <c r="AA1205" s="5" t="s">
        <v>2296</v>
      </c>
      <c r="AB1205" s="9">
        <f t="shared" si="218"/>
        <v>160</v>
      </c>
      <c r="AC1205" s="9">
        <f t="shared" si="219"/>
        <v>0</v>
      </c>
      <c r="AD1205" s="9">
        <f t="shared" si="220"/>
        <v>160</v>
      </c>
      <c r="AE1205" s="9">
        <f t="shared" si="221"/>
        <v>70.52</v>
      </c>
      <c r="AF1205" s="9">
        <f t="shared" si="227"/>
        <v>89.48</v>
      </c>
      <c r="AG1205" s="8">
        <f t="shared" si="222"/>
        <v>2024</v>
      </c>
      <c r="AH1205" s="8">
        <f t="shared" si="223"/>
        <v>11</v>
      </c>
      <c r="AI1205" s="5" t="str">
        <f t="shared" si="224"/>
        <v>Nov</v>
      </c>
      <c r="AJ1205" s="5" t="str">
        <f t="shared" si="225"/>
        <v>Saturday</v>
      </c>
    </row>
    <row r="1206" spans="1:36" x14ac:dyDescent="0.3">
      <c r="A1206" s="5" t="s">
        <v>1240</v>
      </c>
      <c r="B1206" s="6">
        <v>45649</v>
      </c>
      <c r="C1206" s="7">
        <v>0.30555555555555558</v>
      </c>
      <c r="D1206" s="5" t="s">
        <v>1850</v>
      </c>
      <c r="E1206" s="5" t="s">
        <v>1994</v>
      </c>
      <c r="F1206" s="5" t="s">
        <v>2240</v>
      </c>
      <c r="G1206" s="5" t="s">
        <v>2241</v>
      </c>
      <c r="H1206" s="5" t="s">
        <v>2257</v>
      </c>
      <c r="I1206" s="5" t="s">
        <v>2262</v>
      </c>
      <c r="J1206" s="5" t="s">
        <v>2264</v>
      </c>
      <c r="K1206" s="8">
        <v>1</v>
      </c>
      <c r="L1206" s="9">
        <v>130</v>
      </c>
      <c r="M1206" s="10">
        <v>0</v>
      </c>
      <c r="N1206" s="9">
        <f t="shared" si="226"/>
        <v>130</v>
      </c>
      <c r="O1206" s="9">
        <f t="shared" si="216"/>
        <v>130</v>
      </c>
      <c r="P1206" s="5" t="s">
        <v>2269</v>
      </c>
      <c r="Q1206" s="5" t="s">
        <v>2270</v>
      </c>
      <c r="R1206" s="5" t="s">
        <v>2278</v>
      </c>
      <c r="S1206" s="5" t="s">
        <v>2281</v>
      </c>
      <c r="T1206" s="5" t="s">
        <v>2290</v>
      </c>
      <c r="U1206" s="8">
        <v>4</v>
      </c>
      <c r="V1206" s="8">
        <v>0</v>
      </c>
      <c r="W1206" s="8">
        <v>33</v>
      </c>
      <c r="X1206" s="9">
        <v>57.41</v>
      </c>
      <c r="Y1206" s="9">
        <f t="shared" si="217"/>
        <v>72.59</v>
      </c>
      <c r="Z1206" s="5" t="s">
        <v>1761</v>
      </c>
      <c r="AA1206" s="5" t="s">
        <v>2298</v>
      </c>
      <c r="AB1206" s="9">
        <f t="shared" si="218"/>
        <v>130</v>
      </c>
      <c r="AC1206" s="9">
        <f t="shared" si="219"/>
        <v>0</v>
      </c>
      <c r="AD1206" s="9">
        <f t="shared" si="220"/>
        <v>130</v>
      </c>
      <c r="AE1206" s="9">
        <f t="shared" si="221"/>
        <v>57.41</v>
      </c>
      <c r="AF1206" s="9">
        <f t="shared" si="227"/>
        <v>72.59</v>
      </c>
      <c r="AG1206" s="8">
        <f t="shared" si="222"/>
        <v>2024</v>
      </c>
      <c r="AH1206" s="8">
        <f t="shared" si="223"/>
        <v>12</v>
      </c>
      <c r="AI1206" s="5" t="str">
        <f t="shared" si="224"/>
        <v>Dec</v>
      </c>
      <c r="AJ1206" s="5" t="str">
        <f t="shared" si="225"/>
        <v>Monday</v>
      </c>
    </row>
    <row r="1207" spans="1:36" x14ac:dyDescent="0.3">
      <c r="A1207" s="5" t="s">
        <v>1241</v>
      </c>
      <c r="B1207" s="6">
        <v>45389</v>
      </c>
      <c r="C1207" s="7">
        <v>0.32291666666666669</v>
      </c>
      <c r="D1207" s="5" t="s">
        <v>1815</v>
      </c>
      <c r="E1207" s="5" t="s">
        <v>2044</v>
      </c>
      <c r="F1207" s="5" t="s">
        <v>2240</v>
      </c>
      <c r="G1207" s="5" t="s">
        <v>2254</v>
      </c>
      <c r="H1207" s="5" t="s">
        <v>2259</v>
      </c>
      <c r="I1207" s="5" t="s">
        <v>2263</v>
      </c>
      <c r="J1207" s="5" t="s">
        <v>2266</v>
      </c>
      <c r="K1207" s="19">
        <v>1</v>
      </c>
      <c r="L1207" s="9">
        <v>120</v>
      </c>
      <c r="M1207" s="10">
        <v>0</v>
      </c>
      <c r="N1207" s="9">
        <f t="shared" si="226"/>
        <v>120</v>
      </c>
      <c r="O1207" s="9">
        <f t="shared" si="216"/>
        <v>120</v>
      </c>
      <c r="P1207" s="5" t="s">
        <v>2269</v>
      </c>
      <c r="Q1207" s="5" t="s">
        <v>2272</v>
      </c>
      <c r="R1207" s="5" t="s">
        <v>2273</v>
      </c>
      <c r="S1207" s="5" t="s">
        <v>2286</v>
      </c>
      <c r="T1207" s="5" t="s">
        <v>2289</v>
      </c>
      <c r="U1207" s="19">
        <v>3</v>
      </c>
      <c r="V1207" s="8">
        <v>458</v>
      </c>
      <c r="W1207" s="8">
        <v>52</v>
      </c>
      <c r="X1207" s="9">
        <v>46.78</v>
      </c>
      <c r="Y1207" s="9">
        <f t="shared" si="217"/>
        <v>73.22</v>
      </c>
      <c r="Z1207" s="5" t="s">
        <v>1761</v>
      </c>
      <c r="AA1207" s="5" t="s">
        <v>1761</v>
      </c>
      <c r="AB1207" s="9">
        <f t="shared" si="218"/>
        <v>120</v>
      </c>
      <c r="AC1207" s="9">
        <f t="shared" si="219"/>
        <v>0</v>
      </c>
      <c r="AD1207" s="9">
        <f t="shared" si="220"/>
        <v>120</v>
      </c>
      <c r="AE1207" s="9">
        <f t="shared" si="221"/>
        <v>46.78</v>
      </c>
      <c r="AF1207" s="9">
        <f t="shared" si="227"/>
        <v>73.22</v>
      </c>
      <c r="AG1207" s="8">
        <f t="shared" si="222"/>
        <v>2024</v>
      </c>
      <c r="AH1207" s="8">
        <f t="shared" si="223"/>
        <v>4</v>
      </c>
      <c r="AI1207" s="5" t="str">
        <f t="shared" si="224"/>
        <v>Apr</v>
      </c>
      <c r="AJ1207" s="5" t="str">
        <f t="shared" si="225"/>
        <v>Sunday</v>
      </c>
    </row>
    <row r="1208" spans="1:36" x14ac:dyDescent="0.3">
      <c r="A1208" s="5" t="s">
        <v>1242</v>
      </c>
      <c r="B1208" s="6">
        <v>45523</v>
      </c>
      <c r="C1208" s="7">
        <v>0.74305555555555558</v>
      </c>
      <c r="D1208" s="5" t="s">
        <v>1924</v>
      </c>
      <c r="E1208" s="5" t="s">
        <v>2024</v>
      </c>
      <c r="F1208" s="5" t="s">
        <v>2240</v>
      </c>
      <c r="G1208" s="5" t="s">
        <v>2249</v>
      </c>
      <c r="H1208" s="5" t="s">
        <v>2257</v>
      </c>
      <c r="I1208" s="5" t="s">
        <v>2263</v>
      </c>
      <c r="J1208" s="5" t="s">
        <v>2266</v>
      </c>
      <c r="K1208" s="8">
        <v>3</v>
      </c>
      <c r="L1208" s="9">
        <v>160</v>
      </c>
      <c r="M1208" s="10">
        <v>0.15</v>
      </c>
      <c r="N1208" s="9">
        <f t="shared" si="226"/>
        <v>480</v>
      </c>
      <c r="O1208" s="9">
        <f t="shared" si="216"/>
        <v>408</v>
      </c>
      <c r="P1208" s="5" t="s">
        <v>2267</v>
      </c>
      <c r="Q1208" s="5" t="s">
        <v>2272</v>
      </c>
      <c r="R1208" s="5" t="s">
        <v>2274</v>
      </c>
      <c r="S1208" s="5" t="s">
        <v>2287</v>
      </c>
      <c r="T1208" s="5" t="s">
        <v>2289</v>
      </c>
      <c r="U1208" s="8">
        <v>5</v>
      </c>
      <c r="V1208" s="8">
        <v>87</v>
      </c>
      <c r="W1208" s="8">
        <v>36</v>
      </c>
      <c r="X1208" s="9">
        <v>72.69</v>
      </c>
      <c r="Y1208" s="9">
        <f t="shared" si="217"/>
        <v>189.93</v>
      </c>
      <c r="Z1208" s="5" t="s">
        <v>2291</v>
      </c>
      <c r="AA1208" s="5" t="s">
        <v>2298</v>
      </c>
      <c r="AB1208" s="9">
        <f t="shared" si="218"/>
        <v>480</v>
      </c>
      <c r="AC1208" s="9">
        <f t="shared" si="219"/>
        <v>72</v>
      </c>
      <c r="AD1208" s="9">
        <f t="shared" si="220"/>
        <v>408</v>
      </c>
      <c r="AE1208" s="9">
        <f t="shared" si="221"/>
        <v>218.07</v>
      </c>
      <c r="AF1208" s="9">
        <f t="shared" si="227"/>
        <v>189.93</v>
      </c>
      <c r="AG1208" s="8">
        <f t="shared" si="222"/>
        <v>2024</v>
      </c>
      <c r="AH1208" s="8">
        <f t="shared" si="223"/>
        <v>8</v>
      </c>
      <c r="AI1208" s="5" t="str">
        <f t="shared" si="224"/>
        <v>Aug</v>
      </c>
      <c r="AJ1208" s="5" t="str">
        <f t="shared" si="225"/>
        <v>Monday</v>
      </c>
    </row>
    <row r="1209" spans="1:36" x14ac:dyDescent="0.3">
      <c r="A1209" s="5" t="s">
        <v>1243</v>
      </c>
      <c r="B1209" s="6">
        <v>45424</v>
      </c>
      <c r="C1209" s="7">
        <v>0.90625</v>
      </c>
      <c r="D1209" s="5" t="s">
        <v>1836</v>
      </c>
      <c r="E1209" s="5" t="s">
        <v>2081</v>
      </c>
      <c r="F1209" s="5" t="s">
        <v>2238</v>
      </c>
      <c r="G1209" s="5" t="s">
        <v>2243</v>
      </c>
      <c r="H1209" s="5" t="s">
        <v>2258</v>
      </c>
      <c r="I1209" s="5" t="s">
        <v>2260</v>
      </c>
      <c r="J1209" s="5" t="s">
        <v>2264</v>
      </c>
      <c r="K1209" s="8">
        <v>2</v>
      </c>
      <c r="L1209" s="9">
        <v>80</v>
      </c>
      <c r="M1209" s="10">
        <v>0.1</v>
      </c>
      <c r="N1209" s="9">
        <f t="shared" si="226"/>
        <v>160</v>
      </c>
      <c r="O1209" s="9">
        <f t="shared" si="216"/>
        <v>144</v>
      </c>
      <c r="P1209" s="5" t="s">
        <v>2269</v>
      </c>
      <c r="Q1209" s="5" t="s">
        <v>1761</v>
      </c>
      <c r="R1209" s="5" t="s">
        <v>2275</v>
      </c>
      <c r="S1209" s="5" t="s">
        <v>2280</v>
      </c>
      <c r="T1209" s="5" t="s">
        <v>2288</v>
      </c>
      <c r="U1209" s="8">
        <v>3</v>
      </c>
      <c r="V1209" s="8">
        <v>233</v>
      </c>
      <c r="W1209" s="8">
        <v>54</v>
      </c>
      <c r="X1209" s="9">
        <v>39.61</v>
      </c>
      <c r="Y1209" s="9">
        <f t="shared" si="217"/>
        <v>64.78</v>
      </c>
      <c r="Z1209" s="5" t="s">
        <v>2291</v>
      </c>
      <c r="AA1209" s="5" t="s">
        <v>1761</v>
      </c>
      <c r="AB1209" s="9">
        <f t="shared" si="218"/>
        <v>160</v>
      </c>
      <c r="AC1209" s="9">
        <f t="shared" si="219"/>
        <v>16</v>
      </c>
      <c r="AD1209" s="9">
        <f t="shared" si="220"/>
        <v>144</v>
      </c>
      <c r="AE1209" s="9">
        <f t="shared" si="221"/>
        <v>79.22</v>
      </c>
      <c r="AF1209" s="9">
        <f t="shared" si="227"/>
        <v>64.78</v>
      </c>
      <c r="AG1209" s="8">
        <f t="shared" si="222"/>
        <v>2024</v>
      </c>
      <c r="AH1209" s="8">
        <f t="shared" si="223"/>
        <v>5</v>
      </c>
      <c r="AI1209" s="5" t="str">
        <f t="shared" si="224"/>
        <v>May</v>
      </c>
      <c r="AJ1209" s="5" t="str">
        <f t="shared" si="225"/>
        <v>Sunday</v>
      </c>
    </row>
    <row r="1210" spans="1:36" x14ac:dyDescent="0.3">
      <c r="A1210" s="5" t="s">
        <v>1244</v>
      </c>
      <c r="B1210" s="6">
        <v>45335</v>
      </c>
      <c r="C1210" s="7">
        <v>0.6875</v>
      </c>
      <c r="D1210" s="5" t="s">
        <v>1788</v>
      </c>
      <c r="E1210" s="5" t="s">
        <v>2227</v>
      </c>
      <c r="F1210" s="5" t="s">
        <v>2239</v>
      </c>
      <c r="G1210" s="5" t="s">
        <v>2242</v>
      </c>
      <c r="H1210" s="5" t="s">
        <v>2258</v>
      </c>
      <c r="I1210" s="5" t="s">
        <v>2260</v>
      </c>
      <c r="J1210" s="5" t="s">
        <v>2265</v>
      </c>
      <c r="K1210" s="8">
        <v>1</v>
      </c>
      <c r="L1210" s="9">
        <v>120</v>
      </c>
      <c r="M1210" s="10">
        <v>0.05</v>
      </c>
      <c r="N1210" s="9">
        <f t="shared" si="226"/>
        <v>120</v>
      </c>
      <c r="O1210" s="9">
        <f t="shared" si="216"/>
        <v>114</v>
      </c>
      <c r="P1210" s="5" t="s">
        <v>1761</v>
      </c>
      <c r="Q1210" s="5" t="s">
        <v>2272</v>
      </c>
      <c r="R1210" s="5" t="s">
        <v>2276</v>
      </c>
      <c r="S1210" s="5" t="s">
        <v>2284</v>
      </c>
      <c r="T1210" s="5" t="s">
        <v>2288</v>
      </c>
      <c r="U1210" s="8">
        <v>1</v>
      </c>
      <c r="V1210" s="8">
        <v>329</v>
      </c>
      <c r="W1210" s="8">
        <v>15</v>
      </c>
      <c r="X1210" s="9">
        <v>70.569999999999993</v>
      </c>
      <c r="Y1210" s="9">
        <f t="shared" si="217"/>
        <v>43.430000000000007</v>
      </c>
      <c r="Z1210" s="5" t="s">
        <v>2293</v>
      </c>
      <c r="AA1210" s="5" t="s">
        <v>2298</v>
      </c>
      <c r="AB1210" s="9">
        <f t="shared" si="218"/>
        <v>120</v>
      </c>
      <c r="AC1210" s="9">
        <f t="shared" si="219"/>
        <v>6</v>
      </c>
      <c r="AD1210" s="9">
        <f t="shared" si="220"/>
        <v>114</v>
      </c>
      <c r="AE1210" s="9">
        <f t="shared" si="221"/>
        <v>70.569999999999993</v>
      </c>
      <c r="AF1210" s="9">
        <f t="shared" si="227"/>
        <v>43.430000000000007</v>
      </c>
      <c r="AG1210" s="8">
        <f t="shared" si="222"/>
        <v>2024</v>
      </c>
      <c r="AH1210" s="8">
        <f t="shared" si="223"/>
        <v>2</v>
      </c>
      <c r="AI1210" s="5" t="str">
        <f t="shared" si="224"/>
        <v>Feb</v>
      </c>
      <c r="AJ1210" s="5" t="str">
        <f t="shared" si="225"/>
        <v>Tuesday</v>
      </c>
    </row>
    <row r="1211" spans="1:36" x14ac:dyDescent="0.3">
      <c r="A1211" s="5" t="s">
        <v>1245</v>
      </c>
      <c r="B1211" s="6">
        <v>45391</v>
      </c>
      <c r="C1211" s="7">
        <v>0.72222222222222221</v>
      </c>
      <c r="D1211" s="5" t="s">
        <v>1817</v>
      </c>
      <c r="E1211" s="5" t="s">
        <v>2029</v>
      </c>
      <c r="F1211" s="5" t="s">
        <v>2240</v>
      </c>
      <c r="G1211" s="5" t="s">
        <v>2244</v>
      </c>
      <c r="H1211" s="5" t="s">
        <v>2257</v>
      </c>
      <c r="I1211" s="5" t="s">
        <v>2262</v>
      </c>
      <c r="J1211" s="5" t="s">
        <v>2266</v>
      </c>
      <c r="K1211" s="8">
        <v>1</v>
      </c>
      <c r="L1211" s="9">
        <v>120</v>
      </c>
      <c r="M1211" s="10">
        <v>0.1</v>
      </c>
      <c r="N1211" s="9">
        <f t="shared" si="226"/>
        <v>120</v>
      </c>
      <c r="O1211" s="9">
        <f t="shared" si="216"/>
        <v>108</v>
      </c>
      <c r="P1211" s="5" t="s">
        <v>2269</v>
      </c>
      <c r="Q1211" s="5" t="s">
        <v>2270</v>
      </c>
      <c r="R1211" s="5" t="s">
        <v>2278</v>
      </c>
      <c r="S1211" s="5" t="s">
        <v>2287</v>
      </c>
      <c r="T1211" s="5" t="s">
        <v>2289</v>
      </c>
      <c r="U1211" s="8">
        <v>2</v>
      </c>
      <c r="V1211" s="8">
        <v>267</v>
      </c>
      <c r="W1211" s="19">
        <v>34</v>
      </c>
      <c r="X1211" s="9">
        <v>64.67</v>
      </c>
      <c r="Y1211" s="9">
        <f t="shared" si="217"/>
        <v>43.33</v>
      </c>
      <c r="Z1211" s="5" t="s">
        <v>2293</v>
      </c>
      <c r="AA1211" s="5" t="s">
        <v>2299</v>
      </c>
      <c r="AB1211" s="9">
        <f t="shared" si="218"/>
        <v>120</v>
      </c>
      <c r="AC1211" s="9">
        <f t="shared" si="219"/>
        <v>12</v>
      </c>
      <c r="AD1211" s="9">
        <f t="shared" si="220"/>
        <v>108</v>
      </c>
      <c r="AE1211" s="9">
        <f t="shared" si="221"/>
        <v>64.67</v>
      </c>
      <c r="AF1211" s="9">
        <f t="shared" si="227"/>
        <v>43.33</v>
      </c>
      <c r="AG1211" s="8">
        <f t="shared" si="222"/>
        <v>2024</v>
      </c>
      <c r="AH1211" s="8">
        <f t="shared" si="223"/>
        <v>4</v>
      </c>
      <c r="AI1211" s="5" t="str">
        <f t="shared" si="224"/>
        <v>Apr</v>
      </c>
      <c r="AJ1211" s="5" t="str">
        <f t="shared" si="225"/>
        <v>Tuesday</v>
      </c>
    </row>
    <row r="1212" spans="1:36" x14ac:dyDescent="0.3">
      <c r="A1212" s="5" t="s">
        <v>1246</v>
      </c>
      <c r="B1212" s="6">
        <v>45524</v>
      </c>
      <c r="C1212" s="7">
        <v>0.54166666666666663</v>
      </c>
      <c r="D1212" s="5" t="s">
        <v>1797</v>
      </c>
      <c r="E1212" s="5" t="s">
        <v>2207</v>
      </c>
      <c r="F1212" s="5" t="s">
        <v>1761</v>
      </c>
      <c r="G1212" s="5" t="s">
        <v>2248</v>
      </c>
      <c r="H1212" s="5" t="s">
        <v>2257</v>
      </c>
      <c r="I1212" s="5" t="s">
        <v>2262</v>
      </c>
      <c r="J1212" s="5" t="s">
        <v>2264</v>
      </c>
      <c r="K1212" s="8">
        <v>1</v>
      </c>
      <c r="L1212" s="9">
        <v>145</v>
      </c>
      <c r="M1212" s="10">
        <v>0</v>
      </c>
      <c r="N1212" s="9">
        <f t="shared" si="226"/>
        <v>145</v>
      </c>
      <c r="O1212" s="9">
        <f t="shared" si="216"/>
        <v>145</v>
      </c>
      <c r="P1212" s="5" t="s">
        <v>2269</v>
      </c>
      <c r="Q1212" s="5" t="s">
        <v>2272</v>
      </c>
      <c r="R1212" s="5" t="s">
        <v>2273</v>
      </c>
      <c r="S1212" s="5" t="s">
        <v>2281</v>
      </c>
      <c r="T1212" s="5" t="s">
        <v>2288</v>
      </c>
      <c r="U1212" s="8">
        <v>1</v>
      </c>
      <c r="V1212" s="8">
        <v>86</v>
      </c>
      <c r="W1212" s="19">
        <v>35</v>
      </c>
      <c r="X1212" s="9">
        <v>57.86</v>
      </c>
      <c r="Y1212" s="9">
        <f t="shared" si="217"/>
        <v>87.14</v>
      </c>
      <c r="Z1212" s="5" t="s">
        <v>2291</v>
      </c>
      <c r="AA1212" s="5" t="s">
        <v>2299</v>
      </c>
      <c r="AB1212" s="9">
        <f t="shared" si="218"/>
        <v>145</v>
      </c>
      <c r="AC1212" s="9">
        <f t="shared" si="219"/>
        <v>0</v>
      </c>
      <c r="AD1212" s="9">
        <f t="shared" si="220"/>
        <v>145</v>
      </c>
      <c r="AE1212" s="9">
        <f t="shared" si="221"/>
        <v>57.86</v>
      </c>
      <c r="AF1212" s="9">
        <f t="shared" si="227"/>
        <v>87.14</v>
      </c>
      <c r="AG1212" s="8">
        <f t="shared" si="222"/>
        <v>2024</v>
      </c>
      <c r="AH1212" s="8">
        <f t="shared" si="223"/>
        <v>8</v>
      </c>
      <c r="AI1212" s="5" t="str">
        <f t="shared" si="224"/>
        <v>Aug</v>
      </c>
      <c r="AJ1212" s="5" t="str">
        <f t="shared" si="225"/>
        <v>Tuesday</v>
      </c>
    </row>
    <row r="1213" spans="1:36" x14ac:dyDescent="0.3">
      <c r="A1213" s="5" t="s">
        <v>1247</v>
      </c>
      <c r="B1213" s="6">
        <v>45554</v>
      </c>
      <c r="C1213" s="7">
        <v>0.75694444444444442</v>
      </c>
      <c r="D1213" s="5" t="s">
        <v>1870</v>
      </c>
      <c r="E1213" s="5" t="s">
        <v>2223</v>
      </c>
      <c r="F1213" s="5" t="s">
        <v>2239</v>
      </c>
      <c r="G1213" s="5" t="s">
        <v>2243</v>
      </c>
      <c r="H1213" s="5" t="s">
        <v>2258</v>
      </c>
      <c r="I1213" s="5" t="s">
        <v>2260</v>
      </c>
      <c r="J1213" s="5" t="s">
        <v>2265</v>
      </c>
      <c r="K1213" s="8">
        <v>1</v>
      </c>
      <c r="L1213" s="9">
        <v>75</v>
      </c>
      <c r="M1213" s="10">
        <v>0.05</v>
      </c>
      <c r="N1213" s="9">
        <f t="shared" si="226"/>
        <v>75</v>
      </c>
      <c r="O1213" s="9">
        <f t="shared" si="216"/>
        <v>71.25</v>
      </c>
      <c r="P1213" s="5" t="s">
        <v>2267</v>
      </c>
      <c r="Q1213" s="5" t="s">
        <v>2272</v>
      </c>
      <c r="R1213" s="5" t="s">
        <v>2279</v>
      </c>
      <c r="S1213" s="5" t="s">
        <v>2286</v>
      </c>
      <c r="T1213" s="5" t="s">
        <v>2288</v>
      </c>
      <c r="U1213" s="8">
        <v>3</v>
      </c>
      <c r="V1213" s="19">
        <v>244</v>
      </c>
      <c r="W1213" s="8">
        <v>38</v>
      </c>
      <c r="X1213" s="9">
        <v>31.7</v>
      </c>
      <c r="Y1213" s="9">
        <f t="shared" si="217"/>
        <v>39.549999999999997</v>
      </c>
      <c r="Z1213" s="5" t="s">
        <v>2291</v>
      </c>
      <c r="AA1213" s="5" t="s">
        <v>1761</v>
      </c>
      <c r="AB1213" s="9">
        <f t="shared" si="218"/>
        <v>75</v>
      </c>
      <c r="AC1213" s="9">
        <f t="shared" si="219"/>
        <v>3.75</v>
      </c>
      <c r="AD1213" s="9">
        <f t="shared" si="220"/>
        <v>71.25</v>
      </c>
      <c r="AE1213" s="9">
        <f t="shared" si="221"/>
        <v>31.7</v>
      </c>
      <c r="AF1213" s="9">
        <f t="shared" si="227"/>
        <v>39.549999999999997</v>
      </c>
      <c r="AG1213" s="8">
        <f t="shared" si="222"/>
        <v>2024</v>
      </c>
      <c r="AH1213" s="8">
        <f t="shared" si="223"/>
        <v>9</v>
      </c>
      <c r="AI1213" s="5" t="str">
        <f t="shared" si="224"/>
        <v>Sep</v>
      </c>
      <c r="AJ1213" s="5" t="str">
        <f t="shared" si="225"/>
        <v>Thursday</v>
      </c>
    </row>
    <row r="1214" spans="1:36" x14ac:dyDescent="0.3">
      <c r="A1214" s="5" t="s">
        <v>1248</v>
      </c>
      <c r="B1214" s="6">
        <v>45476</v>
      </c>
      <c r="C1214" s="7">
        <v>0.5625</v>
      </c>
      <c r="D1214" s="5" t="s">
        <v>1761</v>
      </c>
      <c r="E1214" s="5" t="s">
        <v>2029</v>
      </c>
      <c r="F1214" s="5" t="s">
        <v>1761</v>
      </c>
      <c r="G1214" s="5" t="s">
        <v>2255</v>
      </c>
      <c r="H1214" s="5" t="s">
        <v>2260</v>
      </c>
      <c r="I1214" s="5" t="s">
        <v>2260</v>
      </c>
      <c r="J1214" s="5" t="s">
        <v>2264</v>
      </c>
      <c r="K1214" s="8">
        <v>4</v>
      </c>
      <c r="L1214" s="9">
        <v>180</v>
      </c>
      <c r="M1214" s="10">
        <v>0.1</v>
      </c>
      <c r="N1214" s="9">
        <f t="shared" si="226"/>
        <v>720</v>
      </c>
      <c r="O1214" s="9">
        <f t="shared" si="216"/>
        <v>648</v>
      </c>
      <c r="P1214" s="5" t="s">
        <v>2268</v>
      </c>
      <c r="Q1214" s="5" t="s">
        <v>2270</v>
      </c>
      <c r="R1214" s="5" t="s">
        <v>2279</v>
      </c>
      <c r="S1214" s="5" t="s">
        <v>2285</v>
      </c>
      <c r="T1214" s="5" t="s">
        <v>2288</v>
      </c>
      <c r="U1214" s="8">
        <v>2</v>
      </c>
      <c r="V1214" s="8">
        <v>480</v>
      </c>
      <c r="W1214" s="8">
        <v>21</v>
      </c>
      <c r="X1214" s="9">
        <v>84.94</v>
      </c>
      <c r="Y1214" s="9">
        <f t="shared" si="217"/>
        <v>308.24</v>
      </c>
      <c r="Z1214" s="5" t="s">
        <v>2291</v>
      </c>
      <c r="AA1214" s="5" t="s">
        <v>2296</v>
      </c>
      <c r="AB1214" s="9">
        <f t="shared" si="218"/>
        <v>720</v>
      </c>
      <c r="AC1214" s="9">
        <f t="shared" si="219"/>
        <v>72</v>
      </c>
      <c r="AD1214" s="9">
        <f t="shared" si="220"/>
        <v>648</v>
      </c>
      <c r="AE1214" s="9">
        <f t="shared" si="221"/>
        <v>339.76</v>
      </c>
      <c r="AF1214" s="9">
        <f t="shared" si="227"/>
        <v>308.24</v>
      </c>
      <c r="AG1214" s="8">
        <f t="shared" si="222"/>
        <v>2024</v>
      </c>
      <c r="AH1214" s="8">
        <f t="shared" si="223"/>
        <v>7</v>
      </c>
      <c r="AI1214" s="5" t="str">
        <f t="shared" si="224"/>
        <v>Jul</v>
      </c>
      <c r="AJ1214" s="5" t="str">
        <f t="shared" si="225"/>
        <v>Wednesday</v>
      </c>
    </row>
    <row r="1215" spans="1:36" x14ac:dyDescent="0.3">
      <c r="A1215" s="5" t="s">
        <v>1249</v>
      </c>
      <c r="B1215" s="6">
        <v>45323</v>
      </c>
      <c r="C1215" s="7">
        <v>0.5</v>
      </c>
      <c r="D1215" s="5" t="s">
        <v>1885</v>
      </c>
      <c r="E1215" s="5" t="s">
        <v>2138</v>
      </c>
      <c r="F1215" s="5" t="s">
        <v>2239</v>
      </c>
      <c r="G1215" s="5" t="s">
        <v>2248</v>
      </c>
      <c r="H1215" s="5" t="s">
        <v>2257</v>
      </c>
      <c r="I1215" s="5" t="s">
        <v>2262</v>
      </c>
      <c r="J1215" s="5" t="s">
        <v>2264</v>
      </c>
      <c r="K1215" s="8">
        <v>2</v>
      </c>
      <c r="L1215" s="9">
        <v>145</v>
      </c>
      <c r="M1215" s="10">
        <v>0.15</v>
      </c>
      <c r="N1215" s="9">
        <f t="shared" si="226"/>
        <v>290</v>
      </c>
      <c r="O1215" s="9">
        <f t="shared" si="216"/>
        <v>246.5</v>
      </c>
      <c r="P1215" s="5" t="s">
        <v>2267</v>
      </c>
      <c r="Q1215" s="5" t="s">
        <v>2270</v>
      </c>
      <c r="R1215" s="5" t="s">
        <v>2274</v>
      </c>
      <c r="S1215" s="5" t="s">
        <v>2281</v>
      </c>
      <c r="T1215" s="5" t="s">
        <v>2290</v>
      </c>
      <c r="U1215" s="8">
        <v>5</v>
      </c>
      <c r="V1215" s="8">
        <v>236</v>
      </c>
      <c r="W1215" s="8">
        <v>51</v>
      </c>
      <c r="X1215" s="9">
        <v>83.77</v>
      </c>
      <c r="Y1215" s="9">
        <f t="shared" si="217"/>
        <v>78.960000000000008</v>
      </c>
      <c r="Z1215" s="5" t="s">
        <v>1761</v>
      </c>
      <c r="AA1215" s="5" t="s">
        <v>2296</v>
      </c>
      <c r="AB1215" s="9">
        <f t="shared" si="218"/>
        <v>290</v>
      </c>
      <c r="AC1215" s="9">
        <f t="shared" si="219"/>
        <v>43.5</v>
      </c>
      <c r="AD1215" s="9">
        <f t="shared" si="220"/>
        <v>246.5</v>
      </c>
      <c r="AE1215" s="9">
        <f t="shared" si="221"/>
        <v>167.54</v>
      </c>
      <c r="AF1215" s="9">
        <f t="shared" si="227"/>
        <v>78.960000000000008</v>
      </c>
      <c r="AG1215" s="8">
        <f t="shared" si="222"/>
        <v>2024</v>
      </c>
      <c r="AH1215" s="8">
        <f t="shared" si="223"/>
        <v>2</v>
      </c>
      <c r="AI1215" s="5" t="str">
        <f t="shared" si="224"/>
        <v>Feb</v>
      </c>
      <c r="AJ1215" s="5" t="str">
        <f t="shared" si="225"/>
        <v>Thursday</v>
      </c>
    </row>
    <row r="1216" spans="1:36" x14ac:dyDescent="0.3">
      <c r="A1216" s="5" t="s">
        <v>1250</v>
      </c>
      <c r="B1216" s="6">
        <v>45503</v>
      </c>
      <c r="C1216" s="7">
        <v>0.42708333333333331</v>
      </c>
      <c r="D1216" s="5" t="s">
        <v>1915</v>
      </c>
      <c r="E1216" s="5" t="s">
        <v>2111</v>
      </c>
      <c r="F1216" s="5" t="s">
        <v>1761</v>
      </c>
      <c r="G1216" s="5" t="s">
        <v>2256</v>
      </c>
      <c r="H1216" s="5" t="s">
        <v>2261</v>
      </c>
      <c r="I1216" s="5" t="s">
        <v>2260</v>
      </c>
      <c r="J1216" s="5" t="s">
        <v>2264</v>
      </c>
      <c r="K1216" s="8">
        <v>1</v>
      </c>
      <c r="L1216" s="9">
        <v>185</v>
      </c>
      <c r="M1216" s="10">
        <v>0</v>
      </c>
      <c r="N1216" s="9">
        <f t="shared" si="226"/>
        <v>185</v>
      </c>
      <c r="O1216" s="9">
        <f t="shared" si="216"/>
        <v>185</v>
      </c>
      <c r="P1216" s="5" t="s">
        <v>2267</v>
      </c>
      <c r="Q1216" s="5" t="s">
        <v>1761</v>
      </c>
      <c r="R1216" s="5" t="s">
        <v>2279</v>
      </c>
      <c r="S1216" s="5" t="s">
        <v>2281</v>
      </c>
      <c r="T1216" s="5" t="s">
        <v>2288</v>
      </c>
      <c r="U1216" s="8">
        <v>3</v>
      </c>
      <c r="V1216" s="8">
        <v>404</v>
      </c>
      <c r="W1216" s="8">
        <v>33</v>
      </c>
      <c r="X1216" s="9">
        <v>93.15</v>
      </c>
      <c r="Y1216" s="9">
        <f t="shared" si="217"/>
        <v>91.85</v>
      </c>
      <c r="Z1216" s="5" t="s">
        <v>2293</v>
      </c>
      <c r="AA1216" s="5" t="s">
        <v>2296</v>
      </c>
      <c r="AB1216" s="9">
        <f t="shared" si="218"/>
        <v>185</v>
      </c>
      <c r="AC1216" s="9">
        <f t="shared" si="219"/>
        <v>0</v>
      </c>
      <c r="AD1216" s="9">
        <f t="shared" si="220"/>
        <v>185</v>
      </c>
      <c r="AE1216" s="9">
        <f t="shared" si="221"/>
        <v>93.15</v>
      </c>
      <c r="AF1216" s="9">
        <f t="shared" si="227"/>
        <v>91.85</v>
      </c>
      <c r="AG1216" s="8">
        <f t="shared" si="222"/>
        <v>2024</v>
      </c>
      <c r="AH1216" s="8">
        <f t="shared" si="223"/>
        <v>7</v>
      </c>
      <c r="AI1216" s="5" t="str">
        <f t="shared" si="224"/>
        <v>Jul</v>
      </c>
      <c r="AJ1216" s="5" t="str">
        <f t="shared" si="225"/>
        <v>Tuesday</v>
      </c>
    </row>
    <row r="1217" spans="1:36" x14ac:dyDescent="0.3">
      <c r="A1217" s="5" t="s">
        <v>1251</v>
      </c>
      <c r="B1217" s="6">
        <v>45562</v>
      </c>
      <c r="C1217" s="7">
        <v>0.59722222222222221</v>
      </c>
      <c r="D1217" s="5" t="s">
        <v>1785</v>
      </c>
      <c r="E1217" s="5" t="s">
        <v>2221</v>
      </c>
      <c r="F1217" s="5" t="s">
        <v>2239</v>
      </c>
      <c r="G1217" s="5" t="s">
        <v>2241</v>
      </c>
      <c r="H1217" s="5" t="s">
        <v>2257</v>
      </c>
      <c r="I1217" s="5" t="s">
        <v>2262</v>
      </c>
      <c r="J1217" s="5" t="s">
        <v>2266</v>
      </c>
      <c r="K1217" s="8">
        <v>4</v>
      </c>
      <c r="L1217" s="9">
        <v>135</v>
      </c>
      <c r="M1217" s="10">
        <v>0.05</v>
      </c>
      <c r="N1217" s="9">
        <f t="shared" si="226"/>
        <v>540</v>
      </c>
      <c r="O1217" s="9">
        <f t="shared" si="216"/>
        <v>513</v>
      </c>
      <c r="P1217" s="5" t="s">
        <v>2269</v>
      </c>
      <c r="Q1217" s="5" t="s">
        <v>2272</v>
      </c>
      <c r="R1217" s="5" t="s">
        <v>2276</v>
      </c>
      <c r="S1217" s="5" t="s">
        <v>2281</v>
      </c>
      <c r="T1217" s="5" t="s">
        <v>2288</v>
      </c>
      <c r="U1217" s="8">
        <v>3</v>
      </c>
      <c r="V1217" s="8">
        <v>406</v>
      </c>
      <c r="W1217" s="19">
        <v>35</v>
      </c>
      <c r="X1217" s="9">
        <v>67.319999999999993</v>
      </c>
      <c r="Y1217" s="9">
        <f t="shared" si="217"/>
        <v>243.72000000000003</v>
      </c>
      <c r="Z1217" s="5" t="s">
        <v>2293</v>
      </c>
      <c r="AA1217" s="5" t="s">
        <v>2296</v>
      </c>
      <c r="AB1217" s="9">
        <f t="shared" si="218"/>
        <v>540</v>
      </c>
      <c r="AC1217" s="9">
        <f t="shared" si="219"/>
        <v>27</v>
      </c>
      <c r="AD1217" s="9">
        <f t="shared" si="220"/>
        <v>513</v>
      </c>
      <c r="AE1217" s="9">
        <f t="shared" si="221"/>
        <v>269.27999999999997</v>
      </c>
      <c r="AF1217" s="9">
        <f t="shared" si="227"/>
        <v>243.72000000000003</v>
      </c>
      <c r="AG1217" s="8">
        <f t="shared" si="222"/>
        <v>2024</v>
      </c>
      <c r="AH1217" s="8">
        <f t="shared" si="223"/>
        <v>9</v>
      </c>
      <c r="AI1217" s="5" t="str">
        <f t="shared" si="224"/>
        <v>Sep</v>
      </c>
      <c r="AJ1217" s="5" t="str">
        <f t="shared" si="225"/>
        <v>Friday</v>
      </c>
    </row>
    <row r="1218" spans="1:36" x14ac:dyDescent="0.3">
      <c r="A1218" s="5" t="s">
        <v>1252</v>
      </c>
      <c r="B1218" s="6">
        <v>45379</v>
      </c>
      <c r="C1218" s="7">
        <v>0.89583333333333337</v>
      </c>
      <c r="D1218" s="5" t="s">
        <v>1844</v>
      </c>
      <c r="E1218" s="5" t="s">
        <v>1975</v>
      </c>
      <c r="F1218" s="5" t="s">
        <v>1761</v>
      </c>
      <c r="G1218" s="5" t="s">
        <v>2241</v>
      </c>
      <c r="H1218" s="5" t="s">
        <v>2257</v>
      </c>
      <c r="I1218" s="5" t="s">
        <v>2262</v>
      </c>
      <c r="J1218" s="5" t="s">
        <v>1761</v>
      </c>
      <c r="K1218" s="8">
        <v>3</v>
      </c>
      <c r="L1218" s="9">
        <v>140</v>
      </c>
      <c r="M1218" s="10">
        <v>0</v>
      </c>
      <c r="N1218" s="9">
        <f t="shared" si="226"/>
        <v>420</v>
      </c>
      <c r="O1218" s="9">
        <f t="shared" ref="O1218:O1281" si="228">IF(N1218="","",N1218*(1-IF(M1218="",0,M1218)))</f>
        <v>420</v>
      </c>
      <c r="P1218" s="5" t="s">
        <v>2268</v>
      </c>
      <c r="Q1218" s="5" t="s">
        <v>2271</v>
      </c>
      <c r="R1218" s="5" t="s">
        <v>2273</v>
      </c>
      <c r="S1218" s="5" t="s">
        <v>2283</v>
      </c>
      <c r="T1218" s="5" t="s">
        <v>2289</v>
      </c>
      <c r="U1218" s="8">
        <v>5</v>
      </c>
      <c r="V1218" s="8">
        <v>415</v>
      </c>
      <c r="W1218" s="8">
        <v>14</v>
      </c>
      <c r="X1218" s="9">
        <v>64.83</v>
      </c>
      <c r="Y1218" s="9">
        <f t="shared" ref="Y1218:Y1281" si="229">IF(OR(O1218="",K1218="",X1218=""),"",O1218-K1218*X1218)</f>
        <v>225.51</v>
      </c>
      <c r="Z1218" s="5" t="s">
        <v>2291</v>
      </c>
      <c r="AA1218" s="5" t="s">
        <v>2296</v>
      </c>
      <c r="AB1218" s="9">
        <f t="shared" ref="AB1218:AB1281" si="230">N1218</f>
        <v>420</v>
      </c>
      <c r="AC1218" s="9">
        <f t="shared" ref="AC1218:AC1281" si="231">IF(N1218="","",N1218*IF(M1218="",0,M1218))</f>
        <v>0</v>
      </c>
      <c r="AD1218" s="9">
        <f t="shared" ref="AD1218:AD1281" si="232">O1218</f>
        <v>420</v>
      </c>
      <c r="AE1218" s="9">
        <f t="shared" ref="AE1218:AE1281" si="233">IF(OR(K1218="",X1218=""),"",K1218*X1218)</f>
        <v>194.49</v>
      </c>
      <c r="AF1218" s="9">
        <f t="shared" si="227"/>
        <v>225.51</v>
      </c>
      <c r="AG1218" s="8">
        <f t="shared" ref="AG1218:AG1281" si="234">IF(B1218="","",YEAR(B1218))</f>
        <v>2024</v>
      </c>
      <c r="AH1218" s="8">
        <f t="shared" ref="AH1218:AH1281" si="235">IF(B1218="","",MONTH(B1218))</f>
        <v>3</v>
      </c>
      <c r="AI1218" s="5" t="str">
        <f t="shared" ref="AI1218:AI1281" si="236">IF(B1218="","",TEXT(B1218,"mmm"))</f>
        <v>Mar</v>
      </c>
      <c r="AJ1218" s="5" t="str">
        <f t="shared" ref="AJ1218:AJ1281" si="237">IF(B1218="","",TEXT(B1218,"dddd"))</f>
        <v>Thursday</v>
      </c>
    </row>
    <row r="1219" spans="1:36" x14ac:dyDescent="0.3">
      <c r="A1219" s="5" t="s">
        <v>1253</v>
      </c>
      <c r="B1219" s="6">
        <v>45524</v>
      </c>
      <c r="C1219" s="7">
        <v>0.375</v>
      </c>
      <c r="D1219" s="5" t="s">
        <v>1880</v>
      </c>
      <c r="E1219" s="5" t="s">
        <v>1948</v>
      </c>
      <c r="F1219" s="5" t="s">
        <v>2239</v>
      </c>
      <c r="G1219" s="5" t="s">
        <v>2246</v>
      </c>
      <c r="H1219" s="5" t="s">
        <v>2259</v>
      </c>
      <c r="I1219" s="5" t="s">
        <v>2262</v>
      </c>
      <c r="J1219" s="5" t="s">
        <v>2264</v>
      </c>
      <c r="K1219" s="19">
        <v>1</v>
      </c>
      <c r="L1219" s="9">
        <v>90</v>
      </c>
      <c r="M1219" s="10">
        <v>0.05</v>
      </c>
      <c r="N1219" s="9">
        <f t="shared" ref="N1219:N1282" si="238">IFERROR(K1219*L1219,"")</f>
        <v>90</v>
      </c>
      <c r="O1219" s="9">
        <f t="shared" si="228"/>
        <v>85.5</v>
      </c>
      <c r="P1219" s="5" t="s">
        <v>2269</v>
      </c>
      <c r="Q1219" s="5" t="s">
        <v>2270</v>
      </c>
      <c r="R1219" s="5" t="s">
        <v>2279</v>
      </c>
      <c r="S1219" s="5" t="s">
        <v>2281</v>
      </c>
      <c r="T1219" s="5" t="s">
        <v>2289</v>
      </c>
      <c r="U1219" s="8">
        <v>3</v>
      </c>
      <c r="V1219" s="8">
        <v>392</v>
      </c>
      <c r="W1219" s="19">
        <v>34</v>
      </c>
      <c r="X1219" s="9">
        <v>44.3</v>
      </c>
      <c r="Y1219" s="9">
        <f t="shared" si="229"/>
        <v>41.2</v>
      </c>
      <c r="Z1219" s="5" t="s">
        <v>2291</v>
      </c>
      <c r="AA1219" s="5" t="s">
        <v>2296</v>
      </c>
      <c r="AB1219" s="9">
        <f t="shared" si="230"/>
        <v>90</v>
      </c>
      <c r="AC1219" s="9">
        <f t="shared" si="231"/>
        <v>4.5</v>
      </c>
      <c r="AD1219" s="9">
        <f t="shared" si="232"/>
        <v>85.5</v>
      </c>
      <c r="AE1219" s="9">
        <f t="shared" si="233"/>
        <v>44.3</v>
      </c>
      <c r="AF1219" s="9">
        <f t="shared" ref="AF1219:AF1282" si="239">Y1219</f>
        <v>41.2</v>
      </c>
      <c r="AG1219" s="8">
        <f t="shared" si="234"/>
        <v>2024</v>
      </c>
      <c r="AH1219" s="8">
        <f t="shared" si="235"/>
        <v>8</v>
      </c>
      <c r="AI1219" s="5" t="str">
        <f t="shared" si="236"/>
        <v>Aug</v>
      </c>
      <c r="AJ1219" s="5" t="str">
        <f t="shared" si="237"/>
        <v>Tuesday</v>
      </c>
    </row>
    <row r="1220" spans="1:36" x14ac:dyDescent="0.3">
      <c r="A1220" s="5" t="s">
        <v>1254</v>
      </c>
      <c r="B1220" s="6">
        <v>45641</v>
      </c>
      <c r="C1220" s="7">
        <v>0.83333333333333337</v>
      </c>
      <c r="D1220" s="5" t="s">
        <v>1831</v>
      </c>
      <c r="E1220" s="5" t="s">
        <v>2077</v>
      </c>
      <c r="F1220" s="5" t="s">
        <v>2240</v>
      </c>
      <c r="G1220" s="5" t="s">
        <v>2249</v>
      </c>
      <c r="H1220" s="5" t="s">
        <v>2257</v>
      </c>
      <c r="I1220" s="5" t="s">
        <v>2263</v>
      </c>
      <c r="J1220" s="5" t="s">
        <v>2266</v>
      </c>
      <c r="K1220" s="8">
        <v>3</v>
      </c>
      <c r="L1220" s="9">
        <v>155</v>
      </c>
      <c r="M1220" s="10">
        <v>0</v>
      </c>
      <c r="N1220" s="9">
        <f t="shared" si="238"/>
        <v>465</v>
      </c>
      <c r="O1220" s="9">
        <f t="shared" si="228"/>
        <v>465</v>
      </c>
      <c r="P1220" s="5" t="s">
        <v>2268</v>
      </c>
      <c r="Q1220" s="5" t="s">
        <v>2272</v>
      </c>
      <c r="R1220" s="5" t="s">
        <v>2274</v>
      </c>
      <c r="S1220" s="5" t="s">
        <v>2281</v>
      </c>
      <c r="T1220" s="5" t="s">
        <v>2288</v>
      </c>
      <c r="U1220" s="19">
        <v>3</v>
      </c>
      <c r="V1220" s="8">
        <v>366</v>
      </c>
      <c r="W1220" s="8">
        <v>31</v>
      </c>
      <c r="X1220" s="9">
        <v>59.14</v>
      </c>
      <c r="Y1220" s="9">
        <f t="shared" si="229"/>
        <v>287.58</v>
      </c>
      <c r="Z1220" s="5" t="s">
        <v>2291</v>
      </c>
      <c r="AA1220" s="5" t="s">
        <v>2296</v>
      </c>
      <c r="AB1220" s="9">
        <f t="shared" si="230"/>
        <v>465</v>
      </c>
      <c r="AC1220" s="9">
        <f t="shared" si="231"/>
        <v>0</v>
      </c>
      <c r="AD1220" s="9">
        <f t="shared" si="232"/>
        <v>465</v>
      </c>
      <c r="AE1220" s="9">
        <f t="shared" si="233"/>
        <v>177.42000000000002</v>
      </c>
      <c r="AF1220" s="9">
        <f t="shared" si="239"/>
        <v>287.58</v>
      </c>
      <c r="AG1220" s="8">
        <f t="shared" si="234"/>
        <v>2024</v>
      </c>
      <c r="AH1220" s="8">
        <f t="shared" si="235"/>
        <v>12</v>
      </c>
      <c r="AI1220" s="5" t="str">
        <f t="shared" si="236"/>
        <v>Dec</v>
      </c>
      <c r="AJ1220" s="5" t="str">
        <f t="shared" si="237"/>
        <v>Sunday</v>
      </c>
    </row>
    <row r="1221" spans="1:36" x14ac:dyDescent="0.3">
      <c r="A1221" s="5" t="s">
        <v>1255</v>
      </c>
      <c r="B1221" s="6">
        <v>45578</v>
      </c>
      <c r="C1221" s="7">
        <v>0.40625</v>
      </c>
      <c r="D1221" s="5" t="s">
        <v>1898</v>
      </c>
      <c r="E1221" s="5" t="s">
        <v>2178</v>
      </c>
      <c r="F1221" s="5" t="s">
        <v>2239</v>
      </c>
      <c r="G1221" s="5" t="s">
        <v>2249</v>
      </c>
      <c r="H1221" s="5" t="s">
        <v>2257</v>
      </c>
      <c r="I1221" s="5" t="s">
        <v>2263</v>
      </c>
      <c r="J1221" s="5" t="s">
        <v>2264</v>
      </c>
      <c r="K1221" s="8">
        <v>1</v>
      </c>
      <c r="L1221" s="9">
        <v>170</v>
      </c>
      <c r="M1221" s="10">
        <v>0</v>
      </c>
      <c r="N1221" s="9">
        <f t="shared" si="238"/>
        <v>170</v>
      </c>
      <c r="O1221" s="9">
        <f t="shared" si="228"/>
        <v>170</v>
      </c>
      <c r="P1221" s="5" t="s">
        <v>2269</v>
      </c>
      <c r="Q1221" s="5" t="s">
        <v>2272</v>
      </c>
      <c r="R1221" s="5" t="s">
        <v>2273</v>
      </c>
      <c r="S1221" s="5" t="s">
        <v>2284</v>
      </c>
      <c r="T1221" s="5" t="s">
        <v>2288</v>
      </c>
      <c r="U1221" s="8">
        <v>5</v>
      </c>
      <c r="V1221" s="8">
        <v>221</v>
      </c>
      <c r="W1221" s="8">
        <v>55</v>
      </c>
      <c r="X1221" s="9">
        <v>79.75</v>
      </c>
      <c r="Y1221" s="9">
        <f t="shared" si="229"/>
        <v>90.25</v>
      </c>
      <c r="Z1221" s="5" t="s">
        <v>2293</v>
      </c>
      <c r="AA1221" s="5" t="s">
        <v>2296</v>
      </c>
      <c r="AB1221" s="9">
        <f t="shared" si="230"/>
        <v>170</v>
      </c>
      <c r="AC1221" s="9">
        <f t="shared" si="231"/>
        <v>0</v>
      </c>
      <c r="AD1221" s="9">
        <f t="shared" si="232"/>
        <v>170</v>
      </c>
      <c r="AE1221" s="9">
        <f t="shared" si="233"/>
        <v>79.75</v>
      </c>
      <c r="AF1221" s="9">
        <f t="shared" si="239"/>
        <v>90.25</v>
      </c>
      <c r="AG1221" s="8">
        <f t="shared" si="234"/>
        <v>2024</v>
      </c>
      <c r="AH1221" s="8">
        <f t="shared" si="235"/>
        <v>10</v>
      </c>
      <c r="AI1221" s="5" t="str">
        <f t="shared" si="236"/>
        <v>Oct</v>
      </c>
      <c r="AJ1221" s="5" t="str">
        <f t="shared" si="237"/>
        <v>Sunday</v>
      </c>
    </row>
    <row r="1222" spans="1:36" x14ac:dyDescent="0.3">
      <c r="A1222" s="5" t="s">
        <v>1256</v>
      </c>
      <c r="B1222" s="6">
        <v>45386</v>
      </c>
      <c r="C1222" s="7">
        <v>0.77083333333333337</v>
      </c>
      <c r="D1222" s="5" t="s">
        <v>1854</v>
      </c>
      <c r="E1222" s="5" t="s">
        <v>2123</v>
      </c>
      <c r="F1222" s="5" t="s">
        <v>2240</v>
      </c>
      <c r="G1222" s="5" t="s">
        <v>2245</v>
      </c>
      <c r="H1222" s="5" t="s">
        <v>2257</v>
      </c>
      <c r="I1222" s="5" t="s">
        <v>2263</v>
      </c>
      <c r="J1222" s="5" t="s">
        <v>2266</v>
      </c>
      <c r="K1222" s="8">
        <v>1</v>
      </c>
      <c r="L1222" s="9">
        <v>155</v>
      </c>
      <c r="M1222" s="10">
        <v>0.05</v>
      </c>
      <c r="N1222" s="9">
        <f t="shared" si="238"/>
        <v>155</v>
      </c>
      <c r="O1222" s="9">
        <f t="shared" si="228"/>
        <v>147.25</v>
      </c>
      <c r="P1222" s="5" t="s">
        <v>2269</v>
      </c>
      <c r="Q1222" s="5" t="s">
        <v>2270</v>
      </c>
      <c r="R1222" s="5" t="s">
        <v>2278</v>
      </c>
      <c r="S1222" s="5" t="s">
        <v>2281</v>
      </c>
      <c r="T1222" s="5" t="s">
        <v>2288</v>
      </c>
      <c r="U1222" s="8">
        <v>5</v>
      </c>
      <c r="V1222" s="8">
        <v>139</v>
      </c>
      <c r="W1222" s="8">
        <v>30</v>
      </c>
      <c r="X1222" s="9">
        <v>52.63</v>
      </c>
      <c r="Y1222" s="9">
        <f t="shared" si="229"/>
        <v>94.62</v>
      </c>
      <c r="Z1222" s="5" t="s">
        <v>2292</v>
      </c>
      <c r="AA1222" s="5" t="s">
        <v>2296</v>
      </c>
      <c r="AB1222" s="9">
        <f t="shared" si="230"/>
        <v>155</v>
      </c>
      <c r="AC1222" s="9">
        <f t="shared" si="231"/>
        <v>7.75</v>
      </c>
      <c r="AD1222" s="9">
        <f t="shared" si="232"/>
        <v>147.25</v>
      </c>
      <c r="AE1222" s="9">
        <f t="shared" si="233"/>
        <v>52.63</v>
      </c>
      <c r="AF1222" s="9">
        <f t="shared" si="239"/>
        <v>94.62</v>
      </c>
      <c r="AG1222" s="8">
        <f t="shared" si="234"/>
        <v>2024</v>
      </c>
      <c r="AH1222" s="8">
        <f t="shared" si="235"/>
        <v>4</v>
      </c>
      <c r="AI1222" s="5" t="str">
        <f t="shared" si="236"/>
        <v>Apr</v>
      </c>
      <c r="AJ1222" s="5" t="str">
        <f t="shared" si="237"/>
        <v>Thursday</v>
      </c>
    </row>
    <row r="1223" spans="1:36" x14ac:dyDescent="0.3">
      <c r="A1223" s="5" t="s">
        <v>1257</v>
      </c>
      <c r="B1223" s="6">
        <v>45573</v>
      </c>
      <c r="C1223" s="7">
        <v>0.52083333333333337</v>
      </c>
      <c r="D1223" s="5" t="s">
        <v>1841</v>
      </c>
      <c r="E1223" s="5" t="s">
        <v>2024</v>
      </c>
      <c r="F1223" s="5" t="s">
        <v>2239</v>
      </c>
      <c r="G1223" s="5" t="s">
        <v>2241</v>
      </c>
      <c r="H1223" s="5" t="s">
        <v>2257</v>
      </c>
      <c r="I1223" s="5" t="s">
        <v>2262</v>
      </c>
      <c r="J1223" s="5" t="s">
        <v>2266</v>
      </c>
      <c r="K1223" s="8">
        <v>1</v>
      </c>
      <c r="L1223" s="9">
        <v>125</v>
      </c>
      <c r="M1223" s="10">
        <v>0.15</v>
      </c>
      <c r="N1223" s="9">
        <f t="shared" si="238"/>
        <v>125</v>
      </c>
      <c r="O1223" s="9">
        <f t="shared" si="228"/>
        <v>106.25</v>
      </c>
      <c r="P1223" s="5" t="s">
        <v>2267</v>
      </c>
      <c r="Q1223" s="5" t="s">
        <v>1761</v>
      </c>
      <c r="R1223" s="5" t="s">
        <v>2279</v>
      </c>
      <c r="S1223" s="5" t="s">
        <v>2285</v>
      </c>
      <c r="T1223" s="5" t="s">
        <v>2288</v>
      </c>
      <c r="U1223" s="8">
        <v>3</v>
      </c>
      <c r="V1223" s="19">
        <v>244</v>
      </c>
      <c r="W1223" s="8">
        <v>32</v>
      </c>
      <c r="X1223" s="9">
        <v>58.63</v>
      </c>
      <c r="Y1223" s="9">
        <f t="shared" si="229"/>
        <v>47.62</v>
      </c>
      <c r="Z1223" s="5" t="s">
        <v>2293</v>
      </c>
      <c r="AA1223" s="5" t="s">
        <v>2298</v>
      </c>
      <c r="AB1223" s="9">
        <f t="shared" si="230"/>
        <v>125</v>
      </c>
      <c r="AC1223" s="9">
        <f t="shared" si="231"/>
        <v>18.75</v>
      </c>
      <c r="AD1223" s="9">
        <f t="shared" si="232"/>
        <v>106.25</v>
      </c>
      <c r="AE1223" s="9">
        <f t="shared" si="233"/>
        <v>58.63</v>
      </c>
      <c r="AF1223" s="9">
        <f t="shared" si="239"/>
        <v>47.62</v>
      </c>
      <c r="AG1223" s="8">
        <f t="shared" si="234"/>
        <v>2024</v>
      </c>
      <c r="AH1223" s="8">
        <f t="shared" si="235"/>
        <v>10</v>
      </c>
      <c r="AI1223" s="5" t="str">
        <f t="shared" si="236"/>
        <v>Oct</v>
      </c>
      <c r="AJ1223" s="5" t="str">
        <f t="shared" si="237"/>
        <v>Tuesday</v>
      </c>
    </row>
    <row r="1224" spans="1:36" x14ac:dyDescent="0.3">
      <c r="A1224" s="5" t="s">
        <v>1258</v>
      </c>
      <c r="B1224" s="6">
        <v>45366</v>
      </c>
      <c r="C1224" s="7">
        <v>0.3263888888888889</v>
      </c>
      <c r="D1224" s="5" t="s">
        <v>1848</v>
      </c>
      <c r="E1224" s="5" t="s">
        <v>2020</v>
      </c>
      <c r="F1224" s="5" t="s">
        <v>2239</v>
      </c>
      <c r="G1224" s="5" t="s">
        <v>2256</v>
      </c>
      <c r="H1224" s="5" t="s">
        <v>2261</v>
      </c>
      <c r="I1224" s="5" t="s">
        <v>2260</v>
      </c>
      <c r="J1224" s="5" t="s">
        <v>2266</v>
      </c>
      <c r="K1224" s="8">
        <v>1</v>
      </c>
      <c r="L1224" s="9">
        <v>190</v>
      </c>
      <c r="M1224" s="10">
        <v>0.1</v>
      </c>
      <c r="N1224" s="9">
        <f t="shared" si="238"/>
        <v>190</v>
      </c>
      <c r="O1224" s="9">
        <f t="shared" si="228"/>
        <v>171</v>
      </c>
      <c r="P1224" s="5" t="s">
        <v>2269</v>
      </c>
      <c r="Q1224" s="5" t="s">
        <v>2272</v>
      </c>
      <c r="R1224" s="5" t="s">
        <v>2278</v>
      </c>
      <c r="S1224" s="5" t="s">
        <v>2286</v>
      </c>
      <c r="T1224" s="5" t="s">
        <v>2288</v>
      </c>
      <c r="U1224" s="8">
        <v>3</v>
      </c>
      <c r="V1224" s="19">
        <v>244</v>
      </c>
      <c r="W1224" s="19">
        <v>35</v>
      </c>
      <c r="X1224" s="9">
        <v>103.69</v>
      </c>
      <c r="Y1224" s="9">
        <f t="shared" si="229"/>
        <v>67.31</v>
      </c>
      <c r="Z1224" s="5" t="s">
        <v>2292</v>
      </c>
      <c r="AA1224" s="5" t="s">
        <v>2297</v>
      </c>
      <c r="AB1224" s="9">
        <f t="shared" si="230"/>
        <v>190</v>
      </c>
      <c r="AC1224" s="9">
        <f t="shared" si="231"/>
        <v>19</v>
      </c>
      <c r="AD1224" s="9">
        <f t="shared" si="232"/>
        <v>171</v>
      </c>
      <c r="AE1224" s="9">
        <f t="shared" si="233"/>
        <v>103.69</v>
      </c>
      <c r="AF1224" s="9">
        <f t="shared" si="239"/>
        <v>67.31</v>
      </c>
      <c r="AG1224" s="8">
        <f t="shared" si="234"/>
        <v>2024</v>
      </c>
      <c r="AH1224" s="8">
        <f t="shared" si="235"/>
        <v>3</v>
      </c>
      <c r="AI1224" s="5" t="str">
        <f t="shared" si="236"/>
        <v>Mar</v>
      </c>
      <c r="AJ1224" s="5" t="str">
        <f t="shared" si="237"/>
        <v>Friday</v>
      </c>
    </row>
    <row r="1225" spans="1:36" x14ac:dyDescent="0.3">
      <c r="A1225" s="5" t="s">
        <v>1259</v>
      </c>
      <c r="B1225" s="6">
        <v>45473</v>
      </c>
      <c r="C1225" s="7">
        <v>0.88888888888888884</v>
      </c>
      <c r="D1225" s="5" t="s">
        <v>1907</v>
      </c>
      <c r="E1225" s="5" t="s">
        <v>2122</v>
      </c>
      <c r="F1225" s="5" t="s">
        <v>2239</v>
      </c>
      <c r="G1225" s="5" t="s">
        <v>2249</v>
      </c>
      <c r="H1225" s="5" t="s">
        <v>2257</v>
      </c>
      <c r="I1225" s="5" t="s">
        <v>2263</v>
      </c>
      <c r="J1225" s="5" t="s">
        <v>2266</v>
      </c>
      <c r="K1225" s="8">
        <v>2</v>
      </c>
      <c r="L1225" s="9">
        <v>155</v>
      </c>
      <c r="M1225" s="10">
        <v>0.05</v>
      </c>
      <c r="N1225" s="9">
        <f t="shared" si="238"/>
        <v>310</v>
      </c>
      <c r="O1225" s="9">
        <f t="shared" si="228"/>
        <v>294.5</v>
      </c>
      <c r="P1225" s="5" t="s">
        <v>2268</v>
      </c>
      <c r="Q1225" s="5" t="s">
        <v>2271</v>
      </c>
      <c r="R1225" s="5" t="s">
        <v>2274</v>
      </c>
      <c r="S1225" s="5" t="s">
        <v>2283</v>
      </c>
      <c r="T1225" s="5" t="s">
        <v>2289</v>
      </c>
      <c r="U1225" s="19">
        <v>3</v>
      </c>
      <c r="V1225" s="8">
        <v>330</v>
      </c>
      <c r="W1225" s="8">
        <v>15</v>
      </c>
      <c r="X1225" s="9">
        <v>83.34</v>
      </c>
      <c r="Y1225" s="9">
        <f t="shared" si="229"/>
        <v>127.82</v>
      </c>
      <c r="Z1225" s="5" t="s">
        <v>2294</v>
      </c>
      <c r="AA1225" s="5" t="s">
        <v>2299</v>
      </c>
      <c r="AB1225" s="9">
        <f t="shared" si="230"/>
        <v>310</v>
      </c>
      <c r="AC1225" s="9">
        <f t="shared" si="231"/>
        <v>15.5</v>
      </c>
      <c r="AD1225" s="9">
        <f t="shared" si="232"/>
        <v>294.5</v>
      </c>
      <c r="AE1225" s="9">
        <f t="shared" si="233"/>
        <v>166.68</v>
      </c>
      <c r="AF1225" s="9">
        <f t="shared" si="239"/>
        <v>127.82</v>
      </c>
      <c r="AG1225" s="8">
        <f t="shared" si="234"/>
        <v>2024</v>
      </c>
      <c r="AH1225" s="8">
        <f t="shared" si="235"/>
        <v>6</v>
      </c>
      <c r="AI1225" s="5" t="str">
        <f t="shared" si="236"/>
        <v>Jun</v>
      </c>
      <c r="AJ1225" s="5" t="str">
        <f t="shared" si="237"/>
        <v>Sunday</v>
      </c>
    </row>
    <row r="1226" spans="1:36" x14ac:dyDescent="0.3">
      <c r="A1226" s="5" t="s">
        <v>1260</v>
      </c>
      <c r="B1226" s="6">
        <v>45611</v>
      </c>
      <c r="C1226" s="7">
        <v>0.47222222222222221</v>
      </c>
      <c r="D1226" s="5" t="s">
        <v>1878</v>
      </c>
      <c r="E1226" s="5" t="s">
        <v>1951</v>
      </c>
      <c r="F1226" s="5" t="s">
        <v>2239</v>
      </c>
      <c r="G1226" s="5" t="s">
        <v>2252</v>
      </c>
      <c r="H1226" s="5" t="s">
        <v>2257</v>
      </c>
      <c r="I1226" s="5" t="s">
        <v>2262</v>
      </c>
      <c r="J1226" s="5" t="s">
        <v>2264</v>
      </c>
      <c r="K1226" s="8">
        <v>2</v>
      </c>
      <c r="L1226" s="9">
        <v>90</v>
      </c>
      <c r="M1226" s="10">
        <v>0.1</v>
      </c>
      <c r="N1226" s="9">
        <f t="shared" si="238"/>
        <v>180</v>
      </c>
      <c r="O1226" s="9">
        <f t="shared" si="228"/>
        <v>162</v>
      </c>
      <c r="P1226" s="5" t="s">
        <v>1761</v>
      </c>
      <c r="Q1226" s="5" t="s">
        <v>2270</v>
      </c>
      <c r="R1226" s="5" t="s">
        <v>2273</v>
      </c>
      <c r="S1226" s="5" t="s">
        <v>2283</v>
      </c>
      <c r="T1226" s="5" t="s">
        <v>2288</v>
      </c>
      <c r="U1226" s="19">
        <v>3</v>
      </c>
      <c r="V1226" s="8">
        <v>406</v>
      </c>
      <c r="W1226" s="8">
        <v>48</v>
      </c>
      <c r="X1226" s="9">
        <v>33.96</v>
      </c>
      <c r="Y1226" s="9">
        <f t="shared" si="229"/>
        <v>94.08</v>
      </c>
      <c r="Z1226" s="5" t="s">
        <v>1761</v>
      </c>
      <c r="AA1226" s="5" t="s">
        <v>2298</v>
      </c>
      <c r="AB1226" s="9">
        <f t="shared" si="230"/>
        <v>180</v>
      </c>
      <c r="AC1226" s="9">
        <f t="shared" si="231"/>
        <v>18</v>
      </c>
      <c r="AD1226" s="9">
        <f t="shared" si="232"/>
        <v>162</v>
      </c>
      <c r="AE1226" s="9">
        <f t="shared" si="233"/>
        <v>67.92</v>
      </c>
      <c r="AF1226" s="9">
        <f t="shared" si="239"/>
        <v>94.08</v>
      </c>
      <c r="AG1226" s="8">
        <f t="shared" si="234"/>
        <v>2024</v>
      </c>
      <c r="AH1226" s="8">
        <f t="shared" si="235"/>
        <v>11</v>
      </c>
      <c r="AI1226" s="5" t="str">
        <f t="shared" si="236"/>
        <v>Nov</v>
      </c>
      <c r="AJ1226" s="5" t="str">
        <f t="shared" si="237"/>
        <v>Friday</v>
      </c>
    </row>
    <row r="1227" spans="1:36" x14ac:dyDescent="0.3">
      <c r="A1227" s="5" t="s">
        <v>1261</v>
      </c>
      <c r="B1227" s="6">
        <v>45326</v>
      </c>
      <c r="C1227" s="7">
        <v>0.63194444444444442</v>
      </c>
      <c r="D1227" s="5" t="s">
        <v>1875</v>
      </c>
      <c r="E1227" s="5" t="s">
        <v>1957</v>
      </c>
      <c r="F1227" s="5" t="s">
        <v>2240</v>
      </c>
      <c r="G1227" s="5" t="s">
        <v>2244</v>
      </c>
      <c r="H1227" s="5" t="s">
        <v>2257</v>
      </c>
      <c r="I1227" s="5" t="s">
        <v>2262</v>
      </c>
      <c r="J1227" s="5" t="s">
        <v>2265</v>
      </c>
      <c r="K1227" s="8">
        <v>4</v>
      </c>
      <c r="L1227" s="9">
        <v>115</v>
      </c>
      <c r="M1227" s="10">
        <v>0</v>
      </c>
      <c r="N1227" s="9">
        <f t="shared" si="238"/>
        <v>460</v>
      </c>
      <c r="O1227" s="9">
        <f t="shared" si="228"/>
        <v>460</v>
      </c>
      <c r="P1227" s="5" t="s">
        <v>2267</v>
      </c>
      <c r="Q1227" s="5" t="s">
        <v>2271</v>
      </c>
      <c r="R1227" s="5" t="s">
        <v>2279</v>
      </c>
      <c r="S1227" s="5" t="s">
        <v>2285</v>
      </c>
      <c r="T1227" s="5" t="s">
        <v>2288</v>
      </c>
      <c r="U1227" s="8">
        <v>4</v>
      </c>
      <c r="V1227" s="8">
        <v>229</v>
      </c>
      <c r="W1227" s="8">
        <v>36</v>
      </c>
      <c r="X1227" s="9">
        <v>68.56</v>
      </c>
      <c r="Y1227" s="9">
        <f t="shared" si="229"/>
        <v>185.76</v>
      </c>
      <c r="Z1227" s="5" t="s">
        <v>2293</v>
      </c>
      <c r="AA1227" s="5" t="s">
        <v>2297</v>
      </c>
      <c r="AB1227" s="9">
        <f t="shared" si="230"/>
        <v>460</v>
      </c>
      <c r="AC1227" s="9">
        <f t="shared" si="231"/>
        <v>0</v>
      </c>
      <c r="AD1227" s="9">
        <f t="shared" si="232"/>
        <v>460</v>
      </c>
      <c r="AE1227" s="9">
        <f t="shared" si="233"/>
        <v>274.24</v>
      </c>
      <c r="AF1227" s="9">
        <f t="shared" si="239"/>
        <v>185.76</v>
      </c>
      <c r="AG1227" s="8">
        <f t="shared" si="234"/>
        <v>2024</v>
      </c>
      <c r="AH1227" s="8">
        <f t="shared" si="235"/>
        <v>2</v>
      </c>
      <c r="AI1227" s="5" t="str">
        <f t="shared" si="236"/>
        <v>Feb</v>
      </c>
      <c r="AJ1227" s="5" t="str">
        <f t="shared" si="237"/>
        <v>Sunday</v>
      </c>
    </row>
    <row r="1228" spans="1:36" x14ac:dyDescent="0.3">
      <c r="A1228" s="5" t="s">
        <v>1262</v>
      </c>
      <c r="B1228" s="6">
        <v>45376</v>
      </c>
      <c r="C1228" s="7">
        <v>0.86458333333333337</v>
      </c>
      <c r="D1228" s="5" t="s">
        <v>1850</v>
      </c>
      <c r="E1228" s="5" t="s">
        <v>2187</v>
      </c>
      <c r="F1228" s="5" t="s">
        <v>2239</v>
      </c>
      <c r="G1228" s="5" t="s">
        <v>2246</v>
      </c>
      <c r="H1228" s="5" t="s">
        <v>2259</v>
      </c>
      <c r="I1228" s="5" t="s">
        <v>2262</v>
      </c>
      <c r="J1228" s="5" t="s">
        <v>2264</v>
      </c>
      <c r="K1228" s="8">
        <v>2</v>
      </c>
      <c r="L1228" s="9">
        <v>95</v>
      </c>
      <c r="M1228" s="10">
        <v>0.05</v>
      </c>
      <c r="N1228" s="9">
        <f t="shared" si="238"/>
        <v>190</v>
      </c>
      <c r="O1228" s="9">
        <f t="shared" si="228"/>
        <v>180.5</v>
      </c>
      <c r="P1228" s="5" t="s">
        <v>2269</v>
      </c>
      <c r="Q1228" s="5" t="s">
        <v>2272</v>
      </c>
      <c r="R1228" s="5" t="s">
        <v>2276</v>
      </c>
      <c r="S1228" s="5" t="s">
        <v>2280</v>
      </c>
      <c r="T1228" s="5" t="s">
        <v>2288</v>
      </c>
      <c r="U1228" s="8">
        <v>5</v>
      </c>
      <c r="V1228" s="8">
        <v>379</v>
      </c>
      <c r="W1228" s="8">
        <v>29</v>
      </c>
      <c r="X1228" s="9">
        <v>48.59</v>
      </c>
      <c r="Y1228" s="9">
        <f t="shared" si="229"/>
        <v>83.32</v>
      </c>
      <c r="Z1228" s="5" t="s">
        <v>2293</v>
      </c>
      <c r="AA1228" s="5" t="s">
        <v>2298</v>
      </c>
      <c r="AB1228" s="9">
        <f t="shared" si="230"/>
        <v>190</v>
      </c>
      <c r="AC1228" s="9">
        <f t="shared" si="231"/>
        <v>9.5</v>
      </c>
      <c r="AD1228" s="9">
        <f t="shared" si="232"/>
        <v>180.5</v>
      </c>
      <c r="AE1228" s="9">
        <f t="shared" si="233"/>
        <v>97.18</v>
      </c>
      <c r="AF1228" s="9">
        <f t="shared" si="239"/>
        <v>83.32</v>
      </c>
      <c r="AG1228" s="8">
        <f t="shared" si="234"/>
        <v>2024</v>
      </c>
      <c r="AH1228" s="8">
        <f t="shared" si="235"/>
        <v>3</v>
      </c>
      <c r="AI1228" s="5" t="str">
        <f t="shared" si="236"/>
        <v>Mar</v>
      </c>
      <c r="AJ1228" s="5" t="str">
        <f t="shared" si="237"/>
        <v>Monday</v>
      </c>
    </row>
    <row r="1229" spans="1:36" x14ac:dyDescent="0.3">
      <c r="A1229" s="5" t="s">
        <v>1263</v>
      </c>
      <c r="B1229" s="6">
        <v>45401</v>
      </c>
      <c r="C1229" s="7">
        <v>0.875</v>
      </c>
      <c r="D1229" s="5" t="s">
        <v>1812</v>
      </c>
      <c r="E1229" s="5" t="s">
        <v>2131</v>
      </c>
      <c r="F1229" s="5" t="s">
        <v>2238</v>
      </c>
      <c r="G1229" s="5" t="s">
        <v>2252</v>
      </c>
      <c r="H1229" s="5" t="s">
        <v>2257</v>
      </c>
      <c r="I1229" s="5" t="s">
        <v>2262</v>
      </c>
      <c r="J1229" s="5" t="s">
        <v>2265</v>
      </c>
      <c r="K1229" s="8">
        <v>1</v>
      </c>
      <c r="L1229" s="9">
        <v>90</v>
      </c>
      <c r="M1229" s="10">
        <v>0.1</v>
      </c>
      <c r="N1229" s="9">
        <f t="shared" si="238"/>
        <v>90</v>
      </c>
      <c r="O1229" s="9">
        <f t="shared" si="228"/>
        <v>81</v>
      </c>
      <c r="P1229" s="5" t="s">
        <v>2267</v>
      </c>
      <c r="Q1229" s="5" t="s">
        <v>2270</v>
      </c>
      <c r="R1229" s="5" t="s">
        <v>2278</v>
      </c>
      <c r="S1229" s="5" t="s">
        <v>2284</v>
      </c>
      <c r="T1229" s="5" t="s">
        <v>2289</v>
      </c>
      <c r="U1229" s="8">
        <v>3</v>
      </c>
      <c r="V1229" s="8">
        <v>267</v>
      </c>
      <c r="W1229" s="8">
        <v>33</v>
      </c>
      <c r="X1229" s="9">
        <v>46.24</v>
      </c>
      <c r="Y1229" s="9">
        <f t="shared" si="229"/>
        <v>34.76</v>
      </c>
      <c r="Z1229" s="5" t="s">
        <v>2291</v>
      </c>
      <c r="AA1229" s="5" t="s">
        <v>2296</v>
      </c>
      <c r="AB1229" s="9">
        <f t="shared" si="230"/>
        <v>90</v>
      </c>
      <c r="AC1229" s="9">
        <f t="shared" si="231"/>
        <v>9</v>
      </c>
      <c r="AD1229" s="9">
        <f t="shared" si="232"/>
        <v>81</v>
      </c>
      <c r="AE1229" s="9">
        <f t="shared" si="233"/>
        <v>46.24</v>
      </c>
      <c r="AF1229" s="9">
        <f t="shared" si="239"/>
        <v>34.76</v>
      </c>
      <c r="AG1229" s="8">
        <f t="shared" si="234"/>
        <v>2024</v>
      </c>
      <c r="AH1229" s="8">
        <f t="shared" si="235"/>
        <v>4</v>
      </c>
      <c r="AI1229" s="5" t="str">
        <f t="shared" si="236"/>
        <v>Apr</v>
      </c>
      <c r="AJ1229" s="5" t="str">
        <f t="shared" si="237"/>
        <v>Friday</v>
      </c>
    </row>
    <row r="1230" spans="1:36" x14ac:dyDescent="0.3">
      <c r="A1230" s="5" t="s">
        <v>1264</v>
      </c>
      <c r="B1230" s="6">
        <v>45633</v>
      </c>
      <c r="C1230" s="7">
        <v>0.80555555555555558</v>
      </c>
      <c r="D1230" s="5" t="s">
        <v>1801</v>
      </c>
      <c r="E1230" s="5" t="s">
        <v>2001</v>
      </c>
      <c r="F1230" s="5" t="s">
        <v>2239</v>
      </c>
      <c r="G1230" s="5" t="s">
        <v>2243</v>
      </c>
      <c r="H1230" s="5" t="s">
        <v>2258</v>
      </c>
      <c r="I1230" s="5" t="s">
        <v>2260</v>
      </c>
      <c r="J1230" s="5" t="s">
        <v>1761</v>
      </c>
      <c r="K1230" s="8">
        <v>1</v>
      </c>
      <c r="L1230" s="9">
        <v>70</v>
      </c>
      <c r="M1230" s="10">
        <v>0.1</v>
      </c>
      <c r="N1230" s="9">
        <f t="shared" si="238"/>
        <v>70</v>
      </c>
      <c r="O1230" s="9">
        <f t="shared" si="228"/>
        <v>63</v>
      </c>
      <c r="P1230" s="5" t="s">
        <v>2267</v>
      </c>
      <c r="Q1230" s="5" t="s">
        <v>2272</v>
      </c>
      <c r="R1230" s="5" t="s">
        <v>2277</v>
      </c>
      <c r="S1230" s="5" t="s">
        <v>2283</v>
      </c>
      <c r="T1230" s="5" t="s">
        <v>2288</v>
      </c>
      <c r="U1230" s="8">
        <v>2</v>
      </c>
      <c r="V1230" s="8">
        <v>426</v>
      </c>
      <c r="W1230" s="8">
        <v>15</v>
      </c>
      <c r="X1230" s="9">
        <v>26.57</v>
      </c>
      <c r="Y1230" s="9">
        <f t="shared" si="229"/>
        <v>36.43</v>
      </c>
      <c r="Z1230" s="5" t="s">
        <v>1761</v>
      </c>
      <c r="AA1230" s="5" t="s">
        <v>2298</v>
      </c>
      <c r="AB1230" s="9">
        <f t="shared" si="230"/>
        <v>70</v>
      </c>
      <c r="AC1230" s="9">
        <f t="shared" si="231"/>
        <v>7</v>
      </c>
      <c r="AD1230" s="9">
        <f t="shared" si="232"/>
        <v>63</v>
      </c>
      <c r="AE1230" s="9">
        <f t="shared" si="233"/>
        <v>26.57</v>
      </c>
      <c r="AF1230" s="9">
        <f t="shared" si="239"/>
        <v>36.43</v>
      </c>
      <c r="AG1230" s="8">
        <f t="shared" si="234"/>
        <v>2024</v>
      </c>
      <c r="AH1230" s="8">
        <f t="shared" si="235"/>
        <v>12</v>
      </c>
      <c r="AI1230" s="5" t="str">
        <f t="shared" si="236"/>
        <v>Dec</v>
      </c>
      <c r="AJ1230" s="5" t="str">
        <f t="shared" si="237"/>
        <v>Saturday</v>
      </c>
    </row>
    <row r="1231" spans="1:36" x14ac:dyDescent="0.3">
      <c r="A1231" s="5" t="s">
        <v>1265</v>
      </c>
      <c r="B1231" s="6">
        <v>45590</v>
      </c>
      <c r="C1231" s="7">
        <v>0.89583333333333337</v>
      </c>
      <c r="D1231" s="5" t="s">
        <v>1780</v>
      </c>
      <c r="E1231" s="5" t="s">
        <v>2223</v>
      </c>
      <c r="F1231" s="5" t="s">
        <v>2239</v>
      </c>
      <c r="G1231" s="5" t="s">
        <v>2251</v>
      </c>
      <c r="H1231" s="5" t="s">
        <v>2258</v>
      </c>
      <c r="I1231" s="5" t="s">
        <v>2260</v>
      </c>
      <c r="J1231" s="5" t="s">
        <v>2266</v>
      </c>
      <c r="K1231" s="8">
        <v>3</v>
      </c>
      <c r="L1231" s="9">
        <v>110</v>
      </c>
      <c r="M1231" s="10">
        <v>0</v>
      </c>
      <c r="N1231" s="9">
        <f t="shared" si="238"/>
        <v>330</v>
      </c>
      <c r="O1231" s="9">
        <f t="shared" si="228"/>
        <v>330</v>
      </c>
      <c r="P1231" s="5" t="s">
        <v>2267</v>
      </c>
      <c r="Q1231" s="5" t="s">
        <v>2271</v>
      </c>
      <c r="R1231" s="5" t="s">
        <v>2277</v>
      </c>
      <c r="S1231" s="5" t="s">
        <v>2284</v>
      </c>
      <c r="T1231" s="5" t="s">
        <v>2289</v>
      </c>
      <c r="U1231" s="8">
        <v>5</v>
      </c>
      <c r="V1231" s="8">
        <v>495</v>
      </c>
      <c r="W1231" s="19">
        <v>37</v>
      </c>
      <c r="X1231" s="9">
        <v>54.34</v>
      </c>
      <c r="Y1231" s="9">
        <f t="shared" si="229"/>
        <v>166.98</v>
      </c>
      <c r="Z1231" s="5" t="s">
        <v>2293</v>
      </c>
      <c r="AA1231" s="5" t="s">
        <v>2296</v>
      </c>
      <c r="AB1231" s="9">
        <f t="shared" si="230"/>
        <v>330</v>
      </c>
      <c r="AC1231" s="9">
        <f t="shared" si="231"/>
        <v>0</v>
      </c>
      <c r="AD1231" s="9">
        <f t="shared" si="232"/>
        <v>330</v>
      </c>
      <c r="AE1231" s="9">
        <f t="shared" si="233"/>
        <v>163.02000000000001</v>
      </c>
      <c r="AF1231" s="9">
        <f t="shared" si="239"/>
        <v>166.98</v>
      </c>
      <c r="AG1231" s="8">
        <f t="shared" si="234"/>
        <v>2024</v>
      </c>
      <c r="AH1231" s="8">
        <f t="shared" si="235"/>
        <v>10</v>
      </c>
      <c r="AI1231" s="5" t="str">
        <f t="shared" si="236"/>
        <v>Oct</v>
      </c>
      <c r="AJ1231" s="5" t="str">
        <f t="shared" si="237"/>
        <v>Friday</v>
      </c>
    </row>
    <row r="1232" spans="1:36" x14ac:dyDescent="0.3">
      <c r="A1232" s="5" t="s">
        <v>1266</v>
      </c>
      <c r="B1232" s="6">
        <v>45429</v>
      </c>
      <c r="C1232" s="7">
        <v>0.63541666666666663</v>
      </c>
      <c r="D1232" s="5" t="s">
        <v>1861</v>
      </c>
      <c r="E1232" s="5" t="s">
        <v>2202</v>
      </c>
      <c r="F1232" s="5" t="s">
        <v>2240</v>
      </c>
      <c r="G1232" s="5" t="s">
        <v>2244</v>
      </c>
      <c r="H1232" s="5" t="s">
        <v>2257</v>
      </c>
      <c r="I1232" s="5" t="s">
        <v>2262</v>
      </c>
      <c r="J1232" s="5" t="s">
        <v>2266</v>
      </c>
      <c r="K1232" s="8">
        <v>2</v>
      </c>
      <c r="L1232" s="9">
        <v>120</v>
      </c>
      <c r="M1232" s="10">
        <v>0</v>
      </c>
      <c r="N1232" s="9">
        <f t="shared" si="238"/>
        <v>240</v>
      </c>
      <c r="O1232" s="9">
        <f t="shared" si="228"/>
        <v>240</v>
      </c>
      <c r="P1232" s="5" t="s">
        <v>2267</v>
      </c>
      <c r="Q1232" s="5" t="s">
        <v>2272</v>
      </c>
      <c r="R1232" s="5" t="s">
        <v>2274</v>
      </c>
      <c r="S1232" s="5" t="s">
        <v>2281</v>
      </c>
      <c r="T1232" s="5" t="s">
        <v>2290</v>
      </c>
      <c r="U1232" s="8">
        <v>1</v>
      </c>
      <c r="V1232" s="8">
        <v>236</v>
      </c>
      <c r="W1232" s="8">
        <v>26</v>
      </c>
      <c r="X1232" s="9">
        <v>47.14</v>
      </c>
      <c r="Y1232" s="9">
        <f t="shared" si="229"/>
        <v>145.72</v>
      </c>
      <c r="Z1232" s="5" t="s">
        <v>2291</v>
      </c>
      <c r="AA1232" s="5" t="s">
        <v>2299</v>
      </c>
      <c r="AB1232" s="9">
        <f t="shared" si="230"/>
        <v>240</v>
      </c>
      <c r="AC1232" s="9">
        <f t="shared" si="231"/>
        <v>0</v>
      </c>
      <c r="AD1232" s="9">
        <f t="shared" si="232"/>
        <v>240</v>
      </c>
      <c r="AE1232" s="9">
        <f t="shared" si="233"/>
        <v>94.28</v>
      </c>
      <c r="AF1232" s="9">
        <f t="shared" si="239"/>
        <v>145.72</v>
      </c>
      <c r="AG1232" s="8">
        <f t="shared" si="234"/>
        <v>2024</v>
      </c>
      <c r="AH1232" s="8">
        <f t="shared" si="235"/>
        <v>5</v>
      </c>
      <c r="AI1232" s="5" t="str">
        <f t="shared" si="236"/>
        <v>May</v>
      </c>
      <c r="AJ1232" s="5" t="str">
        <f t="shared" si="237"/>
        <v>Friday</v>
      </c>
    </row>
    <row r="1233" spans="1:36" x14ac:dyDescent="0.3">
      <c r="A1233" s="5" t="s">
        <v>1267</v>
      </c>
      <c r="B1233" s="6">
        <v>45370</v>
      </c>
      <c r="C1233" s="7">
        <v>0.47916666666666669</v>
      </c>
      <c r="D1233" s="5" t="s">
        <v>1862</v>
      </c>
      <c r="E1233" s="5" t="s">
        <v>1947</v>
      </c>
      <c r="F1233" s="5" t="s">
        <v>2240</v>
      </c>
      <c r="G1233" s="5" t="s">
        <v>2243</v>
      </c>
      <c r="H1233" s="5" t="s">
        <v>2258</v>
      </c>
      <c r="I1233" s="5" t="s">
        <v>2260</v>
      </c>
      <c r="J1233" s="5" t="s">
        <v>2264</v>
      </c>
      <c r="K1233" s="8">
        <v>2</v>
      </c>
      <c r="L1233" s="9">
        <v>75</v>
      </c>
      <c r="M1233" s="10">
        <v>0</v>
      </c>
      <c r="N1233" s="9">
        <f t="shared" si="238"/>
        <v>150</v>
      </c>
      <c r="O1233" s="9">
        <f t="shared" si="228"/>
        <v>150</v>
      </c>
      <c r="P1233" s="5" t="s">
        <v>2269</v>
      </c>
      <c r="Q1233" s="5" t="s">
        <v>1761</v>
      </c>
      <c r="R1233" s="5" t="s">
        <v>2279</v>
      </c>
      <c r="S1233" s="5" t="s">
        <v>2284</v>
      </c>
      <c r="T1233" s="5" t="s">
        <v>2288</v>
      </c>
      <c r="U1233" s="19">
        <v>3</v>
      </c>
      <c r="V1233" s="8">
        <v>112</v>
      </c>
      <c r="W1233" s="8">
        <v>25</v>
      </c>
      <c r="X1233" s="9">
        <v>36.58</v>
      </c>
      <c r="Y1233" s="9">
        <f t="shared" si="229"/>
        <v>76.84</v>
      </c>
      <c r="Z1233" s="5" t="s">
        <v>1761</v>
      </c>
      <c r="AA1233" s="5" t="s">
        <v>2296</v>
      </c>
      <c r="AB1233" s="9">
        <f t="shared" si="230"/>
        <v>150</v>
      </c>
      <c r="AC1233" s="9">
        <f t="shared" si="231"/>
        <v>0</v>
      </c>
      <c r="AD1233" s="9">
        <f t="shared" si="232"/>
        <v>150</v>
      </c>
      <c r="AE1233" s="9">
        <f t="shared" si="233"/>
        <v>73.16</v>
      </c>
      <c r="AF1233" s="9">
        <f t="shared" si="239"/>
        <v>76.84</v>
      </c>
      <c r="AG1233" s="8">
        <f t="shared" si="234"/>
        <v>2024</v>
      </c>
      <c r="AH1233" s="8">
        <f t="shared" si="235"/>
        <v>3</v>
      </c>
      <c r="AI1233" s="5" t="str">
        <f t="shared" si="236"/>
        <v>Mar</v>
      </c>
      <c r="AJ1233" s="5" t="str">
        <f t="shared" si="237"/>
        <v>Tuesday</v>
      </c>
    </row>
    <row r="1234" spans="1:36" x14ac:dyDescent="0.3">
      <c r="A1234" s="5" t="s">
        <v>1268</v>
      </c>
      <c r="B1234" s="6">
        <v>45539</v>
      </c>
      <c r="C1234" s="7">
        <v>0.49305555555555558</v>
      </c>
      <c r="D1234" s="5" t="s">
        <v>1939</v>
      </c>
      <c r="E1234" s="5" t="s">
        <v>1761</v>
      </c>
      <c r="F1234" s="5" t="s">
        <v>2238</v>
      </c>
      <c r="G1234" s="5" t="s">
        <v>2246</v>
      </c>
      <c r="H1234" s="5" t="s">
        <v>2259</v>
      </c>
      <c r="I1234" s="5" t="s">
        <v>2262</v>
      </c>
      <c r="J1234" s="5" t="s">
        <v>1761</v>
      </c>
      <c r="K1234" s="8">
        <v>2</v>
      </c>
      <c r="L1234" s="9">
        <v>95</v>
      </c>
      <c r="M1234" s="10">
        <v>0.1</v>
      </c>
      <c r="N1234" s="9">
        <f t="shared" si="238"/>
        <v>190</v>
      </c>
      <c r="O1234" s="9">
        <f t="shared" si="228"/>
        <v>171</v>
      </c>
      <c r="P1234" s="5" t="s">
        <v>2269</v>
      </c>
      <c r="Q1234" s="5" t="s">
        <v>2270</v>
      </c>
      <c r="R1234" s="5" t="s">
        <v>2277</v>
      </c>
      <c r="S1234" s="5" t="s">
        <v>2286</v>
      </c>
      <c r="T1234" s="5" t="s">
        <v>2288</v>
      </c>
      <c r="U1234" s="8">
        <v>2</v>
      </c>
      <c r="V1234" s="8">
        <v>143</v>
      </c>
      <c r="W1234" s="8">
        <v>20</v>
      </c>
      <c r="X1234" s="9">
        <v>40.729999999999997</v>
      </c>
      <c r="Y1234" s="9">
        <f t="shared" si="229"/>
        <v>89.54</v>
      </c>
      <c r="Z1234" s="5" t="s">
        <v>1761</v>
      </c>
      <c r="AA1234" s="5" t="s">
        <v>2298</v>
      </c>
      <c r="AB1234" s="9">
        <f t="shared" si="230"/>
        <v>190</v>
      </c>
      <c r="AC1234" s="9">
        <f t="shared" si="231"/>
        <v>19</v>
      </c>
      <c r="AD1234" s="9">
        <f t="shared" si="232"/>
        <v>171</v>
      </c>
      <c r="AE1234" s="9">
        <f t="shared" si="233"/>
        <v>81.459999999999994</v>
      </c>
      <c r="AF1234" s="9">
        <f t="shared" si="239"/>
        <v>89.54</v>
      </c>
      <c r="AG1234" s="8">
        <f t="shared" si="234"/>
        <v>2024</v>
      </c>
      <c r="AH1234" s="8">
        <f t="shared" si="235"/>
        <v>9</v>
      </c>
      <c r="AI1234" s="5" t="str">
        <f t="shared" si="236"/>
        <v>Sep</v>
      </c>
      <c r="AJ1234" s="5" t="str">
        <f t="shared" si="237"/>
        <v>Wednesday</v>
      </c>
    </row>
    <row r="1235" spans="1:36" x14ac:dyDescent="0.3">
      <c r="A1235" s="5" t="s">
        <v>1269</v>
      </c>
      <c r="B1235" s="6">
        <v>45578</v>
      </c>
      <c r="C1235" s="7">
        <v>0.54861111111111116</v>
      </c>
      <c r="D1235" s="5" t="s">
        <v>1927</v>
      </c>
      <c r="E1235" s="5" t="s">
        <v>2160</v>
      </c>
      <c r="F1235" s="5" t="s">
        <v>2240</v>
      </c>
      <c r="G1235" s="5" t="s">
        <v>2255</v>
      </c>
      <c r="H1235" s="5" t="s">
        <v>2260</v>
      </c>
      <c r="I1235" s="5" t="s">
        <v>2260</v>
      </c>
      <c r="J1235" s="5" t="s">
        <v>2265</v>
      </c>
      <c r="K1235" s="8">
        <v>1</v>
      </c>
      <c r="L1235" s="9">
        <v>185</v>
      </c>
      <c r="M1235" s="10">
        <v>0.15</v>
      </c>
      <c r="N1235" s="9">
        <f t="shared" si="238"/>
        <v>185</v>
      </c>
      <c r="O1235" s="9">
        <f t="shared" si="228"/>
        <v>157.25</v>
      </c>
      <c r="P1235" s="5" t="s">
        <v>2269</v>
      </c>
      <c r="Q1235" s="5" t="s">
        <v>2270</v>
      </c>
      <c r="R1235" s="5" t="s">
        <v>2279</v>
      </c>
      <c r="S1235" s="5" t="s">
        <v>2280</v>
      </c>
      <c r="T1235" s="5" t="s">
        <v>2289</v>
      </c>
      <c r="U1235" s="8">
        <v>5</v>
      </c>
      <c r="V1235" s="8">
        <v>62</v>
      </c>
      <c r="W1235" s="8">
        <v>35</v>
      </c>
      <c r="X1235" s="9">
        <v>68.25</v>
      </c>
      <c r="Y1235" s="9">
        <f t="shared" si="229"/>
        <v>89</v>
      </c>
      <c r="Z1235" s="5" t="s">
        <v>2294</v>
      </c>
      <c r="AA1235" s="5" t="s">
        <v>2296</v>
      </c>
      <c r="AB1235" s="9">
        <f t="shared" si="230"/>
        <v>185</v>
      </c>
      <c r="AC1235" s="9">
        <f t="shared" si="231"/>
        <v>27.75</v>
      </c>
      <c r="AD1235" s="9">
        <f t="shared" si="232"/>
        <v>157.25</v>
      </c>
      <c r="AE1235" s="9">
        <f t="shared" si="233"/>
        <v>68.25</v>
      </c>
      <c r="AF1235" s="9">
        <f t="shared" si="239"/>
        <v>89</v>
      </c>
      <c r="AG1235" s="8">
        <f t="shared" si="234"/>
        <v>2024</v>
      </c>
      <c r="AH1235" s="8">
        <f t="shared" si="235"/>
        <v>10</v>
      </c>
      <c r="AI1235" s="5" t="str">
        <f t="shared" si="236"/>
        <v>Oct</v>
      </c>
      <c r="AJ1235" s="5" t="str">
        <f t="shared" si="237"/>
        <v>Sunday</v>
      </c>
    </row>
    <row r="1236" spans="1:36" x14ac:dyDescent="0.3">
      <c r="A1236" s="5" t="s">
        <v>1270</v>
      </c>
      <c r="B1236" s="6">
        <v>45426</v>
      </c>
      <c r="C1236" s="7">
        <v>0.36458333333333331</v>
      </c>
      <c r="D1236" s="5" t="s">
        <v>1870</v>
      </c>
      <c r="E1236" s="5" t="s">
        <v>2234</v>
      </c>
      <c r="F1236" s="5" t="s">
        <v>2238</v>
      </c>
      <c r="G1236" s="5" t="s">
        <v>2246</v>
      </c>
      <c r="H1236" s="5" t="s">
        <v>2259</v>
      </c>
      <c r="I1236" s="5" t="s">
        <v>2262</v>
      </c>
      <c r="J1236" s="5" t="s">
        <v>2266</v>
      </c>
      <c r="K1236" s="8">
        <v>1</v>
      </c>
      <c r="L1236" s="9">
        <v>95</v>
      </c>
      <c r="M1236" s="10">
        <v>0</v>
      </c>
      <c r="N1236" s="9">
        <f t="shared" si="238"/>
        <v>95</v>
      </c>
      <c r="O1236" s="9">
        <f t="shared" si="228"/>
        <v>95</v>
      </c>
      <c r="P1236" s="5" t="s">
        <v>1761</v>
      </c>
      <c r="Q1236" s="5" t="s">
        <v>2270</v>
      </c>
      <c r="R1236" s="5" t="s">
        <v>2273</v>
      </c>
      <c r="S1236" s="5" t="s">
        <v>2285</v>
      </c>
      <c r="T1236" s="5" t="s">
        <v>2288</v>
      </c>
      <c r="U1236" s="8">
        <v>2</v>
      </c>
      <c r="V1236" s="8">
        <v>433</v>
      </c>
      <c r="W1236" s="8">
        <v>43</v>
      </c>
      <c r="X1236" s="9">
        <v>39.020000000000003</v>
      </c>
      <c r="Y1236" s="9">
        <f t="shared" si="229"/>
        <v>55.98</v>
      </c>
      <c r="Z1236" s="5" t="s">
        <v>2294</v>
      </c>
      <c r="AA1236" s="5" t="s">
        <v>2296</v>
      </c>
      <c r="AB1236" s="9">
        <f t="shared" si="230"/>
        <v>95</v>
      </c>
      <c r="AC1236" s="9">
        <f t="shared" si="231"/>
        <v>0</v>
      </c>
      <c r="AD1236" s="9">
        <f t="shared" si="232"/>
        <v>95</v>
      </c>
      <c r="AE1236" s="9">
        <f t="shared" si="233"/>
        <v>39.020000000000003</v>
      </c>
      <c r="AF1236" s="9">
        <f t="shared" si="239"/>
        <v>55.98</v>
      </c>
      <c r="AG1236" s="8">
        <f t="shared" si="234"/>
        <v>2024</v>
      </c>
      <c r="AH1236" s="8">
        <f t="shared" si="235"/>
        <v>5</v>
      </c>
      <c r="AI1236" s="5" t="str">
        <f t="shared" si="236"/>
        <v>May</v>
      </c>
      <c r="AJ1236" s="5" t="str">
        <f t="shared" si="237"/>
        <v>Tuesday</v>
      </c>
    </row>
    <row r="1237" spans="1:36" x14ac:dyDescent="0.3">
      <c r="A1237" s="5" t="s">
        <v>1271</v>
      </c>
      <c r="B1237" s="6">
        <v>45365</v>
      </c>
      <c r="C1237" s="7">
        <v>0.52083333333333337</v>
      </c>
      <c r="D1237" s="5" t="s">
        <v>1882</v>
      </c>
      <c r="E1237" s="5" t="s">
        <v>2068</v>
      </c>
      <c r="F1237" s="5" t="s">
        <v>2240</v>
      </c>
      <c r="G1237" s="5" t="s">
        <v>2252</v>
      </c>
      <c r="H1237" s="5" t="s">
        <v>2257</v>
      </c>
      <c r="I1237" s="5" t="s">
        <v>2262</v>
      </c>
      <c r="J1237" s="5" t="s">
        <v>2265</v>
      </c>
      <c r="K1237" s="8">
        <v>1</v>
      </c>
      <c r="L1237" s="9">
        <v>100</v>
      </c>
      <c r="M1237" s="10">
        <v>0</v>
      </c>
      <c r="N1237" s="9">
        <f t="shared" si="238"/>
        <v>100</v>
      </c>
      <c r="O1237" s="9">
        <f t="shared" si="228"/>
        <v>100</v>
      </c>
      <c r="P1237" s="5" t="s">
        <v>2267</v>
      </c>
      <c r="Q1237" s="5" t="s">
        <v>1761</v>
      </c>
      <c r="R1237" s="5" t="s">
        <v>2279</v>
      </c>
      <c r="S1237" s="5" t="s">
        <v>2280</v>
      </c>
      <c r="T1237" s="5" t="s">
        <v>2289</v>
      </c>
      <c r="U1237" s="8">
        <v>4</v>
      </c>
      <c r="V1237" s="8">
        <v>185</v>
      </c>
      <c r="W1237" s="19">
        <v>36</v>
      </c>
      <c r="X1237" s="9">
        <v>35.99</v>
      </c>
      <c r="Y1237" s="9">
        <f t="shared" si="229"/>
        <v>64.009999999999991</v>
      </c>
      <c r="Z1237" s="5" t="s">
        <v>2292</v>
      </c>
      <c r="AA1237" s="5" t="s">
        <v>2299</v>
      </c>
      <c r="AB1237" s="9">
        <f t="shared" si="230"/>
        <v>100</v>
      </c>
      <c r="AC1237" s="9">
        <f t="shared" si="231"/>
        <v>0</v>
      </c>
      <c r="AD1237" s="9">
        <f t="shared" si="232"/>
        <v>100</v>
      </c>
      <c r="AE1237" s="9">
        <f t="shared" si="233"/>
        <v>35.99</v>
      </c>
      <c r="AF1237" s="9">
        <f t="shared" si="239"/>
        <v>64.009999999999991</v>
      </c>
      <c r="AG1237" s="8">
        <f t="shared" si="234"/>
        <v>2024</v>
      </c>
      <c r="AH1237" s="8">
        <f t="shared" si="235"/>
        <v>3</v>
      </c>
      <c r="AI1237" s="5" t="str">
        <f t="shared" si="236"/>
        <v>Mar</v>
      </c>
      <c r="AJ1237" s="5" t="str">
        <f t="shared" si="237"/>
        <v>Thursday</v>
      </c>
    </row>
    <row r="1238" spans="1:36" x14ac:dyDescent="0.3">
      <c r="A1238" s="5" t="s">
        <v>1272</v>
      </c>
      <c r="B1238" s="6">
        <v>45459</v>
      </c>
      <c r="C1238" s="7">
        <v>0.51388888888888884</v>
      </c>
      <c r="D1238" s="5" t="s">
        <v>1764</v>
      </c>
      <c r="E1238" s="5" t="s">
        <v>2104</v>
      </c>
      <c r="F1238" s="5" t="s">
        <v>2239</v>
      </c>
      <c r="G1238" s="5" t="s">
        <v>2243</v>
      </c>
      <c r="H1238" s="5" t="s">
        <v>2258</v>
      </c>
      <c r="I1238" s="5" t="s">
        <v>2260</v>
      </c>
      <c r="J1238" s="5" t="s">
        <v>2264</v>
      </c>
      <c r="K1238" s="8">
        <v>2</v>
      </c>
      <c r="L1238" s="9">
        <v>75</v>
      </c>
      <c r="M1238" s="10">
        <v>0</v>
      </c>
      <c r="N1238" s="9">
        <f t="shared" si="238"/>
        <v>150</v>
      </c>
      <c r="O1238" s="9">
        <f t="shared" si="228"/>
        <v>150</v>
      </c>
      <c r="P1238" s="5" t="s">
        <v>2267</v>
      </c>
      <c r="Q1238" s="5" t="s">
        <v>2270</v>
      </c>
      <c r="R1238" s="5" t="s">
        <v>2275</v>
      </c>
      <c r="S1238" s="5" t="s">
        <v>2280</v>
      </c>
      <c r="T1238" s="5" t="s">
        <v>2288</v>
      </c>
      <c r="U1238" s="8">
        <v>1</v>
      </c>
      <c r="V1238" s="8">
        <v>119</v>
      </c>
      <c r="W1238" s="19">
        <v>34</v>
      </c>
      <c r="X1238" s="9">
        <v>39.090000000000003</v>
      </c>
      <c r="Y1238" s="9">
        <f t="shared" si="229"/>
        <v>71.819999999999993</v>
      </c>
      <c r="Z1238" s="5" t="s">
        <v>1761</v>
      </c>
      <c r="AA1238" s="5" t="s">
        <v>2296</v>
      </c>
      <c r="AB1238" s="9">
        <f t="shared" si="230"/>
        <v>150</v>
      </c>
      <c r="AC1238" s="9">
        <f t="shared" si="231"/>
        <v>0</v>
      </c>
      <c r="AD1238" s="9">
        <f t="shared" si="232"/>
        <v>150</v>
      </c>
      <c r="AE1238" s="9">
        <f t="shared" si="233"/>
        <v>78.180000000000007</v>
      </c>
      <c r="AF1238" s="9">
        <f t="shared" si="239"/>
        <v>71.819999999999993</v>
      </c>
      <c r="AG1238" s="8">
        <f t="shared" si="234"/>
        <v>2024</v>
      </c>
      <c r="AH1238" s="8">
        <f t="shared" si="235"/>
        <v>6</v>
      </c>
      <c r="AI1238" s="5" t="str">
        <f t="shared" si="236"/>
        <v>Jun</v>
      </c>
      <c r="AJ1238" s="5" t="str">
        <f t="shared" si="237"/>
        <v>Sunday</v>
      </c>
    </row>
    <row r="1239" spans="1:36" x14ac:dyDescent="0.3">
      <c r="A1239" s="5" t="s">
        <v>1273</v>
      </c>
      <c r="B1239" s="6">
        <v>45411</v>
      </c>
      <c r="C1239" s="7">
        <v>0.54166666666666663</v>
      </c>
      <c r="D1239" s="5" t="s">
        <v>1788</v>
      </c>
      <c r="E1239" s="5" t="s">
        <v>2005</v>
      </c>
      <c r="F1239" s="5" t="s">
        <v>1761</v>
      </c>
      <c r="G1239" s="5" t="s">
        <v>2251</v>
      </c>
      <c r="H1239" s="5" t="s">
        <v>2258</v>
      </c>
      <c r="I1239" s="5" t="s">
        <v>2260</v>
      </c>
      <c r="J1239" s="5" t="s">
        <v>2265</v>
      </c>
      <c r="K1239" s="8">
        <v>1</v>
      </c>
      <c r="L1239" s="9">
        <v>95</v>
      </c>
      <c r="M1239" s="10">
        <v>0</v>
      </c>
      <c r="N1239" s="9">
        <f t="shared" si="238"/>
        <v>95</v>
      </c>
      <c r="O1239" s="9">
        <f t="shared" si="228"/>
        <v>95</v>
      </c>
      <c r="P1239" s="5" t="s">
        <v>2267</v>
      </c>
      <c r="Q1239" s="5" t="s">
        <v>2270</v>
      </c>
      <c r="R1239" s="5" t="s">
        <v>2276</v>
      </c>
      <c r="S1239" s="5" t="s">
        <v>2285</v>
      </c>
      <c r="T1239" s="5" t="s">
        <v>2289</v>
      </c>
      <c r="U1239" s="8">
        <v>5</v>
      </c>
      <c r="V1239" s="8">
        <v>80</v>
      </c>
      <c r="W1239" s="19">
        <v>34</v>
      </c>
      <c r="X1239" s="9">
        <v>42.58</v>
      </c>
      <c r="Y1239" s="9">
        <f t="shared" si="229"/>
        <v>52.42</v>
      </c>
      <c r="Z1239" s="5" t="s">
        <v>2291</v>
      </c>
      <c r="AA1239" s="5" t="s">
        <v>2296</v>
      </c>
      <c r="AB1239" s="9">
        <f t="shared" si="230"/>
        <v>95</v>
      </c>
      <c r="AC1239" s="9">
        <f t="shared" si="231"/>
        <v>0</v>
      </c>
      <c r="AD1239" s="9">
        <f t="shared" si="232"/>
        <v>95</v>
      </c>
      <c r="AE1239" s="9">
        <f t="shared" si="233"/>
        <v>42.58</v>
      </c>
      <c r="AF1239" s="9">
        <f t="shared" si="239"/>
        <v>52.42</v>
      </c>
      <c r="AG1239" s="8">
        <f t="shared" si="234"/>
        <v>2024</v>
      </c>
      <c r="AH1239" s="8">
        <f t="shared" si="235"/>
        <v>4</v>
      </c>
      <c r="AI1239" s="5" t="str">
        <f t="shared" si="236"/>
        <v>Apr</v>
      </c>
      <c r="AJ1239" s="5" t="str">
        <f t="shared" si="237"/>
        <v>Monday</v>
      </c>
    </row>
    <row r="1240" spans="1:36" x14ac:dyDescent="0.3">
      <c r="A1240" s="5" t="s">
        <v>1274</v>
      </c>
      <c r="B1240" s="6">
        <v>45317</v>
      </c>
      <c r="C1240" s="7">
        <v>0.54166666666666663</v>
      </c>
      <c r="D1240" s="5" t="s">
        <v>1820</v>
      </c>
      <c r="E1240" s="5" t="s">
        <v>2152</v>
      </c>
      <c r="F1240" s="5" t="s">
        <v>2239</v>
      </c>
      <c r="G1240" s="5" t="s">
        <v>2247</v>
      </c>
      <c r="H1240" s="5" t="s">
        <v>2257</v>
      </c>
      <c r="I1240" s="5" t="s">
        <v>2262</v>
      </c>
      <c r="J1240" s="5" t="s">
        <v>2264</v>
      </c>
      <c r="K1240" s="8">
        <v>3</v>
      </c>
      <c r="L1240" s="9">
        <v>110</v>
      </c>
      <c r="M1240" s="10">
        <v>0.05</v>
      </c>
      <c r="N1240" s="9">
        <f t="shared" si="238"/>
        <v>330</v>
      </c>
      <c r="O1240" s="9">
        <f t="shared" si="228"/>
        <v>313.5</v>
      </c>
      <c r="P1240" s="5" t="s">
        <v>2268</v>
      </c>
      <c r="Q1240" s="5" t="s">
        <v>2270</v>
      </c>
      <c r="R1240" s="5" t="s">
        <v>2279</v>
      </c>
      <c r="S1240" s="5" t="s">
        <v>2280</v>
      </c>
      <c r="T1240" s="5" t="s">
        <v>2289</v>
      </c>
      <c r="U1240" s="8">
        <v>5</v>
      </c>
      <c r="V1240" s="8">
        <v>488</v>
      </c>
      <c r="W1240" s="19">
        <v>34</v>
      </c>
      <c r="X1240" s="9">
        <v>55.29</v>
      </c>
      <c r="Y1240" s="9">
        <f t="shared" si="229"/>
        <v>147.63</v>
      </c>
      <c r="Z1240" s="5" t="s">
        <v>1761</v>
      </c>
      <c r="AA1240" s="5" t="s">
        <v>2296</v>
      </c>
      <c r="AB1240" s="9">
        <f t="shared" si="230"/>
        <v>330</v>
      </c>
      <c r="AC1240" s="9">
        <f t="shared" si="231"/>
        <v>16.5</v>
      </c>
      <c r="AD1240" s="9">
        <f t="shared" si="232"/>
        <v>313.5</v>
      </c>
      <c r="AE1240" s="9">
        <f t="shared" si="233"/>
        <v>165.87</v>
      </c>
      <c r="AF1240" s="9">
        <f t="shared" si="239"/>
        <v>147.63</v>
      </c>
      <c r="AG1240" s="8">
        <f t="shared" si="234"/>
        <v>2024</v>
      </c>
      <c r="AH1240" s="8">
        <f t="shared" si="235"/>
        <v>1</v>
      </c>
      <c r="AI1240" s="5" t="str">
        <f t="shared" si="236"/>
        <v>Jan</v>
      </c>
      <c r="AJ1240" s="5" t="str">
        <f t="shared" si="237"/>
        <v>Friday</v>
      </c>
    </row>
    <row r="1241" spans="1:36" x14ac:dyDescent="0.3">
      <c r="A1241" s="5" t="s">
        <v>1275</v>
      </c>
      <c r="B1241" s="6">
        <v>45484</v>
      </c>
      <c r="C1241" s="7">
        <v>0.79166666666666663</v>
      </c>
      <c r="D1241" s="5" t="s">
        <v>1767</v>
      </c>
      <c r="E1241" s="5" t="s">
        <v>2230</v>
      </c>
      <c r="F1241" s="5" t="s">
        <v>2240</v>
      </c>
      <c r="G1241" s="5" t="s">
        <v>2255</v>
      </c>
      <c r="H1241" s="5" t="s">
        <v>2260</v>
      </c>
      <c r="I1241" s="5" t="s">
        <v>2260</v>
      </c>
      <c r="J1241" s="5" t="s">
        <v>2265</v>
      </c>
      <c r="K1241" s="8">
        <v>3</v>
      </c>
      <c r="L1241" s="9">
        <v>185</v>
      </c>
      <c r="M1241" s="10">
        <v>0.05</v>
      </c>
      <c r="N1241" s="9">
        <f t="shared" si="238"/>
        <v>555</v>
      </c>
      <c r="O1241" s="9">
        <f t="shared" si="228"/>
        <v>527.25</v>
      </c>
      <c r="P1241" s="5" t="s">
        <v>2269</v>
      </c>
      <c r="Q1241" s="5" t="s">
        <v>2271</v>
      </c>
      <c r="R1241" s="5" t="s">
        <v>2277</v>
      </c>
      <c r="S1241" s="5" t="s">
        <v>2285</v>
      </c>
      <c r="T1241" s="5" t="s">
        <v>2289</v>
      </c>
      <c r="U1241" s="8">
        <v>4</v>
      </c>
      <c r="V1241" s="19">
        <v>244</v>
      </c>
      <c r="W1241" s="8">
        <v>55</v>
      </c>
      <c r="X1241" s="9">
        <v>101.27</v>
      </c>
      <c r="Y1241" s="9">
        <f t="shared" si="229"/>
        <v>223.44</v>
      </c>
      <c r="Z1241" s="5" t="s">
        <v>2292</v>
      </c>
      <c r="AA1241" s="5" t="s">
        <v>2298</v>
      </c>
      <c r="AB1241" s="9">
        <f t="shared" si="230"/>
        <v>555</v>
      </c>
      <c r="AC1241" s="9">
        <f t="shared" si="231"/>
        <v>27.75</v>
      </c>
      <c r="AD1241" s="9">
        <f t="shared" si="232"/>
        <v>527.25</v>
      </c>
      <c r="AE1241" s="9">
        <f t="shared" si="233"/>
        <v>303.81</v>
      </c>
      <c r="AF1241" s="9">
        <f t="shared" si="239"/>
        <v>223.44</v>
      </c>
      <c r="AG1241" s="8">
        <f t="shared" si="234"/>
        <v>2024</v>
      </c>
      <c r="AH1241" s="8">
        <f t="shared" si="235"/>
        <v>7</v>
      </c>
      <c r="AI1241" s="5" t="str">
        <f t="shared" si="236"/>
        <v>Jul</v>
      </c>
      <c r="AJ1241" s="5" t="str">
        <f t="shared" si="237"/>
        <v>Thursday</v>
      </c>
    </row>
    <row r="1242" spans="1:36" x14ac:dyDescent="0.3">
      <c r="A1242" s="5" t="s">
        <v>1276</v>
      </c>
      <c r="B1242" s="6">
        <v>45369</v>
      </c>
      <c r="C1242" s="7">
        <v>0.34027777777777779</v>
      </c>
      <c r="D1242" s="5" t="s">
        <v>1841</v>
      </c>
      <c r="E1242" s="5" t="s">
        <v>2072</v>
      </c>
      <c r="F1242" s="5" t="s">
        <v>2239</v>
      </c>
      <c r="G1242" s="5" t="s">
        <v>2242</v>
      </c>
      <c r="H1242" s="5" t="s">
        <v>2258</v>
      </c>
      <c r="I1242" s="5" t="s">
        <v>2260</v>
      </c>
      <c r="J1242" s="5" t="s">
        <v>2266</v>
      </c>
      <c r="K1242" s="8">
        <v>1</v>
      </c>
      <c r="L1242" s="9">
        <v>120</v>
      </c>
      <c r="M1242" s="10">
        <v>0.15</v>
      </c>
      <c r="N1242" s="9">
        <f t="shared" si="238"/>
        <v>120</v>
      </c>
      <c r="O1242" s="9">
        <f t="shared" si="228"/>
        <v>102</v>
      </c>
      <c r="P1242" s="5" t="s">
        <v>2269</v>
      </c>
      <c r="Q1242" s="5" t="s">
        <v>2271</v>
      </c>
      <c r="R1242" s="5" t="s">
        <v>2279</v>
      </c>
      <c r="S1242" s="5" t="s">
        <v>2280</v>
      </c>
      <c r="T1242" s="5" t="s">
        <v>2288</v>
      </c>
      <c r="U1242" s="8">
        <v>3</v>
      </c>
      <c r="V1242" s="8">
        <v>61</v>
      </c>
      <c r="W1242" s="8">
        <v>12</v>
      </c>
      <c r="X1242" s="9">
        <v>58.44</v>
      </c>
      <c r="Y1242" s="9">
        <f t="shared" si="229"/>
        <v>43.56</v>
      </c>
      <c r="Z1242" s="5" t="s">
        <v>1761</v>
      </c>
      <c r="AA1242" s="5" t="s">
        <v>2297</v>
      </c>
      <c r="AB1242" s="9">
        <f t="shared" si="230"/>
        <v>120</v>
      </c>
      <c r="AC1242" s="9">
        <f t="shared" si="231"/>
        <v>18</v>
      </c>
      <c r="AD1242" s="9">
        <f t="shared" si="232"/>
        <v>102</v>
      </c>
      <c r="AE1242" s="9">
        <f t="shared" si="233"/>
        <v>58.44</v>
      </c>
      <c r="AF1242" s="9">
        <f t="shared" si="239"/>
        <v>43.56</v>
      </c>
      <c r="AG1242" s="8">
        <f t="shared" si="234"/>
        <v>2024</v>
      </c>
      <c r="AH1242" s="8">
        <f t="shared" si="235"/>
        <v>3</v>
      </c>
      <c r="AI1242" s="5" t="str">
        <f t="shared" si="236"/>
        <v>Mar</v>
      </c>
      <c r="AJ1242" s="5" t="str">
        <f t="shared" si="237"/>
        <v>Monday</v>
      </c>
    </row>
    <row r="1243" spans="1:36" x14ac:dyDescent="0.3">
      <c r="A1243" s="5" t="s">
        <v>1277</v>
      </c>
      <c r="B1243" s="6">
        <v>45427</v>
      </c>
      <c r="C1243" s="7">
        <v>0.30208333333333331</v>
      </c>
      <c r="D1243" s="5" t="s">
        <v>1826</v>
      </c>
      <c r="E1243" s="5" t="s">
        <v>2225</v>
      </c>
      <c r="F1243" s="5" t="s">
        <v>2238</v>
      </c>
      <c r="G1243" s="5" t="s">
        <v>2251</v>
      </c>
      <c r="H1243" s="5" t="s">
        <v>2258</v>
      </c>
      <c r="I1243" s="5" t="s">
        <v>2260</v>
      </c>
      <c r="J1243" s="5" t="s">
        <v>2265</v>
      </c>
      <c r="K1243" s="8">
        <v>1</v>
      </c>
      <c r="L1243" s="9">
        <v>110</v>
      </c>
      <c r="M1243" s="10">
        <v>0.05</v>
      </c>
      <c r="N1243" s="9">
        <f t="shared" si="238"/>
        <v>110</v>
      </c>
      <c r="O1243" s="9">
        <f t="shared" si="228"/>
        <v>104.5</v>
      </c>
      <c r="P1243" s="5" t="s">
        <v>2267</v>
      </c>
      <c r="Q1243" s="5" t="s">
        <v>2272</v>
      </c>
      <c r="R1243" s="5" t="s">
        <v>2274</v>
      </c>
      <c r="S1243" s="5" t="s">
        <v>2283</v>
      </c>
      <c r="T1243" s="5" t="s">
        <v>2288</v>
      </c>
      <c r="U1243" s="8">
        <v>5</v>
      </c>
      <c r="V1243" s="8">
        <v>83</v>
      </c>
      <c r="W1243" s="8">
        <v>38</v>
      </c>
      <c r="X1243" s="9">
        <v>52.62</v>
      </c>
      <c r="Y1243" s="9">
        <f t="shared" si="229"/>
        <v>51.88</v>
      </c>
      <c r="Z1243" s="5" t="s">
        <v>2293</v>
      </c>
      <c r="AA1243" s="5" t="s">
        <v>2296</v>
      </c>
      <c r="AB1243" s="9">
        <f t="shared" si="230"/>
        <v>110</v>
      </c>
      <c r="AC1243" s="9">
        <f t="shared" si="231"/>
        <v>5.5</v>
      </c>
      <c r="AD1243" s="9">
        <f t="shared" si="232"/>
        <v>104.5</v>
      </c>
      <c r="AE1243" s="9">
        <f t="shared" si="233"/>
        <v>52.62</v>
      </c>
      <c r="AF1243" s="9">
        <f t="shared" si="239"/>
        <v>51.88</v>
      </c>
      <c r="AG1243" s="8">
        <f t="shared" si="234"/>
        <v>2024</v>
      </c>
      <c r="AH1243" s="8">
        <f t="shared" si="235"/>
        <v>5</v>
      </c>
      <c r="AI1243" s="5" t="str">
        <f t="shared" si="236"/>
        <v>May</v>
      </c>
      <c r="AJ1243" s="5" t="str">
        <f t="shared" si="237"/>
        <v>Wednesday</v>
      </c>
    </row>
    <row r="1244" spans="1:36" x14ac:dyDescent="0.3">
      <c r="A1244" s="5" t="s">
        <v>1278</v>
      </c>
      <c r="B1244" s="6">
        <v>45528</v>
      </c>
      <c r="C1244" s="7">
        <v>0.54861111111111116</v>
      </c>
      <c r="D1244" s="5" t="s">
        <v>1875</v>
      </c>
      <c r="E1244" s="5" t="s">
        <v>2094</v>
      </c>
      <c r="F1244" s="5" t="s">
        <v>1761</v>
      </c>
      <c r="G1244" s="5" t="s">
        <v>2245</v>
      </c>
      <c r="H1244" s="5" t="s">
        <v>2257</v>
      </c>
      <c r="I1244" s="5" t="s">
        <v>2263</v>
      </c>
      <c r="J1244" s="5" t="s">
        <v>2265</v>
      </c>
      <c r="K1244" s="8">
        <v>1</v>
      </c>
      <c r="L1244" s="9">
        <v>150</v>
      </c>
      <c r="M1244" s="10">
        <v>0</v>
      </c>
      <c r="N1244" s="9">
        <f t="shared" si="238"/>
        <v>150</v>
      </c>
      <c r="O1244" s="9">
        <f t="shared" si="228"/>
        <v>150</v>
      </c>
      <c r="P1244" s="5" t="s">
        <v>2267</v>
      </c>
      <c r="Q1244" s="5" t="s">
        <v>2270</v>
      </c>
      <c r="R1244" s="5" t="s">
        <v>2278</v>
      </c>
      <c r="S1244" s="5" t="s">
        <v>2285</v>
      </c>
      <c r="T1244" s="5" t="s">
        <v>2288</v>
      </c>
      <c r="U1244" s="19">
        <v>3</v>
      </c>
      <c r="V1244" s="8">
        <v>1</v>
      </c>
      <c r="W1244" s="8">
        <v>35</v>
      </c>
      <c r="X1244" s="9">
        <v>54.14</v>
      </c>
      <c r="Y1244" s="9">
        <f t="shared" si="229"/>
        <v>95.86</v>
      </c>
      <c r="Z1244" s="5" t="s">
        <v>2293</v>
      </c>
      <c r="AA1244" s="5" t="s">
        <v>2298</v>
      </c>
      <c r="AB1244" s="9">
        <f t="shared" si="230"/>
        <v>150</v>
      </c>
      <c r="AC1244" s="9">
        <f t="shared" si="231"/>
        <v>0</v>
      </c>
      <c r="AD1244" s="9">
        <f t="shared" si="232"/>
        <v>150</v>
      </c>
      <c r="AE1244" s="9">
        <f t="shared" si="233"/>
        <v>54.14</v>
      </c>
      <c r="AF1244" s="9">
        <f t="shared" si="239"/>
        <v>95.86</v>
      </c>
      <c r="AG1244" s="8">
        <f t="shared" si="234"/>
        <v>2024</v>
      </c>
      <c r="AH1244" s="8">
        <f t="shared" si="235"/>
        <v>8</v>
      </c>
      <c r="AI1244" s="5" t="str">
        <f t="shared" si="236"/>
        <v>Aug</v>
      </c>
      <c r="AJ1244" s="5" t="str">
        <f t="shared" si="237"/>
        <v>Saturday</v>
      </c>
    </row>
    <row r="1245" spans="1:36" x14ac:dyDescent="0.3">
      <c r="A1245" s="5" t="s">
        <v>1279</v>
      </c>
      <c r="B1245" s="6">
        <v>45605</v>
      </c>
      <c r="C1245" s="7">
        <v>0.63194444444444442</v>
      </c>
      <c r="D1245" s="5" t="s">
        <v>1757</v>
      </c>
      <c r="E1245" s="5" t="s">
        <v>2074</v>
      </c>
      <c r="F1245" s="5" t="s">
        <v>2238</v>
      </c>
      <c r="G1245" s="5" t="s">
        <v>2254</v>
      </c>
      <c r="H1245" s="5" t="s">
        <v>2259</v>
      </c>
      <c r="I1245" s="5" t="s">
        <v>2263</v>
      </c>
      <c r="J1245" s="5" t="s">
        <v>2264</v>
      </c>
      <c r="K1245" s="8">
        <v>1</v>
      </c>
      <c r="L1245" s="9">
        <v>105</v>
      </c>
      <c r="M1245" s="10">
        <v>0</v>
      </c>
      <c r="N1245" s="9">
        <f t="shared" si="238"/>
        <v>105</v>
      </c>
      <c r="O1245" s="9">
        <f t="shared" si="228"/>
        <v>105</v>
      </c>
      <c r="P1245" s="5" t="s">
        <v>2268</v>
      </c>
      <c r="Q1245" s="5" t="s">
        <v>2271</v>
      </c>
      <c r="R1245" s="5" t="s">
        <v>2275</v>
      </c>
      <c r="S1245" s="5" t="s">
        <v>2280</v>
      </c>
      <c r="T1245" s="5" t="s">
        <v>2288</v>
      </c>
      <c r="U1245" s="8">
        <v>5</v>
      </c>
      <c r="V1245" s="8">
        <v>273</v>
      </c>
      <c r="W1245" s="8">
        <v>51</v>
      </c>
      <c r="X1245" s="9">
        <v>60.09</v>
      </c>
      <c r="Y1245" s="9">
        <f t="shared" si="229"/>
        <v>44.91</v>
      </c>
      <c r="Z1245" s="5" t="s">
        <v>2291</v>
      </c>
      <c r="AA1245" s="5" t="s">
        <v>2299</v>
      </c>
      <c r="AB1245" s="9">
        <f t="shared" si="230"/>
        <v>105</v>
      </c>
      <c r="AC1245" s="9">
        <f t="shared" si="231"/>
        <v>0</v>
      </c>
      <c r="AD1245" s="9">
        <f t="shared" si="232"/>
        <v>105</v>
      </c>
      <c r="AE1245" s="9">
        <f t="shared" si="233"/>
        <v>60.09</v>
      </c>
      <c r="AF1245" s="9">
        <f t="shared" si="239"/>
        <v>44.91</v>
      </c>
      <c r="AG1245" s="8">
        <f t="shared" si="234"/>
        <v>2024</v>
      </c>
      <c r="AH1245" s="8">
        <f t="shared" si="235"/>
        <v>11</v>
      </c>
      <c r="AI1245" s="5" t="str">
        <f t="shared" si="236"/>
        <v>Nov</v>
      </c>
      <c r="AJ1245" s="5" t="str">
        <f t="shared" si="237"/>
        <v>Saturday</v>
      </c>
    </row>
    <row r="1246" spans="1:36" x14ac:dyDescent="0.3">
      <c r="A1246" s="5" t="s">
        <v>1280</v>
      </c>
      <c r="B1246" s="6">
        <v>45645</v>
      </c>
      <c r="C1246" s="7">
        <v>0.86805555555555558</v>
      </c>
      <c r="D1246" s="5" t="s">
        <v>1933</v>
      </c>
      <c r="E1246" s="5" t="s">
        <v>1987</v>
      </c>
      <c r="F1246" s="5" t="s">
        <v>2240</v>
      </c>
      <c r="G1246" s="5" t="s">
        <v>2244</v>
      </c>
      <c r="H1246" s="5" t="s">
        <v>2257</v>
      </c>
      <c r="I1246" s="5" t="s">
        <v>2262</v>
      </c>
      <c r="J1246" s="5" t="s">
        <v>2265</v>
      </c>
      <c r="K1246" s="8">
        <v>3</v>
      </c>
      <c r="L1246" s="9">
        <v>130</v>
      </c>
      <c r="M1246" s="10">
        <v>0.1</v>
      </c>
      <c r="N1246" s="9">
        <f t="shared" si="238"/>
        <v>390</v>
      </c>
      <c r="O1246" s="9">
        <f t="shared" si="228"/>
        <v>351</v>
      </c>
      <c r="P1246" s="5" t="s">
        <v>2269</v>
      </c>
      <c r="Q1246" s="5" t="s">
        <v>2272</v>
      </c>
      <c r="R1246" s="5" t="s">
        <v>2276</v>
      </c>
      <c r="S1246" s="5" t="s">
        <v>2287</v>
      </c>
      <c r="T1246" s="5" t="s">
        <v>2290</v>
      </c>
      <c r="U1246" s="8">
        <v>1</v>
      </c>
      <c r="V1246" s="8">
        <v>223</v>
      </c>
      <c r="W1246" s="8">
        <v>54</v>
      </c>
      <c r="X1246" s="9">
        <v>71.78</v>
      </c>
      <c r="Y1246" s="9">
        <f t="shared" si="229"/>
        <v>135.66</v>
      </c>
      <c r="Z1246" s="5" t="s">
        <v>2293</v>
      </c>
      <c r="AA1246" s="5" t="s">
        <v>2299</v>
      </c>
      <c r="AB1246" s="9">
        <f t="shared" si="230"/>
        <v>390</v>
      </c>
      <c r="AC1246" s="9">
        <f t="shared" si="231"/>
        <v>39</v>
      </c>
      <c r="AD1246" s="9">
        <f t="shared" si="232"/>
        <v>351</v>
      </c>
      <c r="AE1246" s="9">
        <f t="shared" si="233"/>
        <v>215.34</v>
      </c>
      <c r="AF1246" s="9">
        <f t="shared" si="239"/>
        <v>135.66</v>
      </c>
      <c r="AG1246" s="8">
        <f t="shared" si="234"/>
        <v>2024</v>
      </c>
      <c r="AH1246" s="8">
        <f t="shared" si="235"/>
        <v>12</v>
      </c>
      <c r="AI1246" s="5" t="str">
        <f t="shared" si="236"/>
        <v>Dec</v>
      </c>
      <c r="AJ1246" s="5" t="str">
        <f t="shared" si="237"/>
        <v>Thursday</v>
      </c>
    </row>
    <row r="1247" spans="1:36" x14ac:dyDescent="0.3">
      <c r="A1247" s="5" t="s">
        <v>1281</v>
      </c>
      <c r="B1247" s="6">
        <v>45437</v>
      </c>
      <c r="C1247" s="7">
        <v>0.63194444444444442</v>
      </c>
      <c r="D1247" s="5" t="s">
        <v>1821</v>
      </c>
      <c r="E1247" s="5" t="s">
        <v>2026</v>
      </c>
      <c r="F1247" s="5" t="s">
        <v>2239</v>
      </c>
      <c r="G1247" s="5" t="s">
        <v>2252</v>
      </c>
      <c r="H1247" s="5" t="s">
        <v>2257</v>
      </c>
      <c r="I1247" s="5" t="s">
        <v>2262</v>
      </c>
      <c r="J1247" s="5" t="s">
        <v>2266</v>
      </c>
      <c r="K1247" s="8">
        <v>2</v>
      </c>
      <c r="L1247" s="9">
        <v>85</v>
      </c>
      <c r="M1247" s="10">
        <v>0</v>
      </c>
      <c r="N1247" s="9">
        <f t="shared" si="238"/>
        <v>170</v>
      </c>
      <c r="O1247" s="9">
        <f t="shared" si="228"/>
        <v>170</v>
      </c>
      <c r="P1247" s="5" t="s">
        <v>2269</v>
      </c>
      <c r="Q1247" s="5" t="s">
        <v>2271</v>
      </c>
      <c r="R1247" s="5" t="s">
        <v>2274</v>
      </c>
      <c r="S1247" s="5" t="s">
        <v>2280</v>
      </c>
      <c r="T1247" s="5" t="s">
        <v>2288</v>
      </c>
      <c r="U1247" s="8">
        <v>1</v>
      </c>
      <c r="V1247" s="8">
        <v>144</v>
      </c>
      <c r="W1247" s="8">
        <v>39</v>
      </c>
      <c r="X1247" s="9">
        <v>36.4</v>
      </c>
      <c r="Y1247" s="9">
        <f t="shared" si="229"/>
        <v>97.2</v>
      </c>
      <c r="Z1247" s="5" t="s">
        <v>2291</v>
      </c>
      <c r="AA1247" s="5" t="s">
        <v>2299</v>
      </c>
      <c r="AB1247" s="9">
        <f t="shared" si="230"/>
        <v>170</v>
      </c>
      <c r="AC1247" s="9">
        <f t="shared" si="231"/>
        <v>0</v>
      </c>
      <c r="AD1247" s="9">
        <f t="shared" si="232"/>
        <v>170</v>
      </c>
      <c r="AE1247" s="9">
        <f t="shared" si="233"/>
        <v>72.8</v>
      </c>
      <c r="AF1247" s="9">
        <f t="shared" si="239"/>
        <v>97.2</v>
      </c>
      <c r="AG1247" s="8">
        <f t="shared" si="234"/>
        <v>2024</v>
      </c>
      <c r="AH1247" s="8">
        <f t="shared" si="235"/>
        <v>5</v>
      </c>
      <c r="AI1247" s="5" t="str">
        <f t="shared" si="236"/>
        <v>May</v>
      </c>
      <c r="AJ1247" s="5" t="str">
        <f t="shared" si="237"/>
        <v>Saturday</v>
      </c>
    </row>
    <row r="1248" spans="1:36" x14ac:dyDescent="0.3">
      <c r="A1248" s="5" t="s">
        <v>1282</v>
      </c>
      <c r="B1248" s="6">
        <v>45494</v>
      </c>
      <c r="C1248" s="7">
        <v>0.57638888888888884</v>
      </c>
      <c r="D1248" s="5" t="s">
        <v>1803</v>
      </c>
      <c r="E1248" s="5" t="s">
        <v>2039</v>
      </c>
      <c r="F1248" s="5" t="s">
        <v>2240</v>
      </c>
      <c r="G1248" s="5" t="s">
        <v>2243</v>
      </c>
      <c r="H1248" s="5" t="s">
        <v>2258</v>
      </c>
      <c r="I1248" s="5" t="s">
        <v>2260</v>
      </c>
      <c r="J1248" s="5" t="s">
        <v>2265</v>
      </c>
      <c r="K1248" s="8">
        <v>2</v>
      </c>
      <c r="L1248" s="9">
        <v>80</v>
      </c>
      <c r="M1248" s="10">
        <v>0.05</v>
      </c>
      <c r="N1248" s="9">
        <f t="shared" si="238"/>
        <v>160</v>
      </c>
      <c r="O1248" s="9">
        <f t="shared" si="228"/>
        <v>152</v>
      </c>
      <c r="P1248" s="5" t="s">
        <v>2267</v>
      </c>
      <c r="Q1248" s="5" t="s">
        <v>2270</v>
      </c>
      <c r="R1248" s="5" t="s">
        <v>2279</v>
      </c>
      <c r="S1248" s="5" t="s">
        <v>2281</v>
      </c>
      <c r="T1248" s="5" t="s">
        <v>2288</v>
      </c>
      <c r="U1248" s="19">
        <v>3</v>
      </c>
      <c r="V1248" s="19">
        <v>244</v>
      </c>
      <c r="W1248" s="8">
        <v>33</v>
      </c>
      <c r="X1248" s="9">
        <v>40.25</v>
      </c>
      <c r="Y1248" s="9">
        <f t="shared" si="229"/>
        <v>71.5</v>
      </c>
      <c r="Z1248" s="5" t="s">
        <v>2294</v>
      </c>
      <c r="AA1248" s="5" t="s">
        <v>2296</v>
      </c>
      <c r="AB1248" s="9">
        <f t="shared" si="230"/>
        <v>160</v>
      </c>
      <c r="AC1248" s="9">
        <f t="shared" si="231"/>
        <v>8</v>
      </c>
      <c r="AD1248" s="9">
        <f t="shared" si="232"/>
        <v>152</v>
      </c>
      <c r="AE1248" s="9">
        <f t="shared" si="233"/>
        <v>80.5</v>
      </c>
      <c r="AF1248" s="9">
        <f t="shared" si="239"/>
        <v>71.5</v>
      </c>
      <c r="AG1248" s="8">
        <f t="shared" si="234"/>
        <v>2024</v>
      </c>
      <c r="AH1248" s="8">
        <f t="shared" si="235"/>
        <v>7</v>
      </c>
      <c r="AI1248" s="5" t="str">
        <f t="shared" si="236"/>
        <v>Jul</v>
      </c>
      <c r="AJ1248" s="5" t="str">
        <f t="shared" si="237"/>
        <v>Sunday</v>
      </c>
    </row>
    <row r="1249" spans="1:36" x14ac:dyDescent="0.3">
      <c r="A1249" s="5" t="s">
        <v>1283</v>
      </c>
      <c r="B1249" s="6">
        <v>45598</v>
      </c>
      <c r="C1249" s="7">
        <v>0.90972222222222221</v>
      </c>
      <c r="D1249" s="5" t="s">
        <v>1804</v>
      </c>
      <c r="E1249" s="5" t="s">
        <v>1973</v>
      </c>
      <c r="F1249" s="5" t="s">
        <v>2238</v>
      </c>
      <c r="G1249" s="5" t="s">
        <v>2254</v>
      </c>
      <c r="H1249" s="5" t="s">
        <v>2259</v>
      </c>
      <c r="I1249" s="5" t="s">
        <v>2263</v>
      </c>
      <c r="J1249" s="5" t="s">
        <v>2265</v>
      </c>
      <c r="K1249" s="8">
        <v>1</v>
      </c>
      <c r="L1249" s="9">
        <v>110</v>
      </c>
      <c r="M1249" s="10">
        <v>0</v>
      </c>
      <c r="N1249" s="9">
        <f t="shared" si="238"/>
        <v>110</v>
      </c>
      <c r="O1249" s="9">
        <f t="shared" si="228"/>
        <v>110</v>
      </c>
      <c r="P1249" s="5" t="s">
        <v>2267</v>
      </c>
      <c r="Q1249" s="5" t="s">
        <v>2272</v>
      </c>
      <c r="R1249" s="5" t="s">
        <v>2278</v>
      </c>
      <c r="S1249" s="5" t="s">
        <v>2282</v>
      </c>
      <c r="T1249" s="5" t="s">
        <v>2288</v>
      </c>
      <c r="U1249" s="8">
        <v>1</v>
      </c>
      <c r="V1249" s="8">
        <v>82</v>
      </c>
      <c r="W1249" s="8">
        <v>15</v>
      </c>
      <c r="X1249" s="9">
        <v>41.37</v>
      </c>
      <c r="Y1249" s="9">
        <f t="shared" si="229"/>
        <v>68.63</v>
      </c>
      <c r="Z1249" s="5" t="s">
        <v>2291</v>
      </c>
      <c r="AA1249" s="5" t="s">
        <v>1761</v>
      </c>
      <c r="AB1249" s="9">
        <f t="shared" si="230"/>
        <v>110</v>
      </c>
      <c r="AC1249" s="9">
        <f t="shared" si="231"/>
        <v>0</v>
      </c>
      <c r="AD1249" s="9">
        <f t="shared" si="232"/>
        <v>110</v>
      </c>
      <c r="AE1249" s="9">
        <f t="shared" si="233"/>
        <v>41.37</v>
      </c>
      <c r="AF1249" s="9">
        <f t="shared" si="239"/>
        <v>68.63</v>
      </c>
      <c r="AG1249" s="8">
        <f t="shared" si="234"/>
        <v>2024</v>
      </c>
      <c r="AH1249" s="8">
        <f t="shared" si="235"/>
        <v>11</v>
      </c>
      <c r="AI1249" s="5" t="str">
        <f t="shared" si="236"/>
        <v>Nov</v>
      </c>
      <c r="AJ1249" s="5" t="str">
        <f t="shared" si="237"/>
        <v>Saturday</v>
      </c>
    </row>
    <row r="1250" spans="1:36" x14ac:dyDescent="0.3">
      <c r="A1250" s="5" t="s">
        <v>1284</v>
      </c>
      <c r="B1250" s="6">
        <v>45414</v>
      </c>
      <c r="C1250" s="7">
        <v>0.89583333333333337</v>
      </c>
      <c r="D1250" s="5" t="s">
        <v>1913</v>
      </c>
      <c r="E1250" s="5" t="s">
        <v>2125</v>
      </c>
      <c r="F1250" s="5" t="s">
        <v>2240</v>
      </c>
      <c r="G1250" s="5" t="s">
        <v>2243</v>
      </c>
      <c r="H1250" s="5" t="s">
        <v>2258</v>
      </c>
      <c r="I1250" s="5" t="s">
        <v>2260</v>
      </c>
      <c r="J1250" s="5" t="s">
        <v>2265</v>
      </c>
      <c r="K1250" s="8">
        <v>1</v>
      </c>
      <c r="L1250" s="9">
        <v>70</v>
      </c>
      <c r="M1250" s="10">
        <v>0.05</v>
      </c>
      <c r="N1250" s="9">
        <f t="shared" si="238"/>
        <v>70</v>
      </c>
      <c r="O1250" s="9">
        <f t="shared" si="228"/>
        <v>66.5</v>
      </c>
      <c r="P1250" s="5" t="s">
        <v>2268</v>
      </c>
      <c r="Q1250" s="5" t="s">
        <v>1761</v>
      </c>
      <c r="R1250" s="5" t="s">
        <v>2277</v>
      </c>
      <c r="S1250" s="5" t="s">
        <v>2280</v>
      </c>
      <c r="T1250" s="5" t="s">
        <v>2288</v>
      </c>
      <c r="U1250" s="8">
        <v>2</v>
      </c>
      <c r="V1250" s="8">
        <v>147</v>
      </c>
      <c r="W1250" s="8">
        <v>12</v>
      </c>
      <c r="X1250" s="9">
        <v>28.16</v>
      </c>
      <c r="Y1250" s="9">
        <f t="shared" si="229"/>
        <v>38.340000000000003</v>
      </c>
      <c r="Z1250" s="5" t="s">
        <v>2293</v>
      </c>
      <c r="AA1250" s="5" t="s">
        <v>2296</v>
      </c>
      <c r="AB1250" s="9">
        <f t="shared" si="230"/>
        <v>70</v>
      </c>
      <c r="AC1250" s="9">
        <f t="shared" si="231"/>
        <v>3.5</v>
      </c>
      <c r="AD1250" s="9">
        <f t="shared" si="232"/>
        <v>66.5</v>
      </c>
      <c r="AE1250" s="9">
        <f t="shared" si="233"/>
        <v>28.16</v>
      </c>
      <c r="AF1250" s="9">
        <f t="shared" si="239"/>
        <v>38.340000000000003</v>
      </c>
      <c r="AG1250" s="8">
        <f t="shared" si="234"/>
        <v>2024</v>
      </c>
      <c r="AH1250" s="8">
        <f t="shared" si="235"/>
        <v>5</v>
      </c>
      <c r="AI1250" s="5" t="str">
        <f t="shared" si="236"/>
        <v>May</v>
      </c>
      <c r="AJ1250" s="5" t="str">
        <f t="shared" si="237"/>
        <v>Thursday</v>
      </c>
    </row>
    <row r="1251" spans="1:36" x14ac:dyDescent="0.3">
      <c r="A1251" s="5" t="s">
        <v>1285</v>
      </c>
      <c r="B1251" s="6">
        <v>45445</v>
      </c>
      <c r="C1251" s="7">
        <v>0.76388888888888884</v>
      </c>
      <c r="D1251" s="5" t="s">
        <v>1773</v>
      </c>
      <c r="E1251" s="5" t="s">
        <v>2139</v>
      </c>
      <c r="F1251" s="5" t="s">
        <v>2239</v>
      </c>
      <c r="G1251" s="5" t="s">
        <v>2245</v>
      </c>
      <c r="H1251" s="5" t="s">
        <v>2257</v>
      </c>
      <c r="I1251" s="5" t="s">
        <v>2263</v>
      </c>
      <c r="J1251" s="5" t="s">
        <v>2266</v>
      </c>
      <c r="K1251" s="8">
        <v>1</v>
      </c>
      <c r="L1251" s="9">
        <v>160</v>
      </c>
      <c r="M1251" s="10">
        <v>0.1</v>
      </c>
      <c r="N1251" s="9">
        <f t="shared" si="238"/>
        <v>160</v>
      </c>
      <c r="O1251" s="9">
        <f t="shared" si="228"/>
        <v>144</v>
      </c>
      <c r="P1251" s="5" t="s">
        <v>2269</v>
      </c>
      <c r="Q1251" s="5" t="s">
        <v>1761</v>
      </c>
      <c r="R1251" s="5" t="s">
        <v>2274</v>
      </c>
      <c r="S1251" s="5" t="s">
        <v>2283</v>
      </c>
      <c r="T1251" s="5" t="s">
        <v>2290</v>
      </c>
      <c r="U1251" s="19">
        <v>3</v>
      </c>
      <c r="V1251" s="8">
        <v>286</v>
      </c>
      <c r="W1251" s="19">
        <v>36</v>
      </c>
      <c r="X1251" s="9">
        <v>84.8</v>
      </c>
      <c r="Y1251" s="9">
        <f t="shared" si="229"/>
        <v>59.2</v>
      </c>
      <c r="Z1251" s="5" t="s">
        <v>1761</v>
      </c>
      <c r="AA1251" s="5" t="s">
        <v>2298</v>
      </c>
      <c r="AB1251" s="9">
        <f t="shared" si="230"/>
        <v>160</v>
      </c>
      <c r="AC1251" s="9">
        <f t="shared" si="231"/>
        <v>16</v>
      </c>
      <c r="AD1251" s="9">
        <f t="shared" si="232"/>
        <v>144</v>
      </c>
      <c r="AE1251" s="9">
        <f t="shared" si="233"/>
        <v>84.8</v>
      </c>
      <c r="AF1251" s="9">
        <f t="shared" si="239"/>
        <v>59.2</v>
      </c>
      <c r="AG1251" s="8">
        <f t="shared" si="234"/>
        <v>2024</v>
      </c>
      <c r="AH1251" s="8">
        <f t="shared" si="235"/>
        <v>6</v>
      </c>
      <c r="AI1251" s="5" t="str">
        <f t="shared" si="236"/>
        <v>Jun</v>
      </c>
      <c r="AJ1251" s="5" t="str">
        <f t="shared" si="237"/>
        <v>Sunday</v>
      </c>
    </row>
    <row r="1252" spans="1:36" x14ac:dyDescent="0.3">
      <c r="A1252" s="5" t="s">
        <v>1286</v>
      </c>
      <c r="B1252" s="6">
        <v>45637</v>
      </c>
      <c r="C1252" s="7">
        <v>0.33333333333333331</v>
      </c>
      <c r="D1252" s="5" t="s">
        <v>1761</v>
      </c>
      <c r="E1252" s="5" t="s">
        <v>2073</v>
      </c>
      <c r="F1252" s="5" t="s">
        <v>2240</v>
      </c>
      <c r="G1252" s="5" t="s">
        <v>2251</v>
      </c>
      <c r="H1252" s="5" t="s">
        <v>2258</v>
      </c>
      <c r="I1252" s="5" t="s">
        <v>2260</v>
      </c>
      <c r="J1252" s="5" t="s">
        <v>2266</v>
      </c>
      <c r="K1252" s="8">
        <v>1</v>
      </c>
      <c r="L1252" s="9">
        <v>100</v>
      </c>
      <c r="M1252" s="10">
        <v>0</v>
      </c>
      <c r="N1252" s="9">
        <f t="shared" si="238"/>
        <v>100</v>
      </c>
      <c r="O1252" s="9">
        <f t="shared" si="228"/>
        <v>100</v>
      </c>
      <c r="P1252" s="5" t="s">
        <v>2268</v>
      </c>
      <c r="Q1252" s="5" t="s">
        <v>1761</v>
      </c>
      <c r="R1252" s="5" t="s">
        <v>2276</v>
      </c>
      <c r="S1252" s="5" t="s">
        <v>2281</v>
      </c>
      <c r="T1252" s="5" t="s">
        <v>2288</v>
      </c>
      <c r="U1252" s="8">
        <v>4</v>
      </c>
      <c r="V1252" s="8">
        <v>381</v>
      </c>
      <c r="W1252" s="8">
        <v>57</v>
      </c>
      <c r="X1252" s="9">
        <v>47.86</v>
      </c>
      <c r="Y1252" s="9">
        <f t="shared" si="229"/>
        <v>52.14</v>
      </c>
      <c r="Z1252" s="5" t="s">
        <v>1761</v>
      </c>
      <c r="AA1252" s="5" t="s">
        <v>2299</v>
      </c>
      <c r="AB1252" s="9">
        <f t="shared" si="230"/>
        <v>100</v>
      </c>
      <c r="AC1252" s="9">
        <f t="shared" si="231"/>
        <v>0</v>
      </c>
      <c r="AD1252" s="9">
        <f t="shared" si="232"/>
        <v>100</v>
      </c>
      <c r="AE1252" s="9">
        <f t="shared" si="233"/>
        <v>47.86</v>
      </c>
      <c r="AF1252" s="9">
        <f t="shared" si="239"/>
        <v>52.14</v>
      </c>
      <c r="AG1252" s="8">
        <f t="shared" si="234"/>
        <v>2024</v>
      </c>
      <c r="AH1252" s="8">
        <f t="shared" si="235"/>
        <v>12</v>
      </c>
      <c r="AI1252" s="5" t="str">
        <f t="shared" si="236"/>
        <v>Dec</v>
      </c>
      <c r="AJ1252" s="5" t="str">
        <f t="shared" si="237"/>
        <v>Wednesday</v>
      </c>
    </row>
    <row r="1253" spans="1:36" x14ac:dyDescent="0.3">
      <c r="A1253" s="5" t="s">
        <v>1287</v>
      </c>
      <c r="B1253" s="6">
        <v>45571</v>
      </c>
      <c r="C1253" s="7">
        <v>0.2986111111111111</v>
      </c>
      <c r="D1253" s="5" t="s">
        <v>1762</v>
      </c>
      <c r="E1253" s="5" t="s">
        <v>1955</v>
      </c>
      <c r="F1253" s="5" t="s">
        <v>2240</v>
      </c>
      <c r="G1253" s="5" t="s">
        <v>2244</v>
      </c>
      <c r="H1253" s="5" t="s">
        <v>2257</v>
      </c>
      <c r="I1253" s="5" t="s">
        <v>2262</v>
      </c>
      <c r="J1253" s="5" t="s">
        <v>2266</v>
      </c>
      <c r="K1253" s="8">
        <v>1</v>
      </c>
      <c r="L1253" s="9">
        <v>120</v>
      </c>
      <c r="M1253" s="10">
        <v>0.1</v>
      </c>
      <c r="N1253" s="9">
        <f t="shared" si="238"/>
        <v>120</v>
      </c>
      <c r="O1253" s="9">
        <f t="shared" si="228"/>
        <v>108</v>
      </c>
      <c r="P1253" s="5" t="s">
        <v>2269</v>
      </c>
      <c r="Q1253" s="5" t="s">
        <v>2272</v>
      </c>
      <c r="R1253" s="5" t="s">
        <v>2276</v>
      </c>
      <c r="S1253" s="5" t="s">
        <v>2280</v>
      </c>
      <c r="T1253" s="5" t="s">
        <v>2288</v>
      </c>
      <c r="U1253" s="8">
        <v>5</v>
      </c>
      <c r="V1253" s="8">
        <v>367</v>
      </c>
      <c r="W1253" s="8">
        <v>59</v>
      </c>
      <c r="X1253" s="9">
        <v>63.47</v>
      </c>
      <c r="Y1253" s="9">
        <f t="shared" si="229"/>
        <v>44.53</v>
      </c>
      <c r="Z1253" s="5" t="s">
        <v>2294</v>
      </c>
      <c r="AA1253" s="5" t="s">
        <v>2298</v>
      </c>
      <c r="AB1253" s="9">
        <f t="shared" si="230"/>
        <v>120</v>
      </c>
      <c r="AC1253" s="9">
        <f t="shared" si="231"/>
        <v>12</v>
      </c>
      <c r="AD1253" s="9">
        <f t="shared" si="232"/>
        <v>108</v>
      </c>
      <c r="AE1253" s="9">
        <f t="shared" si="233"/>
        <v>63.47</v>
      </c>
      <c r="AF1253" s="9">
        <f t="shared" si="239"/>
        <v>44.53</v>
      </c>
      <c r="AG1253" s="8">
        <f t="shared" si="234"/>
        <v>2024</v>
      </c>
      <c r="AH1253" s="8">
        <f t="shared" si="235"/>
        <v>10</v>
      </c>
      <c r="AI1253" s="5" t="str">
        <f t="shared" si="236"/>
        <v>Oct</v>
      </c>
      <c r="AJ1253" s="5" t="str">
        <f t="shared" si="237"/>
        <v>Sunday</v>
      </c>
    </row>
    <row r="1254" spans="1:36" x14ac:dyDescent="0.3">
      <c r="A1254" s="5" t="s">
        <v>1288</v>
      </c>
      <c r="B1254" s="6">
        <v>45656</v>
      </c>
      <c r="C1254" s="7">
        <v>0.63541666666666663</v>
      </c>
      <c r="D1254" s="5" t="s">
        <v>1784</v>
      </c>
      <c r="E1254" s="5" t="s">
        <v>2089</v>
      </c>
      <c r="F1254" s="5" t="s">
        <v>1761</v>
      </c>
      <c r="G1254" s="5" t="s">
        <v>2251</v>
      </c>
      <c r="H1254" s="5" t="s">
        <v>2258</v>
      </c>
      <c r="I1254" s="5" t="s">
        <v>2260</v>
      </c>
      <c r="J1254" s="5" t="s">
        <v>2264</v>
      </c>
      <c r="K1254" s="8">
        <v>1</v>
      </c>
      <c r="L1254" s="9">
        <v>95</v>
      </c>
      <c r="M1254" s="10">
        <v>0.05</v>
      </c>
      <c r="N1254" s="9">
        <f t="shared" si="238"/>
        <v>95</v>
      </c>
      <c r="O1254" s="9">
        <f t="shared" si="228"/>
        <v>90.25</v>
      </c>
      <c r="P1254" s="5" t="s">
        <v>2269</v>
      </c>
      <c r="Q1254" s="5" t="s">
        <v>2271</v>
      </c>
      <c r="R1254" s="5" t="s">
        <v>2279</v>
      </c>
      <c r="S1254" s="5" t="s">
        <v>2282</v>
      </c>
      <c r="T1254" s="5" t="s">
        <v>2288</v>
      </c>
      <c r="U1254" s="8">
        <v>5</v>
      </c>
      <c r="V1254" s="8">
        <v>142</v>
      </c>
      <c r="W1254" s="8">
        <v>15</v>
      </c>
      <c r="X1254" s="9">
        <v>35.64</v>
      </c>
      <c r="Y1254" s="9">
        <f t="shared" si="229"/>
        <v>54.61</v>
      </c>
      <c r="Z1254" s="5" t="s">
        <v>2293</v>
      </c>
      <c r="AA1254" s="5" t="s">
        <v>2297</v>
      </c>
      <c r="AB1254" s="9">
        <f t="shared" si="230"/>
        <v>95</v>
      </c>
      <c r="AC1254" s="9">
        <f t="shared" si="231"/>
        <v>4.75</v>
      </c>
      <c r="AD1254" s="9">
        <f t="shared" si="232"/>
        <v>90.25</v>
      </c>
      <c r="AE1254" s="9">
        <f t="shared" si="233"/>
        <v>35.64</v>
      </c>
      <c r="AF1254" s="9">
        <f t="shared" si="239"/>
        <v>54.61</v>
      </c>
      <c r="AG1254" s="8">
        <f t="shared" si="234"/>
        <v>2024</v>
      </c>
      <c r="AH1254" s="8">
        <f t="shared" si="235"/>
        <v>12</v>
      </c>
      <c r="AI1254" s="5" t="str">
        <f t="shared" si="236"/>
        <v>Dec</v>
      </c>
      <c r="AJ1254" s="5" t="str">
        <f t="shared" si="237"/>
        <v>Monday</v>
      </c>
    </row>
    <row r="1255" spans="1:36" x14ac:dyDescent="0.3">
      <c r="A1255" s="5" t="s">
        <v>1289</v>
      </c>
      <c r="B1255" s="6">
        <v>45362</v>
      </c>
      <c r="C1255" s="7">
        <v>0.63541666666666663</v>
      </c>
      <c r="D1255" s="5" t="s">
        <v>1774</v>
      </c>
      <c r="E1255" s="5" t="s">
        <v>2235</v>
      </c>
      <c r="F1255" s="5" t="s">
        <v>2240</v>
      </c>
      <c r="G1255" s="5" t="s">
        <v>2250</v>
      </c>
      <c r="H1255" s="5" t="s">
        <v>2259</v>
      </c>
      <c r="I1255" s="5" t="s">
        <v>2262</v>
      </c>
      <c r="J1255" s="5" t="s">
        <v>2266</v>
      </c>
      <c r="K1255" s="8">
        <v>1</v>
      </c>
      <c r="L1255" s="9">
        <v>85</v>
      </c>
      <c r="M1255" s="10">
        <v>0.15</v>
      </c>
      <c r="N1255" s="9">
        <f t="shared" si="238"/>
        <v>85</v>
      </c>
      <c r="O1255" s="9">
        <f t="shared" si="228"/>
        <v>72.25</v>
      </c>
      <c r="P1255" s="5" t="s">
        <v>2268</v>
      </c>
      <c r="Q1255" s="5" t="s">
        <v>2270</v>
      </c>
      <c r="R1255" s="5" t="s">
        <v>2276</v>
      </c>
      <c r="S1255" s="5" t="s">
        <v>2285</v>
      </c>
      <c r="T1255" s="5" t="s">
        <v>2289</v>
      </c>
      <c r="U1255" s="8">
        <v>1</v>
      </c>
      <c r="V1255" s="8">
        <v>262</v>
      </c>
      <c r="W1255" s="8">
        <v>52</v>
      </c>
      <c r="X1255" s="9">
        <v>42.21</v>
      </c>
      <c r="Y1255" s="9">
        <f t="shared" si="229"/>
        <v>30.04</v>
      </c>
      <c r="Z1255" s="5" t="s">
        <v>2291</v>
      </c>
      <c r="AA1255" s="5" t="s">
        <v>2296</v>
      </c>
      <c r="AB1255" s="9">
        <f t="shared" si="230"/>
        <v>85</v>
      </c>
      <c r="AC1255" s="9">
        <f t="shared" si="231"/>
        <v>12.75</v>
      </c>
      <c r="AD1255" s="9">
        <f t="shared" si="232"/>
        <v>72.25</v>
      </c>
      <c r="AE1255" s="9">
        <f t="shared" si="233"/>
        <v>42.21</v>
      </c>
      <c r="AF1255" s="9">
        <f t="shared" si="239"/>
        <v>30.04</v>
      </c>
      <c r="AG1255" s="8">
        <f t="shared" si="234"/>
        <v>2024</v>
      </c>
      <c r="AH1255" s="8">
        <f t="shared" si="235"/>
        <v>3</v>
      </c>
      <c r="AI1255" s="5" t="str">
        <f t="shared" si="236"/>
        <v>Mar</v>
      </c>
      <c r="AJ1255" s="5" t="str">
        <f t="shared" si="237"/>
        <v>Monday</v>
      </c>
    </row>
    <row r="1256" spans="1:36" x14ac:dyDescent="0.3">
      <c r="A1256" s="5" t="s">
        <v>1290</v>
      </c>
      <c r="B1256" s="6">
        <v>45309</v>
      </c>
      <c r="C1256" s="7">
        <v>0.38194444444444442</v>
      </c>
      <c r="D1256" s="5" t="s">
        <v>1789</v>
      </c>
      <c r="E1256" s="5" t="s">
        <v>1761</v>
      </c>
      <c r="F1256" s="5" t="s">
        <v>2240</v>
      </c>
      <c r="G1256" s="5" t="s">
        <v>2245</v>
      </c>
      <c r="H1256" s="5" t="s">
        <v>2257</v>
      </c>
      <c r="I1256" s="5" t="s">
        <v>2263</v>
      </c>
      <c r="J1256" s="5" t="s">
        <v>2266</v>
      </c>
      <c r="K1256" s="8">
        <v>2</v>
      </c>
      <c r="L1256" s="9">
        <v>160</v>
      </c>
      <c r="M1256" s="10">
        <v>0.1</v>
      </c>
      <c r="N1256" s="9">
        <f t="shared" si="238"/>
        <v>320</v>
      </c>
      <c r="O1256" s="9">
        <f t="shared" si="228"/>
        <v>288</v>
      </c>
      <c r="P1256" s="5" t="s">
        <v>2268</v>
      </c>
      <c r="Q1256" s="5" t="s">
        <v>2270</v>
      </c>
      <c r="R1256" s="5" t="s">
        <v>2277</v>
      </c>
      <c r="S1256" s="5" t="s">
        <v>2283</v>
      </c>
      <c r="T1256" s="5" t="s">
        <v>2288</v>
      </c>
      <c r="U1256" s="8">
        <v>5</v>
      </c>
      <c r="V1256" s="8">
        <v>423</v>
      </c>
      <c r="W1256" s="8">
        <v>29</v>
      </c>
      <c r="X1256" s="9">
        <v>60.6</v>
      </c>
      <c r="Y1256" s="9">
        <f t="shared" si="229"/>
        <v>166.8</v>
      </c>
      <c r="Z1256" s="5" t="s">
        <v>2292</v>
      </c>
      <c r="AA1256" s="5" t="s">
        <v>2297</v>
      </c>
      <c r="AB1256" s="9">
        <f t="shared" si="230"/>
        <v>320</v>
      </c>
      <c r="AC1256" s="9">
        <f t="shared" si="231"/>
        <v>32</v>
      </c>
      <c r="AD1256" s="9">
        <f t="shared" si="232"/>
        <v>288</v>
      </c>
      <c r="AE1256" s="9">
        <f t="shared" si="233"/>
        <v>121.2</v>
      </c>
      <c r="AF1256" s="9">
        <f t="shared" si="239"/>
        <v>166.8</v>
      </c>
      <c r="AG1256" s="8">
        <f t="shared" si="234"/>
        <v>2024</v>
      </c>
      <c r="AH1256" s="8">
        <f t="shared" si="235"/>
        <v>1</v>
      </c>
      <c r="AI1256" s="5" t="str">
        <f t="shared" si="236"/>
        <v>Jan</v>
      </c>
      <c r="AJ1256" s="5" t="str">
        <f t="shared" si="237"/>
        <v>Thursday</v>
      </c>
    </row>
    <row r="1257" spans="1:36" x14ac:dyDescent="0.3">
      <c r="A1257" s="5" t="s">
        <v>1291</v>
      </c>
      <c r="B1257" s="6">
        <v>45458</v>
      </c>
      <c r="C1257" s="7">
        <v>0.44791666666666669</v>
      </c>
      <c r="D1257" s="5" t="s">
        <v>1827</v>
      </c>
      <c r="E1257" s="5" t="s">
        <v>2125</v>
      </c>
      <c r="F1257" s="5" t="s">
        <v>2239</v>
      </c>
      <c r="G1257" s="5" t="s">
        <v>2242</v>
      </c>
      <c r="H1257" s="5" t="s">
        <v>2258</v>
      </c>
      <c r="I1257" s="5" t="s">
        <v>2260</v>
      </c>
      <c r="J1257" s="5" t="s">
        <v>2266</v>
      </c>
      <c r="K1257" s="8">
        <v>2</v>
      </c>
      <c r="L1257" s="9">
        <v>125</v>
      </c>
      <c r="M1257" s="10">
        <v>0.05</v>
      </c>
      <c r="N1257" s="9">
        <f t="shared" si="238"/>
        <v>250</v>
      </c>
      <c r="O1257" s="9">
        <f t="shared" si="228"/>
        <v>237.5</v>
      </c>
      <c r="P1257" s="5" t="s">
        <v>2269</v>
      </c>
      <c r="Q1257" s="5" t="s">
        <v>2272</v>
      </c>
      <c r="R1257" s="5" t="s">
        <v>2277</v>
      </c>
      <c r="S1257" s="5" t="s">
        <v>2283</v>
      </c>
      <c r="T1257" s="5" t="s">
        <v>2288</v>
      </c>
      <c r="U1257" s="8">
        <v>5</v>
      </c>
      <c r="V1257" s="8">
        <v>285</v>
      </c>
      <c r="W1257" s="19">
        <v>35</v>
      </c>
      <c r="X1257" s="9">
        <v>50.78</v>
      </c>
      <c r="Y1257" s="9">
        <f t="shared" si="229"/>
        <v>135.94</v>
      </c>
      <c r="Z1257" s="5" t="s">
        <v>2294</v>
      </c>
      <c r="AA1257" s="5" t="s">
        <v>2296</v>
      </c>
      <c r="AB1257" s="9">
        <f t="shared" si="230"/>
        <v>250</v>
      </c>
      <c r="AC1257" s="9">
        <f t="shared" si="231"/>
        <v>12.5</v>
      </c>
      <c r="AD1257" s="9">
        <f t="shared" si="232"/>
        <v>237.5</v>
      </c>
      <c r="AE1257" s="9">
        <f t="shared" si="233"/>
        <v>101.56</v>
      </c>
      <c r="AF1257" s="9">
        <f t="shared" si="239"/>
        <v>135.94</v>
      </c>
      <c r="AG1257" s="8">
        <f t="shared" si="234"/>
        <v>2024</v>
      </c>
      <c r="AH1257" s="8">
        <f t="shared" si="235"/>
        <v>6</v>
      </c>
      <c r="AI1257" s="5" t="str">
        <f t="shared" si="236"/>
        <v>Jun</v>
      </c>
      <c r="AJ1257" s="5" t="str">
        <f t="shared" si="237"/>
        <v>Saturday</v>
      </c>
    </row>
    <row r="1258" spans="1:36" x14ac:dyDescent="0.3">
      <c r="A1258" s="5" t="s">
        <v>1292</v>
      </c>
      <c r="B1258" s="6">
        <v>45363</v>
      </c>
      <c r="C1258" s="7">
        <v>0.2986111111111111</v>
      </c>
      <c r="D1258" s="5" t="s">
        <v>1853</v>
      </c>
      <c r="E1258" s="5" t="s">
        <v>2138</v>
      </c>
      <c r="F1258" s="5" t="s">
        <v>2240</v>
      </c>
      <c r="G1258" s="5" t="s">
        <v>2246</v>
      </c>
      <c r="H1258" s="5" t="s">
        <v>2259</v>
      </c>
      <c r="I1258" s="5" t="s">
        <v>2262</v>
      </c>
      <c r="J1258" s="5" t="s">
        <v>2264</v>
      </c>
      <c r="K1258" s="8">
        <v>2</v>
      </c>
      <c r="L1258" s="9">
        <v>100</v>
      </c>
      <c r="M1258" s="10">
        <v>0</v>
      </c>
      <c r="N1258" s="9">
        <f t="shared" si="238"/>
        <v>200</v>
      </c>
      <c r="O1258" s="9">
        <f t="shared" si="228"/>
        <v>200</v>
      </c>
      <c r="P1258" s="5" t="s">
        <v>2269</v>
      </c>
      <c r="Q1258" s="5" t="s">
        <v>1761</v>
      </c>
      <c r="R1258" s="5" t="s">
        <v>2277</v>
      </c>
      <c r="S1258" s="5" t="s">
        <v>2283</v>
      </c>
      <c r="T1258" s="5" t="s">
        <v>2288</v>
      </c>
      <c r="U1258" s="19">
        <v>3</v>
      </c>
      <c r="V1258" s="8">
        <v>405</v>
      </c>
      <c r="W1258" s="8">
        <v>46</v>
      </c>
      <c r="X1258" s="9">
        <v>56.98</v>
      </c>
      <c r="Y1258" s="9">
        <f t="shared" si="229"/>
        <v>86.04</v>
      </c>
      <c r="Z1258" s="5" t="s">
        <v>1761</v>
      </c>
      <c r="AA1258" s="5" t="s">
        <v>2299</v>
      </c>
      <c r="AB1258" s="9">
        <f t="shared" si="230"/>
        <v>200</v>
      </c>
      <c r="AC1258" s="9">
        <f t="shared" si="231"/>
        <v>0</v>
      </c>
      <c r="AD1258" s="9">
        <f t="shared" si="232"/>
        <v>200</v>
      </c>
      <c r="AE1258" s="9">
        <f t="shared" si="233"/>
        <v>113.96</v>
      </c>
      <c r="AF1258" s="9">
        <f t="shared" si="239"/>
        <v>86.04</v>
      </c>
      <c r="AG1258" s="8">
        <f t="shared" si="234"/>
        <v>2024</v>
      </c>
      <c r="AH1258" s="8">
        <f t="shared" si="235"/>
        <v>3</v>
      </c>
      <c r="AI1258" s="5" t="str">
        <f t="shared" si="236"/>
        <v>Mar</v>
      </c>
      <c r="AJ1258" s="5" t="str">
        <f t="shared" si="237"/>
        <v>Tuesday</v>
      </c>
    </row>
    <row r="1259" spans="1:36" x14ac:dyDescent="0.3">
      <c r="A1259" s="5" t="s">
        <v>1293</v>
      </c>
      <c r="B1259" s="6">
        <v>45315</v>
      </c>
      <c r="C1259" s="7">
        <v>0.2986111111111111</v>
      </c>
      <c r="D1259" s="5" t="s">
        <v>1924</v>
      </c>
      <c r="E1259" s="5" t="s">
        <v>2224</v>
      </c>
      <c r="F1259" s="5" t="s">
        <v>2238</v>
      </c>
      <c r="G1259" s="5" t="s">
        <v>2244</v>
      </c>
      <c r="H1259" s="5" t="s">
        <v>2257</v>
      </c>
      <c r="I1259" s="5" t="s">
        <v>2262</v>
      </c>
      <c r="J1259" s="5" t="s">
        <v>2266</v>
      </c>
      <c r="K1259" s="8">
        <v>2</v>
      </c>
      <c r="L1259" s="9">
        <v>125</v>
      </c>
      <c r="M1259" s="10">
        <v>0.05</v>
      </c>
      <c r="N1259" s="9">
        <f t="shared" si="238"/>
        <v>250</v>
      </c>
      <c r="O1259" s="9">
        <f t="shared" si="228"/>
        <v>237.5</v>
      </c>
      <c r="P1259" s="5" t="s">
        <v>2268</v>
      </c>
      <c r="Q1259" s="5" t="s">
        <v>2271</v>
      </c>
      <c r="R1259" s="5" t="s">
        <v>2274</v>
      </c>
      <c r="S1259" s="5" t="s">
        <v>2281</v>
      </c>
      <c r="T1259" s="5" t="s">
        <v>2290</v>
      </c>
      <c r="U1259" s="8">
        <v>3</v>
      </c>
      <c r="V1259" s="8">
        <v>196</v>
      </c>
      <c r="W1259" s="8">
        <v>27</v>
      </c>
      <c r="X1259" s="9">
        <v>50.57</v>
      </c>
      <c r="Y1259" s="9">
        <f t="shared" si="229"/>
        <v>136.36000000000001</v>
      </c>
      <c r="Z1259" s="5" t="s">
        <v>2291</v>
      </c>
      <c r="AA1259" s="5" t="s">
        <v>2299</v>
      </c>
      <c r="AB1259" s="9">
        <f t="shared" si="230"/>
        <v>250</v>
      </c>
      <c r="AC1259" s="9">
        <f t="shared" si="231"/>
        <v>12.5</v>
      </c>
      <c r="AD1259" s="9">
        <f t="shared" si="232"/>
        <v>237.5</v>
      </c>
      <c r="AE1259" s="9">
        <f t="shared" si="233"/>
        <v>101.14</v>
      </c>
      <c r="AF1259" s="9">
        <f t="shared" si="239"/>
        <v>136.36000000000001</v>
      </c>
      <c r="AG1259" s="8">
        <f t="shared" si="234"/>
        <v>2024</v>
      </c>
      <c r="AH1259" s="8">
        <f t="shared" si="235"/>
        <v>1</v>
      </c>
      <c r="AI1259" s="5" t="str">
        <f t="shared" si="236"/>
        <v>Jan</v>
      </c>
      <c r="AJ1259" s="5" t="str">
        <f t="shared" si="237"/>
        <v>Wednesday</v>
      </c>
    </row>
    <row r="1260" spans="1:36" x14ac:dyDescent="0.3">
      <c r="A1260" s="5" t="s">
        <v>1294</v>
      </c>
      <c r="B1260" s="6">
        <v>45297</v>
      </c>
      <c r="C1260" s="7">
        <v>0.82291666666666663</v>
      </c>
      <c r="D1260" s="5" t="s">
        <v>1796</v>
      </c>
      <c r="E1260" s="5" t="s">
        <v>2129</v>
      </c>
      <c r="F1260" s="5" t="s">
        <v>1761</v>
      </c>
      <c r="G1260" s="5" t="s">
        <v>2243</v>
      </c>
      <c r="H1260" s="5" t="s">
        <v>2258</v>
      </c>
      <c r="I1260" s="5" t="s">
        <v>2260</v>
      </c>
      <c r="J1260" s="5" t="s">
        <v>2264</v>
      </c>
      <c r="K1260" s="8">
        <v>1</v>
      </c>
      <c r="L1260" s="9">
        <v>75</v>
      </c>
      <c r="M1260" s="10">
        <v>0</v>
      </c>
      <c r="N1260" s="9">
        <f t="shared" si="238"/>
        <v>75</v>
      </c>
      <c r="O1260" s="9">
        <f t="shared" si="228"/>
        <v>75</v>
      </c>
      <c r="P1260" s="5" t="s">
        <v>1761</v>
      </c>
      <c r="Q1260" s="5" t="s">
        <v>2272</v>
      </c>
      <c r="R1260" s="5" t="s">
        <v>2278</v>
      </c>
      <c r="S1260" s="5" t="s">
        <v>2280</v>
      </c>
      <c r="T1260" s="5" t="s">
        <v>2288</v>
      </c>
      <c r="U1260" s="8">
        <v>5</v>
      </c>
      <c r="V1260" s="19">
        <v>244</v>
      </c>
      <c r="W1260" s="8">
        <v>33</v>
      </c>
      <c r="X1260" s="9">
        <v>36.69</v>
      </c>
      <c r="Y1260" s="9">
        <f t="shared" si="229"/>
        <v>38.31</v>
      </c>
      <c r="Z1260" s="5" t="s">
        <v>2292</v>
      </c>
      <c r="AA1260" s="5" t="s">
        <v>1761</v>
      </c>
      <c r="AB1260" s="9">
        <f t="shared" si="230"/>
        <v>75</v>
      </c>
      <c r="AC1260" s="9">
        <f t="shared" si="231"/>
        <v>0</v>
      </c>
      <c r="AD1260" s="9">
        <f t="shared" si="232"/>
        <v>75</v>
      </c>
      <c r="AE1260" s="9">
        <f t="shared" si="233"/>
        <v>36.69</v>
      </c>
      <c r="AF1260" s="9">
        <f t="shared" si="239"/>
        <v>38.31</v>
      </c>
      <c r="AG1260" s="8">
        <f t="shared" si="234"/>
        <v>2024</v>
      </c>
      <c r="AH1260" s="8">
        <f t="shared" si="235"/>
        <v>1</v>
      </c>
      <c r="AI1260" s="5" t="str">
        <f t="shared" si="236"/>
        <v>Jan</v>
      </c>
      <c r="AJ1260" s="5" t="str">
        <f t="shared" si="237"/>
        <v>Saturday</v>
      </c>
    </row>
    <row r="1261" spans="1:36" x14ac:dyDescent="0.3">
      <c r="A1261" s="5" t="s">
        <v>1295</v>
      </c>
      <c r="B1261" s="6">
        <v>45493</v>
      </c>
      <c r="C1261" s="7">
        <v>0.32291666666666669</v>
      </c>
      <c r="D1261" s="5" t="s">
        <v>1920</v>
      </c>
      <c r="E1261" s="5" t="s">
        <v>2097</v>
      </c>
      <c r="F1261" s="5" t="s">
        <v>2240</v>
      </c>
      <c r="G1261" s="5" t="s">
        <v>2244</v>
      </c>
      <c r="H1261" s="5" t="s">
        <v>2257</v>
      </c>
      <c r="I1261" s="5" t="s">
        <v>2262</v>
      </c>
      <c r="J1261" s="5" t="s">
        <v>2264</v>
      </c>
      <c r="K1261" s="8">
        <v>1</v>
      </c>
      <c r="L1261" s="9">
        <v>130</v>
      </c>
      <c r="M1261" s="10">
        <v>0.05</v>
      </c>
      <c r="N1261" s="9">
        <f t="shared" si="238"/>
        <v>130</v>
      </c>
      <c r="O1261" s="9">
        <f t="shared" si="228"/>
        <v>123.5</v>
      </c>
      <c r="P1261" s="5" t="s">
        <v>1761</v>
      </c>
      <c r="Q1261" s="5" t="s">
        <v>2272</v>
      </c>
      <c r="R1261" s="5" t="s">
        <v>2273</v>
      </c>
      <c r="S1261" s="5" t="s">
        <v>2285</v>
      </c>
      <c r="T1261" s="5" t="s">
        <v>2288</v>
      </c>
      <c r="U1261" s="8">
        <v>4</v>
      </c>
      <c r="V1261" s="8">
        <v>172</v>
      </c>
      <c r="W1261" s="19">
        <v>35</v>
      </c>
      <c r="X1261" s="9">
        <v>50.7</v>
      </c>
      <c r="Y1261" s="9">
        <f t="shared" si="229"/>
        <v>72.8</v>
      </c>
      <c r="Z1261" s="5" t="s">
        <v>1761</v>
      </c>
      <c r="AA1261" s="5" t="s">
        <v>2299</v>
      </c>
      <c r="AB1261" s="9">
        <f t="shared" si="230"/>
        <v>130</v>
      </c>
      <c r="AC1261" s="9">
        <f t="shared" si="231"/>
        <v>6.5</v>
      </c>
      <c r="AD1261" s="9">
        <f t="shared" si="232"/>
        <v>123.5</v>
      </c>
      <c r="AE1261" s="9">
        <f t="shared" si="233"/>
        <v>50.7</v>
      </c>
      <c r="AF1261" s="9">
        <f t="shared" si="239"/>
        <v>72.8</v>
      </c>
      <c r="AG1261" s="8">
        <f t="shared" si="234"/>
        <v>2024</v>
      </c>
      <c r="AH1261" s="8">
        <f t="shared" si="235"/>
        <v>7</v>
      </c>
      <c r="AI1261" s="5" t="str">
        <f t="shared" si="236"/>
        <v>Jul</v>
      </c>
      <c r="AJ1261" s="5" t="str">
        <f t="shared" si="237"/>
        <v>Saturday</v>
      </c>
    </row>
    <row r="1262" spans="1:36" x14ac:dyDescent="0.3">
      <c r="A1262" s="5" t="s">
        <v>1296</v>
      </c>
      <c r="B1262" s="6">
        <v>45630</v>
      </c>
      <c r="C1262" s="7">
        <v>0.33333333333333331</v>
      </c>
      <c r="D1262" s="5" t="s">
        <v>1851</v>
      </c>
      <c r="E1262" s="5" t="s">
        <v>1958</v>
      </c>
      <c r="F1262" s="5" t="s">
        <v>2240</v>
      </c>
      <c r="G1262" s="5" t="s">
        <v>2253</v>
      </c>
      <c r="H1262" s="5" t="s">
        <v>2258</v>
      </c>
      <c r="I1262" s="5" t="s">
        <v>2260</v>
      </c>
      <c r="J1262" s="5" t="s">
        <v>2265</v>
      </c>
      <c r="K1262" s="8">
        <v>4</v>
      </c>
      <c r="L1262" s="9">
        <v>85</v>
      </c>
      <c r="M1262" s="10">
        <v>0.05</v>
      </c>
      <c r="N1262" s="9">
        <f t="shared" si="238"/>
        <v>340</v>
      </c>
      <c r="O1262" s="9">
        <f t="shared" si="228"/>
        <v>323</v>
      </c>
      <c r="P1262" s="5" t="s">
        <v>2268</v>
      </c>
      <c r="Q1262" s="5" t="s">
        <v>2272</v>
      </c>
      <c r="R1262" s="5" t="s">
        <v>2276</v>
      </c>
      <c r="S1262" s="5" t="s">
        <v>2282</v>
      </c>
      <c r="T1262" s="5" t="s">
        <v>2288</v>
      </c>
      <c r="U1262" s="8">
        <v>4</v>
      </c>
      <c r="V1262" s="8">
        <v>210</v>
      </c>
      <c r="W1262" s="8">
        <v>27</v>
      </c>
      <c r="X1262" s="9">
        <v>42.47</v>
      </c>
      <c r="Y1262" s="9">
        <f t="shared" si="229"/>
        <v>153.12</v>
      </c>
      <c r="Z1262" s="5" t="s">
        <v>1761</v>
      </c>
      <c r="AA1262" s="5" t="s">
        <v>2298</v>
      </c>
      <c r="AB1262" s="9">
        <f t="shared" si="230"/>
        <v>340</v>
      </c>
      <c r="AC1262" s="9">
        <f t="shared" si="231"/>
        <v>17</v>
      </c>
      <c r="AD1262" s="9">
        <f t="shared" si="232"/>
        <v>323</v>
      </c>
      <c r="AE1262" s="9">
        <f t="shared" si="233"/>
        <v>169.88</v>
      </c>
      <c r="AF1262" s="9">
        <f t="shared" si="239"/>
        <v>153.12</v>
      </c>
      <c r="AG1262" s="8">
        <f t="shared" si="234"/>
        <v>2024</v>
      </c>
      <c r="AH1262" s="8">
        <f t="shared" si="235"/>
        <v>12</v>
      </c>
      <c r="AI1262" s="5" t="str">
        <f t="shared" si="236"/>
        <v>Dec</v>
      </c>
      <c r="AJ1262" s="5" t="str">
        <f t="shared" si="237"/>
        <v>Wednesday</v>
      </c>
    </row>
    <row r="1263" spans="1:36" x14ac:dyDescent="0.3">
      <c r="A1263" s="5" t="s">
        <v>1297</v>
      </c>
      <c r="B1263" s="6">
        <v>45652</v>
      </c>
      <c r="C1263" s="7">
        <v>0.4513888888888889</v>
      </c>
      <c r="D1263" s="5" t="s">
        <v>1877</v>
      </c>
      <c r="E1263" s="5" t="s">
        <v>2048</v>
      </c>
      <c r="F1263" s="5" t="s">
        <v>2240</v>
      </c>
      <c r="G1263" s="5" t="s">
        <v>2249</v>
      </c>
      <c r="H1263" s="5" t="s">
        <v>2257</v>
      </c>
      <c r="I1263" s="5" t="s">
        <v>2263</v>
      </c>
      <c r="J1263" s="5" t="s">
        <v>2266</v>
      </c>
      <c r="K1263" s="8">
        <v>1</v>
      </c>
      <c r="L1263" s="9">
        <v>155</v>
      </c>
      <c r="M1263" s="10">
        <v>0.1</v>
      </c>
      <c r="N1263" s="9">
        <f t="shared" si="238"/>
        <v>155</v>
      </c>
      <c r="O1263" s="9">
        <f t="shared" si="228"/>
        <v>139.5</v>
      </c>
      <c r="P1263" s="5" t="s">
        <v>2267</v>
      </c>
      <c r="Q1263" s="5" t="s">
        <v>2272</v>
      </c>
      <c r="R1263" s="5" t="s">
        <v>2275</v>
      </c>
      <c r="S1263" s="5" t="s">
        <v>2287</v>
      </c>
      <c r="T1263" s="5" t="s">
        <v>2288</v>
      </c>
      <c r="U1263" s="8">
        <v>3</v>
      </c>
      <c r="V1263" s="19">
        <v>244</v>
      </c>
      <c r="W1263" s="19">
        <v>35</v>
      </c>
      <c r="X1263" s="9">
        <v>94.95</v>
      </c>
      <c r="Y1263" s="9">
        <f t="shared" si="229"/>
        <v>44.55</v>
      </c>
      <c r="Z1263" s="5" t="s">
        <v>2294</v>
      </c>
      <c r="AA1263" s="5" t="s">
        <v>2296</v>
      </c>
      <c r="AB1263" s="9">
        <f t="shared" si="230"/>
        <v>155</v>
      </c>
      <c r="AC1263" s="9">
        <f t="shared" si="231"/>
        <v>15.5</v>
      </c>
      <c r="AD1263" s="9">
        <f t="shared" si="232"/>
        <v>139.5</v>
      </c>
      <c r="AE1263" s="9">
        <f t="shared" si="233"/>
        <v>94.95</v>
      </c>
      <c r="AF1263" s="9">
        <f t="shared" si="239"/>
        <v>44.55</v>
      </c>
      <c r="AG1263" s="8">
        <f t="shared" si="234"/>
        <v>2024</v>
      </c>
      <c r="AH1263" s="8">
        <f t="shared" si="235"/>
        <v>12</v>
      </c>
      <c r="AI1263" s="5" t="str">
        <f t="shared" si="236"/>
        <v>Dec</v>
      </c>
      <c r="AJ1263" s="5" t="str">
        <f t="shared" si="237"/>
        <v>Thursday</v>
      </c>
    </row>
    <row r="1264" spans="1:36" x14ac:dyDescent="0.3">
      <c r="A1264" s="5" t="s">
        <v>1298</v>
      </c>
      <c r="B1264" s="6">
        <v>45300</v>
      </c>
      <c r="C1264" s="7">
        <v>0.59027777777777779</v>
      </c>
      <c r="D1264" s="5" t="s">
        <v>1805</v>
      </c>
      <c r="E1264" s="5" t="s">
        <v>2131</v>
      </c>
      <c r="F1264" s="5" t="s">
        <v>2238</v>
      </c>
      <c r="G1264" s="5" t="s">
        <v>2251</v>
      </c>
      <c r="H1264" s="5" t="s">
        <v>2258</v>
      </c>
      <c r="I1264" s="5" t="s">
        <v>2260</v>
      </c>
      <c r="J1264" s="5" t="s">
        <v>2266</v>
      </c>
      <c r="K1264" s="8">
        <v>1</v>
      </c>
      <c r="L1264" s="9">
        <v>105</v>
      </c>
      <c r="M1264" s="10">
        <v>0</v>
      </c>
      <c r="N1264" s="9">
        <f t="shared" si="238"/>
        <v>105</v>
      </c>
      <c r="O1264" s="9">
        <f t="shared" si="228"/>
        <v>105</v>
      </c>
      <c r="P1264" s="5" t="s">
        <v>2269</v>
      </c>
      <c r="Q1264" s="5" t="s">
        <v>1761</v>
      </c>
      <c r="R1264" s="5" t="s">
        <v>2278</v>
      </c>
      <c r="S1264" s="5" t="s">
        <v>2282</v>
      </c>
      <c r="T1264" s="5" t="s">
        <v>2288</v>
      </c>
      <c r="U1264" s="8">
        <v>5</v>
      </c>
      <c r="V1264" s="8">
        <v>129</v>
      </c>
      <c r="W1264" s="8">
        <v>41</v>
      </c>
      <c r="X1264" s="9">
        <v>56.3</v>
      </c>
      <c r="Y1264" s="9">
        <f t="shared" si="229"/>
        <v>48.7</v>
      </c>
      <c r="Z1264" s="5" t="s">
        <v>2294</v>
      </c>
      <c r="AA1264" s="5" t="s">
        <v>2299</v>
      </c>
      <c r="AB1264" s="9">
        <f t="shared" si="230"/>
        <v>105</v>
      </c>
      <c r="AC1264" s="9">
        <f t="shared" si="231"/>
        <v>0</v>
      </c>
      <c r="AD1264" s="9">
        <f t="shared" si="232"/>
        <v>105</v>
      </c>
      <c r="AE1264" s="9">
        <f t="shared" si="233"/>
        <v>56.3</v>
      </c>
      <c r="AF1264" s="9">
        <f t="shared" si="239"/>
        <v>48.7</v>
      </c>
      <c r="AG1264" s="8">
        <f t="shared" si="234"/>
        <v>2024</v>
      </c>
      <c r="AH1264" s="8">
        <f t="shared" si="235"/>
        <v>1</v>
      </c>
      <c r="AI1264" s="5" t="str">
        <f t="shared" si="236"/>
        <v>Jan</v>
      </c>
      <c r="AJ1264" s="5" t="str">
        <f t="shared" si="237"/>
        <v>Tuesday</v>
      </c>
    </row>
    <row r="1265" spans="1:36" x14ac:dyDescent="0.3">
      <c r="A1265" s="5" t="s">
        <v>1299</v>
      </c>
      <c r="B1265" s="6">
        <v>45566</v>
      </c>
      <c r="C1265" s="7">
        <v>0.30555555555555558</v>
      </c>
      <c r="D1265" s="5" t="s">
        <v>1769</v>
      </c>
      <c r="E1265" s="5" t="s">
        <v>2225</v>
      </c>
      <c r="F1265" s="5" t="s">
        <v>1761</v>
      </c>
      <c r="G1265" s="5" t="s">
        <v>2246</v>
      </c>
      <c r="H1265" s="5" t="s">
        <v>2259</v>
      </c>
      <c r="I1265" s="5" t="s">
        <v>2262</v>
      </c>
      <c r="J1265" s="5" t="s">
        <v>2266</v>
      </c>
      <c r="K1265" s="8">
        <v>2</v>
      </c>
      <c r="L1265" s="9">
        <v>105</v>
      </c>
      <c r="M1265" s="10">
        <v>0</v>
      </c>
      <c r="N1265" s="9">
        <f t="shared" si="238"/>
        <v>210</v>
      </c>
      <c r="O1265" s="9">
        <f t="shared" si="228"/>
        <v>210</v>
      </c>
      <c r="P1265" s="5" t="s">
        <v>2269</v>
      </c>
      <c r="Q1265" s="5" t="s">
        <v>1761</v>
      </c>
      <c r="R1265" s="5" t="s">
        <v>2275</v>
      </c>
      <c r="S1265" s="5" t="s">
        <v>2285</v>
      </c>
      <c r="T1265" s="5" t="s">
        <v>2288</v>
      </c>
      <c r="U1265" s="8">
        <v>5</v>
      </c>
      <c r="V1265" s="8">
        <v>374</v>
      </c>
      <c r="W1265" s="8">
        <v>32</v>
      </c>
      <c r="X1265" s="9">
        <v>55.8</v>
      </c>
      <c r="Y1265" s="9">
        <f t="shared" si="229"/>
        <v>98.4</v>
      </c>
      <c r="Z1265" s="5" t="s">
        <v>1761</v>
      </c>
      <c r="AA1265" s="5" t="s">
        <v>2299</v>
      </c>
      <c r="AB1265" s="9">
        <f t="shared" si="230"/>
        <v>210</v>
      </c>
      <c r="AC1265" s="9">
        <f t="shared" si="231"/>
        <v>0</v>
      </c>
      <c r="AD1265" s="9">
        <f t="shared" si="232"/>
        <v>210</v>
      </c>
      <c r="AE1265" s="9">
        <f t="shared" si="233"/>
        <v>111.6</v>
      </c>
      <c r="AF1265" s="9">
        <f t="shared" si="239"/>
        <v>98.4</v>
      </c>
      <c r="AG1265" s="8">
        <f t="shared" si="234"/>
        <v>2024</v>
      </c>
      <c r="AH1265" s="8">
        <f t="shared" si="235"/>
        <v>10</v>
      </c>
      <c r="AI1265" s="5" t="str">
        <f t="shared" si="236"/>
        <v>Oct</v>
      </c>
      <c r="AJ1265" s="5" t="str">
        <f t="shared" si="237"/>
        <v>Tuesday</v>
      </c>
    </row>
    <row r="1266" spans="1:36" x14ac:dyDescent="0.3">
      <c r="A1266" s="5" t="s">
        <v>1300</v>
      </c>
      <c r="B1266" s="6">
        <v>45491</v>
      </c>
      <c r="C1266" s="7">
        <v>0.2986111111111111</v>
      </c>
      <c r="D1266" s="5" t="s">
        <v>1761</v>
      </c>
      <c r="E1266" s="5" t="s">
        <v>2064</v>
      </c>
      <c r="F1266" s="5" t="s">
        <v>1761</v>
      </c>
      <c r="G1266" s="5" t="s">
        <v>2244</v>
      </c>
      <c r="H1266" s="5" t="s">
        <v>2257</v>
      </c>
      <c r="I1266" s="5" t="s">
        <v>2262</v>
      </c>
      <c r="J1266" s="5" t="s">
        <v>2264</v>
      </c>
      <c r="K1266" s="8">
        <v>1</v>
      </c>
      <c r="L1266" s="9">
        <v>125</v>
      </c>
      <c r="M1266" s="10">
        <v>0.05</v>
      </c>
      <c r="N1266" s="9">
        <f t="shared" si="238"/>
        <v>125</v>
      </c>
      <c r="O1266" s="9">
        <f t="shared" si="228"/>
        <v>118.75</v>
      </c>
      <c r="P1266" s="5" t="s">
        <v>2268</v>
      </c>
      <c r="Q1266" s="5" t="s">
        <v>2271</v>
      </c>
      <c r="R1266" s="5" t="s">
        <v>2279</v>
      </c>
      <c r="S1266" s="5" t="s">
        <v>2287</v>
      </c>
      <c r="T1266" s="5" t="s">
        <v>2288</v>
      </c>
      <c r="U1266" s="8">
        <v>1</v>
      </c>
      <c r="V1266" s="8">
        <v>110</v>
      </c>
      <c r="W1266" s="8">
        <v>51</v>
      </c>
      <c r="X1266" s="9">
        <v>62.97</v>
      </c>
      <c r="Y1266" s="9">
        <f t="shared" si="229"/>
        <v>55.78</v>
      </c>
      <c r="Z1266" s="5" t="s">
        <v>2294</v>
      </c>
      <c r="AA1266" s="5" t="s">
        <v>2298</v>
      </c>
      <c r="AB1266" s="9">
        <f t="shared" si="230"/>
        <v>125</v>
      </c>
      <c r="AC1266" s="9">
        <f t="shared" si="231"/>
        <v>6.25</v>
      </c>
      <c r="AD1266" s="9">
        <f t="shared" si="232"/>
        <v>118.75</v>
      </c>
      <c r="AE1266" s="9">
        <f t="shared" si="233"/>
        <v>62.97</v>
      </c>
      <c r="AF1266" s="9">
        <f t="shared" si="239"/>
        <v>55.78</v>
      </c>
      <c r="AG1266" s="8">
        <f t="shared" si="234"/>
        <v>2024</v>
      </c>
      <c r="AH1266" s="8">
        <f t="shared" si="235"/>
        <v>7</v>
      </c>
      <c r="AI1266" s="5" t="str">
        <f t="shared" si="236"/>
        <v>Jul</v>
      </c>
      <c r="AJ1266" s="5" t="str">
        <f t="shared" si="237"/>
        <v>Thursday</v>
      </c>
    </row>
    <row r="1267" spans="1:36" x14ac:dyDescent="0.3">
      <c r="A1267" s="5" t="s">
        <v>1301</v>
      </c>
      <c r="B1267" s="6">
        <v>45526</v>
      </c>
      <c r="C1267" s="7">
        <v>0.70138888888888884</v>
      </c>
      <c r="D1267" s="5" t="s">
        <v>1905</v>
      </c>
      <c r="E1267" s="5" t="s">
        <v>2084</v>
      </c>
      <c r="F1267" s="5" t="s">
        <v>1761</v>
      </c>
      <c r="G1267" s="5" t="s">
        <v>2250</v>
      </c>
      <c r="H1267" s="5" t="s">
        <v>2259</v>
      </c>
      <c r="I1267" s="5" t="s">
        <v>2262</v>
      </c>
      <c r="J1267" s="5" t="s">
        <v>2264</v>
      </c>
      <c r="K1267" s="8">
        <v>2</v>
      </c>
      <c r="L1267" s="9">
        <v>85</v>
      </c>
      <c r="M1267" s="10">
        <v>0.05</v>
      </c>
      <c r="N1267" s="9">
        <f t="shared" si="238"/>
        <v>170</v>
      </c>
      <c r="O1267" s="9">
        <f t="shared" si="228"/>
        <v>161.5</v>
      </c>
      <c r="P1267" s="5" t="s">
        <v>2269</v>
      </c>
      <c r="Q1267" s="5" t="s">
        <v>2270</v>
      </c>
      <c r="R1267" s="5" t="s">
        <v>2273</v>
      </c>
      <c r="S1267" s="5" t="s">
        <v>2285</v>
      </c>
      <c r="T1267" s="5" t="s">
        <v>2289</v>
      </c>
      <c r="U1267" s="8">
        <v>2</v>
      </c>
      <c r="V1267" s="8">
        <v>258</v>
      </c>
      <c r="W1267" s="8">
        <v>53</v>
      </c>
      <c r="X1267" s="9">
        <v>43.8</v>
      </c>
      <c r="Y1267" s="9">
        <f t="shared" si="229"/>
        <v>73.900000000000006</v>
      </c>
      <c r="Z1267" s="5" t="s">
        <v>1761</v>
      </c>
      <c r="AA1267" s="5" t="s">
        <v>2296</v>
      </c>
      <c r="AB1267" s="9">
        <f t="shared" si="230"/>
        <v>170</v>
      </c>
      <c r="AC1267" s="9">
        <f t="shared" si="231"/>
        <v>8.5</v>
      </c>
      <c r="AD1267" s="9">
        <f t="shared" si="232"/>
        <v>161.5</v>
      </c>
      <c r="AE1267" s="9">
        <f t="shared" si="233"/>
        <v>87.6</v>
      </c>
      <c r="AF1267" s="9">
        <f t="shared" si="239"/>
        <v>73.900000000000006</v>
      </c>
      <c r="AG1267" s="8">
        <f t="shared" si="234"/>
        <v>2024</v>
      </c>
      <c r="AH1267" s="8">
        <f t="shared" si="235"/>
        <v>8</v>
      </c>
      <c r="AI1267" s="5" t="str">
        <f t="shared" si="236"/>
        <v>Aug</v>
      </c>
      <c r="AJ1267" s="5" t="str">
        <f t="shared" si="237"/>
        <v>Thursday</v>
      </c>
    </row>
    <row r="1268" spans="1:36" x14ac:dyDescent="0.3">
      <c r="A1268" s="5" t="s">
        <v>1302</v>
      </c>
      <c r="B1268" s="6">
        <v>45320</v>
      </c>
      <c r="C1268" s="7">
        <v>0.71527777777777779</v>
      </c>
      <c r="D1268" s="5" t="s">
        <v>1748</v>
      </c>
      <c r="E1268" s="5" t="s">
        <v>1991</v>
      </c>
      <c r="F1268" s="5" t="s">
        <v>2240</v>
      </c>
      <c r="G1268" s="5" t="s">
        <v>2248</v>
      </c>
      <c r="H1268" s="5" t="s">
        <v>2257</v>
      </c>
      <c r="I1268" s="5" t="s">
        <v>2262</v>
      </c>
      <c r="J1268" s="5" t="s">
        <v>2265</v>
      </c>
      <c r="K1268" s="8">
        <v>2</v>
      </c>
      <c r="L1268" s="9">
        <v>155</v>
      </c>
      <c r="M1268" s="10">
        <v>0</v>
      </c>
      <c r="N1268" s="9">
        <f t="shared" si="238"/>
        <v>310</v>
      </c>
      <c r="O1268" s="9">
        <f t="shared" si="228"/>
        <v>310</v>
      </c>
      <c r="P1268" s="5" t="s">
        <v>2267</v>
      </c>
      <c r="Q1268" s="5" t="s">
        <v>2272</v>
      </c>
      <c r="R1268" s="5" t="s">
        <v>2278</v>
      </c>
      <c r="S1268" s="5" t="s">
        <v>2280</v>
      </c>
      <c r="T1268" s="5" t="s">
        <v>2288</v>
      </c>
      <c r="U1268" s="8">
        <v>1</v>
      </c>
      <c r="V1268" s="8">
        <v>40</v>
      </c>
      <c r="W1268" s="8">
        <v>55</v>
      </c>
      <c r="X1268" s="9">
        <v>59.69</v>
      </c>
      <c r="Y1268" s="9">
        <f t="shared" si="229"/>
        <v>190.62</v>
      </c>
      <c r="Z1268" s="5" t="s">
        <v>2294</v>
      </c>
      <c r="AA1268" s="5" t="s">
        <v>2298</v>
      </c>
      <c r="AB1268" s="9">
        <f t="shared" si="230"/>
        <v>310</v>
      </c>
      <c r="AC1268" s="9">
        <f t="shared" si="231"/>
        <v>0</v>
      </c>
      <c r="AD1268" s="9">
        <f t="shared" si="232"/>
        <v>310</v>
      </c>
      <c r="AE1268" s="9">
        <f t="shared" si="233"/>
        <v>119.38</v>
      </c>
      <c r="AF1268" s="9">
        <f t="shared" si="239"/>
        <v>190.62</v>
      </c>
      <c r="AG1268" s="8">
        <f t="shared" si="234"/>
        <v>2024</v>
      </c>
      <c r="AH1268" s="8">
        <f t="shared" si="235"/>
        <v>1</v>
      </c>
      <c r="AI1268" s="5" t="str">
        <f t="shared" si="236"/>
        <v>Jan</v>
      </c>
      <c r="AJ1268" s="5" t="str">
        <f t="shared" si="237"/>
        <v>Monday</v>
      </c>
    </row>
    <row r="1269" spans="1:36" x14ac:dyDescent="0.3">
      <c r="A1269" s="5" t="s">
        <v>1303</v>
      </c>
      <c r="B1269" s="6">
        <v>45533</v>
      </c>
      <c r="C1269" s="7">
        <v>0.88194444444444442</v>
      </c>
      <c r="D1269" s="5" t="s">
        <v>1935</v>
      </c>
      <c r="E1269" s="5" t="s">
        <v>2166</v>
      </c>
      <c r="F1269" s="5" t="s">
        <v>2238</v>
      </c>
      <c r="G1269" s="5" t="s">
        <v>2254</v>
      </c>
      <c r="H1269" s="5" t="s">
        <v>2259</v>
      </c>
      <c r="I1269" s="5" t="s">
        <v>2263</v>
      </c>
      <c r="J1269" s="5" t="s">
        <v>2265</v>
      </c>
      <c r="K1269" s="8">
        <v>3</v>
      </c>
      <c r="L1269" s="9">
        <v>110</v>
      </c>
      <c r="M1269" s="10">
        <v>0</v>
      </c>
      <c r="N1269" s="9">
        <f t="shared" si="238"/>
        <v>330</v>
      </c>
      <c r="O1269" s="9">
        <f t="shared" si="228"/>
        <v>330</v>
      </c>
      <c r="P1269" s="5" t="s">
        <v>2268</v>
      </c>
      <c r="Q1269" s="5" t="s">
        <v>2272</v>
      </c>
      <c r="R1269" s="5" t="s">
        <v>2277</v>
      </c>
      <c r="S1269" s="5" t="s">
        <v>2281</v>
      </c>
      <c r="T1269" s="5" t="s">
        <v>2288</v>
      </c>
      <c r="U1269" s="8">
        <v>4</v>
      </c>
      <c r="V1269" s="8">
        <v>328</v>
      </c>
      <c r="W1269" s="19">
        <v>35</v>
      </c>
      <c r="X1269" s="9">
        <v>65.98</v>
      </c>
      <c r="Y1269" s="9">
        <f t="shared" si="229"/>
        <v>132.06</v>
      </c>
      <c r="Z1269" s="5" t="s">
        <v>2293</v>
      </c>
      <c r="AA1269" s="5" t="s">
        <v>2298</v>
      </c>
      <c r="AB1269" s="9">
        <f t="shared" si="230"/>
        <v>330</v>
      </c>
      <c r="AC1269" s="9">
        <f t="shared" si="231"/>
        <v>0</v>
      </c>
      <c r="AD1269" s="9">
        <f t="shared" si="232"/>
        <v>330</v>
      </c>
      <c r="AE1269" s="9">
        <f t="shared" si="233"/>
        <v>197.94</v>
      </c>
      <c r="AF1269" s="9">
        <f t="shared" si="239"/>
        <v>132.06</v>
      </c>
      <c r="AG1269" s="8">
        <f t="shared" si="234"/>
        <v>2024</v>
      </c>
      <c r="AH1269" s="8">
        <f t="shared" si="235"/>
        <v>8</v>
      </c>
      <c r="AI1269" s="5" t="str">
        <f t="shared" si="236"/>
        <v>Aug</v>
      </c>
      <c r="AJ1269" s="5" t="str">
        <f t="shared" si="237"/>
        <v>Thursday</v>
      </c>
    </row>
    <row r="1270" spans="1:36" x14ac:dyDescent="0.3">
      <c r="A1270" s="5" t="s">
        <v>1304</v>
      </c>
      <c r="B1270" s="6">
        <v>45450</v>
      </c>
      <c r="C1270" s="7">
        <v>0.625</v>
      </c>
      <c r="D1270" s="5" t="s">
        <v>1783</v>
      </c>
      <c r="E1270" s="5" t="s">
        <v>2170</v>
      </c>
      <c r="F1270" s="5" t="s">
        <v>2239</v>
      </c>
      <c r="G1270" s="5" t="s">
        <v>2241</v>
      </c>
      <c r="H1270" s="5" t="s">
        <v>2257</v>
      </c>
      <c r="I1270" s="5" t="s">
        <v>2262</v>
      </c>
      <c r="J1270" s="5" t="s">
        <v>1761</v>
      </c>
      <c r="K1270" s="8">
        <v>2</v>
      </c>
      <c r="L1270" s="9">
        <v>130</v>
      </c>
      <c r="M1270" s="10">
        <v>0.05</v>
      </c>
      <c r="N1270" s="9">
        <f t="shared" si="238"/>
        <v>260</v>
      </c>
      <c r="O1270" s="9">
        <f t="shared" si="228"/>
        <v>247</v>
      </c>
      <c r="P1270" s="5" t="s">
        <v>2267</v>
      </c>
      <c r="Q1270" s="5" t="s">
        <v>2272</v>
      </c>
      <c r="R1270" s="5" t="s">
        <v>2278</v>
      </c>
      <c r="S1270" s="5" t="s">
        <v>2284</v>
      </c>
      <c r="T1270" s="5" t="s">
        <v>2288</v>
      </c>
      <c r="U1270" s="8">
        <v>3</v>
      </c>
      <c r="V1270" s="8">
        <v>235</v>
      </c>
      <c r="W1270" s="8">
        <v>30</v>
      </c>
      <c r="X1270" s="9">
        <v>54.52</v>
      </c>
      <c r="Y1270" s="9">
        <f t="shared" si="229"/>
        <v>137.95999999999998</v>
      </c>
      <c r="Z1270" s="5" t="s">
        <v>2292</v>
      </c>
      <c r="AA1270" s="5" t="s">
        <v>2296</v>
      </c>
      <c r="AB1270" s="9">
        <f t="shared" si="230"/>
        <v>260</v>
      </c>
      <c r="AC1270" s="9">
        <f t="shared" si="231"/>
        <v>13</v>
      </c>
      <c r="AD1270" s="9">
        <f t="shared" si="232"/>
        <v>247</v>
      </c>
      <c r="AE1270" s="9">
        <f t="shared" si="233"/>
        <v>109.04</v>
      </c>
      <c r="AF1270" s="9">
        <f t="shared" si="239"/>
        <v>137.95999999999998</v>
      </c>
      <c r="AG1270" s="8">
        <f t="shared" si="234"/>
        <v>2024</v>
      </c>
      <c r="AH1270" s="8">
        <f t="shared" si="235"/>
        <v>6</v>
      </c>
      <c r="AI1270" s="5" t="str">
        <f t="shared" si="236"/>
        <v>Jun</v>
      </c>
      <c r="AJ1270" s="5" t="str">
        <f t="shared" si="237"/>
        <v>Friday</v>
      </c>
    </row>
    <row r="1271" spans="1:36" x14ac:dyDescent="0.3">
      <c r="A1271" s="5" t="s">
        <v>1305</v>
      </c>
      <c r="B1271" s="6">
        <v>45309</v>
      </c>
      <c r="C1271" s="7">
        <v>0.65625</v>
      </c>
      <c r="D1271" s="5" t="s">
        <v>1905</v>
      </c>
      <c r="E1271" s="5" t="s">
        <v>2138</v>
      </c>
      <c r="F1271" s="5" t="s">
        <v>2240</v>
      </c>
      <c r="G1271" s="5" t="s">
        <v>2245</v>
      </c>
      <c r="H1271" s="5" t="s">
        <v>2257</v>
      </c>
      <c r="I1271" s="5" t="s">
        <v>2263</v>
      </c>
      <c r="J1271" s="5" t="s">
        <v>2266</v>
      </c>
      <c r="K1271" s="8">
        <v>1</v>
      </c>
      <c r="L1271" s="9">
        <v>150</v>
      </c>
      <c r="M1271" s="10">
        <v>0.05</v>
      </c>
      <c r="N1271" s="9">
        <f t="shared" si="238"/>
        <v>150</v>
      </c>
      <c r="O1271" s="9">
        <f t="shared" si="228"/>
        <v>142.5</v>
      </c>
      <c r="P1271" s="5" t="s">
        <v>2269</v>
      </c>
      <c r="Q1271" s="5" t="s">
        <v>2270</v>
      </c>
      <c r="R1271" s="5" t="s">
        <v>2278</v>
      </c>
      <c r="S1271" s="5" t="s">
        <v>2284</v>
      </c>
      <c r="T1271" s="5" t="s">
        <v>2288</v>
      </c>
      <c r="U1271" s="19">
        <v>3</v>
      </c>
      <c r="V1271" s="8">
        <v>248</v>
      </c>
      <c r="W1271" s="8">
        <v>29</v>
      </c>
      <c r="X1271" s="9">
        <v>61.45</v>
      </c>
      <c r="Y1271" s="9">
        <f t="shared" si="229"/>
        <v>81.05</v>
      </c>
      <c r="Z1271" s="5" t="s">
        <v>1761</v>
      </c>
      <c r="AA1271" s="5" t="s">
        <v>2296</v>
      </c>
      <c r="AB1271" s="9">
        <f t="shared" si="230"/>
        <v>150</v>
      </c>
      <c r="AC1271" s="9">
        <f t="shared" si="231"/>
        <v>7.5</v>
      </c>
      <c r="AD1271" s="9">
        <f t="shared" si="232"/>
        <v>142.5</v>
      </c>
      <c r="AE1271" s="9">
        <f t="shared" si="233"/>
        <v>61.45</v>
      </c>
      <c r="AF1271" s="9">
        <f t="shared" si="239"/>
        <v>81.05</v>
      </c>
      <c r="AG1271" s="8">
        <f t="shared" si="234"/>
        <v>2024</v>
      </c>
      <c r="AH1271" s="8">
        <f t="shared" si="235"/>
        <v>1</v>
      </c>
      <c r="AI1271" s="5" t="str">
        <f t="shared" si="236"/>
        <v>Jan</v>
      </c>
      <c r="AJ1271" s="5" t="str">
        <f t="shared" si="237"/>
        <v>Thursday</v>
      </c>
    </row>
    <row r="1272" spans="1:36" x14ac:dyDescent="0.3">
      <c r="A1272" s="5" t="s">
        <v>1306</v>
      </c>
      <c r="B1272" s="6">
        <v>45294</v>
      </c>
      <c r="C1272" s="7">
        <v>0.67361111111111116</v>
      </c>
      <c r="D1272" s="5" t="s">
        <v>1927</v>
      </c>
      <c r="E1272" s="5" t="s">
        <v>1994</v>
      </c>
      <c r="F1272" s="5" t="s">
        <v>2240</v>
      </c>
      <c r="G1272" s="5" t="s">
        <v>2251</v>
      </c>
      <c r="H1272" s="5" t="s">
        <v>2258</v>
      </c>
      <c r="I1272" s="5" t="s">
        <v>2260</v>
      </c>
      <c r="J1272" s="5" t="s">
        <v>2265</v>
      </c>
      <c r="K1272" s="8">
        <v>2</v>
      </c>
      <c r="L1272" s="9">
        <v>95</v>
      </c>
      <c r="M1272" s="10">
        <v>0.05</v>
      </c>
      <c r="N1272" s="9">
        <f t="shared" si="238"/>
        <v>190</v>
      </c>
      <c r="O1272" s="9">
        <f t="shared" si="228"/>
        <v>180.5</v>
      </c>
      <c r="P1272" s="5" t="s">
        <v>2267</v>
      </c>
      <c r="Q1272" s="5" t="s">
        <v>1761</v>
      </c>
      <c r="R1272" s="5" t="s">
        <v>2274</v>
      </c>
      <c r="S1272" s="5" t="s">
        <v>2282</v>
      </c>
      <c r="T1272" s="5" t="s">
        <v>2288</v>
      </c>
      <c r="U1272" s="8">
        <v>5</v>
      </c>
      <c r="V1272" s="8">
        <v>209</v>
      </c>
      <c r="W1272" s="8">
        <v>58</v>
      </c>
      <c r="X1272" s="9">
        <v>43</v>
      </c>
      <c r="Y1272" s="9">
        <f t="shared" si="229"/>
        <v>94.5</v>
      </c>
      <c r="Z1272" s="5" t="s">
        <v>2292</v>
      </c>
      <c r="AA1272" s="5" t="s">
        <v>2296</v>
      </c>
      <c r="AB1272" s="9">
        <f t="shared" si="230"/>
        <v>190</v>
      </c>
      <c r="AC1272" s="9">
        <f t="shared" si="231"/>
        <v>9.5</v>
      </c>
      <c r="AD1272" s="9">
        <f t="shared" si="232"/>
        <v>180.5</v>
      </c>
      <c r="AE1272" s="9">
        <f t="shared" si="233"/>
        <v>86</v>
      </c>
      <c r="AF1272" s="9">
        <f t="shared" si="239"/>
        <v>94.5</v>
      </c>
      <c r="AG1272" s="8">
        <f t="shared" si="234"/>
        <v>2024</v>
      </c>
      <c r="AH1272" s="8">
        <f t="shared" si="235"/>
        <v>1</v>
      </c>
      <c r="AI1272" s="5" t="str">
        <f t="shared" si="236"/>
        <v>Jan</v>
      </c>
      <c r="AJ1272" s="5" t="str">
        <f t="shared" si="237"/>
        <v>Wednesday</v>
      </c>
    </row>
    <row r="1273" spans="1:36" x14ac:dyDescent="0.3">
      <c r="A1273" s="5" t="s">
        <v>1307</v>
      </c>
      <c r="B1273" s="6">
        <v>45474</v>
      </c>
      <c r="C1273" s="7">
        <v>0.83333333333333337</v>
      </c>
      <c r="D1273" s="5" t="s">
        <v>1808</v>
      </c>
      <c r="E1273" s="5" t="s">
        <v>2197</v>
      </c>
      <c r="F1273" s="5" t="s">
        <v>2240</v>
      </c>
      <c r="G1273" s="5" t="s">
        <v>2246</v>
      </c>
      <c r="H1273" s="5" t="s">
        <v>2259</v>
      </c>
      <c r="I1273" s="5" t="s">
        <v>2262</v>
      </c>
      <c r="J1273" s="5" t="s">
        <v>1761</v>
      </c>
      <c r="K1273" s="8">
        <v>1</v>
      </c>
      <c r="L1273" s="9">
        <v>100</v>
      </c>
      <c r="M1273" s="10">
        <v>0</v>
      </c>
      <c r="N1273" s="9">
        <f t="shared" si="238"/>
        <v>100</v>
      </c>
      <c r="O1273" s="9">
        <f t="shared" si="228"/>
        <v>100</v>
      </c>
      <c r="P1273" s="5" t="s">
        <v>2269</v>
      </c>
      <c r="Q1273" s="5" t="s">
        <v>2271</v>
      </c>
      <c r="R1273" s="5" t="s">
        <v>2276</v>
      </c>
      <c r="S1273" s="5" t="s">
        <v>2285</v>
      </c>
      <c r="T1273" s="5" t="s">
        <v>2288</v>
      </c>
      <c r="U1273" s="8">
        <v>1</v>
      </c>
      <c r="V1273" s="8">
        <v>350</v>
      </c>
      <c r="W1273" s="8">
        <v>44</v>
      </c>
      <c r="X1273" s="9">
        <v>34.85</v>
      </c>
      <c r="Y1273" s="9">
        <f t="shared" si="229"/>
        <v>65.150000000000006</v>
      </c>
      <c r="Z1273" s="5" t="s">
        <v>2294</v>
      </c>
      <c r="AA1273" s="5" t="s">
        <v>1761</v>
      </c>
      <c r="AB1273" s="9">
        <f t="shared" si="230"/>
        <v>100</v>
      </c>
      <c r="AC1273" s="9">
        <f t="shared" si="231"/>
        <v>0</v>
      </c>
      <c r="AD1273" s="9">
        <f t="shared" si="232"/>
        <v>100</v>
      </c>
      <c r="AE1273" s="9">
        <f t="shared" si="233"/>
        <v>34.85</v>
      </c>
      <c r="AF1273" s="9">
        <f t="shared" si="239"/>
        <v>65.150000000000006</v>
      </c>
      <c r="AG1273" s="8">
        <f t="shared" si="234"/>
        <v>2024</v>
      </c>
      <c r="AH1273" s="8">
        <f t="shared" si="235"/>
        <v>7</v>
      </c>
      <c r="AI1273" s="5" t="str">
        <f t="shared" si="236"/>
        <v>Jul</v>
      </c>
      <c r="AJ1273" s="5" t="str">
        <f t="shared" si="237"/>
        <v>Monday</v>
      </c>
    </row>
    <row r="1274" spans="1:36" x14ac:dyDescent="0.3">
      <c r="A1274" s="5" t="s">
        <v>1308</v>
      </c>
      <c r="B1274" s="6">
        <v>45546</v>
      </c>
      <c r="C1274" s="7">
        <v>0.47222222222222221</v>
      </c>
      <c r="D1274" s="5" t="s">
        <v>1804</v>
      </c>
      <c r="E1274" s="5" t="s">
        <v>2125</v>
      </c>
      <c r="F1274" s="5" t="s">
        <v>2240</v>
      </c>
      <c r="G1274" s="5" t="s">
        <v>2256</v>
      </c>
      <c r="H1274" s="5" t="s">
        <v>2261</v>
      </c>
      <c r="I1274" s="5" t="s">
        <v>2260</v>
      </c>
      <c r="J1274" s="5" t="s">
        <v>2265</v>
      </c>
      <c r="K1274" s="8">
        <v>2</v>
      </c>
      <c r="L1274" s="9">
        <v>190</v>
      </c>
      <c r="M1274" s="10">
        <v>0.1</v>
      </c>
      <c r="N1274" s="9">
        <f t="shared" si="238"/>
        <v>380</v>
      </c>
      <c r="O1274" s="9">
        <f t="shared" si="228"/>
        <v>342</v>
      </c>
      <c r="P1274" s="5" t="s">
        <v>2267</v>
      </c>
      <c r="Q1274" s="5" t="s">
        <v>2270</v>
      </c>
      <c r="R1274" s="5" t="s">
        <v>2273</v>
      </c>
      <c r="S1274" s="5" t="s">
        <v>2283</v>
      </c>
      <c r="T1274" s="5" t="s">
        <v>2290</v>
      </c>
      <c r="U1274" s="8">
        <v>5</v>
      </c>
      <c r="V1274" s="8">
        <v>344</v>
      </c>
      <c r="W1274" s="8">
        <v>24</v>
      </c>
      <c r="X1274" s="9">
        <v>82.11</v>
      </c>
      <c r="Y1274" s="9">
        <f t="shared" si="229"/>
        <v>177.78</v>
      </c>
      <c r="Z1274" s="5" t="s">
        <v>2293</v>
      </c>
      <c r="AA1274" s="5" t="s">
        <v>2298</v>
      </c>
      <c r="AB1274" s="9">
        <f t="shared" si="230"/>
        <v>380</v>
      </c>
      <c r="AC1274" s="9">
        <f t="shared" si="231"/>
        <v>38</v>
      </c>
      <c r="AD1274" s="9">
        <f t="shared" si="232"/>
        <v>342</v>
      </c>
      <c r="AE1274" s="9">
        <f t="shared" si="233"/>
        <v>164.22</v>
      </c>
      <c r="AF1274" s="9">
        <f t="shared" si="239"/>
        <v>177.78</v>
      </c>
      <c r="AG1274" s="8">
        <f t="shared" si="234"/>
        <v>2024</v>
      </c>
      <c r="AH1274" s="8">
        <f t="shared" si="235"/>
        <v>9</v>
      </c>
      <c r="AI1274" s="5" t="str">
        <f t="shared" si="236"/>
        <v>Sep</v>
      </c>
      <c r="AJ1274" s="5" t="str">
        <f t="shared" si="237"/>
        <v>Wednesday</v>
      </c>
    </row>
    <row r="1275" spans="1:36" x14ac:dyDescent="0.3">
      <c r="A1275" s="5" t="s">
        <v>1309</v>
      </c>
      <c r="B1275" s="6">
        <v>45494</v>
      </c>
      <c r="C1275" s="7">
        <v>0.45833333333333331</v>
      </c>
      <c r="D1275" s="5" t="s">
        <v>1776</v>
      </c>
      <c r="E1275" s="5" t="s">
        <v>2218</v>
      </c>
      <c r="F1275" s="5" t="s">
        <v>1761</v>
      </c>
      <c r="G1275" s="5" t="s">
        <v>2243</v>
      </c>
      <c r="H1275" s="5" t="s">
        <v>2258</v>
      </c>
      <c r="I1275" s="5" t="s">
        <v>2260</v>
      </c>
      <c r="J1275" s="5" t="s">
        <v>2266</v>
      </c>
      <c r="K1275" s="8">
        <v>2</v>
      </c>
      <c r="L1275" s="9">
        <v>75</v>
      </c>
      <c r="M1275" s="10">
        <v>0</v>
      </c>
      <c r="N1275" s="9">
        <f t="shared" si="238"/>
        <v>150</v>
      </c>
      <c r="O1275" s="9">
        <f t="shared" si="228"/>
        <v>150</v>
      </c>
      <c r="P1275" s="5" t="s">
        <v>2267</v>
      </c>
      <c r="Q1275" s="5" t="s">
        <v>1761</v>
      </c>
      <c r="R1275" s="5" t="s">
        <v>2277</v>
      </c>
      <c r="S1275" s="5" t="s">
        <v>2286</v>
      </c>
      <c r="T1275" s="5" t="s">
        <v>2289</v>
      </c>
      <c r="U1275" s="8">
        <v>5</v>
      </c>
      <c r="V1275" s="8">
        <v>163</v>
      </c>
      <c r="W1275" s="8">
        <v>22</v>
      </c>
      <c r="X1275" s="9">
        <v>39.119999999999997</v>
      </c>
      <c r="Y1275" s="9">
        <f t="shared" si="229"/>
        <v>71.760000000000005</v>
      </c>
      <c r="Z1275" s="5" t="s">
        <v>2292</v>
      </c>
      <c r="AA1275" s="5" t="s">
        <v>2297</v>
      </c>
      <c r="AB1275" s="9">
        <f t="shared" si="230"/>
        <v>150</v>
      </c>
      <c r="AC1275" s="9">
        <f t="shared" si="231"/>
        <v>0</v>
      </c>
      <c r="AD1275" s="9">
        <f t="shared" si="232"/>
        <v>150</v>
      </c>
      <c r="AE1275" s="9">
        <f t="shared" si="233"/>
        <v>78.239999999999995</v>
      </c>
      <c r="AF1275" s="9">
        <f t="shared" si="239"/>
        <v>71.760000000000005</v>
      </c>
      <c r="AG1275" s="8">
        <f t="shared" si="234"/>
        <v>2024</v>
      </c>
      <c r="AH1275" s="8">
        <f t="shared" si="235"/>
        <v>7</v>
      </c>
      <c r="AI1275" s="5" t="str">
        <f t="shared" si="236"/>
        <v>Jul</v>
      </c>
      <c r="AJ1275" s="5" t="str">
        <f t="shared" si="237"/>
        <v>Sunday</v>
      </c>
    </row>
    <row r="1276" spans="1:36" x14ac:dyDescent="0.3">
      <c r="A1276" s="5" t="s">
        <v>1310</v>
      </c>
      <c r="B1276" s="6">
        <v>45378</v>
      </c>
      <c r="C1276" s="7">
        <v>0.71875</v>
      </c>
      <c r="D1276" s="5" t="s">
        <v>1882</v>
      </c>
      <c r="E1276" s="5" t="s">
        <v>2049</v>
      </c>
      <c r="F1276" s="5" t="s">
        <v>2240</v>
      </c>
      <c r="G1276" s="5" t="s">
        <v>2241</v>
      </c>
      <c r="H1276" s="5" t="s">
        <v>2257</v>
      </c>
      <c r="I1276" s="5" t="s">
        <v>2262</v>
      </c>
      <c r="J1276" s="5" t="s">
        <v>2265</v>
      </c>
      <c r="K1276" s="8">
        <v>2</v>
      </c>
      <c r="L1276" s="9">
        <v>130</v>
      </c>
      <c r="M1276" s="10">
        <v>0</v>
      </c>
      <c r="N1276" s="9">
        <f t="shared" si="238"/>
        <v>260</v>
      </c>
      <c r="O1276" s="9">
        <f t="shared" si="228"/>
        <v>260</v>
      </c>
      <c r="P1276" s="5" t="s">
        <v>1761</v>
      </c>
      <c r="Q1276" s="5" t="s">
        <v>2272</v>
      </c>
      <c r="R1276" s="5" t="s">
        <v>2276</v>
      </c>
      <c r="S1276" s="5" t="s">
        <v>2284</v>
      </c>
      <c r="T1276" s="5" t="s">
        <v>2290</v>
      </c>
      <c r="U1276" s="8">
        <v>1</v>
      </c>
      <c r="V1276" s="8">
        <v>413</v>
      </c>
      <c r="W1276" s="8">
        <v>58</v>
      </c>
      <c r="X1276" s="9">
        <v>53.56</v>
      </c>
      <c r="Y1276" s="9">
        <f t="shared" si="229"/>
        <v>152.88</v>
      </c>
      <c r="Z1276" s="5" t="s">
        <v>2294</v>
      </c>
      <c r="AA1276" s="5" t="s">
        <v>2296</v>
      </c>
      <c r="AB1276" s="9">
        <f t="shared" si="230"/>
        <v>260</v>
      </c>
      <c r="AC1276" s="9">
        <f t="shared" si="231"/>
        <v>0</v>
      </c>
      <c r="AD1276" s="9">
        <f t="shared" si="232"/>
        <v>260</v>
      </c>
      <c r="AE1276" s="9">
        <f t="shared" si="233"/>
        <v>107.12</v>
      </c>
      <c r="AF1276" s="9">
        <f t="shared" si="239"/>
        <v>152.88</v>
      </c>
      <c r="AG1276" s="8">
        <f t="shared" si="234"/>
        <v>2024</v>
      </c>
      <c r="AH1276" s="8">
        <f t="shared" si="235"/>
        <v>3</v>
      </c>
      <c r="AI1276" s="5" t="str">
        <f t="shared" si="236"/>
        <v>Mar</v>
      </c>
      <c r="AJ1276" s="5" t="str">
        <f t="shared" si="237"/>
        <v>Wednesday</v>
      </c>
    </row>
    <row r="1277" spans="1:36" x14ac:dyDescent="0.3">
      <c r="A1277" s="5" t="s">
        <v>1311</v>
      </c>
      <c r="B1277" s="6">
        <v>45474</v>
      </c>
      <c r="C1277" s="7">
        <v>0.40625</v>
      </c>
      <c r="D1277" s="5" t="s">
        <v>1770</v>
      </c>
      <c r="E1277" s="5" t="s">
        <v>1947</v>
      </c>
      <c r="F1277" s="5" t="s">
        <v>2239</v>
      </c>
      <c r="G1277" s="5" t="s">
        <v>2253</v>
      </c>
      <c r="H1277" s="5" t="s">
        <v>2258</v>
      </c>
      <c r="I1277" s="5" t="s">
        <v>2260</v>
      </c>
      <c r="J1277" s="5" t="s">
        <v>1761</v>
      </c>
      <c r="K1277" s="8">
        <v>4</v>
      </c>
      <c r="L1277" s="9">
        <v>90</v>
      </c>
      <c r="M1277" s="10">
        <v>0</v>
      </c>
      <c r="N1277" s="9">
        <f t="shared" si="238"/>
        <v>360</v>
      </c>
      <c r="O1277" s="9">
        <f t="shared" si="228"/>
        <v>360</v>
      </c>
      <c r="P1277" s="5" t="s">
        <v>2267</v>
      </c>
      <c r="Q1277" s="5" t="s">
        <v>2270</v>
      </c>
      <c r="R1277" s="5" t="s">
        <v>2276</v>
      </c>
      <c r="S1277" s="5" t="s">
        <v>2280</v>
      </c>
      <c r="T1277" s="5" t="s">
        <v>2288</v>
      </c>
      <c r="U1277" s="19">
        <v>3</v>
      </c>
      <c r="V1277" s="8">
        <v>261</v>
      </c>
      <c r="W1277" s="19">
        <v>34</v>
      </c>
      <c r="X1277" s="9">
        <v>31.91</v>
      </c>
      <c r="Y1277" s="9">
        <f t="shared" si="229"/>
        <v>232.36</v>
      </c>
      <c r="Z1277" s="5" t="s">
        <v>1761</v>
      </c>
      <c r="AA1277" s="5" t="s">
        <v>2297</v>
      </c>
      <c r="AB1277" s="9">
        <f t="shared" si="230"/>
        <v>360</v>
      </c>
      <c r="AC1277" s="9">
        <f t="shared" si="231"/>
        <v>0</v>
      </c>
      <c r="AD1277" s="9">
        <f t="shared" si="232"/>
        <v>360</v>
      </c>
      <c r="AE1277" s="9">
        <f t="shared" si="233"/>
        <v>127.64</v>
      </c>
      <c r="AF1277" s="9">
        <f t="shared" si="239"/>
        <v>232.36</v>
      </c>
      <c r="AG1277" s="8">
        <f t="shared" si="234"/>
        <v>2024</v>
      </c>
      <c r="AH1277" s="8">
        <f t="shared" si="235"/>
        <v>7</v>
      </c>
      <c r="AI1277" s="5" t="str">
        <f t="shared" si="236"/>
        <v>Jul</v>
      </c>
      <c r="AJ1277" s="5" t="str">
        <f t="shared" si="237"/>
        <v>Monday</v>
      </c>
    </row>
    <row r="1278" spans="1:36" x14ac:dyDescent="0.3">
      <c r="A1278" s="5" t="s">
        <v>1312</v>
      </c>
      <c r="B1278" s="18">
        <v>45468</v>
      </c>
      <c r="C1278" s="7">
        <v>0.625</v>
      </c>
      <c r="D1278" s="5" t="s">
        <v>1822</v>
      </c>
      <c r="E1278" s="5" t="s">
        <v>2222</v>
      </c>
      <c r="F1278" s="5" t="s">
        <v>2239</v>
      </c>
      <c r="G1278" s="5" t="s">
        <v>2256</v>
      </c>
      <c r="H1278" s="5" t="s">
        <v>2261</v>
      </c>
      <c r="I1278" s="5" t="s">
        <v>2260</v>
      </c>
      <c r="J1278" s="5" t="s">
        <v>2264</v>
      </c>
      <c r="K1278" s="8">
        <v>1</v>
      </c>
      <c r="L1278" s="9">
        <v>185</v>
      </c>
      <c r="M1278" s="10">
        <v>0.1</v>
      </c>
      <c r="N1278" s="9">
        <f t="shared" si="238"/>
        <v>185</v>
      </c>
      <c r="O1278" s="9">
        <f t="shared" si="228"/>
        <v>166.5</v>
      </c>
      <c r="P1278" s="5" t="s">
        <v>2268</v>
      </c>
      <c r="Q1278" s="5" t="s">
        <v>1761</v>
      </c>
      <c r="R1278" s="5" t="s">
        <v>2275</v>
      </c>
      <c r="S1278" s="5" t="s">
        <v>2283</v>
      </c>
      <c r="T1278" s="5" t="s">
        <v>2288</v>
      </c>
      <c r="U1278" s="8">
        <v>1</v>
      </c>
      <c r="V1278" s="8">
        <v>452</v>
      </c>
      <c r="W1278" s="8">
        <v>48</v>
      </c>
      <c r="X1278" s="9">
        <v>100.6</v>
      </c>
      <c r="Y1278" s="9">
        <f t="shared" si="229"/>
        <v>65.900000000000006</v>
      </c>
      <c r="Z1278" s="5" t="s">
        <v>2293</v>
      </c>
      <c r="AA1278" s="5" t="s">
        <v>2296</v>
      </c>
      <c r="AB1278" s="9">
        <f t="shared" si="230"/>
        <v>185</v>
      </c>
      <c r="AC1278" s="9">
        <f t="shared" si="231"/>
        <v>18.5</v>
      </c>
      <c r="AD1278" s="9">
        <f t="shared" si="232"/>
        <v>166.5</v>
      </c>
      <c r="AE1278" s="9">
        <f t="shared" si="233"/>
        <v>100.6</v>
      </c>
      <c r="AF1278" s="9">
        <f t="shared" si="239"/>
        <v>65.900000000000006</v>
      </c>
      <c r="AG1278" s="8">
        <f t="shared" si="234"/>
        <v>2024</v>
      </c>
      <c r="AH1278" s="8">
        <f t="shared" si="235"/>
        <v>6</v>
      </c>
      <c r="AI1278" s="5" t="str">
        <f t="shared" si="236"/>
        <v>Jun</v>
      </c>
      <c r="AJ1278" s="5" t="str">
        <f t="shared" si="237"/>
        <v>Tuesday</v>
      </c>
    </row>
    <row r="1279" spans="1:36" x14ac:dyDescent="0.3">
      <c r="A1279" s="5" t="s">
        <v>1313</v>
      </c>
      <c r="B1279" s="6">
        <v>45348</v>
      </c>
      <c r="C1279" s="7">
        <v>0.29166666666666669</v>
      </c>
      <c r="D1279" s="5" t="s">
        <v>1791</v>
      </c>
      <c r="E1279" s="5" t="s">
        <v>2218</v>
      </c>
      <c r="F1279" s="5" t="s">
        <v>2240</v>
      </c>
      <c r="G1279" s="5" t="s">
        <v>2248</v>
      </c>
      <c r="H1279" s="5" t="s">
        <v>2257</v>
      </c>
      <c r="I1279" s="5" t="s">
        <v>2262</v>
      </c>
      <c r="J1279" s="5" t="s">
        <v>1761</v>
      </c>
      <c r="K1279" s="8">
        <v>1</v>
      </c>
      <c r="L1279" s="9">
        <v>155</v>
      </c>
      <c r="M1279" s="10">
        <v>0</v>
      </c>
      <c r="N1279" s="9">
        <f t="shared" si="238"/>
        <v>155</v>
      </c>
      <c r="O1279" s="9">
        <f t="shared" si="228"/>
        <v>155</v>
      </c>
      <c r="P1279" s="5" t="s">
        <v>2267</v>
      </c>
      <c r="Q1279" s="5" t="s">
        <v>2270</v>
      </c>
      <c r="R1279" s="5" t="s">
        <v>2279</v>
      </c>
      <c r="S1279" s="5" t="s">
        <v>2283</v>
      </c>
      <c r="T1279" s="5" t="s">
        <v>2288</v>
      </c>
      <c r="U1279" s="8">
        <v>4</v>
      </c>
      <c r="V1279" s="8">
        <v>104</v>
      </c>
      <c r="W1279" s="8">
        <v>46</v>
      </c>
      <c r="X1279" s="9">
        <v>76.77</v>
      </c>
      <c r="Y1279" s="9">
        <f t="shared" si="229"/>
        <v>78.23</v>
      </c>
      <c r="Z1279" s="5" t="s">
        <v>2292</v>
      </c>
      <c r="AA1279" s="5" t="s">
        <v>2296</v>
      </c>
      <c r="AB1279" s="9">
        <f t="shared" si="230"/>
        <v>155</v>
      </c>
      <c r="AC1279" s="9">
        <f t="shared" si="231"/>
        <v>0</v>
      </c>
      <c r="AD1279" s="9">
        <f t="shared" si="232"/>
        <v>155</v>
      </c>
      <c r="AE1279" s="9">
        <f t="shared" si="233"/>
        <v>76.77</v>
      </c>
      <c r="AF1279" s="9">
        <f t="shared" si="239"/>
        <v>78.23</v>
      </c>
      <c r="AG1279" s="8">
        <f t="shared" si="234"/>
        <v>2024</v>
      </c>
      <c r="AH1279" s="8">
        <f t="shared" si="235"/>
        <v>2</v>
      </c>
      <c r="AI1279" s="5" t="str">
        <f t="shared" si="236"/>
        <v>Feb</v>
      </c>
      <c r="AJ1279" s="5" t="str">
        <f t="shared" si="237"/>
        <v>Monday</v>
      </c>
    </row>
    <row r="1280" spans="1:36" x14ac:dyDescent="0.3">
      <c r="A1280" s="5" t="s">
        <v>1314</v>
      </c>
      <c r="B1280" s="6">
        <v>45580</v>
      </c>
      <c r="C1280" s="7">
        <v>0.34722222222222221</v>
      </c>
      <c r="D1280" s="5" t="s">
        <v>1809</v>
      </c>
      <c r="E1280" s="5" t="s">
        <v>1944</v>
      </c>
      <c r="F1280" s="5" t="s">
        <v>2240</v>
      </c>
      <c r="G1280" s="5" t="s">
        <v>2251</v>
      </c>
      <c r="H1280" s="5" t="s">
        <v>2258</v>
      </c>
      <c r="I1280" s="5" t="s">
        <v>2260</v>
      </c>
      <c r="J1280" s="5" t="s">
        <v>2264</v>
      </c>
      <c r="K1280" s="8">
        <v>4</v>
      </c>
      <c r="L1280" s="9">
        <v>110</v>
      </c>
      <c r="M1280" s="10">
        <v>0.05</v>
      </c>
      <c r="N1280" s="9">
        <f t="shared" si="238"/>
        <v>440</v>
      </c>
      <c r="O1280" s="9">
        <f t="shared" si="228"/>
        <v>418</v>
      </c>
      <c r="P1280" s="5" t="s">
        <v>2267</v>
      </c>
      <c r="Q1280" s="5" t="s">
        <v>2272</v>
      </c>
      <c r="R1280" s="5" t="s">
        <v>2278</v>
      </c>
      <c r="S1280" s="5" t="s">
        <v>2282</v>
      </c>
      <c r="T1280" s="5" t="s">
        <v>2288</v>
      </c>
      <c r="U1280" s="8">
        <v>5</v>
      </c>
      <c r="V1280" s="8">
        <v>460</v>
      </c>
      <c r="W1280" s="8">
        <v>11</v>
      </c>
      <c r="X1280" s="9">
        <v>53.54</v>
      </c>
      <c r="Y1280" s="9">
        <f t="shared" si="229"/>
        <v>203.84</v>
      </c>
      <c r="Z1280" s="5" t="s">
        <v>2292</v>
      </c>
      <c r="AA1280" s="5" t="s">
        <v>2299</v>
      </c>
      <c r="AB1280" s="9">
        <f t="shared" si="230"/>
        <v>440</v>
      </c>
      <c r="AC1280" s="9">
        <f t="shared" si="231"/>
        <v>22</v>
      </c>
      <c r="AD1280" s="9">
        <f t="shared" si="232"/>
        <v>418</v>
      </c>
      <c r="AE1280" s="9">
        <f t="shared" si="233"/>
        <v>214.16</v>
      </c>
      <c r="AF1280" s="9">
        <f t="shared" si="239"/>
        <v>203.84</v>
      </c>
      <c r="AG1280" s="8">
        <f t="shared" si="234"/>
        <v>2024</v>
      </c>
      <c r="AH1280" s="8">
        <f t="shared" si="235"/>
        <v>10</v>
      </c>
      <c r="AI1280" s="5" t="str">
        <f t="shared" si="236"/>
        <v>Oct</v>
      </c>
      <c r="AJ1280" s="5" t="str">
        <f t="shared" si="237"/>
        <v>Tuesday</v>
      </c>
    </row>
    <row r="1281" spans="1:36" x14ac:dyDescent="0.3">
      <c r="A1281" s="5" t="s">
        <v>1315</v>
      </c>
      <c r="B1281" s="6">
        <v>45634</v>
      </c>
      <c r="C1281" s="7">
        <v>0.4375</v>
      </c>
      <c r="D1281" s="5" t="s">
        <v>1813</v>
      </c>
      <c r="E1281" s="5" t="s">
        <v>1959</v>
      </c>
      <c r="F1281" s="5" t="s">
        <v>1761</v>
      </c>
      <c r="G1281" s="5" t="s">
        <v>2250</v>
      </c>
      <c r="H1281" s="5" t="s">
        <v>2259</v>
      </c>
      <c r="I1281" s="5" t="s">
        <v>2262</v>
      </c>
      <c r="J1281" s="5" t="s">
        <v>2266</v>
      </c>
      <c r="K1281" s="8">
        <v>1</v>
      </c>
      <c r="L1281" s="9">
        <v>80</v>
      </c>
      <c r="M1281" s="10">
        <v>0.05</v>
      </c>
      <c r="N1281" s="9">
        <f t="shared" si="238"/>
        <v>80</v>
      </c>
      <c r="O1281" s="9">
        <f t="shared" si="228"/>
        <v>76</v>
      </c>
      <c r="P1281" s="5" t="s">
        <v>2268</v>
      </c>
      <c r="Q1281" s="5" t="s">
        <v>2271</v>
      </c>
      <c r="R1281" s="5" t="s">
        <v>2274</v>
      </c>
      <c r="S1281" s="5" t="s">
        <v>2284</v>
      </c>
      <c r="T1281" s="5" t="s">
        <v>2288</v>
      </c>
      <c r="U1281" s="8">
        <v>1</v>
      </c>
      <c r="V1281" s="8">
        <v>11</v>
      </c>
      <c r="W1281" s="8">
        <v>41</v>
      </c>
      <c r="X1281" s="9">
        <v>39.479999999999997</v>
      </c>
      <c r="Y1281" s="9">
        <f t="shared" si="229"/>
        <v>36.520000000000003</v>
      </c>
      <c r="Z1281" s="5" t="s">
        <v>2294</v>
      </c>
      <c r="AA1281" s="5" t="s">
        <v>2298</v>
      </c>
      <c r="AB1281" s="9">
        <f t="shared" si="230"/>
        <v>80</v>
      </c>
      <c r="AC1281" s="9">
        <f t="shared" si="231"/>
        <v>4</v>
      </c>
      <c r="AD1281" s="9">
        <f t="shared" si="232"/>
        <v>76</v>
      </c>
      <c r="AE1281" s="9">
        <f t="shared" si="233"/>
        <v>39.479999999999997</v>
      </c>
      <c r="AF1281" s="9">
        <f t="shared" si="239"/>
        <v>36.520000000000003</v>
      </c>
      <c r="AG1281" s="8">
        <f t="shared" si="234"/>
        <v>2024</v>
      </c>
      <c r="AH1281" s="8">
        <f t="shared" si="235"/>
        <v>12</v>
      </c>
      <c r="AI1281" s="5" t="str">
        <f t="shared" si="236"/>
        <v>Dec</v>
      </c>
      <c r="AJ1281" s="5" t="str">
        <f t="shared" si="237"/>
        <v>Sunday</v>
      </c>
    </row>
    <row r="1282" spans="1:36" x14ac:dyDescent="0.3">
      <c r="A1282" s="5" t="s">
        <v>1316</v>
      </c>
      <c r="B1282" s="6">
        <v>45465</v>
      </c>
      <c r="C1282" s="7">
        <v>0.3125</v>
      </c>
      <c r="D1282" s="5" t="s">
        <v>1792</v>
      </c>
      <c r="E1282" s="5" t="s">
        <v>1994</v>
      </c>
      <c r="F1282" s="5" t="s">
        <v>2239</v>
      </c>
      <c r="G1282" s="5" t="s">
        <v>2247</v>
      </c>
      <c r="H1282" s="5" t="s">
        <v>2257</v>
      </c>
      <c r="I1282" s="5" t="s">
        <v>2262</v>
      </c>
      <c r="J1282" s="5" t="s">
        <v>2264</v>
      </c>
      <c r="K1282" s="8">
        <v>4</v>
      </c>
      <c r="L1282" s="9">
        <v>110</v>
      </c>
      <c r="M1282" s="10">
        <v>0</v>
      </c>
      <c r="N1282" s="9">
        <f t="shared" si="238"/>
        <v>440</v>
      </c>
      <c r="O1282" s="9">
        <f t="shared" ref="O1282:O1345" si="240">IF(N1282="","",N1282*(1-IF(M1282="",0,M1282)))</f>
        <v>440</v>
      </c>
      <c r="P1282" s="5" t="s">
        <v>2267</v>
      </c>
      <c r="Q1282" s="5" t="s">
        <v>1761</v>
      </c>
      <c r="R1282" s="5" t="s">
        <v>2275</v>
      </c>
      <c r="S1282" s="5" t="s">
        <v>2282</v>
      </c>
      <c r="T1282" s="5" t="s">
        <v>2289</v>
      </c>
      <c r="U1282" s="8">
        <v>2</v>
      </c>
      <c r="V1282" s="8">
        <v>474</v>
      </c>
      <c r="W1282" s="8">
        <v>24</v>
      </c>
      <c r="X1282" s="9">
        <v>54.96</v>
      </c>
      <c r="Y1282" s="9">
        <f t="shared" ref="Y1282:Y1345" si="241">IF(OR(O1282="",K1282="",X1282=""),"",O1282-K1282*X1282)</f>
        <v>220.16</v>
      </c>
      <c r="Z1282" s="5" t="s">
        <v>1761</v>
      </c>
      <c r="AA1282" s="5" t="s">
        <v>2296</v>
      </c>
      <c r="AB1282" s="9">
        <f t="shared" ref="AB1282:AB1345" si="242">N1282</f>
        <v>440</v>
      </c>
      <c r="AC1282" s="9">
        <f t="shared" ref="AC1282:AC1345" si="243">IF(N1282="","",N1282*IF(M1282="",0,M1282))</f>
        <v>0</v>
      </c>
      <c r="AD1282" s="9">
        <f t="shared" ref="AD1282:AD1345" si="244">O1282</f>
        <v>440</v>
      </c>
      <c r="AE1282" s="9">
        <f t="shared" ref="AE1282:AE1345" si="245">IF(OR(K1282="",X1282=""),"",K1282*X1282)</f>
        <v>219.84</v>
      </c>
      <c r="AF1282" s="9">
        <f t="shared" si="239"/>
        <v>220.16</v>
      </c>
      <c r="AG1282" s="8">
        <f t="shared" ref="AG1282:AG1345" si="246">IF(B1282="","",YEAR(B1282))</f>
        <v>2024</v>
      </c>
      <c r="AH1282" s="8">
        <f t="shared" ref="AH1282:AH1345" si="247">IF(B1282="","",MONTH(B1282))</f>
        <v>6</v>
      </c>
      <c r="AI1282" s="5" t="str">
        <f t="shared" ref="AI1282:AI1345" si="248">IF(B1282="","",TEXT(B1282,"mmm"))</f>
        <v>Jun</v>
      </c>
      <c r="AJ1282" s="5" t="str">
        <f t="shared" ref="AJ1282:AJ1345" si="249">IF(B1282="","",TEXT(B1282,"dddd"))</f>
        <v>Saturday</v>
      </c>
    </row>
    <row r="1283" spans="1:36" x14ac:dyDescent="0.3">
      <c r="A1283" s="5" t="s">
        <v>1317</v>
      </c>
      <c r="B1283" s="6">
        <v>45533</v>
      </c>
      <c r="C1283" s="7">
        <v>0.86458333333333337</v>
      </c>
      <c r="D1283" s="5" t="s">
        <v>1934</v>
      </c>
      <c r="E1283" s="5" t="s">
        <v>1994</v>
      </c>
      <c r="F1283" s="5" t="s">
        <v>2238</v>
      </c>
      <c r="G1283" s="5" t="s">
        <v>2243</v>
      </c>
      <c r="H1283" s="5" t="s">
        <v>2258</v>
      </c>
      <c r="I1283" s="5" t="s">
        <v>2260</v>
      </c>
      <c r="J1283" s="5" t="s">
        <v>2265</v>
      </c>
      <c r="K1283" s="8">
        <v>1</v>
      </c>
      <c r="L1283" s="9">
        <v>80</v>
      </c>
      <c r="M1283" s="10">
        <v>0.05</v>
      </c>
      <c r="N1283" s="9">
        <f t="shared" ref="N1283:N1346" si="250">IFERROR(K1283*L1283,"")</f>
        <v>80</v>
      </c>
      <c r="O1283" s="9">
        <f t="shared" si="240"/>
        <v>76</v>
      </c>
      <c r="P1283" s="5" t="s">
        <v>2268</v>
      </c>
      <c r="Q1283" s="5" t="s">
        <v>1761</v>
      </c>
      <c r="R1283" s="5" t="s">
        <v>2275</v>
      </c>
      <c r="S1283" s="5" t="s">
        <v>2282</v>
      </c>
      <c r="T1283" s="5" t="s">
        <v>2290</v>
      </c>
      <c r="U1283" s="8">
        <v>1</v>
      </c>
      <c r="V1283" s="8">
        <v>43</v>
      </c>
      <c r="W1283" s="8">
        <v>22</v>
      </c>
      <c r="X1283" s="9">
        <v>34.92</v>
      </c>
      <c r="Y1283" s="9">
        <f t="shared" si="241"/>
        <v>41.08</v>
      </c>
      <c r="Z1283" s="5" t="s">
        <v>2292</v>
      </c>
      <c r="AA1283" s="5" t="s">
        <v>2298</v>
      </c>
      <c r="AB1283" s="9">
        <f t="shared" si="242"/>
        <v>80</v>
      </c>
      <c r="AC1283" s="9">
        <f t="shared" si="243"/>
        <v>4</v>
      </c>
      <c r="AD1283" s="9">
        <f t="shared" si="244"/>
        <v>76</v>
      </c>
      <c r="AE1283" s="9">
        <f t="shared" si="245"/>
        <v>34.92</v>
      </c>
      <c r="AF1283" s="9">
        <f t="shared" ref="AF1283:AF1346" si="251">Y1283</f>
        <v>41.08</v>
      </c>
      <c r="AG1283" s="8">
        <f t="shared" si="246"/>
        <v>2024</v>
      </c>
      <c r="AH1283" s="8">
        <f t="shared" si="247"/>
        <v>8</v>
      </c>
      <c r="AI1283" s="5" t="str">
        <f t="shared" si="248"/>
        <v>Aug</v>
      </c>
      <c r="AJ1283" s="5" t="str">
        <f t="shared" si="249"/>
        <v>Thursday</v>
      </c>
    </row>
    <row r="1284" spans="1:36" x14ac:dyDescent="0.3">
      <c r="A1284" s="5" t="s">
        <v>1318</v>
      </c>
      <c r="B1284" s="6">
        <v>45651</v>
      </c>
      <c r="C1284" s="7">
        <v>0.65625</v>
      </c>
      <c r="D1284" s="5" t="s">
        <v>1788</v>
      </c>
      <c r="E1284" s="5" t="s">
        <v>2063</v>
      </c>
      <c r="F1284" s="5" t="s">
        <v>2240</v>
      </c>
      <c r="G1284" s="5" t="s">
        <v>2241</v>
      </c>
      <c r="H1284" s="5" t="s">
        <v>2257</v>
      </c>
      <c r="I1284" s="5" t="s">
        <v>2262</v>
      </c>
      <c r="J1284" s="5" t="s">
        <v>2265</v>
      </c>
      <c r="K1284" s="8">
        <v>2</v>
      </c>
      <c r="L1284" s="9">
        <v>140</v>
      </c>
      <c r="M1284" s="10">
        <v>0.1</v>
      </c>
      <c r="N1284" s="9">
        <f t="shared" si="250"/>
        <v>280</v>
      </c>
      <c r="O1284" s="9">
        <f t="shared" si="240"/>
        <v>252</v>
      </c>
      <c r="P1284" s="5" t="s">
        <v>2267</v>
      </c>
      <c r="Q1284" s="5" t="s">
        <v>2272</v>
      </c>
      <c r="R1284" s="5" t="s">
        <v>2277</v>
      </c>
      <c r="S1284" s="5" t="s">
        <v>2285</v>
      </c>
      <c r="T1284" s="5" t="s">
        <v>2289</v>
      </c>
      <c r="U1284" s="8">
        <v>5</v>
      </c>
      <c r="V1284" s="8">
        <v>223</v>
      </c>
      <c r="W1284" s="8">
        <v>55</v>
      </c>
      <c r="X1284" s="9">
        <v>49.98</v>
      </c>
      <c r="Y1284" s="9">
        <f t="shared" si="241"/>
        <v>152.04000000000002</v>
      </c>
      <c r="Z1284" s="5" t="s">
        <v>2293</v>
      </c>
      <c r="AA1284" s="5" t="s">
        <v>2296</v>
      </c>
      <c r="AB1284" s="9">
        <f t="shared" si="242"/>
        <v>280</v>
      </c>
      <c r="AC1284" s="9">
        <f t="shared" si="243"/>
        <v>28</v>
      </c>
      <c r="AD1284" s="9">
        <f t="shared" si="244"/>
        <v>252</v>
      </c>
      <c r="AE1284" s="9">
        <f t="shared" si="245"/>
        <v>99.96</v>
      </c>
      <c r="AF1284" s="9">
        <f t="shared" si="251"/>
        <v>152.04000000000002</v>
      </c>
      <c r="AG1284" s="8">
        <f t="shared" si="246"/>
        <v>2024</v>
      </c>
      <c r="AH1284" s="8">
        <f t="shared" si="247"/>
        <v>12</v>
      </c>
      <c r="AI1284" s="5" t="str">
        <f t="shared" si="248"/>
        <v>Dec</v>
      </c>
      <c r="AJ1284" s="5" t="str">
        <f t="shared" si="249"/>
        <v>Wednesday</v>
      </c>
    </row>
    <row r="1285" spans="1:36" x14ac:dyDescent="0.3">
      <c r="A1285" s="5" t="s">
        <v>1319</v>
      </c>
      <c r="B1285" s="6">
        <v>45295</v>
      </c>
      <c r="C1285" s="7">
        <v>0.5625</v>
      </c>
      <c r="D1285" s="5" t="s">
        <v>1940</v>
      </c>
      <c r="E1285" s="5" t="s">
        <v>2148</v>
      </c>
      <c r="F1285" s="5" t="s">
        <v>2238</v>
      </c>
      <c r="G1285" s="5" t="s">
        <v>2243</v>
      </c>
      <c r="H1285" s="5" t="s">
        <v>2258</v>
      </c>
      <c r="I1285" s="5" t="s">
        <v>2260</v>
      </c>
      <c r="J1285" s="5" t="s">
        <v>2266</v>
      </c>
      <c r="K1285" s="19">
        <v>1</v>
      </c>
      <c r="L1285" s="9">
        <v>70</v>
      </c>
      <c r="M1285" s="10">
        <v>0</v>
      </c>
      <c r="N1285" s="9">
        <f t="shared" si="250"/>
        <v>70</v>
      </c>
      <c r="O1285" s="9">
        <f t="shared" si="240"/>
        <v>70</v>
      </c>
      <c r="P1285" s="5" t="s">
        <v>1761</v>
      </c>
      <c r="Q1285" s="5" t="s">
        <v>2272</v>
      </c>
      <c r="R1285" s="5" t="s">
        <v>2273</v>
      </c>
      <c r="S1285" s="5" t="s">
        <v>2283</v>
      </c>
      <c r="T1285" s="5" t="s">
        <v>2289</v>
      </c>
      <c r="U1285" s="8">
        <v>3</v>
      </c>
      <c r="V1285" s="8">
        <v>249</v>
      </c>
      <c r="W1285" s="8">
        <v>60</v>
      </c>
      <c r="X1285" s="9">
        <v>27.09</v>
      </c>
      <c r="Y1285" s="9">
        <f t="shared" si="241"/>
        <v>42.91</v>
      </c>
      <c r="Z1285" s="5" t="s">
        <v>2293</v>
      </c>
      <c r="AA1285" s="5" t="s">
        <v>2296</v>
      </c>
      <c r="AB1285" s="9">
        <f t="shared" si="242"/>
        <v>70</v>
      </c>
      <c r="AC1285" s="9">
        <f t="shared" si="243"/>
        <v>0</v>
      </c>
      <c r="AD1285" s="9">
        <f t="shared" si="244"/>
        <v>70</v>
      </c>
      <c r="AE1285" s="9">
        <f t="shared" si="245"/>
        <v>27.09</v>
      </c>
      <c r="AF1285" s="9">
        <f t="shared" si="251"/>
        <v>42.91</v>
      </c>
      <c r="AG1285" s="8">
        <f t="shared" si="246"/>
        <v>2024</v>
      </c>
      <c r="AH1285" s="8">
        <f t="shared" si="247"/>
        <v>1</v>
      </c>
      <c r="AI1285" s="5" t="str">
        <f t="shared" si="248"/>
        <v>Jan</v>
      </c>
      <c r="AJ1285" s="5" t="str">
        <f t="shared" si="249"/>
        <v>Thursday</v>
      </c>
    </row>
    <row r="1286" spans="1:36" x14ac:dyDescent="0.3">
      <c r="A1286" s="5" t="s">
        <v>1320</v>
      </c>
      <c r="B1286" s="6">
        <v>45339</v>
      </c>
      <c r="C1286" s="7">
        <v>0.36458333333333331</v>
      </c>
      <c r="D1286" s="5" t="s">
        <v>1759</v>
      </c>
      <c r="E1286" s="5" t="s">
        <v>2216</v>
      </c>
      <c r="F1286" s="5" t="s">
        <v>2240</v>
      </c>
      <c r="G1286" s="5" t="s">
        <v>2242</v>
      </c>
      <c r="H1286" s="5" t="s">
        <v>2258</v>
      </c>
      <c r="I1286" s="5" t="s">
        <v>2260</v>
      </c>
      <c r="J1286" s="5" t="s">
        <v>2264</v>
      </c>
      <c r="K1286" s="8">
        <v>1</v>
      </c>
      <c r="L1286" s="9">
        <v>130</v>
      </c>
      <c r="M1286" s="10">
        <v>0.1</v>
      </c>
      <c r="N1286" s="9">
        <f t="shared" si="250"/>
        <v>130</v>
      </c>
      <c r="O1286" s="9">
        <f t="shared" si="240"/>
        <v>117</v>
      </c>
      <c r="P1286" s="5" t="s">
        <v>2268</v>
      </c>
      <c r="Q1286" s="5" t="s">
        <v>2271</v>
      </c>
      <c r="R1286" s="5" t="s">
        <v>2275</v>
      </c>
      <c r="S1286" s="5" t="s">
        <v>2286</v>
      </c>
      <c r="T1286" s="5" t="s">
        <v>2288</v>
      </c>
      <c r="U1286" s="8">
        <v>4</v>
      </c>
      <c r="V1286" s="8">
        <v>462</v>
      </c>
      <c r="W1286" s="19">
        <v>37</v>
      </c>
      <c r="X1286" s="9">
        <v>60.13</v>
      </c>
      <c r="Y1286" s="9">
        <f t="shared" si="241"/>
        <v>56.87</v>
      </c>
      <c r="Z1286" s="5" t="s">
        <v>1761</v>
      </c>
      <c r="AA1286" s="5" t="s">
        <v>2299</v>
      </c>
      <c r="AB1286" s="9">
        <f t="shared" si="242"/>
        <v>130</v>
      </c>
      <c r="AC1286" s="9">
        <f t="shared" si="243"/>
        <v>13</v>
      </c>
      <c r="AD1286" s="9">
        <f t="shared" si="244"/>
        <v>117</v>
      </c>
      <c r="AE1286" s="9">
        <f t="shared" si="245"/>
        <v>60.13</v>
      </c>
      <c r="AF1286" s="9">
        <f t="shared" si="251"/>
        <v>56.87</v>
      </c>
      <c r="AG1286" s="8">
        <f t="shared" si="246"/>
        <v>2024</v>
      </c>
      <c r="AH1286" s="8">
        <f t="shared" si="247"/>
        <v>2</v>
      </c>
      <c r="AI1286" s="5" t="str">
        <f t="shared" si="248"/>
        <v>Feb</v>
      </c>
      <c r="AJ1286" s="5" t="str">
        <f t="shared" si="249"/>
        <v>Saturday</v>
      </c>
    </row>
    <row r="1287" spans="1:36" x14ac:dyDescent="0.3">
      <c r="A1287" s="5" t="s">
        <v>1321</v>
      </c>
      <c r="B1287" s="6">
        <v>45309</v>
      </c>
      <c r="C1287" s="7">
        <v>0.86458333333333337</v>
      </c>
      <c r="D1287" s="5" t="s">
        <v>1882</v>
      </c>
      <c r="E1287" s="5" t="s">
        <v>2217</v>
      </c>
      <c r="F1287" s="5" t="s">
        <v>2239</v>
      </c>
      <c r="G1287" s="5" t="s">
        <v>2242</v>
      </c>
      <c r="H1287" s="5" t="s">
        <v>2258</v>
      </c>
      <c r="I1287" s="5" t="s">
        <v>2260</v>
      </c>
      <c r="J1287" s="5" t="s">
        <v>2264</v>
      </c>
      <c r="K1287" s="8">
        <v>2</v>
      </c>
      <c r="L1287" s="9">
        <v>115</v>
      </c>
      <c r="M1287" s="10">
        <v>0.1</v>
      </c>
      <c r="N1287" s="9">
        <f t="shared" si="250"/>
        <v>230</v>
      </c>
      <c r="O1287" s="9">
        <f t="shared" si="240"/>
        <v>207</v>
      </c>
      <c r="P1287" s="5" t="s">
        <v>1761</v>
      </c>
      <c r="Q1287" s="5" t="s">
        <v>2270</v>
      </c>
      <c r="R1287" s="5" t="s">
        <v>2274</v>
      </c>
      <c r="S1287" s="5" t="s">
        <v>2284</v>
      </c>
      <c r="T1287" s="5" t="s">
        <v>2288</v>
      </c>
      <c r="U1287" s="8">
        <v>2</v>
      </c>
      <c r="V1287" s="8">
        <v>381</v>
      </c>
      <c r="W1287" s="8">
        <v>21</v>
      </c>
      <c r="X1287" s="9">
        <v>58.29</v>
      </c>
      <c r="Y1287" s="9">
        <f t="shared" si="241"/>
        <v>90.42</v>
      </c>
      <c r="Z1287" s="5" t="s">
        <v>2291</v>
      </c>
      <c r="AA1287" s="5" t="s">
        <v>2297</v>
      </c>
      <c r="AB1287" s="9">
        <f t="shared" si="242"/>
        <v>230</v>
      </c>
      <c r="AC1287" s="9">
        <f t="shared" si="243"/>
        <v>23</v>
      </c>
      <c r="AD1287" s="9">
        <f t="shared" si="244"/>
        <v>207</v>
      </c>
      <c r="AE1287" s="9">
        <f t="shared" si="245"/>
        <v>116.58</v>
      </c>
      <c r="AF1287" s="9">
        <f t="shared" si="251"/>
        <v>90.42</v>
      </c>
      <c r="AG1287" s="8">
        <f t="shared" si="246"/>
        <v>2024</v>
      </c>
      <c r="AH1287" s="8">
        <f t="shared" si="247"/>
        <v>1</v>
      </c>
      <c r="AI1287" s="5" t="str">
        <f t="shared" si="248"/>
        <v>Jan</v>
      </c>
      <c r="AJ1287" s="5" t="str">
        <f t="shared" si="249"/>
        <v>Thursday</v>
      </c>
    </row>
    <row r="1288" spans="1:36" x14ac:dyDescent="0.3">
      <c r="A1288" s="5" t="s">
        <v>1322</v>
      </c>
      <c r="B1288" s="6">
        <v>45650</v>
      </c>
      <c r="C1288" s="7">
        <v>0.85416666666666663</v>
      </c>
      <c r="D1288" s="5" t="s">
        <v>1865</v>
      </c>
      <c r="E1288" s="5" t="s">
        <v>1958</v>
      </c>
      <c r="F1288" s="5" t="s">
        <v>2239</v>
      </c>
      <c r="G1288" s="5" t="s">
        <v>2256</v>
      </c>
      <c r="H1288" s="5" t="s">
        <v>2261</v>
      </c>
      <c r="I1288" s="5" t="s">
        <v>2260</v>
      </c>
      <c r="J1288" s="5" t="s">
        <v>2265</v>
      </c>
      <c r="K1288" s="8">
        <v>1</v>
      </c>
      <c r="L1288" s="9">
        <v>190</v>
      </c>
      <c r="M1288" s="10">
        <v>0</v>
      </c>
      <c r="N1288" s="9">
        <f t="shared" si="250"/>
        <v>190</v>
      </c>
      <c r="O1288" s="9">
        <f t="shared" si="240"/>
        <v>190</v>
      </c>
      <c r="P1288" s="5" t="s">
        <v>2267</v>
      </c>
      <c r="Q1288" s="5" t="s">
        <v>2270</v>
      </c>
      <c r="R1288" s="5" t="s">
        <v>2278</v>
      </c>
      <c r="S1288" s="5" t="s">
        <v>2287</v>
      </c>
      <c r="T1288" s="5" t="s">
        <v>2288</v>
      </c>
      <c r="U1288" s="8">
        <v>4</v>
      </c>
      <c r="V1288" s="8">
        <v>331</v>
      </c>
      <c r="W1288" s="8">
        <v>55</v>
      </c>
      <c r="X1288" s="9">
        <v>93.17</v>
      </c>
      <c r="Y1288" s="9">
        <f t="shared" si="241"/>
        <v>96.83</v>
      </c>
      <c r="Z1288" s="5" t="s">
        <v>2292</v>
      </c>
      <c r="AA1288" s="5" t="s">
        <v>2296</v>
      </c>
      <c r="AB1288" s="9">
        <f t="shared" si="242"/>
        <v>190</v>
      </c>
      <c r="AC1288" s="9">
        <f t="shared" si="243"/>
        <v>0</v>
      </c>
      <c r="AD1288" s="9">
        <f t="shared" si="244"/>
        <v>190</v>
      </c>
      <c r="AE1288" s="9">
        <f t="shared" si="245"/>
        <v>93.17</v>
      </c>
      <c r="AF1288" s="9">
        <f t="shared" si="251"/>
        <v>96.83</v>
      </c>
      <c r="AG1288" s="8">
        <f t="shared" si="246"/>
        <v>2024</v>
      </c>
      <c r="AH1288" s="8">
        <f t="shared" si="247"/>
        <v>12</v>
      </c>
      <c r="AI1288" s="5" t="str">
        <f t="shared" si="248"/>
        <v>Dec</v>
      </c>
      <c r="AJ1288" s="5" t="str">
        <f t="shared" si="249"/>
        <v>Tuesday</v>
      </c>
    </row>
    <row r="1289" spans="1:36" x14ac:dyDescent="0.3">
      <c r="A1289" s="5" t="s">
        <v>1323</v>
      </c>
      <c r="B1289" s="6">
        <v>45432</v>
      </c>
      <c r="C1289" s="7">
        <v>0.64583333333333337</v>
      </c>
      <c r="D1289" s="5" t="s">
        <v>1881</v>
      </c>
      <c r="E1289" s="5" t="s">
        <v>2077</v>
      </c>
      <c r="F1289" s="5" t="s">
        <v>2240</v>
      </c>
      <c r="G1289" s="5" t="s">
        <v>2253</v>
      </c>
      <c r="H1289" s="5" t="s">
        <v>2258</v>
      </c>
      <c r="I1289" s="5" t="s">
        <v>2260</v>
      </c>
      <c r="J1289" s="5" t="s">
        <v>2265</v>
      </c>
      <c r="K1289" s="8">
        <v>1</v>
      </c>
      <c r="L1289" s="9">
        <v>85</v>
      </c>
      <c r="M1289" s="10">
        <v>0.15</v>
      </c>
      <c r="N1289" s="9">
        <f t="shared" si="250"/>
        <v>85</v>
      </c>
      <c r="O1289" s="9">
        <f t="shared" si="240"/>
        <v>72.25</v>
      </c>
      <c r="P1289" s="5" t="s">
        <v>2268</v>
      </c>
      <c r="Q1289" s="5" t="s">
        <v>2272</v>
      </c>
      <c r="R1289" s="5" t="s">
        <v>2279</v>
      </c>
      <c r="S1289" s="5" t="s">
        <v>2284</v>
      </c>
      <c r="T1289" s="5" t="s">
        <v>2288</v>
      </c>
      <c r="U1289" s="8">
        <v>5</v>
      </c>
      <c r="V1289" s="8">
        <v>322</v>
      </c>
      <c r="W1289" s="8">
        <v>56</v>
      </c>
      <c r="X1289" s="9">
        <v>52.52</v>
      </c>
      <c r="Y1289" s="9">
        <f t="shared" si="241"/>
        <v>19.729999999999997</v>
      </c>
      <c r="Z1289" s="5" t="s">
        <v>1761</v>
      </c>
      <c r="AA1289" s="5" t="s">
        <v>1761</v>
      </c>
      <c r="AB1289" s="9">
        <f t="shared" si="242"/>
        <v>85</v>
      </c>
      <c r="AC1289" s="9">
        <f t="shared" si="243"/>
        <v>12.75</v>
      </c>
      <c r="AD1289" s="9">
        <f t="shared" si="244"/>
        <v>72.25</v>
      </c>
      <c r="AE1289" s="9">
        <f t="shared" si="245"/>
        <v>52.52</v>
      </c>
      <c r="AF1289" s="9">
        <f t="shared" si="251"/>
        <v>19.729999999999997</v>
      </c>
      <c r="AG1289" s="8">
        <f t="shared" si="246"/>
        <v>2024</v>
      </c>
      <c r="AH1289" s="8">
        <f t="shared" si="247"/>
        <v>5</v>
      </c>
      <c r="AI1289" s="5" t="str">
        <f t="shared" si="248"/>
        <v>May</v>
      </c>
      <c r="AJ1289" s="5" t="str">
        <f t="shared" si="249"/>
        <v>Monday</v>
      </c>
    </row>
    <row r="1290" spans="1:36" x14ac:dyDescent="0.3">
      <c r="A1290" s="5" t="s">
        <v>1324</v>
      </c>
      <c r="B1290" s="6">
        <v>45513</v>
      </c>
      <c r="C1290" s="7">
        <v>0.75</v>
      </c>
      <c r="D1290" s="5" t="s">
        <v>1767</v>
      </c>
      <c r="E1290" s="5" t="s">
        <v>1947</v>
      </c>
      <c r="F1290" s="5" t="s">
        <v>2239</v>
      </c>
      <c r="G1290" s="5" t="s">
        <v>2243</v>
      </c>
      <c r="H1290" s="5" t="s">
        <v>2258</v>
      </c>
      <c r="I1290" s="5" t="s">
        <v>2260</v>
      </c>
      <c r="J1290" s="5" t="s">
        <v>2265</v>
      </c>
      <c r="K1290" s="8">
        <v>1</v>
      </c>
      <c r="L1290" s="9">
        <v>75</v>
      </c>
      <c r="M1290" s="10">
        <v>0.1</v>
      </c>
      <c r="N1290" s="9">
        <f t="shared" si="250"/>
        <v>75</v>
      </c>
      <c r="O1290" s="9">
        <f t="shared" si="240"/>
        <v>67.5</v>
      </c>
      <c r="P1290" s="5" t="s">
        <v>2269</v>
      </c>
      <c r="Q1290" s="5" t="s">
        <v>2270</v>
      </c>
      <c r="R1290" s="5" t="s">
        <v>2278</v>
      </c>
      <c r="S1290" s="5" t="s">
        <v>2284</v>
      </c>
      <c r="T1290" s="5" t="s">
        <v>2288</v>
      </c>
      <c r="U1290" s="8">
        <v>5</v>
      </c>
      <c r="V1290" s="8">
        <v>125</v>
      </c>
      <c r="W1290" s="8">
        <v>55</v>
      </c>
      <c r="X1290" s="9">
        <v>27.76</v>
      </c>
      <c r="Y1290" s="9">
        <f t="shared" si="241"/>
        <v>39.739999999999995</v>
      </c>
      <c r="Z1290" s="5" t="s">
        <v>2292</v>
      </c>
      <c r="AA1290" s="5" t="s">
        <v>2298</v>
      </c>
      <c r="AB1290" s="9">
        <f t="shared" si="242"/>
        <v>75</v>
      </c>
      <c r="AC1290" s="9">
        <f t="shared" si="243"/>
        <v>7.5</v>
      </c>
      <c r="AD1290" s="9">
        <f t="shared" si="244"/>
        <v>67.5</v>
      </c>
      <c r="AE1290" s="9">
        <f t="shared" si="245"/>
        <v>27.76</v>
      </c>
      <c r="AF1290" s="9">
        <f t="shared" si="251"/>
        <v>39.739999999999995</v>
      </c>
      <c r="AG1290" s="8">
        <f t="shared" si="246"/>
        <v>2024</v>
      </c>
      <c r="AH1290" s="8">
        <f t="shared" si="247"/>
        <v>8</v>
      </c>
      <c r="AI1290" s="5" t="str">
        <f t="shared" si="248"/>
        <v>Aug</v>
      </c>
      <c r="AJ1290" s="5" t="str">
        <f t="shared" si="249"/>
        <v>Friday</v>
      </c>
    </row>
    <row r="1291" spans="1:36" x14ac:dyDescent="0.3">
      <c r="A1291" s="5" t="s">
        <v>1325</v>
      </c>
      <c r="B1291" s="6">
        <v>45392</v>
      </c>
      <c r="C1291" s="7">
        <v>0.75</v>
      </c>
      <c r="D1291" s="5" t="s">
        <v>1826</v>
      </c>
      <c r="E1291" s="5" t="s">
        <v>2148</v>
      </c>
      <c r="F1291" s="5" t="s">
        <v>2239</v>
      </c>
      <c r="G1291" s="5" t="s">
        <v>2245</v>
      </c>
      <c r="H1291" s="5" t="s">
        <v>2257</v>
      </c>
      <c r="I1291" s="5" t="s">
        <v>2263</v>
      </c>
      <c r="J1291" s="5" t="s">
        <v>2264</v>
      </c>
      <c r="K1291" s="8">
        <v>1</v>
      </c>
      <c r="L1291" s="9">
        <v>145</v>
      </c>
      <c r="M1291" s="10">
        <v>0</v>
      </c>
      <c r="N1291" s="9">
        <f t="shared" si="250"/>
        <v>145</v>
      </c>
      <c r="O1291" s="9">
        <f t="shared" si="240"/>
        <v>145</v>
      </c>
      <c r="P1291" s="5" t="s">
        <v>1761</v>
      </c>
      <c r="Q1291" s="5" t="s">
        <v>2272</v>
      </c>
      <c r="R1291" s="5" t="s">
        <v>2274</v>
      </c>
      <c r="S1291" s="5" t="s">
        <v>2287</v>
      </c>
      <c r="T1291" s="5" t="s">
        <v>2288</v>
      </c>
      <c r="U1291" s="8">
        <v>5</v>
      </c>
      <c r="V1291" s="8">
        <v>132</v>
      </c>
      <c r="W1291" s="19">
        <v>35</v>
      </c>
      <c r="X1291" s="9">
        <v>59.65</v>
      </c>
      <c r="Y1291" s="9">
        <f t="shared" si="241"/>
        <v>85.35</v>
      </c>
      <c r="Z1291" s="5" t="s">
        <v>2291</v>
      </c>
      <c r="AA1291" s="5" t="s">
        <v>1761</v>
      </c>
      <c r="AB1291" s="9">
        <f t="shared" si="242"/>
        <v>145</v>
      </c>
      <c r="AC1291" s="9">
        <f t="shared" si="243"/>
        <v>0</v>
      </c>
      <c r="AD1291" s="9">
        <f t="shared" si="244"/>
        <v>145</v>
      </c>
      <c r="AE1291" s="9">
        <f t="shared" si="245"/>
        <v>59.65</v>
      </c>
      <c r="AF1291" s="9">
        <f t="shared" si="251"/>
        <v>85.35</v>
      </c>
      <c r="AG1291" s="8">
        <f t="shared" si="246"/>
        <v>2024</v>
      </c>
      <c r="AH1291" s="8">
        <f t="shared" si="247"/>
        <v>4</v>
      </c>
      <c r="AI1291" s="5" t="str">
        <f t="shared" si="248"/>
        <v>Apr</v>
      </c>
      <c r="AJ1291" s="5" t="str">
        <f t="shared" si="249"/>
        <v>Wednesday</v>
      </c>
    </row>
    <row r="1292" spans="1:36" x14ac:dyDescent="0.3">
      <c r="A1292" s="5" t="s">
        <v>1326</v>
      </c>
      <c r="B1292" s="6">
        <v>45611</v>
      </c>
      <c r="C1292" s="7">
        <v>0.61458333333333337</v>
      </c>
      <c r="D1292" s="5" t="s">
        <v>1824</v>
      </c>
      <c r="E1292" s="5" t="s">
        <v>2236</v>
      </c>
      <c r="F1292" s="5" t="s">
        <v>2238</v>
      </c>
      <c r="G1292" s="5" t="s">
        <v>2245</v>
      </c>
      <c r="H1292" s="5" t="s">
        <v>2257</v>
      </c>
      <c r="I1292" s="5" t="s">
        <v>2263</v>
      </c>
      <c r="J1292" s="5" t="s">
        <v>2264</v>
      </c>
      <c r="K1292" s="8">
        <v>2</v>
      </c>
      <c r="L1292" s="9">
        <v>150</v>
      </c>
      <c r="M1292" s="10">
        <v>0.1</v>
      </c>
      <c r="N1292" s="9">
        <f t="shared" si="250"/>
        <v>300</v>
      </c>
      <c r="O1292" s="9">
        <f t="shared" si="240"/>
        <v>270</v>
      </c>
      <c r="P1292" s="5" t="s">
        <v>2269</v>
      </c>
      <c r="Q1292" s="5" t="s">
        <v>2270</v>
      </c>
      <c r="R1292" s="5" t="s">
        <v>2275</v>
      </c>
      <c r="S1292" s="5" t="s">
        <v>2285</v>
      </c>
      <c r="T1292" s="5" t="s">
        <v>2288</v>
      </c>
      <c r="U1292" s="8">
        <v>2</v>
      </c>
      <c r="V1292" s="8">
        <v>14</v>
      </c>
      <c r="W1292" s="8">
        <v>38</v>
      </c>
      <c r="X1292" s="9">
        <v>74.37</v>
      </c>
      <c r="Y1292" s="9">
        <f t="shared" si="241"/>
        <v>121.25999999999999</v>
      </c>
      <c r="Z1292" s="5" t="s">
        <v>2293</v>
      </c>
      <c r="AA1292" s="5" t="s">
        <v>2299</v>
      </c>
      <c r="AB1292" s="9">
        <f t="shared" si="242"/>
        <v>300</v>
      </c>
      <c r="AC1292" s="9">
        <f t="shared" si="243"/>
        <v>30</v>
      </c>
      <c r="AD1292" s="9">
        <f t="shared" si="244"/>
        <v>270</v>
      </c>
      <c r="AE1292" s="9">
        <f t="shared" si="245"/>
        <v>148.74</v>
      </c>
      <c r="AF1292" s="9">
        <f t="shared" si="251"/>
        <v>121.25999999999999</v>
      </c>
      <c r="AG1292" s="8">
        <f t="shared" si="246"/>
        <v>2024</v>
      </c>
      <c r="AH1292" s="8">
        <f t="shared" si="247"/>
        <v>11</v>
      </c>
      <c r="AI1292" s="5" t="str">
        <f t="shared" si="248"/>
        <v>Nov</v>
      </c>
      <c r="AJ1292" s="5" t="str">
        <f t="shared" si="249"/>
        <v>Friday</v>
      </c>
    </row>
    <row r="1293" spans="1:36" x14ac:dyDescent="0.3">
      <c r="A1293" s="5" t="s">
        <v>1327</v>
      </c>
      <c r="B1293" s="6">
        <v>45602</v>
      </c>
      <c r="C1293" s="7">
        <v>0.89583333333333337</v>
      </c>
      <c r="D1293" s="5" t="s">
        <v>1779</v>
      </c>
      <c r="E1293" s="5" t="s">
        <v>2093</v>
      </c>
      <c r="F1293" s="5" t="s">
        <v>2240</v>
      </c>
      <c r="G1293" s="5" t="s">
        <v>2242</v>
      </c>
      <c r="H1293" s="5" t="s">
        <v>2258</v>
      </c>
      <c r="I1293" s="5" t="s">
        <v>2260</v>
      </c>
      <c r="J1293" s="5" t="s">
        <v>1761</v>
      </c>
      <c r="K1293" s="8">
        <v>2</v>
      </c>
      <c r="L1293" s="9">
        <v>120</v>
      </c>
      <c r="M1293" s="10">
        <v>0.1</v>
      </c>
      <c r="N1293" s="9">
        <f t="shared" si="250"/>
        <v>240</v>
      </c>
      <c r="O1293" s="9">
        <f t="shared" si="240"/>
        <v>216</v>
      </c>
      <c r="P1293" s="5" t="s">
        <v>2268</v>
      </c>
      <c r="Q1293" s="5" t="s">
        <v>2272</v>
      </c>
      <c r="R1293" s="5" t="s">
        <v>2278</v>
      </c>
      <c r="S1293" s="5" t="s">
        <v>2282</v>
      </c>
      <c r="T1293" s="5" t="s">
        <v>2288</v>
      </c>
      <c r="U1293" s="8">
        <v>5</v>
      </c>
      <c r="V1293" s="8">
        <v>451</v>
      </c>
      <c r="W1293" s="8">
        <v>50</v>
      </c>
      <c r="X1293" s="9">
        <v>47.93</v>
      </c>
      <c r="Y1293" s="9">
        <f t="shared" si="241"/>
        <v>120.14</v>
      </c>
      <c r="Z1293" s="5" t="s">
        <v>1761</v>
      </c>
      <c r="AA1293" s="5" t="s">
        <v>2298</v>
      </c>
      <c r="AB1293" s="9">
        <f t="shared" si="242"/>
        <v>240</v>
      </c>
      <c r="AC1293" s="9">
        <f t="shared" si="243"/>
        <v>24</v>
      </c>
      <c r="AD1293" s="9">
        <f t="shared" si="244"/>
        <v>216</v>
      </c>
      <c r="AE1293" s="9">
        <f t="shared" si="245"/>
        <v>95.86</v>
      </c>
      <c r="AF1293" s="9">
        <f t="shared" si="251"/>
        <v>120.14</v>
      </c>
      <c r="AG1293" s="8">
        <f t="shared" si="246"/>
        <v>2024</v>
      </c>
      <c r="AH1293" s="8">
        <f t="shared" si="247"/>
        <v>11</v>
      </c>
      <c r="AI1293" s="5" t="str">
        <f t="shared" si="248"/>
        <v>Nov</v>
      </c>
      <c r="AJ1293" s="5" t="str">
        <f t="shared" si="249"/>
        <v>Wednesday</v>
      </c>
    </row>
    <row r="1294" spans="1:36" x14ac:dyDescent="0.3">
      <c r="A1294" s="5" t="s">
        <v>1328</v>
      </c>
      <c r="B1294" s="18">
        <v>45468</v>
      </c>
      <c r="C1294" s="7">
        <v>0.67361111111111116</v>
      </c>
      <c r="D1294" s="5" t="s">
        <v>1755</v>
      </c>
      <c r="E1294" s="5" t="s">
        <v>2040</v>
      </c>
      <c r="F1294" s="5" t="s">
        <v>2240</v>
      </c>
      <c r="G1294" s="5" t="s">
        <v>2251</v>
      </c>
      <c r="H1294" s="5" t="s">
        <v>2258</v>
      </c>
      <c r="I1294" s="5" t="s">
        <v>2260</v>
      </c>
      <c r="J1294" s="5" t="s">
        <v>2266</v>
      </c>
      <c r="K1294" s="8">
        <v>2</v>
      </c>
      <c r="L1294" s="9">
        <v>100</v>
      </c>
      <c r="M1294" s="10">
        <v>0.1</v>
      </c>
      <c r="N1294" s="9">
        <f t="shared" si="250"/>
        <v>200</v>
      </c>
      <c r="O1294" s="9">
        <f t="shared" si="240"/>
        <v>180</v>
      </c>
      <c r="P1294" s="5" t="s">
        <v>2267</v>
      </c>
      <c r="Q1294" s="5" t="s">
        <v>1761</v>
      </c>
      <c r="R1294" s="5" t="s">
        <v>2275</v>
      </c>
      <c r="S1294" s="5" t="s">
        <v>2286</v>
      </c>
      <c r="T1294" s="5" t="s">
        <v>2288</v>
      </c>
      <c r="U1294" s="8">
        <v>5</v>
      </c>
      <c r="V1294" s="19">
        <v>244</v>
      </c>
      <c r="W1294" s="8">
        <v>33</v>
      </c>
      <c r="X1294" s="9">
        <v>44.74</v>
      </c>
      <c r="Y1294" s="9">
        <f t="shared" si="241"/>
        <v>90.52</v>
      </c>
      <c r="Z1294" s="5" t="s">
        <v>2291</v>
      </c>
      <c r="AA1294" s="5" t="s">
        <v>2296</v>
      </c>
      <c r="AB1294" s="9">
        <f t="shared" si="242"/>
        <v>200</v>
      </c>
      <c r="AC1294" s="9">
        <f t="shared" si="243"/>
        <v>20</v>
      </c>
      <c r="AD1294" s="9">
        <f t="shared" si="244"/>
        <v>180</v>
      </c>
      <c r="AE1294" s="9">
        <f t="shared" si="245"/>
        <v>89.48</v>
      </c>
      <c r="AF1294" s="9">
        <f t="shared" si="251"/>
        <v>90.52</v>
      </c>
      <c r="AG1294" s="8">
        <f t="shared" si="246"/>
        <v>2024</v>
      </c>
      <c r="AH1294" s="8">
        <f t="shared" si="247"/>
        <v>6</v>
      </c>
      <c r="AI1294" s="5" t="str">
        <f t="shared" si="248"/>
        <v>Jun</v>
      </c>
      <c r="AJ1294" s="5" t="str">
        <f t="shared" si="249"/>
        <v>Tuesday</v>
      </c>
    </row>
    <row r="1295" spans="1:36" x14ac:dyDescent="0.3">
      <c r="A1295" s="5" t="s">
        <v>1329</v>
      </c>
      <c r="B1295" s="6">
        <v>45335</v>
      </c>
      <c r="C1295" s="7">
        <v>0.53472222222222221</v>
      </c>
      <c r="D1295" s="5" t="s">
        <v>1779</v>
      </c>
      <c r="E1295" s="5" t="s">
        <v>1761</v>
      </c>
      <c r="F1295" s="5" t="s">
        <v>2240</v>
      </c>
      <c r="G1295" s="5" t="s">
        <v>2253</v>
      </c>
      <c r="H1295" s="5" t="s">
        <v>2258</v>
      </c>
      <c r="I1295" s="5" t="s">
        <v>2260</v>
      </c>
      <c r="J1295" s="5" t="s">
        <v>2264</v>
      </c>
      <c r="K1295" s="8">
        <v>1</v>
      </c>
      <c r="L1295" s="9">
        <v>85</v>
      </c>
      <c r="M1295" s="10">
        <v>0</v>
      </c>
      <c r="N1295" s="9">
        <f t="shared" si="250"/>
        <v>85</v>
      </c>
      <c r="O1295" s="9">
        <f t="shared" si="240"/>
        <v>85</v>
      </c>
      <c r="P1295" s="5" t="s">
        <v>1761</v>
      </c>
      <c r="Q1295" s="5" t="s">
        <v>2271</v>
      </c>
      <c r="R1295" s="5" t="s">
        <v>2278</v>
      </c>
      <c r="S1295" s="5" t="s">
        <v>2287</v>
      </c>
      <c r="T1295" s="5" t="s">
        <v>2288</v>
      </c>
      <c r="U1295" s="8">
        <v>5</v>
      </c>
      <c r="V1295" s="8">
        <v>184</v>
      </c>
      <c r="W1295" s="8">
        <v>45</v>
      </c>
      <c r="X1295" s="9">
        <v>33.44</v>
      </c>
      <c r="Y1295" s="9">
        <f t="shared" si="241"/>
        <v>51.56</v>
      </c>
      <c r="Z1295" s="5" t="s">
        <v>2291</v>
      </c>
      <c r="AA1295" s="5" t="s">
        <v>2298</v>
      </c>
      <c r="AB1295" s="9">
        <f t="shared" si="242"/>
        <v>85</v>
      </c>
      <c r="AC1295" s="9">
        <f t="shared" si="243"/>
        <v>0</v>
      </c>
      <c r="AD1295" s="9">
        <f t="shared" si="244"/>
        <v>85</v>
      </c>
      <c r="AE1295" s="9">
        <f t="shared" si="245"/>
        <v>33.44</v>
      </c>
      <c r="AF1295" s="9">
        <f t="shared" si="251"/>
        <v>51.56</v>
      </c>
      <c r="AG1295" s="8">
        <f t="shared" si="246"/>
        <v>2024</v>
      </c>
      <c r="AH1295" s="8">
        <f t="shared" si="247"/>
        <v>2</v>
      </c>
      <c r="AI1295" s="5" t="str">
        <f t="shared" si="248"/>
        <v>Feb</v>
      </c>
      <c r="AJ1295" s="5" t="str">
        <f t="shared" si="249"/>
        <v>Tuesday</v>
      </c>
    </row>
    <row r="1296" spans="1:36" x14ac:dyDescent="0.3">
      <c r="A1296" s="5" t="s">
        <v>1330</v>
      </c>
      <c r="B1296" s="6">
        <v>45376</v>
      </c>
      <c r="C1296" s="7">
        <v>0.72916666666666663</v>
      </c>
      <c r="D1296" s="5" t="s">
        <v>1873</v>
      </c>
      <c r="E1296" s="5" t="s">
        <v>2006</v>
      </c>
      <c r="F1296" s="5" t="s">
        <v>1761</v>
      </c>
      <c r="G1296" s="5" t="s">
        <v>2243</v>
      </c>
      <c r="H1296" s="5" t="s">
        <v>2258</v>
      </c>
      <c r="I1296" s="5" t="s">
        <v>2260</v>
      </c>
      <c r="J1296" s="5" t="s">
        <v>2266</v>
      </c>
      <c r="K1296" s="8">
        <v>1</v>
      </c>
      <c r="L1296" s="9">
        <v>70</v>
      </c>
      <c r="M1296" s="10">
        <v>0</v>
      </c>
      <c r="N1296" s="9">
        <f t="shared" si="250"/>
        <v>70</v>
      </c>
      <c r="O1296" s="9">
        <f t="shared" si="240"/>
        <v>70</v>
      </c>
      <c r="P1296" s="5" t="s">
        <v>2268</v>
      </c>
      <c r="Q1296" s="5" t="s">
        <v>2270</v>
      </c>
      <c r="R1296" s="5" t="s">
        <v>2275</v>
      </c>
      <c r="S1296" s="5" t="s">
        <v>2287</v>
      </c>
      <c r="T1296" s="5" t="s">
        <v>2288</v>
      </c>
      <c r="U1296" s="19">
        <v>3</v>
      </c>
      <c r="V1296" s="8">
        <v>429</v>
      </c>
      <c r="W1296" s="8">
        <v>43</v>
      </c>
      <c r="X1296" s="9">
        <v>37.64</v>
      </c>
      <c r="Y1296" s="9">
        <f t="shared" si="241"/>
        <v>32.36</v>
      </c>
      <c r="Z1296" s="5" t="s">
        <v>2292</v>
      </c>
      <c r="AA1296" s="5" t="s">
        <v>2299</v>
      </c>
      <c r="AB1296" s="9">
        <f t="shared" si="242"/>
        <v>70</v>
      </c>
      <c r="AC1296" s="9">
        <f t="shared" si="243"/>
        <v>0</v>
      </c>
      <c r="AD1296" s="9">
        <f t="shared" si="244"/>
        <v>70</v>
      </c>
      <c r="AE1296" s="9">
        <f t="shared" si="245"/>
        <v>37.64</v>
      </c>
      <c r="AF1296" s="9">
        <f t="shared" si="251"/>
        <v>32.36</v>
      </c>
      <c r="AG1296" s="8">
        <f t="shared" si="246"/>
        <v>2024</v>
      </c>
      <c r="AH1296" s="8">
        <f t="shared" si="247"/>
        <v>3</v>
      </c>
      <c r="AI1296" s="5" t="str">
        <f t="shared" si="248"/>
        <v>Mar</v>
      </c>
      <c r="AJ1296" s="5" t="str">
        <f t="shared" si="249"/>
        <v>Monday</v>
      </c>
    </row>
    <row r="1297" spans="1:36" x14ac:dyDescent="0.3">
      <c r="A1297" s="5" t="s">
        <v>1331</v>
      </c>
      <c r="B1297" s="6">
        <v>45653</v>
      </c>
      <c r="C1297" s="7">
        <v>0.4513888888888889</v>
      </c>
      <c r="D1297" s="5" t="s">
        <v>1881</v>
      </c>
      <c r="E1297" s="5" t="s">
        <v>2237</v>
      </c>
      <c r="F1297" s="5" t="s">
        <v>1761</v>
      </c>
      <c r="G1297" s="5" t="s">
        <v>2244</v>
      </c>
      <c r="H1297" s="5" t="s">
        <v>2257</v>
      </c>
      <c r="I1297" s="5" t="s">
        <v>2262</v>
      </c>
      <c r="J1297" s="5" t="s">
        <v>2264</v>
      </c>
      <c r="K1297" s="8">
        <v>2</v>
      </c>
      <c r="L1297" s="9">
        <v>130</v>
      </c>
      <c r="M1297" s="10">
        <v>0.1</v>
      </c>
      <c r="N1297" s="9">
        <f t="shared" si="250"/>
        <v>260</v>
      </c>
      <c r="O1297" s="9">
        <f t="shared" si="240"/>
        <v>234</v>
      </c>
      <c r="P1297" s="5" t="s">
        <v>2269</v>
      </c>
      <c r="Q1297" s="5" t="s">
        <v>1761</v>
      </c>
      <c r="R1297" s="5" t="s">
        <v>2276</v>
      </c>
      <c r="S1297" s="5" t="s">
        <v>2283</v>
      </c>
      <c r="T1297" s="5" t="s">
        <v>2288</v>
      </c>
      <c r="U1297" s="8">
        <v>5</v>
      </c>
      <c r="V1297" s="8">
        <v>123</v>
      </c>
      <c r="W1297" s="8">
        <v>28</v>
      </c>
      <c r="X1297" s="9">
        <v>70.040000000000006</v>
      </c>
      <c r="Y1297" s="9">
        <f t="shared" si="241"/>
        <v>93.919999999999987</v>
      </c>
      <c r="Z1297" s="5" t="s">
        <v>2293</v>
      </c>
      <c r="AA1297" s="5" t="s">
        <v>2299</v>
      </c>
      <c r="AB1297" s="9">
        <f t="shared" si="242"/>
        <v>260</v>
      </c>
      <c r="AC1297" s="9">
        <f t="shared" si="243"/>
        <v>26</v>
      </c>
      <c r="AD1297" s="9">
        <f t="shared" si="244"/>
        <v>234</v>
      </c>
      <c r="AE1297" s="9">
        <f t="shared" si="245"/>
        <v>140.08000000000001</v>
      </c>
      <c r="AF1297" s="9">
        <f t="shared" si="251"/>
        <v>93.919999999999987</v>
      </c>
      <c r="AG1297" s="8">
        <f t="shared" si="246"/>
        <v>2024</v>
      </c>
      <c r="AH1297" s="8">
        <f t="shared" si="247"/>
        <v>12</v>
      </c>
      <c r="AI1297" s="5" t="str">
        <f t="shared" si="248"/>
        <v>Dec</v>
      </c>
      <c r="AJ1297" s="5" t="str">
        <f t="shared" si="249"/>
        <v>Friday</v>
      </c>
    </row>
    <row r="1298" spans="1:36" x14ac:dyDescent="0.3">
      <c r="A1298" s="5" t="s">
        <v>1332</v>
      </c>
      <c r="B1298" s="6">
        <v>45479</v>
      </c>
      <c r="C1298" s="7">
        <v>0.55555555555555558</v>
      </c>
      <c r="D1298" s="5" t="s">
        <v>1750</v>
      </c>
      <c r="E1298" s="5" t="s">
        <v>1761</v>
      </c>
      <c r="F1298" s="5" t="s">
        <v>2239</v>
      </c>
      <c r="G1298" s="5" t="s">
        <v>2248</v>
      </c>
      <c r="H1298" s="5" t="s">
        <v>2257</v>
      </c>
      <c r="I1298" s="5" t="s">
        <v>2262</v>
      </c>
      <c r="J1298" s="5" t="s">
        <v>2266</v>
      </c>
      <c r="K1298" s="8">
        <v>2</v>
      </c>
      <c r="L1298" s="9">
        <v>150</v>
      </c>
      <c r="M1298" s="10">
        <v>0.15</v>
      </c>
      <c r="N1298" s="9">
        <f t="shared" si="250"/>
        <v>300</v>
      </c>
      <c r="O1298" s="9">
        <f t="shared" si="240"/>
        <v>255</v>
      </c>
      <c r="P1298" s="5" t="s">
        <v>2268</v>
      </c>
      <c r="Q1298" s="5" t="s">
        <v>2272</v>
      </c>
      <c r="R1298" s="5" t="s">
        <v>2275</v>
      </c>
      <c r="S1298" s="5" t="s">
        <v>2286</v>
      </c>
      <c r="T1298" s="5" t="s">
        <v>2288</v>
      </c>
      <c r="U1298" s="19">
        <v>3</v>
      </c>
      <c r="V1298" s="8">
        <v>156</v>
      </c>
      <c r="W1298" s="8">
        <v>27</v>
      </c>
      <c r="X1298" s="9">
        <v>51.3</v>
      </c>
      <c r="Y1298" s="9">
        <f t="shared" si="241"/>
        <v>152.4</v>
      </c>
      <c r="Z1298" s="5" t="s">
        <v>2294</v>
      </c>
      <c r="AA1298" s="5" t="s">
        <v>2299</v>
      </c>
      <c r="AB1298" s="9">
        <f t="shared" si="242"/>
        <v>300</v>
      </c>
      <c r="AC1298" s="9">
        <f t="shared" si="243"/>
        <v>45</v>
      </c>
      <c r="AD1298" s="9">
        <f t="shared" si="244"/>
        <v>255</v>
      </c>
      <c r="AE1298" s="9">
        <f t="shared" si="245"/>
        <v>102.6</v>
      </c>
      <c r="AF1298" s="9">
        <f t="shared" si="251"/>
        <v>152.4</v>
      </c>
      <c r="AG1298" s="8">
        <f t="shared" si="246"/>
        <v>2024</v>
      </c>
      <c r="AH1298" s="8">
        <f t="shared" si="247"/>
        <v>7</v>
      </c>
      <c r="AI1298" s="5" t="str">
        <f t="shared" si="248"/>
        <v>Jul</v>
      </c>
      <c r="AJ1298" s="5" t="str">
        <f t="shared" si="249"/>
        <v>Saturday</v>
      </c>
    </row>
    <row r="1299" spans="1:36" x14ac:dyDescent="0.3">
      <c r="A1299" s="5" t="s">
        <v>1333</v>
      </c>
      <c r="B1299" s="6">
        <v>45485</v>
      </c>
      <c r="C1299" s="7">
        <v>0.75694444444444442</v>
      </c>
      <c r="D1299" s="5" t="s">
        <v>1765</v>
      </c>
      <c r="E1299" s="5" t="s">
        <v>2218</v>
      </c>
      <c r="F1299" s="5" t="s">
        <v>1761</v>
      </c>
      <c r="G1299" s="5" t="s">
        <v>2246</v>
      </c>
      <c r="H1299" s="5" t="s">
        <v>2259</v>
      </c>
      <c r="I1299" s="5" t="s">
        <v>2262</v>
      </c>
      <c r="J1299" s="5" t="s">
        <v>2265</v>
      </c>
      <c r="K1299" s="8">
        <v>1</v>
      </c>
      <c r="L1299" s="9">
        <v>95</v>
      </c>
      <c r="M1299" s="10">
        <v>0</v>
      </c>
      <c r="N1299" s="9">
        <f t="shared" si="250"/>
        <v>95</v>
      </c>
      <c r="O1299" s="9">
        <f t="shared" si="240"/>
        <v>95</v>
      </c>
      <c r="P1299" s="5" t="s">
        <v>2269</v>
      </c>
      <c r="Q1299" s="5" t="s">
        <v>2271</v>
      </c>
      <c r="R1299" s="5" t="s">
        <v>2274</v>
      </c>
      <c r="S1299" s="5" t="s">
        <v>2282</v>
      </c>
      <c r="T1299" s="5" t="s">
        <v>2288</v>
      </c>
      <c r="U1299" s="8">
        <v>3</v>
      </c>
      <c r="V1299" s="8">
        <v>61</v>
      </c>
      <c r="W1299" s="8">
        <v>46</v>
      </c>
      <c r="X1299" s="9">
        <v>34.840000000000003</v>
      </c>
      <c r="Y1299" s="9">
        <f t="shared" si="241"/>
        <v>60.16</v>
      </c>
      <c r="Z1299" s="5" t="s">
        <v>2293</v>
      </c>
      <c r="AA1299" s="5" t="s">
        <v>2298</v>
      </c>
      <c r="AB1299" s="9">
        <f t="shared" si="242"/>
        <v>95</v>
      </c>
      <c r="AC1299" s="9">
        <f t="shared" si="243"/>
        <v>0</v>
      </c>
      <c r="AD1299" s="9">
        <f t="shared" si="244"/>
        <v>95</v>
      </c>
      <c r="AE1299" s="9">
        <f t="shared" si="245"/>
        <v>34.840000000000003</v>
      </c>
      <c r="AF1299" s="9">
        <f t="shared" si="251"/>
        <v>60.16</v>
      </c>
      <c r="AG1299" s="8">
        <f t="shared" si="246"/>
        <v>2024</v>
      </c>
      <c r="AH1299" s="8">
        <f t="shared" si="247"/>
        <v>7</v>
      </c>
      <c r="AI1299" s="5" t="str">
        <f t="shared" si="248"/>
        <v>Jul</v>
      </c>
      <c r="AJ1299" s="5" t="str">
        <f t="shared" si="249"/>
        <v>Friday</v>
      </c>
    </row>
    <row r="1300" spans="1:36" x14ac:dyDescent="0.3">
      <c r="A1300" s="5" t="s">
        <v>1334</v>
      </c>
      <c r="B1300" s="6">
        <v>45418</v>
      </c>
      <c r="C1300" s="7">
        <v>0.3263888888888889</v>
      </c>
      <c r="D1300" s="5" t="s">
        <v>1758</v>
      </c>
      <c r="E1300" s="5" t="s">
        <v>2049</v>
      </c>
      <c r="F1300" s="5" t="s">
        <v>2240</v>
      </c>
      <c r="G1300" s="5" t="s">
        <v>2247</v>
      </c>
      <c r="H1300" s="5" t="s">
        <v>2257</v>
      </c>
      <c r="I1300" s="5" t="s">
        <v>2262</v>
      </c>
      <c r="J1300" s="5" t="s">
        <v>2266</v>
      </c>
      <c r="K1300" s="8">
        <v>4</v>
      </c>
      <c r="L1300" s="9">
        <v>110</v>
      </c>
      <c r="M1300" s="10">
        <v>0</v>
      </c>
      <c r="N1300" s="9">
        <f t="shared" si="250"/>
        <v>440</v>
      </c>
      <c r="O1300" s="9">
        <f t="shared" si="240"/>
        <v>440</v>
      </c>
      <c r="P1300" s="5" t="s">
        <v>2269</v>
      </c>
      <c r="Q1300" s="5" t="s">
        <v>2271</v>
      </c>
      <c r="R1300" s="5" t="s">
        <v>2276</v>
      </c>
      <c r="S1300" s="5" t="s">
        <v>2285</v>
      </c>
      <c r="T1300" s="5" t="s">
        <v>2289</v>
      </c>
      <c r="U1300" s="19">
        <v>3</v>
      </c>
      <c r="V1300" s="8">
        <v>158</v>
      </c>
      <c r="W1300" s="19">
        <v>37</v>
      </c>
      <c r="X1300" s="9">
        <v>42.03</v>
      </c>
      <c r="Y1300" s="9">
        <f t="shared" si="241"/>
        <v>271.88</v>
      </c>
      <c r="Z1300" s="5" t="s">
        <v>2293</v>
      </c>
      <c r="AA1300" s="5" t="s">
        <v>2296</v>
      </c>
      <c r="AB1300" s="9">
        <f t="shared" si="242"/>
        <v>440</v>
      </c>
      <c r="AC1300" s="9">
        <f t="shared" si="243"/>
        <v>0</v>
      </c>
      <c r="AD1300" s="9">
        <f t="shared" si="244"/>
        <v>440</v>
      </c>
      <c r="AE1300" s="9">
        <f t="shared" si="245"/>
        <v>168.12</v>
      </c>
      <c r="AF1300" s="9">
        <f t="shared" si="251"/>
        <v>271.88</v>
      </c>
      <c r="AG1300" s="8">
        <f t="shared" si="246"/>
        <v>2024</v>
      </c>
      <c r="AH1300" s="8">
        <f t="shared" si="247"/>
        <v>5</v>
      </c>
      <c r="AI1300" s="5" t="str">
        <f t="shared" si="248"/>
        <v>May</v>
      </c>
      <c r="AJ1300" s="5" t="str">
        <f t="shared" si="249"/>
        <v>Monday</v>
      </c>
    </row>
    <row r="1301" spans="1:36" x14ac:dyDescent="0.3">
      <c r="A1301" s="5" t="s">
        <v>1335</v>
      </c>
      <c r="B1301" s="6">
        <v>45471</v>
      </c>
      <c r="C1301" s="7">
        <v>0.30555555555555558</v>
      </c>
      <c r="D1301" s="5" t="s">
        <v>1779</v>
      </c>
      <c r="E1301" s="5" t="s">
        <v>2217</v>
      </c>
      <c r="F1301" s="5" t="s">
        <v>2239</v>
      </c>
      <c r="G1301" s="5" t="s">
        <v>2242</v>
      </c>
      <c r="H1301" s="5" t="s">
        <v>2258</v>
      </c>
      <c r="I1301" s="5" t="s">
        <v>2260</v>
      </c>
      <c r="J1301" s="5" t="s">
        <v>2265</v>
      </c>
      <c r="K1301" s="8">
        <v>2</v>
      </c>
      <c r="L1301" s="9">
        <v>115</v>
      </c>
      <c r="M1301" s="10">
        <v>0.05</v>
      </c>
      <c r="N1301" s="9">
        <f t="shared" si="250"/>
        <v>230</v>
      </c>
      <c r="O1301" s="9">
        <f t="shared" si="240"/>
        <v>218.5</v>
      </c>
      <c r="P1301" s="5" t="s">
        <v>2267</v>
      </c>
      <c r="Q1301" s="5" t="s">
        <v>2270</v>
      </c>
      <c r="R1301" s="5" t="s">
        <v>2275</v>
      </c>
      <c r="S1301" s="5" t="s">
        <v>2286</v>
      </c>
      <c r="T1301" s="5" t="s">
        <v>2288</v>
      </c>
      <c r="U1301" s="8">
        <v>5</v>
      </c>
      <c r="V1301" s="8">
        <v>147</v>
      </c>
      <c r="W1301" s="8">
        <v>29</v>
      </c>
      <c r="X1301" s="9">
        <v>50.71</v>
      </c>
      <c r="Y1301" s="9">
        <f t="shared" si="241"/>
        <v>117.08</v>
      </c>
      <c r="Z1301" s="5" t="s">
        <v>2293</v>
      </c>
      <c r="AA1301" s="5" t="s">
        <v>2299</v>
      </c>
      <c r="AB1301" s="9">
        <f t="shared" si="242"/>
        <v>230</v>
      </c>
      <c r="AC1301" s="9">
        <f t="shared" si="243"/>
        <v>11.5</v>
      </c>
      <c r="AD1301" s="9">
        <f t="shared" si="244"/>
        <v>218.5</v>
      </c>
      <c r="AE1301" s="9">
        <f t="shared" si="245"/>
        <v>101.42</v>
      </c>
      <c r="AF1301" s="9">
        <f t="shared" si="251"/>
        <v>117.08</v>
      </c>
      <c r="AG1301" s="8">
        <f t="shared" si="246"/>
        <v>2024</v>
      </c>
      <c r="AH1301" s="8">
        <f t="shared" si="247"/>
        <v>6</v>
      </c>
      <c r="AI1301" s="5" t="str">
        <f t="shared" si="248"/>
        <v>Jun</v>
      </c>
      <c r="AJ1301" s="5" t="str">
        <f t="shared" si="249"/>
        <v>Friday</v>
      </c>
    </row>
    <row r="1302" spans="1:36" x14ac:dyDescent="0.3">
      <c r="A1302" s="5" t="s">
        <v>1336</v>
      </c>
      <c r="B1302" s="18">
        <v>45468</v>
      </c>
      <c r="C1302" s="7">
        <v>0.71527777777777779</v>
      </c>
      <c r="D1302" s="5" t="s">
        <v>1891</v>
      </c>
      <c r="E1302" s="5" t="s">
        <v>1973</v>
      </c>
      <c r="F1302" s="5" t="s">
        <v>2239</v>
      </c>
      <c r="G1302" s="5" t="s">
        <v>2253</v>
      </c>
      <c r="H1302" s="5" t="s">
        <v>2258</v>
      </c>
      <c r="I1302" s="5" t="s">
        <v>2260</v>
      </c>
      <c r="J1302" s="5" t="s">
        <v>2264</v>
      </c>
      <c r="K1302" s="8">
        <v>1</v>
      </c>
      <c r="L1302" s="9">
        <v>90</v>
      </c>
      <c r="M1302" s="10">
        <v>0.05</v>
      </c>
      <c r="N1302" s="9">
        <f t="shared" si="250"/>
        <v>90</v>
      </c>
      <c r="O1302" s="9">
        <f t="shared" si="240"/>
        <v>85.5</v>
      </c>
      <c r="P1302" s="5" t="s">
        <v>2267</v>
      </c>
      <c r="Q1302" s="5" t="s">
        <v>2272</v>
      </c>
      <c r="R1302" s="5" t="s">
        <v>2276</v>
      </c>
      <c r="S1302" s="5" t="s">
        <v>2280</v>
      </c>
      <c r="T1302" s="5" t="s">
        <v>2288</v>
      </c>
      <c r="U1302" s="8">
        <v>2</v>
      </c>
      <c r="V1302" s="8">
        <v>353</v>
      </c>
      <c r="W1302" s="19">
        <v>35</v>
      </c>
      <c r="X1302" s="9">
        <v>33.35</v>
      </c>
      <c r="Y1302" s="9">
        <f t="shared" si="241"/>
        <v>52.15</v>
      </c>
      <c r="Z1302" s="5" t="s">
        <v>2291</v>
      </c>
      <c r="AA1302" s="5" t="s">
        <v>2296</v>
      </c>
      <c r="AB1302" s="9">
        <f t="shared" si="242"/>
        <v>90</v>
      </c>
      <c r="AC1302" s="9">
        <f t="shared" si="243"/>
        <v>4.5</v>
      </c>
      <c r="AD1302" s="9">
        <f t="shared" si="244"/>
        <v>85.5</v>
      </c>
      <c r="AE1302" s="9">
        <f t="shared" si="245"/>
        <v>33.35</v>
      </c>
      <c r="AF1302" s="9">
        <f t="shared" si="251"/>
        <v>52.15</v>
      </c>
      <c r="AG1302" s="8">
        <f t="shared" si="246"/>
        <v>2024</v>
      </c>
      <c r="AH1302" s="8">
        <f t="shared" si="247"/>
        <v>6</v>
      </c>
      <c r="AI1302" s="5" t="str">
        <f t="shared" si="248"/>
        <v>Jun</v>
      </c>
      <c r="AJ1302" s="5" t="str">
        <f t="shared" si="249"/>
        <v>Tuesday</v>
      </c>
    </row>
    <row r="1303" spans="1:36" x14ac:dyDescent="0.3">
      <c r="A1303" s="5" t="s">
        <v>1337</v>
      </c>
      <c r="B1303" s="6">
        <v>45515</v>
      </c>
      <c r="C1303" s="7">
        <v>0.35416666666666669</v>
      </c>
      <c r="D1303" s="5" t="s">
        <v>1866</v>
      </c>
      <c r="E1303" s="5" t="s">
        <v>2147</v>
      </c>
      <c r="F1303" s="5" t="s">
        <v>1761</v>
      </c>
      <c r="G1303" s="5" t="s">
        <v>2250</v>
      </c>
      <c r="H1303" s="5" t="s">
        <v>2259</v>
      </c>
      <c r="I1303" s="5" t="s">
        <v>2262</v>
      </c>
      <c r="J1303" s="5" t="s">
        <v>2265</v>
      </c>
      <c r="K1303" s="8">
        <v>1</v>
      </c>
      <c r="L1303" s="9">
        <v>80</v>
      </c>
      <c r="M1303" s="10">
        <v>0.1</v>
      </c>
      <c r="N1303" s="9">
        <f t="shared" si="250"/>
        <v>80</v>
      </c>
      <c r="O1303" s="9">
        <f t="shared" si="240"/>
        <v>72</v>
      </c>
      <c r="P1303" s="5" t="s">
        <v>2269</v>
      </c>
      <c r="Q1303" s="5" t="s">
        <v>2272</v>
      </c>
      <c r="R1303" s="5" t="s">
        <v>2273</v>
      </c>
      <c r="S1303" s="5" t="s">
        <v>2282</v>
      </c>
      <c r="T1303" s="5" t="s">
        <v>2288</v>
      </c>
      <c r="U1303" s="8">
        <v>4</v>
      </c>
      <c r="V1303" s="19">
        <v>244</v>
      </c>
      <c r="W1303" s="19">
        <v>35</v>
      </c>
      <c r="X1303" s="9">
        <v>30.71</v>
      </c>
      <c r="Y1303" s="9">
        <f t="shared" si="241"/>
        <v>41.29</v>
      </c>
      <c r="Z1303" s="5" t="s">
        <v>2293</v>
      </c>
      <c r="AA1303" s="5" t="s">
        <v>2298</v>
      </c>
      <c r="AB1303" s="9">
        <f t="shared" si="242"/>
        <v>80</v>
      </c>
      <c r="AC1303" s="9">
        <f t="shared" si="243"/>
        <v>8</v>
      </c>
      <c r="AD1303" s="9">
        <f t="shared" si="244"/>
        <v>72</v>
      </c>
      <c r="AE1303" s="9">
        <f t="shared" si="245"/>
        <v>30.71</v>
      </c>
      <c r="AF1303" s="9">
        <f t="shared" si="251"/>
        <v>41.29</v>
      </c>
      <c r="AG1303" s="8">
        <f t="shared" si="246"/>
        <v>2024</v>
      </c>
      <c r="AH1303" s="8">
        <f t="shared" si="247"/>
        <v>8</v>
      </c>
      <c r="AI1303" s="5" t="str">
        <f t="shared" si="248"/>
        <v>Aug</v>
      </c>
      <c r="AJ1303" s="5" t="str">
        <f t="shared" si="249"/>
        <v>Sunday</v>
      </c>
    </row>
    <row r="1304" spans="1:36" x14ac:dyDescent="0.3">
      <c r="A1304" s="5" t="s">
        <v>1338</v>
      </c>
      <c r="B1304" s="6">
        <v>45394</v>
      </c>
      <c r="C1304" s="7">
        <v>0.6875</v>
      </c>
      <c r="D1304" s="5" t="s">
        <v>1939</v>
      </c>
      <c r="E1304" s="5" t="s">
        <v>2051</v>
      </c>
      <c r="F1304" s="5" t="s">
        <v>2239</v>
      </c>
      <c r="G1304" s="5" t="s">
        <v>2249</v>
      </c>
      <c r="H1304" s="5" t="s">
        <v>2257</v>
      </c>
      <c r="I1304" s="5" t="s">
        <v>2263</v>
      </c>
      <c r="J1304" s="5" t="s">
        <v>1761</v>
      </c>
      <c r="K1304" s="8">
        <v>2</v>
      </c>
      <c r="L1304" s="9">
        <v>160</v>
      </c>
      <c r="M1304" s="10">
        <v>0</v>
      </c>
      <c r="N1304" s="9">
        <f t="shared" si="250"/>
        <v>320</v>
      </c>
      <c r="O1304" s="9">
        <f t="shared" si="240"/>
        <v>320</v>
      </c>
      <c r="P1304" s="5" t="s">
        <v>2267</v>
      </c>
      <c r="Q1304" s="5" t="s">
        <v>2271</v>
      </c>
      <c r="R1304" s="5" t="s">
        <v>2273</v>
      </c>
      <c r="S1304" s="5" t="s">
        <v>2284</v>
      </c>
      <c r="T1304" s="5" t="s">
        <v>2288</v>
      </c>
      <c r="U1304" s="19">
        <v>3</v>
      </c>
      <c r="V1304" s="8">
        <v>476</v>
      </c>
      <c r="W1304" s="8">
        <v>35</v>
      </c>
      <c r="X1304" s="9">
        <v>64.62</v>
      </c>
      <c r="Y1304" s="9">
        <f t="shared" si="241"/>
        <v>190.76</v>
      </c>
      <c r="Z1304" s="5" t="s">
        <v>1761</v>
      </c>
      <c r="AA1304" s="5" t="s">
        <v>2296</v>
      </c>
      <c r="AB1304" s="9">
        <f t="shared" si="242"/>
        <v>320</v>
      </c>
      <c r="AC1304" s="9">
        <f t="shared" si="243"/>
        <v>0</v>
      </c>
      <c r="AD1304" s="9">
        <f t="shared" si="244"/>
        <v>320</v>
      </c>
      <c r="AE1304" s="9">
        <f t="shared" si="245"/>
        <v>129.24</v>
      </c>
      <c r="AF1304" s="9">
        <f t="shared" si="251"/>
        <v>190.76</v>
      </c>
      <c r="AG1304" s="8">
        <f t="shared" si="246"/>
        <v>2024</v>
      </c>
      <c r="AH1304" s="8">
        <f t="shared" si="247"/>
        <v>4</v>
      </c>
      <c r="AI1304" s="5" t="str">
        <f t="shared" si="248"/>
        <v>Apr</v>
      </c>
      <c r="AJ1304" s="5" t="str">
        <f t="shared" si="249"/>
        <v>Friday</v>
      </c>
    </row>
    <row r="1305" spans="1:36" x14ac:dyDescent="0.3">
      <c r="A1305" s="5" t="s">
        <v>1339</v>
      </c>
      <c r="B1305" s="6">
        <v>45352</v>
      </c>
      <c r="C1305" s="7">
        <v>0.54861111111111116</v>
      </c>
      <c r="D1305" s="5" t="s">
        <v>1882</v>
      </c>
      <c r="E1305" s="5" t="s">
        <v>2166</v>
      </c>
      <c r="F1305" s="5" t="s">
        <v>2238</v>
      </c>
      <c r="G1305" s="5" t="s">
        <v>2253</v>
      </c>
      <c r="H1305" s="5" t="s">
        <v>2258</v>
      </c>
      <c r="I1305" s="5" t="s">
        <v>2260</v>
      </c>
      <c r="J1305" s="5" t="s">
        <v>2266</v>
      </c>
      <c r="K1305" s="8">
        <v>1</v>
      </c>
      <c r="L1305" s="9">
        <v>90</v>
      </c>
      <c r="M1305" s="10">
        <v>0</v>
      </c>
      <c r="N1305" s="9">
        <f t="shared" si="250"/>
        <v>90</v>
      </c>
      <c r="O1305" s="9">
        <f t="shared" si="240"/>
        <v>90</v>
      </c>
      <c r="P1305" s="5" t="s">
        <v>2269</v>
      </c>
      <c r="Q1305" s="5" t="s">
        <v>2270</v>
      </c>
      <c r="R1305" s="5" t="s">
        <v>2273</v>
      </c>
      <c r="S1305" s="5" t="s">
        <v>2281</v>
      </c>
      <c r="T1305" s="5" t="s">
        <v>2288</v>
      </c>
      <c r="U1305" s="8">
        <v>4</v>
      </c>
      <c r="V1305" s="8">
        <v>475</v>
      </c>
      <c r="W1305" s="19">
        <v>34</v>
      </c>
      <c r="X1305" s="9">
        <v>43.63</v>
      </c>
      <c r="Y1305" s="9">
        <f t="shared" si="241"/>
        <v>46.37</v>
      </c>
      <c r="Z1305" s="5" t="s">
        <v>1761</v>
      </c>
      <c r="AA1305" s="5" t="s">
        <v>2297</v>
      </c>
      <c r="AB1305" s="9">
        <f t="shared" si="242"/>
        <v>90</v>
      </c>
      <c r="AC1305" s="9">
        <f t="shared" si="243"/>
        <v>0</v>
      </c>
      <c r="AD1305" s="9">
        <f t="shared" si="244"/>
        <v>90</v>
      </c>
      <c r="AE1305" s="9">
        <f t="shared" si="245"/>
        <v>43.63</v>
      </c>
      <c r="AF1305" s="9">
        <f t="shared" si="251"/>
        <v>46.37</v>
      </c>
      <c r="AG1305" s="8">
        <f t="shared" si="246"/>
        <v>2024</v>
      </c>
      <c r="AH1305" s="8">
        <f t="shared" si="247"/>
        <v>3</v>
      </c>
      <c r="AI1305" s="5" t="str">
        <f t="shared" si="248"/>
        <v>Mar</v>
      </c>
      <c r="AJ1305" s="5" t="str">
        <f t="shared" si="249"/>
        <v>Friday</v>
      </c>
    </row>
    <row r="1306" spans="1:36" x14ac:dyDescent="0.3">
      <c r="A1306" s="5" t="s">
        <v>1340</v>
      </c>
      <c r="B1306" s="6">
        <v>45294</v>
      </c>
      <c r="C1306" s="7">
        <v>0.88541666666666663</v>
      </c>
      <c r="D1306" s="5" t="s">
        <v>1911</v>
      </c>
      <c r="E1306" s="5" t="s">
        <v>1761</v>
      </c>
      <c r="F1306" s="5" t="s">
        <v>2239</v>
      </c>
      <c r="G1306" s="5" t="s">
        <v>2253</v>
      </c>
      <c r="H1306" s="5" t="s">
        <v>2258</v>
      </c>
      <c r="I1306" s="5" t="s">
        <v>2260</v>
      </c>
      <c r="J1306" s="5" t="s">
        <v>2266</v>
      </c>
      <c r="K1306" s="8">
        <v>2</v>
      </c>
      <c r="L1306" s="9">
        <v>95</v>
      </c>
      <c r="M1306" s="10">
        <v>0</v>
      </c>
      <c r="N1306" s="9">
        <f t="shared" si="250"/>
        <v>190</v>
      </c>
      <c r="O1306" s="9">
        <f t="shared" si="240"/>
        <v>190</v>
      </c>
      <c r="P1306" s="5" t="s">
        <v>2267</v>
      </c>
      <c r="Q1306" s="5" t="s">
        <v>2272</v>
      </c>
      <c r="R1306" s="5" t="s">
        <v>2274</v>
      </c>
      <c r="S1306" s="5" t="s">
        <v>2284</v>
      </c>
      <c r="T1306" s="5" t="s">
        <v>2290</v>
      </c>
      <c r="U1306" s="8">
        <v>4</v>
      </c>
      <c r="V1306" s="8">
        <v>223</v>
      </c>
      <c r="W1306" s="8">
        <v>59</v>
      </c>
      <c r="X1306" s="9">
        <v>43.04</v>
      </c>
      <c r="Y1306" s="9">
        <f t="shared" si="241"/>
        <v>103.92</v>
      </c>
      <c r="Z1306" s="5" t="s">
        <v>2291</v>
      </c>
      <c r="AA1306" s="5" t="s">
        <v>2296</v>
      </c>
      <c r="AB1306" s="9">
        <f t="shared" si="242"/>
        <v>190</v>
      </c>
      <c r="AC1306" s="9">
        <f t="shared" si="243"/>
        <v>0</v>
      </c>
      <c r="AD1306" s="9">
        <f t="shared" si="244"/>
        <v>190</v>
      </c>
      <c r="AE1306" s="9">
        <f t="shared" si="245"/>
        <v>86.08</v>
      </c>
      <c r="AF1306" s="9">
        <f t="shared" si="251"/>
        <v>103.92</v>
      </c>
      <c r="AG1306" s="8">
        <f t="shared" si="246"/>
        <v>2024</v>
      </c>
      <c r="AH1306" s="8">
        <f t="shared" si="247"/>
        <v>1</v>
      </c>
      <c r="AI1306" s="5" t="str">
        <f t="shared" si="248"/>
        <v>Jan</v>
      </c>
      <c r="AJ1306" s="5" t="str">
        <f t="shared" si="249"/>
        <v>Wednesday</v>
      </c>
    </row>
    <row r="1307" spans="1:36" x14ac:dyDescent="0.3">
      <c r="A1307" s="5" t="s">
        <v>1341</v>
      </c>
      <c r="B1307" s="6">
        <v>45427</v>
      </c>
      <c r="C1307" s="7">
        <v>0.32291666666666669</v>
      </c>
      <c r="D1307" s="5" t="s">
        <v>1887</v>
      </c>
      <c r="E1307" s="5" t="s">
        <v>2214</v>
      </c>
      <c r="F1307" s="5" t="s">
        <v>2238</v>
      </c>
      <c r="G1307" s="5" t="s">
        <v>2248</v>
      </c>
      <c r="H1307" s="5" t="s">
        <v>2257</v>
      </c>
      <c r="I1307" s="5" t="s">
        <v>2262</v>
      </c>
      <c r="J1307" s="5" t="s">
        <v>2264</v>
      </c>
      <c r="K1307" s="8">
        <v>4</v>
      </c>
      <c r="L1307" s="9">
        <v>155</v>
      </c>
      <c r="M1307" s="10">
        <v>0.1</v>
      </c>
      <c r="N1307" s="9">
        <f t="shared" si="250"/>
        <v>620</v>
      </c>
      <c r="O1307" s="9">
        <f t="shared" si="240"/>
        <v>558</v>
      </c>
      <c r="P1307" s="5" t="s">
        <v>2269</v>
      </c>
      <c r="Q1307" s="5" t="s">
        <v>1761</v>
      </c>
      <c r="R1307" s="5" t="s">
        <v>2276</v>
      </c>
      <c r="S1307" s="5" t="s">
        <v>2281</v>
      </c>
      <c r="T1307" s="5" t="s">
        <v>2289</v>
      </c>
      <c r="U1307" s="8">
        <v>2</v>
      </c>
      <c r="V1307" s="8">
        <v>350</v>
      </c>
      <c r="W1307" s="8">
        <v>53</v>
      </c>
      <c r="X1307" s="9">
        <v>78.95</v>
      </c>
      <c r="Y1307" s="9">
        <f t="shared" si="241"/>
        <v>242.2</v>
      </c>
      <c r="Z1307" s="5" t="s">
        <v>1761</v>
      </c>
      <c r="AA1307" s="5" t="s">
        <v>1761</v>
      </c>
      <c r="AB1307" s="9">
        <f t="shared" si="242"/>
        <v>620</v>
      </c>
      <c r="AC1307" s="9">
        <f t="shared" si="243"/>
        <v>62</v>
      </c>
      <c r="AD1307" s="9">
        <f t="shared" si="244"/>
        <v>558</v>
      </c>
      <c r="AE1307" s="9">
        <f t="shared" si="245"/>
        <v>315.8</v>
      </c>
      <c r="AF1307" s="9">
        <f t="shared" si="251"/>
        <v>242.2</v>
      </c>
      <c r="AG1307" s="8">
        <f t="shared" si="246"/>
        <v>2024</v>
      </c>
      <c r="AH1307" s="8">
        <f t="shared" si="247"/>
        <v>5</v>
      </c>
      <c r="AI1307" s="5" t="str">
        <f t="shared" si="248"/>
        <v>May</v>
      </c>
      <c r="AJ1307" s="5" t="str">
        <f t="shared" si="249"/>
        <v>Wednesday</v>
      </c>
    </row>
    <row r="1308" spans="1:36" x14ac:dyDescent="0.3">
      <c r="A1308" s="5" t="s">
        <v>1342</v>
      </c>
      <c r="B1308" s="6">
        <v>45602</v>
      </c>
      <c r="C1308" s="7">
        <v>0.30208333333333331</v>
      </c>
      <c r="D1308" s="5" t="s">
        <v>1833</v>
      </c>
      <c r="E1308" s="5" t="s">
        <v>2170</v>
      </c>
      <c r="F1308" s="5" t="s">
        <v>2240</v>
      </c>
      <c r="G1308" s="5" t="s">
        <v>2253</v>
      </c>
      <c r="H1308" s="5" t="s">
        <v>2258</v>
      </c>
      <c r="I1308" s="5" t="s">
        <v>2260</v>
      </c>
      <c r="J1308" s="5" t="s">
        <v>2264</v>
      </c>
      <c r="K1308" s="8">
        <v>2</v>
      </c>
      <c r="L1308" s="9">
        <v>90</v>
      </c>
      <c r="M1308" s="10">
        <v>0</v>
      </c>
      <c r="N1308" s="9">
        <f t="shared" si="250"/>
        <v>180</v>
      </c>
      <c r="O1308" s="9">
        <f t="shared" si="240"/>
        <v>180</v>
      </c>
      <c r="P1308" s="5" t="s">
        <v>2269</v>
      </c>
      <c r="Q1308" s="5" t="s">
        <v>2272</v>
      </c>
      <c r="R1308" s="5" t="s">
        <v>2279</v>
      </c>
      <c r="S1308" s="5" t="s">
        <v>2283</v>
      </c>
      <c r="T1308" s="5" t="s">
        <v>2288</v>
      </c>
      <c r="U1308" s="8">
        <v>4</v>
      </c>
      <c r="V1308" s="8">
        <v>478</v>
      </c>
      <c r="W1308" s="8">
        <v>58</v>
      </c>
      <c r="X1308" s="9">
        <v>51.65</v>
      </c>
      <c r="Y1308" s="9">
        <f t="shared" si="241"/>
        <v>76.7</v>
      </c>
      <c r="Z1308" s="5" t="s">
        <v>2293</v>
      </c>
      <c r="AA1308" s="5" t="s">
        <v>2298</v>
      </c>
      <c r="AB1308" s="9">
        <f t="shared" si="242"/>
        <v>180</v>
      </c>
      <c r="AC1308" s="9">
        <f t="shared" si="243"/>
        <v>0</v>
      </c>
      <c r="AD1308" s="9">
        <f t="shared" si="244"/>
        <v>180</v>
      </c>
      <c r="AE1308" s="9">
        <f t="shared" si="245"/>
        <v>103.3</v>
      </c>
      <c r="AF1308" s="9">
        <f t="shared" si="251"/>
        <v>76.7</v>
      </c>
      <c r="AG1308" s="8">
        <f t="shared" si="246"/>
        <v>2024</v>
      </c>
      <c r="AH1308" s="8">
        <f t="shared" si="247"/>
        <v>11</v>
      </c>
      <c r="AI1308" s="5" t="str">
        <f t="shared" si="248"/>
        <v>Nov</v>
      </c>
      <c r="AJ1308" s="5" t="str">
        <f t="shared" si="249"/>
        <v>Wednesday</v>
      </c>
    </row>
    <row r="1309" spans="1:36" x14ac:dyDescent="0.3">
      <c r="A1309" s="5" t="s">
        <v>1343</v>
      </c>
      <c r="B1309" s="6">
        <v>45642</v>
      </c>
      <c r="C1309" s="7">
        <v>0.6875</v>
      </c>
      <c r="D1309" s="5" t="s">
        <v>1862</v>
      </c>
      <c r="E1309" s="5" t="s">
        <v>2030</v>
      </c>
      <c r="F1309" s="5" t="s">
        <v>2240</v>
      </c>
      <c r="G1309" s="5" t="s">
        <v>2253</v>
      </c>
      <c r="H1309" s="5" t="s">
        <v>2258</v>
      </c>
      <c r="I1309" s="5" t="s">
        <v>2260</v>
      </c>
      <c r="J1309" s="5" t="s">
        <v>2265</v>
      </c>
      <c r="K1309" s="8">
        <v>3</v>
      </c>
      <c r="L1309" s="9">
        <v>85</v>
      </c>
      <c r="M1309" s="10">
        <v>0.1</v>
      </c>
      <c r="N1309" s="9">
        <f t="shared" si="250"/>
        <v>255</v>
      </c>
      <c r="O1309" s="9">
        <f t="shared" si="240"/>
        <v>229.5</v>
      </c>
      <c r="P1309" s="5" t="s">
        <v>1761</v>
      </c>
      <c r="Q1309" s="5" t="s">
        <v>2272</v>
      </c>
      <c r="R1309" s="5" t="s">
        <v>2277</v>
      </c>
      <c r="S1309" s="5" t="s">
        <v>2280</v>
      </c>
      <c r="T1309" s="5" t="s">
        <v>2288</v>
      </c>
      <c r="U1309" s="8">
        <v>5</v>
      </c>
      <c r="V1309" s="19">
        <v>244</v>
      </c>
      <c r="W1309" s="8">
        <v>22</v>
      </c>
      <c r="X1309" s="9">
        <v>33.61</v>
      </c>
      <c r="Y1309" s="9">
        <f t="shared" si="241"/>
        <v>128.67000000000002</v>
      </c>
      <c r="Z1309" s="5" t="s">
        <v>1761</v>
      </c>
      <c r="AA1309" s="5" t="s">
        <v>1761</v>
      </c>
      <c r="AB1309" s="9">
        <f t="shared" si="242"/>
        <v>255</v>
      </c>
      <c r="AC1309" s="9">
        <f t="shared" si="243"/>
        <v>25.5</v>
      </c>
      <c r="AD1309" s="9">
        <f t="shared" si="244"/>
        <v>229.5</v>
      </c>
      <c r="AE1309" s="9">
        <f t="shared" si="245"/>
        <v>100.83</v>
      </c>
      <c r="AF1309" s="9">
        <f t="shared" si="251"/>
        <v>128.67000000000002</v>
      </c>
      <c r="AG1309" s="8">
        <f t="shared" si="246"/>
        <v>2024</v>
      </c>
      <c r="AH1309" s="8">
        <f t="shared" si="247"/>
        <v>12</v>
      </c>
      <c r="AI1309" s="5" t="str">
        <f t="shared" si="248"/>
        <v>Dec</v>
      </c>
      <c r="AJ1309" s="5" t="str">
        <f t="shared" si="249"/>
        <v>Monday</v>
      </c>
    </row>
    <row r="1310" spans="1:36" x14ac:dyDescent="0.3">
      <c r="A1310" s="5" t="s">
        <v>1344</v>
      </c>
      <c r="B1310" s="6">
        <v>45297</v>
      </c>
      <c r="C1310" s="7">
        <v>0.33333333333333331</v>
      </c>
      <c r="D1310" s="5" t="s">
        <v>1787</v>
      </c>
      <c r="E1310" s="5" t="s">
        <v>2036</v>
      </c>
      <c r="F1310" s="5" t="s">
        <v>2239</v>
      </c>
      <c r="G1310" s="5" t="s">
        <v>2243</v>
      </c>
      <c r="H1310" s="5" t="s">
        <v>2258</v>
      </c>
      <c r="I1310" s="5" t="s">
        <v>2260</v>
      </c>
      <c r="J1310" s="5" t="s">
        <v>1761</v>
      </c>
      <c r="K1310" s="8">
        <v>1</v>
      </c>
      <c r="L1310" s="9">
        <v>65</v>
      </c>
      <c r="M1310" s="10">
        <v>0</v>
      </c>
      <c r="N1310" s="9">
        <f t="shared" si="250"/>
        <v>65</v>
      </c>
      <c r="O1310" s="9">
        <f t="shared" si="240"/>
        <v>65</v>
      </c>
      <c r="P1310" s="5" t="s">
        <v>2269</v>
      </c>
      <c r="Q1310" s="5" t="s">
        <v>2272</v>
      </c>
      <c r="R1310" s="5" t="s">
        <v>2276</v>
      </c>
      <c r="S1310" s="5" t="s">
        <v>2283</v>
      </c>
      <c r="T1310" s="5" t="s">
        <v>2288</v>
      </c>
      <c r="U1310" s="8">
        <v>2</v>
      </c>
      <c r="V1310" s="8">
        <v>380</v>
      </c>
      <c r="W1310" s="8">
        <v>50</v>
      </c>
      <c r="X1310" s="9">
        <v>31.31</v>
      </c>
      <c r="Y1310" s="9">
        <f t="shared" si="241"/>
        <v>33.69</v>
      </c>
      <c r="Z1310" s="5" t="s">
        <v>2291</v>
      </c>
      <c r="AA1310" s="5" t="s">
        <v>2297</v>
      </c>
      <c r="AB1310" s="9">
        <f t="shared" si="242"/>
        <v>65</v>
      </c>
      <c r="AC1310" s="9">
        <f t="shared" si="243"/>
        <v>0</v>
      </c>
      <c r="AD1310" s="9">
        <f t="shared" si="244"/>
        <v>65</v>
      </c>
      <c r="AE1310" s="9">
        <f t="shared" si="245"/>
        <v>31.31</v>
      </c>
      <c r="AF1310" s="9">
        <f t="shared" si="251"/>
        <v>33.69</v>
      </c>
      <c r="AG1310" s="8">
        <f t="shared" si="246"/>
        <v>2024</v>
      </c>
      <c r="AH1310" s="8">
        <f t="shared" si="247"/>
        <v>1</v>
      </c>
      <c r="AI1310" s="5" t="str">
        <f t="shared" si="248"/>
        <v>Jan</v>
      </c>
      <c r="AJ1310" s="5" t="str">
        <f t="shared" si="249"/>
        <v>Saturday</v>
      </c>
    </row>
    <row r="1311" spans="1:36" x14ac:dyDescent="0.3">
      <c r="A1311" s="5" t="s">
        <v>1345</v>
      </c>
      <c r="B1311" s="6">
        <v>45626</v>
      </c>
      <c r="C1311" s="7">
        <v>0.47916666666666669</v>
      </c>
      <c r="D1311" s="5" t="s">
        <v>1824</v>
      </c>
      <c r="E1311" s="5" t="s">
        <v>1979</v>
      </c>
      <c r="F1311" s="5" t="s">
        <v>2238</v>
      </c>
      <c r="G1311" s="5" t="s">
        <v>2251</v>
      </c>
      <c r="H1311" s="5" t="s">
        <v>2258</v>
      </c>
      <c r="I1311" s="5" t="s">
        <v>2260</v>
      </c>
      <c r="J1311" s="5" t="s">
        <v>2265</v>
      </c>
      <c r="K1311" s="8">
        <v>1</v>
      </c>
      <c r="L1311" s="9">
        <v>100</v>
      </c>
      <c r="M1311" s="10">
        <v>0</v>
      </c>
      <c r="N1311" s="9">
        <f t="shared" si="250"/>
        <v>100</v>
      </c>
      <c r="O1311" s="9">
        <f t="shared" si="240"/>
        <v>100</v>
      </c>
      <c r="P1311" s="5" t="s">
        <v>2268</v>
      </c>
      <c r="Q1311" s="5" t="s">
        <v>2270</v>
      </c>
      <c r="R1311" s="5" t="s">
        <v>2276</v>
      </c>
      <c r="S1311" s="5" t="s">
        <v>2284</v>
      </c>
      <c r="T1311" s="5" t="s">
        <v>2288</v>
      </c>
      <c r="U1311" s="8">
        <v>4</v>
      </c>
      <c r="V1311" s="8">
        <v>46</v>
      </c>
      <c r="W1311" s="8">
        <v>22</v>
      </c>
      <c r="X1311" s="9">
        <v>58.56</v>
      </c>
      <c r="Y1311" s="9">
        <f t="shared" si="241"/>
        <v>41.44</v>
      </c>
      <c r="Z1311" s="5" t="s">
        <v>1761</v>
      </c>
      <c r="AA1311" s="5" t="s">
        <v>2296</v>
      </c>
      <c r="AB1311" s="9">
        <f t="shared" si="242"/>
        <v>100</v>
      </c>
      <c r="AC1311" s="9">
        <f t="shared" si="243"/>
        <v>0</v>
      </c>
      <c r="AD1311" s="9">
        <f t="shared" si="244"/>
        <v>100</v>
      </c>
      <c r="AE1311" s="9">
        <f t="shared" si="245"/>
        <v>58.56</v>
      </c>
      <c r="AF1311" s="9">
        <f t="shared" si="251"/>
        <v>41.44</v>
      </c>
      <c r="AG1311" s="8">
        <f t="shared" si="246"/>
        <v>2024</v>
      </c>
      <c r="AH1311" s="8">
        <f t="shared" si="247"/>
        <v>11</v>
      </c>
      <c r="AI1311" s="5" t="str">
        <f t="shared" si="248"/>
        <v>Nov</v>
      </c>
      <c r="AJ1311" s="5" t="str">
        <f t="shared" si="249"/>
        <v>Saturday</v>
      </c>
    </row>
    <row r="1312" spans="1:36" x14ac:dyDescent="0.3">
      <c r="A1312" s="5" t="s">
        <v>1346</v>
      </c>
      <c r="B1312" s="6">
        <v>45604</v>
      </c>
      <c r="C1312" s="7">
        <v>0.35416666666666669</v>
      </c>
      <c r="D1312" s="5" t="s">
        <v>1826</v>
      </c>
      <c r="E1312" s="5" t="s">
        <v>1987</v>
      </c>
      <c r="F1312" s="5" t="s">
        <v>2240</v>
      </c>
      <c r="G1312" s="5" t="s">
        <v>2247</v>
      </c>
      <c r="H1312" s="5" t="s">
        <v>2257</v>
      </c>
      <c r="I1312" s="5" t="s">
        <v>2262</v>
      </c>
      <c r="J1312" s="5" t="s">
        <v>2265</v>
      </c>
      <c r="K1312" s="8">
        <v>1</v>
      </c>
      <c r="L1312" s="9">
        <v>100</v>
      </c>
      <c r="M1312" s="10">
        <v>0.1</v>
      </c>
      <c r="N1312" s="9">
        <f t="shared" si="250"/>
        <v>100</v>
      </c>
      <c r="O1312" s="9">
        <f t="shared" si="240"/>
        <v>90</v>
      </c>
      <c r="P1312" s="5" t="s">
        <v>2269</v>
      </c>
      <c r="Q1312" s="5" t="s">
        <v>2271</v>
      </c>
      <c r="R1312" s="5" t="s">
        <v>2279</v>
      </c>
      <c r="S1312" s="5" t="s">
        <v>2284</v>
      </c>
      <c r="T1312" s="5" t="s">
        <v>2288</v>
      </c>
      <c r="U1312" s="8">
        <v>2</v>
      </c>
      <c r="V1312" s="8">
        <v>382</v>
      </c>
      <c r="W1312" s="8">
        <v>51</v>
      </c>
      <c r="X1312" s="9">
        <v>42.1</v>
      </c>
      <c r="Y1312" s="9">
        <f t="shared" si="241"/>
        <v>47.9</v>
      </c>
      <c r="Z1312" s="5" t="s">
        <v>2291</v>
      </c>
      <c r="AA1312" s="5" t="s">
        <v>2296</v>
      </c>
      <c r="AB1312" s="9">
        <f t="shared" si="242"/>
        <v>100</v>
      </c>
      <c r="AC1312" s="9">
        <f t="shared" si="243"/>
        <v>10</v>
      </c>
      <c r="AD1312" s="9">
        <f t="shared" si="244"/>
        <v>90</v>
      </c>
      <c r="AE1312" s="9">
        <f t="shared" si="245"/>
        <v>42.1</v>
      </c>
      <c r="AF1312" s="9">
        <f t="shared" si="251"/>
        <v>47.9</v>
      </c>
      <c r="AG1312" s="8">
        <f t="shared" si="246"/>
        <v>2024</v>
      </c>
      <c r="AH1312" s="8">
        <f t="shared" si="247"/>
        <v>11</v>
      </c>
      <c r="AI1312" s="5" t="str">
        <f t="shared" si="248"/>
        <v>Nov</v>
      </c>
      <c r="AJ1312" s="5" t="str">
        <f t="shared" si="249"/>
        <v>Friday</v>
      </c>
    </row>
    <row r="1313" spans="1:36" x14ac:dyDescent="0.3">
      <c r="A1313" s="5" t="s">
        <v>1347</v>
      </c>
      <c r="B1313" s="6">
        <v>45609</v>
      </c>
      <c r="C1313" s="7">
        <v>0.67361111111111116</v>
      </c>
      <c r="D1313" s="5" t="s">
        <v>1847</v>
      </c>
      <c r="E1313" s="5" t="s">
        <v>1952</v>
      </c>
      <c r="F1313" s="5" t="s">
        <v>2238</v>
      </c>
      <c r="G1313" s="5" t="s">
        <v>2248</v>
      </c>
      <c r="H1313" s="5" t="s">
        <v>2257</v>
      </c>
      <c r="I1313" s="5" t="s">
        <v>2262</v>
      </c>
      <c r="J1313" s="5" t="s">
        <v>2265</v>
      </c>
      <c r="K1313" s="8">
        <v>5</v>
      </c>
      <c r="L1313" s="9">
        <v>155</v>
      </c>
      <c r="M1313" s="10">
        <v>0.15</v>
      </c>
      <c r="N1313" s="9">
        <f t="shared" si="250"/>
        <v>775</v>
      </c>
      <c r="O1313" s="9">
        <f t="shared" si="240"/>
        <v>658.75</v>
      </c>
      <c r="P1313" s="5" t="s">
        <v>2267</v>
      </c>
      <c r="Q1313" s="5" t="s">
        <v>1761</v>
      </c>
      <c r="R1313" s="5" t="s">
        <v>2279</v>
      </c>
      <c r="S1313" s="5" t="s">
        <v>2285</v>
      </c>
      <c r="T1313" s="5" t="s">
        <v>2288</v>
      </c>
      <c r="U1313" s="8">
        <v>4</v>
      </c>
      <c r="V1313" s="8">
        <v>345</v>
      </c>
      <c r="W1313" s="8">
        <v>22</v>
      </c>
      <c r="X1313" s="9">
        <v>86.99</v>
      </c>
      <c r="Y1313" s="9">
        <f t="shared" si="241"/>
        <v>223.8</v>
      </c>
      <c r="Z1313" s="5" t="s">
        <v>2292</v>
      </c>
      <c r="AA1313" s="5" t="s">
        <v>2299</v>
      </c>
      <c r="AB1313" s="9">
        <f t="shared" si="242"/>
        <v>775</v>
      </c>
      <c r="AC1313" s="9">
        <f t="shared" si="243"/>
        <v>116.25</v>
      </c>
      <c r="AD1313" s="9">
        <f t="shared" si="244"/>
        <v>658.75</v>
      </c>
      <c r="AE1313" s="9">
        <f t="shared" si="245"/>
        <v>434.95</v>
      </c>
      <c r="AF1313" s="9">
        <f t="shared" si="251"/>
        <v>223.8</v>
      </c>
      <c r="AG1313" s="8">
        <f t="shared" si="246"/>
        <v>2024</v>
      </c>
      <c r="AH1313" s="8">
        <f t="shared" si="247"/>
        <v>11</v>
      </c>
      <c r="AI1313" s="5" t="str">
        <f t="shared" si="248"/>
        <v>Nov</v>
      </c>
      <c r="AJ1313" s="5" t="str">
        <f t="shared" si="249"/>
        <v>Wednesday</v>
      </c>
    </row>
    <row r="1314" spans="1:36" x14ac:dyDescent="0.3">
      <c r="A1314" s="5" t="s">
        <v>1348</v>
      </c>
      <c r="B1314" s="18">
        <v>45468</v>
      </c>
      <c r="C1314" s="7">
        <v>0.36458333333333331</v>
      </c>
      <c r="D1314" s="5" t="s">
        <v>1800</v>
      </c>
      <c r="E1314" s="5" t="s">
        <v>2164</v>
      </c>
      <c r="F1314" s="5" t="s">
        <v>2239</v>
      </c>
      <c r="G1314" s="5" t="s">
        <v>2255</v>
      </c>
      <c r="H1314" s="5" t="s">
        <v>2260</v>
      </c>
      <c r="I1314" s="5" t="s">
        <v>2260</v>
      </c>
      <c r="J1314" s="5" t="s">
        <v>2266</v>
      </c>
      <c r="K1314" s="8">
        <v>1</v>
      </c>
      <c r="L1314" s="9">
        <v>175</v>
      </c>
      <c r="M1314" s="10">
        <v>0.15</v>
      </c>
      <c r="N1314" s="9">
        <f t="shared" si="250"/>
        <v>175</v>
      </c>
      <c r="O1314" s="9">
        <f t="shared" si="240"/>
        <v>148.75</v>
      </c>
      <c r="P1314" s="5" t="s">
        <v>2269</v>
      </c>
      <c r="Q1314" s="5" t="s">
        <v>2270</v>
      </c>
      <c r="R1314" s="5" t="s">
        <v>2278</v>
      </c>
      <c r="S1314" s="5" t="s">
        <v>2282</v>
      </c>
      <c r="T1314" s="5" t="s">
        <v>2288</v>
      </c>
      <c r="U1314" s="8">
        <v>3</v>
      </c>
      <c r="V1314" s="8">
        <v>230</v>
      </c>
      <c r="W1314" s="8">
        <v>60</v>
      </c>
      <c r="X1314" s="9">
        <v>87.59</v>
      </c>
      <c r="Y1314" s="9">
        <f t="shared" si="241"/>
        <v>61.16</v>
      </c>
      <c r="Z1314" s="5" t="s">
        <v>2291</v>
      </c>
      <c r="AA1314" s="5" t="s">
        <v>2298</v>
      </c>
      <c r="AB1314" s="9">
        <f t="shared" si="242"/>
        <v>175</v>
      </c>
      <c r="AC1314" s="9">
        <f t="shared" si="243"/>
        <v>26.25</v>
      </c>
      <c r="AD1314" s="9">
        <f t="shared" si="244"/>
        <v>148.75</v>
      </c>
      <c r="AE1314" s="9">
        <f t="shared" si="245"/>
        <v>87.59</v>
      </c>
      <c r="AF1314" s="9">
        <f t="shared" si="251"/>
        <v>61.16</v>
      </c>
      <c r="AG1314" s="8">
        <f t="shared" si="246"/>
        <v>2024</v>
      </c>
      <c r="AH1314" s="8">
        <f t="shared" si="247"/>
        <v>6</v>
      </c>
      <c r="AI1314" s="5" t="str">
        <f t="shared" si="248"/>
        <v>Jun</v>
      </c>
      <c r="AJ1314" s="5" t="str">
        <f t="shared" si="249"/>
        <v>Tuesday</v>
      </c>
    </row>
    <row r="1315" spans="1:36" x14ac:dyDescent="0.3">
      <c r="A1315" s="5" t="s">
        <v>1349</v>
      </c>
      <c r="B1315" s="6">
        <v>45331</v>
      </c>
      <c r="C1315" s="7">
        <v>0.80555555555555558</v>
      </c>
      <c r="D1315" s="5" t="s">
        <v>1860</v>
      </c>
      <c r="E1315" s="5" t="s">
        <v>2134</v>
      </c>
      <c r="F1315" s="5" t="s">
        <v>2238</v>
      </c>
      <c r="G1315" s="5" t="s">
        <v>2255</v>
      </c>
      <c r="H1315" s="5" t="s">
        <v>2260</v>
      </c>
      <c r="I1315" s="5" t="s">
        <v>2260</v>
      </c>
      <c r="J1315" s="5" t="s">
        <v>2264</v>
      </c>
      <c r="K1315" s="8">
        <v>1</v>
      </c>
      <c r="L1315" s="9">
        <v>190</v>
      </c>
      <c r="M1315" s="10">
        <v>0.05</v>
      </c>
      <c r="N1315" s="9">
        <f t="shared" si="250"/>
        <v>190</v>
      </c>
      <c r="O1315" s="9">
        <f t="shared" si="240"/>
        <v>180.5</v>
      </c>
      <c r="P1315" s="5" t="s">
        <v>2267</v>
      </c>
      <c r="Q1315" s="5" t="s">
        <v>2272</v>
      </c>
      <c r="R1315" s="5" t="s">
        <v>2279</v>
      </c>
      <c r="S1315" s="5" t="s">
        <v>2287</v>
      </c>
      <c r="T1315" s="5" t="s">
        <v>2288</v>
      </c>
      <c r="U1315" s="8">
        <v>3</v>
      </c>
      <c r="V1315" s="8">
        <v>400</v>
      </c>
      <c r="W1315" s="8">
        <v>25</v>
      </c>
      <c r="X1315" s="9">
        <v>75.510000000000005</v>
      </c>
      <c r="Y1315" s="9">
        <f t="shared" si="241"/>
        <v>104.99</v>
      </c>
      <c r="Z1315" s="5" t="s">
        <v>1761</v>
      </c>
      <c r="AA1315" s="5" t="s">
        <v>2298</v>
      </c>
      <c r="AB1315" s="9">
        <f t="shared" si="242"/>
        <v>190</v>
      </c>
      <c r="AC1315" s="9">
        <f t="shared" si="243"/>
        <v>9.5</v>
      </c>
      <c r="AD1315" s="9">
        <f t="shared" si="244"/>
        <v>180.5</v>
      </c>
      <c r="AE1315" s="9">
        <f t="shared" si="245"/>
        <v>75.510000000000005</v>
      </c>
      <c r="AF1315" s="9">
        <f t="shared" si="251"/>
        <v>104.99</v>
      </c>
      <c r="AG1315" s="8">
        <f t="shared" si="246"/>
        <v>2024</v>
      </c>
      <c r="AH1315" s="8">
        <f t="shared" si="247"/>
        <v>2</v>
      </c>
      <c r="AI1315" s="5" t="str">
        <f t="shared" si="248"/>
        <v>Feb</v>
      </c>
      <c r="AJ1315" s="5" t="str">
        <f t="shared" si="249"/>
        <v>Friday</v>
      </c>
    </row>
    <row r="1316" spans="1:36" x14ac:dyDescent="0.3">
      <c r="A1316" s="5" t="s">
        <v>1350</v>
      </c>
      <c r="B1316" s="6">
        <v>45599</v>
      </c>
      <c r="C1316" s="7">
        <v>0.3263888888888889</v>
      </c>
      <c r="D1316" s="5" t="s">
        <v>1864</v>
      </c>
      <c r="E1316" s="5" t="s">
        <v>2102</v>
      </c>
      <c r="F1316" s="5" t="s">
        <v>2238</v>
      </c>
      <c r="G1316" s="5" t="s">
        <v>2252</v>
      </c>
      <c r="H1316" s="5" t="s">
        <v>2257</v>
      </c>
      <c r="I1316" s="5" t="s">
        <v>2262</v>
      </c>
      <c r="J1316" s="5" t="s">
        <v>2265</v>
      </c>
      <c r="K1316" s="8">
        <v>2</v>
      </c>
      <c r="L1316" s="9">
        <v>85</v>
      </c>
      <c r="M1316" s="10">
        <v>0</v>
      </c>
      <c r="N1316" s="9">
        <f t="shared" si="250"/>
        <v>170</v>
      </c>
      <c r="O1316" s="9">
        <f t="shared" si="240"/>
        <v>170</v>
      </c>
      <c r="P1316" s="5" t="s">
        <v>2267</v>
      </c>
      <c r="Q1316" s="5" t="s">
        <v>1761</v>
      </c>
      <c r="R1316" s="5" t="s">
        <v>2275</v>
      </c>
      <c r="S1316" s="5" t="s">
        <v>2287</v>
      </c>
      <c r="T1316" s="5" t="s">
        <v>2288</v>
      </c>
      <c r="U1316" s="8">
        <v>5</v>
      </c>
      <c r="V1316" s="8">
        <v>38</v>
      </c>
      <c r="W1316" s="19">
        <v>36</v>
      </c>
      <c r="X1316" s="9">
        <v>32.56</v>
      </c>
      <c r="Y1316" s="9">
        <f t="shared" si="241"/>
        <v>104.88</v>
      </c>
      <c r="Z1316" s="5" t="s">
        <v>2292</v>
      </c>
      <c r="AA1316" s="5" t="s">
        <v>2299</v>
      </c>
      <c r="AB1316" s="9">
        <f t="shared" si="242"/>
        <v>170</v>
      </c>
      <c r="AC1316" s="9">
        <f t="shared" si="243"/>
        <v>0</v>
      </c>
      <c r="AD1316" s="9">
        <f t="shared" si="244"/>
        <v>170</v>
      </c>
      <c r="AE1316" s="9">
        <f t="shared" si="245"/>
        <v>65.12</v>
      </c>
      <c r="AF1316" s="9">
        <f t="shared" si="251"/>
        <v>104.88</v>
      </c>
      <c r="AG1316" s="8">
        <f t="shared" si="246"/>
        <v>2024</v>
      </c>
      <c r="AH1316" s="8">
        <f t="shared" si="247"/>
        <v>11</v>
      </c>
      <c r="AI1316" s="5" t="str">
        <f t="shared" si="248"/>
        <v>Nov</v>
      </c>
      <c r="AJ1316" s="5" t="str">
        <f t="shared" si="249"/>
        <v>Sunday</v>
      </c>
    </row>
    <row r="1317" spans="1:36" x14ac:dyDescent="0.3">
      <c r="A1317" s="5" t="s">
        <v>1351</v>
      </c>
      <c r="B1317" s="6">
        <v>45518</v>
      </c>
      <c r="C1317" s="7">
        <v>0.85416666666666663</v>
      </c>
      <c r="D1317" s="5" t="s">
        <v>1746</v>
      </c>
      <c r="E1317" s="5" t="s">
        <v>1761</v>
      </c>
      <c r="F1317" s="5" t="s">
        <v>2240</v>
      </c>
      <c r="G1317" s="5" t="s">
        <v>2251</v>
      </c>
      <c r="H1317" s="5" t="s">
        <v>2258</v>
      </c>
      <c r="I1317" s="5" t="s">
        <v>2260</v>
      </c>
      <c r="J1317" s="5" t="s">
        <v>2265</v>
      </c>
      <c r="K1317" s="8">
        <v>1</v>
      </c>
      <c r="L1317" s="9">
        <v>95</v>
      </c>
      <c r="M1317" s="10">
        <v>0.05</v>
      </c>
      <c r="N1317" s="9">
        <f t="shared" si="250"/>
        <v>95</v>
      </c>
      <c r="O1317" s="9">
        <f t="shared" si="240"/>
        <v>90.25</v>
      </c>
      <c r="P1317" s="5" t="s">
        <v>2267</v>
      </c>
      <c r="Q1317" s="5" t="s">
        <v>1761</v>
      </c>
      <c r="R1317" s="5" t="s">
        <v>2275</v>
      </c>
      <c r="S1317" s="5" t="s">
        <v>2283</v>
      </c>
      <c r="T1317" s="5" t="s">
        <v>2288</v>
      </c>
      <c r="U1317" s="8">
        <v>5</v>
      </c>
      <c r="V1317" s="8">
        <v>225</v>
      </c>
      <c r="W1317" s="8">
        <v>26</v>
      </c>
      <c r="X1317" s="9">
        <v>52.47</v>
      </c>
      <c r="Y1317" s="9">
        <f t="shared" si="241"/>
        <v>37.78</v>
      </c>
      <c r="Z1317" s="5" t="s">
        <v>2293</v>
      </c>
      <c r="AA1317" s="5" t="s">
        <v>2296</v>
      </c>
      <c r="AB1317" s="9">
        <f t="shared" si="242"/>
        <v>95</v>
      </c>
      <c r="AC1317" s="9">
        <f t="shared" si="243"/>
        <v>4.75</v>
      </c>
      <c r="AD1317" s="9">
        <f t="shared" si="244"/>
        <v>90.25</v>
      </c>
      <c r="AE1317" s="9">
        <f t="shared" si="245"/>
        <v>52.47</v>
      </c>
      <c r="AF1317" s="9">
        <f t="shared" si="251"/>
        <v>37.78</v>
      </c>
      <c r="AG1317" s="8">
        <f t="shared" si="246"/>
        <v>2024</v>
      </c>
      <c r="AH1317" s="8">
        <f t="shared" si="247"/>
        <v>8</v>
      </c>
      <c r="AI1317" s="5" t="str">
        <f t="shared" si="248"/>
        <v>Aug</v>
      </c>
      <c r="AJ1317" s="5" t="str">
        <f t="shared" si="249"/>
        <v>Wednesday</v>
      </c>
    </row>
    <row r="1318" spans="1:36" x14ac:dyDescent="0.3">
      <c r="A1318" s="5" t="s">
        <v>1352</v>
      </c>
      <c r="B1318" s="6">
        <v>45404</v>
      </c>
      <c r="C1318" s="7">
        <v>0.54861111111111116</v>
      </c>
      <c r="D1318" s="5" t="s">
        <v>1791</v>
      </c>
      <c r="E1318" s="5" t="s">
        <v>2088</v>
      </c>
      <c r="F1318" s="5" t="s">
        <v>2240</v>
      </c>
      <c r="G1318" s="5" t="s">
        <v>2254</v>
      </c>
      <c r="H1318" s="5" t="s">
        <v>2259</v>
      </c>
      <c r="I1318" s="5" t="s">
        <v>2263</v>
      </c>
      <c r="J1318" s="5" t="s">
        <v>2265</v>
      </c>
      <c r="K1318" s="8">
        <v>1</v>
      </c>
      <c r="L1318" s="9">
        <v>120</v>
      </c>
      <c r="M1318" s="10">
        <v>0.1</v>
      </c>
      <c r="N1318" s="9">
        <f t="shared" si="250"/>
        <v>120</v>
      </c>
      <c r="O1318" s="9">
        <f t="shared" si="240"/>
        <v>108</v>
      </c>
      <c r="P1318" s="5" t="s">
        <v>2269</v>
      </c>
      <c r="Q1318" s="5" t="s">
        <v>2272</v>
      </c>
      <c r="R1318" s="5" t="s">
        <v>2278</v>
      </c>
      <c r="S1318" s="5" t="s">
        <v>2284</v>
      </c>
      <c r="T1318" s="5" t="s">
        <v>2288</v>
      </c>
      <c r="U1318" s="8">
        <v>4</v>
      </c>
      <c r="V1318" s="8">
        <v>452</v>
      </c>
      <c r="W1318" s="8">
        <v>15</v>
      </c>
      <c r="X1318" s="9">
        <v>51.73</v>
      </c>
      <c r="Y1318" s="9">
        <f t="shared" si="241"/>
        <v>56.27</v>
      </c>
      <c r="Z1318" s="5" t="s">
        <v>2293</v>
      </c>
      <c r="AA1318" s="5" t="s">
        <v>2298</v>
      </c>
      <c r="AB1318" s="9">
        <f t="shared" si="242"/>
        <v>120</v>
      </c>
      <c r="AC1318" s="9">
        <f t="shared" si="243"/>
        <v>12</v>
      </c>
      <c r="AD1318" s="9">
        <f t="shared" si="244"/>
        <v>108</v>
      </c>
      <c r="AE1318" s="9">
        <f t="shared" si="245"/>
        <v>51.73</v>
      </c>
      <c r="AF1318" s="9">
        <f t="shared" si="251"/>
        <v>56.27</v>
      </c>
      <c r="AG1318" s="8">
        <f t="shared" si="246"/>
        <v>2024</v>
      </c>
      <c r="AH1318" s="8">
        <f t="shared" si="247"/>
        <v>4</v>
      </c>
      <c r="AI1318" s="5" t="str">
        <f t="shared" si="248"/>
        <v>Apr</v>
      </c>
      <c r="AJ1318" s="5" t="str">
        <f t="shared" si="249"/>
        <v>Monday</v>
      </c>
    </row>
    <row r="1319" spans="1:36" x14ac:dyDescent="0.3">
      <c r="A1319" s="5" t="s">
        <v>1353</v>
      </c>
      <c r="B1319" s="6">
        <v>45507</v>
      </c>
      <c r="C1319" s="7">
        <v>0.38541666666666669</v>
      </c>
      <c r="D1319" s="5" t="s">
        <v>1825</v>
      </c>
      <c r="E1319" s="5" t="s">
        <v>2125</v>
      </c>
      <c r="F1319" s="5" t="s">
        <v>1761</v>
      </c>
      <c r="G1319" s="5" t="s">
        <v>2254</v>
      </c>
      <c r="H1319" s="5" t="s">
        <v>2259</v>
      </c>
      <c r="I1319" s="5" t="s">
        <v>2263</v>
      </c>
      <c r="J1319" s="5" t="s">
        <v>2265</v>
      </c>
      <c r="K1319" s="8">
        <v>1</v>
      </c>
      <c r="L1319" s="9">
        <v>105</v>
      </c>
      <c r="M1319" s="10">
        <v>0.05</v>
      </c>
      <c r="N1319" s="9">
        <f t="shared" si="250"/>
        <v>105</v>
      </c>
      <c r="O1319" s="9">
        <f t="shared" si="240"/>
        <v>99.75</v>
      </c>
      <c r="P1319" s="5" t="s">
        <v>2267</v>
      </c>
      <c r="Q1319" s="5" t="s">
        <v>1761</v>
      </c>
      <c r="R1319" s="5" t="s">
        <v>2278</v>
      </c>
      <c r="S1319" s="5" t="s">
        <v>2283</v>
      </c>
      <c r="T1319" s="5" t="s">
        <v>2288</v>
      </c>
      <c r="U1319" s="8">
        <v>4</v>
      </c>
      <c r="V1319" s="8">
        <v>400</v>
      </c>
      <c r="W1319" s="19">
        <v>36</v>
      </c>
      <c r="X1319" s="9">
        <v>49.53</v>
      </c>
      <c r="Y1319" s="9">
        <f t="shared" si="241"/>
        <v>50.22</v>
      </c>
      <c r="Z1319" s="5" t="s">
        <v>1761</v>
      </c>
      <c r="AA1319" s="5" t="s">
        <v>2299</v>
      </c>
      <c r="AB1319" s="9">
        <f t="shared" si="242"/>
        <v>105</v>
      </c>
      <c r="AC1319" s="9">
        <f t="shared" si="243"/>
        <v>5.25</v>
      </c>
      <c r="AD1319" s="9">
        <f t="shared" si="244"/>
        <v>99.75</v>
      </c>
      <c r="AE1319" s="9">
        <f t="shared" si="245"/>
        <v>49.53</v>
      </c>
      <c r="AF1319" s="9">
        <f t="shared" si="251"/>
        <v>50.22</v>
      </c>
      <c r="AG1319" s="8">
        <f t="shared" si="246"/>
        <v>2024</v>
      </c>
      <c r="AH1319" s="8">
        <f t="shared" si="247"/>
        <v>8</v>
      </c>
      <c r="AI1319" s="5" t="str">
        <f t="shared" si="248"/>
        <v>Aug</v>
      </c>
      <c r="AJ1319" s="5" t="str">
        <f t="shared" si="249"/>
        <v>Saturday</v>
      </c>
    </row>
    <row r="1320" spans="1:36" x14ac:dyDescent="0.3">
      <c r="A1320" s="5" t="s">
        <v>1354</v>
      </c>
      <c r="B1320" s="6">
        <v>45520</v>
      </c>
      <c r="C1320" s="7">
        <v>0.86458333333333337</v>
      </c>
      <c r="D1320" s="5" t="s">
        <v>1755</v>
      </c>
      <c r="E1320" s="5" t="s">
        <v>1761</v>
      </c>
      <c r="F1320" s="5" t="s">
        <v>2240</v>
      </c>
      <c r="G1320" s="5" t="s">
        <v>2252</v>
      </c>
      <c r="H1320" s="5" t="s">
        <v>2257</v>
      </c>
      <c r="I1320" s="5" t="s">
        <v>2262</v>
      </c>
      <c r="J1320" s="5" t="s">
        <v>2265</v>
      </c>
      <c r="K1320" s="8">
        <v>2</v>
      </c>
      <c r="L1320" s="9">
        <v>90</v>
      </c>
      <c r="M1320" s="10">
        <v>0</v>
      </c>
      <c r="N1320" s="9">
        <f t="shared" si="250"/>
        <v>180</v>
      </c>
      <c r="O1320" s="9">
        <f t="shared" si="240"/>
        <v>180</v>
      </c>
      <c r="P1320" s="5" t="s">
        <v>2267</v>
      </c>
      <c r="Q1320" s="5" t="s">
        <v>2271</v>
      </c>
      <c r="R1320" s="5" t="s">
        <v>2279</v>
      </c>
      <c r="S1320" s="5" t="s">
        <v>2282</v>
      </c>
      <c r="T1320" s="5" t="s">
        <v>2288</v>
      </c>
      <c r="U1320" s="8">
        <v>3</v>
      </c>
      <c r="V1320" s="8">
        <v>324</v>
      </c>
      <c r="W1320" s="8">
        <v>53</v>
      </c>
      <c r="X1320" s="9">
        <v>52.1</v>
      </c>
      <c r="Y1320" s="9">
        <f t="shared" si="241"/>
        <v>75.8</v>
      </c>
      <c r="Z1320" s="5" t="s">
        <v>2294</v>
      </c>
      <c r="AA1320" s="5" t="s">
        <v>1761</v>
      </c>
      <c r="AB1320" s="9">
        <f t="shared" si="242"/>
        <v>180</v>
      </c>
      <c r="AC1320" s="9">
        <f t="shared" si="243"/>
        <v>0</v>
      </c>
      <c r="AD1320" s="9">
        <f t="shared" si="244"/>
        <v>180</v>
      </c>
      <c r="AE1320" s="9">
        <f t="shared" si="245"/>
        <v>104.2</v>
      </c>
      <c r="AF1320" s="9">
        <f t="shared" si="251"/>
        <v>75.8</v>
      </c>
      <c r="AG1320" s="8">
        <f t="shared" si="246"/>
        <v>2024</v>
      </c>
      <c r="AH1320" s="8">
        <f t="shared" si="247"/>
        <v>8</v>
      </c>
      <c r="AI1320" s="5" t="str">
        <f t="shared" si="248"/>
        <v>Aug</v>
      </c>
      <c r="AJ1320" s="5" t="str">
        <f t="shared" si="249"/>
        <v>Friday</v>
      </c>
    </row>
    <row r="1321" spans="1:36" x14ac:dyDescent="0.3">
      <c r="A1321" s="5" t="s">
        <v>1355</v>
      </c>
      <c r="B1321" s="6">
        <v>45536</v>
      </c>
      <c r="C1321" s="7">
        <v>0.4236111111111111</v>
      </c>
      <c r="D1321" s="5" t="s">
        <v>1818</v>
      </c>
      <c r="E1321" s="5" t="s">
        <v>1976</v>
      </c>
      <c r="F1321" s="5" t="s">
        <v>2240</v>
      </c>
      <c r="G1321" s="5" t="s">
        <v>2246</v>
      </c>
      <c r="H1321" s="5" t="s">
        <v>2259</v>
      </c>
      <c r="I1321" s="5" t="s">
        <v>2262</v>
      </c>
      <c r="J1321" s="5" t="s">
        <v>2264</v>
      </c>
      <c r="K1321" s="8">
        <v>4</v>
      </c>
      <c r="L1321" s="9">
        <v>100</v>
      </c>
      <c r="M1321" s="10">
        <v>0.1</v>
      </c>
      <c r="N1321" s="9">
        <f t="shared" si="250"/>
        <v>400</v>
      </c>
      <c r="O1321" s="9">
        <f t="shared" si="240"/>
        <v>360</v>
      </c>
      <c r="P1321" s="5" t="s">
        <v>2268</v>
      </c>
      <c r="Q1321" s="5" t="s">
        <v>2272</v>
      </c>
      <c r="R1321" s="5" t="s">
        <v>2275</v>
      </c>
      <c r="S1321" s="5" t="s">
        <v>2287</v>
      </c>
      <c r="T1321" s="5" t="s">
        <v>2289</v>
      </c>
      <c r="U1321" s="8">
        <v>4</v>
      </c>
      <c r="V1321" s="8">
        <v>364</v>
      </c>
      <c r="W1321" s="8">
        <v>31</v>
      </c>
      <c r="X1321" s="9">
        <v>37.14</v>
      </c>
      <c r="Y1321" s="9">
        <f t="shared" si="241"/>
        <v>211.44</v>
      </c>
      <c r="Z1321" s="5" t="s">
        <v>2292</v>
      </c>
      <c r="AA1321" s="5" t="s">
        <v>1761</v>
      </c>
      <c r="AB1321" s="9">
        <f t="shared" si="242"/>
        <v>400</v>
      </c>
      <c r="AC1321" s="9">
        <f t="shared" si="243"/>
        <v>40</v>
      </c>
      <c r="AD1321" s="9">
        <f t="shared" si="244"/>
        <v>360</v>
      </c>
      <c r="AE1321" s="9">
        <f t="shared" si="245"/>
        <v>148.56</v>
      </c>
      <c r="AF1321" s="9">
        <f t="shared" si="251"/>
        <v>211.44</v>
      </c>
      <c r="AG1321" s="8">
        <f t="shared" si="246"/>
        <v>2024</v>
      </c>
      <c r="AH1321" s="8">
        <f t="shared" si="247"/>
        <v>9</v>
      </c>
      <c r="AI1321" s="5" t="str">
        <f t="shared" si="248"/>
        <v>Sep</v>
      </c>
      <c r="AJ1321" s="5" t="str">
        <f t="shared" si="249"/>
        <v>Sunday</v>
      </c>
    </row>
    <row r="1322" spans="1:36" x14ac:dyDescent="0.3">
      <c r="A1322" s="5" t="s">
        <v>1356</v>
      </c>
      <c r="B1322" s="6">
        <v>45441</v>
      </c>
      <c r="C1322" s="7">
        <v>0.44791666666666669</v>
      </c>
      <c r="D1322" s="5" t="s">
        <v>1787</v>
      </c>
      <c r="E1322" s="5" t="s">
        <v>2142</v>
      </c>
      <c r="F1322" s="5" t="s">
        <v>2238</v>
      </c>
      <c r="G1322" s="5" t="s">
        <v>2244</v>
      </c>
      <c r="H1322" s="5" t="s">
        <v>2257</v>
      </c>
      <c r="I1322" s="5" t="s">
        <v>2262</v>
      </c>
      <c r="J1322" s="5" t="s">
        <v>2264</v>
      </c>
      <c r="K1322" s="8">
        <v>1</v>
      </c>
      <c r="L1322" s="9">
        <v>120</v>
      </c>
      <c r="M1322" s="10">
        <v>0.05</v>
      </c>
      <c r="N1322" s="9">
        <f t="shared" si="250"/>
        <v>120</v>
      </c>
      <c r="O1322" s="9">
        <f t="shared" si="240"/>
        <v>114</v>
      </c>
      <c r="P1322" s="5" t="s">
        <v>2269</v>
      </c>
      <c r="Q1322" s="5" t="s">
        <v>2272</v>
      </c>
      <c r="R1322" s="5" t="s">
        <v>2277</v>
      </c>
      <c r="S1322" s="5" t="s">
        <v>2281</v>
      </c>
      <c r="T1322" s="5" t="s">
        <v>2290</v>
      </c>
      <c r="U1322" s="19">
        <v>3</v>
      </c>
      <c r="V1322" s="8">
        <v>268</v>
      </c>
      <c r="W1322" s="8">
        <v>49</v>
      </c>
      <c r="X1322" s="9">
        <v>51.17</v>
      </c>
      <c r="Y1322" s="9">
        <f t="shared" si="241"/>
        <v>62.83</v>
      </c>
      <c r="Z1322" s="5" t="s">
        <v>2291</v>
      </c>
      <c r="AA1322" s="5" t="s">
        <v>2298</v>
      </c>
      <c r="AB1322" s="9">
        <f t="shared" si="242"/>
        <v>120</v>
      </c>
      <c r="AC1322" s="9">
        <f t="shared" si="243"/>
        <v>6</v>
      </c>
      <c r="AD1322" s="9">
        <f t="shared" si="244"/>
        <v>114</v>
      </c>
      <c r="AE1322" s="9">
        <f t="shared" si="245"/>
        <v>51.17</v>
      </c>
      <c r="AF1322" s="9">
        <f t="shared" si="251"/>
        <v>62.83</v>
      </c>
      <c r="AG1322" s="8">
        <f t="shared" si="246"/>
        <v>2024</v>
      </c>
      <c r="AH1322" s="8">
        <f t="shared" si="247"/>
        <v>5</v>
      </c>
      <c r="AI1322" s="5" t="str">
        <f t="shared" si="248"/>
        <v>May</v>
      </c>
      <c r="AJ1322" s="5" t="str">
        <f t="shared" si="249"/>
        <v>Wednesday</v>
      </c>
    </row>
    <row r="1323" spans="1:36" x14ac:dyDescent="0.3">
      <c r="A1323" s="5" t="s">
        <v>1357</v>
      </c>
      <c r="B1323" s="6">
        <v>45594</v>
      </c>
      <c r="C1323" s="7">
        <v>0.5625</v>
      </c>
      <c r="D1323" s="5" t="s">
        <v>1749</v>
      </c>
      <c r="E1323" s="5" t="s">
        <v>2180</v>
      </c>
      <c r="F1323" s="5" t="s">
        <v>2238</v>
      </c>
      <c r="G1323" s="5" t="s">
        <v>2243</v>
      </c>
      <c r="H1323" s="5" t="s">
        <v>2258</v>
      </c>
      <c r="I1323" s="5" t="s">
        <v>2260</v>
      </c>
      <c r="J1323" s="5" t="s">
        <v>2265</v>
      </c>
      <c r="K1323" s="8">
        <v>1</v>
      </c>
      <c r="L1323" s="9">
        <v>65</v>
      </c>
      <c r="M1323" s="10">
        <v>0</v>
      </c>
      <c r="N1323" s="9">
        <f t="shared" si="250"/>
        <v>65</v>
      </c>
      <c r="O1323" s="9">
        <f t="shared" si="240"/>
        <v>65</v>
      </c>
      <c r="P1323" s="5" t="s">
        <v>2269</v>
      </c>
      <c r="Q1323" s="5" t="s">
        <v>1761</v>
      </c>
      <c r="R1323" s="5" t="s">
        <v>2274</v>
      </c>
      <c r="S1323" s="5" t="s">
        <v>2283</v>
      </c>
      <c r="T1323" s="5" t="s">
        <v>2288</v>
      </c>
      <c r="U1323" s="8">
        <v>1</v>
      </c>
      <c r="V1323" s="8">
        <v>425</v>
      </c>
      <c r="W1323" s="8">
        <v>31</v>
      </c>
      <c r="X1323" s="9">
        <v>27.24</v>
      </c>
      <c r="Y1323" s="9">
        <f t="shared" si="241"/>
        <v>37.760000000000005</v>
      </c>
      <c r="Z1323" s="5" t="s">
        <v>2293</v>
      </c>
      <c r="AA1323" s="5" t="s">
        <v>1761</v>
      </c>
      <c r="AB1323" s="9">
        <f t="shared" si="242"/>
        <v>65</v>
      </c>
      <c r="AC1323" s="9">
        <f t="shared" si="243"/>
        <v>0</v>
      </c>
      <c r="AD1323" s="9">
        <f t="shared" si="244"/>
        <v>65</v>
      </c>
      <c r="AE1323" s="9">
        <f t="shared" si="245"/>
        <v>27.24</v>
      </c>
      <c r="AF1323" s="9">
        <f t="shared" si="251"/>
        <v>37.760000000000005</v>
      </c>
      <c r="AG1323" s="8">
        <f t="shared" si="246"/>
        <v>2024</v>
      </c>
      <c r="AH1323" s="8">
        <f t="shared" si="247"/>
        <v>10</v>
      </c>
      <c r="AI1323" s="5" t="str">
        <f t="shared" si="248"/>
        <v>Oct</v>
      </c>
      <c r="AJ1323" s="5" t="str">
        <f t="shared" si="249"/>
        <v>Tuesday</v>
      </c>
    </row>
    <row r="1324" spans="1:36" x14ac:dyDescent="0.3">
      <c r="A1324" s="5" t="s">
        <v>1358</v>
      </c>
      <c r="B1324" s="6">
        <v>45362</v>
      </c>
      <c r="C1324" s="7">
        <v>0.49305555555555558</v>
      </c>
      <c r="D1324" s="5" t="s">
        <v>1873</v>
      </c>
      <c r="E1324" s="5" t="s">
        <v>1761</v>
      </c>
      <c r="F1324" s="5" t="s">
        <v>2240</v>
      </c>
      <c r="G1324" s="5" t="s">
        <v>2251</v>
      </c>
      <c r="H1324" s="5" t="s">
        <v>2258</v>
      </c>
      <c r="I1324" s="5" t="s">
        <v>2260</v>
      </c>
      <c r="J1324" s="5" t="s">
        <v>2265</v>
      </c>
      <c r="K1324" s="8">
        <v>2</v>
      </c>
      <c r="L1324" s="9">
        <v>105</v>
      </c>
      <c r="M1324" s="10">
        <v>0</v>
      </c>
      <c r="N1324" s="9">
        <f t="shared" si="250"/>
        <v>210</v>
      </c>
      <c r="O1324" s="9">
        <f t="shared" si="240"/>
        <v>210</v>
      </c>
      <c r="P1324" s="5" t="s">
        <v>2269</v>
      </c>
      <c r="Q1324" s="5" t="s">
        <v>2272</v>
      </c>
      <c r="R1324" s="5" t="s">
        <v>2275</v>
      </c>
      <c r="S1324" s="5" t="s">
        <v>2285</v>
      </c>
      <c r="T1324" s="5" t="s">
        <v>2288</v>
      </c>
      <c r="U1324" s="8">
        <v>2</v>
      </c>
      <c r="V1324" s="19">
        <v>244</v>
      </c>
      <c r="W1324" s="19">
        <v>35</v>
      </c>
      <c r="X1324" s="9">
        <v>52.82</v>
      </c>
      <c r="Y1324" s="9">
        <f t="shared" si="241"/>
        <v>104.36</v>
      </c>
      <c r="Z1324" s="5" t="s">
        <v>2294</v>
      </c>
      <c r="AA1324" s="5" t="s">
        <v>2296</v>
      </c>
      <c r="AB1324" s="9">
        <f t="shared" si="242"/>
        <v>210</v>
      </c>
      <c r="AC1324" s="9">
        <f t="shared" si="243"/>
        <v>0</v>
      </c>
      <c r="AD1324" s="9">
        <f t="shared" si="244"/>
        <v>210</v>
      </c>
      <c r="AE1324" s="9">
        <f t="shared" si="245"/>
        <v>105.64</v>
      </c>
      <c r="AF1324" s="9">
        <f t="shared" si="251"/>
        <v>104.36</v>
      </c>
      <c r="AG1324" s="8">
        <f t="shared" si="246"/>
        <v>2024</v>
      </c>
      <c r="AH1324" s="8">
        <f t="shared" si="247"/>
        <v>3</v>
      </c>
      <c r="AI1324" s="5" t="str">
        <f t="shared" si="248"/>
        <v>Mar</v>
      </c>
      <c r="AJ1324" s="5" t="str">
        <f t="shared" si="249"/>
        <v>Monday</v>
      </c>
    </row>
    <row r="1325" spans="1:36" x14ac:dyDescent="0.3">
      <c r="A1325" s="5" t="s">
        <v>1359</v>
      </c>
      <c r="B1325" s="6">
        <v>45561</v>
      </c>
      <c r="C1325" s="7">
        <v>0.42708333333333331</v>
      </c>
      <c r="D1325" s="5" t="s">
        <v>1873</v>
      </c>
      <c r="E1325" s="5" t="s">
        <v>2096</v>
      </c>
      <c r="F1325" s="5" t="s">
        <v>2239</v>
      </c>
      <c r="G1325" s="5" t="s">
        <v>2255</v>
      </c>
      <c r="H1325" s="5" t="s">
        <v>2260</v>
      </c>
      <c r="I1325" s="5" t="s">
        <v>2260</v>
      </c>
      <c r="J1325" s="5" t="s">
        <v>1761</v>
      </c>
      <c r="K1325" s="8">
        <v>2</v>
      </c>
      <c r="L1325" s="9">
        <v>190</v>
      </c>
      <c r="M1325" s="10">
        <v>0</v>
      </c>
      <c r="N1325" s="9">
        <f t="shared" si="250"/>
        <v>380</v>
      </c>
      <c r="O1325" s="9">
        <f t="shared" si="240"/>
        <v>380</v>
      </c>
      <c r="P1325" s="5" t="s">
        <v>2267</v>
      </c>
      <c r="Q1325" s="5" t="s">
        <v>2271</v>
      </c>
      <c r="R1325" s="5" t="s">
        <v>2276</v>
      </c>
      <c r="S1325" s="5" t="s">
        <v>2285</v>
      </c>
      <c r="T1325" s="5" t="s">
        <v>2288</v>
      </c>
      <c r="U1325" s="8">
        <v>1</v>
      </c>
      <c r="V1325" s="8">
        <v>390</v>
      </c>
      <c r="W1325" s="8">
        <v>49</v>
      </c>
      <c r="X1325" s="9">
        <v>81.64</v>
      </c>
      <c r="Y1325" s="9">
        <f t="shared" si="241"/>
        <v>216.72</v>
      </c>
      <c r="Z1325" s="5" t="s">
        <v>2293</v>
      </c>
      <c r="AA1325" s="5" t="s">
        <v>2296</v>
      </c>
      <c r="AB1325" s="9">
        <f t="shared" si="242"/>
        <v>380</v>
      </c>
      <c r="AC1325" s="9">
        <f t="shared" si="243"/>
        <v>0</v>
      </c>
      <c r="AD1325" s="9">
        <f t="shared" si="244"/>
        <v>380</v>
      </c>
      <c r="AE1325" s="9">
        <f t="shared" si="245"/>
        <v>163.28</v>
      </c>
      <c r="AF1325" s="9">
        <f t="shared" si="251"/>
        <v>216.72</v>
      </c>
      <c r="AG1325" s="8">
        <f t="shared" si="246"/>
        <v>2024</v>
      </c>
      <c r="AH1325" s="8">
        <f t="shared" si="247"/>
        <v>9</v>
      </c>
      <c r="AI1325" s="5" t="str">
        <f t="shared" si="248"/>
        <v>Sep</v>
      </c>
      <c r="AJ1325" s="5" t="str">
        <f t="shared" si="249"/>
        <v>Thursday</v>
      </c>
    </row>
    <row r="1326" spans="1:36" x14ac:dyDescent="0.3">
      <c r="A1326" s="5" t="s">
        <v>1360</v>
      </c>
      <c r="B1326" s="6">
        <v>45326</v>
      </c>
      <c r="C1326" s="7">
        <v>0.30208333333333331</v>
      </c>
      <c r="D1326" s="5" t="s">
        <v>1904</v>
      </c>
      <c r="E1326" s="5" t="s">
        <v>2022</v>
      </c>
      <c r="F1326" s="5" t="s">
        <v>1761</v>
      </c>
      <c r="G1326" s="5" t="s">
        <v>2251</v>
      </c>
      <c r="H1326" s="5" t="s">
        <v>2258</v>
      </c>
      <c r="I1326" s="5" t="s">
        <v>2260</v>
      </c>
      <c r="J1326" s="5" t="s">
        <v>2265</v>
      </c>
      <c r="K1326" s="8">
        <v>4</v>
      </c>
      <c r="L1326" s="9">
        <v>105</v>
      </c>
      <c r="M1326" s="10">
        <v>0.1</v>
      </c>
      <c r="N1326" s="9">
        <f t="shared" si="250"/>
        <v>420</v>
      </c>
      <c r="O1326" s="9">
        <f t="shared" si="240"/>
        <v>378</v>
      </c>
      <c r="P1326" s="5" t="s">
        <v>1761</v>
      </c>
      <c r="Q1326" s="5" t="s">
        <v>2270</v>
      </c>
      <c r="R1326" s="5" t="s">
        <v>2278</v>
      </c>
      <c r="S1326" s="5" t="s">
        <v>2280</v>
      </c>
      <c r="T1326" s="5" t="s">
        <v>2288</v>
      </c>
      <c r="U1326" s="8">
        <v>2</v>
      </c>
      <c r="V1326" s="8">
        <v>118</v>
      </c>
      <c r="W1326" s="8">
        <v>45</v>
      </c>
      <c r="X1326" s="9">
        <v>48.36</v>
      </c>
      <c r="Y1326" s="9">
        <f t="shared" si="241"/>
        <v>184.56</v>
      </c>
      <c r="Z1326" s="5" t="s">
        <v>1761</v>
      </c>
      <c r="AA1326" s="5" t="s">
        <v>2297</v>
      </c>
      <c r="AB1326" s="9">
        <f t="shared" si="242"/>
        <v>420</v>
      </c>
      <c r="AC1326" s="9">
        <f t="shared" si="243"/>
        <v>42</v>
      </c>
      <c r="AD1326" s="9">
        <f t="shared" si="244"/>
        <v>378</v>
      </c>
      <c r="AE1326" s="9">
        <f t="shared" si="245"/>
        <v>193.44</v>
      </c>
      <c r="AF1326" s="9">
        <f t="shared" si="251"/>
        <v>184.56</v>
      </c>
      <c r="AG1326" s="8">
        <f t="shared" si="246"/>
        <v>2024</v>
      </c>
      <c r="AH1326" s="8">
        <f t="shared" si="247"/>
        <v>2</v>
      </c>
      <c r="AI1326" s="5" t="str">
        <f t="shared" si="248"/>
        <v>Feb</v>
      </c>
      <c r="AJ1326" s="5" t="str">
        <f t="shared" si="249"/>
        <v>Sunday</v>
      </c>
    </row>
    <row r="1327" spans="1:36" x14ac:dyDescent="0.3">
      <c r="A1327" s="5" t="s">
        <v>1361</v>
      </c>
      <c r="B1327" s="6">
        <v>45365</v>
      </c>
      <c r="C1327" s="7">
        <v>0.30208333333333331</v>
      </c>
      <c r="D1327" s="5" t="s">
        <v>1898</v>
      </c>
      <c r="E1327" s="5" t="s">
        <v>2032</v>
      </c>
      <c r="F1327" s="5" t="s">
        <v>1761</v>
      </c>
      <c r="G1327" s="5" t="s">
        <v>2248</v>
      </c>
      <c r="H1327" s="5" t="s">
        <v>2257</v>
      </c>
      <c r="I1327" s="5" t="s">
        <v>2262</v>
      </c>
      <c r="J1327" s="5" t="s">
        <v>2264</v>
      </c>
      <c r="K1327" s="8">
        <v>2</v>
      </c>
      <c r="L1327" s="9">
        <v>140</v>
      </c>
      <c r="M1327" s="10">
        <v>0</v>
      </c>
      <c r="N1327" s="9">
        <f t="shared" si="250"/>
        <v>280</v>
      </c>
      <c r="O1327" s="9">
        <f t="shared" si="240"/>
        <v>280</v>
      </c>
      <c r="P1327" s="5" t="s">
        <v>2267</v>
      </c>
      <c r="Q1327" s="5" t="s">
        <v>2272</v>
      </c>
      <c r="R1327" s="5" t="s">
        <v>2275</v>
      </c>
      <c r="S1327" s="5" t="s">
        <v>2281</v>
      </c>
      <c r="T1327" s="5" t="s">
        <v>2288</v>
      </c>
      <c r="U1327" s="8">
        <v>1</v>
      </c>
      <c r="V1327" s="8">
        <v>373</v>
      </c>
      <c r="W1327" s="8">
        <v>33</v>
      </c>
      <c r="X1327" s="9">
        <v>86.37</v>
      </c>
      <c r="Y1327" s="9">
        <f t="shared" si="241"/>
        <v>107.25999999999999</v>
      </c>
      <c r="Z1327" s="5" t="s">
        <v>2292</v>
      </c>
      <c r="AA1327" s="5" t="s">
        <v>2297</v>
      </c>
      <c r="AB1327" s="9">
        <f t="shared" si="242"/>
        <v>280</v>
      </c>
      <c r="AC1327" s="9">
        <f t="shared" si="243"/>
        <v>0</v>
      </c>
      <c r="AD1327" s="9">
        <f t="shared" si="244"/>
        <v>280</v>
      </c>
      <c r="AE1327" s="9">
        <f t="shared" si="245"/>
        <v>172.74</v>
      </c>
      <c r="AF1327" s="9">
        <f t="shared" si="251"/>
        <v>107.25999999999999</v>
      </c>
      <c r="AG1327" s="8">
        <f t="shared" si="246"/>
        <v>2024</v>
      </c>
      <c r="AH1327" s="8">
        <f t="shared" si="247"/>
        <v>3</v>
      </c>
      <c r="AI1327" s="5" t="str">
        <f t="shared" si="248"/>
        <v>Mar</v>
      </c>
      <c r="AJ1327" s="5" t="str">
        <f t="shared" si="249"/>
        <v>Thursday</v>
      </c>
    </row>
    <row r="1328" spans="1:36" x14ac:dyDescent="0.3">
      <c r="A1328" s="5" t="s">
        <v>1362</v>
      </c>
      <c r="B1328" s="6">
        <v>45586</v>
      </c>
      <c r="C1328" s="7">
        <v>0.57638888888888884</v>
      </c>
      <c r="D1328" s="5" t="s">
        <v>1913</v>
      </c>
      <c r="E1328" s="5" t="s">
        <v>2100</v>
      </c>
      <c r="F1328" s="5" t="s">
        <v>2239</v>
      </c>
      <c r="G1328" s="5" t="s">
        <v>2247</v>
      </c>
      <c r="H1328" s="5" t="s">
        <v>2257</v>
      </c>
      <c r="I1328" s="5" t="s">
        <v>2262</v>
      </c>
      <c r="J1328" s="5" t="s">
        <v>2264</v>
      </c>
      <c r="K1328" s="8">
        <v>1</v>
      </c>
      <c r="L1328" s="9">
        <v>95</v>
      </c>
      <c r="M1328" s="10">
        <v>0.05</v>
      </c>
      <c r="N1328" s="9">
        <f t="shared" si="250"/>
        <v>95</v>
      </c>
      <c r="O1328" s="9">
        <f t="shared" si="240"/>
        <v>90.25</v>
      </c>
      <c r="P1328" s="5" t="s">
        <v>2269</v>
      </c>
      <c r="Q1328" s="5" t="s">
        <v>2270</v>
      </c>
      <c r="R1328" s="5" t="s">
        <v>2277</v>
      </c>
      <c r="S1328" s="5" t="s">
        <v>2282</v>
      </c>
      <c r="T1328" s="5" t="s">
        <v>2289</v>
      </c>
      <c r="U1328" s="8">
        <v>2</v>
      </c>
      <c r="V1328" s="8">
        <v>89</v>
      </c>
      <c r="W1328" s="8">
        <v>43</v>
      </c>
      <c r="X1328" s="9">
        <v>37.18</v>
      </c>
      <c r="Y1328" s="9">
        <f t="shared" si="241"/>
        <v>53.07</v>
      </c>
      <c r="Z1328" s="5" t="s">
        <v>2293</v>
      </c>
      <c r="AA1328" s="5" t="s">
        <v>2297</v>
      </c>
      <c r="AB1328" s="9">
        <f t="shared" si="242"/>
        <v>95</v>
      </c>
      <c r="AC1328" s="9">
        <f t="shared" si="243"/>
        <v>4.75</v>
      </c>
      <c r="AD1328" s="9">
        <f t="shared" si="244"/>
        <v>90.25</v>
      </c>
      <c r="AE1328" s="9">
        <f t="shared" si="245"/>
        <v>37.18</v>
      </c>
      <c r="AF1328" s="9">
        <f t="shared" si="251"/>
        <v>53.07</v>
      </c>
      <c r="AG1328" s="8">
        <f t="shared" si="246"/>
        <v>2024</v>
      </c>
      <c r="AH1328" s="8">
        <f t="shared" si="247"/>
        <v>10</v>
      </c>
      <c r="AI1328" s="5" t="str">
        <f t="shared" si="248"/>
        <v>Oct</v>
      </c>
      <c r="AJ1328" s="5" t="str">
        <f t="shared" si="249"/>
        <v>Monday</v>
      </c>
    </row>
    <row r="1329" spans="1:36" x14ac:dyDescent="0.3">
      <c r="A1329" s="5" t="s">
        <v>1363</v>
      </c>
      <c r="B1329" s="6">
        <v>45486</v>
      </c>
      <c r="C1329" s="7">
        <v>0.35416666666666669</v>
      </c>
      <c r="D1329" s="5" t="s">
        <v>1761</v>
      </c>
      <c r="E1329" s="5" t="s">
        <v>2213</v>
      </c>
      <c r="F1329" s="5" t="s">
        <v>2240</v>
      </c>
      <c r="G1329" s="5" t="s">
        <v>2255</v>
      </c>
      <c r="H1329" s="5" t="s">
        <v>2260</v>
      </c>
      <c r="I1329" s="5" t="s">
        <v>2260</v>
      </c>
      <c r="J1329" s="5" t="s">
        <v>1761</v>
      </c>
      <c r="K1329" s="8">
        <v>2</v>
      </c>
      <c r="L1329" s="9">
        <v>190</v>
      </c>
      <c r="M1329" s="10">
        <v>0</v>
      </c>
      <c r="N1329" s="9">
        <f t="shared" si="250"/>
        <v>380</v>
      </c>
      <c r="O1329" s="9">
        <f t="shared" si="240"/>
        <v>380</v>
      </c>
      <c r="P1329" s="5" t="s">
        <v>2268</v>
      </c>
      <c r="Q1329" s="5" t="s">
        <v>1761</v>
      </c>
      <c r="R1329" s="5" t="s">
        <v>2275</v>
      </c>
      <c r="S1329" s="5" t="s">
        <v>2284</v>
      </c>
      <c r="T1329" s="5" t="s">
        <v>2288</v>
      </c>
      <c r="U1329" s="8">
        <v>3</v>
      </c>
      <c r="V1329" s="8">
        <v>472</v>
      </c>
      <c r="W1329" s="8">
        <v>15</v>
      </c>
      <c r="X1329" s="9">
        <v>92.74</v>
      </c>
      <c r="Y1329" s="9">
        <f t="shared" si="241"/>
        <v>194.52</v>
      </c>
      <c r="Z1329" s="5" t="s">
        <v>2291</v>
      </c>
      <c r="AA1329" s="5" t="s">
        <v>2297</v>
      </c>
      <c r="AB1329" s="9">
        <f t="shared" si="242"/>
        <v>380</v>
      </c>
      <c r="AC1329" s="9">
        <f t="shared" si="243"/>
        <v>0</v>
      </c>
      <c r="AD1329" s="9">
        <f t="shared" si="244"/>
        <v>380</v>
      </c>
      <c r="AE1329" s="9">
        <f t="shared" si="245"/>
        <v>185.48</v>
      </c>
      <c r="AF1329" s="9">
        <f t="shared" si="251"/>
        <v>194.52</v>
      </c>
      <c r="AG1329" s="8">
        <f t="shared" si="246"/>
        <v>2024</v>
      </c>
      <c r="AH1329" s="8">
        <f t="shared" si="247"/>
        <v>7</v>
      </c>
      <c r="AI1329" s="5" t="str">
        <f t="shared" si="248"/>
        <v>Jul</v>
      </c>
      <c r="AJ1329" s="5" t="str">
        <f t="shared" si="249"/>
        <v>Saturday</v>
      </c>
    </row>
    <row r="1330" spans="1:36" x14ac:dyDescent="0.3">
      <c r="A1330" s="5" t="s">
        <v>1364</v>
      </c>
      <c r="B1330" s="6">
        <v>45358</v>
      </c>
      <c r="C1330" s="7">
        <v>0.78125</v>
      </c>
      <c r="D1330" s="5" t="s">
        <v>1829</v>
      </c>
      <c r="E1330" s="5" t="s">
        <v>2088</v>
      </c>
      <c r="F1330" s="5" t="s">
        <v>2240</v>
      </c>
      <c r="G1330" s="5" t="s">
        <v>2245</v>
      </c>
      <c r="H1330" s="5" t="s">
        <v>2257</v>
      </c>
      <c r="I1330" s="5" t="s">
        <v>2263</v>
      </c>
      <c r="J1330" s="5" t="s">
        <v>2266</v>
      </c>
      <c r="K1330" s="8">
        <v>1</v>
      </c>
      <c r="L1330" s="9">
        <v>160</v>
      </c>
      <c r="M1330" s="10">
        <v>0</v>
      </c>
      <c r="N1330" s="9">
        <f t="shared" si="250"/>
        <v>160</v>
      </c>
      <c r="O1330" s="9">
        <f t="shared" si="240"/>
        <v>160</v>
      </c>
      <c r="P1330" s="5" t="s">
        <v>2269</v>
      </c>
      <c r="Q1330" s="5" t="s">
        <v>1761</v>
      </c>
      <c r="R1330" s="5" t="s">
        <v>2278</v>
      </c>
      <c r="S1330" s="5" t="s">
        <v>2282</v>
      </c>
      <c r="T1330" s="5" t="s">
        <v>2288</v>
      </c>
      <c r="U1330" s="8">
        <v>2</v>
      </c>
      <c r="V1330" s="8">
        <v>90</v>
      </c>
      <c r="W1330" s="8">
        <v>40</v>
      </c>
      <c r="X1330" s="9">
        <v>55.12</v>
      </c>
      <c r="Y1330" s="9">
        <f t="shared" si="241"/>
        <v>104.88</v>
      </c>
      <c r="Z1330" s="5" t="s">
        <v>2291</v>
      </c>
      <c r="AA1330" s="5" t="s">
        <v>1761</v>
      </c>
      <c r="AB1330" s="9">
        <f t="shared" si="242"/>
        <v>160</v>
      </c>
      <c r="AC1330" s="9">
        <f t="shared" si="243"/>
        <v>0</v>
      </c>
      <c r="AD1330" s="9">
        <f t="shared" si="244"/>
        <v>160</v>
      </c>
      <c r="AE1330" s="9">
        <f t="shared" si="245"/>
        <v>55.12</v>
      </c>
      <c r="AF1330" s="9">
        <f t="shared" si="251"/>
        <v>104.88</v>
      </c>
      <c r="AG1330" s="8">
        <f t="shared" si="246"/>
        <v>2024</v>
      </c>
      <c r="AH1330" s="8">
        <f t="shared" si="247"/>
        <v>3</v>
      </c>
      <c r="AI1330" s="5" t="str">
        <f t="shared" si="248"/>
        <v>Mar</v>
      </c>
      <c r="AJ1330" s="5" t="str">
        <f t="shared" si="249"/>
        <v>Thursday</v>
      </c>
    </row>
    <row r="1331" spans="1:36" x14ac:dyDescent="0.3">
      <c r="A1331" s="5" t="s">
        <v>1365</v>
      </c>
      <c r="B1331" s="6">
        <v>45558</v>
      </c>
      <c r="C1331" s="7">
        <v>0.75</v>
      </c>
      <c r="D1331" s="5" t="s">
        <v>1846</v>
      </c>
      <c r="E1331" s="5" t="s">
        <v>2043</v>
      </c>
      <c r="F1331" s="5" t="s">
        <v>2239</v>
      </c>
      <c r="G1331" s="5" t="s">
        <v>2254</v>
      </c>
      <c r="H1331" s="5" t="s">
        <v>2259</v>
      </c>
      <c r="I1331" s="5" t="s">
        <v>2263</v>
      </c>
      <c r="J1331" s="5" t="s">
        <v>2266</v>
      </c>
      <c r="K1331" s="8">
        <v>1</v>
      </c>
      <c r="L1331" s="9">
        <v>110</v>
      </c>
      <c r="M1331" s="10">
        <v>0</v>
      </c>
      <c r="N1331" s="9">
        <f t="shared" si="250"/>
        <v>110</v>
      </c>
      <c r="O1331" s="9">
        <f t="shared" si="240"/>
        <v>110</v>
      </c>
      <c r="P1331" s="5" t="s">
        <v>2267</v>
      </c>
      <c r="Q1331" s="5" t="s">
        <v>2271</v>
      </c>
      <c r="R1331" s="5" t="s">
        <v>2275</v>
      </c>
      <c r="S1331" s="5" t="s">
        <v>2285</v>
      </c>
      <c r="T1331" s="5" t="s">
        <v>2288</v>
      </c>
      <c r="U1331" s="8">
        <v>4</v>
      </c>
      <c r="V1331" s="8">
        <v>69</v>
      </c>
      <c r="W1331" s="8">
        <v>37</v>
      </c>
      <c r="X1331" s="9">
        <v>40.6</v>
      </c>
      <c r="Y1331" s="9">
        <f t="shared" si="241"/>
        <v>69.400000000000006</v>
      </c>
      <c r="Z1331" s="5" t="s">
        <v>2293</v>
      </c>
      <c r="AA1331" s="5" t="s">
        <v>2297</v>
      </c>
      <c r="AB1331" s="9">
        <f t="shared" si="242"/>
        <v>110</v>
      </c>
      <c r="AC1331" s="9">
        <f t="shared" si="243"/>
        <v>0</v>
      </c>
      <c r="AD1331" s="9">
        <f t="shared" si="244"/>
        <v>110</v>
      </c>
      <c r="AE1331" s="9">
        <f t="shared" si="245"/>
        <v>40.6</v>
      </c>
      <c r="AF1331" s="9">
        <f t="shared" si="251"/>
        <v>69.400000000000006</v>
      </c>
      <c r="AG1331" s="8">
        <f t="shared" si="246"/>
        <v>2024</v>
      </c>
      <c r="AH1331" s="8">
        <f t="shared" si="247"/>
        <v>9</v>
      </c>
      <c r="AI1331" s="5" t="str">
        <f t="shared" si="248"/>
        <v>Sep</v>
      </c>
      <c r="AJ1331" s="5" t="str">
        <f t="shared" si="249"/>
        <v>Monday</v>
      </c>
    </row>
    <row r="1332" spans="1:36" x14ac:dyDescent="0.3">
      <c r="A1332" s="5" t="s">
        <v>1366</v>
      </c>
      <c r="B1332" s="6">
        <v>45431</v>
      </c>
      <c r="C1332" s="7">
        <v>0.84722222222222221</v>
      </c>
      <c r="D1332" s="5" t="s">
        <v>1857</v>
      </c>
      <c r="E1332" s="5" t="s">
        <v>2034</v>
      </c>
      <c r="F1332" s="5" t="s">
        <v>2239</v>
      </c>
      <c r="G1332" s="5" t="s">
        <v>2249</v>
      </c>
      <c r="H1332" s="5" t="s">
        <v>2257</v>
      </c>
      <c r="I1332" s="5" t="s">
        <v>2263</v>
      </c>
      <c r="J1332" s="5" t="s">
        <v>1761</v>
      </c>
      <c r="K1332" s="8">
        <v>1</v>
      </c>
      <c r="L1332" s="9">
        <v>160</v>
      </c>
      <c r="M1332" s="10">
        <v>0.1</v>
      </c>
      <c r="N1332" s="9">
        <f t="shared" si="250"/>
        <v>160</v>
      </c>
      <c r="O1332" s="9">
        <f t="shared" si="240"/>
        <v>144</v>
      </c>
      <c r="P1332" s="5" t="s">
        <v>2269</v>
      </c>
      <c r="Q1332" s="5" t="s">
        <v>1761</v>
      </c>
      <c r="R1332" s="5" t="s">
        <v>2277</v>
      </c>
      <c r="S1332" s="5" t="s">
        <v>2282</v>
      </c>
      <c r="T1332" s="5" t="s">
        <v>2288</v>
      </c>
      <c r="U1332" s="8">
        <v>1</v>
      </c>
      <c r="V1332" s="8">
        <v>73</v>
      </c>
      <c r="W1332" s="8">
        <v>45</v>
      </c>
      <c r="X1332" s="9">
        <v>59.05</v>
      </c>
      <c r="Y1332" s="9">
        <f t="shared" si="241"/>
        <v>84.95</v>
      </c>
      <c r="Z1332" s="5" t="s">
        <v>2293</v>
      </c>
      <c r="AA1332" s="5" t="s">
        <v>1761</v>
      </c>
      <c r="AB1332" s="9">
        <f t="shared" si="242"/>
        <v>160</v>
      </c>
      <c r="AC1332" s="9">
        <f t="shared" si="243"/>
        <v>16</v>
      </c>
      <c r="AD1332" s="9">
        <f t="shared" si="244"/>
        <v>144</v>
      </c>
      <c r="AE1332" s="9">
        <f t="shared" si="245"/>
        <v>59.05</v>
      </c>
      <c r="AF1332" s="9">
        <f t="shared" si="251"/>
        <v>84.95</v>
      </c>
      <c r="AG1332" s="8">
        <f t="shared" si="246"/>
        <v>2024</v>
      </c>
      <c r="AH1332" s="8">
        <f t="shared" si="247"/>
        <v>5</v>
      </c>
      <c r="AI1332" s="5" t="str">
        <f t="shared" si="248"/>
        <v>May</v>
      </c>
      <c r="AJ1332" s="5" t="str">
        <f t="shared" si="249"/>
        <v>Sunday</v>
      </c>
    </row>
    <row r="1333" spans="1:36" x14ac:dyDescent="0.3">
      <c r="A1333" s="5" t="s">
        <v>1367</v>
      </c>
      <c r="B1333" s="6">
        <v>45392</v>
      </c>
      <c r="C1333" s="7">
        <v>0.34722222222222221</v>
      </c>
      <c r="D1333" s="5" t="s">
        <v>1781</v>
      </c>
      <c r="E1333" s="5" t="s">
        <v>1973</v>
      </c>
      <c r="F1333" s="5" t="s">
        <v>2238</v>
      </c>
      <c r="G1333" s="5" t="s">
        <v>2256</v>
      </c>
      <c r="H1333" s="5" t="s">
        <v>2261</v>
      </c>
      <c r="I1333" s="5" t="s">
        <v>2260</v>
      </c>
      <c r="J1333" s="5" t="s">
        <v>2266</v>
      </c>
      <c r="K1333" s="8">
        <v>1</v>
      </c>
      <c r="L1333" s="9">
        <v>195</v>
      </c>
      <c r="M1333" s="10">
        <v>0</v>
      </c>
      <c r="N1333" s="9">
        <f t="shared" si="250"/>
        <v>195</v>
      </c>
      <c r="O1333" s="9">
        <f t="shared" si="240"/>
        <v>195</v>
      </c>
      <c r="P1333" s="5" t="s">
        <v>2267</v>
      </c>
      <c r="Q1333" s="5" t="s">
        <v>1761</v>
      </c>
      <c r="R1333" s="5" t="s">
        <v>2279</v>
      </c>
      <c r="S1333" s="5" t="s">
        <v>2280</v>
      </c>
      <c r="T1333" s="5" t="s">
        <v>2288</v>
      </c>
      <c r="U1333" s="8">
        <v>4</v>
      </c>
      <c r="V1333" s="8">
        <v>83</v>
      </c>
      <c r="W1333" s="19">
        <v>36</v>
      </c>
      <c r="X1333" s="9">
        <v>90.86</v>
      </c>
      <c r="Y1333" s="9">
        <f t="shared" si="241"/>
        <v>104.14</v>
      </c>
      <c r="Z1333" s="5" t="s">
        <v>1761</v>
      </c>
      <c r="AA1333" s="5" t="s">
        <v>2297</v>
      </c>
      <c r="AB1333" s="9">
        <f t="shared" si="242"/>
        <v>195</v>
      </c>
      <c r="AC1333" s="9">
        <f t="shared" si="243"/>
        <v>0</v>
      </c>
      <c r="AD1333" s="9">
        <f t="shared" si="244"/>
        <v>195</v>
      </c>
      <c r="AE1333" s="9">
        <f t="shared" si="245"/>
        <v>90.86</v>
      </c>
      <c r="AF1333" s="9">
        <f t="shared" si="251"/>
        <v>104.14</v>
      </c>
      <c r="AG1333" s="8">
        <f t="shared" si="246"/>
        <v>2024</v>
      </c>
      <c r="AH1333" s="8">
        <f t="shared" si="247"/>
        <v>4</v>
      </c>
      <c r="AI1333" s="5" t="str">
        <f t="shared" si="248"/>
        <v>Apr</v>
      </c>
      <c r="AJ1333" s="5" t="str">
        <f t="shared" si="249"/>
        <v>Wednesday</v>
      </c>
    </row>
    <row r="1334" spans="1:36" x14ac:dyDescent="0.3">
      <c r="A1334" s="5" t="s">
        <v>1368</v>
      </c>
      <c r="B1334" s="6">
        <v>45376</v>
      </c>
      <c r="C1334" s="7">
        <v>0.34722222222222221</v>
      </c>
      <c r="D1334" s="5" t="s">
        <v>1855</v>
      </c>
      <c r="E1334" s="5" t="s">
        <v>2014</v>
      </c>
      <c r="F1334" s="5" t="s">
        <v>2239</v>
      </c>
      <c r="G1334" s="5" t="s">
        <v>2254</v>
      </c>
      <c r="H1334" s="5" t="s">
        <v>2259</v>
      </c>
      <c r="I1334" s="5" t="s">
        <v>2263</v>
      </c>
      <c r="J1334" s="5" t="s">
        <v>2266</v>
      </c>
      <c r="K1334" s="8">
        <v>1</v>
      </c>
      <c r="L1334" s="9">
        <v>105</v>
      </c>
      <c r="M1334" s="10">
        <v>0</v>
      </c>
      <c r="N1334" s="9">
        <f t="shared" si="250"/>
        <v>105</v>
      </c>
      <c r="O1334" s="9">
        <f t="shared" si="240"/>
        <v>105</v>
      </c>
      <c r="P1334" s="5" t="s">
        <v>2267</v>
      </c>
      <c r="Q1334" s="5" t="s">
        <v>1761</v>
      </c>
      <c r="R1334" s="5" t="s">
        <v>2273</v>
      </c>
      <c r="S1334" s="5" t="s">
        <v>2282</v>
      </c>
      <c r="T1334" s="5" t="s">
        <v>2288</v>
      </c>
      <c r="U1334" s="8">
        <v>4</v>
      </c>
      <c r="V1334" s="8">
        <v>332</v>
      </c>
      <c r="W1334" s="8">
        <v>45</v>
      </c>
      <c r="X1334" s="9">
        <v>60.28</v>
      </c>
      <c r="Y1334" s="9">
        <f t="shared" si="241"/>
        <v>44.72</v>
      </c>
      <c r="Z1334" s="5" t="s">
        <v>2294</v>
      </c>
      <c r="AA1334" s="5" t="s">
        <v>2298</v>
      </c>
      <c r="AB1334" s="9">
        <f t="shared" si="242"/>
        <v>105</v>
      </c>
      <c r="AC1334" s="9">
        <f t="shared" si="243"/>
        <v>0</v>
      </c>
      <c r="AD1334" s="9">
        <f t="shared" si="244"/>
        <v>105</v>
      </c>
      <c r="AE1334" s="9">
        <f t="shared" si="245"/>
        <v>60.28</v>
      </c>
      <c r="AF1334" s="9">
        <f t="shared" si="251"/>
        <v>44.72</v>
      </c>
      <c r="AG1334" s="8">
        <f t="shared" si="246"/>
        <v>2024</v>
      </c>
      <c r="AH1334" s="8">
        <f t="shared" si="247"/>
        <v>3</v>
      </c>
      <c r="AI1334" s="5" t="str">
        <f t="shared" si="248"/>
        <v>Mar</v>
      </c>
      <c r="AJ1334" s="5" t="str">
        <f t="shared" si="249"/>
        <v>Monday</v>
      </c>
    </row>
    <row r="1335" spans="1:36" x14ac:dyDescent="0.3">
      <c r="A1335" s="5" t="s">
        <v>1369</v>
      </c>
      <c r="B1335" s="6">
        <v>45613</v>
      </c>
      <c r="C1335" s="7">
        <v>0.63194444444444442</v>
      </c>
      <c r="D1335" s="5" t="s">
        <v>1813</v>
      </c>
      <c r="E1335" s="5" t="s">
        <v>1761</v>
      </c>
      <c r="F1335" s="5" t="s">
        <v>2238</v>
      </c>
      <c r="G1335" s="5" t="s">
        <v>2246</v>
      </c>
      <c r="H1335" s="5" t="s">
        <v>2259</v>
      </c>
      <c r="I1335" s="5" t="s">
        <v>2262</v>
      </c>
      <c r="J1335" s="5" t="s">
        <v>2264</v>
      </c>
      <c r="K1335" s="8">
        <v>1</v>
      </c>
      <c r="L1335" s="9">
        <v>100</v>
      </c>
      <c r="M1335" s="10">
        <v>0</v>
      </c>
      <c r="N1335" s="9">
        <f t="shared" si="250"/>
        <v>100</v>
      </c>
      <c r="O1335" s="9">
        <f t="shared" si="240"/>
        <v>100</v>
      </c>
      <c r="P1335" s="5" t="s">
        <v>2269</v>
      </c>
      <c r="Q1335" s="5" t="s">
        <v>2270</v>
      </c>
      <c r="R1335" s="5" t="s">
        <v>2273</v>
      </c>
      <c r="S1335" s="5" t="s">
        <v>2282</v>
      </c>
      <c r="T1335" s="5" t="s">
        <v>2288</v>
      </c>
      <c r="U1335" s="8">
        <v>3</v>
      </c>
      <c r="V1335" s="8">
        <v>140</v>
      </c>
      <c r="W1335" s="19">
        <v>34</v>
      </c>
      <c r="X1335" s="9">
        <v>43.03</v>
      </c>
      <c r="Y1335" s="9">
        <f t="shared" si="241"/>
        <v>56.97</v>
      </c>
      <c r="Z1335" s="5" t="s">
        <v>2293</v>
      </c>
      <c r="AA1335" s="5" t="s">
        <v>2299</v>
      </c>
      <c r="AB1335" s="9">
        <f t="shared" si="242"/>
        <v>100</v>
      </c>
      <c r="AC1335" s="9">
        <f t="shared" si="243"/>
        <v>0</v>
      </c>
      <c r="AD1335" s="9">
        <f t="shared" si="244"/>
        <v>100</v>
      </c>
      <c r="AE1335" s="9">
        <f t="shared" si="245"/>
        <v>43.03</v>
      </c>
      <c r="AF1335" s="9">
        <f t="shared" si="251"/>
        <v>56.97</v>
      </c>
      <c r="AG1335" s="8">
        <f t="shared" si="246"/>
        <v>2024</v>
      </c>
      <c r="AH1335" s="8">
        <f t="shared" si="247"/>
        <v>11</v>
      </c>
      <c r="AI1335" s="5" t="str">
        <f t="shared" si="248"/>
        <v>Nov</v>
      </c>
      <c r="AJ1335" s="5" t="str">
        <f t="shared" si="249"/>
        <v>Sunday</v>
      </c>
    </row>
    <row r="1336" spans="1:36" x14ac:dyDescent="0.3">
      <c r="A1336" s="5" t="s">
        <v>1370</v>
      </c>
      <c r="B1336" s="18">
        <v>45468</v>
      </c>
      <c r="C1336" s="7">
        <v>0.51388888888888884</v>
      </c>
      <c r="D1336" s="5" t="s">
        <v>1843</v>
      </c>
      <c r="E1336" s="5" t="s">
        <v>2002</v>
      </c>
      <c r="F1336" s="5" t="s">
        <v>2238</v>
      </c>
      <c r="G1336" s="5" t="s">
        <v>2254</v>
      </c>
      <c r="H1336" s="5" t="s">
        <v>2259</v>
      </c>
      <c r="I1336" s="5" t="s">
        <v>2263</v>
      </c>
      <c r="J1336" s="5" t="s">
        <v>2265</v>
      </c>
      <c r="K1336" s="8">
        <v>1</v>
      </c>
      <c r="L1336" s="9">
        <v>120</v>
      </c>
      <c r="M1336" s="10">
        <v>0.15</v>
      </c>
      <c r="N1336" s="9">
        <f t="shared" si="250"/>
        <v>120</v>
      </c>
      <c r="O1336" s="9">
        <f t="shared" si="240"/>
        <v>102</v>
      </c>
      <c r="P1336" s="5" t="s">
        <v>2268</v>
      </c>
      <c r="Q1336" s="5" t="s">
        <v>2272</v>
      </c>
      <c r="R1336" s="5" t="s">
        <v>2278</v>
      </c>
      <c r="S1336" s="5" t="s">
        <v>2286</v>
      </c>
      <c r="T1336" s="5" t="s">
        <v>2288</v>
      </c>
      <c r="U1336" s="8">
        <v>3</v>
      </c>
      <c r="V1336" s="8">
        <v>377</v>
      </c>
      <c r="W1336" s="8">
        <v>50</v>
      </c>
      <c r="X1336" s="9">
        <v>50.5</v>
      </c>
      <c r="Y1336" s="9">
        <f t="shared" si="241"/>
        <v>51.5</v>
      </c>
      <c r="Z1336" s="5" t="s">
        <v>2291</v>
      </c>
      <c r="AA1336" s="5" t="s">
        <v>1761</v>
      </c>
      <c r="AB1336" s="9">
        <f t="shared" si="242"/>
        <v>120</v>
      </c>
      <c r="AC1336" s="9">
        <f t="shared" si="243"/>
        <v>18</v>
      </c>
      <c r="AD1336" s="9">
        <f t="shared" si="244"/>
        <v>102</v>
      </c>
      <c r="AE1336" s="9">
        <f t="shared" si="245"/>
        <v>50.5</v>
      </c>
      <c r="AF1336" s="9">
        <f t="shared" si="251"/>
        <v>51.5</v>
      </c>
      <c r="AG1336" s="8">
        <f t="shared" si="246"/>
        <v>2024</v>
      </c>
      <c r="AH1336" s="8">
        <f t="shared" si="247"/>
        <v>6</v>
      </c>
      <c r="AI1336" s="5" t="str">
        <f t="shared" si="248"/>
        <v>Jun</v>
      </c>
      <c r="AJ1336" s="5" t="str">
        <f t="shared" si="249"/>
        <v>Tuesday</v>
      </c>
    </row>
    <row r="1337" spans="1:36" x14ac:dyDescent="0.3">
      <c r="A1337" s="5" t="s">
        <v>1371</v>
      </c>
      <c r="B1337" s="6">
        <v>45294</v>
      </c>
      <c r="C1337" s="7">
        <v>0.53125</v>
      </c>
      <c r="D1337" s="5" t="s">
        <v>1759</v>
      </c>
      <c r="E1337" s="5" t="s">
        <v>2217</v>
      </c>
      <c r="F1337" s="5" t="s">
        <v>2239</v>
      </c>
      <c r="G1337" s="5" t="s">
        <v>2255</v>
      </c>
      <c r="H1337" s="5" t="s">
        <v>2260</v>
      </c>
      <c r="I1337" s="5" t="s">
        <v>2260</v>
      </c>
      <c r="J1337" s="5" t="s">
        <v>1761</v>
      </c>
      <c r="K1337" s="8">
        <v>1</v>
      </c>
      <c r="L1337" s="9">
        <v>175</v>
      </c>
      <c r="M1337" s="10">
        <v>0</v>
      </c>
      <c r="N1337" s="9">
        <f t="shared" si="250"/>
        <v>175</v>
      </c>
      <c r="O1337" s="9">
        <f t="shared" si="240"/>
        <v>175</v>
      </c>
      <c r="P1337" s="5" t="s">
        <v>2268</v>
      </c>
      <c r="Q1337" s="5" t="s">
        <v>2270</v>
      </c>
      <c r="R1337" s="5" t="s">
        <v>2275</v>
      </c>
      <c r="S1337" s="5" t="s">
        <v>2284</v>
      </c>
      <c r="T1337" s="5" t="s">
        <v>2288</v>
      </c>
      <c r="U1337" s="8">
        <v>1</v>
      </c>
      <c r="V1337" s="8">
        <v>53</v>
      </c>
      <c r="W1337" s="19">
        <v>34</v>
      </c>
      <c r="X1337" s="9">
        <v>86.05</v>
      </c>
      <c r="Y1337" s="9">
        <f t="shared" si="241"/>
        <v>88.95</v>
      </c>
      <c r="Z1337" s="5" t="s">
        <v>1761</v>
      </c>
      <c r="AA1337" s="5" t="s">
        <v>2296</v>
      </c>
      <c r="AB1337" s="9">
        <f t="shared" si="242"/>
        <v>175</v>
      </c>
      <c r="AC1337" s="9">
        <f t="shared" si="243"/>
        <v>0</v>
      </c>
      <c r="AD1337" s="9">
        <f t="shared" si="244"/>
        <v>175</v>
      </c>
      <c r="AE1337" s="9">
        <f t="shared" si="245"/>
        <v>86.05</v>
      </c>
      <c r="AF1337" s="9">
        <f t="shared" si="251"/>
        <v>88.95</v>
      </c>
      <c r="AG1337" s="8">
        <f t="shared" si="246"/>
        <v>2024</v>
      </c>
      <c r="AH1337" s="8">
        <f t="shared" si="247"/>
        <v>1</v>
      </c>
      <c r="AI1337" s="5" t="str">
        <f t="shared" si="248"/>
        <v>Jan</v>
      </c>
      <c r="AJ1337" s="5" t="str">
        <f t="shared" si="249"/>
        <v>Wednesday</v>
      </c>
    </row>
    <row r="1338" spans="1:36" x14ac:dyDescent="0.3">
      <c r="A1338" s="5" t="s">
        <v>1372</v>
      </c>
      <c r="B1338" s="6">
        <v>45402</v>
      </c>
      <c r="C1338" s="7">
        <v>0.38541666666666669</v>
      </c>
      <c r="D1338" s="5" t="s">
        <v>1924</v>
      </c>
      <c r="E1338" s="5" t="s">
        <v>2140</v>
      </c>
      <c r="F1338" s="5" t="s">
        <v>2238</v>
      </c>
      <c r="G1338" s="5" t="s">
        <v>2251</v>
      </c>
      <c r="H1338" s="5" t="s">
        <v>2258</v>
      </c>
      <c r="I1338" s="5" t="s">
        <v>2260</v>
      </c>
      <c r="J1338" s="5" t="s">
        <v>2266</v>
      </c>
      <c r="K1338" s="8">
        <v>2</v>
      </c>
      <c r="L1338" s="9">
        <v>100</v>
      </c>
      <c r="M1338" s="10">
        <v>0</v>
      </c>
      <c r="N1338" s="9">
        <f t="shared" si="250"/>
        <v>200</v>
      </c>
      <c r="O1338" s="9">
        <f t="shared" si="240"/>
        <v>200</v>
      </c>
      <c r="P1338" s="5" t="s">
        <v>2269</v>
      </c>
      <c r="Q1338" s="5" t="s">
        <v>2270</v>
      </c>
      <c r="R1338" s="5" t="s">
        <v>2276</v>
      </c>
      <c r="S1338" s="5" t="s">
        <v>2284</v>
      </c>
      <c r="T1338" s="5" t="s">
        <v>2290</v>
      </c>
      <c r="U1338" s="8">
        <v>2</v>
      </c>
      <c r="V1338" s="8">
        <v>264</v>
      </c>
      <c r="W1338" s="8">
        <v>14</v>
      </c>
      <c r="X1338" s="9">
        <v>36.5</v>
      </c>
      <c r="Y1338" s="9">
        <f t="shared" si="241"/>
        <v>127</v>
      </c>
      <c r="Z1338" s="5" t="s">
        <v>2294</v>
      </c>
      <c r="AA1338" s="5" t="s">
        <v>2296</v>
      </c>
      <c r="AB1338" s="9">
        <f t="shared" si="242"/>
        <v>200</v>
      </c>
      <c r="AC1338" s="9">
        <f t="shared" si="243"/>
        <v>0</v>
      </c>
      <c r="AD1338" s="9">
        <f t="shared" si="244"/>
        <v>200</v>
      </c>
      <c r="AE1338" s="9">
        <f t="shared" si="245"/>
        <v>73</v>
      </c>
      <c r="AF1338" s="9">
        <f t="shared" si="251"/>
        <v>127</v>
      </c>
      <c r="AG1338" s="8">
        <f t="shared" si="246"/>
        <v>2024</v>
      </c>
      <c r="AH1338" s="8">
        <f t="shared" si="247"/>
        <v>4</v>
      </c>
      <c r="AI1338" s="5" t="str">
        <f t="shared" si="248"/>
        <v>Apr</v>
      </c>
      <c r="AJ1338" s="5" t="str">
        <f t="shared" si="249"/>
        <v>Saturday</v>
      </c>
    </row>
    <row r="1339" spans="1:36" x14ac:dyDescent="0.3">
      <c r="A1339" s="5" t="s">
        <v>1373</v>
      </c>
      <c r="B1339" s="6">
        <v>45303</v>
      </c>
      <c r="C1339" s="7">
        <v>0.41666666666666669</v>
      </c>
      <c r="D1339" s="5" t="s">
        <v>1925</v>
      </c>
      <c r="E1339" s="5" t="s">
        <v>1987</v>
      </c>
      <c r="F1339" s="5" t="s">
        <v>2239</v>
      </c>
      <c r="G1339" s="5" t="s">
        <v>2244</v>
      </c>
      <c r="H1339" s="5" t="s">
        <v>2257</v>
      </c>
      <c r="I1339" s="5" t="s">
        <v>2262</v>
      </c>
      <c r="J1339" s="5" t="s">
        <v>2264</v>
      </c>
      <c r="K1339" s="8">
        <v>2</v>
      </c>
      <c r="L1339" s="9">
        <v>115</v>
      </c>
      <c r="M1339" s="10">
        <v>0</v>
      </c>
      <c r="N1339" s="9">
        <f t="shared" si="250"/>
        <v>230</v>
      </c>
      <c r="O1339" s="9">
        <f t="shared" si="240"/>
        <v>230</v>
      </c>
      <c r="P1339" s="5" t="s">
        <v>2269</v>
      </c>
      <c r="Q1339" s="5" t="s">
        <v>1761</v>
      </c>
      <c r="R1339" s="5" t="s">
        <v>2273</v>
      </c>
      <c r="S1339" s="5" t="s">
        <v>2280</v>
      </c>
      <c r="T1339" s="5" t="s">
        <v>2288</v>
      </c>
      <c r="U1339" s="8">
        <v>3</v>
      </c>
      <c r="V1339" s="8">
        <v>261</v>
      </c>
      <c r="W1339" s="8">
        <v>34</v>
      </c>
      <c r="X1339" s="9">
        <v>48.91</v>
      </c>
      <c r="Y1339" s="9">
        <f t="shared" si="241"/>
        <v>132.18</v>
      </c>
      <c r="Z1339" s="5" t="s">
        <v>2291</v>
      </c>
      <c r="AA1339" s="5" t="s">
        <v>2299</v>
      </c>
      <c r="AB1339" s="9">
        <f t="shared" si="242"/>
        <v>230</v>
      </c>
      <c r="AC1339" s="9">
        <f t="shared" si="243"/>
        <v>0</v>
      </c>
      <c r="AD1339" s="9">
        <f t="shared" si="244"/>
        <v>230</v>
      </c>
      <c r="AE1339" s="9">
        <f t="shared" si="245"/>
        <v>97.82</v>
      </c>
      <c r="AF1339" s="9">
        <f t="shared" si="251"/>
        <v>132.18</v>
      </c>
      <c r="AG1339" s="8">
        <f t="shared" si="246"/>
        <v>2024</v>
      </c>
      <c r="AH1339" s="8">
        <f t="shared" si="247"/>
        <v>1</v>
      </c>
      <c r="AI1339" s="5" t="str">
        <f t="shared" si="248"/>
        <v>Jan</v>
      </c>
      <c r="AJ1339" s="5" t="str">
        <f t="shared" si="249"/>
        <v>Friday</v>
      </c>
    </row>
    <row r="1340" spans="1:36" x14ac:dyDescent="0.3">
      <c r="A1340" s="5" t="s">
        <v>1374</v>
      </c>
      <c r="B1340" s="6">
        <v>45533</v>
      </c>
      <c r="C1340" s="7">
        <v>0.52083333333333337</v>
      </c>
      <c r="D1340" s="5" t="s">
        <v>1838</v>
      </c>
      <c r="E1340" s="5" t="s">
        <v>2005</v>
      </c>
      <c r="F1340" s="5" t="s">
        <v>2239</v>
      </c>
      <c r="G1340" s="5" t="s">
        <v>2250</v>
      </c>
      <c r="H1340" s="5" t="s">
        <v>2259</v>
      </c>
      <c r="I1340" s="5" t="s">
        <v>2262</v>
      </c>
      <c r="J1340" s="5" t="s">
        <v>2265</v>
      </c>
      <c r="K1340" s="8">
        <v>3</v>
      </c>
      <c r="L1340" s="9">
        <v>80</v>
      </c>
      <c r="M1340" s="10">
        <v>0</v>
      </c>
      <c r="N1340" s="9">
        <f t="shared" si="250"/>
        <v>240</v>
      </c>
      <c r="O1340" s="9">
        <f t="shared" si="240"/>
        <v>240</v>
      </c>
      <c r="P1340" s="5" t="s">
        <v>2267</v>
      </c>
      <c r="Q1340" s="5" t="s">
        <v>2272</v>
      </c>
      <c r="R1340" s="5" t="s">
        <v>2273</v>
      </c>
      <c r="S1340" s="5" t="s">
        <v>2282</v>
      </c>
      <c r="T1340" s="5" t="s">
        <v>2290</v>
      </c>
      <c r="U1340" s="8">
        <v>5</v>
      </c>
      <c r="V1340" s="8">
        <v>260</v>
      </c>
      <c r="W1340" s="8">
        <v>46</v>
      </c>
      <c r="X1340" s="9">
        <v>40.18</v>
      </c>
      <c r="Y1340" s="9">
        <f t="shared" si="241"/>
        <v>119.46000000000001</v>
      </c>
      <c r="Z1340" s="5" t="s">
        <v>1761</v>
      </c>
      <c r="AA1340" s="5" t="s">
        <v>1761</v>
      </c>
      <c r="AB1340" s="9">
        <f t="shared" si="242"/>
        <v>240</v>
      </c>
      <c r="AC1340" s="9">
        <f t="shared" si="243"/>
        <v>0</v>
      </c>
      <c r="AD1340" s="9">
        <f t="shared" si="244"/>
        <v>240</v>
      </c>
      <c r="AE1340" s="9">
        <f t="shared" si="245"/>
        <v>120.53999999999999</v>
      </c>
      <c r="AF1340" s="9">
        <f t="shared" si="251"/>
        <v>119.46000000000001</v>
      </c>
      <c r="AG1340" s="8">
        <f t="shared" si="246"/>
        <v>2024</v>
      </c>
      <c r="AH1340" s="8">
        <f t="shared" si="247"/>
        <v>8</v>
      </c>
      <c r="AI1340" s="5" t="str">
        <f t="shared" si="248"/>
        <v>Aug</v>
      </c>
      <c r="AJ1340" s="5" t="str">
        <f t="shared" si="249"/>
        <v>Thursday</v>
      </c>
    </row>
    <row r="1341" spans="1:36" x14ac:dyDescent="0.3">
      <c r="A1341" s="5" t="s">
        <v>1375</v>
      </c>
      <c r="B1341" s="6">
        <v>45613</v>
      </c>
      <c r="C1341" s="7">
        <v>0.58333333333333337</v>
      </c>
      <c r="D1341" s="5" t="s">
        <v>1868</v>
      </c>
      <c r="E1341" s="5" t="s">
        <v>2226</v>
      </c>
      <c r="F1341" s="5" t="s">
        <v>2239</v>
      </c>
      <c r="G1341" s="5" t="s">
        <v>2256</v>
      </c>
      <c r="H1341" s="5" t="s">
        <v>2261</v>
      </c>
      <c r="I1341" s="5" t="s">
        <v>2260</v>
      </c>
      <c r="J1341" s="5" t="s">
        <v>2264</v>
      </c>
      <c r="K1341" s="8">
        <v>1</v>
      </c>
      <c r="L1341" s="9">
        <v>185</v>
      </c>
      <c r="M1341" s="10">
        <v>0.1</v>
      </c>
      <c r="N1341" s="9">
        <f t="shared" si="250"/>
        <v>185</v>
      </c>
      <c r="O1341" s="9">
        <f t="shared" si="240"/>
        <v>166.5</v>
      </c>
      <c r="P1341" s="5" t="s">
        <v>2267</v>
      </c>
      <c r="Q1341" s="5" t="s">
        <v>2270</v>
      </c>
      <c r="R1341" s="5" t="s">
        <v>2273</v>
      </c>
      <c r="S1341" s="5" t="s">
        <v>2283</v>
      </c>
      <c r="T1341" s="5" t="s">
        <v>2288</v>
      </c>
      <c r="U1341" s="8">
        <v>2</v>
      </c>
      <c r="V1341" s="8">
        <v>244</v>
      </c>
      <c r="W1341" s="8">
        <v>41</v>
      </c>
      <c r="X1341" s="9">
        <v>84.29</v>
      </c>
      <c r="Y1341" s="9">
        <f t="shared" si="241"/>
        <v>82.21</v>
      </c>
      <c r="Z1341" s="5" t="s">
        <v>2292</v>
      </c>
      <c r="AA1341" s="5" t="s">
        <v>1761</v>
      </c>
      <c r="AB1341" s="9">
        <f t="shared" si="242"/>
        <v>185</v>
      </c>
      <c r="AC1341" s="9">
        <f t="shared" si="243"/>
        <v>18.5</v>
      </c>
      <c r="AD1341" s="9">
        <f t="shared" si="244"/>
        <v>166.5</v>
      </c>
      <c r="AE1341" s="9">
        <f t="shared" si="245"/>
        <v>84.29</v>
      </c>
      <c r="AF1341" s="9">
        <f t="shared" si="251"/>
        <v>82.21</v>
      </c>
      <c r="AG1341" s="8">
        <f t="shared" si="246"/>
        <v>2024</v>
      </c>
      <c r="AH1341" s="8">
        <f t="shared" si="247"/>
        <v>11</v>
      </c>
      <c r="AI1341" s="5" t="str">
        <f t="shared" si="248"/>
        <v>Nov</v>
      </c>
      <c r="AJ1341" s="5" t="str">
        <f t="shared" si="249"/>
        <v>Sunday</v>
      </c>
    </row>
    <row r="1342" spans="1:36" x14ac:dyDescent="0.3">
      <c r="A1342" s="5" t="s">
        <v>1376</v>
      </c>
      <c r="B1342" s="6">
        <v>45303</v>
      </c>
      <c r="C1342" s="7">
        <v>0.39583333333333331</v>
      </c>
      <c r="D1342" s="5" t="s">
        <v>1853</v>
      </c>
      <c r="E1342" s="5" t="s">
        <v>2214</v>
      </c>
      <c r="F1342" s="5" t="s">
        <v>2238</v>
      </c>
      <c r="G1342" s="5" t="s">
        <v>2241</v>
      </c>
      <c r="H1342" s="5" t="s">
        <v>2257</v>
      </c>
      <c r="I1342" s="5" t="s">
        <v>2262</v>
      </c>
      <c r="J1342" s="5" t="s">
        <v>2264</v>
      </c>
      <c r="K1342" s="8">
        <v>2</v>
      </c>
      <c r="L1342" s="9">
        <v>130</v>
      </c>
      <c r="M1342" s="10">
        <v>0.15</v>
      </c>
      <c r="N1342" s="9">
        <f t="shared" si="250"/>
        <v>260</v>
      </c>
      <c r="O1342" s="9">
        <f t="shared" si="240"/>
        <v>221</v>
      </c>
      <c r="P1342" s="5" t="s">
        <v>2268</v>
      </c>
      <c r="Q1342" s="5" t="s">
        <v>2272</v>
      </c>
      <c r="R1342" s="5" t="s">
        <v>2276</v>
      </c>
      <c r="S1342" s="5" t="s">
        <v>2280</v>
      </c>
      <c r="T1342" s="5" t="s">
        <v>2288</v>
      </c>
      <c r="U1342" s="19">
        <v>3</v>
      </c>
      <c r="V1342" s="8">
        <v>32</v>
      </c>
      <c r="W1342" s="19">
        <v>35</v>
      </c>
      <c r="X1342" s="9">
        <v>55.89</v>
      </c>
      <c r="Y1342" s="9">
        <f t="shared" si="241"/>
        <v>109.22</v>
      </c>
      <c r="Z1342" s="5" t="s">
        <v>1761</v>
      </c>
      <c r="AA1342" s="5" t="s">
        <v>2296</v>
      </c>
      <c r="AB1342" s="9">
        <f t="shared" si="242"/>
        <v>260</v>
      </c>
      <c r="AC1342" s="9">
        <f t="shared" si="243"/>
        <v>39</v>
      </c>
      <c r="AD1342" s="9">
        <f t="shared" si="244"/>
        <v>221</v>
      </c>
      <c r="AE1342" s="9">
        <f t="shared" si="245"/>
        <v>111.78</v>
      </c>
      <c r="AF1342" s="9">
        <f t="shared" si="251"/>
        <v>109.22</v>
      </c>
      <c r="AG1342" s="8">
        <f t="shared" si="246"/>
        <v>2024</v>
      </c>
      <c r="AH1342" s="8">
        <f t="shared" si="247"/>
        <v>1</v>
      </c>
      <c r="AI1342" s="5" t="str">
        <f t="shared" si="248"/>
        <v>Jan</v>
      </c>
      <c r="AJ1342" s="5" t="str">
        <f t="shared" si="249"/>
        <v>Friday</v>
      </c>
    </row>
    <row r="1343" spans="1:36" x14ac:dyDescent="0.3">
      <c r="A1343" s="5" t="s">
        <v>1377</v>
      </c>
      <c r="B1343" s="6">
        <v>45408</v>
      </c>
      <c r="C1343" s="7">
        <v>0.59375</v>
      </c>
      <c r="D1343" s="5" t="s">
        <v>1793</v>
      </c>
      <c r="E1343" s="5" t="s">
        <v>2096</v>
      </c>
      <c r="F1343" s="5" t="s">
        <v>2238</v>
      </c>
      <c r="G1343" s="5" t="s">
        <v>2244</v>
      </c>
      <c r="H1343" s="5" t="s">
        <v>2257</v>
      </c>
      <c r="I1343" s="5" t="s">
        <v>2262</v>
      </c>
      <c r="J1343" s="5" t="s">
        <v>2265</v>
      </c>
      <c r="K1343" s="8">
        <v>2</v>
      </c>
      <c r="L1343" s="9">
        <v>130</v>
      </c>
      <c r="M1343" s="10">
        <v>0</v>
      </c>
      <c r="N1343" s="9">
        <f t="shared" si="250"/>
        <v>260</v>
      </c>
      <c r="O1343" s="9">
        <f t="shared" si="240"/>
        <v>260</v>
      </c>
      <c r="P1343" s="5" t="s">
        <v>2269</v>
      </c>
      <c r="Q1343" s="5" t="s">
        <v>2272</v>
      </c>
      <c r="R1343" s="5" t="s">
        <v>2273</v>
      </c>
      <c r="S1343" s="5" t="s">
        <v>2281</v>
      </c>
      <c r="T1343" s="5" t="s">
        <v>2288</v>
      </c>
      <c r="U1343" s="8">
        <v>3</v>
      </c>
      <c r="V1343" s="8">
        <v>268</v>
      </c>
      <c r="W1343" s="8">
        <v>37</v>
      </c>
      <c r="X1343" s="9">
        <v>51.35</v>
      </c>
      <c r="Y1343" s="9">
        <f t="shared" si="241"/>
        <v>157.30000000000001</v>
      </c>
      <c r="Z1343" s="5" t="s">
        <v>2294</v>
      </c>
      <c r="AA1343" s="5" t="s">
        <v>2297</v>
      </c>
      <c r="AB1343" s="9">
        <f t="shared" si="242"/>
        <v>260</v>
      </c>
      <c r="AC1343" s="9">
        <f t="shared" si="243"/>
        <v>0</v>
      </c>
      <c r="AD1343" s="9">
        <f t="shared" si="244"/>
        <v>260</v>
      </c>
      <c r="AE1343" s="9">
        <f t="shared" si="245"/>
        <v>102.7</v>
      </c>
      <c r="AF1343" s="9">
        <f t="shared" si="251"/>
        <v>157.30000000000001</v>
      </c>
      <c r="AG1343" s="8">
        <f t="shared" si="246"/>
        <v>2024</v>
      </c>
      <c r="AH1343" s="8">
        <f t="shared" si="247"/>
        <v>4</v>
      </c>
      <c r="AI1343" s="5" t="str">
        <f t="shared" si="248"/>
        <v>Apr</v>
      </c>
      <c r="AJ1343" s="5" t="str">
        <f t="shared" si="249"/>
        <v>Friday</v>
      </c>
    </row>
    <row r="1344" spans="1:36" x14ac:dyDescent="0.3">
      <c r="A1344" s="5" t="s">
        <v>1378</v>
      </c>
      <c r="B1344" s="6">
        <v>45580</v>
      </c>
      <c r="C1344" s="7">
        <v>0.63194444444444442</v>
      </c>
      <c r="D1344" s="5" t="s">
        <v>1761</v>
      </c>
      <c r="E1344" s="5" t="s">
        <v>2052</v>
      </c>
      <c r="F1344" s="5" t="s">
        <v>2239</v>
      </c>
      <c r="G1344" s="5" t="s">
        <v>2243</v>
      </c>
      <c r="H1344" s="5" t="s">
        <v>2258</v>
      </c>
      <c r="I1344" s="5" t="s">
        <v>2260</v>
      </c>
      <c r="J1344" s="5" t="s">
        <v>2264</v>
      </c>
      <c r="K1344" s="8">
        <v>1</v>
      </c>
      <c r="L1344" s="9">
        <v>65</v>
      </c>
      <c r="M1344" s="10">
        <v>0.1</v>
      </c>
      <c r="N1344" s="9">
        <f t="shared" si="250"/>
        <v>65</v>
      </c>
      <c r="O1344" s="9">
        <f t="shared" si="240"/>
        <v>58.5</v>
      </c>
      <c r="P1344" s="5" t="s">
        <v>2268</v>
      </c>
      <c r="Q1344" s="5" t="s">
        <v>1761</v>
      </c>
      <c r="R1344" s="5" t="s">
        <v>2275</v>
      </c>
      <c r="S1344" s="5" t="s">
        <v>2281</v>
      </c>
      <c r="T1344" s="5" t="s">
        <v>2290</v>
      </c>
      <c r="U1344" s="19">
        <v>3</v>
      </c>
      <c r="V1344" s="8">
        <v>491</v>
      </c>
      <c r="W1344" s="8">
        <v>35</v>
      </c>
      <c r="X1344" s="9">
        <v>26.18</v>
      </c>
      <c r="Y1344" s="9">
        <f t="shared" si="241"/>
        <v>32.32</v>
      </c>
      <c r="Z1344" s="5" t="s">
        <v>2293</v>
      </c>
      <c r="AA1344" s="5" t="s">
        <v>2297</v>
      </c>
      <c r="AB1344" s="9">
        <f t="shared" si="242"/>
        <v>65</v>
      </c>
      <c r="AC1344" s="9">
        <f t="shared" si="243"/>
        <v>6.5</v>
      </c>
      <c r="AD1344" s="9">
        <f t="shared" si="244"/>
        <v>58.5</v>
      </c>
      <c r="AE1344" s="9">
        <f t="shared" si="245"/>
        <v>26.18</v>
      </c>
      <c r="AF1344" s="9">
        <f t="shared" si="251"/>
        <v>32.32</v>
      </c>
      <c r="AG1344" s="8">
        <f t="shared" si="246"/>
        <v>2024</v>
      </c>
      <c r="AH1344" s="8">
        <f t="shared" si="247"/>
        <v>10</v>
      </c>
      <c r="AI1344" s="5" t="str">
        <f t="shared" si="248"/>
        <v>Oct</v>
      </c>
      <c r="AJ1344" s="5" t="str">
        <f t="shared" si="249"/>
        <v>Tuesday</v>
      </c>
    </row>
    <row r="1345" spans="1:36" x14ac:dyDescent="0.3">
      <c r="A1345" s="5" t="s">
        <v>1379</v>
      </c>
      <c r="B1345" s="6">
        <v>45593</v>
      </c>
      <c r="C1345" s="7">
        <v>0.54166666666666663</v>
      </c>
      <c r="D1345" s="5" t="s">
        <v>1916</v>
      </c>
      <c r="E1345" s="5" t="s">
        <v>2045</v>
      </c>
      <c r="F1345" s="5" t="s">
        <v>2240</v>
      </c>
      <c r="G1345" s="5" t="s">
        <v>2246</v>
      </c>
      <c r="H1345" s="5" t="s">
        <v>2259</v>
      </c>
      <c r="I1345" s="5" t="s">
        <v>2262</v>
      </c>
      <c r="J1345" s="5" t="s">
        <v>2264</v>
      </c>
      <c r="K1345" s="8">
        <v>2</v>
      </c>
      <c r="L1345" s="9">
        <v>90</v>
      </c>
      <c r="M1345" s="10">
        <v>0.05</v>
      </c>
      <c r="N1345" s="9">
        <f t="shared" si="250"/>
        <v>180</v>
      </c>
      <c r="O1345" s="9">
        <f t="shared" si="240"/>
        <v>171</v>
      </c>
      <c r="P1345" s="5" t="s">
        <v>1761</v>
      </c>
      <c r="Q1345" s="5" t="s">
        <v>1761</v>
      </c>
      <c r="R1345" s="5" t="s">
        <v>2279</v>
      </c>
      <c r="S1345" s="5" t="s">
        <v>2286</v>
      </c>
      <c r="T1345" s="5" t="s">
        <v>2288</v>
      </c>
      <c r="U1345" s="19">
        <v>3</v>
      </c>
      <c r="V1345" s="8">
        <v>12</v>
      </c>
      <c r="W1345" s="8">
        <v>24</v>
      </c>
      <c r="X1345" s="9">
        <v>40.44</v>
      </c>
      <c r="Y1345" s="9">
        <f t="shared" si="241"/>
        <v>90.12</v>
      </c>
      <c r="Z1345" s="5" t="s">
        <v>1761</v>
      </c>
      <c r="AA1345" s="5" t="s">
        <v>2299</v>
      </c>
      <c r="AB1345" s="9">
        <f t="shared" si="242"/>
        <v>180</v>
      </c>
      <c r="AC1345" s="9">
        <f t="shared" si="243"/>
        <v>9</v>
      </c>
      <c r="AD1345" s="9">
        <f t="shared" si="244"/>
        <v>171</v>
      </c>
      <c r="AE1345" s="9">
        <f t="shared" si="245"/>
        <v>80.88</v>
      </c>
      <c r="AF1345" s="9">
        <f t="shared" si="251"/>
        <v>90.12</v>
      </c>
      <c r="AG1345" s="8">
        <f t="shared" si="246"/>
        <v>2024</v>
      </c>
      <c r="AH1345" s="8">
        <f t="shared" si="247"/>
        <v>10</v>
      </c>
      <c r="AI1345" s="5" t="str">
        <f t="shared" si="248"/>
        <v>Oct</v>
      </c>
      <c r="AJ1345" s="5" t="str">
        <f t="shared" si="249"/>
        <v>Monday</v>
      </c>
    </row>
    <row r="1346" spans="1:36" x14ac:dyDescent="0.3">
      <c r="A1346" s="5" t="s">
        <v>1380</v>
      </c>
      <c r="B1346" s="6">
        <v>45312</v>
      </c>
      <c r="C1346" s="7">
        <v>0.46875</v>
      </c>
      <c r="D1346" s="5" t="s">
        <v>1915</v>
      </c>
      <c r="E1346" s="5" t="s">
        <v>2228</v>
      </c>
      <c r="F1346" s="5" t="s">
        <v>2240</v>
      </c>
      <c r="G1346" s="5" t="s">
        <v>2247</v>
      </c>
      <c r="H1346" s="5" t="s">
        <v>2257</v>
      </c>
      <c r="I1346" s="5" t="s">
        <v>2262</v>
      </c>
      <c r="J1346" s="5" t="s">
        <v>2265</v>
      </c>
      <c r="K1346" s="8">
        <v>1</v>
      </c>
      <c r="L1346" s="9">
        <v>100</v>
      </c>
      <c r="M1346" s="10">
        <v>0.1</v>
      </c>
      <c r="N1346" s="9">
        <f t="shared" si="250"/>
        <v>100</v>
      </c>
      <c r="O1346" s="9">
        <f t="shared" ref="O1346:O1409" si="252">IF(N1346="","",N1346*(1-IF(M1346="",0,M1346)))</f>
        <v>90</v>
      </c>
      <c r="P1346" s="5" t="s">
        <v>2269</v>
      </c>
      <c r="Q1346" s="5" t="s">
        <v>2272</v>
      </c>
      <c r="R1346" s="5" t="s">
        <v>2279</v>
      </c>
      <c r="S1346" s="5" t="s">
        <v>2285</v>
      </c>
      <c r="T1346" s="5" t="s">
        <v>2288</v>
      </c>
      <c r="U1346" s="8">
        <v>4</v>
      </c>
      <c r="V1346" s="8">
        <v>113</v>
      </c>
      <c r="W1346" s="19">
        <v>35</v>
      </c>
      <c r="X1346" s="9">
        <v>36.71</v>
      </c>
      <c r="Y1346" s="9">
        <f t="shared" ref="Y1346:Y1409" si="253">IF(OR(O1346="",K1346="",X1346=""),"",O1346-K1346*X1346)</f>
        <v>53.29</v>
      </c>
      <c r="Z1346" s="5" t="s">
        <v>2291</v>
      </c>
      <c r="AA1346" s="5" t="s">
        <v>2296</v>
      </c>
      <c r="AB1346" s="9">
        <f t="shared" ref="AB1346:AB1409" si="254">N1346</f>
        <v>100</v>
      </c>
      <c r="AC1346" s="9">
        <f t="shared" ref="AC1346:AC1409" si="255">IF(N1346="","",N1346*IF(M1346="",0,M1346))</f>
        <v>10</v>
      </c>
      <c r="AD1346" s="9">
        <f t="shared" ref="AD1346:AD1409" si="256">O1346</f>
        <v>90</v>
      </c>
      <c r="AE1346" s="9">
        <f t="shared" ref="AE1346:AE1409" si="257">IF(OR(K1346="",X1346=""),"",K1346*X1346)</f>
        <v>36.71</v>
      </c>
      <c r="AF1346" s="9">
        <f t="shared" si="251"/>
        <v>53.29</v>
      </c>
      <c r="AG1346" s="8">
        <f t="shared" ref="AG1346:AG1409" si="258">IF(B1346="","",YEAR(B1346))</f>
        <v>2024</v>
      </c>
      <c r="AH1346" s="8">
        <f t="shared" ref="AH1346:AH1409" si="259">IF(B1346="","",MONTH(B1346))</f>
        <v>1</v>
      </c>
      <c r="AI1346" s="5" t="str">
        <f t="shared" ref="AI1346:AI1409" si="260">IF(B1346="","",TEXT(B1346,"mmm"))</f>
        <v>Jan</v>
      </c>
      <c r="AJ1346" s="5" t="str">
        <f t="shared" ref="AJ1346:AJ1409" si="261">IF(B1346="","",TEXT(B1346,"dddd"))</f>
        <v>Sunday</v>
      </c>
    </row>
    <row r="1347" spans="1:36" x14ac:dyDescent="0.3">
      <c r="A1347" s="5" t="s">
        <v>1381</v>
      </c>
      <c r="B1347" s="6">
        <v>45630</v>
      </c>
      <c r="C1347" s="7">
        <v>0.8125</v>
      </c>
      <c r="D1347" s="5" t="s">
        <v>1787</v>
      </c>
      <c r="E1347" s="5" t="s">
        <v>2083</v>
      </c>
      <c r="F1347" s="5" t="s">
        <v>2240</v>
      </c>
      <c r="G1347" s="5" t="s">
        <v>2246</v>
      </c>
      <c r="H1347" s="5" t="s">
        <v>2259</v>
      </c>
      <c r="I1347" s="5" t="s">
        <v>2262</v>
      </c>
      <c r="J1347" s="5" t="s">
        <v>2265</v>
      </c>
      <c r="K1347" s="8">
        <v>1</v>
      </c>
      <c r="L1347" s="9">
        <v>95</v>
      </c>
      <c r="M1347" s="10">
        <v>0.1</v>
      </c>
      <c r="N1347" s="9">
        <f t="shared" ref="N1347:N1410" si="262">IFERROR(K1347*L1347,"")</f>
        <v>95</v>
      </c>
      <c r="O1347" s="9">
        <f t="shared" si="252"/>
        <v>85.5</v>
      </c>
      <c r="P1347" s="5" t="s">
        <v>2267</v>
      </c>
      <c r="Q1347" s="5" t="s">
        <v>2271</v>
      </c>
      <c r="R1347" s="5" t="s">
        <v>2274</v>
      </c>
      <c r="S1347" s="5" t="s">
        <v>2284</v>
      </c>
      <c r="T1347" s="5" t="s">
        <v>2288</v>
      </c>
      <c r="U1347" s="19">
        <v>3</v>
      </c>
      <c r="V1347" s="8">
        <v>311</v>
      </c>
      <c r="W1347" s="8">
        <v>49</v>
      </c>
      <c r="X1347" s="9">
        <v>50.47</v>
      </c>
      <c r="Y1347" s="9">
        <f t="shared" si="253"/>
        <v>35.03</v>
      </c>
      <c r="Z1347" s="5" t="s">
        <v>1761</v>
      </c>
      <c r="AA1347" s="5" t="s">
        <v>2298</v>
      </c>
      <c r="AB1347" s="9">
        <f t="shared" si="254"/>
        <v>95</v>
      </c>
      <c r="AC1347" s="9">
        <f t="shared" si="255"/>
        <v>9.5</v>
      </c>
      <c r="AD1347" s="9">
        <f t="shared" si="256"/>
        <v>85.5</v>
      </c>
      <c r="AE1347" s="9">
        <f t="shared" si="257"/>
        <v>50.47</v>
      </c>
      <c r="AF1347" s="9">
        <f t="shared" ref="AF1347:AF1410" si="263">Y1347</f>
        <v>35.03</v>
      </c>
      <c r="AG1347" s="8">
        <f t="shared" si="258"/>
        <v>2024</v>
      </c>
      <c r="AH1347" s="8">
        <f t="shared" si="259"/>
        <v>12</v>
      </c>
      <c r="AI1347" s="5" t="str">
        <f t="shared" si="260"/>
        <v>Dec</v>
      </c>
      <c r="AJ1347" s="5" t="str">
        <f t="shared" si="261"/>
        <v>Wednesday</v>
      </c>
    </row>
    <row r="1348" spans="1:36" x14ac:dyDescent="0.3">
      <c r="A1348" s="5" t="s">
        <v>1382</v>
      </c>
      <c r="B1348" s="6">
        <v>45597</v>
      </c>
      <c r="C1348" s="7">
        <v>0.4513888888888889</v>
      </c>
      <c r="D1348" s="5" t="s">
        <v>1813</v>
      </c>
      <c r="E1348" s="5" t="s">
        <v>2048</v>
      </c>
      <c r="F1348" s="5" t="s">
        <v>1761</v>
      </c>
      <c r="G1348" s="5" t="s">
        <v>2256</v>
      </c>
      <c r="H1348" s="5" t="s">
        <v>2261</v>
      </c>
      <c r="I1348" s="5" t="s">
        <v>2260</v>
      </c>
      <c r="J1348" s="5" t="s">
        <v>2265</v>
      </c>
      <c r="K1348" s="8">
        <v>5</v>
      </c>
      <c r="L1348" s="9">
        <v>200</v>
      </c>
      <c r="M1348" s="10">
        <v>0</v>
      </c>
      <c r="N1348" s="9">
        <f t="shared" si="262"/>
        <v>1000</v>
      </c>
      <c r="O1348" s="9">
        <f t="shared" si="252"/>
        <v>1000</v>
      </c>
      <c r="P1348" s="5" t="s">
        <v>1761</v>
      </c>
      <c r="Q1348" s="5" t="s">
        <v>2272</v>
      </c>
      <c r="R1348" s="5" t="s">
        <v>2276</v>
      </c>
      <c r="S1348" s="5" t="s">
        <v>2287</v>
      </c>
      <c r="T1348" s="5" t="s">
        <v>2288</v>
      </c>
      <c r="U1348" s="8">
        <v>1</v>
      </c>
      <c r="V1348" s="8">
        <v>94</v>
      </c>
      <c r="W1348" s="8">
        <v>41</v>
      </c>
      <c r="X1348" s="9">
        <v>105.86</v>
      </c>
      <c r="Y1348" s="9">
        <f t="shared" si="253"/>
        <v>470.70000000000005</v>
      </c>
      <c r="Z1348" s="5" t="s">
        <v>1761</v>
      </c>
      <c r="AA1348" s="5" t="s">
        <v>2297</v>
      </c>
      <c r="AB1348" s="9">
        <f t="shared" si="254"/>
        <v>1000</v>
      </c>
      <c r="AC1348" s="9">
        <f t="shared" si="255"/>
        <v>0</v>
      </c>
      <c r="AD1348" s="9">
        <f t="shared" si="256"/>
        <v>1000</v>
      </c>
      <c r="AE1348" s="9">
        <f t="shared" si="257"/>
        <v>529.29999999999995</v>
      </c>
      <c r="AF1348" s="9">
        <f t="shared" si="263"/>
        <v>470.70000000000005</v>
      </c>
      <c r="AG1348" s="8">
        <f t="shared" si="258"/>
        <v>2024</v>
      </c>
      <c r="AH1348" s="8">
        <f t="shared" si="259"/>
        <v>11</v>
      </c>
      <c r="AI1348" s="5" t="str">
        <f t="shared" si="260"/>
        <v>Nov</v>
      </c>
      <c r="AJ1348" s="5" t="str">
        <f t="shared" si="261"/>
        <v>Friday</v>
      </c>
    </row>
    <row r="1349" spans="1:36" x14ac:dyDescent="0.3">
      <c r="A1349" s="5" t="s">
        <v>1383</v>
      </c>
      <c r="B1349" s="6">
        <v>45463</v>
      </c>
      <c r="C1349" s="7">
        <v>0.88541666666666663</v>
      </c>
      <c r="D1349" s="5" t="s">
        <v>1815</v>
      </c>
      <c r="E1349" s="5" t="s">
        <v>2044</v>
      </c>
      <c r="F1349" s="5" t="s">
        <v>2239</v>
      </c>
      <c r="G1349" s="5" t="s">
        <v>2250</v>
      </c>
      <c r="H1349" s="5" t="s">
        <v>2259</v>
      </c>
      <c r="I1349" s="5" t="s">
        <v>2262</v>
      </c>
      <c r="J1349" s="5" t="s">
        <v>1761</v>
      </c>
      <c r="K1349" s="8">
        <v>1</v>
      </c>
      <c r="L1349" s="9">
        <v>80</v>
      </c>
      <c r="M1349" s="10">
        <v>0</v>
      </c>
      <c r="N1349" s="9">
        <f t="shared" si="262"/>
        <v>80</v>
      </c>
      <c r="O1349" s="9">
        <f t="shared" si="252"/>
        <v>80</v>
      </c>
      <c r="P1349" s="5" t="s">
        <v>2268</v>
      </c>
      <c r="Q1349" s="5" t="s">
        <v>2270</v>
      </c>
      <c r="R1349" s="5" t="s">
        <v>2273</v>
      </c>
      <c r="S1349" s="5" t="s">
        <v>2282</v>
      </c>
      <c r="T1349" s="5" t="s">
        <v>2290</v>
      </c>
      <c r="U1349" s="8">
        <v>4</v>
      </c>
      <c r="V1349" s="8">
        <v>61</v>
      </c>
      <c r="W1349" s="8">
        <v>13</v>
      </c>
      <c r="X1349" s="9">
        <v>47.9</v>
      </c>
      <c r="Y1349" s="9">
        <f t="shared" si="253"/>
        <v>32.1</v>
      </c>
      <c r="Z1349" s="5" t="s">
        <v>2293</v>
      </c>
      <c r="AA1349" s="5" t="s">
        <v>2296</v>
      </c>
      <c r="AB1349" s="9">
        <f t="shared" si="254"/>
        <v>80</v>
      </c>
      <c r="AC1349" s="9">
        <f t="shared" si="255"/>
        <v>0</v>
      </c>
      <c r="AD1349" s="9">
        <f t="shared" si="256"/>
        <v>80</v>
      </c>
      <c r="AE1349" s="9">
        <f t="shared" si="257"/>
        <v>47.9</v>
      </c>
      <c r="AF1349" s="9">
        <f t="shared" si="263"/>
        <v>32.1</v>
      </c>
      <c r="AG1349" s="8">
        <f t="shared" si="258"/>
        <v>2024</v>
      </c>
      <c r="AH1349" s="8">
        <f t="shared" si="259"/>
        <v>6</v>
      </c>
      <c r="AI1349" s="5" t="str">
        <f t="shared" si="260"/>
        <v>Jun</v>
      </c>
      <c r="AJ1349" s="5" t="str">
        <f t="shared" si="261"/>
        <v>Thursday</v>
      </c>
    </row>
    <row r="1350" spans="1:36" x14ac:dyDescent="0.3">
      <c r="A1350" s="5" t="s">
        <v>1384</v>
      </c>
      <c r="B1350" s="6">
        <v>45567</v>
      </c>
      <c r="C1350" s="7">
        <v>0.64583333333333337</v>
      </c>
      <c r="D1350" s="5" t="s">
        <v>1925</v>
      </c>
      <c r="E1350" s="5" t="s">
        <v>2173</v>
      </c>
      <c r="F1350" s="5" t="s">
        <v>2240</v>
      </c>
      <c r="G1350" s="5" t="s">
        <v>2246</v>
      </c>
      <c r="H1350" s="5" t="s">
        <v>2259</v>
      </c>
      <c r="I1350" s="5" t="s">
        <v>2262</v>
      </c>
      <c r="J1350" s="5" t="s">
        <v>2264</v>
      </c>
      <c r="K1350" s="8">
        <v>2</v>
      </c>
      <c r="L1350" s="9">
        <v>100</v>
      </c>
      <c r="M1350" s="10">
        <v>0</v>
      </c>
      <c r="N1350" s="9">
        <f t="shared" si="262"/>
        <v>200</v>
      </c>
      <c r="O1350" s="9">
        <f t="shared" si="252"/>
        <v>200</v>
      </c>
      <c r="P1350" s="5" t="s">
        <v>2267</v>
      </c>
      <c r="Q1350" s="5" t="s">
        <v>1761</v>
      </c>
      <c r="R1350" s="5" t="s">
        <v>2279</v>
      </c>
      <c r="S1350" s="5" t="s">
        <v>2287</v>
      </c>
      <c r="T1350" s="5" t="s">
        <v>2288</v>
      </c>
      <c r="U1350" s="8">
        <v>2</v>
      </c>
      <c r="V1350" s="8">
        <v>337</v>
      </c>
      <c r="W1350" s="8">
        <v>48</v>
      </c>
      <c r="X1350" s="9">
        <v>35.68</v>
      </c>
      <c r="Y1350" s="9">
        <f t="shared" si="253"/>
        <v>128.63999999999999</v>
      </c>
      <c r="Z1350" s="5" t="s">
        <v>2293</v>
      </c>
      <c r="AA1350" s="5" t="s">
        <v>2299</v>
      </c>
      <c r="AB1350" s="9">
        <f t="shared" si="254"/>
        <v>200</v>
      </c>
      <c r="AC1350" s="9">
        <f t="shared" si="255"/>
        <v>0</v>
      </c>
      <c r="AD1350" s="9">
        <f t="shared" si="256"/>
        <v>200</v>
      </c>
      <c r="AE1350" s="9">
        <f t="shared" si="257"/>
        <v>71.36</v>
      </c>
      <c r="AF1350" s="9">
        <f t="shared" si="263"/>
        <v>128.63999999999999</v>
      </c>
      <c r="AG1350" s="8">
        <f t="shared" si="258"/>
        <v>2024</v>
      </c>
      <c r="AH1350" s="8">
        <f t="shared" si="259"/>
        <v>10</v>
      </c>
      <c r="AI1350" s="5" t="str">
        <f t="shared" si="260"/>
        <v>Oct</v>
      </c>
      <c r="AJ1350" s="5" t="str">
        <f t="shared" si="261"/>
        <v>Wednesday</v>
      </c>
    </row>
    <row r="1351" spans="1:36" x14ac:dyDescent="0.3">
      <c r="A1351" s="5" t="s">
        <v>1385</v>
      </c>
      <c r="B1351" s="6">
        <v>45477</v>
      </c>
      <c r="C1351" s="7">
        <v>0.52083333333333337</v>
      </c>
      <c r="D1351" s="5" t="s">
        <v>1871</v>
      </c>
      <c r="E1351" s="5" t="s">
        <v>2064</v>
      </c>
      <c r="F1351" s="5" t="s">
        <v>2238</v>
      </c>
      <c r="G1351" s="5" t="s">
        <v>2244</v>
      </c>
      <c r="H1351" s="5" t="s">
        <v>2257</v>
      </c>
      <c r="I1351" s="5" t="s">
        <v>2262</v>
      </c>
      <c r="J1351" s="5" t="s">
        <v>2266</v>
      </c>
      <c r="K1351" s="8">
        <v>2</v>
      </c>
      <c r="L1351" s="9">
        <v>125</v>
      </c>
      <c r="M1351" s="10">
        <v>0.15</v>
      </c>
      <c r="N1351" s="9">
        <f t="shared" si="262"/>
        <v>250</v>
      </c>
      <c r="O1351" s="9">
        <f t="shared" si="252"/>
        <v>212.5</v>
      </c>
      <c r="P1351" s="5" t="s">
        <v>1761</v>
      </c>
      <c r="Q1351" s="5" t="s">
        <v>1761</v>
      </c>
      <c r="R1351" s="5" t="s">
        <v>2279</v>
      </c>
      <c r="S1351" s="5" t="s">
        <v>2287</v>
      </c>
      <c r="T1351" s="5" t="s">
        <v>2288</v>
      </c>
      <c r="U1351" s="19">
        <v>3</v>
      </c>
      <c r="V1351" s="8">
        <v>462</v>
      </c>
      <c r="W1351" s="8">
        <v>56</v>
      </c>
      <c r="X1351" s="9">
        <v>63.52</v>
      </c>
      <c r="Y1351" s="9">
        <f t="shared" si="253"/>
        <v>85.46</v>
      </c>
      <c r="Z1351" s="5" t="s">
        <v>1761</v>
      </c>
      <c r="AA1351" s="5" t="s">
        <v>1761</v>
      </c>
      <c r="AB1351" s="9">
        <f t="shared" si="254"/>
        <v>250</v>
      </c>
      <c r="AC1351" s="9">
        <f t="shared" si="255"/>
        <v>37.5</v>
      </c>
      <c r="AD1351" s="9">
        <f t="shared" si="256"/>
        <v>212.5</v>
      </c>
      <c r="AE1351" s="9">
        <f t="shared" si="257"/>
        <v>127.04</v>
      </c>
      <c r="AF1351" s="9">
        <f t="shared" si="263"/>
        <v>85.46</v>
      </c>
      <c r="AG1351" s="8">
        <f t="shared" si="258"/>
        <v>2024</v>
      </c>
      <c r="AH1351" s="8">
        <f t="shared" si="259"/>
        <v>7</v>
      </c>
      <c r="AI1351" s="5" t="str">
        <f t="shared" si="260"/>
        <v>Jul</v>
      </c>
      <c r="AJ1351" s="5" t="str">
        <f t="shared" si="261"/>
        <v>Thursday</v>
      </c>
    </row>
    <row r="1352" spans="1:36" x14ac:dyDescent="0.3">
      <c r="A1352" s="5" t="s">
        <v>1386</v>
      </c>
      <c r="B1352" s="6">
        <v>45320</v>
      </c>
      <c r="C1352" s="7">
        <v>0.47916666666666669</v>
      </c>
      <c r="D1352" s="5" t="s">
        <v>1883</v>
      </c>
      <c r="E1352" s="5" t="s">
        <v>1981</v>
      </c>
      <c r="F1352" s="5" t="s">
        <v>2240</v>
      </c>
      <c r="G1352" s="5" t="s">
        <v>2244</v>
      </c>
      <c r="H1352" s="5" t="s">
        <v>2257</v>
      </c>
      <c r="I1352" s="5" t="s">
        <v>2262</v>
      </c>
      <c r="J1352" s="5" t="s">
        <v>1761</v>
      </c>
      <c r="K1352" s="8">
        <v>1</v>
      </c>
      <c r="L1352" s="9">
        <v>120</v>
      </c>
      <c r="M1352" s="10">
        <v>0.05</v>
      </c>
      <c r="N1352" s="9">
        <f t="shared" si="262"/>
        <v>120</v>
      </c>
      <c r="O1352" s="9">
        <f t="shared" si="252"/>
        <v>114</v>
      </c>
      <c r="P1352" s="5" t="s">
        <v>2268</v>
      </c>
      <c r="Q1352" s="5" t="s">
        <v>2270</v>
      </c>
      <c r="R1352" s="5" t="s">
        <v>2275</v>
      </c>
      <c r="S1352" s="5" t="s">
        <v>2283</v>
      </c>
      <c r="T1352" s="5" t="s">
        <v>2288</v>
      </c>
      <c r="U1352" s="8">
        <v>5</v>
      </c>
      <c r="V1352" s="8">
        <v>160</v>
      </c>
      <c r="W1352" s="8">
        <v>26</v>
      </c>
      <c r="X1352" s="9">
        <v>71.7</v>
      </c>
      <c r="Y1352" s="9">
        <f t="shared" si="253"/>
        <v>42.3</v>
      </c>
      <c r="Z1352" s="5" t="s">
        <v>2293</v>
      </c>
      <c r="AA1352" s="5" t="s">
        <v>2298</v>
      </c>
      <c r="AB1352" s="9">
        <f t="shared" si="254"/>
        <v>120</v>
      </c>
      <c r="AC1352" s="9">
        <f t="shared" si="255"/>
        <v>6</v>
      </c>
      <c r="AD1352" s="9">
        <f t="shared" si="256"/>
        <v>114</v>
      </c>
      <c r="AE1352" s="9">
        <f t="shared" si="257"/>
        <v>71.7</v>
      </c>
      <c r="AF1352" s="9">
        <f t="shared" si="263"/>
        <v>42.3</v>
      </c>
      <c r="AG1352" s="8">
        <f t="shared" si="258"/>
        <v>2024</v>
      </c>
      <c r="AH1352" s="8">
        <f t="shared" si="259"/>
        <v>1</v>
      </c>
      <c r="AI1352" s="5" t="str">
        <f t="shared" si="260"/>
        <v>Jan</v>
      </c>
      <c r="AJ1352" s="5" t="str">
        <f t="shared" si="261"/>
        <v>Monday</v>
      </c>
    </row>
    <row r="1353" spans="1:36" x14ac:dyDescent="0.3">
      <c r="A1353" s="5" t="s">
        <v>1387</v>
      </c>
      <c r="B1353" s="6">
        <v>45634</v>
      </c>
      <c r="C1353" s="7">
        <v>0.5625</v>
      </c>
      <c r="D1353" s="5" t="s">
        <v>1823</v>
      </c>
      <c r="E1353" s="5" t="s">
        <v>2039</v>
      </c>
      <c r="F1353" s="5" t="s">
        <v>2239</v>
      </c>
      <c r="G1353" s="5" t="s">
        <v>2243</v>
      </c>
      <c r="H1353" s="5" t="s">
        <v>2258</v>
      </c>
      <c r="I1353" s="5" t="s">
        <v>2260</v>
      </c>
      <c r="J1353" s="5" t="s">
        <v>2264</v>
      </c>
      <c r="K1353" s="8">
        <v>1</v>
      </c>
      <c r="L1353" s="9">
        <v>65</v>
      </c>
      <c r="M1353" s="10">
        <v>0</v>
      </c>
      <c r="N1353" s="9">
        <f t="shared" si="262"/>
        <v>65</v>
      </c>
      <c r="O1353" s="9">
        <f t="shared" si="252"/>
        <v>65</v>
      </c>
      <c r="P1353" s="5" t="s">
        <v>2267</v>
      </c>
      <c r="Q1353" s="5" t="s">
        <v>2271</v>
      </c>
      <c r="R1353" s="5" t="s">
        <v>2277</v>
      </c>
      <c r="S1353" s="5" t="s">
        <v>2286</v>
      </c>
      <c r="T1353" s="5" t="s">
        <v>2290</v>
      </c>
      <c r="U1353" s="19">
        <v>3</v>
      </c>
      <c r="V1353" s="8">
        <v>426</v>
      </c>
      <c r="W1353" s="8">
        <v>55</v>
      </c>
      <c r="X1353" s="9">
        <v>41.38</v>
      </c>
      <c r="Y1353" s="9">
        <f t="shared" si="253"/>
        <v>23.619999999999997</v>
      </c>
      <c r="Z1353" s="5" t="s">
        <v>1761</v>
      </c>
      <c r="AA1353" s="5" t="s">
        <v>2298</v>
      </c>
      <c r="AB1353" s="9">
        <f t="shared" si="254"/>
        <v>65</v>
      </c>
      <c r="AC1353" s="9">
        <f t="shared" si="255"/>
        <v>0</v>
      </c>
      <c r="AD1353" s="9">
        <f t="shared" si="256"/>
        <v>65</v>
      </c>
      <c r="AE1353" s="9">
        <f t="shared" si="257"/>
        <v>41.38</v>
      </c>
      <c r="AF1353" s="9">
        <f t="shared" si="263"/>
        <v>23.619999999999997</v>
      </c>
      <c r="AG1353" s="8">
        <f t="shared" si="258"/>
        <v>2024</v>
      </c>
      <c r="AH1353" s="8">
        <f t="shared" si="259"/>
        <v>12</v>
      </c>
      <c r="AI1353" s="5" t="str">
        <f t="shared" si="260"/>
        <v>Dec</v>
      </c>
      <c r="AJ1353" s="5" t="str">
        <f t="shared" si="261"/>
        <v>Sunday</v>
      </c>
    </row>
    <row r="1354" spans="1:36" x14ac:dyDescent="0.3">
      <c r="A1354" s="5" t="s">
        <v>1388</v>
      </c>
      <c r="B1354" s="6">
        <v>45456</v>
      </c>
      <c r="C1354" s="7">
        <v>0.46875</v>
      </c>
      <c r="D1354" s="5" t="s">
        <v>1932</v>
      </c>
      <c r="E1354" s="5" t="s">
        <v>2232</v>
      </c>
      <c r="F1354" s="5" t="s">
        <v>2239</v>
      </c>
      <c r="G1354" s="5" t="s">
        <v>2251</v>
      </c>
      <c r="H1354" s="5" t="s">
        <v>2258</v>
      </c>
      <c r="I1354" s="5" t="s">
        <v>2260</v>
      </c>
      <c r="J1354" s="5" t="s">
        <v>1761</v>
      </c>
      <c r="K1354" s="8">
        <v>1</v>
      </c>
      <c r="L1354" s="9">
        <v>110</v>
      </c>
      <c r="M1354" s="10">
        <v>0</v>
      </c>
      <c r="N1354" s="9">
        <f t="shared" si="262"/>
        <v>110</v>
      </c>
      <c r="O1354" s="9">
        <f t="shared" si="252"/>
        <v>110</v>
      </c>
      <c r="P1354" s="5" t="s">
        <v>2269</v>
      </c>
      <c r="Q1354" s="5" t="s">
        <v>2270</v>
      </c>
      <c r="R1354" s="5" t="s">
        <v>2276</v>
      </c>
      <c r="S1354" s="5" t="s">
        <v>2282</v>
      </c>
      <c r="T1354" s="5" t="s">
        <v>2289</v>
      </c>
      <c r="U1354" s="8">
        <v>2</v>
      </c>
      <c r="V1354" s="8">
        <v>101</v>
      </c>
      <c r="W1354" s="8">
        <v>57</v>
      </c>
      <c r="X1354" s="9">
        <v>46.47</v>
      </c>
      <c r="Y1354" s="9">
        <f t="shared" si="253"/>
        <v>63.53</v>
      </c>
      <c r="Z1354" s="5" t="s">
        <v>2295</v>
      </c>
      <c r="AA1354" s="5" t="s">
        <v>2298</v>
      </c>
      <c r="AB1354" s="9">
        <f t="shared" si="254"/>
        <v>110</v>
      </c>
      <c r="AC1354" s="9">
        <f t="shared" si="255"/>
        <v>0</v>
      </c>
      <c r="AD1354" s="9">
        <f t="shared" si="256"/>
        <v>110</v>
      </c>
      <c r="AE1354" s="9">
        <f t="shared" si="257"/>
        <v>46.47</v>
      </c>
      <c r="AF1354" s="9">
        <f t="shared" si="263"/>
        <v>63.53</v>
      </c>
      <c r="AG1354" s="8">
        <f t="shared" si="258"/>
        <v>2024</v>
      </c>
      <c r="AH1354" s="8">
        <f t="shared" si="259"/>
        <v>6</v>
      </c>
      <c r="AI1354" s="5" t="str">
        <f t="shared" si="260"/>
        <v>Jun</v>
      </c>
      <c r="AJ1354" s="5" t="str">
        <f t="shared" si="261"/>
        <v>Thursday</v>
      </c>
    </row>
    <row r="1355" spans="1:36" x14ac:dyDescent="0.3">
      <c r="A1355" s="5" t="s">
        <v>1389</v>
      </c>
      <c r="B1355" s="6">
        <v>45450</v>
      </c>
      <c r="C1355" s="7">
        <v>0.61458333333333337</v>
      </c>
      <c r="D1355" s="5" t="s">
        <v>1888</v>
      </c>
      <c r="E1355" s="5" t="s">
        <v>1761</v>
      </c>
      <c r="F1355" s="5" t="s">
        <v>2240</v>
      </c>
      <c r="G1355" s="5" t="s">
        <v>2247</v>
      </c>
      <c r="H1355" s="5" t="s">
        <v>2257</v>
      </c>
      <c r="I1355" s="5" t="s">
        <v>2262</v>
      </c>
      <c r="J1355" s="5" t="s">
        <v>2265</v>
      </c>
      <c r="K1355" s="8">
        <v>2</v>
      </c>
      <c r="L1355" s="9">
        <v>105</v>
      </c>
      <c r="M1355" s="10">
        <v>0</v>
      </c>
      <c r="N1355" s="9">
        <f t="shared" si="262"/>
        <v>210</v>
      </c>
      <c r="O1355" s="9">
        <f t="shared" si="252"/>
        <v>210</v>
      </c>
      <c r="P1355" s="5" t="s">
        <v>2267</v>
      </c>
      <c r="Q1355" s="5" t="s">
        <v>1761</v>
      </c>
      <c r="R1355" s="5" t="s">
        <v>2279</v>
      </c>
      <c r="S1355" s="5" t="s">
        <v>2285</v>
      </c>
      <c r="T1355" s="5" t="s">
        <v>2290</v>
      </c>
      <c r="U1355" s="8">
        <v>4</v>
      </c>
      <c r="V1355" s="19">
        <v>244</v>
      </c>
      <c r="W1355" s="8">
        <v>16</v>
      </c>
      <c r="X1355" s="9">
        <v>56.01</v>
      </c>
      <c r="Y1355" s="9">
        <f t="shared" si="253"/>
        <v>97.98</v>
      </c>
      <c r="Z1355" s="5" t="s">
        <v>2292</v>
      </c>
      <c r="AA1355" s="5" t="s">
        <v>2296</v>
      </c>
      <c r="AB1355" s="9">
        <f t="shared" si="254"/>
        <v>210</v>
      </c>
      <c r="AC1355" s="9">
        <f t="shared" si="255"/>
        <v>0</v>
      </c>
      <c r="AD1355" s="9">
        <f t="shared" si="256"/>
        <v>210</v>
      </c>
      <c r="AE1355" s="9">
        <f t="shared" si="257"/>
        <v>112.02</v>
      </c>
      <c r="AF1355" s="9">
        <f t="shared" si="263"/>
        <v>97.98</v>
      </c>
      <c r="AG1355" s="8">
        <f t="shared" si="258"/>
        <v>2024</v>
      </c>
      <c r="AH1355" s="8">
        <f t="shared" si="259"/>
        <v>6</v>
      </c>
      <c r="AI1355" s="5" t="str">
        <f t="shared" si="260"/>
        <v>Jun</v>
      </c>
      <c r="AJ1355" s="5" t="str">
        <f t="shared" si="261"/>
        <v>Friday</v>
      </c>
    </row>
    <row r="1356" spans="1:36" x14ac:dyDescent="0.3">
      <c r="A1356" s="5" t="s">
        <v>1390</v>
      </c>
      <c r="B1356" s="6">
        <v>45645</v>
      </c>
      <c r="C1356" s="7">
        <v>0.70833333333333337</v>
      </c>
      <c r="D1356" s="5" t="s">
        <v>1902</v>
      </c>
      <c r="E1356" s="5" t="s">
        <v>2149</v>
      </c>
      <c r="F1356" s="5" t="s">
        <v>1761</v>
      </c>
      <c r="G1356" s="5" t="s">
        <v>2248</v>
      </c>
      <c r="H1356" s="5" t="s">
        <v>2257</v>
      </c>
      <c r="I1356" s="5" t="s">
        <v>2262</v>
      </c>
      <c r="J1356" s="5" t="s">
        <v>1761</v>
      </c>
      <c r="K1356" s="8">
        <v>3</v>
      </c>
      <c r="L1356" s="9">
        <v>155</v>
      </c>
      <c r="M1356" s="10">
        <v>0.05</v>
      </c>
      <c r="N1356" s="9">
        <f t="shared" si="262"/>
        <v>465</v>
      </c>
      <c r="O1356" s="9">
        <f t="shared" si="252"/>
        <v>441.75</v>
      </c>
      <c r="P1356" s="5" t="s">
        <v>1761</v>
      </c>
      <c r="Q1356" s="5" t="s">
        <v>1761</v>
      </c>
      <c r="R1356" s="5" t="s">
        <v>2276</v>
      </c>
      <c r="S1356" s="5" t="s">
        <v>2284</v>
      </c>
      <c r="T1356" s="5" t="s">
        <v>2289</v>
      </c>
      <c r="U1356" s="8">
        <v>4</v>
      </c>
      <c r="V1356" s="8">
        <v>255</v>
      </c>
      <c r="W1356" s="8">
        <v>50</v>
      </c>
      <c r="X1356" s="9">
        <v>77.400000000000006</v>
      </c>
      <c r="Y1356" s="9">
        <f t="shared" si="253"/>
        <v>209.54999999999998</v>
      </c>
      <c r="Z1356" s="5" t="s">
        <v>2294</v>
      </c>
      <c r="AA1356" s="5" t="s">
        <v>2296</v>
      </c>
      <c r="AB1356" s="9">
        <f t="shared" si="254"/>
        <v>465</v>
      </c>
      <c r="AC1356" s="9">
        <f t="shared" si="255"/>
        <v>23.25</v>
      </c>
      <c r="AD1356" s="9">
        <f t="shared" si="256"/>
        <v>441.75</v>
      </c>
      <c r="AE1356" s="9">
        <f t="shared" si="257"/>
        <v>232.20000000000002</v>
      </c>
      <c r="AF1356" s="9">
        <f t="shared" si="263"/>
        <v>209.54999999999998</v>
      </c>
      <c r="AG1356" s="8">
        <f t="shared" si="258"/>
        <v>2024</v>
      </c>
      <c r="AH1356" s="8">
        <f t="shared" si="259"/>
        <v>12</v>
      </c>
      <c r="AI1356" s="5" t="str">
        <f t="shared" si="260"/>
        <v>Dec</v>
      </c>
      <c r="AJ1356" s="5" t="str">
        <f t="shared" si="261"/>
        <v>Thursday</v>
      </c>
    </row>
    <row r="1357" spans="1:36" x14ac:dyDescent="0.3">
      <c r="A1357" s="5" t="s">
        <v>1391</v>
      </c>
      <c r="B1357" s="18">
        <v>45468</v>
      </c>
      <c r="C1357" s="7">
        <v>0.36458333333333331</v>
      </c>
      <c r="D1357" s="5" t="s">
        <v>1839</v>
      </c>
      <c r="E1357" s="5" t="s">
        <v>1963</v>
      </c>
      <c r="F1357" s="5" t="s">
        <v>2240</v>
      </c>
      <c r="G1357" s="5" t="s">
        <v>2249</v>
      </c>
      <c r="H1357" s="5" t="s">
        <v>2257</v>
      </c>
      <c r="I1357" s="5" t="s">
        <v>2263</v>
      </c>
      <c r="J1357" s="5" t="s">
        <v>1761</v>
      </c>
      <c r="K1357" s="8">
        <v>1</v>
      </c>
      <c r="L1357" s="9">
        <v>170</v>
      </c>
      <c r="M1357" s="10">
        <v>0</v>
      </c>
      <c r="N1357" s="9">
        <f t="shared" si="262"/>
        <v>170</v>
      </c>
      <c r="O1357" s="9">
        <f t="shared" si="252"/>
        <v>170</v>
      </c>
      <c r="P1357" s="5" t="s">
        <v>2267</v>
      </c>
      <c r="Q1357" s="5" t="s">
        <v>2270</v>
      </c>
      <c r="R1357" s="5" t="s">
        <v>2279</v>
      </c>
      <c r="S1357" s="5" t="s">
        <v>2285</v>
      </c>
      <c r="T1357" s="5" t="s">
        <v>2288</v>
      </c>
      <c r="U1357" s="8">
        <v>2</v>
      </c>
      <c r="V1357" s="19">
        <v>244</v>
      </c>
      <c r="W1357" s="19">
        <v>34</v>
      </c>
      <c r="X1357" s="9">
        <v>68.66</v>
      </c>
      <c r="Y1357" s="9">
        <f t="shared" si="253"/>
        <v>101.34</v>
      </c>
      <c r="Z1357" s="5" t="s">
        <v>2293</v>
      </c>
      <c r="AA1357" s="5" t="s">
        <v>2297</v>
      </c>
      <c r="AB1357" s="9">
        <f t="shared" si="254"/>
        <v>170</v>
      </c>
      <c r="AC1357" s="9">
        <f t="shared" si="255"/>
        <v>0</v>
      </c>
      <c r="AD1357" s="9">
        <f t="shared" si="256"/>
        <v>170</v>
      </c>
      <c r="AE1357" s="9">
        <f t="shared" si="257"/>
        <v>68.66</v>
      </c>
      <c r="AF1357" s="9">
        <f t="shared" si="263"/>
        <v>101.34</v>
      </c>
      <c r="AG1357" s="8">
        <f t="shared" si="258"/>
        <v>2024</v>
      </c>
      <c r="AH1357" s="8">
        <f t="shared" si="259"/>
        <v>6</v>
      </c>
      <c r="AI1357" s="5" t="str">
        <f t="shared" si="260"/>
        <v>Jun</v>
      </c>
      <c r="AJ1357" s="5" t="str">
        <f t="shared" si="261"/>
        <v>Tuesday</v>
      </c>
    </row>
    <row r="1358" spans="1:36" x14ac:dyDescent="0.3">
      <c r="A1358" s="5" t="s">
        <v>1392</v>
      </c>
      <c r="B1358" s="6">
        <v>45423</v>
      </c>
      <c r="C1358" s="7">
        <v>0.48958333333333331</v>
      </c>
      <c r="D1358" s="5" t="s">
        <v>1833</v>
      </c>
      <c r="E1358" s="5" t="s">
        <v>2202</v>
      </c>
      <c r="F1358" s="5" t="s">
        <v>2240</v>
      </c>
      <c r="G1358" s="5" t="s">
        <v>2247</v>
      </c>
      <c r="H1358" s="5" t="s">
        <v>2257</v>
      </c>
      <c r="I1358" s="5" t="s">
        <v>2262</v>
      </c>
      <c r="J1358" s="5" t="s">
        <v>2264</v>
      </c>
      <c r="K1358" s="8">
        <v>1</v>
      </c>
      <c r="L1358" s="9">
        <v>105</v>
      </c>
      <c r="M1358" s="10">
        <v>0.1</v>
      </c>
      <c r="N1358" s="9">
        <f t="shared" si="262"/>
        <v>105</v>
      </c>
      <c r="O1358" s="9">
        <f t="shared" si="252"/>
        <v>94.5</v>
      </c>
      <c r="P1358" s="5" t="s">
        <v>2268</v>
      </c>
      <c r="Q1358" s="5" t="s">
        <v>2270</v>
      </c>
      <c r="R1358" s="5" t="s">
        <v>2273</v>
      </c>
      <c r="S1358" s="5" t="s">
        <v>2285</v>
      </c>
      <c r="T1358" s="5" t="s">
        <v>2288</v>
      </c>
      <c r="U1358" s="8">
        <v>1</v>
      </c>
      <c r="V1358" s="8">
        <v>134</v>
      </c>
      <c r="W1358" s="8">
        <v>36</v>
      </c>
      <c r="X1358" s="9">
        <v>35.26</v>
      </c>
      <c r="Y1358" s="9">
        <f t="shared" si="253"/>
        <v>59.24</v>
      </c>
      <c r="Z1358" s="5" t="s">
        <v>2294</v>
      </c>
      <c r="AA1358" s="5" t="s">
        <v>2298</v>
      </c>
      <c r="AB1358" s="9">
        <f t="shared" si="254"/>
        <v>105</v>
      </c>
      <c r="AC1358" s="9">
        <f t="shared" si="255"/>
        <v>10.5</v>
      </c>
      <c r="AD1358" s="9">
        <f t="shared" si="256"/>
        <v>94.5</v>
      </c>
      <c r="AE1358" s="9">
        <f t="shared" si="257"/>
        <v>35.26</v>
      </c>
      <c r="AF1358" s="9">
        <f t="shared" si="263"/>
        <v>59.24</v>
      </c>
      <c r="AG1358" s="8">
        <f t="shared" si="258"/>
        <v>2024</v>
      </c>
      <c r="AH1358" s="8">
        <f t="shared" si="259"/>
        <v>5</v>
      </c>
      <c r="AI1358" s="5" t="str">
        <f t="shared" si="260"/>
        <v>May</v>
      </c>
      <c r="AJ1358" s="5" t="str">
        <f t="shared" si="261"/>
        <v>Saturday</v>
      </c>
    </row>
    <row r="1359" spans="1:36" x14ac:dyDescent="0.3">
      <c r="A1359" s="5" t="s">
        <v>1393</v>
      </c>
      <c r="B1359" s="6">
        <v>45562</v>
      </c>
      <c r="C1359" s="7">
        <v>0.84027777777777779</v>
      </c>
      <c r="D1359" s="5" t="s">
        <v>1919</v>
      </c>
      <c r="E1359" s="5" t="s">
        <v>2032</v>
      </c>
      <c r="F1359" s="5" t="s">
        <v>2240</v>
      </c>
      <c r="G1359" s="5" t="s">
        <v>2249</v>
      </c>
      <c r="H1359" s="5" t="s">
        <v>2257</v>
      </c>
      <c r="I1359" s="5" t="s">
        <v>2263</v>
      </c>
      <c r="J1359" s="5" t="s">
        <v>2264</v>
      </c>
      <c r="K1359" s="8">
        <v>2</v>
      </c>
      <c r="L1359" s="9">
        <v>170</v>
      </c>
      <c r="M1359" s="10">
        <v>0</v>
      </c>
      <c r="N1359" s="9">
        <f t="shared" si="262"/>
        <v>340</v>
      </c>
      <c r="O1359" s="9">
        <f t="shared" si="252"/>
        <v>340</v>
      </c>
      <c r="P1359" s="5" t="s">
        <v>1761</v>
      </c>
      <c r="Q1359" s="5" t="s">
        <v>2271</v>
      </c>
      <c r="R1359" s="5" t="s">
        <v>2276</v>
      </c>
      <c r="S1359" s="5" t="s">
        <v>2281</v>
      </c>
      <c r="T1359" s="5" t="s">
        <v>2288</v>
      </c>
      <c r="U1359" s="8">
        <v>5</v>
      </c>
      <c r="V1359" s="8">
        <v>176</v>
      </c>
      <c r="W1359" s="8">
        <v>21</v>
      </c>
      <c r="X1359" s="9">
        <v>93.85</v>
      </c>
      <c r="Y1359" s="9">
        <f t="shared" si="253"/>
        <v>152.30000000000001</v>
      </c>
      <c r="Z1359" s="5" t="s">
        <v>2293</v>
      </c>
      <c r="AA1359" s="5" t="s">
        <v>2296</v>
      </c>
      <c r="AB1359" s="9">
        <f t="shared" si="254"/>
        <v>340</v>
      </c>
      <c r="AC1359" s="9">
        <f t="shared" si="255"/>
        <v>0</v>
      </c>
      <c r="AD1359" s="9">
        <f t="shared" si="256"/>
        <v>340</v>
      </c>
      <c r="AE1359" s="9">
        <f t="shared" si="257"/>
        <v>187.7</v>
      </c>
      <c r="AF1359" s="9">
        <f t="shared" si="263"/>
        <v>152.30000000000001</v>
      </c>
      <c r="AG1359" s="8">
        <f t="shared" si="258"/>
        <v>2024</v>
      </c>
      <c r="AH1359" s="8">
        <f t="shared" si="259"/>
        <v>9</v>
      </c>
      <c r="AI1359" s="5" t="str">
        <f t="shared" si="260"/>
        <v>Sep</v>
      </c>
      <c r="AJ1359" s="5" t="str">
        <f t="shared" si="261"/>
        <v>Friday</v>
      </c>
    </row>
    <row r="1360" spans="1:36" x14ac:dyDescent="0.3">
      <c r="A1360" s="5" t="s">
        <v>1394</v>
      </c>
      <c r="B1360" s="6">
        <v>45537</v>
      </c>
      <c r="C1360" s="7">
        <v>0.59722222222222221</v>
      </c>
      <c r="D1360" s="5" t="s">
        <v>1764</v>
      </c>
      <c r="E1360" s="5" t="s">
        <v>2234</v>
      </c>
      <c r="F1360" s="5" t="s">
        <v>2238</v>
      </c>
      <c r="G1360" s="5" t="s">
        <v>2245</v>
      </c>
      <c r="H1360" s="5" t="s">
        <v>2257</v>
      </c>
      <c r="I1360" s="5" t="s">
        <v>2263</v>
      </c>
      <c r="J1360" s="5" t="s">
        <v>2266</v>
      </c>
      <c r="K1360" s="8">
        <v>1</v>
      </c>
      <c r="L1360" s="9">
        <v>150</v>
      </c>
      <c r="M1360" s="10">
        <v>0.1</v>
      </c>
      <c r="N1360" s="9">
        <f t="shared" si="262"/>
        <v>150</v>
      </c>
      <c r="O1360" s="9">
        <f t="shared" si="252"/>
        <v>135</v>
      </c>
      <c r="P1360" s="5" t="s">
        <v>2267</v>
      </c>
      <c r="Q1360" s="5" t="s">
        <v>1761</v>
      </c>
      <c r="R1360" s="5" t="s">
        <v>2277</v>
      </c>
      <c r="S1360" s="5" t="s">
        <v>2287</v>
      </c>
      <c r="T1360" s="5" t="s">
        <v>2290</v>
      </c>
      <c r="U1360" s="8">
        <v>3</v>
      </c>
      <c r="V1360" s="8">
        <v>343</v>
      </c>
      <c r="W1360" s="19">
        <v>36</v>
      </c>
      <c r="X1360" s="9">
        <v>65.599999999999994</v>
      </c>
      <c r="Y1360" s="9">
        <f t="shared" si="253"/>
        <v>69.400000000000006</v>
      </c>
      <c r="Z1360" s="5" t="s">
        <v>1761</v>
      </c>
      <c r="AA1360" s="5" t="s">
        <v>2296</v>
      </c>
      <c r="AB1360" s="9">
        <f t="shared" si="254"/>
        <v>150</v>
      </c>
      <c r="AC1360" s="9">
        <f t="shared" si="255"/>
        <v>15</v>
      </c>
      <c r="AD1360" s="9">
        <f t="shared" si="256"/>
        <v>135</v>
      </c>
      <c r="AE1360" s="9">
        <f t="shared" si="257"/>
        <v>65.599999999999994</v>
      </c>
      <c r="AF1360" s="9">
        <f t="shared" si="263"/>
        <v>69.400000000000006</v>
      </c>
      <c r="AG1360" s="8">
        <f t="shared" si="258"/>
        <v>2024</v>
      </c>
      <c r="AH1360" s="8">
        <f t="shared" si="259"/>
        <v>9</v>
      </c>
      <c r="AI1360" s="5" t="str">
        <f t="shared" si="260"/>
        <v>Sep</v>
      </c>
      <c r="AJ1360" s="5" t="str">
        <f t="shared" si="261"/>
        <v>Monday</v>
      </c>
    </row>
    <row r="1361" spans="1:36" x14ac:dyDescent="0.3">
      <c r="A1361" s="5" t="s">
        <v>1395</v>
      </c>
      <c r="B1361" s="6">
        <v>45526</v>
      </c>
      <c r="C1361" s="7">
        <v>0.50694444444444442</v>
      </c>
      <c r="D1361" s="5" t="s">
        <v>1790</v>
      </c>
      <c r="E1361" s="5" t="s">
        <v>2022</v>
      </c>
      <c r="F1361" s="5" t="s">
        <v>2239</v>
      </c>
      <c r="G1361" s="5" t="s">
        <v>2251</v>
      </c>
      <c r="H1361" s="5" t="s">
        <v>2258</v>
      </c>
      <c r="I1361" s="5" t="s">
        <v>2260</v>
      </c>
      <c r="J1361" s="5" t="s">
        <v>2266</v>
      </c>
      <c r="K1361" s="8">
        <v>2</v>
      </c>
      <c r="L1361" s="9">
        <v>100</v>
      </c>
      <c r="M1361" s="10">
        <v>0</v>
      </c>
      <c r="N1361" s="9">
        <f t="shared" si="262"/>
        <v>200</v>
      </c>
      <c r="O1361" s="9">
        <f t="shared" si="252"/>
        <v>200</v>
      </c>
      <c r="P1361" s="5" t="s">
        <v>2268</v>
      </c>
      <c r="Q1361" s="5" t="s">
        <v>2271</v>
      </c>
      <c r="R1361" s="5" t="s">
        <v>2273</v>
      </c>
      <c r="S1361" s="5" t="s">
        <v>2285</v>
      </c>
      <c r="T1361" s="5" t="s">
        <v>2289</v>
      </c>
      <c r="U1361" s="8">
        <v>2</v>
      </c>
      <c r="V1361" s="8">
        <v>471</v>
      </c>
      <c r="W1361" s="19">
        <v>37</v>
      </c>
      <c r="X1361" s="9">
        <v>38.93</v>
      </c>
      <c r="Y1361" s="9">
        <f t="shared" si="253"/>
        <v>122.14</v>
      </c>
      <c r="Z1361" s="5" t="s">
        <v>2293</v>
      </c>
      <c r="AA1361" s="5" t="s">
        <v>2298</v>
      </c>
      <c r="AB1361" s="9">
        <f t="shared" si="254"/>
        <v>200</v>
      </c>
      <c r="AC1361" s="9">
        <f t="shared" si="255"/>
        <v>0</v>
      </c>
      <c r="AD1361" s="9">
        <f t="shared" si="256"/>
        <v>200</v>
      </c>
      <c r="AE1361" s="9">
        <f t="shared" si="257"/>
        <v>77.86</v>
      </c>
      <c r="AF1361" s="9">
        <f t="shared" si="263"/>
        <v>122.14</v>
      </c>
      <c r="AG1361" s="8">
        <f t="shared" si="258"/>
        <v>2024</v>
      </c>
      <c r="AH1361" s="8">
        <f t="shared" si="259"/>
        <v>8</v>
      </c>
      <c r="AI1361" s="5" t="str">
        <f t="shared" si="260"/>
        <v>Aug</v>
      </c>
      <c r="AJ1361" s="5" t="str">
        <f t="shared" si="261"/>
        <v>Thursday</v>
      </c>
    </row>
    <row r="1362" spans="1:36" x14ac:dyDescent="0.3">
      <c r="A1362" s="5" t="s">
        <v>1396</v>
      </c>
      <c r="B1362" s="6">
        <v>45349</v>
      </c>
      <c r="C1362" s="7">
        <v>0.82291666666666663</v>
      </c>
      <c r="D1362" s="5" t="s">
        <v>1922</v>
      </c>
      <c r="E1362" s="5" t="s">
        <v>2160</v>
      </c>
      <c r="F1362" s="5" t="s">
        <v>2238</v>
      </c>
      <c r="G1362" s="5" t="s">
        <v>2255</v>
      </c>
      <c r="H1362" s="5" t="s">
        <v>2260</v>
      </c>
      <c r="I1362" s="5" t="s">
        <v>2260</v>
      </c>
      <c r="J1362" s="5" t="s">
        <v>2264</v>
      </c>
      <c r="K1362" s="8">
        <v>1</v>
      </c>
      <c r="L1362" s="9">
        <v>185</v>
      </c>
      <c r="M1362" s="10">
        <v>0.1</v>
      </c>
      <c r="N1362" s="9">
        <f t="shared" si="262"/>
        <v>185</v>
      </c>
      <c r="O1362" s="9">
        <f t="shared" si="252"/>
        <v>166.5</v>
      </c>
      <c r="P1362" s="5" t="s">
        <v>2269</v>
      </c>
      <c r="Q1362" s="5" t="s">
        <v>2270</v>
      </c>
      <c r="R1362" s="5" t="s">
        <v>2279</v>
      </c>
      <c r="S1362" s="5" t="s">
        <v>2280</v>
      </c>
      <c r="T1362" s="5" t="s">
        <v>2289</v>
      </c>
      <c r="U1362" s="8">
        <v>3</v>
      </c>
      <c r="V1362" s="19">
        <v>244</v>
      </c>
      <c r="W1362" s="19">
        <v>34</v>
      </c>
      <c r="X1362" s="9">
        <v>75.010000000000005</v>
      </c>
      <c r="Y1362" s="9">
        <f t="shared" si="253"/>
        <v>91.49</v>
      </c>
      <c r="Z1362" s="5" t="s">
        <v>2293</v>
      </c>
      <c r="AA1362" s="5" t="s">
        <v>2296</v>
      </c>
      <c r="AB1362" s="9">
        <f t="shared" si="254"/>
        <v>185</v>
      </c>
      <c r="AC1362" s="9">
        <f t="shared" si="255"/>
        <v>18.5</v>
      </c>
      <c r="AD1362" s="9">
        <f t="shared" si="256"/>
        <v>166.5</v>
      </c>
      <c r="AE1362" s="9">
        <f t="shared" si="257"/>
        <v>75.010000000000005</v>
      </c>
      <c r="AF1362" s="9">
        <f t="shared" si="263"/>
        <v>91.49</v>
      </c>
      <c r="AG1362" s="8">
        <f t="shared" si="258"/>
        <v>2024</v>
      </c>
      <c r="AH1362" s="8">
        <f t="shared" si="259"/>
        <v>2</v>
      </c>
      <c r="AI1362" s="5" t="str">
        <f t="shared" si="260"/>
        <v>Feb</v>
      </c>
      <c r="AJ1362" s="5" t="str">
        <f t="shared" si="261"/>
        <v>Tuesday</v>
      </c>
    </row>
    <row r="1363" spans="1:36" x14ac:dyDescent="0.3">
      <c r="A1363" s="5" t="s">
        <v>1397</v>
      </c>
      <c r="B1363" s="6">
        <v>45372</v>
      </c>
      <c r="C1363" s="7">
        <v>0.69791666666666663</v>
      </c>
      <c r="D1363" s="5" t="s">
        <v>1753</v>
      </c>
      <c r="E1363" s="5" t="s">
        <v>2041</v>
      </c>
      <c r="F1363" s="5" t="s">
        <v>2240</v>
      </c>
      <c r="G1363" s="5" t="s">
        <v>2251</v>
      </c>
      <c r="H1363" s="5" t="s">
        <v>2258</v>
      </c>
      <c r="I1363" s="5" t="s">
        <v>2260</v>
      </c>
      <c r="J1363" s="5" t="s">
        <v>2264</v>
      </c>
      <c r="K1363" s="8">
        <v>2</v>
      </c>
      <c r="L1363" s="9">
        <v>100</v>
      </c>
      <c r="M1363" s="10">
        <v>0.05</v>
      </c>
      <c r="N1363" s="9">
        <f t="shared" si="262"/>
        <v>200</v>
      </c>
      <c r="O1363" s="9">
        <f t="shared" si="252"/>
        <v>190</v>
      </c>
      <c r="P1363" s="5" t="s">
        <v>2269</v>
      </c>
      <c r="Q1363" s="5" t="s">
        <v>2271</v>
      </c>
      <c r="R1363" s="5" t="s">
        <v>2278</v>
      </c>
      <c r="S1363" s="5" t="s">
        <v>2285</v>
      </c>
      <c r="T1363" s="5" t="s">
        <v>2289</v>
      </c>
      <c r="U1363" s="8">
        <v>5</v>
      </c>
      <c r="V1363" s="8">
        <v>194</v>
      </c>
      <c r="W1363" s="8">
        <v>39</v>
      </c>
      <c r="X1363" s="9">
        <v>45.12</v>
      </c>
      <c r="Y1363" s="9">
        <f t="shared" si="253"/>
        <v>99.76</v>
      </c>
      <c r="Z1363" s="5" t="s">
        <v>1761</v>
      </c>
      <c r="AA1363" s="5" t="s">
        <v>2296</v>
      </c>
      <c r="AB1363" s="9">
        <f t="shared" si="254"/>
        <v>200</v>
      </c>
      <c r="AC1363" s="9">
        <f t="shared" si="255"/>
        <v>10</v>
      </c>
      <c r="AD1363" s="9">
        <f t="shared" si="256"/>
        <v>190</v>
      </c>
      <c r="AE1363" s="9">
        <f t="shared" si="257"/>
        <v>90.24</v>
      </c>
      <c r="AF1363" s="9">
        <f t="shared" si="263"/>
        <v>99.76</v>
      </c>
      <c r="AG1363" s="8">
        <f t="shared" si="258"/>
        <v>2024</v>
      </c>
      <c r="AH1363" s="8">
        <f t="shared" si="259"/>
        <v>3</v>
      </c>
      <c r="AI1363" s="5" t="str">
        <f t="shared" si="260"/>
        <v>Mar</v>
      </c>
      <c r="AJ1363" s="5" t="str">
        <f t="shared" si="261"/>
        <v>Thursday</v>
      </c>
    </row>
    <row r="1364" spans="1:36" x14ac:dyDescent="0.3">
      <c r="A1364" s="5" t="s">
        <v>1398</v>
      </c>
      <c r="B1364" s="6">
        <v>45533</v>
      </c>
      <c r="C1364" s="7">
        <v>0.40972222222222221</v>
      </c>
      <c r="D1364" s="5" t="s">
        <v>1748</v>
      </c>
      <c r="E1364" s="5" t="s">
        <v>1976</v>
      </c>
      <c r="F1364" s="5" t="s">
        <v>1761</v>
      </c>
      <c r="G1364" s="5" t="s">
        <v>2248</v>
      </c>
      <c r="H1364" s="5" t="s">
        <v>2257</v>
      </c>
      <c r="I1364" s="5" t="s">
        <v>2262</v>
      </c>
      <c r="J1364" s="5" t="s">
        <v>2264</v>
      </c>
      <c r="K1364" s="8">
        <v>2</v>
      </c>
      <c r="L1364" s="9">
        <v>145</v>
      </c>
      <c r="M1364" s="10">
        <v>0</v>
      </c>
      <c r="N1364" s="9">
        <f t="shared" si="262"/>
        <v>290</v>
      </c>
      <c r="O1364" s="9">
        <f t="shared" si="252"/>
        <v>290</v>
      </c>
      <c r="P1364" s="5" t="s">
        <v>2269</v>
      </c>
      <c r="Q1364" s="5" t="s">
        <v>1761</v>
      </c>
      <c r="R1364" s="5" t="s">
        <v>2277</v>
      </c>
      <c r="S1364" s="5" t="s">
        <v>2286</v>
      </c>
      <c r="T1364" s="5" t="s">
        <v>2290</v>
      </c>
      <c r="U1364" s="8">
        <v>5</v>
      </c>
      <c r="V1364" s="8">
        <v>140</v>
      </c>
      <c r="W1364" s="8">
        <v>30</v>
      </c>
      <c r="X1364" s="9">
        <v>68.58</v>
      </c>
      <c r="Y1364" s="9">
        <f t="shared" si="253"/>
        <v>152.84</v>
      </c>
      <c r="Z1364" s="5" t="s">
        <v>2293</v>
      </c>
      <c r="AA1364" s="5" t="s">
        <v>2296</v>
      </c>
      <c r="AB1364" s="9">
        <f t="shared" si="254"/>
        <v>290</v>
      </c>
      <c r="AC1364" s="9">
        <f t="shared" si="255"/>
        <v>0</v>
      </c>
      <c r="AD1364" s="9">
        <f t="shared" si="256"/>
        <v>290</v>
      </c>
      <c r="AE1364" s="9">
        <f t="shared" si="257"/>
        <v>137.16</v>
      </c>
      <c r="AF1364" s="9">
        <f t="shared" si="263"/>
        <v>152.84</v>
      </c>
      <c r="AG1364" s="8">
        <f t="shared" si="258"/>
        <v>2024</v>
      </c>
      <c r="AH1364" s="8">
        <f t="shared" si="259"/>
        <v>8</v>
      </c>
      <c r="AI1364" s="5" t="str">
        <f t="shared" si="260"/>
        <v>Aug</v>
      </c>
      <c r="AJ1364" s="5" t="str">
        <f t="shared" si="261"/>
        <v>Thursday</v>
      </c>
    </row>
    <row r="1365" spans="1:36" x14ac:dyDescent="0.3">
      <c r="A1365" s="5" t="s">
        <v>1399</v>
      </c>
      <c r="B1365" s="6">
        <v>45383</v>
      </c>
      <c r="C1365" s="7">
        <v>0.88541666666666663</v>
      </c>
      <c r="D1365" s="5" t="s">
        <v>1905</v>
      </c>
      <c r="E1365" s="5" t="s">
        <v>2065</v>
      </c>
      <c r="F1365" s="5" t="s">
        <v>2238</v>
      </c>
      <c r="G1365" s="5" t="s">
        <v>2256</v>
      </c>
      <c r="H1365" s="5" t="s">
        <v>2261</v>
      </c>
      <c r="I1365" s="5" t="s">
        <v>2260</v>
      </c>
      <c r="J1365" s="5" t="s">
        <v>2264</v>
      </c>
      <c r="K1365" s="8">
        <v>1</v>
      </c>
      <c r="L1365" s="9">
        <v>185</v>
      </c>
      <c r="M1365" s="10">
        <v>0</v>
      </c>
      <c r="N1365" s="9">
        <f t="shared" si="262"/>
        <v>185</v>
      </c>
      <c r="O1365" s="9">
        <f t="shared" si="252"/>
        <v>185</v>
      </c>
      <c r="P1365" s="5" t="s">
        <v>2268</v>
      </c>
      <c r="Q1365" s="5" t="s">
        <v>2270</v>
      </c>
      <c r="R1365" s="5" t="s">
        <v>2277</v>
      </c>
      <c r="S1365" s="5" t="s">
        <v>2284</v>
      </c>
      <c r="T1365" s="5" t="s">
        <v>2288</v>
      </c>
      <c r="U1365" s="8">
        <v>1</v>
      </c>
      <c r="V1365" s="8">
        <v>362</v>
      </c>
      <c r="W1365" s="19">
        <v>34</v>
      </c>
      <c r="X1365" s="9">
        <v>103.62</v>
      </c>
      <c r="Y1365" s="9">
        <f t="shared" si="253"/>
        <v>81.38</v>
      </c>
      <c r="Z1365" s="5" t="s">
        <v>2292</v>
      </c>
      <c r="AA1365" s="5" t="s">
        <v>2297</v>
      </c>
      <c r="AB1365" s="9">
        <f t="shared" si="254"/>
        <v>185</v>
      </c>
      <c r="AC1365" s="9">
        <f t="shared" si="255"/>
        <v>0</v>
      </c>
      <c r="AD1365" s="9">
        <f t="shared" si="256"/>
        <v>185</v>
      </c>
      <c r="AE1365" s="9">
        <f t="shared" si="257"/>
        <v>103.62</v>
      </c>
      <c r="AF1365" s="9">
        <f t="shared" si="263"/>
        <v>81.38</v>
      </c>
      <c r="AG1365" s="8">
        <f t="shared" si="258"/>
        <v>2024</v>
      </c>
      <c r="AH1365" s="8">
        <f t="shared" si="259"/>
        <v>4</v>
      </c>
      <c r="AI1365" s="5" t="str">
        <f t="shared" si="260"/>
        <v>Apr</v>
      </c>
      <c r="AJ1365" s="5" t="str">
        <f t="shared" si="261"/>
        <v>Monday</v>
      </c>
    </row>
    <row r="1366" spans="1:36" x14ac:dyDescent="0.3">
      <c r="A1366" s="5" t="s">
        <v>1400</v>
      </c>
      <c r="B1366" s="6">
        <v>45573</v>
      </c>
      <c r="C1366" s="7">
        <v>0.58333333333333337</v>
      </c>
      <c r="D1366" s="5" t="s">
        <v>1758</v>
      </c>
      <c r="E1366" s="5" t="s">
        <v>2046</v>
      </c>
      <c r="F1366" s="5" t="s">
        <v>2240</v>
      </c>
      <c r="G1366" s="5" t="s">
        <v>2245</v>
      </c>
      <c r="H1366" s="5" t="s">
        <v>2257</v>
      </c>
      <c r="I1366" s="5" t="s">
        <v>2263</v>
      </c>
      <c r="J1366" s="5" t="s">
        <v>1761</v>
      </c>
      <c r="K1366" s="8">
        <v>2</v>
      </c>
      <c r="L1366" s="9">
        <v>150</v>
      </c>
      <c r="M1366" s="10">
        <v>0</v>
      </c>
      <c r="N1366" s="9">
        <f t="shared" si="262"/>
        <v>300</v>
      </c>
      <c r="O1366" s="9">
        <f t="shared" si="252"/>
        <v>300</v>
      </c>
      <c r="P1366" s="5" t="s">
        <v>2269</v>
      </c>
      <c r="Q1366" s="5" t="s">
        <v>2271</v>
      </c>
      <c r="R1366" s="5" t="s">
        <v>2276</v>
      </c>
      <c r="S1366" s="5" t="s">
        <v>2282</v>
      </c>
      <c r="T1366" s="5" t="s">
        <v>2289</v>
      </c>
      <c r="U1366" s="19">
        <v>3</v>
      </c>
      <c r="V1366" s="8">
        <v>136</v>
      </c>
      <c r="W1366" s="8">
        <v>18</v>
      </c>
      <c r="X1366" s="9">
        <v>63.23</v>
      </c>
      <c r="Y1366" s="9">
        <f t="shared" si="253"/>
        <v>173.54000000000002</v>
      </c>
      <c r="Z1366" s="5" t="s">
        <v>2293</v>
      </c>
      <c r="AA1366" s="5" t="s">
        <v>2297</v>
      </c>
      <c r="AB1366" s="9">
        <f t="shared" si="254"/>
        <v>300</v>
      </c>
      <c r="AC1366" s="9">
        <f t="shared" si="255"/>
        <v>0</v>
      </c>
      <c r="AD1366" s="9">
        <f t="shared" si="256"/>
        <v>300</v>
      </c>
      <c r="AE1366" s="9">
        <f t="shared" si="257"/>
        <v>126.46</v>
      </c>
      <c r="AF1366" s="9">
        <f t="shared" si="263"/>
        <v>173.54000000000002</v>
      </c>
      <c r="AG1366" s="8">
        <f t="shared" si="258"/>
        <v>2024</v>
      </c>
      <c r="AH1366" s="8">
        <f t="shared" si="259"/>
        <v>10</v>
      </c>
      <c r="AI1366" s="5" t="str">
        <f t="shared" si="260"/>
        <v>Oct</v>
      </c>
      <c r="AJ1366" s="5" t="str">
        <f t="shared" si="261"/>
        <v>Tuesday</v>
      </c>
    </row>
    <row r="1367" spans="1:36" x14ac:dyDescent="0.3">
      <c r="A1367" s="5" t="s">
        <v>1401</v>
      </c>
      <c r="B1367" s="6">
        <v>45337</v>
      </c>
      <c r="C1367" s="7">
        <v>0.82291666666666663</v>
      </c>
      <c r="D1367" s="5" t="s">
        <v>1873</v>
      </c>
      <c r="E1367" s="5" t="s">
        <v>1761</v>
      </c>
      <c r="F1367" s="5" t="s">
        <v>2239</v>
      </c>
      <c r="G1367" s="5" t="s">
        <v>2244</v>
      </c>
      <c r="H1367" s="5" t="s">
        <v>2257</v>
      </c>
      <c r="I1367" s="5" t="s">
        <v>2262</v>
      </c>
      <c r="J1367" s="5" t="s">
        <v>1761</v>
      </c>
      <c r="K1367" s="8">
        <v>4</v>
      </c>
      <c r="L1367" s="9">
        <v>120</v>
      </c>
      <c r="M1367" s="10">
        <v>0</v>
      </c>
      <c r="N1367" s="9">
        <f t="shared" si="262"/>
        <v>480</v>
      </c>
      <c r="O1367" s="9">
        <f t="shared" si="252"/>
        <v>480</v>
      </c>
      <c r="P1367" s="5" t="s">
        <v>2267</v>
      </c>
      <c r="Q1367" s="5" t="s">
        <v>2271</v>
      </c>
      <c r="R1367" s="5" t="s">
        <v>2279</v>
      </c>
      <c r="S1367" s="5" t="s">
        <v>2287</v>
      </c>
      <c r="T1367" s="5" t="s">
        <v>2289</v>
      </c>
      <c r="U1367" s="8">
        <v>5</v>
      </c>
      <c r="V1367" s="8">
        <v>437</v>
      </c>
      <c r="W1367" s="8">
        <v>59</v>
      </c>
      <c r="X1367" s="9">
        <v>55.45</v>
      </c>
      <c r="Y1367" s="9">
        <f t="shared" si="253"/>
        <v>258.2</v>
      </c>
      <c r="Z1367" s="5" t="s">
        <v>2291</v>
      </c>
      <c r="AA1367" s="5" t="s">
        <v>2298</v>
      </c>
      <c r="AB1367" s="9">
        <f t="shared" si="254"/>
        <v>480</v>
      </c>
      <c r="AC1367" s="9">
        <f t="shared" si="255"/>
        <v>0</v>
      </c>
      <c r="AD1367" s="9">
        <f t="shared" si="256"/>
        <v>480</v>
      </c>
      <c r="AE1367" s="9">
        <f t="shared" si="257"/>
        <v>221.8</v>
      </c>
      <c r="AF1367" s="9">
        <f t="shared" si="263"/>
        <v>258.2</v>
      </c>
      <c r="AG1367" s="8">
        <f t="shared" si="258"/>
        <v>2024</v>
      </c>
      <c r="AH1367" s="8">
        <f t="shared" si="259"/>
        <v>2</v>
      </c>
      <c r="AI1367" s="5" t="str">
        <f t="shared" si="260"/>
        <v>Feb</v>
      </c>
      <c r="AJ1367" s="5" t="str">
        <f t="shared" si="261"/>
        <v>Thursday</v>
      </c>
    </row>
    <row r="1368" spans="1:36" x14ac:dyDescent="0.3">
      <c r="A1368" s="5" t="s">
        <v>1402</v>
      </c>
      <c r="B1368" s="6">
        <v>45517</v>
      </c>
      <c r="C1368" s="7">
        <v>0.72916666666666663</v>
      </c>
      <c r="D1368" s="5" t="s">
        <v>1941</v>
      </c>
      <c r="E1368" s="5" t="s">
        <v>2166</v>
      </c>
      <c r="F1368" s="5" t="s">
        <v>2238</v>
      </c>
      <c r="G1368" s="5" t="s">
        <v>2255</v>
      </c>
      <c r="H1368" s="5" t="s">
        <v>2260</v>
      </c>
      <c r="I1368" s="5" t="s">
        <v>2260</v>
      </c>
      <c r="J1368" s="5" t="s">
        <v>2265</v>
      </c>
      <c r="K1368" s="8">
        <v>3</v>
      </c>
      <c r="L1368" s="9">
        <v>190</v>
      </c>
      <c r="M1368" s="10">
        <v>0.1</v>
      </c>
      <c r="N1368" s="9">
        <f t="shared" si="262"/>
        <v>570</v>
      </c>
      <c r="O1368" s="9">
        <f t="shared" si="252"/>
        <v>513</v>
      </c>
      <c r="P1368" s="5" t="s">
        <v>2269</v>
      </c>
      <c r="Q1368" s="5" t="s">
        <v>1761</v>
      </c>
      <c r="R1368" s="5" t="s">
        <v>2279</v>
      </c>
      <c r="S1368" s="5" t="s">
        <v>2282</v>
      </c>
      <c r="T1368" s="5" t="s">
        <v>2289</v>
      </c>
      <c r="U1368" s="8">
        <v>5</v>
      </c>
      <c r="V1368" s="8">
        <v>13</v>
      </c>
      <c r="W1368" s="19">
        <v>36</v>
      </c>
      <c r="X1368" s="9">
        <v>82.02</v>
      </c>
      <c r="Y1368" s="9">
        <f t="shared" si="253"/>
        <v>266.94</v>
      </c>
      <c r="Z1368" s="5" t="s">
        <v>2292</v>
      </c>
      <c r="AA1368" s="5" t="s">
        <v>2296</v>
      </c>
      <c r="AB1368" s="9">
        <f t="shared" si="254"/>
        <v>570</v>
      </c>
      <c r="AC1368" s="9">
        <f t="shared" si="255"/>
        <v>57</v>
      </c>
      <c r="AD1368" s="9">
        <f t="shared" si="256"/>
        <v>513</v>
      </c>
      <c r="AE1368" s="9">
        <f t="shared" si="257"/>
        <v>246.06</v>
      </c>
      <c r="AF1368" s="9">
        <f t="shared" si="263"/>
        <v>266.94</v>
      </c>
      <c r="AG1368" s="8">
        <f t="shared" si="258"/>
        <v>2024</v>
      </c>
      <c r="AH1368" s="8">
        <f t="shared" si="259"/>
        <v>8</v>
      </c>
      <c r="AI1368" s="5" t="str">
        <f t="shared" si="260"/>
        <v>Aug</v>
      </c>
      <c r="AJ1368" s="5" t="str">
        <f t="shared" si="261"/>
        <v>Tuesday</v>
      </c>
    </row>
    <row r="1369" spans="1:36" x14ac:dyDescent="0.3">
      <c r="A1369" s="5" t="s">
        <v>1403</v>
      </c>
      <c r="B1369" s="6">
        <v>45439</v>
      </c>
      <c r="C1369" s="7">
        <v>0.63541666666666663</v>
      </c>
      <c r="D1369" s="5" t="s">
        <v>1867</v>
      </c>
      <c r="E1369" s="5" t="s">
        <v>1974</v>
      </c>
      <c r="F1369" s="5" t="s">
        <v>1761</v>
      </c>
      <c r="G1369" s="5" t="s">
        <v>2253</v>
      </c>
      <c r="H1369" s="5" t="s">
        <v>2258</v>
      </c>
      <c r="I1369" s="5" t="s">
        <v>2260</v>
      </c>
      <c r="J1369" s="5" t="s">
        <v>2266</v>
      </c>
      <c r="K1369" s="8">
        <v>1</v>
      </c>
      <c r="L1369" s="9">
        <v>90</v>
      </c>
      <c r="M1369" s="10">
        <v>0</v>
      </c>
      <c r="N1369" s="9">
        <f t="shared" si="262"/>
        <v>90</v>
      </c>
      <c r="O1369" s="9">
        <f t="shared" si="252"/>
        <v>90</v>
      </c>
      <c r="P1369" s="5" t="s">
        <v>2269</v>
      </c>
      <c r="Q1369" s="5" t="s">
        <v>1761</v>
      </c>
      <c r="R1369" s="5" t="s">
        <v>2274</v>
      </c>
      <c r="S1369" s="5" t="s">
        <v>2282</v>
      </c>
      <c r="T1369" s="5" t="s">
        <v>2288</v>
      </c>
      <c r="U1369" s="8">
        <v>3</v>
      </c>
      <c r="V1369" s="8">
        <v>352</v>
      </c>
      <c r="W1369" s="8">
        <v>40</v>
      </c>
      <c r="X1369" s="9">
        <v>50.72</v>
      </c>
      <c r="Y1369" s="9">
        <f t="shared" si="253"/>
        <v>39.28</v>
      </c>
      <c r="Z1369" s="5" t="s">
        <v>2293</v>
      </c>
      <c r="AA1369" s="5" t="s">
        <v>2298</v>
      </c>
      <c r="AB1369" s="9">
        <f t="shared" si="254"/>
        <v>90</v>
      </c>
      <c r="AC1369" s="9">
        <f t="shared" si="255"/>
        <v>0</v>
      </c>
      <c r="AD1369" s="9">
        <f t="shared" si="256"/>
        <v>90</v>
      </c>
      <c r="AE1369" s="9">
        <f t="shared" si="257"/>
        <v>50.72</v>
      </c>
      <c r="AF1369" s="9">
        <f t="shared" si="263"/>
        <v>39.28</v>
      </c>
      <c r="AG1369" s="8">
        <f t="shared" si="258"/>
        <v>2024</v>
      </c>
      <c r="AH1369" s="8">
        <f t="shared" si="259"/>
        <v>5</v>
      </c>
      <c r="AI1369" s="5" t="str">
        <f t="shared" si="260"/>
        <v>May</v>
      </c>
      <c r="AJ1369" s="5" t="str">
        <f t="shared" si="261"/>
        <v>Monday</v>
      </c>
    </row>
    <row r="1370" spans="1:36" x14ac:dyDescent="0.3">
      <c r="A1370" s="5" t="s">
        <v>1404</v>
      </c>
      <c r="B1370" s="6">
        <v>45371</v>
      </c>
      <c r="C1370" s="7">
        <v>0.34375</v>
      </c>
      <c r="D1370" s="5" t="s">
        <v>1761</v>
      </c>
      <c r="E1370" s="5" t="s">
        <v>2150</v>
      </c>
      <c r="F1370" s="5" t="s">
        <v>2239</v>
      </c>
      <c r="G1370" s="5" t="s">
        <v>2250</v>
      </c>
      <c r="H1370" s="5" t="s">
        <v>2259</v>
      </c>
      <c r="I1370" s="5" t="s">
        <v>2262</v>
      </c>
      <c r="J1370" s="5" t="s">
        <v>2266</v>
      </c>
      <c r="K1370" s="8">
        <v>2</v>
      </c>
      <c r="L1370" s="9">
        <v>80</v>
      </c>
      <c r="M1370" s="10">
        <v>0</v>
      </c>
      <c r="N1370" s="9">
        <f t="shared" si="262"/>
        <v>160</v>
      </c>
      <c r="O1370" s="9">
        <f t="shared" si="252"/>
        <v>160</v>
      </c>
      <c r="P1370" s="5" t="s">
        <v>2267</v>
      </c>
      <c r="Q1370" s="5" t="s">
        <v>1761</v>
      </c>
      <c r="R1370" s="5" t="s">
        <v>2276</v>
      </c>
      <c r="S1370" s="5" t="s">
        <v>2282</v>
      </c>
      <c r="T1370" s="5" t="s">
        <v>2288</v>
      </c>
      <c r="U1370" s="8">
        <v>2</v>
      </c>
      <c r="V1370" s="8">
        <v>336</v>
      </c>
      <c r="W1370" s="8">
        <v>14</v>
      </c>
      <c r="X1370" s="9">
        <v>43.04</v>
      </c>
      <c r="Y1370" s="9">
        <f t="shared" si="253"/>
        <v>73.92</v>
      </c>
      <c r="Z1370" s="5" t="s">
        <v>2293</v>
      </c>
      <c r="AA1370" s="5" t="s">
        <v>2296</v>
      </c>
      <c r="AB1370" s="9">
        <f t="shared" si="254"/>
        <v>160</v>
      </c>
      <c r="AC1370" s="9">
        <f t="shared" si="255"/>
        <v>0</v>
      </c>
      <c r="AD1370" s="9">
        <f t="shared" si="256"/>
        <v>160</v>
      </c>
      <c r="AE1370" s="9">
        <f t="shared" si="257"/>
        <v>86.08</v>
      </c>
      <c r="AF1370" s="9">
        <f t="shared" si="263"/>
        <v>73.92</v>
      </c>
      <c r="AG1370" s="8">
        <f t="shared" si="258"/>
        <v>2024</v>
      </c>
      <c r="AH1370" s="8">
        <f t="shared" si="259"/>
        <v>3</v>
      </c>
      <c r="AI1370" s="5" t="str">
        <f t="shared" si="260"/>
        <v>Mar</v>
      </c>
      <c r="AJ1370" s="5" t="str">
        <f t="shared" si="261"/>
        <v>Wednesday</v>
      </c>
    </row>
    <row r="1371" spans="1:36" x14ac:dyDescent="0.3">
      <c r="A1371" s="5" t="s">
        <v>1405</v>
      </c>
      <c r="B1371" s="18">
        <v>45468</v>
      </c>
      <c r="C1371" s="7">
        <v>0.38541666666666669</v>
      </c>
      <c r="D1371" s="5" t="s">
        <v>1934</v>
      </c>
      <c r="E1371" s="5" t="s">
        <v>2232</v>
      </c>
      <c r="F1371" s="5" t="s">
        <v>2239</v>
      </c>
      <c r="G1371" s="5" t="s">
        <v>2252</v>
      </c>
      <c r="H1371" s="5" t="s">
        <v>2257</v>
      </c>
      <c r="I1371" s="5" t="s">
        <v>2262</v>
      </c>
      <c r="J1371" s="5" t="s">
        <v>2266</v>
      </c>
      <c r="K1371" s="8">
        <v>1</v>
      </c>
      <c r="L1371" s="9">
        <v>100</v>
      </c>
      <c r="M1371" s="10">
        <v>0.05</v>
      </c>
      <c r="N1371" s="9">
        <f t="shared" si="262"/>
        <v>100</v>
      </c>
      <c r="O1371" s="9">
        <f t="shared" si="252"/>
        <v>95</v>
      </c>
      <c r="P1371" s="5" t="s">
        <v>2269</v>
      </c>
      <c r="Q1371" s="5" t="s">
        <v>2270</v>
      </c>
      <c r="R1371" s="5" t="s">
        <v>2274</v>
      </c>
      <c r="S1371" s="5" t="s">
        <v>2283</v>
      </c>
      <c r="T1371" s="5" t="s">
        <v>2288</v>
      </c>
      <c r="U1371" s="8">
        <v>3</v>
      </c>
      <c r="V1371" s="8">
        <v>74</v>
      </c>
      <c r="W1371" s="8">
        <v>11</v>
      </c>
      <c r="X1371" s="9">
        <v>40.98</v>
      </c>
      <c r="Y1371" s="9">
        <f t="shared" si="253"/>
        <v>54.02</v>
      </c>
      <c r="Z1371" s="5" t="s">
        <v>2292</v>
      </c>
      <c r="AA1371" s="5" t="s">
        <v>2299</v>
      </c>
      <c r="AB1371" s="9">
        <f t="shared" si="254"/>
        <v>100</v>
      </c>
      <c r="AC1371" s="9">
        <f t="shared" si="255"/>
        <v>5</v>
      </c>
      <c r="AD1371" s="9">
        <f t="shared" si="256"/>
        <v>95</v>
      </c>
      <c r="AE1371" s="9">
        <f t="shared" si="257"/>
        <v>40.98</v>
      </c>
      <c r="AF1371" s="9">
        <f t="shared" si="263"/>
        <v>54.02</v>
      </c>
      <c r="AG1371" s="8">
        <f t="shared" si="258"/>
        <v>2024</v>
      </c>
      <c r="AH1371" s="8">
        <f t="shared" si="259"/>
        <v>6</v>
      </c>
      <c r="AI1371" s="5" t="str">
        <f t="shared" si="260"/>
        <v>Jun</v>
      </c>
      <c r="AJ1371" s="5" t="str">
        <f t="shared" si="261"/>
        <v>Tuesday</v>
      </c>
    </row>
    <row r="1372" spans="1:36" x14ac:dyDescent="0.3">
      <c r="A1372" s="5" t="s">
        <v>1406</v>
      </c>
      <c r="B1372" s="6">
        <v>45647</v>
      </c>
      <c r="C1372" s="7">
        <v>0.52083333333333337</v>
      </c>
      <c r="D1372" s="5" t="s">
        <v>1907</v>
      </c>
      <c r="E1372" s="5" t="s">
        <v>2100</v>
      </c>
      <c r="F1372" s="5" t="s">
        <v>2239</v>
      </c>
      <c r="G1372" s="5" t="s">
        <v>2256</v>
      </c>
      <c r="H1372" s="5" t="s">
        <v>2261</v>
      </c>
      <c r="I1372" s="5" t="s">
        <v>2260</v>
      </c>
      <c r="J1372" s="5" t="s">
        <v>2265</v>
      </c>
      <c r="K1372" s="8">
        <v>3</v>
      </c>
      <c r="L1372" s="9">
        <v>185</v>
      </c>
      <c r="M1372" s="10">
        <v>0.15</v>
      </c>
      <c r="N1372" s="9">
        <f t="shared" si="262"/>
        <v>555</v>
      </c>
      <c r="O1372" s="9">
        <f t="shared" si="252"/>
        <v>471.75</v>
      </c>
      <c r="P1372" s="5" t="s">
        <v>2269</v>
      </c>
      <c r="Q1372" s="5" t="s">
        <v>2271</v>
      </c>
      <c r="R1372" s="5" t="s">
        <v>2276</v>
      </c>
      <c r="S1372" s="5" t="s">
        <v>2286</v>
      </c>
      <c r="T1372" s="5" t="s">
        <v>2288</v>
      </c>
      <c r="U1372" s="8">
        <v>2</v>
      </c>
      <c r="V1372" s="8">
        <v>151</v>
      </c>
      <c r="W1372" s="8">
        <v>18</v>
      </c>
      <c r="X1372" s="9">
        <v>79.69</v>
      </c>
      <c r="Y1372" s="9">
        <f t="shared" si="253"/>
        <v>232.68</v>
      </c>
      <c r="Z1372" s="5" t="s">
        <v>2293</v>
      </c>
      <c r="AA1372" s="5" t="s">
        <v>1761</v>
      </c>
      <c r="AB1372" s="9">
        <f t="shared" si="254"/>
        <v>555</v>
      </c>
      <c r="AC1372" s="9">
        <f t="shared" si="255"/>
        <v>83.25</v>
      </c>
      <c r="AD1372" s="9">
        <f t="shared" si="256"/>
        <v>471.75</v>
      </c>
      <c r="AE1372" s="9">
        <f t="shared" si="257"/>
        <v>239.07</v>
      </c>
      <c r="AF1372" s="9">
        <f t="shared" si="263"/>
        <v>232.68</v>
      </c>
      <c r="AG1372" s="8">
        <f t="shared" si="258"/>
        <v>2024</v>
      </c>
      <c r="AH1372" s="8">
        <f t="shared" si="259"/>
        <v>12</v>
      </c>
      <c r="AI1372" s="5" t="str">
        <f t="shared" si="260"/>
        <v>Dec</v>
      </c>
      <c r="AJ1372" s="5" t="str">
        <f t="shared" si="261"/>
        <v>Saturday</v>
      </c>
    </row>
    <row r="1373" spans="1:36" x14ac:dyDescent="0.3">
      <c r="A1373" s="5" t="s">
        <v>1407</v>
      </c>
      <c r="B1373" s="6">
        <v>45565</v>
      </c>
      <c r="C1373" s="7">
        <v>0.46527777777777779</v>
      </c>
      <c r="D1373" s="5" t="s">
        <v>1861</v>
      </c>
      <c r="E1373" s="5" t="s">
        <v>2085</v>
      </c>
      <c r="F1373" s="5" t="s">
        <v>2240</v>
      </c>
      <c r="G1373" s="5" t="s">
        <v>2243</v>
      </c>
      <c r="H1373" s="5" t="s">
        <v>2258</v>
      </c>
      <c r="I1373" s="5" t="s">
        <v>2260</v>
      </c>
      <c r="J1373" s="5" t="s">
        <v>2264</v>
      </c>
      <c r="K1373" s="8">
        <v>2</v>
      </c>
      <c r="L1373" s="9">
        <v>80</v>
      </c>
      <c r="M1373" s="10">
        <v>0.05</v>
      </c>
      <c r="N1373" s="9">
        <f t="shared" si="262"/>
        <v>160</v>
      </c>
      <c r="O1373" s="9">
        <f t="shared" si="252"/>
        <v>152</v>
      </c>
      <c r="P1373" s="5" t="s">
        <v>2267</v>
      </c>
      <c r="Q1373" s="5" t="s">
        <v>2272</v>
      </c>
      <c r="R1373" s="5" t="s">
        <v>2277</v>
      </c>
      <c r="S1373" s="5" t="s">
        <v>2283</v>
      </c>
      <c r="T1373" s="5" t="s">
        <v>2288</v>
      </c>
      <c r="U1373" s="8">
        <v>2</v>
      </c>
      <c r="V1373" s="8">
        <v>123</v>
      </c>
      <c r="W1373" s="8">
        <v>19</v>
      </c>
      <c r="X1373" s="9">
        <v>27.75</v>
      </c>
      <c r="Y1373" s="9">
        <f t="shared" si="253"/>
        <v>96.5</v>
      </c>
      <c r="Z1373" s="5" t="s">
        <v>2294</v>
      </c>
      <c r="AA1373" s="5" t="s">
        <v>2298</v>
      </c>
      <c r="AB1373" s="9">
        <f t="shared" si="254"/>
        <v>160</v>
      </c>
      <c r="AC1373" s="9">
        <f t="shared" si="255"/>
        <v>8</v>
      </c>
      <c r="AD1373" s="9">
        <f t="shared" si="256"/>
        <v>152</v>
      </c>
      <c r="AE1373" s="9">
        <f t="shared" si="257"/>
        <v>55.5</v>
      </c>
      <c r="AF1373" s="9">
        <f t="shared" si="263"/>
        <v>96.5</v>
      </c>
      <c r="AG1373" s="8">
        <f t="shared" si="258"/>
        <v>2024</v>
      </c>
      <c r="AH1373" s="8">
        <f t="shared" si="259"/>
        <v>9</v>
      </c>
      <c r="AI1373" s="5" t="str">
        <f t="shared" si="260"/>
        <v>Sep</v>
      </c>
      <c r="AJ1373" s="5" t="str">
        <f t="shared" si="261"/>
        <v>Monday</v>
      </c>
    </row>
    <row r="1374" spans="1:36" x14ac:dyDescent="0.3">
      <c r="A1374" s="5" t="s">
        <v>1408</v>
      </c>
      <c r="B1374" s="6">
        <v>45302</v>
      </c>
      <c r="C1374" s="7">
        <v>0.79166666666666663</v>
      </c>
      <c r="D1374" s="5" t="s">
        <v>1769</v>
      </c>
      <c r="E1374" s="5" t="s">
        <v>2133</v>
      </c>
      <c r="F1374" s="5" t="s">
        <v>2240</v>
      </c>
      <c r="G1374" s="5" t="s">
        <v>2249</v>
      </c>
      <c r="H1374" s="5" t="s">
        <v>2257</v>
      </c>
      <c r="I1374" s="5" t="s">
        <v>2263</v>
      </c>
      <c r="J1374" s="5" t="s">
        <v>2265</v>
      </c>
      <c r="K1374" s="8">
        <v>1</v>
      </c>
      <c r="L1374" s="9">
        <v>155</v>
      </c>
      <c r="M1374" s="10">
        <v>0.1</v>
      </c>
      <c r="N1374" s="9">
        <f t="shared" si="262"/>
        <v>155</v>
      </c>
      <c r="O1374" s="9">
        <f t="shared" si="252"/>
        <v>139.5</v>
      </c>
      <c r="P1374" s="5" t="s">
        <v>2268</v>
      </c>
      <c r="Q1374" s="5" t="s">
        <v>2271</v>
      </c>
      <c r="R1374" s="5" t="s">
        <v>2273</v>
      </c>
      <c r="S1374" s="5" t="s">
        <v>2285</v>
      </c>
      <c r="T1374" s="5" t="s">
        <v>2288</v>
      </c>
      <c r="U1374" s="8">
        <v>2</v>
      </c>
      <c r="V1374" s="8">
        <v>114</v>
      </c>
      <c r="W1374" s="19">
        <v>37</v>
      </c>
      <c r="X1374" s="9">
        <v>67.290000000000006</v>
      </c>
      <c r="Y1374" s="9">
        <f t="shared" si="253"/>
        <v>72.209999999999994</v>
      </c>
      <c r="Z1374" s="5" t="s">
        <v>2292</v>
      </c>
      <c r="AA1374" s="5" t="s">
        <v>2298</v>
      </c>
      <c r="AB1374" s="9">
        <f t="shared" si="254"/>
        <v>155</v>
      </c>
      <c r="AC1374" s="9">
        <f t="shared" si="255"/>
        <v>15.5</v>
      </c>
      <c r="AD1374" s="9">
        <f t="shared" si="256"/>
        <v>139.5</v>
      </c>
      <c r="AE1374" s="9">
        <f t="shared" si="257"/>
        <v>67.290000000000006</v>
      </c>
      <c r="AF1374" s="9">
        <f t="shared" si="263"/>
        <v>72.209999999999994</v>
      </c>
      <c r="AG1374" s="8">
        <f t="shared" si="258"/>
        <v>2024</v>
      </c>
      <c r="AH1374" s="8">
        <f t="shared" si="259"/>
        <v>1</v>
      </c>
      <c r="AI1374" s="5" t="str">
        <f t="shared" si="260"/>
        <v>Jan</v>
      </c>
      <c r="AJ1374" s="5" t="str">
        <f t="shared" si="261"/>
        <v>Thursday</v>
      </c>
    </row>
    <row r="1375" spans="1:36" x14ac:dyDescent="0.3">
      <c r="A1375" s="5" t="s">
        <v>1409</v>
      </c>
      <c r="B1375" s="6">
        <v>45437</v>
      </c>
      <c r="C1375" s="7">
        <v>0.76041666666666663</v>
      </c>
      <c r="D1375" s="5" t="s">
        <v>1850</v>
      </c>
      <c r="E1375" s="5" t="s">
        <v>2181</v>
      </c>
      <c r="F1375" s="5" t="s">
        <v>2239</v>
      </c>
      <c r="G1375" s="5" t="s">
        <v>2241</v>
      </c>
      <c r="H1375" s="5" t="s">
        <v>2257</v>
      </c>
      <c r="I1375" s="5" t="s">
        <v>2262</v>
      </c>
      <c r="J1375" s="5" t="s">
        <v>2265</v>
      </c>
      <c r="K1375" s="8">
        <v>1</v>
      </c>
      <c r="L1375" s="9">
        <v>130</v>
      </c>
      <c r="M1375" s="10">
        <v>0</v>
      </c>
      <c r="N1375" s="9">
        <f t="shared" si="262"/>
        <v>130</v>
      </c>
      <c r="O1375" s="9">
        <f t="shared" si="252"/>
        <v>130</v>
      </c>
      <c r="P1375" s="5" t="s">
        <v>1761</v>
      </c>
      <c r="Q1375" s="5" t="s">
        <v>1761</v>
      </c>
      <c r="R1375" s="5" t="s">
        <v>2275</v>
      </c>
      <c r="S1375" s="5" t="s">
        <v>2285</v>
      </c>
      <c r="T1375" s="5" t="s">
        <v>2289</v>
      </c>
      <c r="U1375" s="8">
        <v>5</v>
      </c>
      <c r="V1375" s="8">
        <v>422</v>
      </c>
      <c r="W1375" s="8">
        <v>28</v>
      </c>
      <c r="X1375" s="9">
        <v>58.16</v>
      </c>
      <c r="Y1375" s="9">
        <f t="shared" si="253"/>
        <v>71.84</v>
      </c>
      <c r="Z1375" s="5" t="s">
        <v>2293</v>
      </c>
      <c r="AA1375" s="5" t="s">
        <v>2297</v>
      </c>
      <c r="AB1375" s="9">
        <f t="shared" si="254"/>
        <v>130</v>
      </c>
      <c r="AC1375" s="9">
        <f t="shared" si="255"/>
        <v>0</v>
      </c>
      <c r="AD1375" s="9">
        <f t="shared" si="256"/>
        <v>130</v>
      </c>
      <c r="AE1375" s="9">
        <f t="shared" si="257"/>
        <v>58.16</v>
      </c>
      <c r="AF1375" s="9">
        <f t="shared" si="263"/>
        <v>71.84</v>
      </c>
      <c r="AG1375" s="8">
        <f t="shared" si="258"/>
        <v>2024</v>
      </c>
      <c r="AH1375" s="8">
        <f t="shared" si="259"/>
        <v>5</v>
      </c>
      <c r="AI1375" s="5" t="str">
        <f t="shared" si="260"/>
        <v>May</v>
      </c>
      <c r="AJ1375" s="5" t="str">
        <f t="shared" si="261"/>
        <v>Saturday</v>
      </c>
    </row>
    <row r="1376" spans="1:36" x14ac:dyDescent="0.3">
      <c r="A1376" s="5" t="s">
        <v>1410</v>
      </c>
      <c r="B1376" s="6">
        <v>45647</v>
      </c>
      <c r="C1376" s="7">
        <v>0.35416666666666669</v>
      </c>
      <c r="D1376" s="5" t="s">
        <v>1819</v>
      </c>
      <c r="E1376" s="5" t="s">
        <v>2040</v>
      </c>
      <c r="F1376" s="5" t="s">
        <v>2238</v>
      </c>
      <c r="G1376" s="5" t="s">
        <v>2249</v>
      </c>
      <c r="H1376" s="5" t="s">
        <v>2257</v>
      </c>
      <c r="I1376" s="5" t="s">
        <v>2263</v>
      </c>
      <c r="J1376" s="5" t="s">
        <v>2265</v>
      </c>
      <c r="K1376" s="8">
        <v>4</v>
      </c>
      <c r="L1376" s="9">
        <v>155</v>
      </c>
      <c r="M1376" s="10">
        <v>0</v>
      </c>
      <c r="N1376" s="9">
        <f t="shared" si="262"/>
        <v>620</v>
      </c>
      <c r="O1376" s="9">
        <f t="shared" si="252"/>
        <v>620</v>
      </c>
      <c r="P1376" s="5" t="s">
        <v>2268</v>
      </c>
      <c r="Q1376" s="5" t="s">
        <v>2272</v>
      </c>
      <c r="R1376" s="5" t="s">
        <v>2273</v>
      </c>
      <c r="S1376" s="5" t="s">
        <v>2287</v>
      </c>
      <c r="T1376" s="5" t="s">
        <v>2288</v>
      </c>
      <c r="U1376" s="8">
        <v>1</v>
      </c>
      <c r="V1376" s="8">
        <v>254</v>
      </c>
      <c r="W1376" s="8">
        <v>50</v>
      </c>
      <c r="X1376" s="9">
        <v>83.09</v>
      </c>
      <c r="Y1376" s="9">
        <f t="shared" si="253"/>
        <v>287.64</v>
      </c>
      <c r="Z1376" s="5" t="s">
        <v>2293</v>
      </c>
      <c r="AA1376" s="5" t="s">
        <v>1761</v>
      </c>
      <c r="AB1376" s="9">
        <f t="shared" si="254"/>
        <v>620</v>
      </c>
      <c r="AC1376" s="9">
        <f t="shared" si="255"/>
        <v>0</v>
      </c>
      <c r="AD1376" s="9">
        <f t="shared" si="256"/>
        <v>620</v>
      </c>
      <c r="AE1376" s="9">
        <f t="shared" si="257"/>
        <v>332.36</v>
      </c>
      <c r="AF1376" s="9">
        <f t="shared" si="263"/>
        <v>287.64</v>
      </c>
      <c r="AG1376" s="8">
        <f t="shared" si="258"/>
        <v>2024</v>
      </c>
      <c r="AH1376" s="8">
        <f t="shared" si="259"/>
        <v>12</v>
      </c>
      <c r="AI1376" s="5" t="str">
        <f t="shared" si="260"/>
        <v>Dec</v>
      </c>
      <c r="AJ1376" s="5" t="str">
        <f t="shared" si="261"/>
        <v>Saturday</v>
      </c>
    </row>
    <row r="1377" spans="1:36" x14ac:dyDescent="0.3">
      <c r="A1377" s="5" t="s">
        <v>1411</v>
      </c>
      <c r="B1377" s="6">
        <v>45292</v>
      </c>
      <c r="C1377" s="7">
        <v>0.54166666666666663</v>
      </c>
      <c r="D1377" s="5" t="s">
        <v>1871</v>
      </c>
      <c r="E1377" s="5" t="s">
        <v>2106</v>
      </c>
      <c r="F1377" s="5" t="s">
        <v>1761</v>
      </c>
      <c r="G1377" s="5" t="s">
        <v>2254</v>
      </c>
      <c r="H1377" s="5" t="s">
        <v>2259</v>
      </c>
      <c r="I1377" s="5" t="s">
        <v>2263</v>
      </c>
      <c r="J1377" s="5" t="s">
        <v>2266</v>
      </c>
      <c r="K1377" s="8">
        <v>2</v>
      </c>
      <c r="L1377" s="9">
        <v>120</v>
      </c>
      <c r="M1377" s="10">
        <v>0.15</v>
      </c>
      <c r="N1377" s="9">
        <f t="shared" si="262"/>
        <v>240</v>
      </c>
      <c r="O1377" s="9">
        <f t="shared" si="252"/>
        <v>204</v>
      </c>
      <c r="P1377" s="5" t="s">
        <v>2269</v>
      </c>
      <c r="Q1377" s="5" t="s">
        <v>1761</v>
      </c>
      <c r="R1377" s="5" t="s">
        <v>2279</v>
      </c>
      <c r="S1377" s="5" t="s">
        <v>2287</v>
      </c>
      <c r="T1377" s="5" t="s">
        <v>2288</v>
      </c>
      <c r="U1377" s="8">
        <v>5</v>
      </c>
      <c r="V1377" s="8">
        <v>481</v>
      </c>
      <c r="W1377" s="8">
        <v>57</v>
      </c>
      <c r="X1377" s="9">
        <v>61.66</v>
      </c>
      <c r="Y1377" s="9">
        <f t="shared" si="253"/>
        <v>80.680000000000007</v>
      </c>
      <c r="Z1377" s="5" t="s">
        <v>1761</v>
      </c>
      <c r="AA1377" s="5" t="s">
        <v>1761</v>
      </c>
      <c r="AB1377" s="9">
        <f t="shared" si="254"/>
        <v>240</v>
      </c>
      <c r="AC1377" s="9">
        <f t="shared" si="255"/>
        <v>36</v>
      </c>
      <c r="AD1377" s="9">
        <f t="shared" si="256"/>
        <v>204</v>
      </c>
      <c r="AE1377" s="9">
        <f t="shared" si="257"/>
        <v>123.32</v>
      </c>
      <c r="AF1377" s="9">
        <f t="shared" si="263"/>
        <v>80.680000000000007</v>
      </c>
      <c r="AG1377" s="8">
        <f t="shared" si="258"/>
        <v>2024</v>
      </c>
      <c r="AH1377" s="8">
        <f t="shared" si="259"/>
        <v>1</v>
      </c>
      <c r="AI1377" s="5" t="str">
        <f t="shared" si="260"/>
        <v>Jan</v>
      </c>
      <c r="AJ1377" s="5" t="str">
        <f t="shared" si="261"/>
        <v>Monday</v>
      </c>
    </row>
    <row r="1378" spans="1:36" x14ac:dyDescent="0.3">
      <c r="A1378" s="5" t="s">
        <v>1412</v>
      </c>
      <c r="B1378" s="6">
        <v>45436</v>
      </c>
      <c r="C1378" s="7">
        <v>0.51041666666666663</v>
      </c>
      <c r="D1378" s="5" t="s">
        <v>1940</v>
      </c>
      <c r="E1378" s="5" t="s">
        <v>1952</v>
      </c>
      <c r="F1378" s="5" t="s">
        <v>2239</v>
      </c>
      <c r="G1378" s="5" t="s">
        <v>2247</v>
      </c>
      <c r="H1378" s="5" t="s">
        <v>2257</v>
      </c>
      <c r="I1378" s="5" t="s">
        <v>2262</v>
      </c>
      <c r="J1378" s="5" t="s">
        <v>2266</v>
      </c>
      <c r="K1378" s="8">
        <v>2</v>
      </c>
      <c r="L1378" s="9">
        <v>105</v>
      </c>
      <c r="M1378" s="10">
        <v>0.1</v>
      </c>
      <c r="N1378" s="9">
        <f t="shared" si="262"/>
        <v>210</v>
      </c>
      <c r="O1378" s="9">
        <f t="shared" si="252"/>
        <v>189</v>
      </c>
      <c r="P1378" s="5" t="s">
        <v>2267</v>
      </c>
      <c r="Q1378" s="5" t="s">
        <v>2272</v>
      </c>
      <c r="R1378" s="5" t="s">
        <v>2278</v>
      </c>
      <c r="S1378" s="5" t="s">
        <v>2285</v>
      </c>
      <c r="T1378" s="5" t="s">
        <v>2288</v>
      </c>
      <c r="U1378" s="8">
        <v>4</v>
      </c>
      <c r="V1378" s="8">
        <v>361</v>
      </c>
      <c r="W1378" s="8">
        <v>35</v>
      </c>
      <c r="X1378" s="9">
        <v>52.18</v>
      </c>
      <c r="Y1378" s="9">
        <f t="shared" si="253"/>
        <v>84.64</v>
      </c>
      <c r="Z1378" s="5" t="s">
        <v>2293</v>
      </c>
      <c r="AA1378" s="5" t="s">
        <v>2296</v>
      </c>
      <c r="AB1378" s="9">
        <f t="shared" si="254"/>
        <v>210</v>
      </c>
      <c r="AC1378" s="9">
        <f t="shared" si="255"/>
        <v>21</v>
      </c>
      <c r="AD1378" s="9">
        <f t="shared" si="256"/>
        <v>189</v>
      </c>
      <c r="AE1378" s="9">
        <f t="shared" si="257"/>
        <v>104.36</v>
      </c>
      <c r="AF1378" s="9">
        <f t="shared" si="263"/>
        <v>84.64</v>
      </c>
      <c r="AG1378" s="8">
        <f t="shared" si="258"/>
        <v>2024</v>
      </c>
      <c r="AH1378" s="8">
        <f t="shared" si="259"/>
        <v>5</v>
      </c>
      <c r="AI1378" s="5" t="str">
        <f t="shared" si="260"/>
        <v>May</v>
      </c>
      <c r="AJ1378" s="5" t="str">
        <f t="shared" si="261"/>
        <v>Friday</v>
      </c>
    </row>
    <row r="1379" spans="1:36" x14ac:dyDescent="0.3">
      <c r="A1379" s="5" t="s">
        <v>1413</v>
      </c>
      <c r="B1379" s="6">
        <v>45328</v>
      </c>
      <c r="C1379" s="7">
        <v>0.3125</v>
      </c>
      <c r="D1379" s="5" t="s">
        <v>1883</v>
      </c>
      <c r="E1379" s="5" t="s">
        <v>2020</v>
      </c>
      <c r="F1379" s="5" t="s">
        <v>2239</v>
      </c>
      <c r="G1379" s="5" t="s">
        <v>2256</v>
      </c>
      <c r="H1379" s="5" t="s">
        <v>2261</v>
      </c>
      <c r="I1379" s="5" t="s">
        <v>2260</v>
      </c>
      <c r="J1379" s="5" t="s">
        <v>2265</v>
      </c>
      <c r="K1379" s="8">
        <v>1</v>
      </c>
      <c r="L1379" s="9">
        <v>190</v>
      </c>
      <c r="M1379" s="10">
        <v>0.05</v>
      </c>
      <c r="N1379" s="9">
        <f t="shared" si="262"/>
        <v>190</v>
      </c>
      <c r="O1379" s="9">
        <f t="shared" si="252"/>
        <v>180.5</v>
      </c>
      <c r="P1379" s="5" t="s">
        <v>1761</v>
      </c>
      <c r="Q1379" s="5" t="s">
        <v>1761</v>
      </c>
      <c r="R1379" s="5" t="s">
        <v>2279</v>
      </c>
      <c r="S1379" s="5" t="s">
        <v>2280</v>
      </c>
      <c r="T1379" s="5" t="s">
        <v>2290</v>
      </c>
      <c r="U1379" s="8">
        <v>2</v>
      </c>
      <c r="V1379" s="8">
        <v>78</v>
      </c>
      <c r="W1379" s="8">
        <v>12</v>
      </c>
      <c r="X1379" s="9">
        <v>90.47</v>
      </c>
      <c r="Y1379" s="9">
        <f t="shared" si="253"/>
        <v>90.03</v>
      </c>
      <c r="Z1379" s="5" t="s">
        <v>2294</v>
      </c>
      <c r="AA1379" s="5" t="s">
        <v>2298</v>
      </c>
      <c r="AB1379" s="9">
        <f t="shared" si="254"/>
        <v>190</v>
      </c>
      <c r="AC1379" s="9">
        <f t="shared" si="255"/>
        <v>9.5</v>
      </c>
      <c r="AD1379" s="9">
        <f t="shared" si="256"/>
        <v>180.5</v>
      </c>
      <c r="AE1379" s="9">
        <f t="shared" si="257"/>
        <v>90.47</v>
      </c>
      <c r="AF1379" s="9">
        <f t="shared" si="263"/>
        <v>90.03</v>
      </c>
      <c r="AG1379" s="8">
        <f t="shared" si="258"/>
        <v>2024</v>
      </c>
      <c r="AH1379" s="8">
        <f t="shared" si="259"/>
        <v>2</v>
      </c>
      <c r="AI1379" s="5" t="str">
        <f t="shared" si="260"/>
        <v>Feb</v>
      </c>
      <c r="AJ1379" s="5" t="str">
        <f t="shared" si="261"/>
        <v>Tuesday</v>
      </c>
    </row>
    <row r="1380" spans="1:36" x14ac:dyDescent="0.3">
      <c r="A1380" s="5" t="s">
        <v>1414</v>
      </c>
      <c r="B1380" s="18">
        <v>45468</v>
      </c>
      <c r="C1380" s="7">
        <v>0.41666666666666669</v>
      </c>
      <c r="D1380" s="5" t="s">
        <v>1794</v>
      </c>
      <c r="E1380" s="5" t="s">
        <v>2079</v>
      </c>
      <c r="F1380" s="5" t="s">
        <v>2238</v>
      </c>
      <c r="G1380" s="5" t="s">
        <v>2255</v>
      </c>
      <c r="H1380" s="5" t="s">
        <v>2260</v>
      </c>
      <c r="I1380" s="5" t="s">
        <v>2260</v>
      </c>
      <c r="J1380" s="5" t="s">
        <v>1761</v>
      </c>
      <c r="K1380" s="8">
        <v>1</v>
      </c>
      <c r="L1380" s="9">
        <v>185</v>
      </c>
      <c r="M1380" s="10">
        <v>0</v>
      </c>
      <c r="N1380" s="9">
        <f t="shared" si="262"/>
        <v>185</v>
      </c>
      <c r="O1380" s="9">
        <f t="shared" si="252"/>
        <v>185</v>
      </c>
      <c r="P1380" s="5" t="s">
        <v>1761</v>
      </c>
      <c r="Q1380" s="5" t="s">
        <v>1761</v>
      </c>
      <c r="R1380" s="5" t="s">
        <v>2274</v>
      </c>
      <c r="S1380" s="5" t="s">
        <v>2280</v>
      </c>
      <c r="T1380" s="5" t="s">
        <v>2288</v>
      </c>
      <c r="U1380" s="8">
        <v>5</v>
      </c>
      <c r="V1380" s="8">
        <v>177</v>
      </c>
      <c r="W1380" s="8">
        <v>13</v>
      </c>
      <c r="X1380" s="9">
        <v>72.5</v>
      </c>
      <c r="Y1380" s="9">
        <f t="shared" si="253"/>
        <v>112.5</v>
      </c>
      <c r="Z1380" s="5" t="s">
        <v>1761</v>
      </c>
      <c r="AA1380" s="5" t="s">
        <v>1761</v>
      </c>
      <c r="AB1380" s="9">
        <f t="shared" si="254"/>
        <v>185</v>
      </c>
      <c r="AC1380" s="9">
        <f t="shared" si="255"/>
        <v>0</v>
      </c>
      <c r="AD1380" s="9">
        <f t="shared" si="256"/>
        <v>185</v>
      </c>
      <c r="AE1380" s="9">
        <f t="shared" si="257"/>
        <v>72.5</v>
      </c>
      <c r="AF1380" s="9">
        <f t="shared" si="263"/>
        <v>112.5</v>
      </c>
      <c r="AG1380" s="8">
        <f t="shared" si="258"/>
        <v>2024</v>
      </c>
      <c r="AH1380" s="8">
        <f t="shared" si="259"/>
        <v>6</v>
      </c>
      <c r="AI1380" s="5" t="str">
        <f t="shared" si="260"/>
        <v>Jun</v>
      </c>
      <c r="AJ1380" s="5" t="str">
        <f t="shared" si="261"/>
        <v>Tuesday</v>
      </c>
    </row>
    <row r="1381" spans="1:36" x14ac:dyDescent="0.3">
      <c r="A1381" s="5" t="s">
        <v>1415</v>
      </c>
      <c r="B1381" s="6">
        <v>45364</v>
      </c>
      <c r="C1381" s="7">
        <v>0.53472222222222221</v>
      </c>
      <c r="D1381" s="5" t="s">
        <v>1773</v>
      </c>
      <c r="E1381" s="5" t="s">
        <v>1761</v>
      </c>
      <c r="F1381" s="5" t="s">
        <v>1761</v>
      </c>
      <c r="G1381" s="5" t="s">
        <v>2249</v>
      </c>
      <c r="H1381" s="5" t="s">
        <v>2257</v>
      </c>
      <c r="I1381" s="5" t="s">
        <v>2263</v>
      </c>
      <c r="J1381" s="5" t="s">
        <v>1761</v>
      </c>
      <c r="K1381" s="8">
        <v>2</v>
      </c>
      <c r="L1381" s="9">
        <v>165</v>
      </c>
      <c r="M1381" s="10">
        <v>0.05</v>
      </c>
      <c r="N1381" s="9">
        <f t="shared" si="262"/>
        <v>330</v>
      </c>
      <c r="O1381" s="9">
        <f t="shared" si="252"/>
        <v>313.5</v>
      </c>
      <c r="P1381" s="5" t="s">
        <v>2267</v>
      </c>
      <c r="Q1381" s="5" t="s">
        <v>2272</v>
      </c>
      <c r="R1381" s="5" t="s">
        <v>2275</v>
      </c>
      <c r="S1381" s="5" t="s">
        <v>2287</v>
      </c>
      <c r="T1381" s="5" t="s">
        <v>2288</v>
      </c>
      <c r="U1381" s="8">
        <v>3</v>
      </c>
      <c r="V1381" s="8">
        <v>460</v>
      </c>
      <c r="W1381" s="8">
        <v>36</v>
      </c>
      <c r="X1381" s="9">
        <v>82.02</v>
      </c>
      <c r="Y1381" s="9">
        <f t="shared" si="253"/>
        <v>149.46</v>
      </c>
      <c r="Z1381" s="5" t="s">
        <v>2294</v>
      </c>
      <c r="AA1381" s="5" t="s">
        <v>2297</v>
      </c>
      <c r="AB1381" s="9">
        <f t="shared" si="254"/>
        <v>330</v>
      </c>
      <c r="AC1381" s="9">
        <f t="shared" si="255"/>
        <v>16.5</v>
      </c>
      <c r="AD1381" s="9">
        <f t="shared" si="256"/>
        <v>313.5</v>
      </c>
      <c r="AE1381" s="9">
        <f t="shared" si="257"/>
        <v>164.04</v>
      </c>
      <c r="AF1381" s="9">
        <f t="shared" si="263"/>
        <v>149.46</v>
      </c>
      <c r="AG1381" s="8">
        <f t="shared" si="258"/>
        <v>2024</v>
      </c>
      <c r="AH1381" s="8">
        <f t="shared" si="259"/>
        <v>3</v>
      </c>
      <c r="AI1381" s="5" t="str">
        <f t="shared" si="260"/>
        <v>Mar</v>
      </c>
      <c r="AJ1381" s="5" t="str">
        <f t="shared" si="261"/>
        <v>Wednesday</v>
      </c>
    </row>
    <row r="1382" spans="1:36" x14ac:dyDescent="0.3">
      <c r="A1382" s="5" t="s">
        <v>1416</v>
      </c>
      <c r="B1382" s="6">
        <v>45390</v>
      </c>
      <c r="C1382" s="7">
        <v>0.36458333333333331</v>
      </c>
      <c r="D1382" s="5" t="s">
        <v>1870</v>
      </c>
      <c r="E1382" s="5" t="s">
        <v>2069</v>
      </c>
      <c r="F1382" s="5" t="s">
        <v>2240</v>
      </c>
      <c r="G1382" s="5" t="s">
        <v>2242</v>
      </c>
      <c r="H1382" s="5" t="s">
        <v>2258</v>
      </c>
      <c r="I1382" s="5" t="s">
        <v>2260</v>
      </c>
      <c r="J1382" s="5" t="s">
        <v>2264</v>
      </c>
      <c r="K1382" s="8">
        <v>2</v>
      </c>
      <c r="L1382" s="9">
        <v>120</v>
      </c>
      <c r="M1382" s="10">
        <v>0.15</v>
      </c>
      <c r="N1382" s="9">
        <f t="shared" si="262"/>
        <v>240</v>
      </c>
      <c r="O1382" s="9">
        <f t="shared" si="252"/>
        <v>204</v>
      </c>
      <c r="P1382" s="5" t="s">
        <v>2267</v>
      </c>
      <c r="Q1382" s="5" t="s">
        <v>2270</v>
      </c>
      <c r="R1382" s="5" t="s">
        <v>2273</v>
      </c>
      <c r="S1382" s="5" t="s">
        <v>2285</v>
      </c>
      <c r="T1382" s="5" t="s">
        <v>2288</v>
      </c>
      <c r="U1382" s="8">
        <v>5</v>
      </c>
      <c r="V1382" s="8">
        <v>374</v>
      </c>
      <c r="W1382" s="8">
        <v>28</v>
      </c>
      <c r="X1382" s="9">
        <v>60.68</v>
      </c>
      <c r="Y1382" s="9">
        <f t="shared" si="253"/>
        <v>82.64</v>
      </c>
      <c r="Z1382" s="5" t="s">
        <v>2293</v>
      </c>
      <c r="AA1382" s="5" t="s">
        <v>2298</v>
      </c>
      <c r="AB1382" s="9">
        <f t="shared" si="254"/>
        <v>240</v>
      </c>
      <c r="AC1382" s="9">
        <f t="shared" si="255"/>
        <v>36</v>
      </c>
      <c r="AD1382" s="9">
        <f t="shared" si="256"/>
        <v>204</v>
      </c>
      <c r="AE1382" s="9">
        <f t="shared" si="257"/>
        <v>121.36</v>
      </c>
      <c r="AF1382" s="9">
        <f t="shared" si="263"/>
        <v>82.64</v>
      </c>
      <c r="AG1382" s="8">
        <f t="shared" si="258"/>
        <v>2024</v>
      </c>
      <c r="AH1382" s="8">
        <f t="shared" si="259"/>
        <v>4</v>
      </c>
      <c r="AI1382" s="5" t="str">
        <f t="shared" si="260"/>
        <v>Apr</v>
      </c>
      <c r="AJ1382" s="5" t="str">
        <f t="shared" si="261"/>
        <v>Monday</v>
      </c>
    </row>
    <row r="1383" spans="1:36" x14ac:dyDescent="0.3">
      <c r="A1383" s="5" t="s">
        <v>1417</v>
      </c>
      <c r="B1383" s="6">
        <v>45652</v>
      </c>
      <c r="C1383" s="7">
        <v>0.32291666666666669</v>
      </c>
      <c r="D1383" s="5" t="s">
        <v>1793</v>
      </c>
      <c r="E1383" s="5" t="s">
        <v>1988</v>
      </c>
      <c r="F1383" s="5" t="s">
        <v>2240</v>
      </c>
      <c r="G1383" s="5" t="s">
        <v>2252</v>
      </c>
      <c r="H1383" s="5" t="s">
        <v>2257</v>
      </c>
      <c r="I1383" s="5" t="s">
        <v>2262</v>
      </c>
      <c r="J1383" s="5" t="s">
        <v>2266</v>
      </c>
      <c r="K1383" s="8">
        <v>1</v>
      </c>
      <c r="L1383" s="9">
        <v>95</v>
      </c>
      <c r="M1383" s="10">
        <v>0.1</v>
      </c>
      <c r="N1383" s="9">
        <f t="shared" si="262"/>
        <v>95</v>
      </c>
      <c r="O1383" s="9">
        <f t="shared" si="252"/>
        <v>85.5</v>
      </c>
      <c r="P1383" s="5" t="s">
        <v>2268</v>
      </c>
      <c r="Q1383" s="5" t="s">
        <v>2272</v>
      </c>
      <c r="R1383" s="5" t="s">
        <v>2273</v>
      </c>
      <c r="S1383" s="5" t="s">
        <v>2286</v>
      </c>
      <c r="T1383" s="5" t="s">
        <v>2290</v>
      </c>
      <c r="U1383" s="8">
        <v>4</v>
      </c>
      <c r="V1383" s="8">
        <v>385</v>
      </c>
      <c r="W1383" s="8">
        <v>35</v>
      </c>
      <c r="X1383" s="9">
        <v>43.66</v>
      </c>
      <c r="Y1383" s="9">
        <f t="shared" si="253"/>
        <v>41.84</v>
      </c>
      <c r="Z1383" s="5" t="s">
        <v>2293</v>
      </c>
      <c r="AA1383" s="5" t="s">
        <v>2296</v>
      </c>
      <c r="AB1383" s="9">
        <f t="shared" si="254"/>
        <v>95</v>
      </c>
      <c r="AC1383" s="9">
        <f t="shared" si="255"/>
        <v>9.5</v>
      </c>
      <c r="AD1383" s="9">
        <f t="shared" si="256"/>
        <v>85.5</v>
      </c>
      <c r="AE1383" s="9">
        <f t="shared" si="257"/>
        <v>43.66</v>
      </c>
      <c r="AF1383" s="9">
        <f t="shared" si="263"/>
        <v>41.84</v>
      </c>
      <c r="AG1383" s="8">
        <f t="shared" si="258"/>
        <v>2024</v>
      </c>
      <c r="AH1383" s="8">
        <f t="shared" si="259"/>
        <v>12</v>
      </c>
      <c r="AI1383" s="5" t="str">
        <f t="shared" si="260"/>
        <v>Dec</v>
      </c>
      <c r="AJ1383" s="5" t="str">
        <f t="shared" si="261"/>
        <v>Thursday</v>
      </c>
    </row>
    <row r="1384" spans="1:36" x14ac:dyDescent="0.3">
      <c r="A1384" s="5" t="s">
        <v>1418</v>
      </c>
      <c r="B1384" s="6">
        <v>45347</v>
      </c>
      <c r="C1384" s="7">
        <v>0.40972222222222221</v>
      </c>
      <c r="D1384" s="5" t="s">
        <v>1747</v>
      </c>
      <c r="E1384" s="5" t="s">
        <v>2195</v>
      </c>
      <c r="F1384" s="5" t="s">
        <v>1761</v>
      </c>
      <c r="G1384" s="5" t="s">
        <v>2253</v>
      </c>
      <c r="H1384" s="5" t="s">
        <v>2258</v>
      </c>
      <c r="I1384" s="5" t="s">
        <v>2260</v>
      </c>
      <c r="J1384" s="5" t="s">
        <v>2264</v>
      </c>
      <c r="K1384" s="8">
        <v>1</v>
      </c>
      <c r="L1384" s="9">
        <v>90</v>
      </c>
      <c r="M1384" s="10">
        <v>0</v>
      </c>
      <c r="N1384" s="9">
        <f t="shared" si="262"/>
        <v>90</v>
      </c>
      <c r="O1384" s="9">
        <f t="shared" si="252"/>
        <v>90</v>
      </c>
      <c r="P1384" s="5" t="s">
        <v>2269</v>
      </c>
      <c r="Q1384" s="5" t="s">
        <v>2270</v>
      </c>
      <c r="R1384" s="5" t="s">
        <v>2273</v>
      </c>
      <c r="S1384" s="5" t="s">
        <v>2282</v>
      </c>
      <c r="T1384" s="5" t="s">
        <v>2288</v>
      </c>
      <c r="U1384" s="8">
        <v>4</v>
      </c>
      <c r="V1384" s="8">
        <v>104</v>
      </c>
      <c r="W1384" s="19">
        <v>34</v>
      </c>
      <c r="X1384" s="9">
        <v>45.18</v>
      </c>
      <c r="Y1384" s="9">
        <f t="shared" si="253"/>
        <v>44.82</v>
      </c>
      <c r="Z1384" s="5" t="s">
        <v>1761</v>
      </c>
      <c r="AA1384" s="5" t="s">
        <v>2297</v>
      </c>
      <c r="AB1384" s="9">
        <f t="shared" si="254"/>
        <v>90</v>
      </c>
      <c r="AC1384" s="9">
        <f t="shared" si="255"/>
        <v>0</v>
      </c>
      <c r="AD1384" s="9">
        <f t="shared" si="256"/>
        <v>90</v>
      </c>
      <c r="AE1384" s="9">
        <f t="shared" si="257"/>
        <v>45.18</v>
      </c>
      <c r="AF1384" s="9">
        <f t="shared" si="263"/>
        <v>44.82</v>
      </c>
      <c r="AG1384" s="8">
        <f t="shared" si="258"/>
        <v>2024</v>
      </c>
      <c r="AH1384" s="8">
        <f t="shared" si="259"/>
        <v>2</v>
      </c>
      <c r="AI1384" s="5" t="str">
        <f t="shared" si="260"/>
        <v>Feb</v>
      </c>
      <c r="AJ1384" s="5" t="str">
        <f t="shared" si="261"/>
        <v>Sunday</v>
      </c>
    </row>
    <row r="1385" spans="1:36" x14ac:dyDescent="0.3">
      <c r="A1385" s="5" t="s">
        <v>1419</v>
      </c>
      <c r="B1385" s="6">
        <v>45374</v>
      </c>
      <c r="C1385" s="7">
        <v>0.45833333333333331</v>
      </c>
      <c r="D1385" s="5" t="s">
        <v>1941</v>
      </c>
      <c r="E1385" s="5" t="s">
        <v>1761</v>
      </c>
      <c r="F1385" s="5" t="s">
        <v>2240</v>
      </c>
      <c r="G1385" s="5" t="s">
        <v>2244</v>
      </c>
      <c r="H1385" s="5" t="s">
        <v>2257</v>
      </c>
      <c r="I1385" s="5" t="s">
        <v>2262</v>
      </c>
      <c r="J1385" s="5" t="s">
        <v>2266</v>
      </c>
      <c r="K1385" s="8">
        <v>2</v>
      </c>
      <c r="L1385" s="9">
        <v>120</v>
      </c>
      <c r="M1385" s="10">
        <v>0.05</v>
      </c>
      <c r="N1385" s="9">
        <f t="shared" si="262"/>
        <v>240</v>
      </c>
      <c r="O1385" s="9">
        <f t="shared" si="252"/>
        <v>228</v>
      </c>
      <c r="P1385" s="5" t="s">
        <v>2269</v>
      </c>
      <c r="Q1385" s="5" t="s">
        <v>2272</v>
      </c>
      <c r="R1385" s="5" t="s">
        <v>2273</v>
      </c>
      <c r="S1385" s="5" t="s">
        <v>2284</v>
      </c>
      <c r="T1385" s="5" t="s">
        <v>2288</v>
      </c>
      <c r="U1385" s="19">
        <v>3</v>
      </c>
      <c r="V1385" s="8">
        <v>481</v>
      </c>
      <c r="W1385" s="19">
        <v>35</v>
      </c>
      <c r="X1385" s="9">
        <v>44.16</v>
      </c>
      <c r="Y1385" s="9">
        <f t="shared" si="253"/>
        <v>139.68</v>
      </c>
      <c r="Z1385" s="5" t="s">
        <v>1761</v>
      </c>
      <c r="AA1385" s="5" t="s">
        <v>2296</v>
      </c>
      <c r="AB1385" s="9">
        <f t="shared" si="254"/>
        <v>240</v>
      </c>
      <c r="AC1385" s="9">
        <f t="shared" si="255"/>
        <v>12</v>
      </c>
      <c r="AD1385" s="9">
        <f t="shared" si="256"/>
        <v>228</v>
      </c>
      <c r="AE1385" s="9">
        <f t="shared" si="257"/>
        <v>88.32</v>
      </c>
      <c r="AF1385" s="9">
        <f t="shared" si="263"/>
        <v>139.68</v>
      </c>
      <c r="AG1385" s="8">
        <f t="shared" si="258"/>
        <v>2024</v>
      </c>
      <c r="AH1385" s="8">
        <f t="shared" si="259"/>
        <v>3</v>
      </c>
      <c r="AI1385" s="5" t="str">
        <f t="shared" si="260"/>
        <v>Mar</v>
      </c>
      <c r="AJ1385" s="5" t="str">
        <f t="shared" si="261"/>
        <v>Saturday</v>
      </c>
    </row>
    <row r="1386" spans="1:36" x14ac:dyDescent="0.3">
      <c r="A1386" s="5" t="s">
        <v>1420</v>
      </c>
      <c r="B1386" s="6">
        <v>45617</v>
      </c>
      <c r="C1386" s="7">
        <v>0.59027777777777779</v>
      </c>
      <c r="D1386" s="5" t="s">
        <v>1760</v>
      </c>
      <c r="E1386" s="5" t="s">
        <v>2044</v>
      </c>
      <c r="F1386" s="5" t="s">
        <v>2238</v>
      </c>
      <c r="G1386" s="5" t="s">
        <v>2253</v>
      </c>
      <c r="H1386" s="5" t="s">
        <v>2258</v>
      </c>
      <c r="I1386" s="5" t="s">
        <v>2260</v>
      </c>
      <c r="J1386" s="5" t="s">
        <v>2265</v>
      </c>
      <c r="K1386" s="8">
        <v>1</v>
      </c>
      <c r="L1386" s="9">
        <v>100</v>
      </c>
      <c r="M1386" s="10">
        <v>0.1</v>
      </c>
      <c r="N1386" s="9">
        <f t="shared" si="262"/>
        <v>100</v>
      </c>
      <c r="O1386" s="9">
        <f t="shared" si="252"/>
        <v>90</v>
      </c>
      <c r="P1386" s="5" t="s">
        <v>2267</v>
      </c>
      <c r="Q1386" s="5" t="s">
        <v>1761</v>
      </c>
      <c r="R1386" s="5" t="s">
        <v>2274</v>
      </c>
      <c r="S1386" s="5" t="s">
        <v>2282</v>
      </c>
      <c r="T1386" s="5" t="s">
        <v>2288</v>
      </c>
      <c r="U1386" s="8">
        <v>3</v>
      </c>
      <c r="V1386" s="8">
        <v>194</v>
      </c>
      <c r="W1386" s="8">
        <v>44</v>
      </c>
      <c r="X1386" s="9">
        <v>46.44</v>
      </c>
      <c r="Y1386" s="9">
        <f t="shared" si="253"/>
        <v>43.56</v>
      </c>
      <c r="Z1386" s="5" t="s">
        <v>2293</v>
      </c>
      <c r="AA1386" s="5" t="s">
        <v>1761</v>
      </c>
      <c r="AB1386" s="9">
        <f t="shared" si="254"/>
        <v>100</v>
      </c>
      <c r="AC1386" s="9">
        <f t="shared" si="255"/>
        <v>10</v>
      </c>
      <c r="AD1386" s="9">
        <f t="shared" si="256"/>
        <v>90</v>
      </c>
      <c r="AE1386" s="9">
        <f t="shared" si="257"/>
        <v>46.44</v>
      </c>
      <c r="AF1386" s="9">
        <f t="shared" si="263"/>
        <v>43.56</v>
      </c>
      <c r="AG1386" s="8">
        <f t="shared" si="258"/>
        <v>2024</v>
      </c>
      <c r="AH1386" s="8">
        <f t="shared" si="259"/>
        <v>11</v>
      </c>
      <c r="AI1386" s="5" t="str">
        <f t="shared" si="260"/>
        <v>Nov</v>
      </c>
      <c r="AJ1386" s="5" t="str">
        <f t="shared" si="261"/>
        <v>Thursday</v>
      </c>
    </row>
    <row r="1387" spans="1:36" x14ac:dyDescent="0.3">
      <c r="A1387" s="5" t="s">
        <v>1421</v>
      </c>
      <c r="B1387" s="6">
        <v>45526</v>
      </c>
      <c r="C1387" s="7">
        <v>0.3125</v>
      </c>
      <c r="D1387" s="5" t="s">
        <v>1859</v>
      </c>
      <c r="E1387" s="5" t="s">
        <v>1947</v>
      </c>
      <c r="F1387" s="5" t="s">
        <v>2239</v>
      </c>
      <c r="G1387" s="5" t="s">
        <v>2246</v>
      </c>
      <c r="H1387" s="5" t="s">
        <v>2259</v>
      </c>
      <c r="I1387" s="5" t="s">
        <v>2262</v>
      </c>
      <c r="J1387" s="5" t="s">
        <v>2266</v>
      </c>
      <c r="K1387" s="8">
        <v>3</v>
      </c>
      <c r="L1387" s="9">
        <v>100</v>
      </c>
      <c r="M1387" s="10">
        <v>0.05</v>
      </c>
      <c r="N1387" s="9">
        <f t="shared" si="262"/>
        <v>300</v>
      </c>
      <c r="O1387" s="9">
        <f t="shared" si="252"/>
        <v>285</v>
      </c>
      <c r="P1387" s="5" t="s">
        <v>2267</v>
      </c>
      <c r="Q1387" s="5" t="s">
        <v>2272</v>
      </c>
      <c r="R1387" s="5" t="s">
        <v>2273</v>
      </c>
      <c r="S1387" s="5" t="s">
        <v>2283</v>
      </c>
      <c r="T1387" s="5" t="s">
        <v>2288</v>
      </c>
      <c r="U1387" s="8">
        <v>5</v>
      </c>
      <c r="V1387" s="8">
        <v>291</v>
      </c>
      <c r="W1387" s="8">
        <v>25</v>
      </c>
      <c r="X1387" s="9">
        <v>51.49</v>
      </c>
      <c r="Y1387" s="9">
        <f t="shared" si="253"/>
        <v>130.53</v>
      </c>
      <c r="Z1387" s="5" t="s">
        <v>2292</v>
      </c>
      <c r="AA1387" s="5" t="s">
        <v>1761</v>
      </c>
      <c r="AB1387" s="9">
        <f t="shared" si="254"/>
        <v>300</v>
      </c>
      <c r="AC1387" s="9">
        <f t="shared" si="255"/>
        <v>15</v>
      </c>
      <c r="AD1387" s="9">
        <f t="shared" si="256"/>
        <v>285</v>
      </c>
      <c r="AE1387" s="9">
        <f t="shared" si="257"/>
        <v>154.47</v>
      </c>
      <c r="AF1387" s="9">
        <f t="shared" si="263"/>
        <v>130.53</v>
      </c>
      <c r="AG1387" s="8">
        <f t="shared" si="258"/>
        <v>2024</v>
      </c>
      <c r="AH1387" s="8">
        <f t="shared" si="259"/>
        <v>8</v>
      </c>
      <c r="AI1387" s="5" t="str">
        <f t="shared" si="260"/>
        <v>Aug</v>
      </c>
      <c r="AJ1387" s="5" t="str">
        <f t="shared" si="261"/>
        <v>Thursday</v>
      </c>
    </row>
    <row r="1388" spans="1:36" x14ac:dyDescent="0.3">
      <c r="A1388" s="5" t="s">
        <v>1422</v>
      </c>
      <c r="B1388" s="6">
        <v>45395</v>
      </c>
      <c r="C1388" s="7">
        <v>0.46527777777777779</v>
      </c>
      <c r="D1388" s="5" t="s">
        <v>1831</v>
      </c>
      <c r="E1388" s="5" t="s">
        <v>2006</v>
      </c>
      <c r="F1388" s="5" t="s">
        <v>2240</v>
      </c>
      <c r="G1388" s="5" t="s">
        <v>2247</v>
      </c>
      <c r="H1388" s="5" t="s">
        <v>2257</v>
      </c>
      <c r="I1388" s="5" t="s">
        <v>2262</v>
      </c>
      <c r="J1388" s="5" t="s">
        <v>1761</v>
      </c>
      <c r="K1388" s="8">
        <v>1</v>
      </c>
      <c r="L1388" s="9">
        <v>95</v>
      </c>
      <c r="M1388" s="10">
        <v>0</v>
      </c>
      <c r="N1388" s="9">
        <f t="shared" si="262"/>
        <v>95</v>
      </c>
      <c r="O1388" s="9">
        <f t="shared" si="252"/>
        <v>95</v>
      </c>
      <c r="P1388" s="5" t="s">
        <v>2269</v>
      </c>
      <c r="Q1388" s="5" t="s">
        <v>2272</v>
      </c>
      <c r="R1388" s="5" t="s">
        <v>2277</v>
      </c>
      <c r="S1388" s="5" t="s">
        <v>2284</v>
      </c>
      <c r="T1388" s="5" t="s">
        <v>2288</v>
      </c>
      <c r="U1388" s="8">
        <v>3</v>
      </c>
      <c r="V1388" s="8">
        <v>113</v>
      </c>
      <c r="W1388" s="8">
        <v>44</v>
      </c>
      <c r="X1388" s="9">
        <v>54.72</v>
      </c>
      <c r="Y1388" s="9">
        <f t="shared" si="253"/>
        <v>40.28</v>
      </c>
      <c r="Z1388" s="5" t="s">
        <v>2294</v>
      </c>
      <c r="AA1388" s="5" t="s">
        <v>2299</v>
      </c>
      <c r="AB1388" s="9">
        <f t="shared" si="254"/>
        <v>95</v>
      </c>
      <c r="AC1388" s="9">
        <f t="shared" si="255"/>
        <v>0</v>
      </c>
      <c r="AD1388" s="9">
        <f t="shared" si="256"/>
        <v>95</v>
      </c>
      <c r="AE1388" s="9">
        <f t="shared" si="257"/>
        <v>54.72</v>
      </c>
      <c r="AF1388" s="9">
        <f t="shared" si="263"/>
        <v>40.28</v>
      </c>
      <c r="AG1388" s="8">
        <f t="shared" si="258"/>
        <v>2024</v>
      </c>
      <c r="AH1388" s="8">
        <f t="shared" si="259"/>
        <v>4</v>
      </c>
      <c r="AI1388" s="5" t="str">
        <f t="shared" si="260"/>
        <v>Apr</v>
      </c>
      <c r="AJ1388" s="5" t="str">
        <f t="shared" si="261"/>
        <v>Saturday</v>
      </c>
    </row>
    <row r="1389" spans="1:36" x14ac:dyDescent="0.3">
      <c r="A1389" s="5" t="s">
        <v>1423</v>
      </c>
      <c r="B1389" s="6">
        <v>45577</v>
      </c>
      <c r="C1389" s="7">
        <v>0.88541666666666663</v>
      </c>
      <c r="D1389" s="5" t="s">
        <v>1761</v>
      </c>
      <c r="E1389" s="5" t="s">
        <v>2094</v>
      </c>
      <c r="F1389" s="5" t="s">
        <v>2238</v>
      </c>
      <c r="G1389" s="5" t="s">
        <v>2254</v>
      </c>
      <c r="H1389" s="5" t="s">
        <v>2259</v>
      </c>
      <c r="I1389" s="5" t="s">
        <v>2263</v>
      </c>
      <c r="J1389" s="5" t="s">
        <v>1761</v>
      </c>
      <c r="K1389" s="8">
        <v>3</v>
      </c>
      <c r="L1389" s="9">
        <v>105</v>
      </c>
      <c r="M1389" s="10">
        <v>0</v>
      </c>
      <c r="N1389" s="9">
        <f t="shared" si="262"/>
        <v>315</v>
      </c>
      <c r="O1389" s="9">
        <f t="shared" si="252"/>
        <v>315</v>
      </c>
      <c r="P1389" s="5" t="s">
        <v>2269</v>
      </c>
      <c r="Q1389" s="5" t="s">
        <v>2270</v>
      </c>
      <c r="R1389" s="5" t="s">
        <v>2277</v>
      </c>
      <c r="S1389" s="5" t="s">
        <v>2280</v>
      </c>
      <c r="T1389" s="5" t="s">
        <v>2288</v>
      </c>
      <c r="U1389" s="8">
        <v>3</v>
      </c>
      <c r="V1389" s="8">
        <v>290</v>
      </c>
      <c r="W1389" s="19">
        <v>34</v>
      </c>
      <c r="X1389" s="9">
        <v>43.53</v>
      </c>
      <c r="Y1389" s="9">
        <f t="shared" si="253"/>
        <v>184.41</v>
      </c>
      <c r="Z1389" s="5" t="s">
        <v>2293</v>
      </c>
      <c r="AA1389" s="5" t="s">
        <v>2299</v>
      </c>
      <c r="AB1389" s="9">
        <f t="shared" si="254"/>
        <v>315</v>
      </c>
      <c r="AC1389" s="9">
        <f t="shared" si="255"/>
        <v>0</v>
      </c>
      <c r="AD1389" s="9">
        <f t="shared" si="256"/>
        <v>315</v>
      </c>
      <c r="AE1389" s="9">
        <f t="shared" si="257"/>
        <v>130.59</v>
      </c>
      <c r="AF1389" s="9">
        <f t="shared" si="263"/>
        <v>184.41</v>
      </c>
      <c r="AG1389" s="8">
        <f t="shared" si="258"/>
        <v>2024</v>
      </c>
      <c r="AH1389" s="8">
        <f t="shared" si="259"/>
        <v>10</v>
      </c>
      <c r="AI1389" s="5" t="str">
        <f t="shared" si="260"/>
        <v>Oct</v>
      </c>
      <c r="AJ1389" s="5" t="str">
        <f t="shared" si="261"/>
        <v>Saturday</v>
      </c>
    </row>
    <row r="1390" spans="1:36" x14ac:dyDescent="0.3">
      <c r="A1390" s="5" t="s">
        <v>1424</v>
      </c>
      <c r="B1390" s="6">
        <v>45545</v>
      </c>
      <c r="C1390" s="7">
        <v>0.39583333333333331</v>
      </c>
      <c r="D1390" s="5" t="s">
        <v>1782</v>
      </c>
      <c r="E1390" s="5" t="s">
        <v>1962</v>
      </c>
      <c r="F1390" s="5" t="s">
        <v>2240</v>
      </c>
      <c r="G1390" s="5" t="s">
        <v>2250</v>
      </c>
      <c r="H1390" s="5" t="s">
        <v>2259</v>
      </c>
      <c r="I1390" s="5" t="s">
        <v>2262</v>
      </c>
      <c r="J1390" s="5" t="s">
        <v>2266</v>
      </c>
      <c r="K1390" s="8">
        <v>2</v>
      </c>
      <c r="L1390" s="9">
        <v>90</v>
      </c>
      <c r="M1390" s="10">
        <v>0</v>
      </c>
      <c r="N1390" s="9">
        <f t="shared" si="262"/>
        <v>180</v>
      </c>
      <c r="O1390" s="9">
        <f t="shared" si="252"/>
        <v>180</v>
      </c>
      <c r="P1390" s="5" t="s">
        <v>2267</v>
      </c>
      <c r="Q1390" s="5" t="s">
        <v>2270</v>
      </c>
      <c r="R1390" s="5" t="s">
        <v>2275</v>
      </c>
      <c r="S1390" s="5" t="s">
        <v>2280</v>
      </c>
      <c r="T1390" s="5" t="s">
        <v>2288</v>
      </c>
      <c r="U1390" s="8">
        <v>5</v>
      </c>
      <c r="V1390" s="8">
        <v>59</v>
      </c>
      <c r="W1390" s="8">
        <v>46</v>
      </c>
      <c r="X1390" s="9">
        <v>36.01</v>
      </c>
      <c r="Y1390" s="9">
        <f t="shared" si="253"/>
        <v>107.98</v>
      </c>
      <c r="Z1390" s="5" t="s">
        <v>1761</v>
      </c>
      <c r="AA1390" s="5" t="s">
        <v>2296</v>
      </c>
      <c r="AB1390" s="9">
        <f t="shared" si="254"/>
        <v>180</v>
      </c>
      <c r="AC1390" s="9">
        <f t="shared" si="255"/>
        <v>0</v>
      </c>
      <c r="AD1390" s="9">
        <f t="shared" si="256"/>
        <v>180</v>
      </c>
      <c r="AE1390" s="9">
        <f t="shared" si="257"/>
        <v>72.02</v>
      </c>
      <c r="AF1390" s="9">
        <f t="shared" si="263"/>
        <v>107.98</v>
      </c>
      <c r="AG1390" s="8">
        <f t="shared" si="258"/>
        <v>2024</v>
      </c>
      <c r="AH1390" s="8">
        <f t="shared" si="259"/>
        <v>9</v>
      </c>
      <c r="AI1390" s="5" t="str">
        <f t="shared" si="260"/>
        <v>Sep</v>
      </c>
      <c r="AJ1390" s="5" t="str">
        <f t="shared" si="261"/>
        <v>Tuesday</v>
      </c>
    </row>
    <row r="1391" spans="1:36" x14ac:dyDescent="0.3">
      <c r="A1391" s="5" t="s">
        <v>1425</v>
      </c>
      <c r="B1391" s="6">
        <v>45564</v>
      </c>
      <c r="C1391" s="7">
        <v>0.84375</v>
      </c>
      <c r="D1391" s="5" t="s">
        <v>1813</v>
      </c>
      <c r="E1391" s="5" t="s">
        <v>1970</v>
      </c>
      <c r="F1391" s="5" t="s">
        <v>2238</v>
      </c>
      <c r="G1391" s="5" t="s">
        <v>2241</v>
      </c>
      <c r="H1391" s="5" t="s">
        <v>2257</v>
      </c>
      <c r="I1391" s="5" t="s">
        <v>2262</v>
      </c>
      <c r="J1391" s="5" t="s">
        <v>2266</v>
      </c>
      <c r="K1391" s="8">
        <v>1</v>
      </c>
      <c r="L1391" s="9">
        <v>130</v>
      </c>
      <c r="M1391" s="10">
        <v>0.1</v>
      </c>
      <c r="N1391" s="9">
        <f t="shared" si="262"/>
        <v>130</v>
      </c>
      <c r="O1391" s="9">
        <f t="shared" si="252"/>
        <v>117</v>
      </c>
      <c r="P1391" s="5" t="s">
        <v>2269</v>
      </c>
      <c r="Q1391" s="5" t="s">
        <v>2272</v>
      </c>
      <c r="R1391" s="5" t="s">
        <v>2278</v>
      </c>
      <c r="S1391" s="5" t="s">
        <v>2283</v>
      </c>
      <c r="T1391" s="5" t="s">
        <v>2288</v>
      </c>
      <c r="U1391" s="8">
        <v>5</v>
      </c>
      <c r="V1391" s="8">
        <v>73</v>
      </c>
      <c r="W1391" s="19">
        <v>35</v>
      </c>
      <c r="X1391" s="9">
        <v>63.16</v>
      </c>
      <c r="Y1391" s="9">
        <f t="shared" si="253"/>
        <v>53.84</v>
      </c>
      <c r="Z1391" s="5" t="s">
        <v>2292</v>
      </c>
      <c r="AA1391" s="5" t="s">
        <v>1761</v>
      </c>
      <c r="AB1391" s="9">
        <f t="shared" si="254"/>
        <v>130</v>
      </c>
      <c r="AC1391" s="9">
        <f t="shared" si="255"/>
        <v>13</v>
      </c>
      <c r="AD1391" s="9">
        <f t="shared" si="256"/>
        <v>117</v>
      </c>
      <c r="AE1391" s="9">
        <f t="shared" si="257"/>
        <v>63.16</v>
      </c>
      <c r="AF1391" s="9">
        <f t="shared" si="263"/>
        <v>53.84</v>
      </c>
      <c r="AG1391" s="8">
        <f t="shared" si="258"/>
        <v>2024</v>
      </c>
      <c r="AH1391" s="8">
        <f t="shared" si="259"/>
        <v>9</v>
      </c>
      <c r="AI1391" s="5" t="str">
        <f t="shared" si="260"/>
        <v>Sep</v>
      </c>
      <c r="AJ1391" s="5" t="str">
        <f t="shared" si="261"/>
        <v>Sunday</v>
      </c>
    </row>
    <row r="1392" spans="1:36" x14ac:dyDescent="0.3">
      <c r="A1392" s="5" t="s">
        <v>1426</v>
      </c>
      <c r="B1392" s="6">
        <v>45503</v>
      </c>
      <c r="C1392" s="7">
        <v>0.61805555555555558</v>
      </c>
      <c r="D1392" s="5" t="s">
        <v>1907</v>
      </c>
      <c r="E1392" s="5" t="s">
        <v>2013</v>
      </c>
      <c r="F1392" s="5" t="s">
        <v>2239</v>
      </c>
      <c r="G1392" s="5" t="s">
        <v>2251</v>
      </c>
      <c r="H1392" s="5" t="s">
        <v>2258</v>
      </c>
      <c r="I1392" s="5" t="s">
        <v>2260</v>
      </c>
      <c r="J1392" s="5" t="s">
        <v>2264</v>
      </c>
      <c r="K1392" s="8">
        <v>1</v>
      </c>
      <c r="L1392" s="9">
        <v>95</v>
      </c>
      <c r="M1392" s="10">
        <v>0</v>
      </c>
      <c r="N1392" s="9">
        <f t="shared" si="262"/>
        <v>95</v>
      </c>
      <c r="O1392" s="9">
        <f t="shared" si="252"/>
        <v>95</v>
      </c>
      <c r="P1392" s="5" t="s">
        <v>2267</v>
      </c>
      <c r="Q1392" s="5" t="s">
        <v>2271</v>
      </c>
      <c r="R1392" s="5" t="s">
        <v>2277</v>
      </c>
      <c r="S1392" s="5" t="s">
        <v>2286</v>
      </c>
      <c r="T1392" s="5" t="s">
        <v>2288</v>
      </c>
      <c r="U1392" s="8">
        <v>5</v>
      </c>
      <c r="V1392" s="8">
        <v>445</v>
      </c>
      <c r="W1392" s="19">
        <v>37</v>
      </c>
      <c r="X1392" s="9">
        <v>36.04</v>
      </c>
      <c r="Y1392" s="9">
        <f t="shared" si="253"/>
        <v>58.96</v>
      </c>
      <c r="Z1392" s="5" t="s">
        <v>1761</v>
      </c>
      <c r="AA1392" s="5" t="s">
        <v>1761</v>
      </c>
      <c r="AB1392" s="9">
        <f t="shared" si="254"/>
        <v>95</v>
      </c>
      <c r="AC1392" s="9">
        <f t="shared" si="255"/>
        <v>0</v>
      </c>
      <c r="AD1392" s="9">
        <f t="shared" si="256"/>
        <v>95</v>
      </c>
      <c r="AE1392" s="9">
        <f t="shared" si="257"/>
        <v>36.04</v>
      </c>
      <c r="AF1392" s="9">
        <f t="shared" si="263"/>
        <v>58.96</v>
      </c>
      <c r="AG1392" s="8">
        <f t="shared" si="258"/>
        <v>2024</v>
      </c>
      <c r="AH1392" s="8">
        <f t="shared" si="259"/>
        <v>7</v>
      </c>
      <c r="AI1392" s="5" t="str">
        <f t="shared" si="260"/>
        <v>Jul</v>
      </c>
      <c r="AJ1392" s="5" t="str">
        <f t="shared" si="261"/>
        <v>Tuesday</v>
      </c>
    </row>
    <row r="1393" spans="1:36" x14ac:dyDescent="0.3">
      <c r="A1393" s="5" t="s">
        <v>1427</v>
      </c>
      <c r="B1393" s="6">
        <v>45616</v>
      </c>
      <c r="C1393" s="7">
        <v>0.57638888888888884</v>
      </c>
      <c r="D1393" s="5" t="s">
        <v>1865</v>
      </c>
      <c r="E1393" s="5" t="s">
        <v>2104</v>
      </c>
      <c r="F1393" s="5" t="s">
        <v>2240</v>
      </c>
      <c r="G1393" s="5" t="s">
        <v>2242</v>
      </c>
      <c r="H1393" s="5" t="s">
        <v>2258</v>
      </c>
      <c r="I1393" s="5" t="s">
        <v>2260</v>
      </c>
      <c r="J1393" s="5" t="s">
        <v>1761</v>
      </c>
      <c r="K1393" s="8">
        <v>1</v>
      </c>
      <c r="L1393" s="9">
        <v>120</v>
      </c>
      <c r="M1393" s="10">
        <v>0</v>
      </c>
      <c r="N1393" s="9">
        <f t="shared" si="262"/>
        <v>120</v>
      </c>
      <c r="O1393" s="9">
        <f t="shared" si="252"/>
        <v>120</v>
      </c>
      <c r="P1393" s="5" t="s">
        <v>2269</v>
      </c>
      <c r="Q1393" s="5" t="s">
        <v>2271</v>
      </c>
      <c r="R1393" s="5" t="s">
        <v>2277</v>
      </c>
      <c r="S1393" s="5" t="s">
        <v>2285</v>
      </c>
      <c r="T1393" s="5" t="s">
        <v>2288</v>
      </c>
      <c r="U1393" s="19">
        <v>3</v>
      </c>
      <c r="V1393" s="8">
        <v>8</v>
      </c>
      <c r="W1393" s="8">
        <v>50</v>
      </c>
      <c r="X1393" s="9">
        <v>52.09</v>
      </c>
      <c r="Y1393" s="9">
        <f t="shared" si="253"/>
        <v>67.91</v>
      </c>
      <c r="Z1393" s="5" t="s">
        <v>1761</v>
      </c>
      <c r="AA1393" s="5" t="s">
        <v>1761</v>
      </c>
      <c r="AB1393" s="9">
        <f t="shared" si="254"/>
        <v>120</v>
      </c>
      <c r="AC1393" s="9">
        <f t="shared" si="255"/>
        <v>0</v>
      </c>
      <c r="AD1393" s="9">
        <f t="shared" si="256"/>
        <v>120</v>
      </c>
      <c r="AE1393" s="9">
        <f t="shared" si="257"/>
        <v>52.09</v>
      </c>
      <c r="AF1393" s="9">
        <f t="shared" si="263"/>
        <v>67.91</v>
      </c>
      <c r="AG1393" s="8">
        <f t="shared" si="258"/>
        <v>2024</v>
      </c>
      <c r="AH1393" s="8">
        <f t="shared" si="259"/>
        <v>11</v>
      </c>
      <c r="AI1393" s="5" t="str">
        <f t="shared" si="260"/>
        <v>Nov</v>
      </c>
      <c r="AJ1393" s="5" t="str">
        <f t="shared" si="261"/>
        <v>Wednesday</v>
      </c>
    </row>
    <row r="1394" spans="1:36" x14ac:dyDescent="0.3">
      <c r="A1394" s="5" t="s">
        <v>1428</v>
      </c>
      <c r="B1394" s="6">
        <v>45529</v>
      </c>
      <c r="C1394" s="7">
        <v>0.39583333333333331</v>
      </c>
      <c r="D1394" s="5" t="s">
        <v>1798</v>
      </c>
      <c r="E1394" s="5" t="s">
        <v>1981</v>
      </c>
      <c r="F1394" s="5" t="s">
        <v>2238</v>
      </c>
      <c r="G1394" s="5" t="s">
        <v>2242</v>
      </c>
      <c r="H1394" s="5" t="s">
        <v>2258</v>
      </c>
      <c r="I1394" s="5" t="s">
        <v>2260</v>
      </c>
      <c r="J1394" s="5" t="s">
        <v>2266</v>
      </c>
      <c r="K1394" s="8">
        <v>4</v>
      </c>
      <c r="L1394" s="9">
        <v>130</v>
      </c>
      <c r="M1394" s="10">
        <v>0</v>
      </c>
      <c r="N1394" s="9">
        <f t="shared" si="262"/>
        <v>520</v>
      </c>
      <c r="O1394" s="9">
        <f t="shared" si="252"/>
        <v>520</v>
      </c>
      <c r="P1394" s="5" t="s">
        <v>2267</v>
      </c>
      <c r="Q1394" s="5" t="s">
        <v>2272</v>
      </c>
      <c r="R1394" s="5" t="s">
        <v>2277</v>
      </c>
      <c r="S1394" s="5" t="s">
        <v>2286</v>
      </c>
      <c r="T1394" s="5" t="s">
        <v>2288</v>
      </c>
      <c r="U1394" s="8">
        <v>3</v>
      </c>
      <c r="V1394" s="8">
        <v>59</v>
      </c>
      <c r="W1394" s="8">
        <v>42</v>
      </c>
      <c r="X1394" s="9">
        <v>63.53</v>
      </c>
      <c r="Y1394" s="9">
        <f t="shared" si="253"/>
        <v>265.88</v>
      </c>
      <c r="Z1394" s="5" t="s">
        <v>1761</v>
      </c>
      <c r="AA1394" s="5" t="s">
        <v>2299</v>
      </c>
      <c r="AB1394" s="9">
        <f t="shared" si="254"/>
        <v>520</v>
      </c>
      <c r="AC1394" s="9">
        <f t="shared" si="255"/>
        <v>0</v>
      </c>
      <c r="AD1394" s="9">
        <f t="shared" si="256"/>
        <v>520</v>
      </c>
      <c r="AE1394" s="9">
        <f t="shared" si="257"/>
        <v>254.12</v>
      </c>
      <c r="AF1394" s="9">
        <f t="shared" si="263"/>
        <v>265.88</v>
      </c>
      <c r="AG1394" s="8">
        <f t="shared" si="258"/>
        <v>2024</v>
      </c>
      <c r="AH1394" s="8">
        <f t="shared" si="259"/>
        <v>8</v>
      </c>
      <c r="AI1394" s="5" t="str">
        <f t="shared" si="260"/>
        <v>Aug</v>
      </c>
      <c r="AJ1394" s="5" t="str">
        <f t="shared" si="261"/>
        <v>Sunday</v>
      </c>
    </row>
    <row r="1395" spans="1:36" x14ac:dyDescent="0.3">
      <c r="A1395" s="5" t="s">
        <v>1429</v>
      </c>
      <c r="B1395" s="6">
        <v>45607</v>
      </c>
      <c r="C1395" s="7">
        <v>0.36458333333333331</v>
      </c>
      <c r="D1395" s="5" t="s">
        <v>1898</v>
      </c>
      <c r="E1395" s="5" t="s">
        <v>1985</v>
      </c>
      <c r="F1395" s="5" t="s">
        <v>2240</v>
      </c>
      <c r="G1395" s="5" t="s">
        <v>2246</v>
      </c>
      <c r="H1395" s="5" t="s">
        <v>2259</v>
      </c>
      <c r="I1395" s="5" t="s">
        <v>2262</v>
      </c>
      <c r="J1395" s="5" t="s">
        <v>2265</v>
      </c>
      <c r="K1395" s="19">
        <v>1</v>
      </c>
      <c r="L1395" s="9">
        <v>95</v>
      </c>
      <c r="M1395" s="10">
        <v>0.1</v>
      </c>
      <c r="N1395" s="9">
        <f t="shared" si="262"/>
        <v>95</v>
      </c>
      <c r="O1395" s="9">
        <f t="shared" si="252"/>
        <v>85.5</v>
      </c>
      <c r="P1395" s="5" t="s">
        <v>2269</v>
      </c>
      <c r="Q1395" s="5" t="s">
        <v>2272</v>
      </c>
      <c r="R1395" s="5" t="s">
        <v>2273</v>
      </c>
      <c r="S1395" s="5" t="s">
        <v>2281</v>
      </c>
      <c r="T1395" s="5" t="s">
        <v>2289</v>
      </c>
      <c r="U1395" s="8">
        <v>2</v>
      </c>
      <c r="V1395" s="8">
        <v>486</v>
      </c>
      <c r="W1395" s="8">
        <v>28</v>
      </c>
      <c r="X1395" s="9">
        <v>40.200000000000003</v>
      </c>
      <c r="Y1395" s="9">
        <f t="shared" si="253"/>
        <v>45.3</v>
      </c>
      <c r="Z1395" s="5" t="s">
        <v>2292</v>
      </c>
      <c r="AA1395" s="5" t="s">
        <v>2296</v>
      </c>
      <c r="AB1395" s="9">
        <f t="shared" si="254"/>
        <v>95</v>
      </c>
      <c r="AC1395" s="9">
        <f t="shared" si="255"/>
        <v>9.5</v>
      </c>
      <c r="AD1395" s="9">
        <f t="shared" si="256"/>
        <v>85.5</v>
      </c>
      <c r="AE1395" s="9">
        <f t="shared" si="257"/>
        <v>40.200000000000003</v>
      </c>
      <c r="AF1395" s="9">
        <f t="shared" si="263"/>
        <v>45.3</v>
      </c>
      <c r="AG1395" s="8">
        <f t="shared" si="258"/>
        <v>2024</v>
      </c>
      <c r="AH1395" s="8">
        <f t="shared" si="259"/>
        <v>11</v>
      </c>
      <c r="AI1395" s="5" t="str">
        <f t="shared" si="260"/>
        <v>Nov</v>
      </c>
      <c r="AJ1395" s="5" t="str">
        <f t="shared" si="261"/>
        <v>Monday</v>
      </c>
    </row>
    <row r="1396" spans="1:36" x14ac:dyDescent="0.3">
      <c r="A1396" s="5" t="s">
        <v>1430</v>
      </c>
      <c r="B1396" s="6">
        <v>45508</v>
      </c>
      <c r="C1396" s="7">
        <v>0.75694444444444442</v>
      </c>
      <c r="D1396" s="5" t="s">
        <v>1913</v>
      </c>
      <c r="E1396" s="5" t="s">
        <v>2076</v>
      </c>
      <c r="F1396" s="5" t="s">
        <v>2239</v>
      </c>
      <c r="G1396" s="5" t="s">
        <v>2245</v>
      </c>
      <c r="H1396" s="5" t="s">
        <v>2257</v>
      </c>
      <c r="I1396" s="5" t="s">
        <v>2263</v>
      </c>
      <c r="J1396" s="5" t="s">
        <v>2264</v>
      </c>
      <c r="K1396" s="8">
        <v>1</v>
      </c>
      <c r="L1396" s="9">
        <v>145</v>
      </c>
      <c r="M1396" s="10">
        <v>0</v>
      </c>
      <c r="N1396" s="9">
        <f t="shared" si="262"/>
        <v>145</v>
      </c>
      <c r="O1396" s="9">
        <f t="shared" si="252"/>
        <v>145</v>
      </c>
      <c r="P1396" s="5" t="s">
        <v>2267</v>
      </c>
      <c r="Q1396" s="5" t="s">
        <v>2270</v>
      </c>
      <c r="R1396" s="5" t="s">
        <v>2277</v>
      </c>
      <c r="S1396" s="5" t="s">
        <v>2281</v>
      </c>
      <c r="T1396" s="5" t="s">
        <v>2288</v>
      </c>
      <c r="U1396" s="8">
        <v>1</v>
      </c>
      <c r="V1396" s="19">
        <v>244</v>
      </c>
      <c r="W1396" s="8">
        <v>30</v>
      </c>
      <c r="X1396" s="9">
        <v>53.28</v>
      </c>
      <c r="Y1396" s="9">
        <f t="shared" si="253"/>
        <v>91.72</v>
      </c>
      <c r="Z1396" s="5" t="s">
        <v>2293</v>
      </c>
      <c r="AA1396" s="5" t="s">
        <v>2296</v>
      </c>
      <c r="AB1396" s="9">
        <f t="shared" si="254"/>
        <v>145</v>
      </c>
      <c r="AC1396" s="9">
        <f t="shared" si="255"/>
        <v>0</v>
      </c>
      <c r="AD1396" s="9">
        <f t="shared" si="256"/>
        <v>145</v>
      </c>
      <c r="AE1396" s="9">
        <f t="shared" si="257"/>
        <v>53.28</v>
      </c>
      <c r="AF1396" s="9">
        <f t="shared" si="263"/>
        <v>91.72</v>
      </c>
      <c r="AG1396" s="8">
        <f t="shared" si="258"/>
        <v>2024</v>
      </c>
      <c r="AH1396" s="8">
        <f t="shared" si="259"/>
        <v>8</v>
      </c>
      <c r="AI1396" s="5" t="str">
        <f t="shared" si="260"/>
        <v>Aug</v>
      </c>
      <c r="AJ1396" s="5" t="str">
        <f t="shared" si="261"/>
        <v>Sunday</v>
      </c>
    </row>
    <row r="1397" spans="1:36" x14ac:dyDescent="0.3">
      <c r="A1397" s="5" t="s">
        <v>1431</v>
      </c>
      <c r="B1397" s="6">
        <v>45428</v>
      </c>
      <c r="C1397" s="7">
        <v>0.36805555555555558</v>
      </c>
      <c r="D1397" s="5" t="s">
        <v>1780</v>
      </c>
      <c r="E1397" s="5" t="s">
        <v>2107</v>
      </c>
      <c r="F1397" s="5" t="s">
        <v>2239</v>
      </c>
      <c r="G1397" s="5" t="s">
        <v>2256</v>
      </c>
      <c r="H1397" s="5" t="s">
        <v>2261</v>
      </c>
      <c r="I1397" s="5" t="s">
        <v>2260</v>
      </c>
      <c r="J1397" s="5" t="s">
        <v>2265</v>
      </c>
      <c r="K1397" s="8">
        <v>1</v>
      </c>
      <c r="L1397" s="9">
        <v>185</v>
      </c>
      <c r="M1397" s="10">
        <v>0.05</v>
      </c>
      <c r="N1397" s="9">
        <f t="shared" si="262"/>
        <v>185</v>
      </c>
      <c r="O1397" s="9">
        <f t="shared" si="252"/>
        <v>175.75</v>
      </c>
      <c r="P1397" s="5" t="s">
        <v>2269</v>
      </c>
      <c r="Q1397" s="5" t="s">
        <v>2270</v>
      </c>
      <c r="R1397" s="5" t="s">
        <v>2273</v>
      </c>
      <c r="S1397" s="5" t="s">
        <v>2286</v>
      </c>
      <c r="T1397" s="5" t="s">
        <v>2288</v>
      </c>
      <c r="U1397" s="19">
        <v>3</v>
      </c>
      <c r="V1397" s="8">
        <v>260</v>
      </c>
      <c r="W1397" s="8">
        <v>47</v>
      </c>
      <c r="X1397" s="9">
        <v>89.05</v>
      </c>
      <c r="Y1397" s="9">
        <f t="shared" si="253"/>
        <v>86.7</v>
      </c>
      <c r="Z1397" s="5" t="s">
        <v>2291</v>
      </c>
      <c r="AA1397" s="5" t="s">
        <v>2296</v>
      </c>
      <c r="AB1397" s="9">
        <f t="shared" si="254"/>
        <v>185</v>
      </c>
      <c r="AC1397" s="9">
        <f t="shared" si="255"/>
        <v>9.25</v>
      </c>
      <c r="AD1397" s="9">
        <f t="shared" si="256"/>
        <v>175.75</v>
      </c>
      <c r="AE1397" s="9">
        <f t="shared" si="257"/>
        <v>89.05</v>
      </c>
      <c r="AF1397" s="9">
        <f t="shared" si="263"/>
        <v>86.7</v>
      </c>
      <c r="AG1397" s="8">
        <f t="shared" si="258"/>
        <v>2024</v>
      </c>
      <c r="AH1397" s="8">
        <f t="shared" si="259"/>
        <v>5</v>
      </c>
      <c r="AI1397" s="5" t="str">
        <f t="shared" si="260"/>
        <v>May</v>
      </c>
      <c r="AJ1397" s="5" t="str">
        <f t="shared" si="261"/>
        <v>Thursday</v>
      </c>
    </row>
    <row r="1398" spans="1:36" x14ac:dyDescent="0.3">
      <c r="A1398" s="5" t="s">
        <v>1432</v>
      </c>
      <c r="B1398" s="6">
        <v>45427</v>
      </c>
      <c r="C1398" s="7">
        <v>0.40972222222222221</v>
      </c>
      <c r="D1398" s="5" t="s">
        <v>1820</v>
      </c>
      <c r="E1398" s="5" t="s">
        <v>1967</v>
      </c>
      <c r="F1398" s="5" t="s">
        <v>2238</v>
      </c>
      <c r="G1398" s="5" t="s">
        <v>2249</v>
      </c>
      <c r="H1398" s="5" t="s">
        <v>2257</v>
      </c>
      <c r="I1398" s="5" t="s">
        <v>2263</v>
      </c>
      <c r="J1398" s="5" t="s">
        <v>1761</v>
      </c>
      <c r="K1398" s="8">
        <v>1</v>
      </c>
      <c r="L1398" s="9">
        <v>160</v>
      </c>
      <c r="M1398" s="10">
        <v>0</v>
      </c>
      <c r="N1398" s="9">
        <f t="shared" si="262"/>
        <v>160</v>
      </c>
      <c r="O1398" s="9">
        <f t="shared" si="252"/>
        <v>160</v>
      </c>
      <c r="P1398" s="5" t="s">
        <v>2268</v>
      </c>
      <c r="Q1398" s="5" t="s">
        <v>2271</v>
      </c>
      <c r="R1398" s="5" t="s">
        <v>2274</v>
      </c>
      <c r="S1398" s="5" t="s">
        <v>2281</v>
      </c>
      <c r="T1398" s="5" t="s">
        <v>2288</v>
      </c>
      <c r="U1398" s="8">
        <v>5</v>
      </c>
      <c r="V1398" s="8">
        <v>193</v>
      </c>
      <c r="W1398" s="19">
        <v>37</v>
      </c>
      <c r="X1398" s="9">
        <v>87.24</v>
      </c>
      <c r="Y1398" s="9">
        <f t="shared" si="253"/>
        <v>72.760000000000005</v>
      </c>
      <c r="Z1398" s="5" t="s">
        <v>1761</v>
      </c>
      <c r="AA1398" s="5" t="s">
        <v>2299</v>
      </c>
      <c r="AB1398" s="9">
        <f t="shared" si="254"/>
        <v>160</v>
      </c>
      <c r="AC1398" s="9">
        <f t="shared" si="255"/>
        <v>0</v>
      </c>
      <c r="AD1398" s="9">
        <f t="shared" si="256"/>
        <v>160</v>
      </c>
      <c r="AE1398" s="9">
        <f t="shared" si="257"/>
        <v>87.24</v>
      </c>
      <c r="AF1398" s="9">
        <f t="shared" si="263"/>
        <v>72.760000000000005</v>
      </c>
      <c r="AG1398" s="8">
        <f t="shared" si="258"/>
        <v>2024</v>
      </c>
      <c r="AH1398" s="8">
        <f t="shared" si="259"/>
        <v>5</v>
      </c>
      <c r="AI1398" s="5" t="str">
        <f t="shared" si="260"/>
        <v>May</v>
      </c>
      <c r="AJ1398" s="5" t="str">
        <f t="shared" si="261"/>
        <v>Wednesday</v>
      </c>
    </row>
    <row r="1399" spans="1:36" x14ac:dyDescent="0.3">
      <c r="A1399" s="5" t="s">
        <v>1433</v>
      </c>
      <c r="B1399" s="6">
        <v>45586</v>
      </c>
      <c r="C1399" s="7">
        <v>0.3263888888888889</v>
      </c>
      <c r="D1399" s="5" t="s">
        <v>1887</v>
      </c>
      <c r="E1399" s="5" t="s">
        <v>2171</v>
      </c>
      <c r="F1399" s="5" t="s">
        <v>2240</v>
      </c>
      <c r="G1399" s="5" t="s">
        <v>2249</v>
      </c>
      <c r="H1399" s="5" t="s">
        <v>2257</v>
      </c>
      <c r="I1399" s="5" t="s">
        <v>2263</v>
      </c>
      <c r="J1399" s="5" t="s">
        <v>2266</v>
      </c>
      <c r="K1399" s="8">
        <v>2</v>
      </c>
      <c r="L1399" s="9">
        <v>155</v>
      </c>
      <c r="M1399" s="10">
        <v>0</v>
      </c>
      <c r="N1399" s="9">
        <f t="shared" si="262"/>
        <v>310</v>
      </c>
      <c r="O1399" s="9">
        <f t="shared" si="252"/>
        <v>310</v>
      </c>
      <c r="P1399" s="5" t="s">
        <v>2268</v>
      </c>
      <c r="Q1399" s="5" t="s">
        <v>1761</v>
      </c>
      <c r="R1399" s="5" t="s">
        <v>2278</v>
      </c>
      <c r="S1399" s="5" t="s">
        <v>2287</v>
      </c>
      <c r="T1399" s="5" t="s">
        <v>2289</v>
      </c>
      <c r="U1399" s="8">
        <v>4</v>
      </c>
      <c r="V1399" s="8">
        <v>444</v>
      </c>
      <c r="W1399" s="8">
        <v>10</v>
      </c>
      <c r="X1399" s="9">
        <v>92.03</v>
      </c>
      <c r="Y1399" s="9">
        <f t="shared" si="253"/>
        <v>125.94</v>
      </c>
      <c r="Z1399" s="5" t="s">
        <v>2291</v>
      </c>
      <c r="AA1399" s="5" t="s">
        <v>2296</v>
      </c>
      <c r="AB1399" s="9">
        <f t="shared" si="254"/>
        <v>310</v>
      </c>
      <c r="AC1399" s="9">
        <f t="shared" si="255"/>
        <v>0</v>
      </c>
      <c r="AD1399" s="9">
        <f t="shared" si="256"/>
        <v>310</v>
      </c>
      <c r="AE1399" s="9">
        <f t="shared" si="257"/>
        <v>184.06</v>
      </c>
      <c r="AF1399" s="9">
        <f t="shared" si="263"/>
        <v>125.94</v>
      </c>
      <c r="AG1399" s="8">
        <f t="shared" si="258"/>
        <v>2024</v>
      </c>
      <c r="AH1399" s="8">
        <f t="shared" si="259"/>
        <v>10</v>
      </c>
      <c r="AI1399" s="5" t="str">
        <f t="shared" si="260"/>
        <v>Oct</v>
      </c>
      <c r="AJ1399" s="5" t="str">
        <f t="shared" si="261"/>
        <v>Monday</v>
      </c>
    </row>
    <row r="1400" spans="1:36" x14ac:dyDescent="0.3">
      <c r="A1400" s="5" t="s">
        <v>1434</v>
      </c>
      <c r="B1400" s="6">
        <v>45372</v>
      </c>
      <c r="C1400" s="7">
        <v>0.40625</v>
      </c>
      <c r="D1400" s="5" t="s">
        <v>1761</v>
      </c>
      <c r="E1400" s="5" t="s">
        <v>1761</v>
      </c>
      <c r="F1400" s="5" t="s">
        <v>2240</v>
      </c>
      <c r="G1400" s="5" t="s">
        <v>2250</v>
      </c>
      <c r="H1400" s="5" t="s">
        <v>2259</v>
      </c>
      <c r="I1400" s="5" t="s">
        <v>2262</v>
      </c>
      <c r="J1400" s="5" t="s">
        <v>2266</v>
      </c>
      <c r="K1400" s="8">
        <v>2</v>
      </c>
      <c r="L1400" s="9">
        <v>75</v>
      </c>
      <c r="M1400" s="10">
        <v>0</v>
      </c>
      <c r="N1400" s="9">
        <f t="shared" si="262"/>
        <v>150</v>
      </c>
      <c r="O1400" s="9">
        <f t="shared" si="252"/>
        <v>150</v>
      </c>
      <c r="P1400" s="5" t="s">
        <v>2269</v>
      </c>
      <c r="Q1400" s="5" t="s">
        <v>2270</v>
      </c>
      <c r="R1400" s="5" t="s">
        <v>2273</v>
      </c>
      <c r="S1400" s="5" t="s">
        <v>2286</v>
      </c>
      <c r="T1400" s="5" t="s">
        <v>2288</v>
      </c>
      <c r="U1400" s="8">
        <v>3</v>
      </c>
      <c r="V1400" s="8">
        <v>481</v>
      </c>
      <c r="W1400" s="8">
        <v>33</v>
      </c>
      <c r="X1400" s="9">
        <v>29.32</v>
      </c>
      <c r="Y1400" s="9">
        <f t="shared" si="253"/>
        <v>91.36</v>
      </c>
      <c r="Z1400" s="5" t="s">
        <v>2294</v>
      </c>
      <c r="AA1400" s="5" t="s">
        <v>1761</v>
      </c>
      <c r="AB1400" s="9">
        <f t="shared" si="254"/>
        <v>150</v>
      </c>
      <c r="AC1400" s="9">
        <f t="shared" si="255"/>
        <v>0</v>
      </c>
      <c r="AD1400" s="9">
        <f t="shared" si="256"/>
        <v>150</v>
      </c>
      <c r="AE1400" s="9">
        <f t="shared" si="257"/>
        <v>58.64</v>
      </c>
      <c r="AF1400" s="9">
        <f t="shared" si="263"/>
        <v>91.36</v>
      </c>
      <c r="AG1400" s="8">
        <f t="shared" si="258"/>
        <v>2024</v>
      </c>
      <c r="AH1400" s="8">
        <f t="shared" si="259"/>
        <v>3</v>
      </c>
      <c r="AI1400" s="5" t="str">
        <f t="shared" si="260"/>
        <v>Mar</v>
      </c>
      <c r="AJ1400" s="5" t="str">
        <f t="shared" si="261"/>
        <v>Thursday</v>
      </c>
    </row>
    <row r="1401" spans="1:36" x14ac:dyDescent="0.3">
      <c r="A1401" s="5" t="s">
        <v>1435</v>
      </c>
      <c r="B1401" s="6">
        <v>45349</v>
      </c>
      <c r="C1401" s="7">
        <v>0.41666666666666669</v>
      </c>
      <c r="D1401" s="5" t="s">
        <v>1925</v>
      </c>
      <c r="E1401" s="5" t="s">
        <v>2043</v>
      </c>
      <c r="F1401" s="5" t="s">
        <v>2239</v>
      </c>
      <c r="G1401" s="5" t="s">
        <v>2251</v>
      </c>
      <c r="H1401" s="5" t="s">
        <v>2258</v>
      </c>
      <c r="I1401" s="5" t="s">
        <v>2260</v>
      </c>
      <c r="J1401" s="5" t="s">
        <v>2266</v>
      </c>
      <c r="K1401" s="8">
        <v>4</v>
      </c>
      <c r="L1401" s="9">
        <v>105</v>
      </c>
      <c r="M1401" s="10">
        <v>0</v>
      </c>
      <c r="N1401" s="9">
        <f t="shared" si="262"/>
        <v>420</v>
      </c>
      <c r="O1401" s="9">
        <f t="shared" si="252"/>
        <v>420</v>
      </c>
      <c r="P1401" s="5" t="s">
        <v>2267</v>
      </c>
      <c r="Q1401" s="5" t="s">
        <v>2272</v>
      </c>
      <c r="R1401" s="5" t="s">
        <v>2273</v>
      </c>
      <c r="S1401" s="5" t="s">
        <v>2287</v>
      </c>
      <c r="T1401" s="5" t="s">
        <v>2288</v>
      </c>
      <c r="U1401" s="8">
        <v>2</v>
      </c>
      <c r="V1401" s="8">
        <v>93</v>
      </c>
      <c r="W1401" s="8">
        <v>26</v>
      </c>
      <c r="X1401" s="9">
        <v>57.95</v>
      </c>
      <c r="Y1401" s="9">
        <f t="shared" si="253"/>
        <v>188.2</v>
      </c>
      <c r="Z1401" s="5" t="s">
        <v>2293</v>
      </c>
      <c r="AA1401" s="5" t="s">
        <v>2298</v>
      </c>
      <c r="AB1401" s="9">
        <f t="shared" si="254"/>
        <v>420</v>
      </c>
      <c r="AC1401" s="9">
        <f t="shared" si="255"/>
        <v>0</v>
      </c>
      <c r="AD1401" s="9">
        <f t="shared" si="256"/>
        <v>420</v>
      </c>
      <c r="AE1401" s="9">
        <f t="shared" si="257"/>
        <v>231.8</v>
      </c>
      <c r="AF1401" s="9">
        <f t="shared" si="263"/>
        <v>188.2</v>
      </c>
      <c r="AG1401" s="8">
        <f t="shared" si="258"/>
        <v>2024</v>
      </c>
      <c r="AH1401" s="8">
        <f t="shared" si="259"/>
        <v>2</v>
      </c>
      <c r="AI1401" s="5" t="str">
        <f t="shared" si="260"/>
        <v>Feb</v>
      </c>
      <c r="AJ1401" s="5" t="str">
        <f t="shared" si="261"/>
        <v>Tuesday</v>
      </c>
    </row>
    <row r="1402" spans="1:36" x14ac:dyDescent="0.3">
      <c r="A1402" s="5" t="s">
        <v>1436</v>
      </c>
      <c r="B1402" s="6">
        <v>45401</v>
      </c>
      <c r="C1402" s="7">
        <v>0.58333333333333337</v>
      </c>
      <c r="D1402" s="5" t="s">
        <v>1902</v>
      </c>
      <c r="E1402" s="5" t="s">
        <v>2176</v>
      </c>
      <c r="F1402" s="5" t="s">
        <v>2240</v>
      </c>
      <c r="G1402" s="5" t="s">
        <v>2256</v>
      </c>
      <c r="H1402" s="5" t="s">
        <v>2261</v>
      </c>
      <c r="I1402" s="5" t="s">
        <v>2260</v>
      </c>
      <c r="J1402" s="5" t="s">
        <v>2266</v>
      </c>
      <c r="K1402" s="8">
        <v>1</v>
      </c>
      <c r="L1402" s="9">
        <v>200</v>
      </c>
      <c r="M1402" s="10">
        <v>0.1</v>
      </c>
      <c r="N1402" s="9">
        <f t="shared" si="262"/>
        <v>200</v>
      </c>
      <c r="O1402" s="9">
        <f t="shared" si="252"/>
        <v>180</v>
      </c>
      <c r="P1402" s="5" t="s">
        <v>2269</v>
      </c>
      <c r="Q1402" s="5" t="s">
        <v>2270</v>
      </c>
      <c r="R1402" s="5" t="s">
        <v>2274</v>
      </c>
      <c r="S1402" s="5" t="s">
        <v>2283</v>
      </c>
      <c r="T1402" s="5" t="s">
        <v>2288</v>
      </c>
      <c r="U1402" s="8">
        <v>5</v>
      </c>
      <c r="V1402" s="8">
        <v>418</v>
      </c>
      <c r="W1402" s="19">
        <v>34</v>
      </c>
      <c r="X1402" s="9">
        <v>93.99</v>
      </c>
      <c r="Y1402" s="9">
        <f t="shared" si="253"/>
        <v>86.01</v>
      </c>
      <c r="Z1402" s="5" t="s">
        <v>1761</v>
      </c>
      <c r="AA1402" s="5" t="s">
        <v>2296</v>
      </c>
      <c r="AB1402" s="9">
        <f t="shared" si="254"/>
        <v>200</v>
      </c>
      <c r="AC1402" s="9">
        <f t="shared" si="255"/>
        <v>20</v>
      </c>
      <c r="AD1402" s="9">
        <f t="shared" si="256"/>
        <v>180</v>
      </c>
      <c r="AE1402" s="9">
        <f t="shared" si="257"/>
        <v>93.99</v>
      </c>
      <c r="AF1402" s="9">
        <f t="shared" si="263"/>
        <v>86.01</v>
      </c>
      <c r="AG1402" s="8">
        <f t="shared" si="258"/>
        <v>2024</v>
      </c>
      <c r="AH1402" s="8">
        <f t="shared" si="259"/>
        <v>4</v>
      </c>
      <c r="AI1402" s="5" t="str">
        <f t="shared" si="260"/>
        <v>Apr</v>
      </c>
      <c r="AJ1402" s="5" t="str">
        <f t="shared" si="261"/>
        <v>Friday</v>
      </c>
    </row>
    <row r="1403" spans="1:36" x14ac:dyDescent="0.3">
      <c r="A1403" s="5" t="s">
        <v>1437</v>
      </c>
      <c r="B1403" s="6">
        <v>45418</v>
      </c>
      <c r="C1403" s="7">
        <v>0.71527777777777779</v>
      </c>
      <c r="D1403" s="5" t="s">
        <v>1759</v>
      </c>
      <c r="E1403" s="5" t="s">
        <v>2150</v>
      </c>
      <c r="F1403" s="5" t="s">
        <v>2238</v>
      </c>
      <c r="G1403" s="5" t="s">
        <v>2253</v>
      </c>
      <c r="H1403" s="5" t="s">
        <v>2258</v>
      </c>
      <c r="I1403" s="5" t="s">
        <v>2260</v>
      </c>
      <c r="J1403" s="5" t="s">
        <v>2266</v>
      </c>
      <c r="K1403" s="8">
        <v>2</v>
      </c>
      <c r="L1403" s="9">
        <v>90</v>
      </c>
      <c r="M1403" s="10">
        <v>0</v>
      </c>
      <c r="N1403" s="9">
        <f t="shared" si="262"/>
        <v>180</v>
      </c>
      <c r="O1403" s="9">
        <f t="shared" si="252"/>
        <v>180</v>
      </c>
      <c r="P1403" s="5" t="s">
        <v>2267</v>
      </c>
      <c r="Q1403" s="5" t="s">
        <v>2270</v>
      </c>
      <c r="R1403" s="5" t="s">
        <v>2275</v>
      </c>
      <c r="S1403" s="5" t="s">
        <v>2283</v>
      </c>
      <c r="T1403" s="5" t="s">
        <v>2288</v>
      </c>
      <c r="U1403" s="8">
        <v>5</v>
      </c>
      <c r="V1403" s="8">
        <v>350</v>
      </c>
      <c r="W1403" s="19">
        <v>34</v>
      </c>
      <c r="X1403" s="9">
        <v>35.96</v>
      </c>
      <c r="Y1403" s="9">
        <f t="shared" si="253"/>
        <v>108.08</v>
      </c>
      <c r="Z1403" s="5" t="s">
        <v>2292</v>
      </c>
      <c r="AA1403" s="5" t="s">
        <v>2298</v>
      </c>
      <c r="AB1403" s="9">
        <f t="shared" si="254"/>
        <v>180</v>
      </c>
      <c r="AC1403" s="9">
        <f t="shared" si="255"/>
        <v>0</v>
      </c>
      <c r="AD1403" s="9">
        <f t="shared" si="256"/>
        <v>180</v>
      </c>
      <c r="AE1403" s="9">
        <f t="shared" si="257"/>
        <v>71.92</v>
      </c>
      <c r="AF1403" s="9">
        <f t="shared" si="263"/>
        <v>108.08</v>
      </c>
      <c r="AG1403" s="8">
        <f t="shared" si="258"/>
        <v>2024</v>
      </c>
      <c r="AH1403" s="8">
        <f t="shared" si="259"/>
        <v>5</v>
      </c>
      <c r="AI1403" s="5" t="str">
        <f t="shared" si="260"/>
        <v>May</v>
      </c>
      <c r="AJ1403" s="5" t="str">
        <f t="shared" si="261"/>
        <v>Monday</v>
      </c>
    </row>
    <row r="1404" spans="1:36" x14ac:dyDescent="0.3">
      <c r="A1404" s="5" t="s">
        <v>1438</v>
      </c>
      <c r="B1404" s="6">
        <v>45401</v>
      </c>
      <c r="C1404" s="7">
        <v>0.83333333333333337</v>
      </c>
      <c r="D1404" s="5" t="s">
        <v>1845</v>
      </c>
      <c r="E1404" s="5" t="s">
        <v>2046</v>
      </c>
      <c r="F1404" s="5" t="s">
        <v>2239</v>
      </c>
      <c r="G1404" s="5" t="s">
        <v>2242</v>
      </c>
      <c r="H1404" s="5" t="s">
        <v>2258</v>
      </c>
      <c r="I1404" s="5" t="s">
        <v>2260</v>
      </c>
      <c r="J1404" s="5" t="s">
        <v>1761</v>
      </c>
      <c r="K1404" s="8">
        <v>5</v>
      </c>
      <c r="L1404" s="9">
        <v>120</v>
      </c>
      <c r="M1404" s="10">
        <v>0.15</v>
      </c>
      <c r="N1404" s="9">
        <f t="shared" si="262"/>
        <v>600</v>
      </c>
      <c r="O1404" s="9">
        <f t="shared" si="252"/>
        <v>510</v>
      </c>
      <c r="P1404" s="5" t="s">
        <v>2268</v>
      </c>
      <c r="Q1404" s="5" t="s">
        <v>2272</v>
      </c>
      <c r="R1404" s="5" t="s">
        <v>2276</v>
      </c>
      <c r="S1404" s="5" t="s">
        <v>2281</v>
      </c>
      <c r="T1404" s="5" t="s">
        <v>2288</v>
      </c>
      <c r="U1404" s="8">
        <v>5</v>
      </c>
      <c r="V1404" s="8">
        <v>492</v>
      </c>
      <c r="W1404" s="19">
        <v>35</v>
      </c>
      <c r="X1404" s="9">
        <v>60.19</v>
      </c>
      <c r="Y1404" s="9">
        <f t="shared" si="253"/>
        <v>209.05</v>
      </c>
      <c r="Z1404" s="5" t="s">
        <v>2294</v>
      </c>
      <c r="AA1404" s="5" t="s">
        <v>2296</v>
      </c>
      <c r="AB1404" s="9">
        <f t="shared" si="254"/>
        <v>600</v>
      </c>
      <c r="AC1404" s="9">
        <f t="shared" si="255"/>
        <v>90</v>
      </c>
      <c r="AD1404" s="9">
        <f t="shared" si="256"/>
        <v>510</v>
      </c>
      <c r="AE1404" s="9">
        <f t="shared" si="257"/>
        <v>300.95</v>
      </c>
      <c r="AF1404" s="9">
        <f t="shared" si="263"/>
        <v>209.05</v>
      </c>
      <c r="AG1404" s="8">
        <f t="shared" si="258"/>
        <v>2024</v>
      </c>
      <c r="AH1404" s="8">
        <f t="shared" si="259"/>
        <v>4</v>
      </c>
      <c r="AI1404" s="5" t="str">
        <f t="shared" si="260"/>
        <v>Apr</v>
      </c>
      <c r="AJ1404" s="5" t="str">
        <f t="shared" si="261"/>
        <v>Friday</v>
      </c>
    </row>
    <row r="1405" spans="1:36" x14ac:dyDescent="0.3">
      <c r="A1405" s="5" t="s">
        <v>1439</v>
      </c>
      <c r="B1405" s="6">
        <v>45377</v>
      </c>
      <c r="C1405" s="7">
        <v>0.78472222222222221</v>
      </c>
      <c r="D1405" s="5" t="s">
        <v>1747</v>
      </c>
      <c r="E1405" s="5" t="s">
        <v>2182</v>
      </c>
      <c r="F1405" s="5" t="s">
        <v>2239</v>
      </c>
      <c r="G1405" s="5" t="s">
        <v>2246</v>
      </c>
      <c r="H1405" s="5" t="s">
        <v>2259</v>
      </c>
      <c r="I1405" s="5" t="s">
        <v>2262</v>
      </c>
      <c r="J1405" s="5" t="s">
        <v>2265</v>
      </c>
      <c r="K1405" s="8">
        <v>5</v>
      </c>
      <c r="L1405" s="9">
        <v>100</v>
      </c>
      <c r="M1405" s="10">
        <v>0.05</v>
      </c>
      <c r="N1405" s="9">
        <f t="shared" si="262"/>
        <v>500</v>
      </c>
      <c r="O1405" s="9">
        <f t="shared" si="252"/>
        <v>475</v>
      </c>
      <c r="P1405" s="5" t="s">
        <v>2269</v>
      </c>
      <c r="Q1405" s="5" t="s">
        <v>2271</v>
      </c>
      <c r="R1405" s="5" t="s">
        <v>2279</v>
      </c>
      <c r="S1405" s="5" t="s">
        <v>2284</v>
      </c>
      <c r="T1405" s="5" t="s">
        <v>2290</v>
      </c>
      <c r="U1405" s="19">
        <v>3</v>
      </c>
      <c r="V1405" s="8">
        <v>247</v>
      </c>
      <c r="W1405" s="8">
        <v>17</v>
      </c>
      <c r="X1405" s="9">
        <v>50.59</v>
      </c>
      <c r="Y1405" s="9">
        <f t="shared" si="253"/>
        <v>222.04999999999998</v>
      </c>
      <c r="Z1405" s="5" t="s">
        <v>2293</v>
      </c>
      <c r="AA1405" s="5" t="s">
        <v>2296</v>
      </c>
      <c r="AB1405" s="9">
        <f t="shared" si="254"/>
        <v>500</v>
      </c>
      <c r="AC1405" s="9">
        <f t="shared" si="255"/>
        <v>25</v>
      </c>
      <c r="AD1405" s="9">
        <f t="shared" si="256"/>
        <v>475</v>
      </c>
      <c r="AE1405" s="9">
        <f t="shared" si="257"/>
        <v>252.95000000000002</v>
      </c>
      <c r="AF1405" s="9">
        <f t="shared" si="263"/>
        <v>222.04999999999998</v>
      </c>
      <c r="AG1405" s="8">
        <f t="shared" si="258"/>
        <v>2024</v>
      </c>
      <c r="AH1405" s="8">
        <f t="shared" si="259"/>
        <v>3</v>
      </c>
      <c r="AI1405" s="5" t="str">
        <f t="shared" si="260"/>
        <v>Mar</v>
      </c>
      <c r="AJ1405" s="5" t="str">
        <f t="shared" si="261"/>
        <v>Tuesday</v>
      </c>
    </row>
    <row r="1406" spans="1:36" x14ac:dyDescent="0.3">
      <c r="A1406" s="5" t="s">
        <v>1440</v>
      </c>
      <c r="B1406" s="6">
        <v>45447</v>
      </c>
      <c r="C1406" s="7">
        <v>0.29166666666666669</v>
      </c>
      <c r="D1406" s="5" t="s">
        <v>1930</v>
      </c>
      <c r="E1406" s="5" t="s">
        <v>2008</v>
      </c>
      <c r="F1406" s="5" t="s">
        <v>2239</v>
      </c>
      <c r="G1406" s="5" t="s">
        <v>2244</v>
      </c>
      <c r="H1406" s="5" t="s">
        <v>2257</v>
      </c>
      <c r="I1406" s="5" t="s">
        <v>2262</v>
      </c>
      <c r="J1406" s="5" t="s">
        <v>2266</v>
      </c>
      <c r="K1406" s="8">
        <v>1</v>
      </c>
      <c r="L1406" s="9">
        <v>115</v>
      </c>
      <c r="M1406" s="10">
        <v>0.05</v>
      </c>
      <c r="N1406" s="9">
        <f t="shared" si="262"/>
        <v>115</v>
      </c>
      <c r="O1406" s="9">
        <f t="shared" si="252"/>
        <v>109.25</v>
      </c>
      <c r="P1406" s="5" t="s">
        <v>2267</v>
      </c>
      <c r="Q1406" s="5" t="s">
        <v>1761</v>
      </c>
      <c r="R1406" s="5" t="s">
        <v>2277</v>
      </c>
      <c r="S1406" s="5" t="s">
        <v>2283</v>
      </c>
      <c r="T1406" s="5" t="s">
        <v>2289</v>
      </c>
      <c r="U1406" s="8">
        <v>5</v>
      </c>
      <c r="V1406" s="8">
        <v>483</v>
      </c>
      <c r="W1406" s="8">
        <v>26</v>
      </c>
      <c r="X1406" s="9">
        <v>53.92</v>
      </c>
      <c r="Y1406" s="9">
        <f t="shared" si="253"/>
        <v>55.33</v>
      </c>
      <c r="Z1406" s="5" t="s">
        <v>2294</v>
      </c>
      <c r="AA1406" s="5" t="s">
        <v>2299</v>
      </c>
      <c r="AB1406" s="9">
        <f t="shared" si="254"/>
        <v>115</v>
      </c>
      <c r="AC1406" s="9">
        <f t="shared" si="255"/>
        <v>5.75</v>
      </c>
      <c r="AD1406" s="9">
        <f t="shared" si="256"/>
        <v>109.25</v>
      </c>
      <c r="AE1406" s="9">
        <f t="shared" si="257"/>
        <v>53.92</v>
      </c>
      <c r="AF1406" s="9">
        <f t="shared" si="263"/>
        <v>55.33</v>
      </c>
      <c r="AG1406" s="8">
        <f t="shared" si="258"/>
        <v>2024</v>
      </c>
      <c r="AH1406" s="8">
        <f t="shared" si="259"/>
        <v>6</v>
      </c>
      <c r="AI1406" s="5" t="str">
        <f t="shared" si="260"/>
        <v>Jun</v>
      </c>
      <c r="AJ1406" s="5" t="str">
        <f t="shared" si="261"/>
        <v>Tuesday</v>
      </c>
    </row>
    <row r="1407" spans="1:36" x14ac:dyDescent="0.3">
      <c r="A1407" s="5" t="s">
        <v>1441</v>
      </c>
      <c r="B1407" s="6">
        <v>45393</v>
      </c>
      <c r="C1407" s="7">
        <v>0.51388888888888884</v>
      </c>
      <c r="D1407" s="5" t="s">
        <v>1913</v>
      </c>
      <c r="E1407" s="5" t="s">
        <v>1761</v>
      </c>
      <c r="F1407" s="5" t="s">
        <v>2240</v>
      </c>
      <c r="G1407" s="5" t="s">
        <v>2251</v>
      </c>
      <c r="H1407" s="5" t="s">
        <v>2258</v>
      </c>
      <c r="I1407" s="5" t="s">
        <v>2260</v>
      </c>
      <c r="J1407" s="5" t="s">
        <v>2266</v>
      </c>
      <c r="K1407" s="8">
        <v>2</v>
      </c>
      <c r="L1407" s="9">
        <v>105</v>
      </c>
      <c r="M1407" s="10">
        <v>0</v>
      </c>
      <c r="N1407" s="9">
        <f t="shared" si="262"/>
        <v>210</v>
      </c>
      <c r="O1407" s="9">
        <f t="shared" si="252"/>
        <v>210</v>
      </c>
      <c r="P1407" s="5" t="s">
        <v>2267</v>
      </c>
      <c r="Q1407" s="5" t="s">
        <v>2270</v>
      </c>
      <c r="R1407" s="5" t="s">
        <v>2274</v>
      </c>
      <c r="S1407" s="5" t="s">
        <v>2285</v>
      </c>
      <c r="T1407" s="5" t="s">
        <v>2288</v>
      </c>
      <c r="U1407" s="8">
        <v>1</v>
      </c>
      <c r="V1407" s="8">
        <v>437</v>
      </c>
      <c r="W1407" s="8">
        <v>40</v>
      </c>
      <c r="X1407" s="9">
        <v>59.68</v>
      </c>
      <c r="Y1407" s="9">
        <f t="shared" si="253"/>
        <v>90.64</v>
      </c>
      <c r="Z1407" s="5" t="s">
        <v>1761</v>
      </c>
      <c r="AA1407" s="5" t="s">
        <v>2298</v>
      </c>
      <c r="AB1407" s="9">
        <f t="shared" si="254"/>
        <v>210</v>
      </c>
      <c r="AC1407" s="9">
        <f t="shared" si="255"/>
        <v>0</v>
      </c>
      <c r="AD1407" s="9">
        <f t="shared" si="256"/>
        <v>210</v>
      </c>
      <c r="AE1407" s="9">
        <f t="shared" si="257"/>
        <v>119.36</v>
      </c>
      <c r="AF1407" s="9">
        <f t="shared" si="263"/>
        <v>90.64</v>
      </c>
      <c r="AG1407" s="8">
        <f t="shared" si="258"/>
        <v>2024</v>
      </c>
      <c r="AH1407" s="8">
        <f t="shared" si="259"/>
        <v>4</v>
      </c>
      <c r="AI1407" s="5" t="str">
        <f t="shared" si="260"/>
        <v>Apr</v>
      </c>
      <c r="AJ1407" s="5" t="str">
        <f t="shared" si="261"/>
        <v>Thursday</v>
      </c>
    </row>
    <row r="1408" spans="1:36" x14ac:dyDescent="0.3">
      <c r="A1408" s="5" t="s">
        <v>1442</v>
      </c>
      <c r="B1408" s="6">
        <v>45292</v>
      </c>
      <c r="C1408" s="7">
        <v>0.90625</v>
      </c>
      <c r="D1408" s="5" t="s">
        <v>1822</v>
      </c>
      <c r="E1408" s="5" t="s">
        <v>2083</v>
      </c>
      <c r="F1408" s="5" t="s">
        <v>2240</v>
      </c>
      <c r="G1408" s="5" t="s">
        <v>2250</v>
      </c>
      <c r="H1408" s="5" t="s">
        <v>2259</v>
      </c>
      <c r="I1408" s="5" t="s">
        <v>2262</v>
      </c>
      <c r="J1408" s="5" t="s">
        <v>2265</v>
      </c>
      <c r="K1408" s="8">
        <v>1</v>
      </c>
      <c r="L1408" s="9">
        <v>80</v>
      </c>
      <c r="M1408" s="10">
        <v>0</v>
      </c>
      <c r="N1408" s="9">
        <f t="shared" si="262"/>
        <v>80</v>
      </c>
      <c r="O1408" s="9">
        <f t="shared" si="252"/>
        <v>80</v>
      </c>
      <c r="P1408" s="5" t="s">
        <v>2268</v>
      </c>
      <c r="Q1408" s="5" t="s">
        <v>2270</v>
      </c>
      <c r="R1408" s="5" t="s">
        <v>2275</v>
      </c>
      <c r="S1408" s="5" t="s">
        <v>2284</v>
      </c>
      <c r="T1408" s="5" t="s">
        <v>2288</v>
      </c>
      <c r="U1408" s="8">
        <v>2</v>
      </c>
      <c r="V1408" s="8">
        <v>47</v>
      </c>
      <c r="W1408" s="8">
        <v>12</v>
      </c>
      <c r="X1408" s="9">
        <v>32.380000000000003</v>
      </c>
      <c r="Y1408" s="9">
        <f t="shared" si="253"/>
        <v>47.62</v>
      </c>
      <c r="Z1408" s="5" t="s">
        <v>1761</v>
      </c>
      <c r="AA1408" s="5" t="s">
        <v>2297</v>
      </c>
      <c r="AB1408" s="9">
        <f t="shared" si="254"/>
        <v>80</v>
      </c>
      <c r="AC1408" s="9">
        <f t="shared" si="255"/>
        <v>0</v>
      </c>
      <c r="AD1408" s="9">
        <f t="shared" si="256"/>
        <v>80</v>
      </c>
      <c r="AE1408" s="9">
        <f t="shared" si="257"/>
        <v>32.380000000000003</v>
      </c>
      <c r="AF1408" s="9">
        <f t="shared" si="263"/>
        <v>47.62</v>
      </c>
      <c r="AG1408" s="8">
        <f t="shared" si="258"/>
        <v>2024</v>
      </c>
      <c r="AH1408" s="8">
        <f t="shared" si="259"/>
        <v>1</v>
      </c>
      <c r="AI1408" s="5" t="str">
        <f t="shared" si="260"/>
        <v>Jan</v>
      </c>
      <c r="AJ1408" s="5" t="str">
        <f t="shared" si="261"/>
        <v>Monday</v>
      </c>
    </row>
    <row r="1409" spans="1:36" x14ac:dyDescent="0.3">
      <c r="A1409" s="5" t="s">
        <v>1443</v>
      </c>
      <c r="B1409" s="6">
        <v>45308</v>
      </c>
      <c r="C1409" s="7">
        <v>0.89583333333333337</v>
      </c>
      <c r="D1409" s="5" t="s">
        <v>1795</v>
      </c>
      <c r="E1409" s="5" t="s">
        <v>1761</v>
      </c>
      <c r="F1409" s="5" t="s">
        <v>1761</v>
      </c>
      <c r="G1409" s="5" t="s">
        <v>2245</v>
      </c>
      <c r="H1409" s="5" t="s">
        <v>2257</v>
      </c>
      <c r="I1409" s="5" t="s">
        <v>2263</v>
      </c>
      <c r="J1409" s="5" t="s">
        <v>2265</v>
      </c>
      <c r="K1409" s="8">
        <v>1</v>
      </c>
      <c r="L1409" s="9">
        <v>145</v>
      </c>
      <c r="M1409" s="10">
        <v>0.1</v>
      </c>
      <c r="N1409" s="9">
        <f t="shared" si="262"/>
        <v>145</v>
      </c>
      <c r="O1409" s="9">
        <f t="shared" si="252"/>
        <v>130.5</v>
      </c>
      <c r="P1409" s="5" t="s">
        <v>1761</v>
      </c>
      <c r="Q1409" s="5" t="s">
        <v>1761</v>
      </c>
      <c r="R1409" s="5" t="s">
        <v>2274</v>
      </c>
      <c r="S1409" s="5" t="s">
        <v>2280</v>
      </c>
      <c r="T1409" s="5" t="s">
        <v>2289</v>
      </c>
      <c r="U1409" s="8">
        <v>5</v>
      </c>
      <c r="V1409" s="8">
        <v>120</v>
      </c>
      <c r="W1409" s="8">
        <v>38</v>
      </c>
      <c r="X1409" s="9">
        <v>53.81</v>
      </c>
      <c r="Y1409" s="9">
        <f t="shared" si="253"/>
        <v>76.69</v>
      </c>
      <c r="Z1409" s="5" t="s">
        <v>1761</v>
      </c>
      <c r="AA1409" s="5" t="s">
        <v>2296</v>
      </c>
      <c r="AB1409" s="9">
        <f t="shared" si="254"/>
        <v>145</v>
      </c>
      <c r="AC1409" s="9">
        <f t="shared" si="255"/>
        <v>14.5</v>
      </c>
      <c r="AD1409" s="9">
        <f t="shared" si="256"/>
        <v>130.5</v>
      </c>
      <c r="AE1409" s="9">
        <f t="shared" si="257"/>
        <v>53.81</v>
      </c>
      <c r="AF1409" s="9">
        <f t="shared" si="263"/>
        <v>76.69</v>
      </c>
      <c r="AG1409" s="8">
        <f t="shared" si="258"/>
        <v>2024</v>
      </c>
      <c r="AH1409" s="8">
        <f t="shared" si="259"/>
        <v>1</v>
      </c>
      <c r="AI1409" s="5" t="str">
        <f t="shared" si="260"/>
        <v>Jan</v>
      </c>
      <c r="AJ1409" s="5" t="str">
        <f t="shared" si="261"/>
        <v>Wednesday</v>
      </c>
    </row>
    <row r="1410" spans="1:36" x14ac:dyDescent="0.3">
      <c r="A1410" s="5" t="s">
        <v>1444</v>
      </c>
      <c r="B1410" s="6">
        <v>45446</v>
      </c>
      <c r="C1410" s="7">
        <v>0.83333333333333337</v>
      </c>
      <c r="D1410" s="5" t="s">
        <v>1852</v>
      </c>
      <c r="E1410" s="5" t="s">
        <v>2036</v>
      </c>
      <c r="F1410" s="5" t="s">
        <v>2240</v>
      </c>
      <c r="G1410" s="5" t="s">
        <v>2252</v>
      </c>
      <c r="H1410" s="5" t="s">
        <v>2257</v>
      </c>
      <c r="I1410" s="5" t="s">
        <v>2262</v>
      </c>
      <c r="J1410" s="5" t="s">
        <v>2266</v>
      </c>
      <c r="K1410" s="8">
        <v>3</v>
      </c>
      <c r="L1410" s="9">
        <v>90</v>
      </c>
      <c r="M1410" s="10">
        <v>0.15</v>
      </c>
      <c r="N1410" s="9">
        <f t="shared" si="262"/>
        <v>270</v>
      </c>
      <c r="O1410" s="9">
        <f t="shared" ref="O1410:O1473" si="264">IF(N1410="","",N1410*(1-IF(M1410="",0,M1410)))</f>
        <v>229.5</v>
      </c>
      <c r="P1410" s="5" t="s">
        <v>2269</v>
      </c>
      <c r="Q1410" s="5" t="s">
        <v>2272</v>
      </c>
      <c r="R1410" s="5" t="s">
        <v>2276</v>
      </c>
      <c r="S1410" s="5" t="s">
        <v>2282</v>
      </c>
      <c r="T1410" s="5" t="s">
        <v>2288</v>
      </c>
      <c r="U1410" s="8">
        <v>3</v>
      </c>
      <c r="V1410" s="8">
        <v>369</v>
      </c>
      <c r="W1410" s="19">
        <v>35</v>
      </c>
      <c r="X1410" s="9">
        <v>39.81</v>
      </c>
      <c r="Y1410" s="9">
        <f t="shared" ref="Y1410:Y1473" si="265">IF(OR(O1410="",K1410="",X1410=""),"",O1410-K1410*X1410)</f>
        <v>110.07</v>
      </c>
      <c r="Z1410" s="5" t="s">
        <v>2292</v>
      </c>
      <c r="AA1410" s="5" t="s">
        <v>2299</v>
      </c>
      <c r="AB1410" s="9">
        <f t="shared" ref="AB1410:AB1473" si="266">N1410</f>
        <v>270</v>
      </c>
      <c r="AC1410" s="9">
        <f t="shared" ref="AC1410:AC1473" si="267">IF(N1410="","",N1410*IF(M1410="",0,M1410))</f>
        <v>40.5</v>
      </c>
      <c r="AD1410" s="9">
        <f t="shared" ref="AD1410:AD1473" si="268">O1410</f>
        <v>229.5</v>
      </c>
      <c r="AE1410" s="9">
        <f t="shared" ref="AE1410:AE1473" si="269">IF(OR(K1410="",X1410=""),"",K1410*X1410)</f>
        <v>119.43</v>
      </c>
      <c r="AF1410" s="9">
        <f t="shared" si="263"/>
        <v>110.07</v>
      </c>
      <c r="AG1410" s="8">
        <f t="shared" ref="AG1410:AG1473" si="270">IF(B1410="","",YEAR(B1410))</f>
        <v>2024</v>
      </c>
      <c r="AH1410" s="8">
        <f t="shared" ref="AH1410:AH1473" si="271">IF(B1410="","",MONTH(B1410))</f>
        <v>6</v>
      </c>
      <c r="AI1410" s="5" t="str">
        <f t="shared" ref="AI1410:AI1473" si="272">IF(B1410="","",TEXT(B1410,"mmm"))</f>
        <v>Jun</v>
      </c>
      <c r="AJ1410" s="5" t="str">
        <f t="shared" ref="AJ1410:AJ1473" si="273">IF(B1410="","",TEXT(B1410,"dddd"))</f>
        <v>Monday</v>
      </c>
    </row>
    <row r="1411" spans="1:36" x14ac:dyDescent="0.3">
      <c r="A1411" s="5" t="s">
        <v>1445</v>
      </c>
      <c r="B1411" s="6">
        <v>45572</v>
      </c>
      <c r="C1411" s="7">
        <v>0.53125</v>
      </c>
      <c r="D1411" s="5" t="s">
        <v>1831</v>
      </c>
      <c r="E1411" s="5" t="s">
        <v>1761</v>
      </c>
      <c r="F1411" s="5" t="s">
        <v>2240</v>
      </c>
      <c r="G1411" s="5" t="s">
        <v>2241</v>
      </c>
      <c r="H1411" s="5" t="s">
        <v>2257</v>
      </c>
      <c r="I1411" s="5" t="s">
        <v>2262</v>
      </c>
      <c r="J1411" s="5" t="s">
        <v>1761</v>
      </c>
      <c r="K1411" s="8">
        <v>1</v>
      </c>
      <c r="L1411" s="9">
        <v>140</v>
      </c>
      <c r="M1411" s="10">
        <v>0</v>
      </c>
      <c r="N1411" s="9">
        <f t="shared" ref="N1411:N1474" si="274">IFERROR(K1411*L1411,"")</f>
        <v>140</v>
      </c>
      <c r="O1411" s="9">
        <f t="shared" si="264"/>
        <v>140</v>
      </c>
      <c r="P1411" s="5" t="s">
        <v>2267</v>
      </c>
      <c r="Q1411" s="5" t="s">
        <v>2271</v>
      </c>
      <c r="R1411" s="5" t="s">
        <v>2276</v>
      </c>
      <c r="S1411" s="5" t="s">
        <v>2284</v>
      </c>
      <c r="T1411" s="5" t="s">
        <v>2288</v>
      </c>
      <c r="U1411" s="8">
        <v>5</v>
      </c>
      <c r="V1411" s="8">
        <v>499</v>
      </c>
      <c r="W1411" s="8">
        <v>49</v>
      </c>
      <c r="X1411" s="9">
        <v>56.52</v>
      </c>
      <c r="Y1411" s="9">
        <f t="shared" si="265"/>
        <v>83.47999999999999</v>
      </c>
      <c r="Z1411" s="5" t="s">
        <v>1761</v>
      </c>
      <c r="AA1411" s="5" t="s">
        <v>2298</v>
      </c>
      <c r="AB1411" s="9">
        <f t="shared" si="266"/>
        <v>140</v>
      </c>
      <c r="AC1411" s="9">
        <f t="shared" si="267"/>
        <v>0</v>
      </c>
      <c r="AD1411" s="9">
        <f t="shared" si="268"/>
        <v>140</v>
      </c>
      <c r="AE1411" s="9">
        <f t="shared" si="269"/>
        <v>56.52</v>
      </c>
      <c r="AF1411" s="9">
        <f t="shared" ref="AF1411:AF1474" si="275">Y1411</f>
        <v>83.47999999999999</v>
      </c>
      <c r="AG1411" s="8">
        <f t="shared" si="270"/>
        <v>2024</v>
      </c>
      <c r="AH1411" s="8">
        <f t="shared" si="271"/>
        <v>10</v>
      </c>
      <c r="AI1411" s="5" t="str">
        <f t="shared" si="272"/>
        <v>Oct</v>
      </c>
      <c r="AJ1411" s="5" t="str">
        <f t="shared" si="273"/>
        <v>Monday</v>
      </c>
    </row>
    <row r="1412" spans="1:36" x14ac:dyDescent="0.3">
      <c r="A1412" s="5" t="s">
        <v>1446</v>
      </c>
      <c r="B1412" s="6">
        <v>45376</v>
      </c>
      <c r="C1412" s="7">
        <v>0.82291666666666663</v>
      </c>
      <c r="D1412" s="5" t="s">
        <v>1751</v>
      </c>
      <c r="E1412" s="5" t="s">
        <v>2101</v>
      </c>
      <c r="F1412" s="5" t="s">
        <v>2239</v>
      </c>
      <c r="G1412" s="5" t="s">
        <v>2248</v>
      </c>
      <c r="H1412" s="5" t="s">
        <v>2257</v>
      </c>
      <c r="I1412" s="5" t="s">
        <v>2262</v>
      </c>
      <c r="J1412" s="5" t="s">
        <v>2266</v>
      </c>
      <c r="K1412" s="8">
        <v>2</v>
      </c>
      <c r="L1412" s="9">
        <v>145</v>
      </c>
      <c r="M1412" s="10">
        <v>0.05</v>
      </c>
      <c r="N1412" s="9">
        <f t="shared" si="274"/>
        <v>290</v>
      </c>
      <c r="O1412" s="9">
        <f t="shared" si="264"/>
        <v>275.5</v>
      </c>
      <c r="P1412" s="5" t="s">
        <v>2269</v>
      </c>
      <c r="Q1412" s="5" t="s">
        <v>2271</v>
      </c>
      <c r="R1412" s="5" t="s">
        <v>2273</v>
      </c>
      <c r="S1412" s="5" t="s">
        <v>2282</v>
      </c>
      <c r="T1412" s="5" t="s">
        <v>2290</v>
      </c>
      <c r="U1412" s="8">
        <v>5</v>
      </c>
      <c r="V1412" s="8">
        <v>21</v>
      </c>
      <c r="W1412" s="8">
        <v>24</v>
      </c>
      <c r="X1412" s="9">
        <v>56.88</v>
      </c>
      <c r="Y1412" s="9">
        <f t="shared" si="265"/>
        <v>161.74</v>
      </c>
      <c r="Z1412" s="5" t="s">
        <v>2293</v>
      </c>
      <c r="AA1412" s="5" t="s">
        <v>2297</v>
      </c>
      <c r="AB1412" s="9">
        <f t="shared" si="266"/>
        <v>290</v>
      </c>
      <c r="AC1412" s="9">
        <f t="shared" si="267"/>
        <v>14.5</v>
      </c>
      <c r="AD1412" s="9">
        <f t="shared" si="268"/>
        <v>275.5</v>
      </c>
      <c r="AE1412" s="9">
        <f t="shared" si="269"/>
        <v>113.76</v>
      </c>
      <c r="AF1412" s="9">
        <f t="shared" si="275"/>
        <v>161.74</v>
      </c>
      <c r="AG1412" s="8">
        <f t="shared" si="270"/>
        <v>2024</v>
      </c>
      <c r="AH1412" s="8">
        <f t="shared" si="271"/>
        <v>3</v>
      </c>
      <c r="AI1412" s="5" t="str">
        <f t="shared" si="272"/>
        <v>Mar</v>
      </c>
      <c r="AJ1412" s="5" t="str">
        <f t="shared" si="273"/>
        <v>Monday</v>
      </c>
    </row>
    <row r="1413" spans="1:36" x14ac:dyDescent="0.3">
      <c r="A1413" s="5" t="s">
        <v>1447</v>
      </c>
      <c r="B1413" s="6">
        <v>45566</v>
      </c>
      <c r="C1413" s="7">
        <v>0.625</v>
      </c>
      <c r="D1413" s="5" t="s">
        <v>1808</v>
      </c>
      <c r="E1413" s="5" t="s">
        <v>1988</v>
      </c>
      <c r="F1413" s="5" t="s">
        <v>2239</v>
      </c>
      <c r="G1413" s="5" t="s">
        <v>2254</v>
      </c>
      <c r="H1413" s="5" t="s">
        <v>2259</v>
      </c>
      <c r="I1413" s="5" t="s">
        <v>2263</v>
      </c>
      <c r="J1413" s="5" t="s">
        <v>2266</v>
      </c>
      <c r="K1413" s="8">
        <v>1</v>
      </c>
      <c r="L1413" s="9">
        <v>120</v>
      </c>
      <c r="M1413" s="10">
        <v>0</v>
      </c>
      <c r="N1413" s="9">
        <f t="shared" si="274"/>
        <v>120</v>
      </c>
      <c r="O1413" s="9">
        <f t="shared" si="264"/>
        <v>120</v>
      </c>
      <c r="P1413" s="5" t="s">
        <v>2267</v>
      </c>
      <c r="Q1413" s="5" t="s">
        <v>2270</v>
      </c>
      <c r="R1413" s="5" t="s">
        <v>2279</v>
      </c>
      <c r="S1413" s="5" t="s">
        <v>2282</v>
      </c>
      <c r="T1413" s="5" t="s">
        <v>2289</v>
      </c>
      <c r="U1413" s="8">
        <v>1</v>
      </c>
      <c r="V1413" s="8">
        <v>281</v>
      </c>
      <c r="W1413" s="8">
        <v>22</v>
      </c>
      <c r="X1413" s="9">
        <v>51.92</v>
      </c>
      <c r="Y1413" s="9">
        <f t="shared" si="265"/>
        <v>68.08</v>
      </c>
      <c r="Z1413" s="5" t="s">
        <v>2291</v>
      </c>
      <c r="AA1413" s="5" t="s">
        <v>2296</v>
      </c>
      <c r="AB1413" s="9">
        <f t="shared" si="266"/>
        <v>120</v>
      </c>
      <c r="AC1413" s="9">
        <f t="shared" si="267"/>
        <v>0</v>
      </c>
      <c r="AD1413" s="9">
        <f t="shared" si="268"/>
        <v>120</v>
      </c>
      <c r="AE1413" s="9">
        <f t="shared" si="269"/>
        <v>51.92</v>
      </c>
      <c r="AF1413" s="9">
        <f t="shared" si="275"/>
        <v>68.08</v>
      </c>
      <c r="AG1413" s="8">
        <f t="shared" si="270"/>
        <v>2024</v>
      </c>
      <c r="AH1413" s="8">
        <f t="shared" si="271"/>
        <v>10</v>
      </c>
      <c r="AI1413" s="5" t="str">
        <f t="shared" si="272"/>
        <v>Oct</v>
      </c>
      <c r="AJ1413" s="5" t="str">
        <f t="shared" si="273"/>
        <v>Tuesday</v>
      </c>
    </row>
    <row r="1414" spans="1:36" x14ac:dyDescent="0.3">
      <c r="A1414" s="5" t="s">
        <v>1448</v>
      </c>
      <c r="B1414" s="6">
        <v>45578</v>
      </c>
      <c r="C1414" s="7">
        <v>0.57638888888888884</v>
      </c>
      <c r="D1414" s="5" t="s">
        <v>1910</v>
      </c>
      <c r="E1414" s="5" t="s">
        <v>2127</v>
      </c>
      <c r="F1414" s="5" t="s">
        <v>2240</v>
      </c>
      <c r="G1414" s="5" t="s">
        <v>2241</v>
      </c>
      <c r="H1414" s="5" t="s">
        <v>2257</v>
      </c>
      <c r="I1414" s="5" t="s">
        <v>2262</v>
      </c>
      <c r="J1414" s="5" t="s">
        <v>2265</v>
      </c>
      <c r="K1414" s="8">
        <v>4</v>
      </c>
      <c r="L1414" s="9">
        <v>135</v>
      </c>
      <c r="M1414" s="10">
        <v>0</v>
      </c>
      <c r="N1414" s="9">
        <f t="shared" si="274"/>
        <v>540</v>
      </c>
      <c r="O1414" s="9">
        <f t="shared" si="264"/>
        <v>540</v>
      </c>
      <c r="P1414" s="5" t="s">
        <v>2268</v>
      </c>
      <c r="Q1414" s="5" t="s">
        <v>2270</v>
      </c>
      <c r="R1414" s="5" t="s">
        <v>2276</v>
      </c>
      <c r="S1414" s="5" t="s">
        <v>2282</v>
      </c>
      <c r="T1414" s="5" t="s">
        <v>2289</v>
      </c>
      <c r="U1414" s="8">
        <v>4</v>
      </c>
      <c r="V1414" s="8">
        <v>17</v>
      </c>
      <c r="W1414" s="19">
        <v>34</v>
      </c>
      <c r="X1414" s="9">
        <v>45.86</v>
      </c>
      <c r="Y1414" s="9">
        <f t="shared" si="265"/>
        <v>356.56</v>
      </c>
      <c r="Z1414" s="5" t="s">
        <v>2292</v>
      </c>
      <c r="AA1414" s="5" t="s">
        <v>2296</v>
      </c>
      <c r="AB1414" s="9">
        <f t="shared" si="266"/>
        <v>540</v>
      </c>
      <c r="AC1414" s="9">
        <f t="shared" si="267"/>
        <v>0</v>
      </c>
      <c r="AD1414" s="9">
        <f t="shared" si="268"/>
        <v>540</v>
      </c>
      <c r="AE1414" s="9">
        <f t="shared" si="269"/>
        <v>183.44</v>
      </c>
      <c r="AF1414" s="9">
        <f t="shared" si="275"/>
        <v>356.56</v>
      </c>
      <c r="AG1414" s="8">
        <f t="shared" si="270"/>
        <v>2024</v>
      </c>
      <c r="AH1414" s="8">
        <f t="shared" si="271"/>
        <v>10</v>
      </c>
      <c r="AI1414" s="5" t="str">
        <f t="shared" si="272"/>
        <v>Oct</v>
      </c>
      <c r="AJ1414" s="5" t="str">
        <f t="shared" si="273"/>
        <v>Sunday</v>
      </c>
    </row>
    <row r="1415" spans="1:36" x14ac:dyDescent="0.3">
      <c r="A1415" s="5" t="s">
        <v>1449</v>
      </c>
      <c r="B1415" s="6">
        <v>45492</v>
      </c>
      <c r="C1415" s="7">
        <v>0.55208333333333337</v>
      </c>
      <c r="D1415" s="5" t="s">
        <v>1905</v>
      </c>
      <c r="E1415" s="5" t="s">
        <v>2225</v>
      </c>
      <c r="F1415" s="5" t="s">
        <v>2239</v>
      </c>
      <c r="G1415" s="5" t="s">
        <v>2254</v>
      </c>
      <c r="H1415" s="5" t="s">
        <v>2259</v>
      </c>
      <c r="I1415" s="5" t="s">
        <v>2263</v>
      </c>
      <c r="J1415" s="5" t="s">
        <v>1761</v>
      </c>
      <c r="K1415" s="8">
        <v>1</v>
      </c>
      <c r="L1415" s="9">
        <v>105</v>
      </c>
      <c r="M1415" s="10">
        <v>0.15</v>
      </c>
      <c r="N1415" s="9">
        <f t="shared" si="274"/>
        <v>105</v>
      </c>
      <c r="O1415" s="9">
        <f t="shared" si="264"/>
        <v>89.25</v>
      </c>
      <c r="P1415" s="5" t="s">
        <v>2269</v>
      </c>
      <c r="Q1415" s="5" t="s">
        <v>2270</v>
      </c>
      <c r="R1415" s="5" t="s">
        <v>2273</v>
      </c>
      <c r="S1415" s="5" t="s">
        <v>2281</v>
      </c>
      <c r="T1415" s="5" t="s">
        <v>2288</v>
      </c>
      <c r="U1415" s="8">
        <v>1</v>
      </c>
      <c r="V1415" s="8">
        <v>260</v>
      </c>
      <c r="W1415" s="8">
        <v>13</v>
      </c>
      <c r="X1415" s="9">
        <v>62.52</v>
      </c>
      <c r="Y1415" s="9">
        <f t="shared" si="265"/>
        <v>26.729999999999997</v>
      </c>
      <c r="Z1415" s="5" t="s">
        <v>2291</v>
      </c>
      <c r="AA1415" s="5" t="s">
        <v>2296</v>
      </c>
      <c r="AB1415" s="9">
        <f t="shared" si="266"/>
        <v>105</v>
      </c>
      <c r="AC1415" s="9">
        <f t="shared" si="267"/>
        <v>15.75</v>
      </c>
      <c r="AD1415" s="9">
        <f t="shared" si="268"/>
        <v>89.25</v>
      </c>
      <c r="AE1415" s="9">
        <f t="shared" si="269"/>
        <v>62.52</v>
      </c>
      <c r="AF1415" s="9">
        <f t="shared" si="275"/>
        <v>26.729999999999997</v>
      </c>
      <c r="AG1415" s="8">
        <f t="shared" si="270"/>
        <v>2024</v>
      </c>
      <c r="AH1415" s="8">
        <f t="shared" si="271"/>
        <v>7</v>
      </c>
      <c r="AI1415" s="5" t="str">
        <f t="shared" si="272"/>
        <v>Jul</v>
      </c>
      <c r="AJ1415" s="5" t="str">
        <f t="shared" si="273"/>
        <v>Friday</v>
      </c>
    </row>
    <row r="1416" spans="1:36" x14ac:dyDescent="0.3">
      <c r="A1416" s="5" t="s">
        <v>1450</v>
      </c>
      <c r="B1416" s="6">
        <v>45299</v>
      </c>
      <c r="C1416" s="7">
        <v>0.80208333333333337</v>
      </c>
      <c r="D1416" s="5" t="s">
        <v>1884</v>
      </c>
      <c r="E1416" s="5" t="s">
        <v>2198</v>
      </c>
      <c r="F1416" s="5" t="s">
        <v>2238</v>
      </c>
      <c r="G1416" s="5" t="s">
        <v>2250</v>
      </c>
      <c r="H1416" s="5" t="s">
        <v>2259</v>
      </c>
      <c r="I1416" s="5" t="s">
        <v>2262</v>
      </c>
      <c r="J1416" s="5" t="s">
        <v>2265</v>
      </c>
      <c r="K1416" s="8">
        <v>2</v>
      </c>
      <c r="L1416" s="9">
        <v>85</v>
      </c>
      <c r="M1416" s="10">
        <v>0.15</v>
      </c>
      <c r="N1416" s="9">
        <f t="shared" si="274"/>
        <v>170</v>
      </c>
      <c r="O1416" s="9">
        <f t="shared" si="264"/>
        <v>144.5</v>
      </c>
      <c r="P1416" s="5" t="s">
        <v>2269</v>
      </c>
      <c r="Q1416" s="5" t="s">
        <v>2272</v>
      </c>
      <c r="R1416" s="5" t="s">
        <v>2273</v>
      </c>
      <c r="S1416" s="5" t="s">
        <v>2280</v>
      </c>
      <c r="T1416" s="5" t="s">
        <v>2288</v>
      </c>
      <c r="U1416" s="19">
        <v>3</v>
      </c>
      <c r="V1416" s="8">
        <v>240</v>
      </c>
      <c r="W1416" s="19">
        <v>35</v>
      </c>
      <c r="X1416" s="9">
        <v>40.82</v>
      </c>
      <c r="Y1416" s="9">
        <f t="shared" si="265"/>
        <v>62.86</v>
      </c>
      <c r="Z1416" s="5" t="s">
        <v>2293</v>
      </c>
      <c r="AA1416" s="5" t="s">
        <v>2299</v>
      </c>
      <c r="AB1416" s="9">
        <f t="shared" si="266"/>
        <v>170</v>
      </c>
      <c r="AC1416" s="9">
        <f t="shared" si="267"/>
        <v>25.5</v>
      </c>
      <c r="AD1416" s="9">
        <f t="shared" si="268"/>
        <v>144.5</v>
      </c>
      <c r="AE1416" s="9">
        <f t="shared" si="269"/>
        <v>81.64</v>
      </c>
      <c r="AF1416" s="9">
        <f t="shared" si="275"/>
        <v>62.86</v>
      </c>
      <c r="AG1416" s="8">
        <f t="shared" si="270"/>
        <v>2024</v>
      </c>
      <c r="AH1416" s="8">
        <f t="shared" si="271"/>
        <v>1</v>
      </c>
      <c r="AI1416" s="5" t="str">
        <f t="shared" si="272"/>
        <v>Jan</v>
      </c>
      <c r="AJ1416" s="5" t="str">
        <f t="shared" si="273"/>
        <v>Monday</v>
      </c>
    </row>
    <row r="1417" spans="1:36" x14ac:dyDescent="0.3">
      <c r="A1417" s="5" t="s">
        <v>1451</v>
      </c>
      <c r="B1417" s="6">
        <v>45509</v>
      </c>
      <c r="C1417" s="7">
        <v>0.51041666666666663</v>
      </c>
      <c r="D1417" s="5" t="s">
        <v>1916</v>
      </c>
      <c r="E1417" s="5" t="s">
        <v>2144</v>
      </c>
      <c r="F1417" s="5" t="s">
        <v>2240</v>
      </c>
      <c r="G1417" s="5" t="s">
        <v>2245</v>
      </c>
      <c r="H1417" s="5" t="s">
        <v>2257</v>
      </c>
      <c r="I1417" s="5" t="s">
        <v>2263</v>
      </c>
      <c r="J1417" s="5" t="s">
        <v>2266</v>
      </c>
      <c r="K1417" s="8">
        <v>4</v>
      </c>
      <c r="L1417" s="9">
        <v>150</v>
      </c>
      <c r="M1417" s="10">
        <v>0.05</v>
      </c>
      <c r="N1417" s="9">
        <f t="shared" si="274"/>
        <v>600</v>
      </c>
      <c r="O1417" s="9">
        <f t="shared" si="264"/>
        <v>570</v>
      </c>
      <c r="P1417" s="5" t="s">
        <v>2269</v>
      </c>
      <c r="Q1417" s="5" t="s">
        <v>2272</v>
      </c>
      <c r="R1417" s="5" t="s">
        <v>2279</v>
      </c>
      <c r="S1417" s="5" t="s">
        <v>2281</v>
      </c>
      <c r="T1417" s="5" t="s">
        <v>2289</v>
      </c>
      <c r="U1417" s="8">
        <v>3</v>
      </c>
      <c r="V1417" s="19">
        <v>244</v>
      </c>
      <c r="W1417" s="8">
        <v>14</v>
      </c>
      <c r="X1417" s="9">
        <v>77.13</v>
      </c>
      <c r="Y1417" s="9">
        <f t="shared" si="265"/>
        <v>261.48</v>
      </c>
      <c r="Z1417" s="5" t="s">
        <v>2294</v>
      </c>
      <c r="AA1417" s="5" t="s">
        <v>2299</v>
      </c>
      <c r="AB1417" s="9">
        <f t="shared" si="266"/>
        <v>600</v>
      </c>
      <c r="AC1417" s="9">
        <f t="shared" si="267"/>
        <v>30</v>
      </c>
      <c r="AD1417" s="9">
        <f t="shared" si="268"/>
        <v>570</v>
      </c>
      <c r="AE1417" s="9">
        <f t="shared" si="269"/>
        <v>308.52</v>
      </c>
      <c r="AF1417" s="9">
        <f t="shared" si="275"/>
        <v>261.48</v>
      </c>
      <c r="AG1417" s="8">
        <f t="shared" si="270"/>
        <v>2024</v>
      </c>
      <c r="AH1417" s="8">
        <f t="shared" si="271"/>
        <v>8</v>
      </c>
      <c r="AI1417" s="5" t="str">
        <f t="shared" si="272"/>
        <v>Aug</v>
      </c>
      <c r="AJ1417" s="5" t="str">
        <f t="shared" si="273"/>
        <v>Monday</v>
      </c>
    </row>
    <row r="1418" spans="1:36" x14ac:dyDescent="0.3">
      <c r="A1418" s="5" t="s">
        <v>1452</v>
      </c>
      <c r="B1418" s="6">
        <v>45564</v>
      </c>
      <c r="C1418" s="7">
        <v>0.5625</v>
      </c>
      <c r="D1418" s="5" t="s">
        <v>1893</v>
      </c>
      <c r="E1418" s="5" t="s">
        <v>2091</v>
      </c>
      <c r="F1418" s="5" t="s">
        <v>2240</v>
      </c>
      <c r="G1418" s="5" t="s">
        <v>2253</v>
      </c>
      <c r="H1418" s="5" t="s">
        <v>2258</v>
      </c>
      <c r="I1418" s="5" t="s">
        <v>2260</v>
      </c>
      <c r="J1418" s="5" t="s">
        <v>2265</v>
      </c>
      <c r="K1418" s="8">
        <v>2</v>
      </c>
      <c r="L1418" s="9">
        <v>90</v>
      </c>
      <c r="M1418" s="10">
        <v>0.1</v>
      </c>
      <c r="N1418" s="9">
        <f t="shared" si="274"/>
        <v>180</v>
      </c>
      <c r="O1418" s="9">
        <f t="shared" si="264"/>
        <v>162</v>
      </c>
      <c r="P1418" s="5" t="s">
        <v>2269</v>
      </c>
      <c r="Q1418" s="5" t="s">
        <v>2272</v>
      </c>
      <c r="R1418" s="5" t="s">
        <v>2278</v>
      </c>
      <c r="S1418" s="5" t="s">
        <v>2286</v>
      </c>
      <c r="T1418" s="5" t="s">
        <v>2288</v>
      </c>
      <c r="U1418" s="8">
        <v>3</v>
      </c>
      <c r="V1418" s="8">
        <v>158</v>
      </c>
      <c r="W1418" s="8">
        <v>12</v>
      </c>
      <c r="X1418" s="9">
        <v>47.69</v>
      </c>
      <c r="Y1418" s="9">
        <f t="shared" si="265"/>
        <v>66.62</v>
      </c>
      <c r="Z1418" s="5" t="s">
        <v>1761</v>
      </c>
      <c r="AA1418" s="5" t="s">
        <v>2296</v>
      </c>
      <c r="AB1418" s="9">
        <f t="shared" si="266"/>
        <v>180</v>
      </c>
      <c r="AC1418" s="9">
        <f t="shared" si="267"/>
        <v>18</v>
      </c>
      <c r="AD1418" s="9">
        <f t="shared" si="268"/>
        <v>162</v>
      </c>
      <c r="AE1418" s="9">
        <f t="shared" si="269"/>
        <v>95.38</v>
      </c>
      <c r="AF1418" s="9">
        <f t="shared" si="275"/>
        <v>66.62</v>
      </c>
      <c r="AG1418" s="8">
        <f t="shared" si="270"/>
        <v>2024</v>
      </c>
      <c r="AH1418" s="8">
        <f t="shared" si="271"/>
        <v>9</v>
      </c>
      <c r="AI1418" s="5" t="str">
        <f t="shared" si="272"/>
        <v>Sep</v>
      </c>
      <c r="AJ1418" s="5" t="str">
        <f t="shared" si="273"/>
        <v>Sunday</v>
      </c>
    </row>
    <row r="1419" spans="1:36" x14ac:dyDescent="0.3">
      <c r="A1419" s="5" t="s">
        <v>1453</v>
      </c>
      <c r="B1419" s="6">
        <v>45402</v>
      </c>
      <c r="C1419" s="7">
        <v>0.51388888888888884</v>
      </c>
      <c r="D1419" s="5" t="s">
        <v>1866</v>
      </c>
      <c r="E1419" s="5" t="s">
        <v>1959</v>
      </c>
      <c r="F1419" s="5" t="s">
        <v>2240</v>
      </c>
      <c r="G1419" s="5" t="s">
        <v>2249</v>
      </c>
      <c r="H1419" s="5" t="s">
        <v>2257</v>
      </c>
      <c r="I1419" s="5" t="s">
        <v>2263</v>
      </c>
      <c r="J1419" s="5" t="s">
        <v>2264</v>
      </c>
      <c r="K1419" s="8">
        <v>1</v>
      </c>
      <c r="L1419" s="9">
        <v>160</v>
      </c>
      <c r="M1419" s="10">
        <v>0.15</v>
      </c>
      <c r="N1419" s="9">
        <f t="shared" si="274"/>
        <v>160</v>
      </c>
      <c r="O1419" s="9">
        <f t="shared" si="264"/>
        <v>136</v>
      </c>
      <c r="P1419" s="5" t="s">
        <v>2267</v>
      </c>
      <c r="Q1419" s="5" t="s">
        <v>2272</v>
      </c>
      <c r="R1419" s="5" t="s">
        <v>2278</v>
      </c>
      <c r="S1419" s="5" t="s">
        <v>2286</v>
      </c>
      <c r="T1419" s="5" t="s">
        <v>2289</v>
      </c>
      <c r="U1419" s="8">
        <v>4</v>
      </c>
      <c r="V1419" s="8">
        <v>289</v>
      </c>
      <c r="W1419" s="8">
        <v>55</v>
      </c>
      <c r="X1419" s="9">
        <v>75.650000000000006</v>
      </c>
      <c r="Y1419" s="9">
        <f t="shared" si="265"/>
        <v>60.349999999999994</v>
      </c>
      <c r="Z1419" s="5" t="s">
        <v>1761</v>
      </c>
      <c r="AA1419" s="5" t="s">
        <v>2296</v>
      </c>
      <c r="AB1419" s="9">
        <f t="shared" si="266"/>
        <v>160</v>
      </c>
      <c r="AC1419" s="9">
        <f t="shared" si="267"/>
        <v>24</v>
      </c>
      <c r="AD1419" s="9">
        <f t="shared" si="268"/>
        <v>136</v>
      </c>
      <c r="AE1419" s="9">
        <f t="shared" si="269"/>
        <v>75.650000000000006</v>
      </c>
      <c r="AF1419" s="9">
        <f t="shared" si="275"/>
        <v>60.349999999999994</v>
      </c>
      <c r="AG1419" s="8">
        <f t="shared" si="270"/>
        <v>2024</v>
      </c>
      <c r="AH1419" s="8">
        <f t="shared" si="271"/>
        <v>4</v>
      </c>
      <c r="AI1419" s="5" t="str">
        <f t="shared" si="272"/>
        <v>Apr</v>
      </c>
      <c r="AJ1419" s="5" t="str">
        <f t="shared" si="273"/>
        <v>Saturday</v>
      </c>
    </row>
    <row r="1420" spans="1:36" x14ac:dyDescent="0.3">
      <c r="A1420" s="5" t="s">
        <v>1454</v>
      </c>
      <c r="B1420" s="6">
        <v>45515</v>
      </c>
      <c r="C1420" s="7">
        <v>0.83333333333333337</v>
      </c>
      <c r="D1420" s="5" t="s">
        <v>1807</v>
      </c>
      <c r="E1420" s="5" t="s">
        <v>2222</v>
      </c>
      <c r="F1420" s="5" t="s">
        <v>2240</v>
      </c>
      <c r="G1420" s="5" t="s">
        <v>2243</v>
      </c>
      <c r="H1420" s="5" t="s">
        <v>2258</v>
      </c>
      <c r="I1420" s="5" t="s">
        <v>2260</v>
      </c>
      <c r="J1420" s="5" t="s">
        <v>2266</v>
      </c>
      <c r="K1420" s="8">
        <v>3</v>
      </c>
      <c r="L1420" s="9">
        <v>75</v>
      </c>
      <c r="M1420" s="10">
        <v>0</v>
      </c>
      <c r="N1420" s="9">
        <f t="shared" si="274"/>
        <v>225</v>
      </c>
      <c r="O1420" s="9">
        <f t="shared" si="264"/>
        <v>225</v>
      </c>
      <c r="P1420" s="5" t="s">
        <v>1761</v>
      </c>
      <c r="Q1420" s="5" t="s">
        <v>2271</v>
      </c>
      <c r="R1420" s="5" t="s">
        <v>2273</v>
      </c>
      <c r="S1420" s="5" t="s">
        <v>2282</v>
      </c>
      <c r="T1420" s="5" t="s">
        <v>2290</v>
      </c>
      <c r="U1420" s="8">
        <v>5</v>
      </c>
      <c r="V1420" s="8">
        <v>90</v>
      </c>
      <c r="W1420" s="8">
        <v>46</v>
      </c>
      <c r="X1420" s="9">
        <v>38.76</v>
      </c>
      <c r="Y1420" s="9">
        <f t="shared" si="265"/>
        <v>108.72</v>
      </c>
      <c r="Z1420" s="5" t="s">
        <v>1761</v>
      </c>
      <c r="AA1420" s="5" t="s">
        <v>2296</v>
      </c>
      <c r="AB1420" s="9">
        <f t="shared" si="266"/>
        <v>225</v>
      </c>
      <c r="AC1420" s="9">
        <f t="shared" si="267"/>
        <v>0</v>
      </c>
      <c r="AD1420" s="9">
        <f t="shared" si="268"/>
        <v>225</v>
      </c>
      <c r="AE1420" s="9">
        <f t="shared" si="269"/>
        <v>116.28</v>
      </c>
      <c r="AF1420" s="9">
        <f t="shared" si="275"/>
        <v>108.72</v>
      </c>
      <c r="AG1420" s="8">
        <f t="shared" si="270"/>
        <v>2024</v>
      </c>
      <c r="AH1420" s="8">
        <f t="shared" si="271"/>
        <v>8</v>
      </c>
      <c r="AI1420" s="5" t="str">
        <f t="shared" si="272"/>
        <v>Aug</v>
      </c>
      <c r="AJ1420" s="5" t="str">
        <f t="shared" si="273"/>
        <v>Sunday</v>
      </c>
    </row>
    <row r="1421" spans="1:36" x14ac:dyDescent="0.3">
      <c r="A1421" s="5" t="s">
        <v>1455</v>
      </c>
      <c r="B1421" s="18">
        <v>45468</v>
      </c>
      <c r="C1421" s="7">
        <v>0.36458333333333331</v>
      </c>
      <c r="D1421" s="5" t="s">
        <v>1812</v>
      </c>
      <c r="E1421" s="5" t="s">
        <v>2177</v>
      </c>
      <c r="F1421" s="5" t="s">
        <v>1761</v>
      </c>
      <c r="G1421" s="5" t="s">
        <v>2253</v>
      </c>
      <c r="H1421" s="5" t="s">
        <v>2258</v>
      </c>
      <c r="I1421" s="5" t="s">
        <v>2260</v>
      </c>
      <c r="J1421" s="5" t="s">
        <v>2264</v>
      </c>
      <c r="K1421" s="8">
        <v>1</v>
      </c>
      <c r="L1421" s="9">
        <v>90</v>
      </c>
      <c r="M1421" s="10">
        <v>0</v>
      </c>
      <c r="N1421" s="9">
        <f t="shared" si="274"/>
        <v>90</v>
      </c>
      <c r="O1421" s="9">
        <f t="shared" si="264"/>
        <v>90</v>
      </c>
      <c r="P1421" s="5" t="s">
        <v>2267</v>
      </c>
      <c r="Q1421" s="5" t="s">
        <v>2270</v>
      </c>
      <c r="R1421" s="5" t="s">
        <v>2279</v>
      </c>
      <c r="S1421" s="5" t="s">
        <v>2286</v>
      </c>
      <c r="T1421" s="5" t="s">
        <v>2288</v>
      </c>
      <c r="U1421" s="8">
        <v>3</v>
      </c>
      <c r="V1421" s="8">
        <v>465</v>
      </c>
      <c r="W1421" s="8">
        <v>10</v>
      </c>
      <c r="X1421" s="9">
        <v>43.86</v>
      </c>
      <c r="Y1421" s="9">
        <f t="shared" si="265"/>
        <v>46.14</v>
      </c>
      <c r="Z1421" s="5" t="s">
        <v>1761</v>
      </c>
      <c r="AA1421" s="5" t="s">
        <v>2297</v>
      </c>
      <c r="AB1421" s="9">
        <f t="shared" si="266"/>
        <v>90</v>
      </c>
      <c r="AC1421" s="9">
        <f t="shared" si="267"/>
        <v>0</v>
      </c>
      <c r="AD1421" s="9">
        <f t="shared" si="268"/>
        <v>90</v>
      </c>
      <c r="AE1421" s="9">
        <f t="shared" si="269"/>
        <v>43.86</v>
      </c>
      <c r="AF1421" s="9">
        <f t="shared" si="275"/>
        <v>46.14</v>
      </c>
      <c r="AG1421" s="8">
        <f t="shared" si="270"/>
        <v>2024</v>
      </c>
      <c r="AH1421" s="8">
        <f t="shared" si="271"/>
        <v>6</v>
      </c>
      <c r="AI1421" s="5" t="str">
        <f t="shared" si="272"/>
        <v>Jun</v>
      </c>
      <c r="AJ1421" s="5" t="str">
        <f t="shared" si="273"/>
        <v>Tuesday</v>
      </c>
    </row>
    <row r="1422" spans="1:36" x14ac:dyDescent="0.3">
      <c r="A1422" s="5" t="s">
        <v>1456</v>
      </c>
      <c r="B1422" s="6">
        <v>45534</v>
      </c>
      <c r="C1422" s="7">
        <v>0.63194444444444442</v>
      </c>
      <c r="D1422" s="5" t="s">
        <v>1788</v>
      </c>
      <c r="E1422" s="5" t="s">
        <v>2033</v>
      </c>
      <c r="F1422" s="5" t="s">
        <v>2239</v>
      </c>
      <c r="G1422" s="5" t="s">
        <v>2241</v>
      </c>
      <c r="H1422" s="5" t="s">
        <v>2257</v>
      </c>
      <c r="I1422" s="5" t="s">
        <v>2262</v>
      </c>
      <c r="J1422" s="5" t="s">
        <v>1761</v>
      </c>
      <c r="K1422" s="8">
        <v>3</v>
      </c>
      <c r="L1422" s="9">
        <v>125</v>
      </c>
      <c r="M1422" s="10">
        <v>0</v>
      </c>
      <c r="N1422" s="9">
        <f t="shared" si="274"/>
        <v>375</v>
      </c>
      <c r="O1422" s="9">
        <f t="shared" si="264"/>
        <v>375</v>
      </c>
      <c r="P1422" s="5" t="s">
        <v>2267</v>
      </c>
      <c r="Q1422" s="5" t="s">
        <v>2270</v>
      </c>
      <c r="R1422" s="5" t="s">
        <v>2274</v>
      </c>
      <c r="S1422" s="5" t="s">
        <v>2286</v>
      </c>
      <c r="T1422" s="5" t="s">
        <v>2288</v>
      </c>
      <c r="U1422" s="8">
        <v>2</v>
      </c>
      <c r="V1422" s="8">
        <v>92</v>
      </c>
      <c r="W1422" s="19">
        <v>34</v>
      </c>
      <c r="X1422" s="9">
        <v>52.67</v>
      </c>
      <c r="Y1422" s="9">
        <f t="shared" si="265"/>
        <v>216.99</v>
      </c>
      <c r="Z1422" s="5" t="s">
        <v>2293</v>
      </c>
      <c r="AA1422" s="5" t="s">
        <v>2299</v>
      </c>
      <c r="AB1422" s="9">
        <f t="shared" si="266"/>
        <v>375</v>
      </c>
      <c r="AC1422" s="9">
        <f t="shared" si="267"/>
        <v>0</v>
      </c>
      <c r="AD1422" s="9">
        <f t="shared" si="268"/>
        <v>375</v>
      </c>
      <c r="AE1422" s="9">
        <f t="shared" si="269"/>
        <v>158.01</v>
      </c>
      <c r="AF1422" s="9">
        <f t="shared" si="275"/>
        <v>216.99</v>
      </c>
      <c r="AG1422" s="8">
        <f t="shared" si="270"/>
        <v>2024</v>
      </c>
      <c r="AH1422" s="8">
        <f t="shared" si="271"/>
        <v>8</v>
      </c>
      <c r="AI1422" s="5" t="str">
        <f t="shared" si="272"/>
        <v>Aug</v>
      </c>
      <c r="AJ1422" s="5" t="str">
        <f t="shared" si="273"/>
        <v>Friday</v>
      </c>
    </row>
    <row r="1423" spans="1:36" x14ac:dyDescent="0.3">
      <c r="A1423" s="5" t="s">
        <v>1457</v>
      </c>
      <c r="B1423" s="6">
        <v>45599</v>
      </c>
      <c r="C1423" s="7">
        <v>0.45833333333333331</v>
      </c>
      <c r="D1423" s="5" t="s">
        <v>1871</v>
      </c>
      <c r="E1423" s="5" t="s">
        <v>2173</v>
      </c>
      <c r="F1423" s="5" t="s">
        <v>2240</v>
      </c>
      <c r="G1423" s="5" t="s">
        <v>2249</v>
      </c>
      <c r="H1423" s="5" t="s">
        <v>2257</v>
      </c>
      <c r="I1423" s="5" t="s">
        <v>2263</v>
      </c>
      <c r="J1423" s="5" t="s">
        <v>2266</v>
      </c>
      <c r="K1423" s="8">
        <v>1</v>
      </c>
      <c r="L1423" s="9">
        <v>160</v>
      </c>
      <c r="M1423" s="10">
        <v>0.1</v>
      </c>
      <c r="N1423" s="9">
        <f t="shared" si="274"/>
        <v>160</v>
      </c>
      <c r="O1423" s="9">
        <f t="shared" si="264"/>
        <v>144</v>
      </c>
      <c r="P1423" s="5" t="s">
        <v>2269</v>
      </c>
      <c r="Q1423" s="5" t="s">
        <v>2270</v>
      </c>
      <c r="R1423" s="5" t="s">
        <v>2273</v>
      </c>
      <c r="S1423" s="5" t="s">
        <v>2284</v>
      </c>
      <c r="T1423" s="5" t="s">
        <v>2288</v>
      </c>
      <c r="U1423" s="8">
        <v>4</v>
      </c>
      <c r="V1423" s="8">
        <v>256</v>
      </c>
      <c r="W1423" s="8">
        <v>33</v>
      </c>
      <c r="X1423" s="9">
        <v>89.1</v>
      </c>
      <c r="Y1423" s="9">
        <f t="shared" si="265"/>
        <v>54.900000000000006</v>
      </c>
      <c r="Z1423" s="5" t="s">
        <v>2293</v>
      </c>
      <c r="AA1423" s="5" t="s">
        <v>2297</v>
      </c>
      <c r="AB1423" s="9">
        <f t="shared" si="266"/>
        <v>160</v>
      </c>
      <c r="AC1423" s="9">
        <f t="shared" si="267"/>
        <v>16</v>
      </c>
      <c r="AD1423" s="9">
        <f t="shared" si="268"/>
        <v>144</v>
      </c>
      <c r="AE1423" s="9">
        <f t="shared" si="269"/>
        <v>89.1</v>
      </c>
      <c r="AF1423" s="9">
        <f t="shared" si="275"/>
        <v>54.900000000000006</v>
      </c>
      <c r="AG1423" s="8">
        <f t="shared" si="270"/>
        <v>2024</v>
      </c>
      <c r="AH1423" s="8">
        <f t="shared" si="271"/>
        <v>11</v>
      </c>
      <c r="AI1423" s="5" t="str">
        <f t="shared" si="272"/>
        <v>Nov</v>
      </c>
      <c r="AJ1423" s="5" t="str">
        <f t="shared" si="273"/>
        <v>Sunday</v>
      </c>
    </row>
    <row r="1424" spans="1:36" x14ac:dyDescent="0.3">
      <c r="A1424" s="5" t="s">
        <v>1458</v>
      </c>
      <c r="B1424" s="6">
        <v>45559</v>
      </c>
      <c r="C1424" s="7">
        <v>0.75</v>
      </c>
      <c r="D1424" s="5" t="s">
        <v>1857</v>
      </c>
      <c r="E1424" s="5" t="s">
        <v>2173</v>
      </c>
      <c r="F1424" s="5" t="s">
        <v>2238</v>
      </c>
      <c r="G1424" s="5" t="s">
        <v>2246</v>
      </c>
      <c r="H1424" s="5" t="s">
        <v>2259</v>
      </c>
      <c r="I1424" s="5" t="s">
        <v>2262</v>
      </c>
      <c r="J1424" s="5" t="s">
        <v>2264</v>
      </c>
      <c r="K1424" s="8">
        <v>1</v>
      </c>
      <c r="L1424" s="9">
        <v>90</v>
      </c>
      <c r="M1424" s="10">
        <v>0.05</v>
      </c>
      <c r="N1424" s="9">
        <f t="shared" si="274"/>
        <v>90</v>
      </c>
      <c r="O1424" s="9">
        <f t="shared" si="264"/>
        <v>85.5</v>
      </c>
      <c r="P1424" s="5" t="s">
        <v>2269</v>
      </c>
      <c r="Q1424" s="5" t="s">
        <v>1761</v>
      </c>
      <c r="R1424" s="5" t="s">
        <v>2279</v>
      </c>
      <c r="S1424" s="5" t="s">
        <v>2281</v>
      </c>
      <c r="T1424" s="5" t="s">
        <v>2288</v>
      </c>
      <c r="U1424" s="8">
        <v>4</v>
      </c>
      <c r="V1424" s="8">
        <v>325</v>
      </c>
      <c r="W1424" s="8">
        <v>28</v>
      </c>
      <c r="X1424" s="9">
        <v>43.2</v>
      </c>
      <c r="Y1424" s="9">
        <f t="shared" si="265"/>
        <v>42.3</v>
      </c>
      <c r="Z1424" s="5" t="s">
        <v>2291</v>
      </c>
      <c r="AA1424" s="5" t="s">
        <v>2296</v>
      </c>
      <c r="AB1424" s="9">
        <f t="shared" si="266"/>
        <v>90</v>
      </c>
      <c r="AC1424" s="9">
        <f t="shared" si="267"/>
        <v>4.5</v>
      </c>
      <c r="AD1424" s="9">
        <f t="shared" si="268"/>
        <v>85.5</v>
      </c>
      <c r="AE1424" s="9">
        <f t="shared" si="269"/>
        <v>43.2</v>
      </c>
      <c r="AF1424" s="9">
        <f t="shared" si="275"/>
        <v>42.3</v>
      </c>
      <c r="AG1424" s="8">
        <f t="shared" si="270"/>
        <v>2024</v>
      </c>
      <c r="AH1424" s="8">
        <f t="shared" si="271"/>
        <v>9</v>
      </c>
      <c r="AI1424" s="5" t="str">
        <f t="shared" si="272"/>
        <v>Sep</v>
      </c>
      <c r="AJ1424" s="5" t="str">
        <f t="shared" si="273"/>
        <v>Tuesday</v>
      </c>
    </row>
    <row r="1425" spans="1:36" x14ac:dyDescent="0.3">
      <c r="A1425" s="5" t="s">
        <v>1459</v>
      </c>
      <c r="B1425" s="18">
        <v>45468</v>
      </c>
      <c r="C1425" s="7">
        <v>0.39583333333333331</v>
      </c>
      <c r="D1425" s="5" t="s">
        <v>1847</v>
      </c>
      <c r="E1425" s="5" t="s">
        <v>2010</v>
      </c>
      <c r="F1425" s="5" t="s">
        <v>2238</v>
      </c>
      <c r="G1425" s="5" t="s">
        <v>2242</v>
      </c>
      <c r="H1425" s="5" t="s">
        <v>2258</v>
      </c>
      <c r="I1425" s="5" t="s">
        <v>2260</v>
      </c>
      <c r="J1425" s="5" t="s">
        <v>2265</v>
      </c>
      <c r="K1425" s="8">
        <v>2</v>
      </c>
      <c r="L1425" s="9">
        <v>115</v>
      </c>
      <c r="M1425" s="10">
        <v>0.05</v>
      </c>
      <c r="N1425" s="9">
        <f t="shared" si="274"/>
        <v>230</v>
      </c>
      <c r="O1425" s="9">
        <f t="shared" si="264"/>
        <v>218.5</v>
      </c>
      <c r="P1425" s="5" t="s">
        <v>2267</v>
      </c>
      <c r="Q1425" s="5" t="s">
        <v>1761</v>
      </c>
      <c r="R1425" s="5" t="s">
        <v>2274</v>
      </c>
      <c r="S1425" s="5" t="s">
        <v>2282</v>
      </c>
      <c r="T1425" s="5" t="s">
        <v>2288</v>
      </c>
      <c r="U1425" s="8">
        <v>1</v>
      </c>
      <c r="V1425" s="19">
        <v>244</v>
      </c>
      <c r="W1425" s="8">
        <v>55</v>
      </c>
      <c r="X1425" s="9">
        <v>58.31</v>
      </c>
      <c r="Y1425" s="9">
        <f t="shared" si="265"/>
        <v>101.88</v>
      </c>
      <c r="Z1425" s="5" t="s">
        <v>1761</v>
      </c>
      <c r="AA1425" s="5" t="s">
        <v>1761</v>
      </c>
      <c r="AB1425" s="9">
        <f t="shared" si="266"/>
        <v>230</v>
      </c>
      <c r="AC1425" s="9">
        <f t="shared" si="267"/>
        <v>11.5</v>
      </c>
      <c r="AD1425" s="9">
        <f t="shared" si="268"/>
        <v>218.5</v>
      </c>
      <c r="AE1425" s="9">
        <f t="shared" si="269"/>
        <v>116.62</v>
      </c>
      <c r="AF1425" s="9">
        <f t="shared" si="275"/>
        <v>101.88</v>
      </c>
      <c r="AG1425" s="8">
        <f t="shared" si="270"/>
        <v>2024</v>
      </c>
      <c r="AH1425" s="8">
        <f t="shared" si="271"/>
        <v>6</v>
      </c>
      <c r="AI1425" s="5" t="str">
        <f t="shared" si="272"/>
        <v>Jun</v>
      </c>
      <c r="AJ1425" s="5" t="str">
        <f t="shared" si="273"/>
        <v>Tuesday</v>
      </c>
    </row>
    <row r="1426" spans="1:36" x14ac:dyDescent="0.3">
      <c r="A1426" s="5" t="s">
        <v>1460</v>
      </c>
      <c r="B1426" s="6">
        <v>45541</v>
      </c>
      <c r="C1426" s="7">
        <v>0.76041666666666663</v>
      </c>
      <c r="D1426" s="5" t="s">
        <v>1850</v>
      </c>
      <c r="E1426" s="5" t="s">
        <v>2136</v>
      </c>
      <c r="F1426" s="5" t="s">
        <v>2240</v>
      </c>
      <c r="G1426" s="5" t="s">
        <v>2243</v>
      </c>
      <c r="H1426" s="5" t="s">
        <v>2258</v>
      </c>
      <c r="I1426" s="5" t="s">
        <v>2260</v>
      </c>
      <c r="J1426" s="5" t="s">
        <v>1761</v>
      </c>
      <c r="K1426" s="8">
        <v>5</v>
      </c>
      <c r="L1426" s="9">
        <v>70</v>
      </c>
      <c r="M1426" s="10">
        <v>0</v>
      </c>
      <c r="N1426" s="9">
        <f t="shared" si="274"/>
        <v>350</v>
      </c>
      <c r="O1426" s="9">
        <f t="shared" si="264"/>
        <v>350</v>
      </c>
      <c r="P1426" s="5" t="s">
        <v>2267</v>
      </c>
      <c r="Q1426" s="5" t="s">
        <v>2270</v>
      </c>
      <c r="R1426" s="5" t="s">
        <v>2277</v>
      </c>
      <c r="S1426" s="5" t="s">
        <v>2287</v>
      </c>
      <c r="T1426" s="5" t="s">
        <v>2288</v>
      </c>
      <c r="U1426" s="8">
        <v>5</v>
      </c>
      <c r="V1426" s="8">
        <v>474</v>
      </c>
      <c r="W1426" s="8">
        <v>17</v>
      </c>
      <c r="X1426" s="9">
        <v>32.42</v>
      </c>
      <c r="Y1426" s="9">
        <f t="shared" si="265"/>
        <v>187.89999999999998</v>
      </c>
      <c r="Z1426" s="5" t="s">
        <v>2295</v>
      </c>
      <c r="AA1426" s="5" t="s">
        <v>2299</v>
      </c>
      <c r="AB1426" s="9">
        <f t="shared" si="266"/>
        <v>350</v>
      </c>
      <c r="AC1426" s="9">
        <f t="shared" si="267"/>
        <v>0</v>
      </c>
      <c r="AD1426" s="9">
        <f t="shared" si="268"/>
        <v>350</v>
      </c>
      <c r="AE1426" s="9">
        <f t="shared" si="269"/>
        <v>162.10000000000002</v>
      </c>
      <c r="AF1426" s="9">
        <f t="shared" si="275"/>
        <v>187.89999999999998</v>
      </c>
      <c r="AG1426" s="8">
        <f t="shared" si="270"/>
        <v>2024</v>
      </c>
      <c r="AH1426" s="8">
        <f t="shared" si="271"/>
        <v>9</v>
      </c>
      <c r="AI1426" s="5" t="str">
        <f t="shared" si="272"/>
        <v>Sep</v>
      </c>
      <c r="AJ1426" s="5" t="str">
        <f t="shared" si="273"/>
        <v>Friday</v>
      </c>
    </row>
    <row r="1427" spans="1:36" x14ac:dyDescent="0.3">
      <c r="A1427" s="5" t="s">
        <v>1461</v>
      </c>
      <c r="B1427" s="6">
        <v>45600</v>
      </c>
      <c r="C1427" s="7">
        <v>0.67708333333333337</v>
      </c>
      <c r="D1427" s="5" t="s">
        <v>1917</v>
      </c>
      <c r="E1427" s="5" t="s">
        <v>1990</v>
      </c>
      <c r="F1427" s="5" t="s">
        <v>2240</v>
      </c>
      <c r="G1427" s="5" t="s">
        <v>2250</v>
      </c>
      <c r="H1427" s="5" t="s">
        <v>2259</v>
      </c>
      <c r="I1427" s="5" t="s">
        <v>2262</v>
      </c>
      <c r="J1427" s="5" t="s">
        <v>2265</v>
      </c>
      <c r="K1427" s="8">
        <v>2</v>
      </c>
      <c r="L1427" s="9">
        <v>80</v>
      </c>
      <c r="M1427" s="10">
        <v>0.1</v>
      </c>
      <c r="N1427" s="9">
        <f t="shared" si="274"/>
        <v>160</v>
      </c>
      <c r="O1427" s="9">
        <f t="shared" si="264"/>
        <v>144</v>
      </c>
      <c r="P1427" s="5" t="s">
        <v>2267</v>
      </c>
      <c r="Q1427" s="5" t="s">
        <v>2270</v>
      </c>
      <c r="R1427" s="5" t="s">
        <v>2278</v>
      </c>
      <c r="S1427" s="5" t="s">
        <v>2282</v>
      </c>
      <c r="T1427" s="5" t="s">
        <v>2288</v>
      </c>
      <c r="U1427" s="8">
        <v>2</v>
      </c>
      <c r="V1427" s="8">
        <v>7</v>
      </c>
      <c r="W1427" s="8">
        <v>15</v>
      </c>
      <c r="X1427" s="9">
        <v>38.83</v>
      </c>
      <c r="Y1427" s="9">
        <f t="shared" si="265"/>
        <v>66.34</v>
      </c>
      <c r="Z1427" s="5" t="s">
        <v>1761</v>
      </c>
      <c r="AA1427" s="5" t="s">
        <v>2298</v>
      </c>
      <c r="AB1427" s="9">
        <f t="shared" si="266"/>
        <v>160</v>
      </c>
      <c r="AC1427" s="9">
        <f t="shared" si="267"/>
        <v>16</v>
      </c>
      <c r="AD1427" s="9">
        <f t="shared" si="268"/>
        <v>144</v>
      </c>
      <c r="AE1427" s="9">
        <f t="shared" si="269"/>
        <v>77.66</v>
      </c>
      <c r="AF1427" s="9">
        <f t="shared" si="275"/>
        <v>66.34</v>
      </c>
      <c r="AG1427" s="8">
        <f t="shared" si="270"/>
        <v>2024</v>
      </c>
      <c r="AH1427" s="8">
        <f t="shared" si="271"/>
        <v>11</v>
      </c>
      <c r="AI1427" s="5" t="str">
        <f t="shared" si="272"/>
        <v>Nov</v>
      </c>
      <c r="AJ1427" s="5" t="str">
        <f t="shared" si="273"/>
        <v>Monday</v>
      </c>
    </row>
    <row r="1428" spans="1:36" x14ac:dyDescent="0.3">
      <c r="A1428" s="5" t="s">
        <v>1462</v>
      </c>
      <c r="B1428" s="6">
        <v>45649</v>
      </c>
      <c r="C1428" s="7">
        <v>0.61458333333333337</v>
      </c>
      <c r="D1428" s="5" t="s">
        <v>1797</v>
      </c>
      <c r="E1428" s="5" t="s">
        <v>2203</v>
      </c>
      <c r="F1428" s="5" t="s">
        <v>2239</v>
      </c>
      <c r="G1428" s="5" t="s">
        <v>2243</v>
      </c>
      <c r="H1428" s="5" t="s">
        <v>2258</v>
      </c>
      <c r="I1428" s="5" t="s">
        <v>2260</v>
      </c>
      <c r="J1428" s="5" t="s">
        <v>2264</v>
      </c>
      <c r="K1428" s="8">
        <v>4</v>
      </c>
      <c r="L1428" s="9">
        <v>70</v>
      </c>
      <c r="M1428" s="10">
        <v>0.05</v>
      </c>
      <c r="N1428" s="9">
        <f t="shared" si="274"/>
        <v>280</v>
      </c>
      <c r="O1428" s="9">
        <f t="shared" si="264"/>
        <v>266</v>
      </c>
      <c r="P1428" s="5" t="s">
        <v>2268</v>
      </c>
      <c r="Q1428" s="5" t="s">
        <v>2272</v>
      </c>
      <c r="R1428" s="5" t="s">
        <v>2275</v>
      </c>
      <c r="S1428" s="5" t="s">
        <v>2287</v>
      </c>
      <c r="T1428" s="5" t="s">
        <v>2290</v>
      </c>
      <c r="U1428" s="8">
        <v>2</v>
      </c>
      <c r="V1428" s="19">
        <v>244</v>
      </c>
      <c r="W1428" s="8">
        <v>53</v>
      </c>
      <c r="X1428" s="9">
        <v>29.46</v>
      </c>
      <c r="Y1428" s="9">
        <f t="shared" si="265"/>
        <v>148.16</v>
      </c>
      <c r="Z1428" s="5" t="s">
        <v>2293</v>
      </c>
      <c r="AA1428" s="5" t="s">
        <v>1761</v>
      </c>
      <c r="AB1428" s="9">
        <f t="shared" si="266"/>
        <v>280</v>
      </c>
      <c r="AC1428" s="9">
        <f t="shared" si="267"/>
        <v>14</v>
      </c>
      <c r="AD1428" s="9">
        <f t="shared" si="268"/>
        <v>266</v>
      </c>
      <c r="AE1428" s="9">
        <f t="shared" si="269"/>
        <v>117.84</v>
      </c>
      <c r="AF1428" s="9">
        <f t="shared" si="275"/>
        <v>148.16</v>
      </c>
      <c r="AG1428" s="8">
        <f t="shared" si="270"/>
        <v>2024</v>
      </c>
      <c r="AH1428" s="8">
        <f t="shared" si="271"/>
        <v>12</v>
      </c>
      <c r="AI1428" s="5" t="str">
        <f t="shared" si="272"/>
        <v>Dec</v>
      </c>
      <c r="AJ1428" s="5" t="str">
        <f t="shared" si="273"/>
        <v>Monday</v>
      </c>
    </row>
    <row r="1429" spans="1:36" x14ac:dyDescent="0.3">
      <c r="A1429" s="5" t="s">
        <v>1463</v>
      </c>
      <c r="B1429" s="6">
        <v>45392</v>
      </c>
      <c r="C1429" s="7">
        <v>0.50694444444444442</v>
      </c>
      <c r="D1429" s="5" t="s">
        <v>1783</v>
      </c>
      <c r="E1429" s="5" t="s">
        <v>2115</v>
      </c>
      <c r="F1429" s="5" t="s">
        <v>2240</v>
      </c>
      <c r="G1429" s="5" t="s">
        <v>2251</v>
      </c>
      <c r="H1429" s="5" t="s">
        <v>2258</v>
      </c>
      <c r="I1429" s="5" t="s">
        <v>2260</v>
      </c>
      <c r="J1429" s="5" t="s">
        <v>2265</v>
      </c>
      <c r="K1429" s="19">
        <v>3</v>
      </c>
      <c r="L1429" s="9">
        <v>100</v>
      </c>
      <c r="M1429" s="10">
        <v>0</v>
      </c>
      <c r="N1429" s="9">
        <f t="shared" si="274"/>
        <v>300</v>
      </c>
      <c r="O1429" s="9">
        <f t="shared" si="264"/>
        <v>300</v>
      </c>
      <c r="P1429" s="5" t="s">
        <v>2269</v>
      </c>
      <c r="Q1429" s="5" t="s">
        <v>2272</v>
      </c>
      <c r="R1429" s="5" t="s">
        <v>2275</v>
      </c>
      <c r="S1429" s="5" t="s">
        <v>2287</v>
      </c>
      <c r="T1429" s="5" t="s">
        <v>2288</v>
      </c>
      <c r="U1429" s="19">
        <v>3</v>
      </c>
      <c r="V1429" s="8">
        <v>167</v>
      </c>
      <c r="W1429" s="8">
        <v>53</v>
      </c>
      <c r="X1429" s="9">
        <v>51.31</v>
      </c>
      <c r="Y1429" s="9">
        <f t="shared" si="265"/>
        <v>146.07</v>
      </c>
      <c r="Z1429" s="5" t="s">
        <v>2294</v>
      </c>
      <c r="AA1429" s="5" t="s">
        <v>2296</v>
      </c>
      <c r="AB1429" s="9">
        <f t="shared" si="266"/>
        <v>300</v>
      </c>
      <c r="AC1429" s="9">
        <f t="shared" si="267"/>
        <v>0</v>
      </c>
      <c r="AD1429" s="9">
        <f t="shared" si="268"/>
        <v>300</v>
      </c>
      <c r="AE1429" s="9">
        <f t="shared" si="269"/>
        <v>153.93</v>
      </c>
      <c r="AF1429" s="9">
        <f t="shared" si="275"/>
        <v>146.07</v>
      </c>
      <c r="AG1429" s="8">
        <f t="shared" si="270"/>
        <v>2024</v>
      </c>
      <c r="AH1429" s="8">
        <f t="shared" si="271"/>
        <v>4</v>
      </c>
      <c r="AI1429" s="5" t="str">
        <f t="shared" si="272"/>
        <v>Apr</v>
      </c>
      <c r="AJ1429" s="5" t="str">
        <f t="shared" si="273"/>
        <v>Wednesday</v>
      </c>
    </row>
    <row r="1430" spans="1:36" x14ac:dyDescent="0.3">
      <c r="A1430" s="5" t="s">
        <v>1464</v>
      </c>
      <c r="B1430" s="6">
        <v>45620</v>
      </c>
      <c r="C1430" s="7">
        <v>0.58333333333333337</v>
      </c>
      <c r="D1430" s="5" t="s">
        <v>1858</v>
      </c>
      <c r="E1430" s="5" t="s">
        <v>2057</v>
      </c>
      <c r="F1430" s="5" t="s">
        <v>2239</v>
      </c>
      <c r="G1430" s="5" t="s">
        <v>2254</v>
      </c>
      <c r="H1430" s="5" t="s">
        <v>2259</v>
      </c>
      <c r="I1430" s="5" t="s">
        <v>2263</v>
      </c>
      <c r="J1430" s="5" t="s">
        <v>2265</v>
      </c>
      <c r="K1430" s="8">
        <v>1</v>
      </c>
      <c r="L1430" s="9">
        <v>120</v>
      </c>
      <c r="M1430" s="10">
        <v>0</v>
      </c>
      <c r="N1430" s="9">
        <f t="shared" si="274"/>
        <v>120</v>
      </c>
      <c r="O1430" s="9">
        <f t="shared" si="264"/>
        <v>120</v>
      </c>
      <c r="P1430" s="5" t="s">
        <v>2269</v>
      </c>
      <c r="Q1430" s="5" t="s">
        <v>1761</v>
      </c>
      <c r="R1430" s="5" t="s">
        <v>2276</v>
      </c>
      <c r="S1430" s="5" t="s">
        <v>2286</v>
      </c>
      <c r="T1430" s="5" t="s">
        <v>2288</v>
      </c>
      <c r="U1430" s="8">
        <v>2</v>
      </c>
      <c r="V1430" s="8">
        <v>277</v>
      </c>
      <c r="W1430" s="8">
        <v>50</v>
      </c>
      <c r="X1430" s="9">
        <v>65.09</v>
      </c>
      <c r="Y1430" s="9">
        <f t="shared" si="265"/>
        <v>54.91</v>
      </c>
      <c r="Z1430" s="5" t="s">
        <v>2291</v>
      </c>
      <c r="AA1430" s="5" t="s">
        <v>2296</v>
      </c>
      <c r="AB1430" s="9">
        <f t="shared" si="266"/>
        <v>120</v>
      </c>
      <c r="AC1430" s="9">
        <f t="shared" si="267"/>
        <v>0</v>
      </c>
      <c r="AD1430" s="9">
        <f t="shared" si="268"/>
        <v>120</v>
      </c>
      <c r="AE1430" s="9">
        <f t="shared" si="269"/>
        <v>65.09</v>
      </c>
      <c r="AF1430" s="9">
        <f t="shared" si="275"/>
        <v>54.91</v>
      </c>
      <c r="AG1430" s="8">
        <f t="shared" si="270"/>
        <v>2024</v>
      </c>
      <c r="AH1430" s="8">
        <f t="shared" si="271"/>
        <v>11</v>
      </c>
      <c r="AI1430" s="5" t="str">
        <f t="shared" si="272"/>
        <v>Nov</v>
      </c>
      <c r="AJ1430" s="5" t="str">
        <f t="shared" si="273"/>
        <v>Sunday</v>
      </c>
    </row>
    <row r="1431" spans="1:36" x14ac:dyDescent="0.3">
      <c r="A1431" s="5" t="s">
        <v>1465</v>
      </c>
      <c r="B1431" s="6">
        <v>45563</v>
      </c>
      <c r="C1431" s="7">
        <v>0.59375</v>
      </c>
      <c r="D1431" s="5" t="s">
        <v>1919</v>
      </c>
      <c r="E1431" s="5" t="s">
        <v>1956</v>
      </c>
      <c r="F1431" s="5" t="s">
        <v>1761</v>
      </c>
      <c r="G1431" s="5" t="s">
        <v>2255</v>
      </c>
      <c r="H1431" s="5" t="s">
        <v>2260</v>
      </c>
      <c r="I1431" s="5" t="s">
        <v>2260</v>
      </c>
      <c r="J1431" s="5" t="s">
        <v>2265</v>
      </c>
      <c r="K1431" s="8">
        <v>1</v>
      </c>
      <c r="L1431" s="9">
        <v>175</v>
      </c>
      <c r="M1431" s="10">
        <v>0</v>
      </c>
      <c r="N1431" s="9">
        <f t="shared" si="274"/>
        <v>175</v>
      </c>
      <c r="O1431" s="9">
        <f t="shared" si="264"/>
        <v>175</v>
      </c>
      <c r="P1431" s="5" t="s">
        <v>2269</v>
      </c>
      <c r="Q1431" s="5" t="s">
        <v>1761</v>
      </c>
      <c r="R1431" s="5" t="s">
        <v>2277</v>
      </c>
      <c r="S1431" s="5" t="s">
        <v>2280</v>
      </c>
      <c r="T1431" s="5" t="s">
        <v>2289</v>
      </c>
      <c r="U1431" s="8">
        <v>3</v>
      </c>
      <c r="V1431" s="8">
        <v>131</v>
      </c>
      <c r="W1431" s="8">
        <v>13</v>
      </c>
      <c r="X1431" s="9">
        <v>64.75</v>
      </c>
      <c r="Y1431" s="9">
        <f t="shared" si="265"/>
        <v>110.25</v>
      </c>
      <c r="Z1431" s="5" t="s">
        <v>2293</v>
      </c>
      <c r="AA1431" s="5" t="s">
        <v>2297</v>
      </c>
      <c r="AB1431" s="9">
        <f t="shared" si="266"/>
        <v>175</v>
      </c>
      <c r="AC1431" s="9">
        <f t="shared" si="267"/>
        <v>0</v>
      </c>
      <c r="AD1431" s="9">
        <f t="shared" si="268"/>
        <v>175</v>
      </c>
      <c r="AE1431" s="9">
        <f t="shared" si="269"/>
        <v>64.75</v>
      </c>
      <c r="AF1431" s="9">
        <f t="shared" si="275"/>
        <v>110.25</v>
      </c>
      <c r="AG1431" s="8">
        <f t="shared" si="270"/>
        <v>2024</v>
      </c>
      <c r="AH1431" s="8">
        <f t="shared" si="271"/>
        <v>9</v>
      </c>
      <c r="AI1431" s="5" t="str">
        <f t="shared" si="272"/>
        <v>Sep</v>
      </c>
      <c r="AJ1431" s="5" t="str">
        <f t="shared" si="273"/>
        <v>Saturday</v>
      </c>
    </row>
    <row r="1432" spans="1:36" x14ac:dyDescent="0.3">
      <c r="A1432" s="5" t="s">
        <v>1466</v>
      </c>
      <c r="B1432" s="6">
        <v>45350</v>
      </c>
      <c r="C1432" s="7">
        <v>0.80555555555555558</v>
      </c>
      <c r="D1432" s="5" t="s">
        <v>1752</v>
      </c>
      <c r="E1432" s="5" t="s">
        <v>2162</v>
      </c>
      <c r="F1432" s="5" t="s">
        <v>2238</v>
      </c>
      <c r="G1432" s="5" t="s">
        <v>2251</v>
      </c>
      <c r="H1432" s="5" t="s">
        <v>2258</v>
      </c>
      <c r="I1432" s="5" t="s">
        <v>2260</v>
      </c>
      <c r="J1432" s="5" t="s">
        <v>2264</v>
      </c>
      <c r="K1432" s="8">
        <v>1</v>
      </c>
      <c r="L1432" s="9">
        <v>100</v>
      </c>
      <c r="M1432" s="10">
        <v>0.15</v>
      </c>
      <c r="N1432" s="9">
        <f t="shared" si="274"/>
        <v>100</v>
      </c>
      <c r="O1432" s="9">
        <f t="shared" si="264"/>
        <v>85</v>
      </c>
      <c r="P1432" s="5" t="s">
        <v>1761</v>
      </c>
      <c r="Q1432" s="5" t="s">
        <v>2270</v>
      </c>
      <c r="R1432" s="5" t="s">
        <v>2275</v>
      </c>
      <c r="S1432" s="5" t="s">
        <v>2286</v>
      </c>
      <c r="T1432" s="5" t="s">
        <v>2289</v>
      </c>
      <c r="U1432" s="19">
        <v>3</v>
      </c>
      <c r="V1432" s="8">
        <v>335</v>
      </c>
      <c r="W1432" s="19">
        <v>34</v>
      </c>
      <c r="X1432" s="9">
        <v>43.24</v>
      </c>
      <c r="Y1432" s="9">
        <f t="shared" si="265"/>
        <v>41.76</v>
      </c>
      <c r="Z1432" s="5" t="s">
        <v>2291</v>
      </c>
      <c r="AA1432" s="5" t="s">
        <v>2296</v>
      </c>
      <c r="AB1432" s="9">
        <f t="shared" si="266"/>
        <v>100</v>
      </c>
      <c r="AC1432" s="9">
        <f t="shared" si="267"/>
        <v>15</v>
      </c>
      <c r="AD1432" s="9">
        <f t="shared" si="268"/>
        <v>85</v>
      </c>
      <c r="AE1432" s="9">
        <f t="shared" si="269"/>
        <v>43.24</v>
      </c>
      <c r="AF1432" s="9">
        <f t="shared" si="275"/>
        <v>41.76</v>
      </c>
      <c r="AG1432" s="8">
        <f t="shared" si="270"/>
        <v>2024</v>
      </c>
      <c r="AH1432" s="8">
        <f t="shared" si="271"/>
        <v>2</v>
      </c>
      <c r="AI1432" s="5" t="str">
        <f t="shared" si="272"/>
        <v>Feb</v>
      </c>
      <c r="AJ1432" s="5" t="str">
        <f t="shared" si="273"/>
        <v>Wednesday</v>
      </c>
    </row>
    <row r="1433" spans="1:36" x14ac:dyDescent="0.3">
      <c r="A1433" s="5" t="s">
        <v>1467</v>
      </c>
      <c r="B1433" s="6">
        <v>45374</v>
      </c>
      <c r="C1433" s="7">
        <v>0.65972222222222221</v>
      </c>
      <c r="D1433" s="5" t="s">
        <v>1813</v>
      </c>
      <c r="E1433" s="5" t="s">
        <v>2025</v>
      </c>
      <c r="F1433" s="5" t="s">
        <v>2239</v>
      </c>
      <c r="G1433" s="5" t="s">
        <v>2252</v>
      </c>
      <c r="H1433" s="5" t="s">
        <v>2257</v>
      </c>
      <c r="I1433" s="5" t="s">
        <v>2262</v>
      </c>
      <c r="J1433" s="5" t="s">
        <v>1761</v>
      </c>
      <c r="K1433" s="8">
        <v>1</v>
      </c>
      <c r="L1433" s="9">
        <v>90</v>
      </c>
      <c r="M1433" s="10">
        <v>0.1</v>
      </c>
      <c r="N1433" s="9">
        <f t="shared" si="274"/>
        <v>90</v>
      </c>
      <c r="O1433" s="9">
        <f t="shared" si="264"/>
        <v>81</v>
      </c>
      <c r="P1433" s="5" t="s">
        <v>2267</v>
      </c>
      <c r="Q1433" s="5" t="s">
        <v>2272</v>
      </c>
      <c r="R1433" s="5" t="s">
        <v>2277</v>
      </c>
      <c r="S1433" s="5" t="s">
        <v>2283</v>
      </c>
      <c r="T1433" s="5" t="s">
        <v>2288</v>
      </c>
      <c r="U1433" s="8">
        <v>1</v>
      </c>
      <c r="V1433" s="8">
        <v>303</v>
      </c>
      <c r="W1433" s="19">
        <v>35</v>
      </c>
      <c r="X1433" s="9">
        <v>46.05</v>
      </c>
      <c r="Y1433" s="9">
        <f t="shared" si="265"/>
        <v>34.950000000000003</v>
      </c>
      <c r="Z1433" s="5" t="s">
        <v>2291</v>
      </c>
      <c r="AA1433" s="5" t="s">
        <v>2299</v>
      </c>
      <c r="AB1433" s="9">
        <f t="shared" si="266"/>
        <v>90</v>
      </c>
      <c r="AC1433" s="9">
        <f t="shared" si="267"/>
        <v>9</v>
      </c>
      <c r="AD1433" s="9">
        <f t="shared" si="268"/>
        <v>81</v>
      </c>
      <c r="AE1433" s="9">
        <f t="shared" si="269"/>
        <v>46.05</v>
      </c>
      <c r="AF1433" s="9">
        <f t="shared" si="275"/>
        <v>34.950000000000003</v>
      </c>
      <c r="AG1433" s="8">
        <f t="shared" si="270"/>
        <v>2024</v>
      </c>
      <c r="AH1433" s="8">
        <f t="shared" si="271"/>
        <v>3</v>
      </c>
      <c r="AI1433" s="5" t="str">
        <f t="shared" si="272"/>
        <v>Mar</v>
      </c>
      <c r="AJ1433" s="5" t="str">
        <f t="shared" si="273"/>
        <v>Saturday</v>
      </c>
    </row>
    <row r="1434" spans="1:36" x14ac:dyDescent="0.3">
      <c r="A1434" s="5" t="s">
        <v>1468</v>
      </c>
      <c r="B1434" s="6">
        <v>45305</v>
      </c>
      <c r="C1434" s="7">
        <v>0.30555555555555558</v>
      </c>
      <c r="D1434" s="5" t="s">
        <v>1761</v>
      </c>
      <c r="E1434" s="5" t="s">
        <v>2232</v>
      </c>
      <c r="F1434" s="5" t="s">
        <v>2240</v>
      </c>
      <c r="G1434" s="5" t="s">
        <v>2253</v>
      </c>
      <c r="H1434" s="5" t="s">
        <v>2258</v>
      </c>
      <c r="I1434" s="5" t="s">
        <v>2260</v>
      </c>
      <c r="J1434" s="5" t="s">
        <v>1761</v>
      </c>
      <c r="K1434" s="8">
        <v>1</v>
      </c>
      <c r="L1434" s="9">
        <v>90</v>
      </c>
      <c r="M1434" s="10">
        <v>0.05</v>
      </c>
      <c r="N1434" s="9">
        <f t="shared" si="274"/>
        <v>90</v>
      </c>
      <c r="O1434" s="9">
        <f t="shared" si="264"/>
        <v>85.5</v>
      </c>
      <c r="P1434" s="5" t="s">
        <v>2268</v>
      </c>
      <c r="Q1434" s="5" t="s">
        <v>2270</v>
      </c>
      <c r="R1434" s="5" t="s">
        <v>2278</v>
      </c>
      <c r="S1434" s="5" t="s">
        <v>2285</v>
      </c>
      <c r="T1434" s="5" t="s">
        <v>2289</v>
      </c>
      <c r="U1434" s="8">
        <v>3</v>
      </c>
      <c r="V1434" s="8">
        <v>490</v>
      </c>
      <c r="W1434" s="8">
        <v>16</v>
      </c>
      <c r="X1434" s="9">
        <v>33.619999999999997</v>
      </c>
      <c r="Y1434" s="9">
        <f t="shared" si="265"/>
        <v>51.88</v>
      </c>
      <c r="Z1434" s="5" t="s">
        <v>2293</v>
      </c>
      <c r="AA1434" s="5" t="s">
        <v>2299</v>
      </c>
      <c r="AB1434" s="9">
        <f t="shared" si="266"/>
        <v>90</v>
      </c>
      <c r="AC1434" s="9">
        <f t="shared" si="267"/>
        <v>4.5</v>
      </c>
      <c r="AD1434" s="9">
        <f t="shared" si="268"/>
        <v>85.5</v>
      </c>
      <c r="AE1434" s="9">
        <f t="shared" si="269"/>
        <v>33.619999999999997</v>
      </c>
      <c r="AF1434" s="9">
        <f t="shared" si="275"/>
        <v>51.88</v>
      </c>
      <c r="AG1434" s="8">
        <f t="shared" si="270"/>
        <v>2024</v>
      </c>
      <c r="AH1434" s="8">
        <f t="shared" si="271"/>
        <v>1</v>
      </c>
      <c r="AI1434" s="5" t="str">
        <f t="shared" si="272"/>
        <v>Jan</v>
      </c>
      <c r="AJ1434" s="5" t="str">
        <f t="shared" si="273"/>
        <v>Sunday</v>
      </c>
    </row>
    <row r="1435" spans="1:36" x14ac:dyDescent="0.3">
      <c r="A1435" s="5" t="s">
        <v>1469</v>
      </c>
      <c r="B1435" s="6">
        <v>45515</v>
      </c>
      <c r="C1435" s="7">
        <v>0.84375</v>
      </c>
      <c r="D1435" s="5" t="s">
        <v>1772</v>
      </c>
      <c r="E1435" s="5" t="s">
        <v>2101</v>
      </c>
      <c r="F1435" s="5" t="s">
        <v>2239</v>
      </c>
      <c r="G1435" s="5" t="s">
        <v>2244</v>
      </c>
      <c r="H1435" s="5" t="s">
        <v>2257</v>
      </c>
      <c r="I1435" s="5" t="s">
        <v>2262</v>
      </c>
      <c r="J1435" s="5" t="s">
        <v>2265</v>
      </c>
      <c r="K1435" s="8">
        <v>1</v>
      </c>
      <c r="L1435" s="9">
        <v>115</v>
      </c>
      <c r="M1435" s="10">
        <v>0</v>
      </c>
      <c r="N1435" s="9">
        <f t="shared" si="274"/>
        <v>115</v>
      </c>
      <c r="O1435" s="9">
        <f t="shared" si="264"/>
        <v>115</v>
      </c>
      <c r="P1435" s="5" t="s">
        <v>2268</v>
      </c>
      <c r="Q1435" s="5" t="s">
        <v>2271</v>
      </c>
      <c r="R1435" s="5" t="s">
        <v>2277</v>
      </c>
      <c r="S1435" s="5" t="s">
        <v>2284</v>
      </c>
      <c r="T1435" s="5" t="s">
        <v>2288</v>
      </c>
      <c r="U1435" s="8">
        <v>4</v>
      </c>
      <c r="V1435" s="8">
        <v>235</v>
      </c>
      <c r="W1435" s="19">
        <v>37</v>
      </c>
      <c r="X1435" s="9">
        <v>56.8</v>
      </c>
      <c r="Y1435" s="9">
        <f t="shared" si="265"/>
        <v>58.2</v>
      </c>
      <c r="Z1435" s="5" t="s">
        <v>1761</v>
      </c>
      <c r="AA1435" s="5" t="s">
        <v>2297</v>
      </c>
      <c r="AB1435" s="9">
        <f t="shared" si="266"/>
        <v>115</v>
      </c>
      <c r="AC1435" s="9">
        <f t="shared" si="267"/>
        <v>0</v>
      </c>
      <c r="AD1435" s="9">
        <f t="shared" si="268"/>
        <v>115</v>
      </c>
      <c r="AE1435" s="9">
        <f t="shared" si="269"/>
        <v>56.8</v>
      </c>
      <c r="AF1435" s="9">
        <f t="shared" si="275"/>
        <v>58.2</v>
      </c>
      <c r="AG1435" s="8">
        <f t="shared" si="270"/>
        <v>2024</v>
      </c>
      <c r="AH1435" s="8">
        <f t="shared" si="271"/>
        <v>8</v>
      </c>
      <c r="AI1435" s="5" t="str">
        <f t="shared" si="272"/>
        <v>Aug</v>
      </c>
      <c r="AJ1435" s="5" t="str">
        <f t="shared" si="273"/>
        <v>Sunday</v>
      </c>
    </row>
    <row r="1436" spans="1:36" x14ac:dyDescent="0.3">
      <c r="A1436" s="5" t="s">
        <v>1470</v>
      </c>
      <c r="B1436" s="6">
        <v>45298</v>
      </c>
      <c r="C1436" s="7">
        <v>0.61458333333333337</v>
      </c>
      <c r="D1436" s="5" t="s">
        <v>1840</v>
      </c>
      <c r="E1436" s="5" t="s">
        <v>2082</v>
      </c>
      <c r="F1436" s="5" t="s">
        <v>2240</v>
      </c>
      <c r="G1436" s="5" t="s">
        <v>2249</v>
      </c>
      <c r="H1436" s="5" t="s">
        <v>2257</v>
      </c>
      <c r="I1436" s="5" t="s">
        <v>2263</v>
      </c>
      <c r="J1436" s="5" t="s">
        <v>2264</v>
      </c>
      <c r="K1436" s="8">
        <v>1</v>
      </c>
      <c r="L1436" s="9">
        <v>165</v>
      </c>
      <c r="M1436" s="10">
        <v>0.1</v>
      </c>
      <c r="N1436" s="9">
        <f t="shared" si="274"/>
        <v>165</v>
      </c>
      <c r="O1436" s="9">
        <f t="shared" si="264"/>
        <v>148.5</v>
      </c>
      <c r="P1436" s="5" t="s">
        <v>2267</v>
      </c>
      <c r="Q1436" s="5" t="s">
        <v>2272</v>
      </c>
      <c r="R1436" s="5" t="s">
        <v>2274</v>
      </c>
      <c r="S1436" s="5" t="s">
        <v>2287</v>
      </c>
      <c r="T1436" s="5" t="s">
        <v>2288</v>
      </c>
      <c r="U1436" s="8">
        <v>5</v>
      </c>
      <c r="V1436" s="8">
        <v>192</v>
      </c>
      <c r="W1436" s="8">
        <v>38</v>
      </c>
      <c r="X1436" s="9">
        <v>59.83</v>
      </c>
      <c r="Y1436" s="9">
        <f t="shared" si="265"/>
        <v>88.67</v>
      </c>
      <c r="Z1436" s="5" t="s">
        <v>2294</v>
      </c>
      <c r="AA1436" s="5" t="s">
        <v>1761</v>
      </c>
      <c r="AB1436" s="9">
        <f t="shared" si="266"/>
        <v>165</v>
      </c>
      <c r="AC1436" s="9">
        <f t="shared" si="267"/>
        <v>16.5</v>
      </c>
      <c r="AD1436" s="9">
        <f t="shared" si="268"/>
        <v>148.5</v>
      </c>
      <c r="AE1436" s="9">
        <f t="shared" si="269"/>
        <v>59.83</v>
      </c>
      <c r="AF1436" s="9">
        <f t="shared" si="275"/>
        <v>88.67</v>
      </c>
      <c r="AG1436" s="8">
        <f t="shared" si="270"/>
        <v>2024</v>
      </c>
      <c r="AH1436" s="8">
        <f t="shared" si="271"/>
        <v>1</v>
      </c>
      <c r="AI1436" s="5" t="str">
        <f t="shared" si="272"/>
        <v>Jan</v>
      </c>
      <c r="AJ1436" s="5" t="str">
        <f t="shared" si="273"/>
        <v>Sunday</v>
      </c>
    </row>
    <row r="1437" spans="1:36" x14ac:dyDescent="0.3">
      <c r="A1437" s="5" t="s">
        <v>1471</v>
      </c>
      <c r="B1437" s="6">
        <v>45502</v>
      </c>
      <c r="C1437" s="7">
        <v>0.34375</v>
      </c>
      <c r="D1437" s="5" t="s">
        <v>1905</v>
      </c>
      <c r="E1437" s="5" t="s">
        <v>2007</v>
      </c>
      <c r="F1437" s="5" t="s">
        <v>1761</v>
      </c>
      <c r="G1437" s="5" t="s">
        <v>2251</v>
      </c>
      <c r="H1437" s="5" t="s">
        <v>2258</v>
      </c>
      <c r="I1437" s="5" t="s">
        <v>2260</v>
      </c>
      <c r="J1437" s="5" t="s">
        <v>2264</v>
      </c>
      <c r="K1437" s="8">
        <v>1</v>
      </c>
      <c r="L1437" s="9">
        <v>100</v>
      </c>
      <c r="M1437" s="10">
        <v>0</v>
      </c>
      <c r="N1437" s="9">
        <f t="shared" si="274"/>
        <v>100</v>
      </c>
      <c r="O1437" s="9">
        <f t="shared" si="264"/>
        <v>100</v>
      </c>
      <c r="P1437" s="5" t="s">
        <v>2269</v>
      </c>
      <c r="Q1437" s="5" t="s">
        <v>2270</v>
      </c>
      <c r="R1437" s="5" t="s">
        <v>2273</v>
      </c>
      <c r="S1437" s="5" t="s">
        <v>2287</v>
      </c>
      <c r="T1437" s="5" t="s">
        <v>2288</v>
      </c>
      <c r="U1437" s="8">
        <v>5</v>
      </c>
      <c r="V1437" s="8">
        <v>477</v>
      </c>
      <c r="W1437" s="19">
        <v>34</v>
      </c>
      <c r="X1437" s="9">
        <v>37.39</v>
      </c>
      <c r="Y1437" s="9">
        <f t="shared" si="265"/>
        <v>62.61</v>
      </c>
      <c r="Z1437" s="5" t="s">
        <v>2294</v>
      </c>
      <c r="AA1437" s="5" t="s">
        <v>2296</v>
      </c>
      <c r="AB1437" s="9">
        <f t="shared" si="266"/>
        <v>100</v>
      </c>
      <c r="AC1437" s="9">
        <f t="shared" si="267"/>
        <v>0</v>
      </c>
      <c r="AD1437" s="9">
        <f t="shared" si="268"/>
        <v>100</v>
      </c>
      <c r="AE1437" s="9">
        <f t="shared" si="269"/>
        <v>37.39</v>
      </c>
      <c r="AF1437" s="9">
        <f t="shared" si="275"/>
        <v>62.61</v>
      </c>
      <c r="AG1437" s="8">
        <f t="shared" si="270"/>
        <v>2024</v>
      </c>
      <c r="AH1437" s="8">
        <f t="shared" si="271"/>
        <v>7</v>
      </c>
      <c r="AI1437" s="5" t="str">
        <f t="shared" si="272"/>
        <v>Jul</v>
      </c>
      <c r="AJ1437" s="5" t="str">
        <f t="shared" si="273"/>
        <v>Monday</v>
      </c>
    </row>
    <row r="1438" spans="1:36" x14ac:dyDescent="0.3">
      <c r="A1438" s="5" t="s">
        <v>1472</v>
      </c>
      <c r="B1438" s="18">
        <v>45468</v>
      </c>
      <c r="C1438" s="7">
        <v>0.3125</v>
      </c>
      <c r="D1438" s="5" t="s">
        <v>1751</v>
      </c>
      <c r="E1438" s="5" t="s">
        <v>2140</v>
      </c>
      <c r="F1438" s="5" t="s">
        <v>2239</v>
      </c>
      <c r="G1438" s="5" t="s">
        <v>2241</v>
      </c>
      <c r="H1438" s="5" t="s">
        <v>2257</v>
      </c>
      <c r="I1438" s="5" t="s">
        <v>2262</v>
      </c>
      <c r="J1438" s="5" t="s">
        <v>1761</v>
      </c>
      <c r="K1438" s="8">
        <v>1</v>
      </c>
      <c r="L1438" s="9">
        <v>130</v>
      </c>
      <c r="M1438" s="10">
        <v>0</v>
      </c>
      <c r="N1438" s="9">
        <f t="shared" si="274"/>
        <v>130</v>
      </c>
      <c r="O1438" s="9">
        <f t="shared" si="264"/>
        <v>130</v>
      </c>
      <c r="P1438" s="5" t="s">
        <v>2269</v>
      </c>
      <c r="Q1438" s="5" t="s">
        <v>2271</v>
      </c>
      <c r="R1438" s="5" t="s">
        <v>2276</v>
      </c>
      <c r="S1438" s="5" t="s">
        <v>2283</v>
      </c>
      <c r="T1438" s="5" t="s">
        <v>2290</v>
      </c>
      <c r="U1438" s="8">
        <v>1</v>
      </c>
      <c r="V1438" s="8">
        <v>339</v>
      </c>
      <c r="W1438" s="8">
        <v>14</v>
      </c>
      <c r="X1438" s="9">
        <v>68.099999999999994</v>
      </c>
      <c r="Y1438" s="9">
        <f t="shared" si="265"/>
        <v>61.900000000000006</v>
      </c>
      <c r="Z1438" s="5" t="s">
        <v>2291</v>
      </c>
      <c r="AA1438" s="5" t="s">
        <v>2296</v>
      </c>
      <c r="AB1438" s="9">
        <f t="shared" si="266"/>
        <v>130</v>
      </c>
      <c r="AC1438" s="9">
        <f t="shared" si="267"/>
        <v>0</v>
      </c>
      <c r="AD1438" s="9">
        <f t="shared" si="268"/>
        <v>130</v>
      </c>
      <c r="AE1438" s="9">
        <f t="shared" si="269"/>
        <v>68.099999999999994</v>
      </c>
      <c r="AF1438" s="9">
        <f t="shared" si="275"/>
        <v>61.900000000000006</v>
      </c>
      <c r="AG1438" s="8">
        <f t="shared" si="270"/>
        <v>2024</v>
      </c>
      <c r="AH1438" s="8">
        <f t="shared" si="271"/>
        <v>6</v>
      </c>
      <c r="AI1438" s="5" t="str">
        <f t="shared" si="272"/>
        <v>Jun</v>
      </c>
      <c r="AJ1438" s="5" t="str">
        <f t="shared" si="273"/>
        <v>Tuesday</v>
      </c>
    </row>
    <row r="1439" spans="1:36" x14ac:dyDescent="0.3">
      <c r="A1439" s="5" t="s">
        <v>1473</v>
      </c>
      <c r="B1439" s="6">
        <v>45498</v>
      </c>
      <c r="C1439" s="7">
        <v>0.75694444444444442</v>
      </c>
      <c r="D1439" s="5" t="s">
        <v>1865</v>
      </c>
      <c r="E1439" s="5" t="s">
        <v>1991</v>
      </c>
      <c r="F1439" s="5" t="s">
        <v>1761</v>
      </c>
      <c r="G1439" s="5" t="s">
        <v>2255</v>
      </c>
      <c r="H1439" s="5" t="s">
        <v>2260</v>
      </c>
      <c r="I1439" s="5" t="s">
        <v>2260</v>
      </c>
      <c r="J1439" s="5" t="s">
        <v>2265</v>
      </c>
      <c r="K1439" s="8">
        <v>2</v>
      </c>
      <c r="L1439" s="9">
        <v>180</v>
      </c>
      <c r="M1439" s="10">
        <v>0</v>
      </c>
      <c r="N1439" s="9">
        <f t="shared" si="274"/>
        <v>360</v>
      </c>
      <c r="O1439" s="9">
        <f t="shared" si="264"/>
        <v>360</v>
      </c>
      <c r="P1439" s="5" t="s">
        <v>1761</v>
      </c>
      <c r="Q1439" s="5" t="s">
        <v>2272</v>
      </c>
      <c r="R1439" s="5" t="s">
        <v>2277</v>
      </c>
      <c r="S1439" s="5" t="s">
        <v>2286</v>
      </c>
      <c r="T1439" s="5" t="s">
        <v>2288</v>
      </c>
      <c r="U1439" s="8">
        <v>4</v>
      </c>
      <c r="V1439" s="8">
        <v>409</v>
      </c>
      <c r="W1439" s="19">
        <v>35</v>
      </c>
      <c r="X1439" s="9">
        <v>85.87</v>
      </c>
      <c r="Y1439" s="9">
        <f t="shared" si="265"/>
        <v>188.26</v>
      </c>
      <c r="Z1439" s="5" t="s">
        <v>2293</v>
      </c>
      <c r="AA1439" s="5" t="s">
        <v>1761</v>
      </c>
      <c r="AB1439" s="9">
        <f t="shared" si="266"/>
        <v>360</v>
      </c>
      <c r="AC1439" s="9">
        <f t="shared" si="267"/>
        <v>0</v>
      </c>
      <c r="AD1439" s="9">
        <f t="shared" si="268"/>
        <v>360</v>
      </c>
      <c r="AE1439" s="9">
        <f t="shared" si="269"/>
        <v>171.74</v>
      </c>
      <c r="AF1439" s="9">
        <f t="shared" si="275"/>
        <v>188.26</v>
      </c>
      <c r="AG1439" s="8">
        <f t="shared" si="270"/>
        <v>2024</v>
      </c>
      <c r="AH1439" s="8">
        <f t="shared" si="271"/>
        <v>7</v>
      </c>
      <c r="AI1439" s="5" t="str">
        <f t="shared" si="272"/>
        <v>Jul</v>
      </c>
      <c r="AJ1439" s="5" t="str">
        <f t="shared" si="273"/>
        <v>Thursday</v>
      </c>
    </row>
    <row r="1440" spans="1:36" x14ac:dyDescent="0.3">
      <c r="A1440" s="5" t="s">
        <v>1474</v>
      </c>
      <c r="B1440" s="6">
        <v>45565</v>
      </c>
      <c r="C1440" s="7">
        <v>0.82638888888888884</v>
      </c>
      <c r="D1440" s="5" t="s">
        <v>1925</v>
      </c>
      <c r="E1440" s="5" t="s">
        <v>1761</v>
      </c>
      <c r="F1440" s="5" t="s">
        <v>2238</v>
      </c>
      <c r="G1440" s="5" t="s">
        <v>2249</v>
      </c>
      <c r="H1440" s="5" t="s">
        <v>2257</v>
      </c>
      <c r="I1440" s="5" t="s">
        <v>2263</v>
      </c>
      <c r="J1440" s="5" t="s">
        <v>2264</v>
      </c>
      <c r="K1440" s="8">
        <v>1</v>
      </c>
      <c r="L1440" s="9">
        <v>155</v>
      </c>
      <c r="M1440" s="10">
        <v>0.1</v>
      </c>
      <c r="N1440" s="9">
        <f t="shared" si="274"/>
        <v>155</v>
      </c>
      <c r="O1440" s="9">
        <f t="shared" si="264"/>
        <v>139.5</v>
      </c>
      <c r="P1440" s="5" t="s">
        <v>2267</v>
      </c>
      <c r="Q1440" s="5" t="s">
        <v>2270</v>
      </c>
      <c r="R1440" s="5" t="s">
        <v>2279</v>
      </c>
      <c r="S1440" s="5" t="s">
        <v>2285</v>
      </c>
      <c r="T1440" s="5" t="s">
        <v>2288</v>
      </c>
      <c r="U1440" s="19">
        <v>3</v>
      </c>
      <c r="V1440" s="8">
        <v>155</v>
      </c>
      <c r="W1440" s="8">
        <v>10</v>
      </c>
      <c r="X1440" s="9">
        <v>84.04</v>
      </c>
      <c r="Y1440" s="9">
        <f t="shared" si="265"/>
        <v>55.459999999999994</v>
      </c>
      <c r="Z1440" s="5" t="s">
        <v>2292</v>
      </c>
      <c r="AA1440" s="5" t="s">
        <v>1761</v>
      </c>
      <c r="AB1440" s="9">
        <f t="shared" si="266"/>
        <v>155</v>
      </c>
      <c r="AC1440" s="9">
        <f t="shared" si="267"/>
        <v>15.5</v>
      </c>
      <c r="AD1440" s="9">
        <f t="shared" si="268"/>
        <v>139.5</v>
      </c>
      <c r="AE1440" s="9">
        <f t="shared" si="269"/>
        <v>84.04</v>
      </c>
      <c r="AF1440" s="9">
        <f t="shared" si="275"/>
        <v>55.459999999999994</v>
      </c>
      <c r="AG1440" s="8">
        <f t="shared" si="270"/>
        <v>2024</v>
      </c>
      <c r="AH1440" s="8">
        <f t="shared" si="271"/>
        <v>9</v>
      </c>
      <c r="AI1440" s="5" t="str">
        <f t="shared" si="272"/>
        <v>Sep</v>
      </c>
      <c r="AJ1440" s="5" t="str">
        <f t="shared" si="273"/>
        <v>Monday</v>
      </c>
    </row>
    <row r="1441" spans="1:36" x14ac:dyDescent="0.3">
      <c r="A1441" s="5" t="s">
        <v>1475</v>
      </c>
      <c r="B1441" s="6">
        <v>45493</v>
      </c>
      <c r="C1441" s="7">
        <v>0.4513888888888889</v>
      </c>
      <c r="D1441" s="5" t="s">
        <v>1828</v>
      </c>
      <c r="E1441" s="5" t="s">
        <v>2133</v>
      </c>
      <c r="F1441" s="5" t="s">
        <v>2240</v>
      </c>
      <c r="G1441" s="5" t="s">
        <v>2247</v>
      </c>
      <c r="H1441" s="5" t="s">
        <v>2257</v>
      </c>
      <c r="I1441" s="5" t="s">
        <v>2262</v>
      </c>
      <c r="J1441" s="5" t="s">
        <v>2266</v>
      </c>
      <c r="K1441" s="8">
        <v>1</v>
      </c>
      <c r="L1441" s="9">
        <v>95</v>
      </c>
      <c r="M1441" s="10">
        <v>0</v>
      </c>
      <c r="N1441" s="9">
        <f t="shared" si="274"/>
        <v>95</v>
      </c>
      <c r="O1441" s="9">
        <f t="shared" si="264"/>
        <v>95</v>
      </c>
      <c r="P1441" s="5" t="s">
        <v>2269</v>
      </c>
      <c r="Q1441" s="5" t="s">
        <v>2270</v>
      </c>
      <c r="R1441" s="5" t="s">
        <v>2277</v>
      </c>
      <c r="S1441" s="5" t="s">
        <v>2286</v>
      </c>
      <c r="T1441" s="5" t="s">
        <v>2290</v>
      </c>
      <c r="U1441" s="8">
        <v>1</v>
      </c>
      <c r="V1441" s="8">
        <v>32</v>
      </c>
      <c r="W1441" s="8">
        <v>31</v>
      </c>
      <c r="X1441" s="9">
        <v>44.63</v>
      </c>
      <c r="Y1441" s="9">
        <f t="shared" si="265"/>
        <v>50.37</v>
      </c>
      <c r="Z1441" s="5" t="s">
        <v>1761</v>
      </c>
      <c r="AA1441" s="5" t="s">
        <v>2297</v>
      </c>
      <c r="AB1441" s="9">
        <f t="shared" si="266"/>
        <v>95</v>
      </c>
      <c r="AC1441" s="9">
        <f t="shared" si="267"/>
        <v>0</v>
      </c>
      <c r="AD1441" s="9">
        <f t="shared" si="268"/>
        <v>95</v>
      </c>
      <c r="AE1441" s="9">
        <f t="shared" si="269"/>
        <v>44.63</v>
      </c>
      <c r="AF1441" s="9">
        <f t="shared" si="275"/>
        <v>50.37</v>
      </c>
      <c r="AG1441" s="8">
        <f t="shared" si="270"/>
        <v>2024</v>
      </c>
      <c r="AH1441" s="8">
        <f t="shared" si="271"/>
        <v>7</v>
      </c>
      <c r="AI1441" s="5" t="str">
        <f t="shared" si="272"/>
        <v>Jul</v>
      </c>
      <c r="AJ1441" s="5" t="str">
        <f t="shared" si="273"/>
        <v>Saturday</v>
      </c>
    </row>
    <row r="1442" spans="1:36" x14ac:dyDescent="0.3">
      <c r="A1442" s="5" t="s">
        <v>1476</v>
      </c>
      <c r="B1442" s="6">
        <v>45538</v>
      </c>
      <c r="C1442" s="7">
        <v>0.69791666666666663</v>
      </c>
      <c r="D1442" s="5" t="s">
        <v>1805</v>
      </c>
      <c r="E1442" s="5" t="s">
        <v>1991</v>
      </c>
      <c r="F1442" s="5" t="s">
        <v>2238</v>
      </c>
      <c r="G1442" s="5" t="s">
        <v>2249</v>
      </c>
      <c r="H1442" s="5" t="s">
        <v>2257</v>
      </c>
      <c r="I1442" s="5" t="s">
        <v>2263</v>
      </c>
      <c r="J1442" s="5" t="s">
        <v>2265</v>
      </c>
      <c r="K1442" s="8">
        <v>2</v>
      </c>
      <c r="L1442" s="9">
        <v>170</v>
      </c>
      <c r="M1442" s="10">
        <v>0</v>
      </c>
      <c r="N1442" s="9">
        <f t="shared" si="274"/>
        <v>340</v>
      </c>
      <c r="O1442" s="9">
        <f t="shared" si="264"/>
        <v>340</v>
      </c>
      <c r="P1442" s="5" t="s">
        <v>2267</v>
      </c>
      <c r="Q1442" s="5" t="s">
        <v>2271</v>
      </c>
      <c r="R1442" s="5" t="s">
        <v>2279</v>
      </c>
      <c r="S1442" s="5" t="s">
        <v>2287</v>
      </c>
      <c r="T1442" s="5" t="s">
        <v>2289</v>
      </c>
      <c r="U1442" s="8">
        <v>5</v>
      </c>
      <c r="V1442" s="8">
        <v>86</v>
      </c>
      <c r="W1442" s="19">
        <v>37</v>
      </c>
      <c r="X1442" s="9">
        <v>90.99</v>
      </c>
      <c r="Y1442" s="9">
        <f t="shared" si="265"/>
        <v>158.02000000000001</v>
      </c>
      <c r="Z1442" s="5" t="s">
        <v>2293</v>
      </c>
      <c r="AA1442" s="5" t="s">
        <v>2297</v>
      </c>
      <c r="AB1442" s="9">
        <f t="shared" si="266"/>
        <v>340</v>
      </c>
      <c r="AC1442" s="9">
        <f t="shared" si="267"/>
        <v>0</v>
      </c>
      <c r="AD1442" s="9">
        <f t="shared" si="268"/>
        <v>340</v>
      </c>
      <c r="AE1442" s="9">
        <f t="shared" si="269"/>
        <v>181.98</v>
      </c>
      <c r="AF1442" s="9">
        <f t="shared" si="275"/>
        <v>158.02000000000001</v>
      </c>
      <c r="AG1442" s="8">
        <f t="shared" si="270"/>
        <v>2024</v>
      </c>
      <c r="AH1442" s="8">
        <f t="shared" si="271"/>
        <v>9</v>
      </c>
      <c r="AI1442" s="5" t="str">
        <f t="shared" si="272"/>
        <v>Sep</v>
      </c>
      <c r="AJ1442" s="5" t="str">
        <f t="shared" si="273"/>
        <v>Tuesday</v>
      </c>
    </row>
    <row r="1443" spans="1:36" x14ac:dyDescent="0.3">
      <c r="A1443" s="5" t="s">
        <v>1477</v>
      </c>
      <c r="B1443" s="6">
        <v>45502</v>
      </c>
      <c r="C1443" s="7">
        <v>0.40625</v>
      </c>
      <c r="D1443" s="5" t="s">
        <v>1909</v>
      </c>
      <c r="E1443" s="5" t="s">
        <v>2172</v>
      </c>
      <c r="F1443" s="5" t="s">
        <v>2239</v>
      </c>
      <c r="G1443" s="5" t="s">
        <v>2245</v>
      </c>
      <c r="H1443" s="5" t="s">
        <v>2257</v>
      </c>
      <c r="I1443" s="5" t="s">
        <v>2263</v>
      </c>
      <c r="J1443" s="5" t="s">
        <v>2266</v>
      </c>
      <c r="K1443" s="8">
        <v>1</v>
      </c>
      <c r="L1443" s="9">
        <v>150</v>
      </c>
      <c r="M1443" s="10">
        <v>0</v>
      </c>
      <c r="N1443" s="9">
        <f t="shared" si="274"/>
        <v>150</v>
      </c>
      <c r="O1443" s="9">
        <f t="shared" si="264"/>
        <v>150</v>
      </c>
      <c r="P1443" s="5" t="s">
        <v>2267</v>
      </c>
      <c r="Q1443" s="5" t="s">
        <v>2272</v>
      </c>
      <c r="R1443" s="5" t="s">
        <v>2279</v>
      </c>
      <c r="S1443" s="5" t="s">
        <v>2287</v>
      </c>
      <c r="T1443" s="5" t="s">
        <v>2288</v>
      </c>
      <c r="U1443" s="8">
        <v>3</v>
      </c>
      <c r="V1443" s="8">
        <v>235</v>
      </c>
      <c r="W1443" s="8">
        <v>53</v>
      </c>
      <c r="X1443" s="9">
        <v>55.65</v>
      </c>
      <c r="Y1443" s="9">
        <f t="shared" si="265"/>
        <v>94.35</v>
      </c>
      <c r="Z1443" s="5" t="s">
        <v>2292</v>
      </c>
      <c r="AA1443" s="5" t="s">
        <v>2298</v>
      </c>
      <c r="AB1443" s="9">
        <f t="shared" si="266"/>
        <v>150</v>
      </c>
      <c r="AC1443" s="9">
        <f t="shared" si="267"/>
        <v>0</v>
      </c>
      <c r="AD1443" s="9">
        <f t="shared" si="268"/>
        <v>150</v>
      </c>
      <c r="AE1443" s="9">
        <f t="shared" si="269"/>
        <v>55.65</v>
      </c>
      <c r="AF1443" s="9">
        <f t="shared" si="275"/>
        <v>94.35</v>
      </c>
      <c r="AG1443" s="8">
        <f t="shared" si="270"/>
        <v>2024</v>
      </c>
      <c r="AH1443" s="8">
        <f t="shared" si="271"/>
        <v>7</v>
      </c>
      <c r="AI1443" s="5" t="str">
        <f t="shared" si="272"/>
        <v>Jul</v>
      </c>
      <c r="AJ1443" s="5" t="str">
        <f t="shared" si="273"/>
        <v>Monday</v>
      </c>
    </row>
    <row r="1444" spans="1:36" x14ac:dyDescent="0.3">
      <c r="A1444" s="5" t="s">
        <v>1478</v>
      </c>
      <c r="B1444" s="6">
        <v>45496</v>
      </c>
      <c r="C1444" s="7">
        <v>0.59722222222222221</v>
      </c>
      <c r="D1444" s="5" t="s">
        <v>1848</v>
      </c>
      <c r="E1444" s="5" t="s">
        <v>2125</v>
      </c>
      <c r="F1444" s="5" t="s">
        <v>2239</v>
      </c>
      <c r="G1444" s="5" t="s">
        <v>2243</v>
      </c>
      <c r="H1444" s="5" t="s">
        <v>2258</v>
      </c>
      <c r="I1444" s="5" t="s">
        <v>2260</v>
      </c>
      <c r="J1444" s="5" t="s">
        <v>2266</v>
      </c>
      <c r="K1444" s="8">
        <v>2</v>
      </c>
      <c r="L1444" s="9">
        <v>65</v>
      </c>
      <c r="M1444" s="10">
        <v>0.1</v>
      </c>
      <c r="N1444" s="9">
        <f t="shared" si="274"/>
        <v>130</v>
      </c>
      <c r="O1444" s="9">
        <f t="shared" si="264"/>
        <v>117</v>
      </c>
      <c r="P1444" s="5" t="s">
        <v>1761</v>
      </c>
      <c r="Q1444" s="5" t="s">
        <v>2272</v>
      </c>
      <c r="R1444" s="5" t="s">
        <v>2275</v>
      </c>
      <c r="S1444" s="5" t="s">
        <v>2283</v>
      </c>
      <c r="T1444" s="5" t="s">
        <v>2288</v>
      </c>
      <c r="U1444" s="8">
        <v>2</v>
      </c>
      <c r="V1444" s="8">
        <v>8</v>
      </c>
      <c r="W1444" s="8">
        <v>31</v>
      </c>
      <c r="X1444" s="9">
        <v>24.54</v>
      </c>
      <c r="Y1444" s="9">
        <f t="shared" si="265"/>
        <v>67.92</v>
      </c>
      <c r="Z1444" s="5" t="s">
        <v>1761</v>
      </c>
      <c r="AA1444" s="5" t="s">
        <v>2297</v>
      </c>
      <c r="AB1444" s="9">
        <f t="shared" si="266"/>
        <v>130</v>
      </c>
      <c r="AC1444" s="9">
        <f t="shared" si="267"/>
        <v>13</v>
      </c>
      <c r="AD1444" s="9">
        <f t="shared" si="268"/>
        <v>117</v>
      </c>
      <c r="AE1444" s="9">
        <f t="shared" si="269"/>
        <v>49.08</v>
      </c>
      <c r="AF1444" s="9">
        <f t="shared" si="275"/>
        <v>67.92</v>
      </c>
      <c r="AG1444" s="8">
        <f t="shared" si="270"/>
        <v>2024</v>
      </c>
      <c r="AH1444" s="8">
        <f t="shared" si="271"/>
        <v>7</v>
      </c>
      <c r="AI1444" s="5" t="str">
        <f t="shared" si="272"/>
        <v>Jul</v>
      </c>
      <c r="AJ1444" s="5" t="str">
        <f t="shared" si="273"/>
        <v>Tuesday</v>
      </c>
    </row>
    <row r="1445" spans="1:36" x14ac:dyDescent="0.3">
      <c r="A1445" s="5" t="s">
        <v>1479</v>
      </c>
      <c r="B1445" s="6">
        <v>45551</v>
      </c>
      <c r="C1445" s="7">
        <v>0.36458333333333331</v>
      </c>
      <c r="D1445" s="5" t="s">
        <v>1814</v>
      </c>
      <c r="E1445" s="5" t="s">
        <v>2107</v>
      </c>
      <c r="F1445" s="5" t="s">
        <v>2239</v>
      </c>
      <c r="G1445" s="5" t="s">
        <v>2254</v>
      </c>
      <c r="H1445" s="5" t="s">
        <v>2259</v>
      </c>
      <c r="I1445" s="5" t="s">
        <v>2263</v>
      </c>
      <c r="J1445" s="5" t="s">
        <v>2266</v>
      </c>
      <c r="K1445" s="8">
        <v>3</v>
      </c>
      <c r="L1445" s="9">
        <v>120</v>
      </c>
      <c r="M1445" s="10">
        <v>0.15</v>
      </c>
      <c r="N1445" s="9">
        <f t="shared" si="274"/>
        <v>360</v>
      </c>
      <c r="O1445" s="9">
        <f t="shared" si="264"/>
        <v>306</v>
      </c>
      <c r="P1445" s="5" t="s">
        <v>2268</v>
      </c>
      <c r="Q1445" s="5" t="s">
        <v>1761</v>
      </c>
      <c r="R1445" s="5" t="s">
        <v>2278</v>
      </c>
      <c r="S1445" s="5" t="s">
        <v>2287</v>
      </c>
      <c r="T1445" s="5" t="s">
        <v>2288</v>
      </c>
      <c r="U1445" s="8">
        <v>5</v>
      </c>
      <c r="V1445" s="8">
        <v>442</v>
      </c>
      <c r="W1445" s="19">
        <v>36</v>
      </c>
      <c r="X1445" s="9">
        <v>56.98</v>
      </c>
      <c r="Y1445" s="9">
        <f t="shared" si="265"/>
        <v>135.06</v>
      </c>
      <c r="Z1445" s="5" t="s">
        <v>2292</v>
      </c>
      <c r="AA1445" s="5" t="s">
        <v>1761</v>
      </c>
      <c r="AB1445" s="9">
        <f t="shared" si="266"/>
        <v>360</v>
      </c>
      <c r="AC1445" s="9">
        <f t="shared" si="267"/>
        <v>54</v>
      </c>
      <c r="AD1445" s="9">
        <f t="shared" si="268"/>
        <v>306</v>
      </c>
      <c r="AE1445" s="9">
        <f t="shared" si="269"/>
        <v>170.94</v>
      </c>
      <c r="AF1445" s="9">
        <f t="shared" si="275"/>
        <v>135.06</v>
      </c>
      <c r="AG1445" s="8">
        <f t="shared" si="270"/>
        <v>2024</v>
      </c>
      <c r="AH1445" s="8">
        <f t="shared" si="271"/>
        <v>9</v>
      </c>
      <c r="AI1445" s="5" t="str">
        <f t="shared" si="272"/>
        <v>Sep</v>
      </c>
      <c r="AJ1445" s="5" t="str">
        <f t="shared" si="273"/>
        <v>Monday</v>
      </c>
    </row>
    <row r="1446" spans="1:36" x14ac:dyDescent="0.3">
      <c r="A1446" s="5" t="s">
        <v>1480</v>
      </c>
      <c r="B1446" s="6">
        <v>45418</v>
      </c>
      <c r="C1446" s="7">
        <v>0.3263888888888889</v>
      </c>
      <c r="D1446" s="5" t="s">
        <v>1791</v>
      </c>
      <c r="E1446" s="5" t="s">
        <v>2137</v>
      </c>
      <c r="F1446" s="5" t="s">
        <v>2238</v>
      </c>
      <c r="G1446" s="5" t="s">
        <v>2243</v>
      </c>
      <c r="H1446" s="5" t="s">
        <v>2258</v>
      </c>
      <c r="I1446" s="5" t="s">
        <v>2260</v>
      </c>
      <c r="J1446" s="5" t="s">
        <v>2266</v>
      </c>
      <c r="K1446" s="19">
        <v>1</v>
      </c>
      <c r="L1446" s="9">
        <v>65</v>
      </c>
      <c r="M1446" s="10">
        <v>0.05</v>
      </c>
      <c r="N1446" s="9">
        <f t="shared" si="274"/>
        <v>65</v>
      </c>
      <c r="O1446" s="9">
        <f t="shared" si="264"/>
        <v>61.75</v>
      </c>
      <c r="P1446" s="5" t="s">
        <v>2267</v>
      </c>
      <c r="Q1446" s="5" t="s">
        <v>2271</v>
      </c>
      <c r="R1446" s="5" t="s">
        <v>2277</v>
      </c>
      <c r="S1446" s="5" t="s">
        <v>2280</v>
      </c>
      <c r="T1446" s="5" t="s">
        <v>2288</v>
      </c>
      <c r="U1446" s="8">
        <v>1</v>
      </c>
      <c r="V1446" s="8">
        <v>294</v>
      </c>
      <c r="W1446" s="8">
        <v>30</v>
      </c>
      <c r="X1446" s="9">
        <v>41.64</v>
      </c>
      <c r="Y1446" s="9">
        <f t="shared" si="265"/>
        <v>20.11</v>
      </c>
      <c r="Z1446" s="5" t="s">
        <v>1761</v>
      </c>
      <c r="AA1446" s="5" t="s">
        <v>2296</v>
      </c>
      <c r="AB1446" s="9">
        <f t="shared" si="266"/>
        <v>65</v>
      </c>
      <c r="AC1446" s="9">
        <f t="shared" si="267"/>
        <v>3.25</v>
      </c>
      <c r="AD1446" s="9">
        <f t="shared" si="268"/>
        <v>61.75</v>
      </c>
      <c r="AE1446" s="9">
        <f t="shared" si="269"/>
        <v>41.64</v>
      </c>
      <c r="AF1446" s="9">
        <f t="shared" si="275"/>
        <v>20.11</v>
      </c>
      <c r="AG1446" s="8">
        <f t="shared" si="270"/>
        <v>2024</v>
      </c>
      <c r="AH1446" s="8">
        <f t="shared" si="271"/>
        <v>5</v>
      </c>
      <c r="AI1446" s="5" t="str">
        <f t="shared" si="272"/>
        <v>May</v>
      </c>
      <c r="AJ1446" s="5" t="str">
        <f t="shared" si="273"/>
        <v>Monday</v>
      </c>
    </row>
    <row r="1447" spans="1:36" x14ac:dyDescent="0.3">
      <c r="A1447" s="5" t="s">
        <v>1481</v>
      </c>
      <c r="B1447" s="6">
        <v>45495</v>
      </c>
      <c r="C1447" s="7">
        <v>0.51041666666666663</v>
      </c>
      <c r="D1447" s="5" t="s">
        <v>1751</v>
      </c>
      <c r="E1447" s="5" t="s">
        <v>2005</v>
      </c>
      <c r="F1447" s="5" t="s">
        <v>2238</v>
      </c>
      <c r="G1447" s="5" t="s">
        <v>2245</v>
      </c>
      <c r="H1447" s="5" t="s">
        <v>2257</v>
      </c>
      <c r="I1447" s="5" t="s">
        <v>2263</v>
      </c>
      <c r="J1447" s="5" t="s">
        <v>2264</v>
      </c>
      <c r="K1447" s="8">
        <v>1</v>
      </c>
      <c r="L1447" s="9">
        <v>145</v>
      </c>
      <c r="M1447" s="10">
        <v>0.15</v>
      </c>
      <c r="N1447" s="9">
        <f t="shared" si="274"/>
        <v>145</v>
      </c>
      <c r="O1447" s="9">
        <f t="shared" si="264"/>
        <v>123.25</v>
      </c>
      <c r="P1447" s="5" t="s">
        <v>2269</v>
      </c>
      <c r="Q1447" s="5" t="s">
        <v>2272</v>
      </c>
      <c r="R1447" s="5" t="s">
        <v>2279</v>
      </c>
      <c r="S1447" s="5" t="s">
        <v>2281</v>
      </c>
      <c r="T1447" s="5" t="s">
        <v>2289</v>
      </c>
      <c r="U1447" s="19">
        <v>3</v>
      </c>
      <c r="V1447" s="8">
        <v>444</v>
      </c>
      <c r="W1447" s="8">
        <v>14</v>
      </c>
      <c r="X1447" s="9">
        <v>84.41</v>
      </c>
      <c r="Y1447" s="9">
        <f t="shared" si="265"/>
        <v>38.840000000000003</v>
      </c>
      <c r="Z1447" s="5" t="s">
        <v>2294</v>
      </c>
      <c r="AA1447" s="5" t="s">
        <v>1761</v>
      </c>
      <c r="AB1447" s="9">
        <f t="shared" si="266"/>
        <v>145</v>
      </c>
      <c r="AC1447" s="9">
        <f t="shared" si="267"/>
        <v>21.75</v>
      </c>
      <c r="AD1447" s="9">
        <f t="shared" si="268"/>
        <v>123.25</v>
      </c>
      <c r="AE1447" s="9">
        <f t="shared" si="269"/>
        <v>84.41</v>
      </c>
      <c r="AF1447" s="9">
        <f t="shared" si="275"/>
        <v>38.840000000000003</v>
      </c>
      <c r="AG1447" s="8">
        <f t="shared" si="270"/>
        <v>2024</v>
      </c>
      <c r="AH1447" s="8">
        <f t="shared" si="271"/>
        <v>7</v>
      </c>
      <c r="AI1447" s="5" t="str">
        <f t="shared" si="272"/>
        <v>Jul</v>
      </c>
      <c r="AJ1447" s="5" t="str">
        <f t="shared" si="273"/>
        <v>Monday</v>
      </c>
    </row>
    <row r="1448" spans="1:36" x14ac:dyDescent="0.3">
      <c r="A1448" s="5" t="s">
        <v>1482</v>
      </c>
      <c r="B1448" s="6">
        <v>45417</v>
      </c>
      <c r="C1448" s="7">
        <v>0.79861111111111116</v>
      </c>
      <c r="D1448" s="5" t="s">
        <v>1759</v>
      </c>
      <c r="E1448" s="5" t="s">
        <v>2220</v>
      </c>
      <c r="F1448" s="5" t="s">
        <v>1761</v>
      </c>
      <c r="G1448" s="5" t="s">
        <v>2255</v>
      </c>
      <c r="H1448" s="5" t="s">
        <v>2260</v>
      </c>
      <c r="I1448" s="5" t="s">
        <v>2260</v>
      </c>
      <c r="J1448" s="5" t="s">
        <v>2266</v>
      </c>
      <c r="K1448" s="8">
        <v>1</v>
      </c>
      <c r="L1448" s="9">
        <v>185</v>
      </c>
      <c r="M1448" s="10">
        <v>0.05</v>
      </c>
      <c r="N1448" s="9">
        <f t="shared" si="274"/>
        <v>185</v>
      </c>
      <c r="O1448" s="9">
        <f t="shared" si="264"/>
        <v>175.75</v>
      </c>
      <c r="P1448" s="5" t="s">
        <v>2268</v>
      </c>
      <c r="Q1448" s="5" t="s">
        <v>1761</v>
      </c>
      <c r="R1448" s="5" t="s">
        <v>2273</v>
      </c>
      <c r="S1448" s="5" t="s">
        <v>2280</v>
      </c>
      <c r="T1448" s="5" t="s">
        <v>2289</v>
      </c>
      <c r="U1448" s="8">
        <v>2</v>
      </c>
      <c r="V1448" s="8">
        <v>309</v>
      </c>
      <c r="W1448" s="8">
        <v>10</v>
      </c>
      <c r="X1448" s="9">
        <v>96.12</v>
      </c>
      <c r="Y1448" s="9">
        <f t="shared" si="265"/>
        <v>79.63</v>
      </c>
      <c r="Z1448" s="5" t="s">
        <v>1761</v>
      </c>
      <c r="AA1448" s="5" t="s">
        <v>2296</v>
      </c>
      <c r="AB1448" s="9">
        <f t="shared" si="266"/>
        <v>185</v>
      </c>
      <c r="AC1448" s="9">
        <f t="shared" si="267"/>
        <v>9.25</v>
      </c>
      <c r="AD1448" s="9">
        <f t="shared" si="268"/>
        <v>175.75</v>
      </c>
      <c r="AE1448" s="9">
        <f t="shared" si="269"/>
        <v>96.12</v>
      </c>
      <c r="AF1448" s="9">
        <f t="shared" si="275"/>
        <v>79.63</v>
      </c>
      <c r="AG1448" s="8">
        <f t="shared" si="270"/>
        <v>2024</v>
      </c>
      <c r="AH1448" s="8">
        <f t="shared" si="271"/>
        <v>5</v>
      </c>
      <c r="AI1448" s="5" t="str">
        <f t="shared" si="272"/>
        <v>May</v>
      </c>
      <c r="AJ1448" s="5" t="str">
        <f t="shared" si="273"/>
        <v>Sunday</v>
      </c>
    </row>
    <row r="1449" spans="1:36" x14ac:dyDescent="0.3">
      <c r="A1449" s="5" t="s">
        <v>1483</v>
      </c>
      <c r="B1449" s="6">
        <v>45587</v>
      </c>
      <c r="C1449" s="7">
        <v>0.44791666666666669</v>
      </c>
      <c r="D1449" s="5" t="s">
        <v>1939</v>
      </c>
      <c r="E1449" s="5" t="s">
        <v>1761</v>
      </c>
      <c r="F1449" s="5" t="s">
        <v>1761</v>
      </c>
      <c r="G1449" s="5" t="s">
        <v>2242</v>
      </c>
      <c r="H1449" s="5" t="s">
        <v>2258</v>
      </c>
      <c r="I1449" s="5" t="s">
        <v>2260</v>
      </c>
      <c r="J1449" s="5" t="s">
        <v>2266</v>
      </c>
      <c r="K1449" s="8">
        <v>1</v>
      </c>
      <c r="L1449" s="9">
        <v>115</v>
      </c>
      <c r="M1449" s="10">
        <v>0.05</v>
      </c>
      <c r="N1449" s="9">
        <f t="shared" si="274"/>
        <v>115</v>
      </c>
      <c r="O1449" s="9">
        <f t="shared" si="264"/>
        <v>109.25</v>
      </c>
      <c r="P1449" s="5" t="s">
        <v>2268</v>
      </c>
      <c r="Q1449" s="5" t="s">
        <v>2270</v>
      </c>
      <c r="R1449" s="5" t="s">
        <v>2278</v>
      </c>
      <c r="S1449" s="5" t="s">
        <v>2285</v>
      </c>
      <c r="T1449" s="5" t="s">
        <v>2288</v>
      </c>
      <c r="U1449" s="8">
        <v>5</v>
      </c>
      <c r="V1449" s="8">
        <v>477</v>
      </c>
      <c r="W1449" s="8">
        <v>44</v>
      </c>
      <c r="X1449" s="9">
        <v>45.43</v>
      </c>
      <c r="Y1449" s="9">
        <f t="shared" si="265"/>
        <v>63.82</v>
      </c>
      <c r="Z1449" s="5" t="s">
        <v>1761</v>
      </c>
      <c r="AA1449" s="5" t="s">
        <v>2297</v>
      </c>
      <c r="AB1449" s="9">
        <f t="shared" si="266"/>
        <v>115</v>
      </c>
      <c r="AC1449" s="9">
        <f t="shared" si="267"/>
        <v>5.75</v>
      </c>
      <c r="AD1449" s="9">
        <f t="shared" si="268"/>
        <v>109.25</v>
      </c>
      <c r="AE1449" s="9">
        <f t="shared" si="269"/>
        <v>45.43</v>
      </c>
      <c r="AF1449" s="9">
        <f t="shared" si="275"/>
        <v>63.82</v>
      </c>
      <c r="AG1449" s="8">
        <f t="shared" si="270"/>
        <v>2024</v>
      </c>
      <c r="AH1449" s="8">
        <f t="shared" si="271"/>
        <v>10</v>
      </c>
      <c r="AI1449" s="5" t="str">
        <f t="shared" si="272"/>
        <v>Oct</v>
      </c>
      <c r="AJ1449" s="5" t="str">
        <f t="shared" si="273"/>
        <v>Tuesday</v>
      </c>
    </row>
    <row r="1450" spans="1:36" x14ac:dyDescent="0.3">
      <c r="A1450" s="5" t="s">
        <v>1484</v>
      </c>
      <c r="B1450" s="6">
        <v>45600</v>
      </c>
      <c r="C1450" s="7">
        <v>0.51041666666666663</v>
      </c>
      <c r="D1450" s="5" t="s">
        <v>1786</v>
      </c>
      <c r="E1450" s="5" t="s">
        <v>1987</v>
      </c>
      <c r="F1450" s="5" t="s">
        <v>2239</v>
      </c>
      <c r="G1450" s="5" t="s">
        <v>2241</v>
      </c>
      <c r="H1450" s="5" t="s">
        <v>2257</v>
      </c>
      <c r="I1450" s="5" t="s">
        <v>2262</v>
      </c>
      <c r="J1450" s="5" t="s">
        <v>1761</v>
      </c>
      <c r="K1450" s="8">
        <v>2</v>
      </c>
      <c r="L1450" s="9">
        <v>135</v>
      </c>
      <c r="M1450" s="10">
        <v>0.05</v>
      </c>
      <c r="N1450" s="9">
        <f t="shared" si="274"/>
        <v>270</v>
      </c>
      <c r="O1450" s="9">
        <f t="shared" si="264"/>
        <v>256.5</v>
      </c>
      <c r="P1450" s="5" t="s">
        <v>2267</v>
      </c>
      <c r="Q1450" s="5" t="s">
        <v>2271</v>
      </c>
      <c r="R1450" s="5" t="s">
        <v>2274</v>
      </c>
      <c r="S1450" s="5" t="s">
        <v>2280</v>
      </c>
      <c r="T1450" s="5" t="s">
        <v>2288</v>
      </c>
      <c r="U1450" s="8">
        <v>4</v>
      </c>
      <c r="V1450" s="8">
        <v>174</v>
      </c>
      <c r="W1450" s="19">
        <v>37</v>
      </c>
      <c r="X1450" s="9">
        <v>63.73</v>
      </c>
      <c r="Y1450" s="9">
        <f t="shared" si="265"/>
        <v>129.04000000000002</v>
      </c>
      <c r="Z1450" s="5" t="s">
        <v>2292</v>
      </c>
      <c r="AA1450" s="5" t="s">
        <v>2298</v>
      </c>
      <c r="AB1450" s="9">
        <f t="shared" si="266"/>
        <v>270</v>
      </c>
      <c r="AC1450" s="9">
        <f t="shared" si="267"/>
        <v>13.5</v>
      </c>
      <c r="AD1450" s="9">
        <f t="shared" si="268"/>
        <v>256.5</v>
      </c>
      <c r="AE1450" s="9">
        <f t="shared" si="269"/>
        <v>127.46</v>
      </c>
      <c r="AF1450" s="9">
        <f t="shared" si="275"/>
        <v>129.04000000000002</v>
      </c>
      <c r="AG1450" s="8">
        <f t="shared" si="270"/>
        <v>2024</v>
      </c>
      <c r="AH1450" s="8">
        <f t="shared" si="271"/>
        <v>11</v>
      </c>
      <c r="AI1450" s="5" t="str">
        <f t="shared" si="272"/>
        <v>Nov</v>
      </c>
      <c r="AJ1450" s="5" t="str">
        <f t="shared" si="273"/>
        <v>Monday</v>
      </c>
    </row>
    <row r="1451" spans="1:36" x14ac:dyDescent="0.3">
      <c r="A1451" s="5" t="s">
        <v>1485</v>
      </c>
      <c r="B1451" s="6">
        <v>45634</v>
      </c>
      <c r="C1451" s="7">
        <v>0.74305555555555558</v>
      </c>
      <c r="D1451" s="5" t="s">
        <v>1839</v>
      </c>
      <c r="E1451" s="5" t="s">
        <v>1993</v>
      </c>
      <c r="F1451" s="5" t="s">
        <v>2238</v>
      </c>
      <c r="G1451" s="5" t="s">
        <v>2251</v>
      </c>
      <c r="H1451" s="5" t="s">
        <v>2258</v>
      </c>
      <c r="I1451" s="5" t="s">
        <v>2260</v>
      </c>
      <c r="J1451" s="5" t="s">
        <v>1761</v>
      </c>
      <c r="K1451" s="8">
        <v>1</v>
      </c>
      <c r="L1451" s="9">
        <v>105</v>
      </c>
      <c r="M1451" s="10">
        <v>0.1</v>
      </c>
      <c r="N1451" s="9">
        <f t="shared" si="274"/>
        <v>105</v>
      </c>
      <c r="O1451" s="9">
        <f t="shared" si="264"/>
        <v>94.5</v>
      </c>
      <c r="P1451" s="5" t="s">
        <v>2269</v>
      </c>
      <c r="Q1451" s="5" t="s">
        <v>2270</v>
      </c>
      <c r="R1451" s="5" t="s">
        <v>2275</v>
      </c>
      <c r="S1451" s="5" t="s">
        <v>2282</v>
      </c>
      <c r="T1451" s="5" t="s">
        <v>2288</v>
      </c>
      <c r="U1451" s="8">
        <v>1</v>
      </c>
      <c r="V1451" s="8">
        <v>291</v>
      </c>
      <c r="W1451" s="19">
        <v>34</v>
      </c>
      <c r="X1451" s="9">
        <v>53.19</v>
      </c>
      <c r="Y1451" s="9">
        <f t="shared" si="265"/>
        <v>41.31</v>
      </c>
      <c r="Z1451" s="5" t="s">
        <v>2292</v>
      </c>
      <c r="AA1451" s="5" t="s">
        <v>2298</v>
      </c>
      <c r="AB1451" s="9">
        <f t="shared" si="266"/>
        <v>105</v>
      </c>
      <c r="AC1451" s="9">
        <f t="shared" si="267"/>
        <v>10.5</v>
      </c>
      <c r="AD1451" s="9">
        <f t="shared" si="268"/>
        <v>94.5</v>
      </c>
      <c r="AE1451" s="9">
        <f t="shared" si="269"/>
        <v>53.19</v>
      </c>
      <c r="AF1451" s="9">
        <f t="shared" si="275"/>
        <v>41.31</v>
      </c>
      <c r="AG1451" s="8">
        <f t="shared" si="270"/>
        <v>2024</v>
      </c>
      <c r="AH1451" s="8">
        <f t="shared" si="271"/>
        <v>12</v>
      </c>
      <c r="AI1451" s="5" t="str">
        <f t="shared" si="272"/>
        <v>Dec</v>
      </c>
      <c r="AJ1451" s="5" t="str">
        <f t="shared" si="273"/>
        <v>Sunday</v>
      </c>
    </row>
    <row r="1452" spans="1:36" x14ac:dyDescent="0.3">
      <c r="A1452" s="5" t="s">
        <v>1486</v>
      </c>
      <c r="B1452" s="6">
        <v>45559</v>
      </c>
      <c r="C1452" s="7">
        <v>0.35416666666666669</v>
      </c>
      <c r="D1452" s="5" t="s">
        <v>1815</v>
      </c>
      <c r="E1452" s="5" t="s">
        <v>2102</v>
      </c>
      <c r="F1452" s="5" t="s">
        <v>1761</v>
      </c>
      <c r="G1452" s="5" t="s">
        <v>2253</v>
      </c>
      <c r="H1452" s="5" t="s">
        <v>2258</v>
      </c>
      <c r="I1452" s="5" t="s">
        <v>2260</v>
      </c>
      <c r="J1452" s="5" t="s">
        <v>1761</v>
      </c>
      <c r="K1452" s="8">
        <v>2</v>
      </c>
      <c r="L1452" s="9">
        <v>90</v>
      </c>
      <c r="M1452" s="10">
        <v>0.05</v>
      </c>
      <c r="N1452" s="9">
        <f t="shared" si="274"/>
        <v>180</v>
      </c>
      <c r="O1452" s="9">
        <f t="shared" si="264"/>
        <v>171</v>
      </c>
      <c r="P1452" s="5" t="s">
        <v>1761</v>
      </c>
      <c r="Q1452" s="5" t="s">
        <v>2272</v>
      </c>
      <c r="R1452" s="5" t="s">
        <v>2279</v>
      </c>
      <c r="S1452" s="5" t="s">
        <v>2284</v>
      </c>
      <c r="T1452" s="5" t="s">
        <v>2288</v>
      </c>
      <c r="U1452" s="8">
        <v>4</v>
      </c>
      <c r="V1452" s="8">
        <v>276</v>
      </c>
      <c r="W1452" s="19">
        <v>35</v>
      </c>
      <c r="X1452" s="9">
        <v>40.43</v>
      </c>
      <c r="Y1452" s="9">
        <f t="shared" si="265"/>
        <v>90.14</v>
      </c>
      <c r="Z1452" s="5" t="s">
        <v>2293</v>
      </c>
      <c r="AA1452" s="5" t="s">
        <v>1761</v>
      </c>
      <c r="AB1452" s="9">
        <f t="shared" si="266"/>
        <v>180</v>
      </c>
      <c r="AC1452" s="9">
        <f t="shared" si="267"/>
        <v>9</v>
      </c>
      <c r="AD1452" s="9">
        <f t="shared" si="268"/>
        <v>171</v>
      </c>
      <c r="AE1452" s="9">
        <f t="shared" si="269"/>
        <v>80.86</v>
      </c>
      <c r="AF1452" s="9">
        <f t="shared" si="275"/>
        <v>90.14</v>
      </c>
      <c r="AG1452" s="8">
        <f t="shared" si="270"/>
        <v>2024</v>
      </c>
      <c r="AH1452" s="8">
        <f t="shared" si="271"/>
        <v>9</v>
      </c>
      <c r="AI1452" s="5" t="str">
        <f t="shared" si="272"/>
        <v>Sep</v>
      </c>
      <c r="AJ1452" s="5" t="str">
        <f t="shared" si="273"/>
        <v>Tuesday</v>
      </c>
    </row>
    <row r="1453" spans="1:36" x14ac:dyDescent="0.3">
      <c r="A1453" s="5" t="s">
        <v>1487</v>
      </c>
      <c r="B1453" s="6">
        <v>45619</v>
      </c>
      <c r="C1453" s="7">
        <v>0.53472222222222221</v>
      </c>
      <c r="D1453" s="5" t="s">
        <v>1804</v>
      </c>
      <c r="E1453" s="5" t="s">
        <v>1999</v>
      </c>
      <c r="F1453" s="5" t="s">
        <v>2239</v>
      </c>
      <c r="G1453" s="5" t="s">
        <v>2254</v>
      </c>
      <c r="H1453" s="5" t="s">
        <v>2259</v>
      </c>
      <c r="I1453" s="5" t="s">
        <v>2263</v>
      </c>
      <c r="J1453" s="5" t="s">
        <v>2266</v>
      </c>
      <c r="K1453" s="8">
        <v>2</v>
      </c>
      <c r="L1453" s="9">
        <v>110</v>
      </c>
      <c r="M1453" s="10">
        <v>0.1</v>
      </c>
      <c r="N1453" s="9">
        <f t="shared" si="274"/>
        <v>220</v>
      </c>
      <c r="O1453" s="9">
        <f t="shared" si="264"/>
        <v>198</v>
      </c>
      <c r="P1453" s="5" t="s">
        <v>2268</v>
      </c>
      <c r="Q1453" s="5" t="s">
        <v>2271</v>
      </c>
      <c r="R1453" s="5" t="s">
        <v>2274</v>
      </c>
      <c r="S1453" s="5" t="s">
        <v>2281</v>
      </c>
      <c r="T1453" s="5" t="s">
        <v>2289</v>
      </c>
      <c r="U1453" s="19">
        <v>3</v>
      </c>
      <c r="V1453" s="8">
        <v>73</v>
      </c>
      <c r="W1453" s="8">
        <v>37</v>
      </c>
      <c r="X1453" s="9">
        <v>39.200000000000003</v>
      </c>
      <c r="Y1453" s="9">
        <f t="shared" si="265"/>
        <v>119.6</v>
      </c>
      <c r="Z1453" s="5" t="s">
        <v>2291</v>
      </c>
      <c r="AA1453" s="5" t="s">
        <v>2298</v>
      </c>
      <c r="AB1453" s="9">
        <f t="shared" si="266"/>
        <v>220</v>
      </c>
      <c r="AC1453" s="9">
        <f t="shared" si="267"/>
        <v>22</v>
      </c>
      <c r="AD1453" s="9">
        <f t="shared" si="268"/>
        <v>198</v>
      </c>
      <c r="AE1453" s="9">
        <f t="shared" si="269"/>
        <v>78.400000000000006</v>
      </c>
      <c r="AF1453" s="9">
        <f t="shared" si="275"/>
        <v>119.6</v>
      </c>
      <c r="AG1453" s="8">
        <f t="shared" si="270"/>
        <v>2024</v>
      </c>
      <c r="AH1453" s="8">
        <f t="shared" si="271"/>
        <v>11</v>
      </c>
      <c r="AI1453" s="5" t="str">
        <f t="shared" si="272"/>
        <v>Nov</v>
      </c>
      <c r="AJ1453" s="5" t="str">
        <f t="shared" si="273"/>
        <v>Saturday</v>
      </c>
    </row>
    <row r="1454" spans="1:36" x14ac:dyDescent="0.3">
      <c r="A1454" s="5" t="s">
        <v>1488</v>
      </c>
      <c r="B1454" s="18">
        <v>45468</v>
      </c>
      <c r="C1454" s="7">
        <v>0.78125</v>
      </c>
      <c r="D1454" s="5" t="s">
        <v>1813</v>
      </c>
      <c r="E1454" s="5" t="s">
        <v>2222</v>
      </c>
      <c r="F1454" s="5" t="s">
        <v>2240</v>
      </c>
      <c r="G1454" s="5" t="s">
        <v>2254</v>
      </c>
      <c r="H1454" s="5" t="s">
        <v>2259</v>
      </c>
      <c r="I1454" s="5" t="s">
        <v>2263</v>
      </c>
      <c r="J1454" s="5" t="s">
        <v>2265</v>
      </c>
      <c r="K1454" s="8">
        <v>1</v>
      </c>
      <c r="L1454" s="9">
        <v>105</v>
      </c>
      <c r="M1454" s="10">
        <v>0</v>
      </c>
      <c r="N1454" s="9">
        <f t="shared" si="274"/>
        <v>105</v>
      </c>
      <c r="O1454" s="9">
        <f t="shared" si="264"/>
        <v>105</v>
      </c>
      <c r="P1454" s="5" t="s">
        <v>1761</v>
      </c>
      <c r="Q1454" s="5" t="s">
        <v>2272</v>
      </c>
      <c r="R1454" s="5" t="s">
        <v>2276</v>
      </c>
      <c r="S1454" s="5" t="s">
        <v>2284</v>
      </c>
      <c r="T1454" s="5" t="s">
        <v>2288</v>
      </c>
      <c r="U1454" s="8">
        <v>4</v>
      </c>
      <c r="V1454" s="8">
        <v>230</v>
      </c>
      <c r="W1454" s="8">
        <v>55</v>
      </c>
      <c r="X1454" s="9">
        <v>44.75</v>
      </c>
      <c r="Y1454" s="9">
        <f t="shared" si="265"/>
        <v>60.25</v>
      </c>
      <c r="Z1454" s="5" t="s">
        <v>2294</v>
      </c>
      <c r="AA1454" s="5" t="s">
        <v>2297</v>
      </c>
      <c r="AB1454" s="9">
        <f t="shared" si="266"/>
        <v>105</v>
      </c>
      <c r="AC1454" s="9">
        <f t="shared" si="267"/>
        <v>0</v>
      </c>
      <c r="AD1454" s="9">
        <f t="shared" si="268"/>
        <v>105</v>
      </c>
      <c r="AE1454" s="9">
        <f t="shared" si="269"/>
        <v>44.75</v>
      </c>
      <c r="AF1454" s="9">
        <f t="shared" si="275"/>
        <v>60.25</v>
      </c>
      <c r="AG1454" s="8">
        <f t="shared" si="270"/>
        <v>2024</v>
      </c>
      <c r="AH1454" s="8">
        <f t="shared" si="271"/>
        <v>6</v>
      </c>
      <c r="AI1454" s="5" t="str">
        <f t="shared" si="272"/>
        <v>Jun</v>
      </c>
      <c r="AJ1454" s="5" t="str">
        <f t="shared" si="273"/>
        <v>Tuesday</v>
      </c>
    </row>
    <row r="1455" spans="1:36" x14ac:dyDescent="0.3">
      <c r="A1455" s="5" t="s">
        <v>1489</v>
      </c>
      <c r="B1455" s="6">
        <v>45334</v>
      </c>
      <c r="C1455" s="7">
        <v>0.41666666666666669</v>
      </c>
      <c r="D1455" s="5" t="s">
        <v>1826</v>
      </c>
      <c r="E1455" s="5" t="s">
        <v>2026</v>
      </c>
      <c r="F1455" s="5" t="s">
        <v>2240</v>
      </c>
      <c r="G1455" s="5" t="s">
        <v>2241</v>
      </c>
      <c r="H1455" s="5" t="s">
        <v>2257</v>
      </c>
      <c r="I1455" s="5" t="s">
        <v>2262</v>
      </c>
      <c r="J1455" s="5" t="s">
        <v>2264</v>
      </c>
      <c r="K1455" s="8">
        <v>1</v>
      </c>
      <c r="L1455" s="9">
        <v>130</v>
      </c>
      <c r="M1455" s="10">
        <v>0</v>
      </c>
      <c r="N1455" s="9">
        <f t="shared" si="274"/>
        <v>130</v>
      </c>
      <c r="O1455" s="9">
        <f t="shared" si="264"/>
        <v>130</v>
      </c>
      <c r="P1455" s="5" t="s">
        <v>2269</v>
      </c>
      <c r="Q1455" s="5" t="s">
        <v>2271</v>
      </c>
      <c r="R1455" s="5" t="s">
        <v>2273</v>
      </c>
      <c r="S1455" s="5" t="s">
        <v>2281</v>
      </c>
      <c r="T1455" s="5" t="s">
        <v>2288</v>
      </c>
      <c r="U1455" s="8">
        <v>3</v>
      </c>
      <c r="V1455" s="8">
        <v>375</v>
      </c>
      <c r="W1455" s="8">
        <v>43</v>
      </c>
      <c r="X1455" s="9">
        <v>64.069999999999993</v>
      </c>
      <c r="Y1455" s="9">
        <f t="shared" si="265"/>
        <v>65.930000000000007</v>
      </c>
      <c r="Z1455" s="5" t="s">
        <v>2291</v>
      </c>
      <c r="AA1455" s="5" t="s">
        <v>1761</v>
      </c>
      <c r="AB1455" s="9">
        <f t="shared" si="266"/>
        <v>130</v>
      </c>
      <c r="AC1455" s="9">
        <f t="shared" si="267"/>
        <v>0</v>
      </c>
      <c r="AD1455" s="9">
        <f t="shared" si="268"/>
        <v>130</v>
      </c>
      <c r="AE1455" s="9">
        <f t="shared" si="269"/>
        <v>64.069999999999993</v>
      </c>
      <c r="AF1455" s="9">
        <f t="shared" si="275"/>
        <v>65.930000000000007</v>
      </c>
      <c r="AG1455" s="8">
        <f t="shared" si="270"/>
        <v>2024</v>
      </c>
      <c r="AH1455" s="8">
        <f t="shared" si="271"/>
        <v>2</v>
      </c>
      <c r="AI1455" s="5" t="str">
        <f t="shared" si="272"/>
        <v>Feb</v>
      </c>
      <c r="AJ1455" s="5" t="str">
        <f t="shared" si="273"/>
        <v>Monday</v>
      </c>
    </row>
    <row r="1456" spans="1:36" x14ac:dyDescent="0.3">
      <c r="A1456" s="5" t="s">
        <v>1490</v>
      </c>
      <c r="B1456" s="6">
        <v>45621</v>
      </c>
      <c r="C1456" s="7">
        <v>0.59722222222222221</v>
      </c>
      <c r="D1456" s="5" t="s">
        <v>1782</v>
      </c>
      <c r="E1456" s="5" t="s">
        <v>2150</v>
      </c>
      <c r="F1456" s="5" t="s">
        <v>1761</v>
      </c>
      <c r="G1456" s="5" t="s">
        <v>2247</v>
      </c>
      <c r="H1456" s="5" t="s">
        <v>2257</v>
      </c>
      <c r="I1456" s="5" t="s">
        <v>2262</v>
      </c>
      <c r="J1456" s="5" t="s">
        <v>2266</v>
      </c>
      <c r="K1456" s="19">
        <v>1</v>
      </c>
      <c r="L1456" s="9">
        <v>95</v>
      </c>
      <c r="M1456" s="10">
        <v>0</v>
      </c>
      <c r="N1456" s="9">
        <f t="shared" si="274"/>
        <v>95</v>
      </c>
      <c r="O1456" s="9">
        <f t="shared" si="264"/>
        <v>95</v>
      </c>
      <c r="P1456" s="5" t="s">
        <v>2267</v>
      </c>
      <c r="Q1456" s="5" t="s">
        <v>2270</v>
      </c>
      <c r="R1456" s="5" t="s">
        <v>2273</v>
      </c>
      <c r="S1456" s="5" t="s">
        <v>2284</v>
      </c>
      <c r="T1456" s="5" t="s">
        <v>2289</v>
      </c>
      <c r="U1456" s="8">
        <v>2</v>
      </c>
      <c r="V1456" s="8">
        <v>390</v>
      </c>
      <c r="W1456" s="8">
        <v>54</v>
      </c>
      <c r="X1456" s="9">
        <v>53.41</v>
      </c>
      <c r="Y1456" s="9">
        <f t="shared" si="265"/>
        <v>41.59</v>
      </c>
      <c r="Z1456" s="5" t="s">
        <v>2294</v>
      </c>
      <c r="AA1456" s="5" t="s">
        <v>2298</v>
      </c>
      <c r="AB1456" s="9">
        <f t="shared" si="266"/>
        <v>95</v>
      </c>
      <c r="AC1456" s="9">
        <f t="shared" si="267"/>
        <v>0</v>
      </c>
      <c r="AD1456" s="9">
        <f t="shared" si="268"/>
        <v>95</v>
      </c>
      <c r="AE1456" s="9">
        <f t="shared" si="269"/>
        <v>53.41</v>
      </c>
      <c r="AF1456" s="9">
        <f t="shared" si="275"/>
        <v>41.59</v>
      </c>
      <c r="AG1456" s="8">
        <f t="shared" si="270"/>
        <v>2024</v>
      </c>
      <c r="AH1456" s="8">
        <f t="shared" si="271"/>
        <v>11</v>
      </c>
      <c r="AI1456" s="5" t="str">
        <f t="shared" si="272"/>
        <v>Nov</v>
      </c>
      <c r="AJ1456" s="5" t="str">
        <f t="shared" si="273"/>
        <v>Monday</v>
      </c>
    </row>
    <row r="1457" spans="1:36" x14ac:dyDescent="0.3">
      <c r="A1457" s="5" t="s">
        <v>1491</v>
      </c>
      <c r="B1457" s="6">
        <v>45566</v>
      </c>
      <c r="C1457" s="7">
        <v>0.34027777777777779</v>
      </c>
      <c r="D1457" s="5" t="s">
        <v>1844</v>
      </c>
      <c r="E1457" s="5" t="s">
        <v>2115</v>
      </c>
      <c r="F1457" s="5" t="s">
        <v>1761</v>
      </c>
      <c r="G1457" s="5" t="s">
        <v>2253</v>
      </c>
      <c r="H1457" s="5" t="s">
        <v>2258</v>
      </c>
      <c r="I1457" s="5" t="s">
        <v>2260</v>
      </c>
      <c r="J1457" s="5" t="s">
        <v>2266</v>
      </c>
      <c r="K1457" s="8">
        <v>1</v>
      </c>
      <c r="L1457" s="9">
        <v>95</v>
      </c>
      <c r="M1457" s="10">
        <v>0.1</v>
      </c>
      <c r="N1457" s="9">
        <f t="shared" si="274"/>
        <v>95</v>
      </c>
      <c r="O1457" s="9">
        <f t="shared" si="264"/>
        <v>85.5</v>
      </c>
      <c r="P1457" s="5" t="s">
        <v>2268</v>
      </c>
      <c r="Q1457" s="5" t="s">
        <v>2271</v>
      </c>
      <c r="R1457" s="5" t="s">
        <v>2278</v>
      </c>
      <c r="S1457" s="5" t="s">
        <v>2286</v>
      </c>
      <c r="T1457" s="5" t="s">
        <v>2289</v>
      </c>
      <c r="U1457" s="8">
        <v>5</v>
      </c>
      <c r="V1457" s="8">
        <v>286</v>
      </c>
      <c r="W1457" s="8">
        <v>36</v>
      </c>
      <c r="X1457" s="9">
        <v>38.46</v>
      </c>
      <c r="Y1457" s="9">
        <f t="shared" si="265"/>
        <v>47.04</v>
      </c>
      <c r="Z1457" s="5" t="s">
        <v>1761</v>
      </c>
      <c r="AA1457" s="5" t="s">
        <v>2296</v>
      </c>
      <c r="AB1457" s="9">
        <f t="shared" si="266"/>
        <v>95</v>
      </c>
      <c r="AC1457" s="9">
        <f t="shared" si="267"/>
        <v>9.5</v>
      </c>
      <c r="AD1457" s="9">
        <f t="shared" si="268"/>
        <v>85.5</v>
      </c>
      <c r="AE1457" s="9">
        <f t="shared" si="269"/>
        <v>38.46</v>
      </c>
      <c r="AF1457" s="9">
        <f t="shared" si="275"/>
        <v>47.04</v>
      </c>
      <c r="AG1457" s="8">
        <f t="shared" si="270"/>
        <v>2024</v>
      </c>
      <c r="AH1457" s="8">
        <f t="shared" si="271"/>
        <v>10</v>
      </c>
      <c r="AI1457" s="5" t="str">
        <f t="shared" si="272"/>
        <v>Oct</v>
      </c>
      <c r="AJ1457" s="5" t="str">
        <f t="shared" si="273"/>
        <v>Tuesday</v>
      </c>
    </row>
    <row r="1458" spans="1:36" x14ac:dyDescent="0.3">
      <c r="A1458" s="5" t="s">
        <v>1492</v>
      </c>
      <c r="B1458" s="6">
        <v>45527</v>
      </c>
      <c r="C1458" s="7">
        <v>0.59375</v>
      </c>
      <c r="D1458" s="5" t="s">
        <v>1803</v>
      </c>
      <c r="E1458" s="5" t="s">
        <v>2156</v>
      </c>
      <c r="F1458" s="5" t="s">
        <v>2240</v>
      </c>
      <c r="G1458" s="5" t="s">
        <v>2253</v>
      </c>
      <c r="H1458" s="5" t="s">
        <v>2258</v>
      </c>
      <c r="I1458" s="5" t="s">
        <v>2260</v>
      </c>
      <c r="J1458" s="5" t="s">
        <v>2264</v>
      </c>
      <c r="K1458" s="8">
        <v>1</v>
      </c>
      <c r="L1458" s="9">
        <v>85</v>
      </c>
      <c r="M1458" s="10">
        <v>0</v>
      </c>
      <c r="N1458" s="9">
        <f t="shared" si="274"/>
        <v>85</v>
      </c>
      <c r="O1458" s="9">
        <f t="shared" si="264"/>
        <v>85</v>
      </c>
      <c r="P1458" s="5" t="s">
        <v>2269</v>
      </c>
      <c r="Q1458" s="5" t="s">
        <v>2271</v>
      </c>
      <c r="R1458" s="5" t="s">
        <v>2273</v>
      </c>
      <c r="S1458" s="5" t="s">
        <v>2286</v>
      </c>
      <c r="T1458" s="5" t="s">
        <v>2290</v>
      </c>
      <c r="U1458" s="8">
        <v>5</v>
      </c>
      <c r="V1458" s="8">
        <v>250</v>
      </c>
      <c r="W1458" s="8">
        <v>29</v>
      </c>
      <c r="X1458" s="9">
        <v>36.83</v>
      </c>
      <c r="Y1458" s="9">
        <f t="shared" si="265"/>
        <v>48.17</v>
      </c>
      <c r="Z1458" s="5" t="s">
        <v>1761</v>
      </c>
      <c r="AA1458" s="5" t="s">
        <v>2298</v>
      </c>
      <c r="AB1458" s="9">
        <f t="shared" si="266"/>
        <v>85</v>
      </c>
      <c r="AC1458" s="9">
        <f t="shared" si="267"/>
        <v>0</v>
      </c>
      <c r="AD1458" s="9">
        <f t="shared" si="268"/>
        <v>85</v>
      </c>
      <c r="AE1458" s="9">
        <f t="shared" si="269"/>
        <v>36.83</v>
      </c>
      <c r="AF1458" s="9">
        <f t="shared" si="275"/>
        <v>48.17</v>
      </c>
      <c r="AG1458" s="8">
        <f t="shared" si="270"/>
        <v>2024</v>
      </c>
      <c r="AH1458" s="8">
        <f t="shared" si="271"/>
        <v>8</v>
      </c>
      <c r="AI1458" s="5" t="str">
        <f t="shared" si="272"/>
        <v>Aug</v>
      </c>
      <c r="AJ1458" s="5" t="str">
        <f t="shared" si="273"/>
        <v>Friday</v>
      </c>
    </row>
    <row r="1459" spans="1:36" x14ac:dyDescent="0.3">
      <c r="A1459" s="5" t="s">
        <v>1493</v>
      </c>
      <c r="B1459" s="6">
        <v>45312</v>
      </c>
      <c r="C1459" s="7">
        <v>0.52083333333333337</v>
      </c>
      <c r="D1459" s="5" t="s">
        <v>1881</v>
      </c>
      <c r="E1459" s="5" t="s">
        <v>2195</v>
      </c>
      <c r="F1459" s="5" t="s">
        <v>1761</v>
      </c>
      <c r="G1459" s="5" t="s">
        <v>2246</v>
      </c>
      <c r="H1459" s="5" t="s">
        <v>2259</v>
      </c>
      <c r="I1459" s="5" t="s">
        <v>2262</v>
      </c>
      <c r="J1459" s="5" t="s">
        <v>2266</v>
      </c>
      <c r="K1459" s="8">
        <v>3</v>
      </c>
      <c r="L1459" s="9">
        <v>95</v>
      </c>
      <c r="M1459" s="10">
        <v>0</v>
      </c>
      <c r="N1459" s="9">
        <f t="shared" si="274"/>
        <v>285</v>
      </c>
      <c r="O1459" s="9">
        <f t="shared" si="264"/>
        <v>285</v>
      </c>
      <c r="P1459" s="5" t="s">
        <v>2268</v>
      </c>
      <c r="Q1459" s="5" t="s">
        <v>1761</v>
      </c>
      <c r="R1459" s="5" t="s">
        <v>2279</v>
      </c>
      <c r="S1459" s="5" t="s">
        <v>2283</v>
      </c>
      <c r="T1459" s="5" t="s">
        <v>2288</v>
      </c>
      <c r="U1459" s="8">
        <v>5</v>
      </c>
      <c r="V1459" s="8">
        <v>365</v>
      </c>
      <c r="W1459" s="8">
        <v>16</v>
      </c>
      <c r="X1459" s="9">
        <v>36.69</v>
      </c>
      <c r="Y1459" s="9">
        <f t="shared" si="265"/>
        <v>174.93</v>
      </c>
      <c r="Z1459" s="5" t="s">
        <v>2293</v>
      </c>
      <c r="AA1459" s="5" t="s">
        <v>2297</v>
      </c>
      <c r="AB1459" s="9">
        <f t="shared" si="266"/>
        <v>285</v>
      </c>
      <c r="AC1459" s="9">
        <f t="shared" si="267"/>
        <v>0</v>
      </c>
      <c r="AD1459" s="9">
        <f t="shared" si="268"/>
        <v>285</v>
      </c>
      <c r="AE1459" s="9">
        <f t="shared" si="269"/>
        <v>110.07</v>
      </c>
      <c r="AF1459" s="9">
        <f t="shared" si="275"/>
        <v>174.93</v>
      </c>
      <c r="AG1459" s="8">
        <f t="shared" si="270"/>
        <v>2024</v>
      </c>
      <c r="AH1459" s="8">
        <f t="shared" si="271"/>
        <v>1</v>
      </c>
      <c r="AI1459" s="5" t="str">
        <f t="shared" si="272"/>
        <v>Jan</v>
      </c>
      <c r="AJ1459" s="5" t="str">
        <f t="shared" si="273"/>
        <v>Sunday</v>
      </c>
    </row>
    <row r="1460" spans="1:36" x14ac:dyDescent="0.3">
      <c r="A1460" s="5" t="s">
        <v>1494</v>
      </c>
      <c r="B1460" s="6">
        <v>45613</v>
      </c>
      <c r="C1460" s="7">
        <v>0.78125</v>
      </c>
      <c r="D1460" s="5" t="s">
        <v>1912</v>
      </c>
      <c r="E1460" s="5" t="s">
        <v>1761</v>
      </c>
      <c r="F1460" s="5" t="s">
        <v>2240</v>
      </c>
      <c r="G1460" s="5" t="s">
        <v>2245</v>
      </c>
      <c r="H1460" s="5" t="s">
        <v>2257</v>
      </c>
      <c r="I1460" s="5" t="s">
        <v>2263</v>
      </c>
      <c r="J1460" s="5" t="s">
        <v>2265</v>
      </c>
      <c r="K1460" s="8">
        <v>1</v>
      </c>
      <c r="L1460" s="9">
        <v>150</v>
      </c>
      <c r="M1460" s="10">
        <v>0.1</v>
      </c>
      <c r="N1460" s="9">
        <f t="shared" si="274"/>
        <v>150</v>
      </c>
      <c r="O1460" s="9">
        <f t="shared" si="264"/>
        <v>135</v>
      </c>
      <c r="P1460" s="5" t="s">
        <v>1761</v>
      </c>
      <c r="Q1460" s="5" t="s">
        <v>1761</v>
      </c>
      <c r="R1460" s="5" t="s">
        <v>2279</v>
      </c>
      <c r="S1460" s="5" t="s">
        <v>2280</v>
      </c>
      <c r="T1460" s="5" t="s">
        <v>2290</v>
      </c>
      <c r="U1460" s="19">
        <v>3</v>
      </c>
      <c r="V1460" s="8">
        <v>288</v>
      </c>
      <c r="W1460" s="19">
        <v>36</v>
      </c>
      <c r="X1460" s="9">
        <v>66.2</v>
      </c>
      <c r="Y1460" s="9">
        <f t="shared" si="265"/>
        <v>68.8</v>
      </c>
      <c r="Z1460" s="5" t="s">
        <v>2292</v>
      </c>
      <c r="AA1460" s="5" t="s">
        <v>2296</v>
      </c>
      <c r="AB1460" s="9">
        <f t="shared" si="266"/>
        <v>150</v>
      </c>
      <c r="AC1460" s="9">
        <f t="shared" si="267"/>
        <v>15</v>
      </c>
      <c r="AD1460" s="9">
        <f t="shared" si="268"/>
        <v>135</v>
      </c>
      <c r="AE1460" s="9">
        <f t="shared" si="269"/>
        <v>66.2</v>
      </c>
      <c r="AF1460" s="9">
        <f t="shared" si="275"/>
        <v>68.8</v>
      </c>
      <c r="AG1460" s="8">
        <f t="shared" si="270"/>
        <v>2024</v>
      </c>
      <c r="AH1460" s="8">
        <f t="shared" si="271"/>
        <v>11</v>
      </c>
      <c r="AI1460" s="5" t="str">
        <f t="shared" si="272"/>
        <v>Nov</v>
      </c>
      <c r="AJ1460" s="5" t="str">
        <f t="shared" si="273"/>
        <v>Sunday</v>
      </c>
    </row>
    <row r="1461" spans="1:36" x14ac:dyDescent="0.3">
      <c r="A1461" s="5" t="s">
        <v>1495</v>
      </c>
      <c r="B1461" s="6">
        <v>45459</v>
      </c>
      <c r="C1461" s="7">
        <v>0.88541666666666663</v>
      </c>
      <c r="D1461" s="5" t="s">
        <v>1904</v>
      </c>
      <c r="E1461" s="5" t="s">
        <v>2170</v>
      </c>
      <c r="F1461" s="5" t="s">
        <v>2239</v>
      </c>
      <c r="G1461" s="5" t="s">
        <v>2242</v>
      </c>
      <c r="H1461" s="5" t="s">
        <v>2258</v>
      </c>
      <c r="I1461" s="5" t="s">
        <v>2260</v>
      </c>
      <c r="J1461" s="5" t="s">
        <v>1761</v>
      </c>
      <c r="K1461" s="8">
        <v>2</v>
      </c>
      <c r="L1461" s="9">
        <v>125</v>
      </c>
      <c r="M1461" s="10">
        <v>0.1</v>
      </c>
      <c r="N1461" s="9">
        <f t="shared" si="274"/>
        <v>250</v>
      </c>
      <c r="O1461" s="9">
        <f t="shared" si="264"/>
        <v>225</v>
      </c>
      <c r="P1461" s="5" t="s">
        <v>2269</v>
      </c>
      <c r="Q1461" s="5" t="s">
        <v>2272</v>
      </c>
      <c r="R1461" s="5" t="s">
        <v>2277</v>
      </c>
      <c r="S1461" s="5" t="s">
        <v>2285</v>
      </c>
      <c r="T1461" s="5" t="s">
        <v>2288</v>
      </c>
      <c r="U1461" s="8">
        <v>3</v>
      </c>
      <c r="V1461" s="8">
        <v>248</v>
      </c>
      <c r="W1461" s="8">
        <v>47</v>
      </c>
      <c r="X1461" s="9">
        <v>57.91</v>
      </c>
      <c r="Y1461" s="9">
        <f t="shared" si="265"/>
        <v>109.18</v>
      </c>
      <c r="Z1461" s="5" t="s">
        <v>2293</v>
      </c>
      <c r="AA1461" s="5" t="s">
        <v>2298</v>
      </c>
      <c r="AB1461" s="9">
        <f t="shared" si="266"/>
        <v>250</v>
      </c>
      <c r="AC1461" s="9">
        <f t="shared" si="267"/>
        <v>25</v>
      </c>
      <c r="AD1461" s="9">
        <f t="shared" si="268"/>
        <v>225</v>
      </c>
      <c r="AE1461" s="9">
        <f t="shared" si="269"/>
        <v>115.82</v>
      </c>
      <c r="AF1461" s="9">
        <f t="shared" si="275"/>
        <v>109.18</v>
      </c>
      <c r="AG1461" s="8">
        <f t="shared" si="270"/>
        <v>2024</v>
      </c>
      <c r="AH1461" s="8">
        <f t="shared" si="271"/>
        <v>6</v>
      </c>
      <c r="AI1461" s="5" t="str">
        <f t="shared" si="272"/>
        <v>Jun</v>
      </c>
      <c r="AJ1461" s="5" t="str">
        <f t="shared" si="273"/>
        <v>Sunday</v>
      </c>
    </row>
    <row r="1462" spans="1:36" x14ac:dyDescent="0.3">
      <c r="A1462" s="5" t="s">
        <v>1496</v>
      </c>
      <c r="B1462" s="6">
        <v>45653</v>
      </c>
      <c r="C1462" s="7">
        <v>0.5625</v>
      </c>
      <c r="D1462" s="5" t="s">
        <v>1913</v>
      </c>
      <c r="E1462" s="5" t="s">
        <v>2197</v>
      </c>
      <c r="F1462" s="5" t="s">
        <v>2238</v>
      </c>
      <c r="G1462" s="5" t="s">
        <v>2255</v>
      </c>
      <c r="H1462" s="5" t="s">
        <v>2260</v>
      </c>
      <c r="I1462" s="5" t="s">
        <v>2260</v>
      </c>
      <c r="J1462" s="5" t="s">
        <v>2264</v>
      </c>
      <c r="K1462" s="8">
        <v>1</v>
      </c>
      <c r="L1462" s="9">
        <v>180</v>
      </c>
      <c r="M1462" s="10">
        <v>0.05</v>
      </c>
      <c r="N1462" s="9">
        <f t="shared" si="274"/>
        <v>180</v>
      </c>
      <c r="O1462" s="9">
        <f t="shared" si="264"/>
        <v>171</v>
      </c>
      <c r="P1462" s="5" t="s">
        <v>2267</v>
      </c>
      <c r="Q1462" s="5" t="s">
        <v>2270</v>
      </c>
      <c r="R1462" s="5" t="s">
        <v>2276</v>
      </c>
      <c r="S1462" s="5" t="s">
        <v>2283</v>
      </c>
      <c r="T1462" s="5" t="s">
        <v>2288</v>
      </c>
      <c r="U1462" s="8">
        <v>2</v>
      </c>
      <c r="V1462" s="8">
        <v>242</v>
      </c>
      <c r="W1462" s="8">
        <v>28</v>
      </c>
      <c r="X1462" s="9">
        <v>79.7</v>
      </c>
      <c r="Y1462" s="9">
        <f t="shared" si="265"/>
        <v>91.3</v>
      </c>
      <c r="Z1462" s="5" t="s">
        <v>2291</v>
      </c>
      <c r="AA1462" s="5" t="s">
        <v>2297</v>
      </c>
      <c r="AB1462" s="9">
        <f t="shared" si="266"/>
        <v>180</v>
      </c>
      <c r="AC1462" s="9">
        <f t="shared" si="267"/>
        <v>9</v>
      </c>
      <c r="AD1462" s="9">
        <f t="shared" si="268"/>
        <v>171</v>
      </c>
      <c r="AE1462" s="9">
        <f t="shared" si="269"/>
        <v>79.7</v>
      </c>
      <c r="AF1462" s="9">
        <f t="shared" si="275"/>
        <v>91.3</v>
      </c>
      <c r="AG1462" s="8">
        <f t="shared" si="270"/>
        <v>2024</v>
      </c>
      <c r="AH1462" s="8">
        <f t="shared" si="271"/>
        <v>12</v>
      </c>
      <c r="AI1462" s="5" t="str">
        <f t="shared" si="272"/>
        <v>Dec</v>
      </c>
      <c r="AJ1462" s="5" t="str">
        <f t="shared" si="273"/>
        <v>Friday</v>
      </c>
    </row>
    <row r="1463" spans="1:36" x14ac:dyDescent="0.3">
      <c r="A1463" s="5" t="s">
        <v>1497</v>
      </c>
      <c r="B1463" s="6">
        <v>45505</v>
      </c>
      <c r="C1463" s="7">
        <v>0.78472222222222221</v>
      </c>
      <c r="D1463" s="5" t="s">
        <v>1879</v>
      </c>
      <c r="E1463" s="5" t="s">
        <v>2068</v>
      </c>
      <c r="F1463" s="5" t="s">
        <v>2240</v>
      </c>
      <c r="G1463" s="5" t="s">
        <v>2247</v>
      </c>
      <c r="H1463" s="5" t="s">
        <v>2257</v>
      </c>
      <c r="I1463" s="5" t="s">
        <v>2262</v>
      </c>
      <c r="J1463" s="5" t="s">
        <v>2266</v>
      </c>
      <c r="K1463" s="8">
        <v>4</v>
      </c>
      <c r="L1463" s="9">
        <v>110</v>
      </c>
      <c r="M1463" s="10">
        <v>0.05</v>
      </c>
      <c r="N1463" s="9">
        <f t="shared" si="274"/>
        <v>440</v>
      </c>
      <c r="O1463" s="9">
        <f t="shared" si="264"/>
        <v>418</v>
      </c>
      <c r="P1463" s="5" t="s">
        <v>2268</v>
      </c>
      <c r="Q1463" s="5" t="s">
        <v>2270</v>
      </c>
      <c r="R1463" s="5" t="s">
        <v>2277</v>
      </c>
      <c r="S1463" s="5" t="s">
        <v>2286</v>
      </c>
      <c r="T1463" s="5" t="s">
        <v>2289</v>
      </c>
      <c r="U1463" s="8">
        <v>5</v>
      </c>
      <c r="V1463" s="8">
        <v>416</v>
      </c>
      <c r="W1463" s="8">
        <v>58</v>
      </c>
      <c r="X1463" s="9">
        <v>36.69</v>
      </c>
      <c r="Y1463" s="9">
        <f t="shared" si="265"/>
        <v>271.24</v>
      </c>
      <c r="Z1463" s="5" t="s">
        <v>2293</v>
      </c>
      <c r="AA1463" s="5" t="s">
        <v>2297</v>
      </c>
      <c r="AB1463" s="9">
        <f t="shared" si="266"/>
        <v>440</v>
      </c>
      <c r="AC1463" s="9">
        <f t="shared" si="267"/>
        <v>22</v>
      </c>
      <c r="AD1463" s="9">
        <f t="shared" si="268"/>
        <v>418</v>
      </c>
      <c r="AE1463" s="9">
        <f t="shared" si="269"/>
        <v>146.76</v>
      </c>
      <c r="AF1463" s="9">
        <f t="shared" si="275"/>
        <v>271.24</v>
      </c>
      <c r="AG1463" s="8">
        <f t="shared" si="270"/>
        <v>2024</v>
      </c>
      <c r="AH1463" s="8">
        <f t="shared" si="271"/>
        <v>8</v>
      </c>
      <c r="AI1463" s="5" t="str">
        <f t="shared" si="272"/>
        <v>Aug</v>
      </c>
      <c r="AJ1463" s="5" t="str">
        <f t="shared" si="273"/>
        <v>Thursday</v>
      </c>
    </row>
    <row r="1464" spans="1:36" x14ac:dyDescent="0.3">
      <c r="A1464" s="5" t="s">
        <v>1498</v>
      </c>
      <c r="B1464" s="6">
        <v>45507</v>
      </c>
      <c r="C1464" s="7">
        <v>0.57291666666666663</v>
      </c>
      <c r="D1464" s="5" t="s">
        <v>1898</v>
      </c>
      <c r="E1464" s="5" t="s">
        <v>2116</v>
      </c>
      <c r="F1464" s="5" t="s">
        <v>2239</v>
      </c>
      <c r="G1464" s="5" t="s">
        <v>2247</v>
      </c>
      <c r="H1464" s="5" t="s">
        <v>2257</v>
      </c>
      <c r="I1464" s="5" t="s">
        <v>2262</v>
      </c>
      <c r="J1464" s="5" t="s">
        <v>1761</v>
      </c>
      <c r="K1464" s="8">
        <v>1</v>
      </c>
      <c r="L1464" s="9">
        <v>110</v>
      </c>
      <c r="M1464" s="10">
        <v>0.1</v>
      </c>
      <c r="N1464" s="9">
        <f t="shared" si="274"/>
        <v>110</v>
      </c>
      <c r="O1464" s="9">
        <f t="shared" si="264"/>
        <v>99</v>
      </c>
      <c r="P1464" s="5" t="s">
        <v>2269</v>
      </c>
      <c r="Q1464" s="5" t="s">
        <v>2272</v>
      </c>
      <c r="R1464" s="5" t="s">
        <v>2279</v>
      </c>
      <c r="S1464" s="5" t="s">
        <v>2284</v>
      </c>
      <c r="T1464" s="5" t="s">
        <v>2288</v>
      </c>
      <c r="U1464" s="8">
        <v>3</v>
      </c>
      <c r="V1464" s="8">
        <v>453</v>
      </c>
      <c r="W1464" s="8">
        <v>15</v>
      </c>
      <c r="X1464" s="9">
        <v>41.91</v>
      </c>
      <c r="Y1464" s="9">
        <f t="shared" si="265"/>
        <v>57.09</v>
      </c>
      <c r="Z1464" s="5" t="s">
        <v>2292</v>
      </c>
      <c r="AA1464" s="5" t="s">
        <v>2298</v>
      </c>
      <c r="AB1464" s="9">
        <f t="shared" si="266"/>
        <v>110</v>
      </c>
      <c r="AC1464" s="9">
        <f t="shared" si="267"/>
        <v>11</v>
      </c>
      <c r="AD1464" s="9">
        <f t="shared" si="268"/>
        <v>99</v>
      </c>
      <c r="AE1464" s="9">
        <f t="shared" si="269"/>
        <v>41.91</v>
      </c>
      <c r="AF1464" s="9">
        <f t="shared" si="275"/>
        <v>57.09</v>
      </c>
      <c r="AG1464" s="8">
        <f t="shared" si="270"/>
        <v>2024</v>
      </c>
      <c r="AH1464" s="8">
        <f t="shared" si="271"/>
        <v>8</v>
      </c>
      <c r="AI1464" s="5" t="str">
        <f t="shared" si="272"/>
        <v>Aug</v>
      </c>
      <c r="AJ1464" s="5" t="str">
        <f t="shared" si="273"/>
        <v>Saturday</v>
      </c>
    </row>
    <row r="1465" spans="1:36" x14ac:dyDescent="0.3">
      <c r="A1465" s="5" t="s">
        <v>1499</v>
      </c>
      <c r="B1465" s="6">
        <v>45393</v>
      </c>
      <c r="C1465" s="7">
        <v>0.68055555555555558</v>
      </c>
      <c r="D1465" s="5" t="s">
        <v>1819</v>
      </c>
      <c r="E1465" s="5" t="s">
        <v>2182</v>
      </c>
      <c r="F1465" s="5" t="s">
        <v>2240</v>
      </c>
      <c r="G1465" s="5" t="s">
        <v>2253</v>
      </c>
      <c r="H1465" s="5" t="s">
        <v>2258</v>
      </c>
      <c r="I1465" s="5" t="s">
        <v>2260</v>
      </c>
      <c r="J1465" s="5" t="s">
        <v>2264</v>
      </c>
      <c r="K1465" s="8">
        <v>3</v>
      </c>
      <c r="L1465" s="9">
        <v>90</v>
      </c>
      <c r="M1465" s="10">
        <v>0.05</v>
      </c>
      <c r="N1465" s="9">
        <f t="shared" si="274"/>
        <v>270</v>
      </c>
      <c r="O1465" s="9">
        <f t="shared" si="264"/>
        <v>256.5</v>
      </c>
      <c r="P1465" s="5" t="s">
        <v>2267</v>
      </c>
      <c r="Q1465" s="5" t="s">
        <v>2272</v>
      </c>
      <c r="R1465" s="5" t="s">
        <v>2276</v>
      </c>
      <c r="S1465" s="5" t="s">
        <v>2285</v>
      </c>
      <c r="T1465" s="5" t="s">
        <v>2288</v>
      </c>
      <c r="U1465" s="19">
        <v>3</v>
      </c>
      <c r="V1465" s="8">
        <v>136</v>
      </c>
      <c r="W1465" s="19">
        <v>35</v>
      </c>
      <c r="X1465" s="9">
        <v>37.840000000000003</v>
      </c>
      <c r="Y1465" s="9">
        <f t="shared" si="265"/>
        <v>142.97999999999999</v>
      </c>
      <c r="Z1465" s="5" t="s">
        <v>2291</v>
      </c>
      <c r="AA1465" s="5" t="s">
        <v>2297</v>
      </c>
      <c r="AB1465" s="9">
        <f t="shared" si="266"/>
        <v>270</v>
      </c>
      <c r="AC1465" s="9">
        <f t="shared" si="267"/>
        <v>13.5</v>
      </c>
      <c r="AD1465" s="9">
        <f t="shared" si="268"/>
        <v>256.5</v>
      </c>
      <c r="AE1465" s="9">
        <f t="shared" si="269"/>
        <v>113.52000000000001</v>
      </c>
      <c r="AF1465" s="9">
        <f t="shared" si="275"/>
        <v>142.97999999999999</v>
      </c>
      <c r="AG1465" s="8">
        <f t="shared" si="270"/>
        <v>2024</v>
      </c>
      <c r="AH1465" s="8">
        <f t="shared" si="271"/>
        <v>4</v>
      </c>
      <c r="AI1465" s="5" t="str">
        <f t="shared" si="272"/>
        <v>Apr</v>
      </c>
      <c r="AJ1465" s="5" t="str">
        <f t="shared" si="273"/>
        <v>Thursday</v>
      </c>
    </row>
    <row r="1466" spans="1:36" x14ac:dyDescent="0.3">
      <c r="A1466" s="5" t="s">
        <v>1500</v>
      </c>
      <c r="B1466" s="6">
        <v>45593</v>
      </c>
      <c r="C1466" s="7">
        <v>0.74305555555555558</v>
      </c>
      <c r="D1466" s="5" t="s">
        <v>1939</v>
      </c>
      <c r="E1466" s="5" t="s">
        <v>2015</v>
      </c>
      <c r="F1466" s="5" t="s">
        <v>2240</v>
      </c>
      <c r="G1466" s="5" t="s">
        <v>2241</v>
      </c>
      <c r="H1466" s="5" t="s">
        <v>2257</v>
      </c>
      <c r="I1466" s="5" t="s">
        <v>2262</v>
      </c>
      <c r="J1466" s="5" t="s">
        <v>2266</v>
      </c>
      <c r="K1466" s="8">
        <v>1</v>
      </c>
      <c r="L1466" s="9">
        <v>130</v>
      </c>
      <c r="M1466" s="10">
        <v>0.1</v>
      </c>
      <c r="N1466" s="9">
        <f t="shared" si="274"/>
        <v>130</v>
      </c>
      <c r="O1466" s="9">
        <f t="shared" si="264"/>
        <v>117</v>
      </c>
      <c r="P1466" s="5" t="s">
        <v>2267</v>
      </c>
      <c r="Q1466" s="5" t="s">
        <v>2270</v>
      </c>
      <c r="R1466" s="5" t="s">
        <v>2279</v>
      </c>
      <c r="S1466" s="5" t="s">
        <v>2287</v>
      </c>
      <c r="T1466" s="5" t="s">
        <v>2288</v>
      </c>
      <c r="U1466" s="8">
        <v>2</v>
      </c>
      <c r="V1466" s="8">
        <v>462</v>
      </c>
      <c r="W1466" s="8">
        <v>29</v>
      </c>
      <c r="X1466" s="9">
        <v>54</v>
      </c>
      <c r="Y1466" s="9">
        <f t="shared" si="265"/>
        <v>63</v>
      </c>
      <c r="Z1466" s="5" t="s">
        <v>1761</v>
      </c>
      <c r="AA1466" s="5" t="s">
        <v>2298</v>
      </c>
      <c r="AB1466" s="9">
        <f t="shared" si="266"/>
        <v>130</v>
      </c>
      <c r="AC1466" s="9">
        <f t="shared" si="267"/>
        <v>13</v>
      </c>
      <c r="AD1466" s="9">
        <f t="shared" si="268"/>
        <v>117</v>
      </c>
      <c r="AE1466" s="9">
        <f t="shared" si="269"/>
        <v>54</v>
      </c>
      <c r="AF1466" s="9">
        <f t="shared" si="275"/>
        <v>63</v>
      </c>
      <c r="AG1466" s="8">
        <f t="shared" si="270"/>
        <v>2024</v>
      </c>
      <c r="AH1466" s="8">
        <f t="shared" si="271"/>
        <v>10</v>
      </c>
      <c r="AI1466" s="5" t="str">
        <f t="shared" si="272"/>
        <v>Oct</v>
      </c>
      <c r="AJ1466" s="5" t="str">
        <f t="shared" si="273"/>
        <v>Monday</v>
      </c>
    </row>
    <row r="1467" spans="1:36" x14ac:dyDescent="0.3">
      <c r="A1467" s="5" t="s">
        <v>1501</v>
      </c>
      <c r="B1467" s="6">
        <v>45434</v>
      </c>
      <c r="C1467" s="7">
        <v>0.34722222222222221</v>
      </c>
      <c r="D1467" s="5" t="s">
        <v>1867</v>
      </c>
      <c r="E1467" s="5" t="s">
        <v>2232</v>
      </c>
      <c r="F1467" s="5" t="s">
        <v>2238</v>
      </c>
      <c r="G1467" s="5" t="s">
        <v>2256</v>
      </c>
      <c r="H1467" s="5" t="s">
        <v>2261</v>
      </c>
      <c r="I1467" s="5" t="s">
        <v>2260</v>
      </c>
      <c r="J1467" s="5" t="s">
        <v>2265</v>
      </c>
      <c r="K1467" s="8">
        <v>2</v>
      </c>
      <c r="L1467" s="9">
        <v>190</v>
      </c>
      <c r="M1467" s="10">
        <v>0.1</v>
      </c>
      <c r="N1467" s="9">
        <f t="shared" si="274"/>
        <v>380</v>
      </c>
      <c r="O1467" s="9">
        <f t="shared" si="264"/>
        <v>342</v>
      </c>
      <c r="P1467" s="5" t="s">
        <v>2267</v>
      </c>
      <c r="Q1467" s="5" t="s">
        <v>2270</v>
      </c>
      <c r="R1467" s="5" t="s">
        <v>2275</v>
      </c>
      <c r="S1467" s="5" t="s">
        <v>2286</v>
      </c>
      <c r="T1467" s="5" t="s">
        <v>2288</v>
      </c>
      <c r="U1467" s="8">
        <v>1</v>
      </c>
      <c r="V1467" s="19">
        <v>244</v>
      </c>
      <c r="W1467" s="8">
        <v>46</v>
      </c>
      <c r="X1467" s="9">
        <v>89.8</v>
      </c>
      <c r="Y1467" s="9">
        <f t="shared" si="265"/>
        <v>162.4</v>
      </c>
      <c r="Z1467" s="5" t="s">
        <v>2293</v>
      </c>
      <c r="AA1467" s="5" t="s">
        <v>2296</v>
      </c>
      <c r="AB1467" s="9">
        <f t="shared" si="266"/>
        <v>380</v>
      </c>
      <c r="AC1467" s="9">
        <f t="shared" si="267"/>
        <v>38</v>
      </c>
      <c r="AD1467" s="9">
        <f t="shared" si="268"/>
        <v>342</v>
      </c>
      <c r="AE1467" s="9">
        <f t="shared" si="269"/>
        <v>179.6</v>
      </c>
      <c r="AF1467" s="9">
        <f t="shared" si="275"/>
        <v>162.4</v>
      </c>
      <c r="AG1467" s="8">
        <f t="shared" si="270"/>
        <v>2024</v>
      </c>
      <c r="AH1467" s="8">
        <f t="shared" si="271"/>
        <v>5</v>
      </c>
      <c r="AI1467" s="5" t="str">
        <f t="shared" si="272"/>
        <v>May</v>
      </c>
      <c r="AJ1467" s="5" t="str">
        <f t="shared" si="273"/>
        <v>Wednesday</v>
      </c>
    </row>
    <row r="1468" spans="1:36" x14ac:dyDescent="0.3">
      <c r="A1468" s="5" t="s">
        <v>1502</v>
      </c>
      <c r="B1468" s="6">
        <v>45494</v>
      </c>
      <c r="C1468" s="7">
        <v>0.60416666666666663</v>
      </c>
      <c r="D1468" s="5" t="s">
        <v>1931</v>
      </c>
      <c r="E1468" s="5" t="s">
        <v>2138</v>
      </c>
      <c r="F1468" s="5" t="s">
        <v>2239</v>
      </c>
      <c r="G1468" s="5" t="s">
        <v>2242</v>
      </c>
      <c r="H1468" s="5" t="s">
        <v>2258</v>
      </c>
      <c r="I1468" s="5" t="s">
        <v>2260</v>
      </c>
      <c r="J1468" s="5" t="s">
        <v>2265</v>
      </c>
      <c r="K1468" s="8">
        <v>2</v>
      </c>
      <c r="L1468" s="9">
        <v>125</v>
      </c>
      <c r="M1468" s="10">
        <v>0.15</v>
      </c>
      <c r="N1468" s="9">
        <f t="shared" si="274"/>
        <v>250</v>
      </c>
      <c r="O1468" s="9">
        <f t="shared" si="264"/>
        <v>212.5</v>
      </c>
      <c r="P1468" s="5" t="s">
        <v>2267</v>
      </c>
      <c r="Q1468" s="5" t="s">
        <v>2270</v>
      </c>
      <c r="R1468" s="5" t="s">
        <v>2278</v>
      </c>
      <c r="S1468" s="5" t="s">
        <v>2285</v>
      </c>
      <c r="T1468" s="5" t="s">
        <v>2290</v>
      </c>
      <c r="U1468" s="8">
        <v>4</v>
      </c>
      <c r="V1468" s="8">
        <v>375</v>
      </c>
      <c r="W1468" s="8">
        <v>28</v>
      </c>
      <c r="X1468" s="9">
        <v>56.23</v>
      </c>
      <c r="Y1468" s="9">
        <f t="shared" si="265"/>
        <v>100.04</v>
      </c>
      <c r="Z1468" s="5" t="s">
        <v>2291</v>
      </c>
      <c r="AA1468" s="5" t="s">
        <v>2297</v>
      </c>
      <c r="AB1468" s="9">
        <f t="shared" si="266"/>
        <v>250</v>
      </c>
      <c r="AC1468" s="9">
        <f t="shared" si="267"/>
        <v>37.5</v>
      </c>
      <c r="AD1468" s="9">
        <f t="shared" si="268"/>
        <v>212.5</v>
      </c>
      <c r="AE1468" s="9">
        <f t="shared" si="269"/>
        <v>112.46</v>
      </c>
      <c r="AF1468" s="9">
        <f t="shared" si="275"/>
        <v>100.04</v>
      </c>
      <c r="AG1468" s="8">
        <f t="shared" si="270"/>
        <v>2024</v>
      </c>
      <c r="AH1468" s="8">
        <f t="shared" si="271"/>
        <v>7</v>
      </c>
      <c r="AI1468" s="5" t="str">
        <f t="shared" si="272"/>
        <v>Jul</v>
      </c>
      <c r="AJ1468" s="5" t="str">
        <f t="shared" si="273"/>
        <v>Sunday</v>
      </c>
    </row>
    <row r="1469" spans="1:36" x14ac:dyDescent="0.3">
      <c r="A1469" s="5" t="s">
        <v>1503</v>
      </c>
      <c r="B1469" s="6">
        <v>45458</v>
      </c>
      <c r="C1469" s="7">
        <v>0.625</v>
      </c>
      <c r="D1469" s="5" t="s">
        <v>1834</v>
      </c>
      <c r="E1469" s="5" t="s">
        <v>2098</v>
      </c>
      <c r="F1469" s="5" t="s">
        <v>2238</v>
      </c>
      <c r="G1469" s="5" t="s">
        <v>2246</v>
      </c>
      <c r="H1469" s="5" t="s">
        <v>2259</v>
      </c>
      <c r="I1469" s="5" t="s">
        <v>2262</v>
      </c>
      <c r="J1469" s="5" t="s">
        <v>2264</v>
      </c>
      <c r="K1469" s="8">
        <v>1</v>
      </c>
      <c r="L1469" s="9">
        <v>95</v>
      </c>
      <c r="M1469" s="10">
        <v>0</v>
      </c>
      <c r="N1469" s="9">
        <f t="shared" si="274"/>
        <v>95</v>
      </c>
      <c r="O1469" s="9">
        <f t="shared" si="264"/>
        <v>95</v>
      </c>
      <c r="P1469" s="5" t="s">
        <v>2267</v>
      </c>
      <c r="Q1469" s="5" t="s">
        <v>2272</v>
      </c>
      <c r="R1469" s="5" t="s">
        <v>2278</v>
      </c>
      <c r="S1469" s="5" t="s">
        <v>2281</v>
      </c>
      <c r="T1469" s="5" t="s">
        <v>2288</v>
      </c>
      <c r="U1469" s="8">
        <v>4</v>
      </c>
      <c r="V1469" s="8">
        <v>222</v>
      </c>
      <c r="W1469" s="8">
        <v>13</v>
      </c>
      <c r="X1469" s="9">
        <v>33.89</v>
      </c>
      <c r="Y1469" s="9">
        <f t="shared" si="265"/>
        <v>61.11</v>
      </c>
      <c r="Z1469" s="5" t="s">
        <v>2291</v>
      </c>
      <c r="AA1469" s="5" t="s">
        <v>1761</v>
      </c>
      <c r="AB1469" s="9">
        <f t="shared" si="266"/>
        <v>95</v>
      </c>
      <c r="AC1469" s="9">
        <f t="shared" si="267"/>
        <v>0</v>
      </c>
      <c r="AD1469" s="9">
        <f t="shared" si="268"/>
        <v>95</v>
      </c>
      <c r="AE1469" s="9">
        <f t="shared" si="269"/>
        <v>33.89</v>
      </c>
      <c r="AF1469" s="9">
        <f t="shared" si="275"/>
        <v>61.11</v>
      </c>
      <c r="AG1469" s="8">
        <f t="shared" si="270"/>
        <v>2024</v>
      </c>
      <c r="AH1469" s="8">
        <f t="shared" si="271"/>
        <v>6</v>
      </c>
      <c r="AI1469" s="5" t="str">
        <f t="shared" si="272"/>
        <v>Jun</v>
      </c>
      <c r="AJ1469" s="5" t="str">
        <f t="shared" si="273"/>
        <v>Saturday</v>
      </c>
    </row>
    <row r="1470" spans="1:36" x14ac:dyDescent="0.3">
      <c r="A1470" s="5" t="s">
        <v>1504</v>
      </c>
      <c r="B1470" s="6">
        <v>45422</v>
      </c>
      <c r="C1470" s="7">
        <v>0.51388888888888884</v>
      </c>
      <c r="D1470" s="5" t="s">
        <v>1889</v>
      </c>
      <c r="E1470" s="5" t="s">
        <v>1991</v>
      </c>
      <c r="F1470" s="5" t="s">
        <v>2239</v>
      </c>
      <c r="G1470" s="5" t="s">
        <v>2250</v>
      </c>
      <c r="H1470" s="5" t="s">
        <v>2259</v>
      </c>
      <c r="I1470" s="5" t="s">
        <v>2262</v>
      </c>
      <c r="J1470" s="5" t="s">
        <v>2265</v>
      </c>
      <c r="K1470" s="8">
        <v>2</v>
      </c>
      <c r="L1470" s="9">
        <v>75</v>
      </c>
      <c r="M1470" s="10">
        <v>0.1</v>
      </c>
      <c r="N1470" s="9">
        <f t="shared" si="274"/>
        <v>150</v>
      </c>
      <c r="O1470" s="9">
        <f t="shared" si="264"/>
        <v>135</v>
      </c>
      <c r="P1470" s="5" t="s">
        <v>2269</v>
      </c>
      <c r="Q1470" s="5" t="s">
        <v>2272</v>
      </c>
      <c r="R1470" s="5" t="s">
        <v>2278</v>
      </c>
      <c r="S1470" s="5" t="s">
        <v>2286</v>
      </c>
      <c r="T1470" s="5" t="s">
        <v>2288</v>
      </c>
      <c r="U1470" s="8">
        <v>5</v>
      </c>
      <c r="V1470" s="8">
        <v>129</v>
      </c>
      <c r="W1470" s="8">
        <v>17</v>
      </c>
      <c r="X1470" s="9">
        <v>45.3</v>
      </c>
      <c r="Y1470" s="9">
        <f t="shared" si="265"/>
        <v>44.400000000000006</v>
      </c>
      <c r="Z1470" s="5" t="s">
        <v>2293</v>
      </c>
      <c r="AA1470" s="5" t="s">
        <v>2299</v>
      </c>
      <c r="AB1470" s="9">
        <f t="shared" si="266"/>
        <v>150</v>
      </c>
      <c r="AC1470" s="9">
        <f t="shared" si="267"/>
        <v>15</v>
      </c>
      <c r="AD1470" s="9">
        <f t="shared" si="268"/>
        <v>135</v>
      </c>
      <c r="AE1470" s="9">
        <f t="shared" si="269"/>
        <v>90.6</v>
      </c>
      <c r="AF1470" s="9">
        <f t="shared" si="275"/>
        <v>44.400000000000006</v>
      </c>
      <c r="AG1470" s="8">
        <f t="shared" si="270"/>
        <v>2024</v>
      </c>
      <c r="AH1470" s="8">
        <f t="shared" si="271"/>
        <v>5</v>
      </c>
      <c r="AI1470" s="5" t="str">
        <f t="shared" si="272"/>
        <v>May</v>
      </c>
      <c r="AJ1470" s="5" t="str">
        <f t="shared" si="273"/>
        <v>Friday</v>
      </c>
    </row>
    <row r="1471" spans="1:36" x14ac:dyDescent="0.3">
      <c r="A1471" s="5" t="s">
        <v>1505</v>
      </c>
      <c r="B1471" s="6">
        <v>45569</v>
      </c>
      <c r="C1471" s="7">
        <v>0.78472222222222221</v>
      </c>
      <c r="D1471" s="5" t="s">
        <v>1886</v>
      </c>
      <c r="E1471" s="5" t="s">
        <v>1959</v>
      </c>
      <c r="F1471" s="5" t="s">
        <v>2238</v>
      </c>
      <c r="G1471" s="5" t="s">
        <v>2254</v>
      </c>
      <c r="H1471" s="5" t="s">
        <v>2259</v>
      </c>
      <c r="I1471" s="5" t="s">
        <v>2263</v>
      </c>
      <c r="J1471" s="5" t="s">
        <v>2264</v>
      </c>
      <c r="K1471" s="8">
        <v>3</v>
      </c>
      <c r="L1471" s="9">
        <v>120</v>
      </c>
      <c r="M1471" s="10">
        <v>0</v>
      </c>
      <c r="N1471" s="9">
        <f t="shared" si="274"/>
        <v>360</v>
      </c>
      <c r="O1471" s="9">
        <f t="shared" si="264"/>
        <v>360</v>
      </c>
      <c r="P1471" s="5" t="s">
        <v>2269</v>
      </c>
      <c r="Q1471" s="5" t="s">
        <v>2270</v>
      </c>
      <c r="R1471" s="5" t="s">
        <v>2273</v>
      </c>
      <c r="S1471" s="5" t="s">
        <v>2285</v>
      </c>
      <c r="T1471" s="5" t="s">
        <v>2288</v>
      </c>
      <c r="U1471" s="8">
        <v>2</v>
      </c>
      <c r="V1471" s="8">
        <v>250</v>
      </c>
      <c r="W1471" s="19">
        <v>34</v>
      </c>
      <c r="X1471" s="9">
        <v>46.71</v>
      </c>
      <c r="Y1471" s="9">
        <f t="shared" si="265"/>
        <v>219.87</v>
      </c>
      <c r="Z1471" s="5" t="s">
        <v>2291</v>
      </c>
      <c r="AA1471" s="5" t="s">
        <v>2296</v>
      </c>
      <c r="AB1471" s="9">
        <f t="shared" si="266"/>
        <v>360</v>
      </c>
      <c r="AC1471" s="9">
        <f t="shared" si="267"/>
        <v>0</v>
      </c>
      <c r="AD1471" s="9">
        <f t="shared" si="268"/>
        <v>360</v>
      </c>
      <c r="AE1471" s="9">
        <f t="shared" si="269"/>
        <v>140.13</v>
      </c>
      <c r="AF1471" s="9">
        <f t="shared" si="275"/>
        <v>219.87</v>
      </c>
      <c r="AG1471" s="8">
        <f t="shared" si="270"/>
        <v>2024</v>
      </c>
      <c r="AH1471" s="8">
        <f t="shared" si="271"/>
        <v>10</v>
      </c>
      <c r="AI1471" s="5" t="str">
        <f t="shared" si="272"/>
        <v>Oct</v>
      </c>
      <c r="AJ1471" s="5" t="str">
        <f t="shared" si="273"/>
        <v>Friday</v>
      </c>
    </row>
    <row r="1472" spans="1:36" x14ac:dyDescent="0.3">
      <c r="A1472" s="5" t="s">
        <v>1506</v>
      </c>
      <c r="B1472" s="6">
        <v>45542</v>
      </c>
      <c r="C1472" s="7">
        <v>0.40972222222222221</v>
      </c>
      <c r="D1472" s="5" t="s">
        <v>1746</v>
      </c>
      <c r="E1472" s="5" t="s">
        <v>1951</v>
      </c>
      <c r="F1472" s="5" t="s">
        <v>2240</v>
      </c>
      <c r="G1472" s="5" t="s">
        <v>2246</v>
      </c>
      <c r="H1472" s="5" t="s">
        <v>2259</v>
      </c>
      <c r="I1472" s="5" t="s">
        <v>2262</v>
      </c>
      <c r="J1472" s="5" t="s">
        <v>1761</v>
      </c>
      <c r="K1472" s="19">
        <v>2</v>
      </c>
      <c r="L1472" s="9">
        <v>105</v>
      </c>
      <c r="M1472" s="10">
        <v>0.1</v>
      </c>
      <c r="N1472" s="9">
        <f t="shared" si="274"/>
        <v>210</v>
      </c>
      <c r="O1472" s="9">
        <f t="shared" si="264"/>
        <v>189</v>
      </c>
      <c r="P1472" s="5" t="s">
        <v>2267</v>
      </c>
      <c r="Q1472" s="5" t="s">
        <v>2270</v>
      </c>
      <c r="R1472" s="5" t="s">
        <v>2278</v>
      </c>
      <c r="S1472" s="5" t="s">
        <v>2283</v>
      </c>
      <c r="T1472" s="5" t="s">
        <v>2288</v>
      </c>
      <c r="U1472" s="19">
        <v>3</v>
      </c>
      <c r="V1472" s="8">
        <v>197</v>
      </c>
      <c r="W1472" s="19">
        <v>34</v>
      </c>
      <c r="X1472" s="9">
        <v>56.56</v>
      </c>
      <c r="Y1472" s="9">
        <f t="shared" si="265"/>
        <v>75.88</v>
      </c>
      <c r="Z1472" s="5" t="s">
        <v>2294</v>
      </c>
      <c r="AA1472" s="5" t="s">
        <v>2299</v>
      </c>
      <c r="AB1472" s="9">
        <f t="shared" si="266"/>
        <v>210</v>
      </c>
      <c r="AC1472" s="9">
        <f t="shared" si="267"/>
        <v>21</v>
      </c>
      <c r="AD1472" s="9">
        <f t="shared" si="268"/>
        <v>189</v>
      </c>
      <c r="AE1472" s="9">
        <f t="shared" si="269"/>
        <v>113.12</v>
      </c>
      <c r="AF1472" s="9">
        <f t="shared" si="275"/>
        <v>75.88</v>
      </c>
      <c r="AG1472" s="8">
        <f t="shared" si="270"/>
        <v>2024</v>
      </c>
      <c r="AH1472" s="8">
        <f t="shared" si="271"/>
        <v>9</v>
      </c>
      <c r="AI1472" s="5" t="str">
        <f t="shared" si="272"/>
        <v>Sep</v>
      </c>
      <c r="AJ1472" s="5" t="str">
        <f t="shared" si="273"/>
        <v>Saturday</v>
      </c>
    </row>
    <row r="1473" spans="1:36" x14ac:dyDescent="0.3">
      <c r="A1473" s="5" t="s">
        <v>1507</v>
      </c>
      <c r="B1473" s="6">
        <v>45408</v>
      </c>
      <c r="C1473" s="7">
        <v>0.86805555555555558</v>
      </c>
      <c r="D1473" s="5" t="s">
        <v>1758</v>
      </c>
      <c r="E1473" s="5" t="s">
        <v>1976</v>
      </c>
      <c r="F1473" s="5" t="s">
        <v>2238</v>
      </c>
      <c r="G1473" s="5" t="s">
        <v>2252</v>
      </c>
      <c r="H1473" s="5" t="s">
        <v>2257</v>
      </c>
      <c r="I1473" s="5" t="s">
        <v>2262</v>
      </c>
      <c r="J1473" s="5" t="s">
        <v>1761</v>
      </c>
      <c r="K1473" s="8">
        <v>1</v>
      </c>
      <c r="L1473" s="9">
        <v>90</v>
      </c>
      <c r="M1473" s="10">
        <v>0.1</v>
      </c>
      <c r="N1473" s="9">
        <f t="shared" si="274"/>
        <v>90</v>
      </c>
      <c r="O1473" s="9">
        <f t="shared" si="264"/>
        <v>81</v>
      </c>
      <c r="P1473" s="5" t="s">
        <v>2269</v>
      </c>
      <c r="Q1473" s="5" t="s">
        <v>1761</v>
      </c>
      <c r="R1473" s="5" t="s">
        <v>2273</v>
      </c>
      <c r="S1473" s="5" t="s">
        <v>2280</v>
      </c>
      <c r="T1473" s="5" t="s">
        <v>2289</v>
      </c>
      <c r="U1473" s="8">
        <v>2</v>
      </c>
      <c r="V1473" s="8">
        <v>217</v>
      </c>
      <c r="W1473" s="8">
        <v>45</v>
      </c>
      <c r="X1473" s="9">
        <v>41.07</v>
      </c>
      <c r="Y1473" s="9">
        <f t="shared" si="265"/>
        <v>39.93</v>
      </c>
      <c r="Z1473" s="5" t="s">
        <v>2294</v>
      </c>
      <c r="AA1473" s="5" t="s">
        <v>1761</v>
      </c>
      <c r="AB1473" s="9">
        <f t="shared" si="266"/>
        <v>90</v>
      </c>
      <c r="AC1473" s="9">
        <f t="shared" si="267"/>
        <v>9</v>
      </c>
      <c r="AD1473" s="9">
        <f t="shared" si="268"/>
        <v>81</v>
      </c>
      <c r="AE1473" s="9">
        <f t="shared" si="269"/>
        <v>41.07</v>
      </c>
      <c r="AF1473" s="9">
        <f t="shared" si="275"/>
        <v>39.93</v>
      </c>
      <c r="AG1473" s="8">
        <f t="shared" si="270"/>
        <v>2024</v>
      </c>
      <c r="AH1473" s="8">
        <f t="shared" si="271"/>
        <v>4</v>
      </c>
      <c r="AI1473" s="5" t="str">
        <f t="shared" si="272"/>
        <v>Apr</v>
      </c>
      <c r="AJ1473" s="5" t="str">
        <f t="shared" si="273"/>
        <v>Friday</v>
      </c>
    </row>
    <row r="1474" spans="1:36" x14ac:dyDescent="0.3">
      <c r="A1474" s="5" t="s">
        <v>1508</v>
      </c>
      <c r="B1474" s="6">
        <v>45373</v>
      </c>
      <c r="C1474" s="7">
        <v>0.90625</v>
      </c>
      <c r="D1474" s="5" t="s">
        <v>1895</v>
      </c>
      <c r="E1474" s="5" t="s">
        <v>1761</v>
      </c>
      <c r="F1474" s="5" t="s">
        <v>2238</v>
      </c>
      <c r="G1474" s="5" t="s">
        <v>2244</v>
      </c>
      <c r="H1474" s="5" t="s">
        <v>2257</v>
      </c>
      <c r="I1474" s="5" t="s">
        <v>2262</v>
      </c>
      <c r="J1474" s="5" t="s">
        <v>2264</v>
      </c>
      <c r="K1474" s="8">
        <v>1</v>
      </c>
      <c r="L1474" s="9">
        <v>120</v>
      </c>
      <c r="M1474" s="10">
        <v>0.1</v>
      </c>
      <c r="N1474" s="9">
        <f t="shared" si="274"/>
        <v>120</v>
      </c>
      <c r="O1474" s="9">
        <f t="shared" ref="O1474:O1537" si="276">IF(N1474="","",N1474*(1-IF(M1474="",0,M1474)))</f>
        <v>108</v>
      </c>
      <c r="P1474" s="5" t="s">
        <v>2267</v>
      </c>
      <c r="Q1474" s="5" t="s">
        <v>1761</v>
      </c>
      <c r="R1474" s="5" t="s">
        <v>2273</v>
      </c>
      <c r="S1474" s="5" t="s">
        <v>2281</v>
      </c>
      <c r="T1474" s="5" t="s">
        <v>2288</v>
      </c>
      <c r="U1474" s="8">
        <v>4</v>
      </c>
      <c r="V1474" s="8">
        <v>180</v>
      </c>
      <c r="W1474" s="8">
        <v>25</v>
      </c>
      <c r="X1474" s="9">
        <v>59.69</v>
      </c>
      <c r="Y1474" s="9">
        <f t="shared" ref="Y1474:Y1537" si="277">IF(OR(O1474="",K1474="",X1474=""),"",O1474-K1474*X1474)</f>
        <v>48.31</v>
      </c>
      <c r="Z1474" s="5" t="s">
        <v>2293</v>
      </c>
      <c r="AA1474" s="5" t="s">
        <v>2299</v>
      </c>
      <c r="AB1474" s="9">
        <f t="shared" ref="AB1474:AB1537" si="278">N1474</f>
        <v>120</v>
      </c>
      <c r="AC1474" s="9">
        <f t="shared" ref="AC1474:AC1537" si="279">IF(N1474="","",N1474*IF(M1474="",0,M1474))</f>
        <v>12</v>
      </c>
      <c r="AD1474" s="9">
        <f t="shared" ref="AD1474:AD1537" si="280">O1474</f>
        <v>108</v>
      </c>
      <c r="AE1474" s="9">
        <f t="shared" ref="AE1474:AE1537" si="281">IF(OR(K1474="",X1474=""),"",K1474*X1474)</f>
        <v>59.69</v>
      </c>
      <c r="AF1474" s="9">
        <f t="shared" si="275"/>
        <v>48.31</v>
      </c>
      <c r="AG1474" s="8">
        <f t="shared" ref="AG1474:AG1537" si="282">IF(B1474="","",YEAR(B1474))</f>
        <v>2024</v>
      </c>
      <c r="AH1474" s="8">
        <f t="shared" ref="AH1474:AH1537" si="283">IF(B1474="","",MONTH(B1474))</f>
        <v>3</v>
      </c>
      <c r="AI1474" s="5" t="str">
        <f t="shared" ref="AI1474:AI1537" si="284">IF(B1474="","",TEXT(B1474,"mmm"))</f>
        <v>Mar</v>
      </c>
      <c r="AJ1474" s="5" t="str">
        <f t="shared" ref="AJ1474:AJ1537" si="285">IF(B1474="","",TEXT(B1474,"dddd"))</f>
        <v>Friday</v>
      </c>
    </row>
    <row r="1475" spans="1:36" x14ac:dyDescent="0.3">
      <c r="A1475" s="5" t="s">
        <v>1509</v>
      </c>
      <c r="B1475" s="6">
        <v>45585</v>
      </c>
      <c r="C1475" s="7">
        <v>0.46527777777777779</v>
      </c>
      <c r="D1475" s="5" t="s">
        <v>1744</v>
      </c>
      <c r="E1475" s="5" t="s">
        <v>2181</v>
      </c>
      <c r="F1475" s="5" t="s">
        <v>2240</v>
      </c>
      <c r="G1475" s="5" t="s">
        <v>2246</v>
      </c>
      <c r="H1475" s="5" t="s">
        <v>2259</v>
      </c>
      <c r="I1475" s="5" t="s">
        <v>2262</v>
      </c>
      <c r="J1475" s="5" t="s">
        <v>2266</v>
      </c>
      <c r="K1475" s="8">
        <v>1</v>
      </c>
      <c r="L1475" s="9">
        <v>100</v>
      </c>
      <c r="M1475" s="10">
        <v>0</v>
      </c>
      <c r="N1475" s="9">
        <f t="shared" ref="N1475:N1538" si="286">IFERROR(K1475*L1475,"")</f>
        <v>100</v>
      </c>
      <c r="O1475" s="9">
        <f t="shared" si="276"/>
        <v>100</v>
      </c>
      <c r="P1475" s="5" t="s">
        <v>2267</v>
      </c>
      <c r="Q1475" s="5" t="s">
        <v>2272</v>
      </c>
      <c r="R1475" s="5" t="s">
        <v>2278</v>
      </c>
      <c r="S1475" s="5" t="s">
        <v>2281</v>
      </c>
      <c r="T1475" s="5" t="s">
        <v>2288</v>
      </c>
      <c r="U1475" s="19">
        <v>3</v>
      </c>
      <c r="V1475" s="8">
        <v>42</v>
      </c>
      <c r="W1475" s="19">
        <v>35</v>
      </c>
      <c r="X1475" s="9">
        <v>36.9</v>
      </c>
      <c r="Y1475" s="9">
        <f t="shared" si="277"/>
        <v>63.1</v>
      </c>
      <c r="Z1475" s="5" t="s">
        <v>1761</v>
      </c>
      <c r="AA1475" s="5" t="s">
        <v>2298</v>
      </c>
      <c r="AB1475" s="9">
        <f t="shared" si="278"/>
        <v>100</v>
      </c>
      <c r="AC1475" s="9">
        <f t="shared" si="279"/>
        <v>0</v>
      </c>
      <c r="AD1475" s="9">
        <f t="shared" si="280"/>
        <v>100</v>
      </c>
      <c r="AE1475" s="9">
        <f t="shared" si="281"/>
        <v>36.9</v>
      </c>
      <c r="AF1475" s="9">
        <f t="shared" ref="AF1475:AF1538" si="287">Y1475</f>
        <v>63.1</v>
      </c>
      <c r="AG1475" s="8">
        <f t="shared" si="282"/>
        <v>2024</v>
      </c>
      <c r="AH1475" s="8">
        <f t="shared" si="283"/>
        <v>10</v>
      </c>
      <c r="AI1475" s="5" t="str">
        <f t="shared" si="284"/>
        <v>Oct</v>
      </c>
      <c r="AJ1475" s="5" t="str">
        <f t="shared" si="285"/>
        <v>Sunday</v>
      </c>
    </row>
    <row r="1476" spans="1:36" x14ac:dyDescent="0.3">
      <c r="A1476" s="5" t="s">
        <v>1510</v>
      </c>
      <c r="B1476" s="6">
        <v>45560</v>
      </c>
      <c r="C1476" s="7">
        <v>0.59375</v>
      </c>
      <c r="D1476" s="5" t="s">
        <v>1829</v>
      </c>
      <c r="E1476" s="5" t="s">
        <v>2183</v>
      </c>
      <c r="F1476" s="5" t="s">
        <v>2240</v>
      </c>
      <c r="G1476" s="5" t="s">
        <v>2248</v>
      </c>
      <c r="H1476" s="5" t="s">
        <v>2257</v>
      </c>
      <c r="I1476" s="5" t="s">
        <v>2262</v>
      </c>
      <c r="J1476" s="5" t="s">
        <v>2266</v>
      </c>
      <c r="K1476" s="8">
        <v>1</v>
      </c>
      <c r="L1476" s="9">
        <v>145</v>
      </c>
      <c r="M1476" s="10">
        <v>0.15</v>
      </c>
      <c r="N1476" s="9">
        <f t="shared" si="286"/>
        <v>145</v>
      </c>
      <c r="O1476" s="9">
        <f t="shared" si="276"/>
        <v>123.25</v>
      </c>
      <c r="P1476" s="5" t="s">
        <v>2269</v>
      </c>
      <c r="Q1476" s="5" t="s">
        <v>2270</v>
      </c>
      <c r="R1476" s="5" t="s">
        <v>2275</v>
      </c>
      <c r="S1476" s="5" t="s">
        <v>2287</v>
      </c>
      <c r="T1476" s="5" t="s">
        <v>2288</v>
      </c>
      <c r="U1476" s="19">
        <v>3</v>
      </c>
      <c r="V1476" s="8">
        <v>496</v>
      </c>
      <c r="W1476" s="8">
        <v>52</v>
      </c>
      <c r="X1476" s="9">
        <v>57.68</v>
      </c>
      <c r="Y1476" s="9">
        <f t="shared" si="277"/>
        <v>65.569999999999993</v>
      </c>
      <c r="Z1476" s="5" t="s">
        <v>2293</v>
      </c>
      <c r="AA1476" s="5" t="s">
        <v>2298</v>
      </c>
      <c r="AB1476" s="9">
        <f t="shared" si="278"/>
        <v>145</v>
      </c>
      <c r="AC1476" s="9">
        <f t="shared" si="279"/>
        <v>21.75</v>
      </c>
      <c r="AD1476" s="9">
        <f t="shared" si="280"/>
        <v>123.25</v>
      </c>
      <c r="AE1476" s="9">
        <f t="shared" si="281"/>
        <v>57.68</v>
      </c>
      <c r="AF1476" s="9">
        <f t="shared" si="287"/>
        <v>65.569999999999993</v>
      </c>
      <c r="AG1476" s="8">
        <f t="shared" si="282"/>
        <v>2024</v>
      </c>
      <c r="AH1476" s="8">
        <f t="shared" si="283"/>
        <v>9</v>
      </c>
      <c r="AI1476" s="5" t="str">
        <f t="shared" si="284"/>
        <v>Sep</v>
      </c>
      <c r="AJ1476" s="5" t="str">
        <f t="shared" si="285"/>
        <v>Wednesday</v>
      </c>
    </row>
    <row r="1477" spans="1:36" x14ac:dyDescent="0.3">
      <c r="A1477" s="5" t="s">
        <v>1511</v>
      </c>
      <c r="B1477" s="6">
        <v>45560</v>
      </c>
      <c r="C1477" s="7">
        <v>0.35416666666666669</v>
      </c>
      <c r="D1477" s="5" t="s">
        <v>1761</v>
      </c>
      <c r="E1477" s="5" t="s">
        <v>2108</v>
      </c>
      <c r="F1477" s="5" t="s">
        <v>1761</v>
      </c>
      <c r="G1477" s="5" t="s">
        <v>2255</v>
      </c>
      <c r="H1477" s="5" t="s">
        <v>2260</v>
      </c>
      <c r="I1477" s="5" t="s">
        <v>2260</v>
      </c>
      <c r="J1477" s="5" t="s">
        <v>2264</v>
      </c>
      <c r="K1477" s="8">
        <v>1</v>
      </c>
      <c r="L1477" s="9">
        <v>180</v>
      </c>
      <c r="M1477" s="10">
        <v>0.05</v>
      </c>
      <c r="N1477" s="9">
        <f t="shared" si="286"/>
        <v>180</v>
      </c>
      <c r="O1477" s="9">
        <f t="shared" si="276"/>
        <v>171</v>
      </c>
      <c r="P1477" s="5" t="s">
        <v>2268</v>
      </c>
      <c r="Q1477" s="5" t="s">
        <v>2270</v>
      </c>
      <c r="R1477" s="5" t="s">
        <v>2273</v>
      </c>
      <c r="S1477" s="5" t="s">
        <v>2284</v>
      </c>
      <c r="T1477" s="5" t="s">
        <v>2290</v>
      </c>
      <c r="U1477" s="8">
        <v>2</v>
      </c>
      <c r="V1477" s="8">
        <v>7</v>
      </c>
      <c r="W1477" s="19">
        <v>34</v>
      </c>
      <c r="X1477" s="9">
        <v>81.5</v>
      </c>
      <c r="Y1477" s="9">
        <f t="shared" si="277"/>
        <v>89.5</v>
      </c>
      <c r="Z1477" s="5" t="s">
        <v>2291</v>
      </c>
      <c r="AA1477" s="5" t="s">
        <v>2296</v>
      </c>
      <c r="AB1477" s="9">
        <f t="shared" si="278"/>
        <v>180</v>
      </c>
      <c r="AC1477" s="9">
        <f t="shared" si="279"/>
        <v>9</v>
      </c>
      <c r="AD1477" s="9">
        <f t="shared" si="280"/>
        <v>171</v>
      </c>
      <c r="AE1477" s="9">
        <f t="shared" si="281"/>
        <v>81.5</v>
      </c>
      <c r="AF1477" s="9">
        <f t="shared" si="287"/>
        <v>89.5</v>
      </c>
      <c r="AG1477" s="8">
        <f t="shared" si="282"/>
        <v>2024</v>
      </c>
      <c r="AH1477" s="8">
        <f t="shared" si="283"/>
        <v>9</v>
      </c>
      <c r="AI1477" s="5" t="str">
        <f t="shared" si="284"/>
        <v>Sep</v>
      </c>
      <c r="AJ1477" s="5" t="str">
        <f t="shared" si="285"/>
        <v>Wednesday</v>
      </c>
    </row>
    <row r="1478" spans="1:36" x14ac:dyDescent="0.3">
      <c r="A1478" s="5" t="s">
        <v>1512</v>
      </c>
      <c r="B1478" s="6">
        <v>45619</v>
      </c>
      <c r="C1478" s="7">
        <v>0.46875</v>
      </c>
      <c r="D1478" s="5" t="s">
        <v>1779</v>
      </c>
      <c r="E1478" s="5" t="s">
        <v>2060</v>
      </c>
      <c r="F1478" s="5" t="s">
        <v>2240</v>
      </c>
      <c r="G1478" s="5" t="s">
        <v>2243</v>
      </c>
      <c r="H1478" s="5" t="s">
        <v>2258</v>
      </c>
      <c r="I1478" s="5" t="s">
        <v>2260</v>
      </c>
      <c r="J1478" s="5" t="s">
        <v>2264</v>
      </c>
      <c r="K1478" s="8">
        <v>2</v>
      </c>
      <c r="L1478" s="9">
        <v>70</v>
      </c>
      <c r="M1478" s="10">
        <v>0</v>
      </c>
      <c r="N1478" s="9">
        <f t="shared" si="286"/>
        <v>140</v>
      </c>
      <c r="O1478" s="9">
        <f t="shared" si="276"/>
        <v>140</v>
      </c>
      <c r="P1478" s="5" t="s">
        <v>1761</v>
      </c>
      <c r="Q1478" s="5" t="s">
        <v>2271</v>
      </c>
      <c r="R1478" s="5" t="s">
        <v>2276</v>
      </c>
      <c r="S1478" s="5" t="s">
        <v>2285</v>
      </c>
      <c r="T1478" s="5" t="s">
        <v>2288</v>
      </c>
      <c r="U1478" s="8">
        <v>3</v>
      </c>
      <c r="V1478" s="8">
        <v>321</v>
      </c>
      <c r="W1478" s="8">
        <v>36</v>
      </c>
      <c r="X1478" s="9">
        <v>28.83</v>
      </c>
      <c r="Y1478" s="9">
        <f t="shared" si="277"/>
        <v>82.34</v>
      </c>
      <c r="Z1478" s="5" t="s">
        <v>2293</v>
      </c>
      <c r="AA1478" s="5" t="s">
        <v>2299</v>
      </c>
      <c r="AB1478" s="9">
        <f t="shared" si="278"/>
        <v>140</v>
      </c>
      <c r="AC1478" s="9">
        <f t="shared" si="279"/>
        <v>0</v>
      </c>
      <c r="AD1478" s="9">
        <f t="shared" si="280"/>
        <v>140</v>
      </c>
      <c r="AE1478" s="9">
        <f t="shared" si="281"/>
        <v>57.66</v>
      </c>
      <c r="AF1478" s="9">
        <f t="shared" si="287"/>
        <v>82.34</v>
      </c>
      <c r="AG1478" s="8">
        <f t="shared" si="282"/>
        <v>2024</v>
      </c>
      <c r="AH1478" s="8">
        <f t="shared" si="283"/>
        <v>11</v>
      </c>
      <c r="AI1478" s="5" t="str">
        <f t="shared" si="284"/>
        <v>Nov</v>
      </c>
      <c r="AJ1478" s="5" t="str">
        <f t="shared" si="285"/>
        <v>Saturday</v>
      </c>
    </row>
    <row r="1479" spans="1:36" x14ac:dyDescent="0.3">
      <c r="A1479" s="5" t="s">
        <v>1513</v>
      </c>
      <c r="B1479" s="6">
        <v>45446</v>
      </c>
      <c r="C1479" s="7">
        <v>0.45833333333333331</v>
      </c>
      <c r="D1479" s="5" t="s">
        <v>1824</v>
      </c>
      <c r="E1479" s="5" t="s">
        <v>1973</v>
      </c>
      <c r="F1479" s="5" t="s">
        <v>2239</v>
      </c>
      <c r="G1479" s="5" t="s">
        <v>2251</v>
      </c>
      <c r="H1479" s="5" t="s">
        <v>2258</v>
      </c>
      <c r="I1479" s="5" t="s">
        <v>2260</v>
      </c>
      <c r="J1479" s="5" t="s">
        <v>2264</v>
      </c>
      <c r="K1479" s="8">
        <v>1</v>
      </c>
      <c r="L1479" s="9">
        <v>100</v>
      </c>
      <c r="M1479" s="10">
        <v>0</v>
      </c>
      <c r="N1479" s="9">
        <f t="shared" si="286"/>
        <v>100</v>
      </c>
      <c r="O1479" s="9">
        <f t="shared" si="276"/>
        <v>100</v>
      </c>
      <c r="P1479" s="5" t="s">
        <v>2269</v>
      </c>
      <c r="Q1479" s="5" t="s">
        <v>2270</v>
      </c>
      <c r="R1479" s="5" t="s">
        <v>2273</v>
      </c>
      <c r="S1479" s="5" t="s">
        <v>2280</v>
      </c>
      <c r="T1479" s="5" t="s">
        <v>2288</v>
      </c>
      <c r="U1479" s="8">
        <v>3</v>
      </c>
      <c r="V1479" s="8">
        <v>47</v>
      </c>
      <c r="W1479" s="8">
        <v>45</v>
      </c>
      <c r="X1479" s="9">
        <v>57.93</v>
      </c>
      <c r="Y1479" s="9">
        <f t="shared" si="277"/>
        <v>42.07</v>
      </c>
      <c r="Z1479" s="5" t="s">
        <v>1761</v>
      </c>
      <c r="AA1479" s="5" t="s">
        <v>2296</v>
      </c>
      <c r="AB1479" s="9">
        <f t="shared" si="278"/>
        <v>100</v>
      </c>
      <c r="AC1479" s="9">
        <f t="shared" si="279"/>
        <v>0</v>
      </c>
      <c r="AD1479" s="9">
        <f t="shared" si="280"/>
        <v>100</v>
      </c>
      <c r="AE1479" s="9">
        <f t="shared" si="281"/>
        <v>57.93</v>
      </c>
      <c r="AF1479" s="9">
        <f t="shared" si="287"/>
        <v>42.07</v>
      </c>
      <c r="AG1479" s="8">
        <f t="shared" si="282"/>
        <v>2024</v>
      </c>
      <c r="AH1479" s="8">
        <f t="shared" si="283"/>
        <v>6</v>
      </c>
      <c r="AI1479" s="5" t="str">
        <f t="shared" si="284"/>
        <v>Jun</v>
      </c>
      <c r="AJ1479" s="5" t="str">
        <f t="shared" si="285"/>
        <v>Monday</v>
      </c>
    </row>
    <row r="1480" spans="1:36" x14ac:dyDescent="0.3">
      <c r="A1480" s="5" t="s">
        <v>1514</v>
      </c>
      <c r="B1480" s="6">
        <v>45500</v>
      </c>
      <c r="C1480" s="7">
        <v>0.59375</v>
      </c>
      <c r="D1480" s="5" t="s">
        <v>1805</v>
      </c>
      <c r="E1480" s="5" t="s">
        <v>2066</v>
      </c>
      <c r="F1480" s="5" t="s">
        <v>2239</v>
      </c>
      <c r="G1480" s="5" t="s">
        <v>2255</v>
      </c>
      <c r="H1480" s="5" t="s">
        <v>2260</v>
      </c>
      <c r="I1480" s="5" t="s">
        <v>2260</v>
      </c>
      <c r="J1480" s="5" t="s">
        <v>2266</v>
      </c>
      <c r="K1480" s="8">
        <v>1</v>
      </c>
      <c r="L1480" s="9">
        <v>185</v>
      </c>
      <c r="M1480" s="10">
        <v>0</v>
      </c>
      <c r="N1480" s="9">
        <f t="shared" si="286"/>
        <v>185</v>
      </c>
      <c r="O1480" s="9">
        <f t="shared" si="276"/>
        <v>185</v>
      </c>
      <c r="P1480" s="5" t="s">
        <v>2267</v>
      </c>
      <c r="Q1480" s="5" t="s">
        <v>2272</v>
      </c>
      <c r="R1480" s="5" t="s">
        <v>2277</v>
      </c>
      <c r="S1480" s="5" t="s">
        <v>2282</v>
      </c>
      <c r="T1480" s="5" t="s">
        <v>2289</v>
      </c>
      <c r="U1480" s="8">
        <v>4</v>
      </c>
      <c r="V1480" s="8">
        <v>76</v>
      </c>
      <c r="W1480" s="19">
        <v>35</v>
      </c>
      <c r="X1480" s="9">
        <v>107.41</v>
      </c>
      <c r="Y1480" s="9">
        <f t="shared" si="277"/>
        <v>77.59</v>
      </c>
      <c r="Z1480" s="5" t="s">
        <v>2292</v>
      </c>
      <c r="AA1480" s="5" t="s">
        <v>2298</v>
      </c>
      <c r="AB1480" s="9">
        <f t="shared" si="278"/>
        <v>185</v>
      </c>
      <c r="AC1480" s="9">
        <f t="shared" si="279"/>
        <v>0</v>
      </c>
      <c r="AD1480" s="9">
        <f t="shared" si="280"/>
        <v>185</v>
      </c>
      <c r="AE1480" s="9">
        <f t="shared" si="281"/>
        <v>107.41</v>
      </c>
      <c r="AF1480" s="9">
        <f t="shared" si="287"/>
        <v>77.59</v>
      </c>
      <c r="AG1480" s="8">
        <f t="shared" si="282"/>
        <v>2024</v>
      </c>
      <c r="AH1480" s="8">
        <f t="shared" si="283"/>
        <v>7</v>
      </c>
      <c r="AI1480" s="5" t="str">
        <f t="shared" si="284"/>
        <v>Jul</v>
      </c>
      <c r="AJ1480" s="5" t="str">
        <f t="shared" si="285"/>
        <v>Saturday</v>
      </c>
    </row>
    <row r="1481" spans="1:36" x14ac:dyDescent="0.3">
      <c r="A1481" s="5" t="s">
        <v>1515</v>
      </c>
      <c r="B1481" s="6">
        <v>45653</v>
      </c>
      <c r="C1481" s="7">
        <v>0.69791666666666663</v>
      </c>
      <c r="D1481" s="5" t="s">
        <v>1863</v>
      </c>
      <c r="E1481" s="5" t="s">
        <v>2004</v>
      </c>
      <c r="F1481" s="5" t="s">
        <v>2239</v>
      </c>
      <c r="G1481" s="5" t="s">
        <v>2251</v>
      </c>
      <c r="H1481" s="5" t="s">
        <v>2258</v>
      </c>
      <c r="I1481" s="5" t="s">
        <v>2260</v>
      </c>
      <c r="J1481" s="5" t="s">
        <v>2264</v>
      </c>
      <c r="K1481" s="8">
        <v>1</v>
      </c>
      <c r="L1481" s="9">
        <v>105</v>
      </c>
      <c r="M1481" s="10">
        <v>0</v>
      </c>
      <c r="N1481" s="9">
        <f t="shared" si="286"/>
        <v>105</v>
      </c>
      <c r="O1481" s="9">
        <f t="shared" si="276"/>
        <v>105</v>
      </c>
      <c r="P1481" s="5" t="s">
        <v>2268</v>
      </c>
      <c r="Q1481" s="5" t="s">
        <v>2272</v>
      </c>
      <c r="R1481" s="5" t="s">
        <v>2277</v>
      </c>
      <c r="S1481" s="5" t="s">
        <v>2282</v>
      </c>
      <c r="T1481" s="5" t="s">
        <v>2288</v>
      </c>
      <c r="U1481" s="8">
        <v>3</v>
      </c>
      <c r="V1481" s="8">
        <v>263</v>
      </c>
      <c r="W1481" s="8">
        <v>28</v>
      </c>
      <c r="X1481" s="9">
        <v>53.76</v>
      </c>
      <c r="Y1481" s="9">
        <f t="shared" si="277"/>
        <v>51.24</v>
      </c>
      <c r="Z1481" s="5" t="s">
        <v>2291</v>
      </c>
      <c r="AA1481" s="5" t="s">
        <v>2297</v>
      </c>
      <c r="AB1481" s="9">
        <f t="shared" si="278"/>
        <v>105</v>
      </c>
      <c r="AC1481" s="9">
        <f t="shared" si="279"/>
        <v>0</v>
      </c>
      <c r="AD1481" s="9">
        <f t="shared" si="280"/>
        <v>105</v>
      </c>
      <c r="AE1481" s="9">
        <f t="shared" si="281"/>
        <v>53.76</v>
      </c>
      <c r="AF1481" s="9">
        <f t="shared" si="287"/>
        <v>51.24</v>
      </c>
      <c r="AG1481" s="8">
        <f t="shared" si="282"/>
        <v>2024</v>
      </c>
      <c r="AH1481" s="8">
        <f t="shared" si="283"/>
        <v>12</v>
      </c>
      <c r="AI1481" s="5" t="str">
        <f t="shared" si="284"/>
        <v>Dec</v>
      </c>
      <c r="AJ1481" s="5" t="str">
        <f t="shared" si="285"/>
        <v>Friday</v>
      </c>
    </row>
    <row r="1482" spans="1:36" x14ac:dyDescent="0.3">
      <c r="A1482" s="5" t="s">
        <v>1516</v>
      </c>
      <c r="B1482" s="6">
        <v>45588</v>
      </c>
      <c r="C1482" s="7">
        <v>0.67361111111111116</v>
      </c>
      <c r="D1482" s="5" t="s">
        <v>1754</v>
      </c>
      <c r="E1482" s="5" t="s">
        <v>2132</v>
      </c>
      <c r="F1482" s="5" t="s">
        <v>2238</v>
      </c>
      <c r="G1482" s="5" t="s">
        <v>2242</v>
      </c>
      <c r="H1482" s="5" t="s">
        <v>2258</v>
      </c>
      <c r="I1482" s="5" t="s">
        <v>2260</v>
      </c>
      <c r="J1482" s="5" t="s">
        <v>2265</v>
      </c>
      <c r="K1482" s="8">
        <v>1</v>
      </c>
      <c r="L1482" s="9">
        <v>130</v>
      </c>
      <c r="M1482" s="10">
        <v>0.05</v>
      </c>
      <c r="N1482" s="9">
        <f t="shared" si="286"/>
        <v>130</v>
      </c>
      <c r="O1482" s="9">
        <f t="shared" si="276"/>
        <v>123.5</v>
      </c>
      <c r="P1482" s="5" t="s">
        <v>2268</v>
      </c>
      <c r="Q1482" s="5" t="s">
        <v>2272</v>
      </c>
      <c r="R1482" s="5" t="s">
        <v>2273</v>
      </c>
      <c r="S1482" s="5" t="s">
        <v>2282</v>
      </c>
      <c r="T1482" s="5" t="s">
        <v>2288</v>
      </c>
      <c r="U1482" s="8">
        <v>4</v>
      </c>
      <c r="V1482" s="8">
        <v>307</v>
      </c>
      <c r="W1482" s="19">
        <v>35</v>
      </c>
      <c r="X1482" s="9">
        <v>61.96</v>
      </c>
      <c r="Y1482" s="9">
        <f t="shared" si="277"/>
        <v>61.54</v>
      </c>
      <c r="Z1482" s="5" t="s">
        <v>2292</v>
      </c>
      <c r="AA1482" s="5" t="s">
        <v>2296</v>
      </c>
      <c r="AB1482" s="9">
        <f t="shared" si="278"/>
        <v>130</v>
      </c>
      <c r="AC1482" s="9">
        <f t="shared" si="279"/>
        <v>6.5</v>
      </c>
      <c r="AD1482" s="9">
        <f t="shared" si="280"/>
        <v>123.5</v>
      </c>
      <c r="AE1482" s="9">
        <f t="shared" si="281"/>
        <v>61.96</v>
      </c>
      <c r="AF1482" s="9">
        <f t="shared" si="287"/>
        <v>61.54</v>
      </c>
      <c r="AG1482" s="8">
        <f t="shared" si="282"/>
        <v>2024</v>
      </c>
      <c r="AH1482" s="8">
        <f t="shared" si="283"/>
        <v>10</v>
      </c>
      <c r="AI1482" s="5" t="str">
        <f t="shared" si="284"/>
        <v>Oct</v>
      </c>
      <c r="AJ1482" s="5" t="str">
        <f t="shared" si="285"/>
        <v>Wednesday</v>
      </c>
    </row>
    <row r="1483" spans="1:36" x14ac:dyDescent="0.3">
      <c r="A1483" s="5" t="s">
        <v>1517</v>
      </c>
      <c r="B1483" s="6">
        <v>45480</v>
      </c>
      <c r="C1483" s="7">
        <v>0.63194444444444442</v>
      </c>
      <c r="D1483" s="5" t="s">
        <v>1858</v>
      </c>
      <c r="E1483" s="5" t="s">
        <v>2205</v>
      </c>
      <c r="F1483" s="5" t="s">
        <v>2239</v>
      </c>
      <c r="G1483" s="5" t="s">
        <v>2253</v>
      </c>
      <c r="H1483" s="5" t="s">
        <v>2258</v>
      </c>
      <c r="I1483" s="5" t="s">
        <v>2260</v>
      </c>
      <c r="J1483" s="5" t="s">
        <v>2264</v>
      </c>
      <c r="K1483" s="8">
        <v>1</v>
      </c>
      <c r="L1483" s="9">
        <v>90</v>
      </c>
      <c r="M1483" s="10">
        <v>0.1</v>
      </c>
      <c r="N1483" s="9">
        <f t="shared" si="286"/>
        <v>90</v>
      </c>
      <c r="O1483" s="9">
        <f t="shared" si="276"/>
        <v>81</v>
      </c>
      <c r="P1483" s="5" t="s">
        <v>2268</v>
      </c>
      <c r="Q1483" s="5" t="s">
        <v>2270</v>
      </c>
      <c r="R1483" s="5" t="s">
        <v>2274</v>
      </c>
      <c r="S1483" s="5" t="s">
        <v>2282</v>
      </c>
      <c r="T1483" s="5" t="s">
        <v>2289</v>
      </c>
      <c r="U1483" s="8">
        <v>5</v>
      </c>
      <c r="V1483" s="8">
        <v>320</v>
      </c>
      <c r="W1483" s="8">
        <v>44</v>
      </c>
      <c r="X1483" s="9">
        <v>44.75</v>
      </c>
      <c r="Y1483" s="9">
        <f t="shared" si="277"/>
        <v>36.25</v>
      </c>
      <c r="Z1483" s="5" t="s">
        <v>2294</v>
      </c>
      <c r="AA1483" s="5" t="s">
        <v>2299</v>
      </c>
      <c r="AB1483" s="9">
        <f t="shared" si="278"/>
        <v>90</v>
      </c>
      <c r="AC1483" s="9">
        <f t="shared" si="279"/>
        <v>9</v>
      </c>
      <c r="AD1483" s="9">
        <f t="shared" si="280"/>
        <v>81</v>
      </c>
      <c r="AE1483" s="9">
        <f t="shared" si="281"/>
        <v>44.75</v>
      </c>
      <c r="AF1483" s="9">
        <f t="shared" si="287"/>
        <v>36.25</v>
      </c>
      <c r="AG1483" s="8">
        <f t="shared" si="282"/>
        <v>2024</v>
      </c>
      <c r="AH1483" s="8">
        <f t="shared" si="283"/>
        <v>7</v>
      </c>
      <c r="AI1483" s="5" t="str">
        <f t="shared" si="284"/>
        <v>Jul</v>
      </c>
      <c r="AJ1483" s="5" t="str">
        <f t="shared" si="285"/>
        <v>Sunday</v>
      </c>
    </row>
    <row r="1484" spans="1:36" x14ac:dyDescent="0.3">
      <c r="A1484" s="5" t="s">
        <v>1518</v>
      </c>
      <c r="B1484" s="6">
        <v>45579</v>
      </c>
      <c r="C1484" s="7">
        <v>0.70833333333333337</v>
      </c>
      <c r="D1484" s="5" t="s">
        <v>1931</v>
      </c>
      <c r="E1484" s="5" t="s">
        <v>2155</v>
      </c>
      <c r="F1484" s="5" t="s">
        <v>2239</v>
      </c>
      <c r="G1484" s="5" t="s">
        <v>2253</v>
      </c>
      <c r="H1484" s="5" t="s">
        <v>2258</v>
      </c>
      <c r="I1484" s="5" t="s">
        <v>2260</v>
      </c>
      <c r="J1484" s="5" t="s">
        <v>2264</v>
      </c>
      <c r="K1484" s="8">
        <v>1</v>
      </c>
      <c r="L1484" s="9">
        <v>90</v>
      </c>
      <c r="M1484" s="10">
        <v>0.05</v>
      </c>
      <c r="N1484" s="9">
        <f t="shared" si="286"/>
        <v>90</v>
      </c>
      <c r="O1484" s="9">
        <f t="shared" si="276"/>
        <v>85.5</v>
      </c>
      <c r="P1484" s="5" t="s">
        <v>2268</v>
      </c>
      <c r="Q1484" s="5" t="s">
        <v>2271</v>
      </c>
      <c r="R1484" s="5" t="s">
        <v>2277</v>
      </c>
      <c r="S1484" s="5" t="s">
        <v>2287</v>
      </c>
      <c r="T1484" s="5" t="s">
        <v>2289</v>
      </c>
      <c r="U1484" s="8">
        <v>5</v>
      </c>
      <c r="V1484" s="8">
        <v>492</v>
      </c>
      <c r="W1484" s="8">
        <v>27</v>
      </c>
      <c r="X1484" s="9">
        <v>40.659999999999997</v>
      </c>
      <c r="Y1484" s="9">
        <f t="shared" si="277"/>
        <v>44.84</v>
      </c>
      <c r="Z1484" s="5" t="s">
        <v>2294</v>
      </c>
      <c r="AA1484" s="5" t="s">
        <v>2298</v>
      </c>
      <c r="AB1484" s="9">
        <f t="shared" si="278"/>
        <v>90</v>
      </c>
      <c r="AC1484" s="9">
        <f t="shared" si="279"/>
        <v>4.5</v>
      </c>
      <c r="AD1484" s="9">
        <f t="shared" si="280"/>
        <v>85.5</v>
      </c>
      <c r="AE1484" s="9">
        <f t="shared" si="281"/>
        <v>40.659999999999997</v>
      </c>
      <c r="AF1484" s="9">
        <f t="shared" si="287"/>
        <v>44.84</v>
      </c>
      <c r="AG1484" s="8">
        <f t="shared" si="282"/>
        <v>2024</v>
      </c>
      <c r="AH1484" s="8">
        <f t="shared" si="283"/>
        <v>10</v>
      </c>
      <c r="AI1484" s="5" t="str">
        <f t="shared" si="284"/>
        <v>Oct</v>
      </c>
      <c r="AJ1484" s="5" t="str">
        <f t="shared" si="285"/>
        <v>Monday</v>
      </c>
    </row>
    <row r="1485" spans="1:36" x14ac:dyDescent="0.3">
      <c r="A1485" s="5" t="s">
        <v>1519</v>
      </c>
      <c r="B1485" s="6">
        <v>45625</v>
      </c>
      <c r="C1485" s="7">
        <v>0.65972222222222221</v>
      </c>
      <c r="D1485" s="5" t="s">
        <v>1782</v>
      </c>
      <c r="E1485" s="5" t="s">
        <v>2203</v>
      </c>
      <c r="F1485" s="5" t="s">
        <v>2238</v>
      </c>
      <c r="G1485" s="5" t="s">
        <v>2254</v>
      </c>
      <c r="H1485" s="5" t="s">
        <v>2259</v>
      </c>
      <c r="I1485" s="5" t="s">
        <v>2263</v>
      </c>
      <c r="J1485" s="5" t="s">
        <v>1761</v>
      </c>
      <c r="K1485" s="8">
        <v>1</v>
      </c>
      <c r="L1485" s="9">
        <v>110</v>
      </c>
      <c r="M1485" s="10">
        <v>0</v>
      </c>
      <c r="N1485" s="9">
        <f t="shared" si="286"/>
        <v>110</v>
      </c>
      <c r="O1485" s="9">
        <f t="shared" si="276"/>
        <v>110</v>
      </c>
      <c r="P1485" s="5" t="s">
        <v>2267</v>
      </c>
      <c r="Q1485" s="5" t="s">
        <v>2271</v>
      </c>
      <c r="R1485" s="5" t="s">
        <v>2273</v>
      </c>
      <c r="S1485" s="5" t="s">
        <v>2284</v>
      </c>
      <c r="T1485" s="5" t="s">
        <v>2288</v>
      </c>
      <c r="U1485" s="8">
        <v>1</v>
      </c>
      <c r="V1485" s="8">
        <v>207</v>
      </c>
      <c r="W1485" s="8">
        <v>21</v>
      </c>
      <c r="X1485" s="9">
        <v>49.73</v>
      </c>
      <c r="Y1485" s="9">
        <f t="shared" si="277"/>
        <v>60.27</v>
      </c>
      <c r="Z1485" s="5" t="s">
        <v>2293</v>
      </c>
      <c r="AA1485" s="5" t="s">
        <v>2296</v>
      </c>
      <c r="AB1485" s="9">
        <f t="shared" si="278"/>
        <v>110</v>
      </c>
      <c r="AC1485" s="9">
        <f t="shared" si="279"/>
        <v>0</v>
      </c>
      <c r="AD1485" s="9">
        <f t="shared" si="280"/>
        <v>110</v>
      </c>
      <c r="AE1485" s="9">
        <f t="shared" si="281"/>
        <v>49.73</v>
      </c>
      <c r="AF1485" s="9">
        <f t="shared" si="287"/>
        <v>60.27</v>
      </c>
      <c r="AG1485" s="8">
        <f t="shared" si="282"/>
        <v>2024</v>
      </c>
      <c r="AH1485" s="8">
        <f t="shared" si="283"/>
        <v>11</v>
      </c>
      <c r="AI1485" s="5" t="str">
        <f t="shared" si="284"/>
        <v>Nov</v>
      </c>
      <c r="AJ1485" s="5" t="str">
        <f t="shared" si="285"/>
        <v>Friday</v>
      </c>
    </row>
    <row r="1486" spans="1:36" x14ac:dyDescent="0.3">
      <c r="A1486" s="5" t="s">
        <v>1520</v>
      </c>
      <c r="B1486" s="6">
        <v>45338</v>
      </c>
      <c r="C1486" s="7">
        <v>0.3888888888888889</v>
      </c>
      <c r="D1486" s="5" t="s">
        <v>1753</v>
      </c>
      <c r="E1486" s="5" t="s">
        <v>2216</v>
      </c>
      <c r="F1486" s="5" t="s">
        <v>2239</v>
      </c>
      <c r="G1486" s="5" t="s">
        <v>2245</v>
      </c>
      <c r="H1486" s="5" t="s">
        <v>2257</v>
      </c>
      <c r="I1486" s="5" t="s">
        <v>2263</v>
      </c>
      <c r="J1486" s="5" t="s">
        <v>1761</v>
      </c>
      <c r="K1486" s="8">
        <v>2</v>
      </c>
      <c r="L1486" s="9">
        <v>150</v>
      </c>
      <c r="M1486" s="10">
        <v>0.1</v>
      </c>
      <c r="N1486" s="9">
        <f t="shared" si="286"/>
        <v>300</v>
      </c>
      <c r="O1486" s="9">
        <f t="shared" si="276"/>
        <v>270</v>
      </c>
      <c r="P1486" s="5" t="s">
        <v>2267</v>
      </c>
      <c r="Q1486" s="5" t="s">
        <v>2272</v>
      </c>
      <c r="R1486" s="5" t="s">
        <v>2275</v>
      </c>
      <c r="S1486" s="5" t="s">
        <v>2283</v>
      </c>
      <c r="T1486" s="5" t="s">
        <v>2289</v>
      </c>
      <c r="U1486" s="8">
        <v>5</v>
      </c>
      <c r="V1486" s="19">
        <v>244</v>
      </c>
      <c r="W1486" s="19">
        <v>35</v>
      </c>
      <c r="X1486" s="9">
        <v>84.7</v>
      </c>
      <c r="Y1486" s="9">
        <f t="shared" si="277"/>
        <v>100.6</v>
      </c>
      <c r="Z1486" s="5" t="s">
        <v>2291</v>
      </c>
      <c r="AA1486" s="5" t="s">
        <v>2296</v>
      </c>
      <c r="AB1486" s="9">
        <f t="shared" si="278"/>
        <v>300</v>
      </c>
      <c r="AC1486" s="9">
        <f t="shared" si="279"/>
        <v>30</v>
      </c>
      <c r="AD1486" s="9">
        <f t="shared" si="280"/>
        <v>270</v>
      </c>
      <c r="AE1486" s="9">
        <f t="shared" si="281"/>
        <v>169.4</v>
      </c>
      <c r="AF1486" s="9">
        <f t="shared" si="287"/>
        <v>100.6</v>
      </c>
      <c r="AG1486" s="8">
        <f t="shared" si="282"/>
        <v>2024</v>
      </c>
      <c r="AH1486" s="8">
        <f t="shared" si="283"/>
        <v>2</v>
      </c>
      <c r="AI1486" s="5" t="str">
        <f t="shared" si="284"/>
        <v>Feb</v>
      </c>
      <c r="AJ1486" s="5" t="str">
        <f t="shared" si="285"/>
        <v>Friday</v>
      </c>
    </row>
    <row r="1487" spans="1:36" x14ac:dyDescent="0.3">
      <c r="A1487" s="5" t="s">
        <v>1521</v>
      </c>
      <c r="B1487" s="6">
        <v>45509</v>
      </c>
      <c r="C1487" s="7">
        <v>0.70138888888888884</v>
      </c>
      <c r="D1487" s="5" t="s">
        <v>1858</v>
      </c>
      <c r="E1487" s="5" t="s">
        <v>2211</v>
      </c>
      <c r="F1487" s="5" t="s">
        <v>2238</v>
      </c>
      <c r="G1487" s="5" t="s">
        <v>2252</v>
      </c>
      <c r="H1487" s="5" t="s">
        <v>2257</v>
      </c>
      <c r="I1487" s="5" t="s">
        <v>2262</v>
      </c>
      <c r="J1487" s="5" t="s">
        <v>2266</v>
      </c>
      <c r="K1487" s="8">
        <v>1</v>
      </c>
      <c r="L1487" s="9">
        <v>85</v>
      </c>
      <c r="M1487" s="10">
        <v>0</v>
      </c>
      <c r="N1487" s="9">
        <f t="shared" si="286"/>
        <v>85</v>
      </c>
      <c r="O1487" s="9">
        <f t="shared" si="276"/>
        <v>85</v>
      </c>
      <c r="P1487" s="5" t="s">
        <v>2268</v>
      </c>
      <c r="Q1487" s="5" t="s">
        <v>2270</v>
      </c>
      <c r="R1487" s="5" t="s">
        <v>2277</v>
      </c>
      <c r="S1487" s="5" t="s">
        <v>2284</v>
      </c>
      <c r="T1487" s="5" t="s">
        <v>2288</v>
      </c>
      <c r="U1487" s="8">
        <v>5</v>
      </c>
      <c r="V1487" s="8">
        <v>406</v>
      </c>
      <c r="W1487" s="19">
        <v>34</v>
      </c>
      <c r="X1487" s="9">
        <v>32.409999999999997</v>
      </c>
      <c r="Y1487" s="9">
        <f t="shared" si="277"/>
        <v>52.59</v>
      </c>
      <c r="Z1487" s="5" t="s">
        <v>2293</v>
      </c>
      <c r="AA1487" s="5" t="s">
        <v>2299</v>
      </c>
      <c r="AB1487" s="9">
        <f t="shared" si="278"/>
        <v>85</v>
      </c>
      <c r="AC1487" s="9">
        <f t="shared" si="279"/>
        <v>0</v>
      </c>
      <c r="AD1487" s="9">
        <f t="shared" si="280"/>
        <v>85</v>
      </c>
      <c r="AE1487" s="9">
        <f t="shared" si="281"/>
        <v>32.409999999999997</v>
      </c>
      <c r="AF1487" s="9">
        <f t="shared" si="287"/>
        <v>52.59</v>
      </c>
      <c r="AG1487" s="8">
        <f t="shared" si="282"/>
        <v>2024</v>
      </c>
      <c r="AH1487" s="8">
        <f t="shared" si="283"/>
        <v>8</v>
      </c>
      <c r="AI1487" s="5" t="str">
        <f t="shared" si="284"/>
        <v>Aug</v>
      </c>
      <c r="AJ1487" s="5" t="str">
        <f t="shared" si="285"/>
        <v>Monday</v>
      </c>
    </row>
    <row r="1488" spans="1:36" x14ac:dyDescent="0.3">
      <c r="A1488" s="5" t="s">
        <v>1522</v>
      </c>
      <c r="B1488" s="6">
        <v>45570</v>
      </c>
      <c r="C1488" s="7">
        <v>0.71527777777777779</v>
      </c>
      <c r="D1488" s="5" t="s">
        <v>1929</v>
      </c>
      <c r="E1488" s="5" t="s">
        <v>1761</v>
      </c>
      <c r="F1488" s="5" t="s">
        <v>2240</v>
      </c>
      <c r="G1488" s="5" t="s">
        <v>2250</v>
      </c>
      <c r="H1488" s="5" t="s">
        <v>2259</v>
      </c>
      <c r="I1488" s="5" t="s">
        <v>2262</v>
      </c>
      <c r="J1488" s="5" t="s">
        <v>2265</v>
      </c>
      <c r="K1488" s="8">
        <v>1</v>
      </c>
      <c r="L1488" s="9">
        <v>85</v>
      </c>
      <c r="M1488" s="10">
        <v>0</v>
      </c>
      <c r="N1488" s="9">
        <f t="shared" si="286"/>
        <v>85</v>
      </c>
      <c r="O1488" s="9">
        <f t="shared" si="276"/>
        <v>85</v>
      </c>
      <c r="P1488" s="5" t="s">
        <v>2268</v>
      </c>
      <c r="Q1488" s="5" t="s">
        <v>1761</v>
      </c>
      <c r="R1488" s="5" t="s">
        <v>2278</v>
      </c>
      <c r="S1488" s="5" t="s">
        <v>2285</v>
      </c>
      <c r="T1488" s="5" t="s">
        <v>2288</v>
      </c>
      <c r="U1488" s="8">
        <v>5</v>
      </c>
      <c r="V1488" s="8">
        <v>52</v>
      </c>
      <c r="W1488" s="8">
        <v>22</v>
      </c>
      <c r="X1488" s="9">
        <v>40.51</v>
      </c>
      <c r="Y1488" s="9">
        <f t="shared" si="277"/>
        <v>44.49</v>
      </c>
      <c r="Z1488" s="5" t="s">
        <v>2293</v>
      </c>
      <c r="AA1488" s="5" t="s">
        <v>2296</v>
      </c>
      <c r="AB1488" s="9">
        <f t="shared" si="278"/>
        <v>85</v>
      </c>
      <c r="AC1488" s="9">
        <f t="shared" si="279"/>
        <v>0</v>
      </c>
      <c r="AD1488" s="9">
        <f t="shared" si="280"/>
        <v>85</v>
      </c>
      <c r="AE1488" s="9">
        <f t="shared" si="281"/>
        <v>40.51</v>
      </c>
      <c r="AF1488" s="9">
        <f t="shared" si="287"/>
        <v>44.49</v>
      </c>
      <c r="AG1488" s="8">
        <f t="shared" si="282"/>
        <v>2024</v>
      </c>
      <c r="AH1488" s="8">
        <f t="shared" si="283"/>
        <v>10</v>
      </c>
      <c r="AI1488" s="5" t="str">
        <f t="shared" si="284"/>
        <v>Oct</v>
      </c>
      <c r="AJ1488" s="5" t="str">
        <f t="shared" si="285"/>
        <v>Saturday</v>
      </c>
    </row>
    <row r="1489" spans="1:36" x14ac:dyDescent="0.3">
      <c r="A1489" s="5" t="s">
        <v>1523</v>
      </c>
      <c r="B1489" s="6">
        <v>45579</v>
      </c>
      <c r="C1489" s="7">
        <v>0.72916666666666663</v>
      </c>
      <c r="D1489" s="5" t="s">
        <v>1888</v>
      </c>
      <c r="E1489" s="5" t="s">
        <v>2186</v>
      </c>
      <c r="F1489" s="5" t="s">
        <v>2240</v>
      </c>
      <c r="G1489" s="5" t="s">
        <v>2241</v>
      </c>
      <c r="H1489" s="5" t="s">
        <v>2257</v>
      </c>
      <c r="I1489" s="5" t="s">
        <v>2262</v>
      </c>
      <c r="J1489" s="5" t="s">
        <v>2265</v>
      </c>
      <c r="K1489" s="8">
        <v>1</v>
      </c>
      <c r="L1489" s="9">
        <v>130</v>
      </c>
      <c r="M1489" s="10">
        <v>0.1</v>
      </c>
      <c r="N1489" s="9">
        <f t="shared" si="286"/>
        <v>130</v>
      </c>
      <c r="O1489" s="9">
        <f t="shared" si="276"/>
        <v>117</v>
      </c>
      <c r="P1489" s="5" t="s">
        <v>2269</v>
      </c>
      <c r="Q1489" s="5" t="s">
        <v>2270</v>
      </c>
      <c r="R1489" s="5" t="s">
        <v>2274</v>
      </c>
      <c r="S1489" s="5" t="s">
        <v>2287</v>
      </c>
      <c r="T1489" s="5" t="s">
        <v>2290</v>
      </c>
      <c r="U1489" s="8">
        <v>5</v>
      </c>
      <c r="V1489" s="8">
        <v>333</v>
      </c>
      <c r="W1489" s="8">
        <v>50</v>
      </c>
      <c r="X1489" s="9">
        <v>61.32</v>
      </c>
      <c r="Y1489" s="9">
        <f t="shared" si="277"/>
        <v>55.68</v>
      </c>
      <c r="Z1489" s="5" t="s">
        <v>2293</v>
      </c>
      <c r="AA1489" s="5" t="s">
        <v>2296</v>
      </c>
      <c r="AB1489" s="9">
        <f t="shared" si="278"/>
        <v>130</v>
      </c>
      <c r="AC1489" s="9">
        <f t="shared" si="279"/>
        <v>13</v>
      </c>
      <c r="AD1489" s="9">
        <f t="shared" si="280"/>
        <v>117</v>
      </c>
      <c r="AE1489" s="9">
        <f t="shared" si="281"/>
        <v>61.32</v>
      </c>
      <c r="AF1489" s="9">
        <f t="shared" si="287"/>
        <v>55.68</v>
      </c>
      <c r="AG1489" s="8">
        <f t="shared" si="282"/>
        <v>2024</v>
      </c>
      <c r="AH1489" s="8">
        <f t="shared" si="283"/>
        <v>10</v>
      </c>
      <c r="AI1489" s="5" t="str">
        <f t="shared" si="284"/>
        <v>Oct</v>
      </c>
      <c r="AJ1489" s="5" t="str">
        <f t="shared" si="285"/>
        <v>Monday</v>
      </c>
    </row>
    <row r="1490" spans="1:36" x14ac:dyDescent="0.3">
      <c r="A1490" s="5" t="s">
        <v>1524</v>
      </c>
      <c r="B1490" s="6">
        <v>45307</v>
      </c>
      <c r="C1490" s="7">
        <v>0.39583333333333331</v>
      </c>
      <c r="D1490" s="5" t="s">
        <v>1839</v>
      </c>
      <c r="E1490" s="5" t="s">
        <v>2138</v>
      </c>
      <c r="F1490" s="5" t="s">
        <v>2240</v>
      </c>
      <c r="G1490" s="5" t="s">
        <v>2253</v>
      </c>
      <c r="H1490" s="5" t="s">
        <v>2258</v>
      </c>
      <c r="I1490" s="5" t="s">
        <v>2260</v>
      </c>
      <c r="J1490" s="5" t="s">
        <v>2265</v>
      </c>
      <c r="K1490" s="8">
        <v>2</v>
      </c>
      <c r="L1490" s="9">
        <v>90</v>
      </c>
      <c r="M1490" s="10">
        <v>0.05</v>
      </c>
      <c r="N1490" s="9">
        <f t="shared" si="286"/>
        <v>180</v>
      </c>
      <c r="O1490" s="9">
        <f t="shared" si="276"/>
        <v>171</v>
      </c>
      <c r="P1490" s="5" t="s">
        <v>2269</v>
      </c>
      <c r="Q1490" s="5" t="s">
        <v>2272</v>
      </c>
      <c r="R1490" s="5" t="s">
        <v>2279</v>
      </c>
      <c r="S1490" s="5" t="s">
        <v>2280</v>
      </c>
      <c r="T1490" s="5" t="s">
        <v>2288</v>
      </c>
      <c r="U1490" s="8">
        <v>3</v>
      </c>
      <c r="V1490" s="8">
        <v>194</v>
      </c>
      <c r="W1490" s="19">
        <v>35</v>
      </c>
      <c r="X1490" s="9">
        <v>34.799999999999997</v>
      </c>
      <c r="Y1490" s="9">
        <f t="shared" si="277"/>
        <v>101.4</v>
      </c>
      <c r="Z1490" s="5" t="s">
        <v>2293</v>
      </c>
      <c r="AA1490" s="5" t="s">
        <v>1761</v>
      </c>
      <c r="AB1490" s="9">
        <f t="shared" si="278"/>
        <v>180</v>
      </c>
      <c r="AC1490" s="9">
        <f t="shared" si="279"/>
        <v>9</v>
      </c>
      <c r="AD1490" s="9">
        <f t="shared" si="280"/>
        <v>171</v>
      </c>
      <c r="AE1490" s="9">
        <f t="shared" si="281"/>
        <v>69.599999999999994</v>
      </c>
      <c r="AF1490" s="9">
        <f t="shared" si="287"/>
        <v>101.4</v>
      </c>
      <c r="AG1490" s="8">
        <f t="shared" si="282"/>
        <v>2024</v>
      </c>
      <c r="AH1490" s="8">
        <f t="shared" si="283"/>
        <v>1</v>
      </c>
      <c r="AI1490" s="5" t="str">
        <f t="shared" si="284"/>
        <v>Jan</v>
      </c>
      <c r="AJ1490" s="5" t="str">
        <f t="shared" si="285"/>
        <v>Tuesday</v>
      </c>
    </row>
    <row r="1491" spans="1:36" x14ac:dyDescent="0.3">
      <c r="A1491" s="5" t="s">
        <v>1525</v>
      </c>
      <c r="B1491" s="6">
        <v>45390</v>
      </c>
      <c r="C1491" s="7">
        <v>0.34375</v>
      </c>
      <c r="D1491" s="5" t="s">
        <v>1858</v>
      </c>
      <c r="E1491" s="5" t="s">
        <v>2003</v>
      </c>
      <c r="F1491" s="5" t="s">
        <v>2239</v>
      </c>
      <c r="G1491" s="5" t="s">
        <v>2246</v>
      </c>
      <c r="H1491" s="5" t="s">
        <v>2259</v>
      </c>
      <c r="I1491" s="5" t="s">
        <v>2262</v>
      </c>
      <c r="J1491" s="5" t="s">
        <v>2264</v>
      </c>
      <c r="K1491" s="8">
        <v>1</v>
      </c>
      <c r="L1491" s="9">
        <v>105</v>
      </c>
      <c r="M1491" s="10">
        <v>0.05</v>
      </c>
      <c r="N1491" s="9">
        <f t="shared" si="286"/>
        <v>105</v>
      </c>
      <c r="O1491" s="9">
        <f t="shared" si="276"/>
        <v>99.75</v>
      </c>
      <c r="P1491" s="5" t="s">
        <v>2267</v>
      </c>
      <c r="Q1491" s="5" t="s">
        <v>2270</v>
      </c>
      <c r="R1491" s="5" t="s">
        <v>2276</v>
      </c>
      <c r="S1491" s="5" t="s">
        <v>2287</v>
      </c>
      <c r="T1491" s="5" t="s">
        <v>2288</v>
      </c>
      <c r="U1491" s="8">
        <v>5</v>
      </c>
      <c r="V1491" s="8">
        <v>385</v>
      </c>
      <c r="W1491" s="8">
        <v>26</v>
      </c>
      <c r="X1491" s="9">
        <v>41.24</v>
      </c>
      <c r="Y1491" s="9">
        <f t="shared" si="277"/>
        <v>58.51</v>
      </c>
      <c r="Z1491" s="5" t="s">
        <v>2294</v>
      </c>
      <c r="AA1491" s="5" t="s">
        <v>2296</v>
      </c>
      <c r="AB1491" s="9">
        <f t="shared" si="278"/>
        <v>105</v>
      </c>
      <c r="AC1491" s="9">
        <f t="shared" si="279"/>
        <v>5.25</v>
      </c>
      <c r="AD1491" s="9">
        <f t="shared" si="280"/>
        <v>99.75</v>
      </c>
      <c r="AE1491" s="9">
        <f t="shared" si="281"/>
        <v>41.24</v>
      </c>
      <c r="AF1491" s="9">
        <f t="shared" si="287"/>
        <v>58.51</v>
      </c>
      <c r="AG1491" s="8">
        <f t="shared" si="282"/>
        <v>2024</v>
      </c>
      <c r="AH1491" s="8">
        <f t="shared" si="283"/>
        <v>4</v>
      </c>
      <c r="AI1491" s="5" t="str">
        <f t="shared" si="284"/>
        <v>Apr</v>
      </c>
      <c r="AJ1491" s="5" t="str">
        <f t="shared" si="285"/>
        <v>Monday</v>
      </c>
    </row>
    <row r="1492" spans="1:36" x14ac:dyDescent="0.3">
      <c r="A1492" s="5" t="s">
        <v>1526</v>
      </c>
      <c r="B1492" s="6">
        <v>45634</v>
      </c>
      <c r="C1492" s="7">
        <v>0.82638888888888884</v>
      </c>
      <c r="D1492" s="5" t="s">
        <v>1930</v>
      </c>
      <c r="E1492" s="5" t="s">
        <v>2213</v>
      </c>
      <c r="F1492" s="5" t="s">
        <v>2239</v>
      </c>
      <c r="G1492" s="5" t="s">
        <v>2242</v>
      </c>
      <c r="H1492" s="5" t="s">
        <v>2258</v>
      </c>
      <c r="I1492" s="5" t="s">
        <v>2260</v>
      </c>
      <c r="J1492" s="5" t="s">
        <v>2264</v>
      </c>
      <c r="K1492" s="8">
        <v>1</v>
      </c>
      <c r="L1492" s="9">
        <v>120</v>
      </c>
      <c r="M1492" s="10">
        <v>0</v>
      </c>
      <c r="N1492" s="9">
        <f t="shared" si="286"/>
        <v>120</v>
      </c>
      <c r="O1492" s="9">
        <f t="shared" si="276"/>
        <v>120</v>
      </c>
      <c r="P1492" s="5" t="s">
        <v>2267</v>
      </c>
      <c r="Q1492" s="5" t="s">
        <v>2272</v>
      </c>
      <c r="R1492" s="5" t="s">
        <v>2277</v>
      </c>
      <c r="S1492" s="5" t="s">
        <v>2287</v>
      </c>
      <c r="T1492" s="5" t="s">
        <v>2288</v>
      </c>
      <c r="U1492" s="8">
        <v>4</v>
      </c>
      <c r="V1492" s="8">
        <v>307</v>
      </c>
      <c r="W1492" s="8">
        <v>45</v>
      </c>
      <c r="X1492" s="9">
        <v>63.62</v>
      </c>
      <c r="Y1492" s="9">
        <f t="shared" si="277"/>
        <v>56.38</v>
      </c>
      <c r="Z1492" s="5" t="s">
        <v>2292</v>
      </c>
      <c r="AA1492" s="5" t="s">
        <v>2298</v>
      </c>
      <c r="AB1492" s="9">
        <f t="shared" si="278"/>
        <v>120</v>
      </c>
      <c r="AC1492" s="9">
        <f t="shared" si="279"/>
        <v>0</v>
      </c>
      <c r="AD1492" s="9">
        <f t="shared" si="280"/>
        <v>120</v>
      </c>
      <c r="AE1492" s="9">
        <f t="shared" si="281"/>
        <v>63.62</v>
      </c>
      <c r="AF1492" s="9">
        <f t="shared" si="287"/>
        <v>56.38</v>
      </c>
      <c r="AG1492" s="8">
        <f t="shared" si="282"/>
        <v>2024</v>
      </c>
      <c r="AH1492" s="8">
        <f t="shared" si="283"/>
        <v>12</v>
      </c>
      <c r="AI1492" s="5" t="str">
        <f t="shared" si="284"/>
        <v>Dec</v>
      </c>
      <c r="AJ1492" s="5" t="str">
        <f t="shared" si="285"/>
        <v>Sunday</v>
      </c>
    </row>
    <row r="1493" spans="1:36" x14ac:dyDescent="0.3">
      <c r="A1493" s="5" t="s">
        <v>1527</v>
      </c>
      <c r="B1493" s="6">
        <v>45513</v>
      </c>
      <c r="C1493" s="7">
        <v>0.34027777777777779</v>
      </c>
      <c r="D1493" s="5" t="s">
        <v>1820</v>
      </c>
      <c r="E1493" s="5" t="s">
        <v>2042</v>
      </c>
      <c r="F1493" s="5" t="s">
        <v>2238</v>
      </c>
      <c r="G1493" s="5" t="s">
        <v>2256</v>
      </c>
      <c r="H1493" s="5" t="s">
        <v>2261</v>
      </c>
      <c r="I1493" s="5" t="s">
        <v>2260</v>
      </c>
      <c r="J1493" s="5" t="s">
        <v>2265</v>
      </c>
      <c r="K1493" s="19">
        <v>1</v>
      </c>
      <c r="L1493" s="9">
        <v>200</v>
      </c>
      <c r="M1493" s="10">
        <v>0.15</v>
      </c>
      <c r="N1493" s="9">
        <f t="shared" si="286"/>
        <v>200</v>
      </c>
      <c r="O1493" s="9">
        <f t="shared" si="276"/>
        <v>170</v>
      </c>
      <c r="P1493" s="5" t="s">
        <v>2269</v>
      </c>
      <c r="Q1493" s="5" t="s">
        <v>2270</v>
      </c>
      <c r="R1493" s="5" t="s">
        <v>2274</v>
      </c>
      <c r="S1493" s="5" t="s">
        <v>2283</v>
      </c>
      <c r="T1493" s="5" t="s">
        <v>2288</v>
      </c>
      <c r="U1493" s="8">
        <v>3</v>
      </c>
      <c r="V1493" s="8">
        <v>14</v>
      </c>
      <c r="W1493" s="8">
        <v>38</v>
      </c>
      <c r="X1493" s="9">
        <v>71.98</v>
      </c>
      <c r="Y1493" s="9">
        <f t="shared" si="277"/>
        <v>98.02</v>
      </c>
      <c r="Z1493" s="5" t="s">
        <v>1761</v>
      </c>
      <c r="AA1493" s="5" t="s">
        <v>2296</v>
      </c>
      <c r="AB1493" s="9">
        <f t="shared" si="278"/>
        <v>200</v>
      </c>
      <c r="AC1493" s="9">
        <f t="shared" si="279"/>
        <v>30</v>
      </c>
      <c r="AD1493" s="9">
        <f t="shared" si="280"/>
        <v>170</v>
      </c>
      <c r="AE1493" s="9">
        <f t="shared" si="281"/>
        <v>71.98</v>
      </c>
      <c r="AF1493" s="9">
        <f t="shared" si="287"/>
        <v>98.02</v>
      </c>
      <c r="AG1493" s="8">
        <f t="shared" si="282"/>
        <v>2024</v>
      </c>
      <c r="AH1493" s="8">
        <f t="shared" si="283"/>
        <v>8</v>
      </c>
      <c r="AI1493" s="5" t="str">
        <f t="shared" si="284"/>
        <v>Aug</v>
      </c>
      <c r="AJ1493" s="5" t="str">
        <f t="shared" si="285"/>
        <v>Friday</v>
      </c>
    </row>
    <row r="1494" spans="1:36" x14ac:dyDescent="0.3">
      <c r="A1494" s="5" t="s">
        <v>1528</v>
      </c>
      <c r="B1494" s="6">
        <v>45640</v>
      </c>
      <c r="C1494" s="7">
        <v>0.6875</v>
      </c>
      <c r="D1494" s="5" t="s">
        <v>1890</v>
      </c>
      <c r="E1494" s="5" t="s">
        <v>2112</v>
      </c>
      <c r="F1494" s="5" t="s">
        <v>2239</v>
      </c>
      <c r="G1494" s="5" t="s">
        <v>2251</v>
      </c>
      <c r="H1494" s="5" t="s">
        <v>2258</v>
      </c>
      <c r="I1494" s="5" t="s">
        <v>2260</v>
      </c>
      <c r="J1494" s="5" t="s">
        <v>1761</v>
      </c>
      <c r="K1494" s="8">
        <v>2</v>
      </c>
      <c r="L1494" s="9">
        <v>100</v>
      </c>
      <c r="M1494" s="10">
        <v>0</v>
      </c>
      <c r="N1494" s="9">
        <f t="shared" si="286"/>
        <v>200</v>
      </c>
      <c r="O1494" s="9">
        <f t="shared" si="276"/>
        <v>200</v>
      </c>
      <c r="P1494" s="5" t="s">
        <v>2269</v>
      </c>
      <c r="Q1494" s="5" t="s">
        <v>2270</v>
      </c>
      <c r="R1494" s="5" t="s">
        <v>2275</v>
      </c>
      <c r="S1494" s="5" t="s">
        <v>2282</v>
      </c>
      <c r="T1494" s="5" t="s">
        <v>2288</v>
      </c>
      <c r="U1494" s="19">
        <v>3</v>
      </c>
      <c r="V1494" s="8">
        <v>155</v>
      </c>
      <c r="W1494" s="8">
        <v>55</v>
      </c>
      <c r="X1494" s="9">
        <v>37.54</v>
      </c>
      <c r="Y1494" s="9">
        <f t="shared" si="277"/>
        <v>124.92</v>
      </c>
      <c r="Z1494" s="5" t="s">
        <v>1761</v>
      </c>
      <c r="AA1494" s="5" t="s">
        <v>2296</v>
      </c>
      <c r="AB1494" s="9">
        <f t="shared" si="278"/>
        <v>200</v>
      </c>
      <c r="AC1494" s="9">
        <f t="shared" si="279"/>
        <v>0</v>
      </c>
      <c r="AD1494" s="9">
        <f t="shared" si="280"/>
        <v>200</v>
      </c>
      <c r="AE1494" s="9">
        <f t="shared" si="281"/>
        <v>75.08</v>
      </c>
      <c r="AF1494" s="9">
        <f t="shared" si="287"/>
        <v>124.92</v>
      </c>
      <c r="AG1494" s="8">
        <f t="shared" si="282"/>
        <v>2024</v>
      </c>
      <c r="AH1494" s="8">
        <f t="shared" si="283"/>
        <v>12</v>
      </c>
      <c r="AI1494" s="5" t="str">
        <f t="shared" si="284"/>
        <v>Dec</v>
      </c>
      <c r="AJ1494" s="5" t="str">
        <f t="shared" si="285"/>
        <v>Saturday</v>
      </c>
    </row>
    <row r="1495" spans="1:36" x14ac:dyDescent="0.3">
      <c r="A1495" s="5" t="s">
        <v>1529</v>
      </c>
      <c r="B1495" s="6">
        <v>45468</v>
      </c>
      <c r="C1495" s="7">
        <v>0.89583333333333337</v>
      </c>
      <c r="D1495" s="5" t="s">
        <v>1796</v>
      </c>
      <c r="E1495" s="5" t="s">
        <v>1761</v>
      </c>
      <c r="F1495" s="5" t="s">
        <v>2239</v>
      </c>
      <c r="G1495" s="5" t="s">
        <v>2247</v>
      </c>
      <c r="H1495" s="5" t="s">
        <v>2257</v>
      </c>
      <c r="I1495" s="5" t="s">
        <v>2262</v>
      </c>
      <c r="J1495" s="5" t="s">
        <v>2264</v>
      </c>
      <c r="K1495" s="8">
        <v>1</v>
      </c>
      <c r="L1495" s="9">
        <v>110</v>
      </c>
      <c r="M1495" s="10">
        <v>0.05</v>
      </c>
      <c r="N1495" s="9">
        <f t="shared" si="286"/>
        <v>110</v>
      </c>
      <c r="O1495" s="9">
        <f t="shared" si="276"/>
        <v>104.5</v>
      </c>
      <c r="P1495" s="5" t="s">
        <v>2267</v>
      </c>
      <c r="Q1495" s="5" t="s">
        <v>2270</v>
      </c>
      <c r="R1495" s="5" t="s">
        <v>2277</v>
      </c>
      <c r="S1495" s="5" t="s">
        <v>2281</v>
      </c>
      <c r="T1495" s="5" t="s">
        <v>2288</v>
      </c>
      <c r="U1495" s="8">
        <v>3</v>
      </c>
      <c r="V1495" s="8">
        <v>151</v>
      </c>
      <c r="W1495" s="8">
        <v>59</v>
      </c>
      <c r="X1495" s="9">
        <v>48.26</v>
      </c>
      <c r="Y1495" s="9">
        <f t="shared" si="277"/>
        <v>56.24</v>
      </c>
      <c r="Z1495" s="5" t="s">
        <v>1761</v>
      </c>
      <c r="AA1495" s="5" t="s">
        <v>2296</v>
      </c>
      <c r="AB1495" s="9">
        <f t="shared" si="278"/>
        <v>110</v>
      </c>
      <c r="AC1495" s="9">
        <f t="shared" si="279"/>
        <v>5.5</v>
      </c>
      <c r="AD1495" s="9">
        <f t="shared" si="280"/>
        <v>104.5</v>
      </c>
      <c r="AE1495" s="9">
        <f t="shared" si="281"/>
        <v>48.26</v>
      </c>
      <c r="AF1495" s="9">
        <f t="shared" si="287"/>
        <v>56.24</v>
      </c>
      <c r="AG1495" s="8">
        <f t="shared" si="282"/>
        <v>2024</v>
      </c>
      <c r="AH1495" s="8">
        <f t="shared" si="283"/>
        <v>6</v>
      </c>
      <c r="AI1495" s="5" t="str">
        <f t="shared" si="284"/>
        <v>Jun</v>
      </c>
      <c r="AJ1495" s="5" t="str">
        <f t="shared" si="285"/>
        <v>Tuesday</v>
      </c>
    </row>
    <row r="1496" spans="1:36" x14ac:dyDescent="0.3">
      <c r="A1496" s="5" t="s">
        <v>1530</v>
      </c>
      <c r="B1496" s="6">
        <v>45431</v>
      </c>
      <c r="C1496" s="7">
        <v>0.47222222222222221</v>
      </c>
      <c r="D1496" s="5" t="s">
        <v>1915</v>
      </c>
      <c r="E1496" s="5" t="s">
        <v>2169</v>
      </c>
      <c r="F1496" s="5" t="s">
        <v>2239</v>
      </c>
      <c r="G1496" s="5" t="s">
        <v>2256</v>
      </c>
      <c r="H1496" s="5" t="s">
        <v>2261</v>
      </c>
      <c r="I1496" s="5" t="s">
        <v>2260</v>
      </c>
      <c r="J1496" s="5" t="s">
        <v>1761</v>
      </c>
      <c r="K1496" s="8">
        <v>1</v>
      </c>
      <c r="L1496" s="9">
        <v>195</v>
      </c>
      <c r="M1496" s="10">
        <v>0.1</v>
      </c>
      <c r="N1496" s="9">
        <f t="shared" si="286"/>
        <v>195</v>
      </c>
      <c r="O1496" s="9">
        <f t="shared" si="276"/>
        <v>175.5</v>
      </c>
      <c r="P1496" s="5" t="s">
        <v>2268</v>
      </c>
      <c r="Q1496" s="5" t="s">
        <v>2270</v>
      </c>
      <c r="R1496" s="5" t="s">
        <v>2274</v>
      </c>
      <c r="S1496" s="5" t="s">
        <v>2287</v>
      </c>
      <c r="T1496" s="5" t="s">
        <v>2290</v>
      </c>
      <c r="U1496" s="8">
        <v>2</v>
      </c>
      <c r="V1496" s="8">
        <v>465</v>
      </c>
      <c r="W1496" s="8">
        <v>25</v>
      </c>
      <c r="X1496" s="9">
        <v>98.04</v>
      </c>
      <c r="Y1496" s="9">
        <f t="shared" si="277"/>
        <v>77.459999999999994</v>
      </c>
      <c r="Z1496" s="5" t="s">
        <v>2293</v>
      </c>
      <c r="AA1496" s="5" t="s">
        <v>2296</v>
      </c>
      <c r="AB1496" s="9">
        <f t="shared" si="278"/>
        <v>195</v>
      </c>
      <c r="AC1496" s="9">
        <f t="shared" si="279"/>
        <v>19.5</v>
      </c>
      <c r="AD1496" s="9">
        <f t="shared" si="280"/>
        <v>175.5</v>
      </c>
      <c r="AE1496" s="9">
        <f t="shared" si="281"/>
        <v>98.04</v>
      </c>
      <c r="AF1496" s="9">
        <f t="shared" si="287"/>
        <v>77.459999999999994</v>
      </c>
      <c r="AG1496" s="8">
        <f t="shared" si="282"/>
        <v>2024</v>
      </c>
      <c r="AH1496" s="8">
        <f t="shared" si="283"/>
        <v>5</v>
      </c>
      <c r="AI1496" s="5" t="str">
        <f t="shared" si="284"/>
        <v>May</v>
      </c>
      <c r="AJ1496" s="5" t="str">
        <f t="shared" si="285"/>
        <v>Sunday</v>
      </c>
    </row>
    <row r="1497" spans="1:36" x14ac:dyDescent="0.3">
      <c r="A1497" s="5" t="s">
        <v>1531</v>
      </c>
      <c r="B1497" s="6">
        <v>45325</v>
      </c>
      <c r="C1497" s="7">
        <v>0.90625</v>
      </c>
      <c r="D1497" s="5" t="s">
        <v>1839</v>
      </c>
      <c r="E1497" s="5" t="s">
        <v>2225</v>
      </c>
      <c r="F1497" s="5" t="s">
        <v>1761</v>
      </c>
      <c r="G1497" s="5" t="s">
        <v>2243</v>
      </c>
      <c r="H1497" s="5" t="s">
        <v>2258</v>
      </c>
      <c r="I1497" s="5" t="s">
        <v>2260</v>
      </c>
      <c r="J1497" s="5" t="s">
        <v>1761</v>
      </c>
      <c r="K1497" s="8">
        <v>1</v>
      </c>
      <c r="L1497" s="9">
        <v>70</v>
      </c>
      <c r="M1497" s="10">
        <v>0.1</v>
      </c>
      <c r="N1497" s="9">
        <f t="shared" si="286"/>
        <v>70</v>
      </c>
      <c r="O1497" s="9">
        <f t="shared" si="276"/>
        <v>63</v>
      </c>
      <c r="P1497" s="5" t="s">
        <v>2269</v>
      </c>
      <c r="Q1497" s="5" t="s">
        <v>2272</v>
      </c>
      <c r="R1497" s="5" t="s">
        <v>2277</v>
      </c>
      <c r="S1497" s="5" t="s">
        <v>2280</v>
      </c>
      <c r="T1497" s="5" t="s">
        <v>2288</v>
      </c>
      <c r="U1497" s="8">
        <v>1</v>
      </c>
      <c r="V1497" s="19">
        <v>244</v>
      </c>
      <c r="W1497" s="8">
        <v>32</v>
      </c>
      <c r="X1497" s="9">
        <v>26.68</v>
      </c>
      <c r="Y1497" s="9">
        <f t="shared" si="277"/>
        <v>36.32</v>
      </c>
      <c r="Z1497" s="5" t="s">
        <v>1761</v>
      </c>
      <c r="AA1497" s="5" t="s">
        <v>2299</v>
      </c>
      <c r="AB1497" s="9">
        <f t="shared" si="278"/>
        <v>70</v>
      </c>
      <c r="AC1497" s="9">
        <f t="shared" si="279"/>
        <v>7</v>
      </c>
      <c r="AD1497" s="9">
        <f t="shared" si="280"/>
        <v>63</v>
      </c>
      <c r="AE1497" s="9">
        <f t="shared" si="281"/>
        <v>26.68</v>
      </c>
      <c r="AF1497" s="9">
        <f t="shared" si="287"/>
        <v>36.32</v>
      </c>
      <c r="AG1497" s="8">
        <f t="shared" si="282"/>
        <v>2024</v>
      </c>
      <c r="AH1497" s="8">
        <f t="shared" si="283"/>
        <v>2</v>
      </c>
      <c r="AI1497" s="5" t="str">
        <f t="shared" si="284"/>
        <v>Feb</v>
      </c>
      <c r="AJ1497" s="5" t="str">
        <f t="shared" si="285"/>
        <v>Saturday</v>
      </c>
    </row>
    <row r="1498" spans="1:36" x14ac:dyDescent="0.3">
      <c r="A1498" s="5" t="s">
        <v>1532</v>
      </c>
      <c r="B1498" s="6">
        <v>45391</v>
      </c>
      <c r="C1498" s="7">
        <v>0.625</v>
      </c>
      <c r="D1498" s="5" t="s">
        <v>1907</v>
      </c>
      <c r="E1498" s="5" t="s">
        <v>2185</v>
      </c>
      <c r="F1498" s="5" t="s">
        <v>2240</v>
      </c>
      <c r="G1498" s="5" t="s">
        <v>2256</v>
      </c>
      <c r="H1498" s="5" t="s">
        <v>2261</v>
      </c>
      <c r="I1498" s="5" t="s">
        <v>2260</v>
      </c>
      <c r="J1498" s="5" t="s">
        <v>2264</v>
      </c>
      <c r="K1498" s="8">
        <v>4</v>
      </c>
      <c r="L1498" s="9">
        <v>190</v>
      </c>
      <c r="M1498" s="10">
        <v>0</v>
      </c>
      <c r="N1498" s="9">
        <f t="shared" si="286"/>
        <v>760</v>
      </c>
      <c r="O1498" s="9">
        <f t="shared" si="276"/>
        <v>760</v>
      </c>
      <c r="P1498" s="5" t="s">
        <v>2269</v>
      </c>
      <c r="Q1498" s="5" t="s">
        <v>1761</v>
      </c>
      <c r="R1498" s="5" t="s">
        <v>2274</v>
      </c>
      <c r="S1498" s="5" t="s">
        <v>2281</v>
      </c>
      <c r="T1498" s="5" t="s">
        <v>2289</v>
      </c>
      <c r="U1498" s="8">
        <v>4</v>
      </c>
      <c r="V1498" s="8">
        <v>228</v>
      </c>
      <c r="W1498" s="8">
        <v>36</v>
      </c>
      <c r="X1498" s="9">
        <v>74.09</v>
      </c>
      <c r="Y1498" s="9">
        <f t="shared" si="277"/>
        <v>463.64</v>
      </c>
      <c r="Z1498" s="5" t="s">
        <v>2293</v>
      </c>
      <c r="AA1498" s="5" t="s">
        <v>2297</v>
      </c>
      <c r="AB1498" s="9">
        <f t="shared" si="278"/>
        <v>760</v>
      </c>
      <c r="AC1498" s="9">
        <f t="shared" si="279"/>
        <v>0</v>
      </c>
      <c r="AD1498" s="9">
        <f t="shared" si="280"/>
        <v>760</v>
      </c>
      <c r="AE1498" s="9">
        <f t="shared" si="281"/>
        <v>296.36</v>
      </c>
      <c r="AF1498" s="9">
        <f t="shared" si="287"/>
        <v>463.64</v>
      </c>
      <c r="AG1498" s="8">
        <f t="shared" si="282"/>
        <v>2024</v>
      </c>
      <c r="AH1498" s="8">
        <f t="shared" si="283"/>
        <v>4</v>
      </c>
      <c r="AI1498" s="5" t="str">
        <f t="shared" si="284"/>
        <v>Apr</v>
      </c>
      <c r="AJ1498" s="5" t="str">
        <f t="shared" si="285"/>
        <v>Tuesday</v>
      </c>
    </row>
    <row r="1499" spans="1:36" x14ac:dyDescent="0.3">
      <c r="A1499" s="5" t="s">
        <v>1533</v>
      </c>
      <c r="B1499" s="6">
        <v>45590</v>
      </c>
      <c r="C1499" s="7">
        <v>0.67361111111111116</v>
      </c>
      <c r="D1499" s="5" t="s">
        <v>1836</v>
      </c>
      <c r="E1499" s="5" t="s">
        <v>1977</v>
      </c>
      <c r="F1499" s="5" t="s">
        <v>2240</v>
      </c>
      <c r="G1499" s="5" t="s">
        <v>2250</v>
      </c>
      <c r="H1499" s="5" t="s">
        <v>2259</v>
      </c>
      <c r="I1499" s="5" t="s">
        <v>2262</v>
      </c>
      <c r="J1499" s="5" t="s">
        <v>2265</v>
      </c>
      <c r="K1499" s="8">
        <v>1</v>
      </c>
      <c r="L1499" s="9">
        <v>80</v>
      </c>
      <c r="M1499" s="10">
        <v>0.05</v>
      </c>
      <c r="N1499" s="9">
        <f t="shared" si="286"/>
        <v>80</v>
      </c>
      <c r="O1499" s="9">
        <f t="shared" si="276"/>
        <v>76</v>
      </c>
      <c r="P1499" s="5" t="s">
        <v>2269</v>
      </c>
      <c r="Q1499" s="5" t="s">
        <v>2271</v>
      </c>
      <c r="R1499" s="5" t="s">
        <v>2277</v>
      </c>
      <c r="S1499" s="5" t="s">
        <v>2287</v>
      </c>
      <c r="T1499" s="5" t="s">
        <v>2288</v>
      </c>
      <c r="U1499" s="8">
        <v>2</v>
      </c>
      <c r="V1499" s="8">
        <v>273</v>
      </c>
      <c r="W1499" s="8">
        <v>56</v>
      </c>
      <c r="X1499" s="9">
        <v>30.56</v>
      </c>
      <c r="Y1499" s="9">
        <f t="shared" si="277"/>
        <v>45.44</v>
      </c>
      <c r="Z1499" s="5" t="s">
        <v>2293</v>
      </c>
      <c r="AA1499" s="5" t="s">
        <v>2297</v>
      </c>
      <c r="AB1499" s="9">
        <f t="shared" si="278"/>
        <v>80</v>
      </c>
      <c r="AC1499" s="9">
        <f t="shared" si="279"/>
        <v>4</v>
      </c>
      <c r="AD1499" s="9">
        <f t="shared" si="280"/>
        <v>76</v>
      </c>
      <c r="AE1499" s="9">
        <f t="shared" si="281"/>
        <v>30.56</v>
      </c>
      <c r="AF1499" s="9">
        <f t="shared" si="287"/>
        <v>45.44</v>
      </c>
      <c r="AG1499" s="8">
        <f t="shared" si="282"/>
        <v>2024</v>
      </c>
      <c r="AH1499" s="8">
        <f t="shared" si="283"/>
        <v>10</v>
      </c>
      <c r="AI1499" s="5" t="str">
        <f t="shared" si="284"/>
        <v>Oct</v>
      </c>
      <c r="AJ1499" s="5" t="str">
        <f t="shared" si="285"/>
        <v>Friday</v>
      </c>
    </row>
    <row r="1500" spans="1:36" x14ac:dyDescent="0.3">
      <c r="A1500" s="5" t="s">
        <v>1534</v>
      </c>
      <c r="B1500" s="6">
        <v>45292</v>
      </c>
      <c r="C1500" s="7">
        <v>0.64583333333333337</v>
      </c>
      <c r="D1500" s="5" t="s">
        <v>1919</v>
      </c>
      <c r="E1500" s="5" t="s">
        <v>2006</v>
      </c>
      <c r="F1500" s="5" t="s">
        <v>2240</v>
      </c>
      <c r="G1500" s="5" t="s">
        <v>2256</v>
      </c>
      <c r="H1500" s="5" t="s">
        <v>2261</v>
      </c>
      <c r="I1500" s="5" t="s">
        <v>2260</v>
      </c>
      <c r="J1500" s="5" t="s">
        <v>2264</v>
      </c>
      <c r="K1500" s="8">
        <v>1</v>
      </c>
      <c r="L1500" s="9">
        <v>200</v>
      </c>
      <c r="M1500" s="10">
        <v>0.15</v>
      </c>
      <c r="N1500" s="9">
        <f t="shared" si="286"/>
        <v>200</v>
      </c>
      <c r="O1500" s="9">
        <f t="shared" si="276"/>
        <v>170</v>
      </c>
      <c r="P1500" s="5" t="s">
        <v>1761</v>
      </c>
      <c r="Q1500" s="5" t="s">
        <v>2271</v>
      </c>
      <c r="R1500" s="5" t="s">
        <v>2277</v>
      </c>
      <c r="S1500" s="5" t="s">
        <v>2282</v>
      </c>
      <c r="T1500" s="5" t="s">
        <v>2290</v>
      </c>
      <c r="U1500" s="8">
        <v>1</v>
      </c>
      <c r="V1500" s="8">
        <v>310</v>
      </c>
      <c r="W1500" s="8">
        <v>54</v>
      </c>
      <c r="X1500" s="9">
        <v>79.989999999999995</v>
      </c>
      <c r="Y1500" s="9">
        <f t="shared" si="277"/>
        <v>90.01</v>
      </c>
      <c r="Z1500" s="5" t="s">
        <v>2294</v>
      </c>
      <c r="AA1500" s="5" t="s">
        <v>2297</v>
      </c>
      <c r="AB1500" s="9">
        <f t="shared" si="278"/>
        <v>200</v>
      </c>
      <c r="AC1500" s="9">
        <f t="shared" si="279"/>
        <v>30</v>
      </c>
      <c r="AD1500" s="9">
        <f t="shared" si="280"/>
        <v>170</v>
      </c>
      <c r="AE1500" s="9">
        <f t="shared" si="281"/>
        <v>79.989999999999995</v>
      </c>
      <c r="AF1500" s="9">
        <f t="shared" si="287"/>
        <v>90.01</v>
      </c>
      <c r="AG1500" s="8">
        <f t="shared" si="282"/>
        <v>2024</v>
      </c>
      <c r="AH1500" s="8">
        <f t="shared" si="283"/>
        <v>1</v>
      </c>
      <c r="AI1500" s="5" t="str">
        <f t="shared" si="284"/>
        <v>Jan</v>
      </c>
      <c r="AJ1500" s="5" t="str">
        <f t="shared" si="285"/>
        <v>Monday</v>
      </c>
    </row>
    <row r="1501" spans="1:36" x14ac:dyDescent="0.3">
      <c r="A1501" s="5" t="s">
        <v>1535</v>
      </c>
      <c r="B1501" s="6">
        <v>45323</v>
      </c>
      <c r="C1501" s="7">
        <v>0.65972222222222221</v>
      </c>
      <c r="D1501" s="5" t="s">
        <v>1823</v>
      </c>
      <c r="E1501" s="5" t="s">
        <v>1971</v>
      </c>
      <c r="F1501" s="5" t="s">
        <v>1761</v>
      </c>
      <c r="G1501" s="5" t="s">
        <v>2256</v>
      </c>
      <c r="H1501" s="5" t="s">
        <v>2261</v>
      </c>
      <c r="I1501" s="5" t="s">
        <v>2260</v>
      </c>
      <c r="J1501" s="5" t="s">
        <v>2266</v>
      </c>
      <c r="K1501" s="8">
        <v>2</v>
      </c>
      <c r="L1501" s="9">
        <v>190</v>
      </c>
      <c r="M1501" s="10">
        <v>0.05</v>
      </c>
      <c r="N1501" s="9">
        <f t="shared" si="286"/>
        <v>380</v>
      </c>
      <c r="O1501" s="9">
        <f t="shared" si="276"/>
        <v>361</v>
      </c>
      <c r="P1501" s="5" t="s">
        <v>2267</v>
      </c>
      <c r="Q1501" s="5" t="s">
        <v>1761</v>
      </c>
      <c r="R1501" s="5" t="s">
        <v>2279</v>
      </c>
      <c r="S1501" s="5" t="s">
        <v>2281</v>
      </c>
      <c r="T1501" s="5" t="s">
        <v>2288</v>
      </c>
      <c r="U1501" s="8">
        <v>2</v>
      </c>
      <c r="V1501" s="8">
        <v>140</v>
      </c>
      <c r="W1501" s="19">
        <v>36</v>
      </c>
      <c r="X1501" s="9">
        <v>87.85</v>
      </c>
      <c r="Y1501" s="9">
        <f t="shared" si="277"/>
        <v>185.3</v>
      </c>
      <c r="Z1501" s="5" t="s">
        <v>2293</v>
      </c>
      <c r="AA1501" s="5" t="s">
        <v>2297</v>
      </c>
      <c r="AB1501" s="9">
        <f t="shared" si="278"/>
        <v>380</v>
      </c>
      <c r="AC1501" s="9">
        <f t="shared" si="279"/>
        <v>19</v>
      </c>
      <c r="AD1501" s="9">
        <f t="shared" si="280"/>
        <v>361</v>
      </c>
      <c r="AE1501" s="9">
        <f t="shared" si="281"/>
        <v>175.7</v>
      </c>
      <c r="AF1501" s="9">
        <f t="shared" si="287"/>
        <v>185.3</v>
      </c>
      <c r="AG1501" s="8">
        <f t="shared" si="282"/>
        <v>2024</v>
      </c>
      <c r="AH1501" s="8">
        <f t="shared" si="283"/>
        <v>2</v>
      </c>
      <c r="AI1501" s="5" t="str">
        <f t="shared" si="284"/>
        <v>Feb</v>
      </c>
      <c r="AJ1501" s="5" t="str">
        <f t="shared" si="285"/>
        <v>Thursday</v>
      </c>
    </row>
    <row r="1502" spans="1:36" x14ac:dyDescent="0.3">
      <c r="A1502" s="5" t="s">
        <v>1536</v>
      </c>
      <c r="B1502" s="6">
        <v>45330</v>
      </c>
      <c r="C1502" s="7">
        <v>0.78125</v>
      </c>
      <c r="D1502" s="5" t="s">
        <v>1868</v>
      </c>
      <c r="E1502" s="5" t="s">
        <v>2062</v>
      </c>
      <c r="F1502" s="5" t="s">
        <v>2240</v>
      </c>
      <c r="G1502" s="5" t="s">
        <v>2241</v>
      </c>
      <c r="H1502" s="5" t="s">
        <v>2257</v>
      </c>
      <c r="I1502" s="5" t="s">
        <v>2262</v>
      </c>
      <c r="J1502" s="5" t="s">
        <v>2264</v>
      </c>
      <c r="K1502" s="8">
        <v>2</v>
      </c>
      <c r="L1502" s="9">
        <v>130</v>
      </c>
      <c r="M1502" s="10">
        <v>0.1</v>
      </c>
      <c r="N1502" s="9">
        <f t="shared" si="286"/>
        <v>260</v>
      </c>
      <c r="O1502" s="9">
        <f t="shared" si="276"/>
        <v>234</v>
      </c>
      <c r="P1502" s="5" t="s">
        <v>2268</v>
      </c>
      <c r="Q1502" s="5" t="s">
        <v>2271</v>
      </c>
      <c r="R1502" s="5" t="s">
        <v>2279</v>
      </c>
      <c r="S1502" s="5" t="s">
        <v>2286</v>
      </c>
      <c r="T1502" s="5" t="s">
        <v>2290</v>
      </c>
      <c r="U1502" s="8">
        <v>5</v>
      </c>
      <c r="V1502" s="8">
        <v>203</v>
      </c>
      <c r="W1502" s="8">
        <v>38</v>
      </c>
      <c r="X1502" s="9">
        <v>68.77</v>
      </c>
      <c r="Y1502" s="9">
        <f t="shared" si="277"/>
        <v>96.460000000000008</v>
      </c>
      <c r="Z1502" s="5" t="s">
        <v>1761</v>
      </c>
      <c r="AA1502" s="5" t="s">
        <v>2299</v>
      </c>
      <c r="AB1502" s="9">
        <f t="shared" si="278"/>
        <v>260</v>
      </c>
      <c r="AC1502" s="9">
        <f t="shared" si="279"/>
        <v>26</v>
      </c>
      <c r="AD1502" s="9">
        <f t="shared" si="280"/>
        <v>234</v>
      </c>
      <c r="AE1502" s="9">
        <f t="shared" si="281"/>
        <v>137.54</v>
      </c>
      <c r="AF1502" s="9">
        <f t="shared" si="287"/>
        <v>96.460000000000008</v>
      </c>
      <c r="AG1502" s="8">
        <f t="shared" si="282"/>
        <v>2024</v>
      </c>
      <c r="AH1502" s="8">
        <f t="shared" si="283"/>
        <v>2</v>
      </c>
      <c r="AI1502" s="5" t="str">
        <f t="shared" si="284"/>
        <v>Feb</v>
      </c>
      <c r="AJ1502" s="5" t="str">
        <f t="shared" si="285"/>
        <v>Thursday</v>
      </c>
    </row>
    <row r="1503" spans="1:36" x14ac:dyDescent="0.3">
      <c r="A1503" s="5" t="s">
        <v>1537</v>
      </c>
      <c r="B1503" s="6">
        <v>45349</v>
      </c>
      <c r="C1503" s="7">
        <v>0.84375</v>
      </c>
      <c r="D1503" s="5" t="s">
        <v>1775</v>
      </c>
      <c r="E1503" s="5" t="s">
        <v>1999</v>
      </c>
      <c r="F1503" s="5" t="s">
        <v>2238</v>
      </c>
      <c r="G1503" s="5" t="s">
        <v>2244</v>
      </c>
      <c r="H1503" s="5" t="s">
        <v>2257</v>
      </c>
      <c r="I1503" s="5" t="s">
        <v>2262</v>
      </c>
      <c r="J1503" s="5" t="s">
        <v>1761</v>
      </c>
      <c r="K1503" s="8">
        <v>2</v>
      </c>
      <c r="L1503" s="9">
        <v>130</v>
      </c>
      <c r="M1503" s="10">
        <v>0</v>
      </c>
      <c r="N1503" s="9">
        <f t="shared" si="286"/>
        <v>260</v>
      </c>
      <c r="O1503" s="9">
        <f t="shared" si="276"/>
        <v>260</v>
      </c>
      <c r="P1503" s="5" t="s">
        <v>2267</v>
      </c>
      <c r="Q1503" s="5" t="s">
        <v>2272</v>
      </c>
      <c r="R1503" s="5" t="s">
        <v>2275</v>
      </c>
      <c r="S1503" s="5" t="s">
        <v>2282</v>
      </c>
      <c r="T1503" s="5" t="s">
        <v>2289</v>
      </c>
      <c r="U1503" s="8">
        <v>2</v>
      </c>
      <c r="V1503" s="8">
        <v>157</v>
      </c>
      <c r="W1503" s="8">
        <v>57</v>
      </c>
      <c r="X1503" s="9">
        <v>54.17</v>
      </c>
      <c r="Y1503" s="9">
        <f t="shared" si="277"/>
        <v>151.66</v>
      </c>
      <c r="Z1503" s="5" t="s">
        <v>2292</v>
      </c>
      <c r="AA1503" s="5" t="s">
        <v>2298</v>
      </c>
      <c r="AB1503" s="9">
        <f t="shared" si="278"/>
        <v>260</v>
      </c>
      <c r="AC1503" s="9">
        <f t="shared" si="279"/>
        <v>0</v>
      </c>
      <c r="AD1503" s="9">
        <f t="shared" si="280"/>
        <v>260</v>
      </c>
      <c r="AE1503" s="9">
        <f t="shared" si="281"/>
        <v>108.34</v>
      </c>
      <c r="AF1503" s="9">
        <f t="shared" si="287"/>
        <v>151.66</v>
      </c>
      <c r="AG1503" s="8">
        <f t="shared" si="282"/>
        <v>2024</v>
      </c>
      <c r="AH1503" s="8">
        <f t="shared" si="283"/>
        <v>2</v>
      </c>
      <c r="AI1503" s="5" t="str">
        <f t="shared" si="284"/>
        <v>Feb</v>
      </c>
      <c r="AJ1503" s="5" t="str">
        <f t="shared" si="285"/>
        <v>Tuesday</v>
      </c>
    </row>
    <row r="1504" spans="1:36" x14ac:dyDescent="0.3">
      <c r="A1504" s="5" t="s">
        <v>1538</v>
      </c>
      <c r="B1504" s="6">
        <v>45385</v>
      </c>
      <c r="C1504" s="7">
        <v>0.64583333333333337</v>
      </c>
      <c r="D1504" s="5" t="s">
        <v>1861</v>
      </c>
      <c r="E1504" s="5" t="s">
        <v>1761</v>
      </c>
      <c r="F1504" s="5" t="s">
        <v>2240</v>
      </c>
      <c r="G1504" s="5" t="s">
        <v>2246</v>
      </c>
      <c r="H1504" s="5" t="s">
        <v>2259</v>
      </c>
      <c r="I1504" s="5" t="s">
        <v>2262</v>
      </c>
      <c r="J1504" s="5" t="s">
        <v>2265</v>
      </c>
      <c r="K1504" s="8">
        <v>1</v>
      </c>
      <c r="L1504" s="9">
        <v>90</v>
      </c>
      <c r="M1504" s="10">
        <v>0</v>
      </c>
      <c r="N1504" s="9">
        <f t="shared" si="286"/>
        <v>90</v>
      </c>
      <c r="O1504" s="9">
        <f t="shared" si="276"/>
        <v>90</v>
      </c>
      <c r="P1504" s="5" t="s">
        <v>1761</v>
      </c>
      <c r="Q1504" s="5" t="s">
        <v>2272</v>
      </c>
      <c r="R1504" s="5" t="s">
        <v>2275</v>
      </c>
      <c r="S1504" s="5" t="s">
        <v>2287</v>
      </c>
      <c r="T1504" s="5" t="s">
        <v>2288</v>
      </c>
      <c r="U1504" s="8">
        <v>5</v>
      </c>
      <c r="V1504" s="8">
        <v>155</v>
      </c>
      <c r="W1504" s="19">
        <v>35</v>
      </c>
      <c r="X1504" s="9">
        <v>35.79</v>
      </c>
      <c r="Y1504" s="9">
        <f t="shared" si="277"/>
        <v>54.21</v>
      </c>
      <c r="Z1504" s="5" t="s">
        <v>2293</v>
      </c>
      <c r="AA1504" s="5" t="s">
        <v>2299</v>
      </c>
      <c r="AB1504" s="9">
        <f t="shared" si="278"/>
        <v>90</v>
      </c>
      <c r="AC1504" s="9">
        <f t="shared" si="279"/>
        <v>0</v>
      </c>
      <c r="AD1504" s="9">
        <f t="shared" si="280"/>
        <v>90</v>
      </c>
      <c r="AE1504" s="9">
        <f t="shared" si="281"/>
        <v>35.79</v>
      </c>
      <c r="AF1504" s="9">
        <f t="shared" si="287"/>
        <v>54.21</v>
      </c>
      <c r="AG1504" s="8">
        <f t="shared" si="282"/>
        <v>2024</v>
      </c>
      <c r="AH1504" s="8">
        <f t="shared" si="283"/>
        <v>4</v>
      </c>
      <c r="AI1504" s="5" t="str">
        <f t="shared" si="284"/>
        <v>Apr</v>
      </c>
      <c r="AJ1504" s="5" t="str">
        <f t="shared" si="285"/>
        <v>Wednesday</v>
      </c>
    </row>
    <row r="1505" spans="1:36" x14ac:dyDescent="0.3">
      <c r="A1505" s="5" t="s">
        <v>1539</v>
      </c>
      <c r="B1505" s="6">
        <v>45294</v>
      </c>
      <c r="C1505" s="7">
        <v>0.74305555555555558</v>
      </c>
      <c r="D1505" s="5" t="s">
        <v>1825</v>
      </c>
      <c r="E1505" s="5" t="s">
        <v>2156</v>
      </c>
      <c r="F1505" s="5" t="s">
        <v>2239</v>
      </c>
      <c r="G1505" s="5" t="s">
        <v>2253</v>
      </c>
      <c r="H1505" s="5" t="s">
        <v>2258</v>
      </c>
      <c r="I1505" s="5" t="s">
        <v>2260</v>
      </c>
      <c r="J1505" s="5" t="s">
        <v>1761</v>
      </c>
      <c r="K1505" s="8">
        <v>1</v>
      </c>
      <c r="L1505" s="9">
        <v>90</v>
      </c>
      <c r="M1505" s="10">
        <v>0</v>
      </c>
      <c r="N1505" s="9">
        <f t="shared" si="286"/>
        <v>90</v>
      </c>
      <c r="O1505" s="9">
        <f t="shared" si="276"/>
        <v>90</v>
      </c>
      <c r="P1505" s="5" t="s">
        <v>2267</v>
      </c>
      <c r="Q1505" s="5" t="s">
        <v>1761</v>
      </c>
      <c r="R1505" s="5" t="s">
        <v>2279</v>
      </c>
      <c r="S1505" s="5" t="s">
        <v>2280</v>
      </c>
      <c r="T1505" s="5" t="s">
        <v>2288</v>
      </c>
      <c r="U1505" s="19">
        <v>3</v>
      </c>
      <c r="V1505" s="19">
        <v>244</v>
      </c>
      <c r="W1505" s="8">
        <v>48</v>
      </c>
      <c r="X1505" s="9">
        <v>32.64</v>
      </c>
      <c r="Y1505" s="9">
        <f t="shared" si="277"/>
        <v>57.36</v>
      </c>
      <c r="Z1505" s="5" t="s">
        <v>2291</v>
      </c>
      <c r="AA1505" s="5" t="s">
        <v>2298</v>
      </c>
      <c r="AB1505" s="9">
        <f t="shared" si="278"/>
        <v>90</v>
      </c>
      <c r="AC1505" s="9">
        <f t="shared" si="279"/>
        <v>0</v>
      </c>
      <c r="AD1505" s="9">
        <f t="shared" si="280"/>
        <v>90</v>
      </c>
      <c r="AE1505" s="9">
        <f t="shared" si="281"/>
        <v>32.64</v>
      </c>
      <c r="AF1505" s="9">
        <f t="shared" si="287"/>
        <v>57.36</v>
      </c>
      <c r="AG1505" s="8">
        <f t="shared" si="282"/>
        <v>2024</v>
      </c>
      <c r="AH1505" s="8">
        <f t="shared" si="283"/>
        <v>1</v>
      </c>
      <c r="AI1505" s="5" t="str">
        <f t="shared" si="284"/>
        <v>Jan</v>
      </c>
      <c r="AJ1505" s="5" t="str">
        <f t="shared" si="285"/>
        <v>Wednesday</v>
      </c>
    </row>
    <row r="1506" spans="1:36" x14ac:dyDescent="0.3">
      <c r="A1506" s="5" t="s">
        <v>1540</v>
      </c>
      <c r="B1506" s="6">
        <v>45595</v>
      </c>
      <c r="C1506" s="7">
        <v>0.63541666666666663</v>
      </c>
      <c r="D1506" s="5" t="s">
        <v>1811</v>
      </c>
      <c r="E1506" s="5" t="s">
        <v>2212</v>
      </c>
      <c r="F1506" s="5" t="s">
        <v>2240</v>
      </c>
      <c r="G1506" s="5" t="s">
        <v>2249</v>
      </c>
      <c r="H1506" s="5" t="s">
        <v>2257</v>
      </c>
      <c r="I1506" s="5" t="s">
        <v>2263</v>
      </c>
      <c r="J1506" s="5" t="s">
        <v>2264</v>
      </c>
      <c r="K1506" s="8">
        <v>1</v>
      </c>
      <c r="L1506" s="9">
        <v>165</v>
      </c>
      <c r="M1506" s="10">
        <v>0.15</v>
      </c>
      <c r="N1506" s="9">
        <f t="shared" si="286"/>
        <v>165</v>
      </c>
      <c r="O1506" s="9">
        <f t="shared" si="276"/>
        <v>140.25</v>
      </c>
      <c r="P1506" s="5" t="s">
        <v>2267</v>
      </c>
      <c r="Q1506" s="5" t="s">
        <v>2270</v>
      </c>
      <c r="R1506" s="5" t="s">
        <v>2278</v>
      </c>
      <c r="S1506" s="5" t="s">
        <v>2282</v>
      </c>
      <c r="T1506" s="5" t="s">
        <v>2288</v>
      </c>
      <c r="U1506" s="8">
        <v>5</v>
      </c>
      <c r="V1506" s="8">
        <v>490</v>
      </c>
      <c r="W1506" s="8">
        <v>54</v>
      </c>
      <c r="X1506" s="9">
        <v>95.04</v>
      </c>
      <c r="Y1506" s="9">
        <f t="shared" si="277"/>
        <v>45.209999999999994</v>
      </c>
      <c r="Z1506" s="5" t="s">
        <v>2294</v>
      </c>
      <c r="AA1506" s="5" t="s">
        <v>2296</v>
      </c>
      <c r="AB1506" s="9">
        <f t="shared" si="278"/>
        <v>165</v>
      </c>
      <c r="AC1506" s="9">
        <f t="shared" si="279"/>
        <v>24.75</v>
      </c>
      <c r="AD1506" s="9">
        <f t="shared" si="280"/>
        <v>140.25</v>
      </c>
      <c r="AE1506" s="9">
        <f t="shared" si="281"/>
        <v>95.04</v>
      </c>
      <c r="AF1506" s="9">
        <f t="shared" si="287"/>
        <v>45.209999999999994</v>
      </c>
      <c r="AG1506" s="8">
        <f t="shared" si="282"/>
        <v>2024</v>
      </c>
      <c r="AH1506" s="8">
        <f t="shared" si="283"/>
        <v>10</v>
      </c>
      <c r="AI1506" s="5" t="str">
        <f t="shared" si="284"/>
        <v>Oct</v>
      </c>
      <c r="AJ1506" s="5" t="str">
        <f t="shared" si="285"/>
        <v>Wednesday</v>
      </c>
    </row>
    <row r="1507" spans="1:36" x14ac:dyDescent="0.3">
      <c r="A1507" s="5" t="s">
        <v>1541</v>
      </c>
      <c r="B1507" s="6">
        <v>45376</v>
      </c>
      <c r="C1507" s="7">
        <v>0.55208333333333337</v>
      </c>
      <c r="D1507" s="5" t="s">
        <v>1907</v>
      </c>
      <c r="E1507" s="5" t="s">
        <v>1955</v>
      </c>
      <c r="F1507" s="5" t="s">
        <v>2239</v>
      </c>
      <c r="G1507" s="5" t="s">
        <v>2241</v>
      </c>
      <c r="H1507" s="5" t="s">
        <v>2257</v>
      </c>
      <c r="I1507" s="5" t="s">
        <v>2262</v>
      </c>
      <c r="J1507" s="5" t="s">
        <v>2264</v>
      </c>
      <c r="K1507" s="8">
        <v>1</v>
      </c>
      <c r="L1507" s="9">
        <v>140</v>
      </c>
      <c r="M1507" s="10">
        <v>0.05</v>
      </c>
      <c r="N1507" s="9">
        <f t="shared" si="286"/>
        <v>140</v>
      </c>
      <c r="O1507" s="9">
        <f t="shared" si="276"/>
        <v>133</v>
      </c>
      <c r="P1507" s="5" t="s">
        <v>2269</v>
      </c>
      <c r="Q1507" s="5" t="s">
        <v>2271</v>
      </c>
      <c r="R1507" s="5" t="s">
        <v>2278</v>
      </c>
      <c r="S1507" s="5" t="s">
        <v>2283</v>
      </c>
      <c r="T1507" s="5" t="s">
        <v>2288</v>
      </c>
      <c r="U1507" s="19">
        <v>3</v>
      </c>
      <c r="V1507" s="8">
        <v>236</v>
      </c>
      <c r="W1507" s="8">
        <v>58</v>
      </c>
      <c r="X1507" s="9">
        <v>67.540000000000006</v>
      </c>
      <c r="Y1507" s="9">
        <f t="shared" si="277"/>
        <v>65.459999999999994</v>
      </c>
      <c r="Z1507" s="5" t="s">
        <v>2292</v>
      </c>
      <c r="AA1507" s="5" t="s">
        <v>2296</v>
      </c>
      <c r="AB1507" s="9">
        <f t="shared" si="278"/>
        <v>140</v>
      </c>
      <c r="AC1507" s="9">
        <f t="shared" si="279"/>
        <v>7</v>
      </c>
      <c r="AD1507" s="9">
        <f t="shared" si="280"/>
        <v>133</v>
      </c>
      <c r="AE1507" s="9">
        <f t="shared" si="281"/>
        <v>67.540000000000006</v>
      </c>
      <c r="AF1507" s="9">
        <f t="shared" si="287"/>
        <v>65.459999999999994</v>
      </c>
      <c r="AG1507" s="8">
        <f t="shared" si="282"/>
        <v>2024</v>
      </c>
      <c r="AH1507" s="8">
        <f t="shared" si="283"/>
        <v>3</v>
      </c>
      <c r="AI1507" s="5" t="str">
        <f t="shared" si="284"/>
        <v>Mar</v>
      </c>
      <c r="AJ1507" s="5" t="str">
        <f t="shared" si="285"/>
        <v>Monday</v>
      </c>
    </row>
    <row r="1508" spans="1:36" x14ac:dyDescent="0.3">
      <c r="A1508" s="5" t="s">
        <v>1542</v>
      </c>
      <c r="B1508" s="6">
        <v>45532</v>
      </c>
      <c r="C1508" s="7">
        <v>0.53472222222222221</v>
      </c>
      <c r="D1508" s="5" t="s">
        <v>1811</v>
      </c>
      <c r="E1508" s="5" t="s">
        <v>2075</v>
      </c>
      <c r="F1508" s="5" t="s">
        <v>2240</v>
      </c>
      <c r="G1508" s="5" t="s">
        <v>2243</v>
      </c>
      <c r="H1508" s="5" t="s">
        <v>2258</v>
      </c>
      <c r="I1508" s="5" t="s">
        <v>2260</v>
      </c>
      <c r="J1508" s="5" t="s">
        <v>2265</v>
      </c>
      <c r="K1508" s="8">
        <v>3</v>
      </c>
      <c r="L1508" s="9">
        <v>65</v>
      </c>
      <c r="M1508" s="10">
        <v>0.15</v>
      </c>
      <c r="N1508" s="9">
        <f t="shared" si="286"/>
        <v>195</v>
      </c>
      <c r="O1508" s="9">
        <f t="shared" si="276"/>
        <v>165.75</v>
      </c>
      <c r="P1508" s="5" t="s">
        <v>1761</v>
      </c>
      <c r="Q1508" s="5" t="s">
        <v>2272</v>
      </c>
      <c r="R1508" s="5" t="s">
        <v>2273</v>
      </c>
      <c r="S1508" s="5" t="s">
        <v>2287</v>
      </c>
      <c r="T1508" s="5" t="s">
        <v>2288</v>
      </c>
      <c r="U1508" s="8">
        <v>1</v>
      </c>
      <c r="V1508" s="8">
        <v>168</v>
      </c>
      <c r="W1508" s="19">
        <v>35</v>
      </c>
      <c r="X1508" s="9">
        <v>26.28</v>
      </c>
      <c r="Y1508" s="9">
        <f t="shared" si="277"/>
        <v>86.91</v>
      </c>
      <c r="Z1508" s="5" t="s">
        <v>1761</v>
      </c>
      <c r="AA1508" s="5" t="s">
        <v>2296</v>
      </c>
      <c r="AB1508" s="9">
        <f t="shared" si="278"/>
        <v>195</v>
      </c>
      <c r="AC1508" s="9">
        <f t="shared" si="279"/>
        <v>29.25</v>
      </c>
      <c r="AD1508" s="9">
        <f t="shared" si="280"/>
        <v>165.75</v>
      </c>
      <c r="AE1508" s="9">
        <f t="shared" si="281"/>
        <v>78.84</v>
      </c>
      <c r="AF1508" s="9">
        <f t="shared" si="287"/>
        <v>86.91</v>
      </c>
      <c r="AG1508" s="8">
        <f t="shared" si="282"/>
        <v>2024</v>
      </c>
      <c r="AH1508" s="8">
        <f t="shared" si="283"/>
        <v>8</v>
      </c>
      <c r="AI1508" s="5" t="str">
        <f t="shared" si="284"/>
        <v>Aug</v>
      </c>
      <c r="AJ1508" s="5" t="str">
        <f t="shared" si="285"/>
        <v>Wednesday</v>
      </c>
    </row>
    <row r="1509" spans="1:36" x14ac:dyDescent="0.3">
      <c r="A1509" s="5" t="s">
        <v>1543</v>
      </c>
      <c r="B1509" s="6">
        <v>45519</v>
      </c>
      <c r="C1509" s="7">
        <v>0.55208333333333337</v>
      </c>
      <c r="D1509" s="5" t="s">
        <v>1889</v>
      </c>
      <c r="E1509" s="5" t="s">
        <v>2052</v>
      </c>
      <c r="F1509" s="5" t="s">
        <v>2239</v>
      </c>
      <c r="G1509" s="5" t="s">
        <v>2248</v>
      </c>
      <c r="H1509" s="5" t="s">
        <v>2257</v>
      </c>
      <c r="I1509" s="5" t="s">
        <v>2262</v>
      </c>
      <c r="J1509" s="5" t="s">
        <v>2264</v>
      </c>
      <c r="K1509" s="8">
        <v>2</v>
      </c>
      <c r="L1509" s="9">
        <v>140</v>
      </c>
      <c r="M1509" s="10">
        <v>0</v>
      </c>
      <c r="N1509" s="9">
        <f t="shared" si="286"/>
        <v>280</v>
      </c>
      <c r="O1509" s="9">
        <f t="shared" si="276"/>
        <v>280</v>
      </c>
      <c r="P1509" s="5" t="s">
        <v>2267</v>
      </c>
      <c r="Q1509" s="5" t="s">
        <v>2271</v>
      </c>
      <c r="R1509" s="5" t="s">
        <v>2276</v>
      </c>
      <c r="S1509" s="5" t="s">
        <v>2280</v>
      </c>
      <c r="T1509" s="5" t="s">
        <v>2288</v>
      </c>
      <c r="U1509" s="8">
        <v>3</v>
      </c>
      <c r="V1509" s="8">
        <v>19</v>
      </c>
      <c r="W1509" s="8">
        <v>28</v>
      </c>
      <c r="X1509" s="9">
        <v>73.33</v>
      </c>
      <c r="Y1509" s="9">
        <f t="shared" si="277"/>
        <v>133.34</v>
      </c>
      <c r="Z1509" s="5" t="s">
        <v>2291</v>
      </c>
      <c r="AA1509" s="5" t="s">
        <v>1761</v>
      </c>
      <c r="AB1509" s="9">
        <f t="shared" si="278"/>
        <v>280</v>
      </c>
      <c r="AC1509" s="9">
        <f t="shared" si="279"/>
        <v>0</v>
      </c>
      <c r="AD1509" s="9">
        <f t="shared" si="280"/>
        <v>280</v>
      </c>
      <c r="AE1509" s="9">
        <f t="shared" si="281"/>
        <v>146.66</v>
      </c>
      <c r="AF1509" s="9">
        <f t="shared" si="287"/>
        <v>133.34</v>
      </c>
      <c r="AG1509" s="8">
        <f t="shared" si="282"/>
        <v>2024</v>
      </c>
      <c r="AH1509" s="8">
        <f t="shared" si="283"/>
        <v>8</v>
      </c>
      <c r="AI1509" s="5" t="str">
        <f t="shared" si="284"/>
        <v>Aug</v>
      </c>
      <c r="AJ1509" s="5" t="str">
        <f t="shared" si="285"/>
        <v>Thursday</v>
      </c>
    </row>
    <row r="1510" spans="1:36" x14ac:dyDescent="0.3">
      <c r="A1510" s="5" t="s">
        <v>1544</v>
      </c>
      <c r="B1510" s="6">
        <v>45317</v>
      </c>
      <c r="C1510" s="7">
        <v>0.67361111111111116</v>
      </c>
      <c r="D1510" s="5" t="s">
        <v>1752</v>
      </c>
      <c r="E1510" s="5" t="s">
        <v>2071</v>
      </c>
      <c r="F1510" s="5" t="s">
        <v>2239</v>
      </c>
      <c r="G1510" s="5" t="s">
        <v>2241</v>
      </c>
      <c r="H1510" s="5" t="s">
        <v>2257</v>
      </c>
      <c r="I1510" s="5" t="s">
        <v>2262</v>
      </c>
      <c r="J1510" s="5" t="s">
        <v>2266</v>
      </c>
      <c r="K1510" s="8">
        <v>2</v>
      </c>
      <c r="L1510" s="9">
        <v>135</v>
      </c>
      <c r="M1510" s="10">
        <v>0</v>
      </c>
      <c r="N1510" s="9">
        <f t="shared" si="286"/>
        <v>270</v>
      </c>
      <c r="O1510" s="9">
        <f t="shared" si="276"/>
        <v>270</v>
      </c>
      <c r="P1510" s="5" t="s">
        <v>2269</v>
      </c>
      <c r="Q1510" s="5" t="s">
        <v>2272</v>
      </c>
      <c r="R1510" s="5" t="s">
        <v>2277</v>
      </c>
      <c r="S1510" s="5" t="s">
        <v>2286</v>
      </c>
      <c r="T1510" s="5" t="s">
        <v>2289</v>
      </c>
      <c r="U1510" s="8">
        <v>2</v>
      </c>
      <c r="V1510" s="8">
        <v>254</v>
      </c>
      <c r="W1510" s="8">
        <v>35</v>
      </c>
      <c r="X1510" s="9">
        <v>60.75</v>
      </c>
      <c r="Y1510" s="9">
        <f t="shared" si="277"/>
        <v>148.5</v>
      </c>
      <c r="Z1510" s="5" t="s">
        <v>1761</v>
      </c>
      <c r="AA1510" s="5" t="s">
        <v>2298</v>
      </c>
      <c r="AB1510" s="9">
        <f t="shared" si="278"/>
        <v>270</v>
      </c>
      <c r="AC1510" s="9">
        <f t="shared" si="279"/>
        <v>0</v>
      </c>
      <c r="AD1510" s="9">
        <f t="shared" si="280"/>
        <v>270</v>
      </c>
      <c r="AE1510" s="9">
        <f t="shared" si="281"/>
        <v>121.5</v>
      </c>
      <c r="AF1510" s="9">
        <f t="shared" si="287"/>
        <v>148.5</v>
      </c>
      <c r="AG1510" s="8">
        <f t="shared" si="282"/>
        <v>2024</v>
      </c>
      <c r="AH1510" s="8">
        <f t="shared" si="283"/>
        <v>1</v>
      </c>
      <c r="AI1510" s="5" t="str">
        <f t="shared" si="284"/>
        <v>Jan</v>
      </c>
      <c r="AJ1510" s="5" t="str">
        <f t="shared" si="285"/>
        <v>Friday</v>
      </c>
    </row>
    <row r="1511" spans="1:36" x14ac:dyDescent="0.3">
      <c r="A1511" s="5" t="s">
        <v>1545</v>
      </c>
      <c r="B1511" s="6">
        <v>45330</v>
      </c>
      <c r="C1511" s="7">
        <v>0.2986111111111111</v>
      </c>
      <c r="D1511" s="5" t="s">
        <v>1916</v>
      </c>
      <c r="E1511" s="5" t="s">
        <v>2039</v>
      </c>
      <c r="F1511" s="5" t="s">
        <v>2240</v>
      </c>
      <c r="G1511" s="5" t="s">
        <v>2248</v>
      </c>
      <c r="H1511" s="5" t="s">
        <v>2257</v>
      </c>
      <c r="I1511" s="5" t="s">
        <v>2262</v>
      </c>
      <c r="J1511" s="5" t="s">
        <v>2264</v>
      </c>
      <c r="K1511" s="8">
        <v>2</v>
      </c>
      <c r="L1511" s="9">
        <v>150</v>
      </c>
      <c r="M1511" s="10">
        <v>0</v>
      </c>
      <c r="N1511" s="9">
        <f t="shared" si="286"/>
        <v>300</v>
      </c>
      <c r="O1511" s="9">
        <f t="shared" si="276"/>
        <v>300</v>
      </c>
      <c r="P1511" s="5" t="s">
        <v>2268</v>
      </c>
      <c r="Q1511" s="5" t="s">
        <v>1761</v>
      </c>
      <c r="R1511" s="5" t="s">
        <v>2274</v>
      </c>
      <c r="S1511" s="5" t="s">
        <v>2281</v>
      </c>
      <c r="T1511" s="5" t="s">
        <v>2288</v>
      </c>
      <c r="U1511" s="8">
        <v>3</v>
      </c>
      <c r="V1511" s="8">
        <v>241</v>
      </c>
      <c r="W1511" s="8">
        <v>43</v>
      </c>
      <c r="X1511" s="9">
        <v>64.739999999999995</v>
      </c>
      <c r="Y1511" s="9">
        <f t="shared" si="277"/>
        <v>170.52</v>
      </c>
      <c r="Z1511" s="5" t="s">
        <v>2293</v>
      </c>
      <c r="AA1511" s="5" t="s">
        <v>2299</v>
      </c>
      <c r="AB1511" s="9">
        <f t="shared" si="278"/>
        <v>300</v>
      </c>
      <c r="AC1511" s="9">
        <f t="shared" si="279"/>
        <v>0</v>
      </c>
      <c r="AD1511" s="9">
        <f t="shared" si="280"/>
        <v>300</v>
      </c>
      <c r="AE1511" s="9">
        <f t="shared" si="281"/>
        <v>129.47999999999999</v>
      </c>
      <c r="AF1511" s="9">
        <f t="shared" si="287"/>
        <v>170.52</v>
      </c>
      <c r="AG1511" s="8">
        <f t="shared" si="282"/>
        <v>2024</v>
      </c>
      <c r="AH1511" s="8">
        <f t="shared" si="283"/>
        <v>2</v>
      </c>
      <c r="AI1511" s="5" t="str">
        <f t="shared" si="284"/>
        <v>Feb</v>
      </c>
      <c r="AJ1511" s="5" t="str">
        <f t="shared" si="285"/>
        <v>Thursday</v>
      </c>
    </row>
    <row r="1512" spans="1:36" x14ac:dyDescent="0.3">
      <c r="A1512" s="5" t="s">
        <v>1546</v>
      </c>
      <c r="B1512" s="6">
        <v>45564</v>
      </c>
      <c r="C1512" s="7">
        <v>0.6875</v>
      </c>
      <c r="D1512" s="5" t="s">
        <v>1892</v>
      </c>
      <c r="E1512" s="5" t="s">
        <v>2044</v>
      </c>
      <c r="F1512" s="5" t="s">
        <v>2239</v>
      </c>
      <c r="G1512" s="5" t="s">
        <v>2253</v>
      </c>
      <c r="H1512" s="5" t="s">
        <v>2258</v>
      </c>
      <c r="I1512" s="5" t="s">
        <v>2260</v>
      </c>
      <c r="J1512" s="5" t="s">
        <v>2266</v>
      </c>
      <c r="K1512" s="8">
        <v>1</v>
      </c>
      <c r="L1512" s="9">
        <v>95</v>
      </c>
      <c r="M1512" s="10">
        <v>0.1</v>
      </c>
      <c r="N1512" s="9">
        <f t="shared" si="286"/>
        <v>95</v>
      </c>
      <c r="O1512" s="9">
        <f t="shared" si="276"/>
        <v>85.5</v>
      </c>
      <c r="P1512" s="5" t="s">
        <v>1761</v>
      </c>
      <c r="Q1512" s="5" t="s">
        <v>2271</v>
      </c>
      <c r="R1512" s="5" t="s">
        <v>2277</v>
      </c>
      <c r="S1512" s="5" t="s">
        <v>2285</v>
      </c>
      <c r="T1512" s="5" t="s">
        <v>2288</v>
      </c>
      <c r="U1512" s="8">
        <v>5</v>
      </c>
      <c r="V1512" s="8">
        <v>328</v>
      </c>
      <c r="W1512" s="8">
        <v>24</v>
      </c>
      <c r="X1512" s="9">
        <v>34.840000000000003</v>
      </c>
      <c r="Y1512" s="9">
        <f t="shared" si="277"/>
        <v>50.66</v>
      </c>
      <c r="Z1512" s="5" t="s">
        <v>1761</v>
      </c>
      <c r="AA1512" s="5" t="s">
        <v>1761</v>
      </c>
      <c r="AB1512" s="9">
        <f t="shared" si="278"/>
        <v>95</v>
      </c>
      <c r="AC1512" s="9">
        <f t="shared" si="279"/>
        <v>9.5</v>
      </c>
      <c r="AD1512" s="9">
        <f t="shared" si="280"/>
        <v>85.5</v>
      </c>
      <c r="AE1512" s="9">
        <f t="shared" si="281"/>
        <v>34.840000000000003</v>
      </c>
      <c r="AF1512" s="9">
        <f t="shared" si="287"/>
        <v>50.66</v>
      </c>
      <c r="AG1512" s="8">
        <f t="shared" si="282"/>
        <v>2024</v>
      </c>
      <c r="AH1512" s="8">
        <f t="shared" si="283"/>
        <v>9</v>
      </c>
      <c r="AI1512" s="5" t="str">
        <f t="shared" si="284"/>
        <v>Sep</v>
      </c>
      <c r="AJ1512" s="5" t="str">
        <f t="shared" si="285"/>
        <v>Sunday</v>
      </c>
    </row>
    <row r="1513" spans="1:36" x14ac:dyDescent="0.3">
      <c r="A1513" s="5" t="s">
        <v>1547</v>
      </c>
      <c r="B1513" s="6">
        <v>45484</v>
      </c>
      <c r="C1513" s="7">
        <v>0.50694444444444442</v>
      </c>
      <c r="D1513" s="5" t="s">
        <v>1794</v>
      </c>
      <c r="E1513" s="5" t="s">
        <v>2150</v>
      </c>
      <c r="F1513" s="5" t="s">
        <v>2240</v>
      </c>
      <c r="G1513" s="5" t="s">
        <v>2248</v>
      </c>
      <c r="H1513" s="5" t="s">
        <v>2257</v>
      </c>
      <c r="I1513" s="5" t="s">
        <v>2262</v>
      </c>
      <c r="J1513" s="5" t="s">
        <v>2264</v>
      </c>
      <c r="K1513" s="8">
        <v>2</v>
      </c>
      <c r="L1513" s="9">
        <v>145</v>
      </c>
      <c r="M1513" s="10">
        <v>0.1</v>
      </c>
      <c r="N1513" s="9">
        <f t="shared" si="286"/>
        <v>290</v>
      </c>
      <c r="O1513" s="9">
        <f t="shared" si="276"/>
        <v>261</v>
      </c>
      <c r="P1513" s="5" t="s">
        <v>2269</v>
      </c>
      <c r="Q1513" s="5" t="s">
        <v>2271</v>
      </c>
      <c r="R1513" s="5" t="s">
        <v>2278</v>
      </c>
      <c r="S1513" s="5" t="s">
        <v>2286</v>
      </c>
      <c r="T1513" s="5" t="s">
        <v>2288</v>
      </c>
      <c r="U1513" s="19">
        <v>3</v>
      </c>
      <c r="V1513" s="8">
        <v>210</v>
      </c>
      <c r="W1513" s="8">
        <v>52</v>
      </c>
      <c r="X1513" s="9">
        <v>75.73</v>
      </c>
      <c r="Y1513" s="9">
        <f t="shared" si="277"/>
        <v>109.53999999999999</v>
      </c>
      <c r="Z1513" s="5" t="s">
        <v>2292</v>
      </c>
      <c r="AA1513" s="5" t="s">
        <v>1761</v>
      </c>
      <c r="AB1513" s="9">
        <f t="shared" si="278"/>
        <v>290</v>
      </c>
      <c r="AC1513" s="9">
        <f t="shared" si="279"/>
        <v>29</v>
      </c>
      <c r="AD1513" s="9">
        <f t="shared" si="280"/>
        <v>261</v>
      </c>
      <c r="AE1513" s="9">
        <f t="shared" si="281"/>
        <v>151.46</v>
      </c>
      <c r="AF1513" s="9">
        <f t="shared" si="287"/>
        <v>109.53999999999999</v>
      </c>
      <c r="AG1513" s="8">
        <f t="shared" si="282"/>
        <v>2024</v>
      </c>
      <c r="AH1513" s="8">
        <f t="shared" si="283"/>
        <v>7</v>
      </c>
      <c r="AI1513" s="5" t="str">
        <f t="shared" si="284"/>
        <v>Jul</v>
      </c>
      <c r="AJ1513" s="5" t="str">
        <f t="shared" si="285"/>
        <v>Thursday</v>
      </c>
    </row>
    <row r="1514" spans="1:36" x14ac:dyDescent="0.3">
      <c r="A1514" s="5" t="s">
        <v>1548</v>
      </c>
      <c r="B1514" s="6">
        <v>45513</v>
      </c>
      <c r="C1514" s="7">
        <v>0.82291666666666663</v>
      </c>
      <c r="D1514" s="5" t="s">
        <v>1742</v>
      </c>
      <c r="E1514" s="5" t="s">
        <v>2175</v>
      </c>
      <c r="F1514" s="5" t="s">
        <v>2240</v>
      </c>
      <c r="G1514" s="5" t="s">
        <v>2242</v>
      </c>
      <c r="H1514" s="5" t="s">
        <v>2258</v>
      </c>
      <c r="I1514" s="5" t="s">
        <v>2260</v>
      </c>
      <c r="J1514" s="5" t="s">
        <v>1761</v>
      </c>
      <c r="K1514" s="8">
        <v>1</v>
      </c>
      <c r="L1514" s="9">
        <v>120</v>
      </c>
      <c r="M1514" s="10">
        <v>0.05</v>
      </c>
      <c r="N1514" s="9">
        <f t="shared" si="286"/>
        <v>120</v>
      </c>
      <c r="O1514" s="9">
        <f t="shared" si="276"/>
        <v>114</v>
      </c>
      <c r="P1514" s="5" t="s">
        <v>2269</v>
      </c>
      <c r="Q1514" s="5" t="s">
        <v>2270</v>
      </c>
      <c r="R1514" s="5" t="s">
        <v>2274</v>
      </c>
      <c r="S1514" s="5" t="s">
        <v>2285</v>
      </c>
      <c r="T1514" s="5" t="s">
        <v>2288</v>
      </c>
      <c r="U1514" s="8">
        <v>1</v>
      </c>
      <c r="V1514" s="8">
        <v>283</v>
      </c>
      <c r="W1514" s="8">
        <v>24</v>
      </c>
      <c r="X1514" s="9">
        <v>52.89</v>
      </c>
      <c r="Y1514" s="9">
        <f t="shared" si="277"/>
        <v>61.11</v>
      </c>
      <c r="Z1514" s="5" t="s">
        <v>2291</v>
      </c>
      <c r="AA1514" s="5" t="s">
        <v>2297</v>
      </c>
      <c r="AB1514" s="9">
        <f t="shared" si="278"/>
        <v>120</v>
      </c>
      <c r="AC1514" s="9">
        <f t="shared" si="279"/>
        <v>6</v>
      </c>
      <c r="AD1514" s="9">
        <f t="shared" si="280"/>
        <v>114</v>
      </c>
      <c r="AE1514" s="9">
        <f t="shared" si="281"/>
        <v>52.89</v>
      </c>
      <c r="AF1514" s="9">
        <f t="shared" si="287"/>
        <v>61.11</v>
      </c>
      <c r="AG1514" s="8">
        <f t="shared" si="282"/>
        <v>2024</v>
      </c>
      <c r="AH1514" s="8">
        <f t="shared" si="283"/>
        <v>8</v>
      </c>
      <c r="AI1514" s="5" t="str">
        <f t="shared" si="284"/>
        <v>Aug</v>
      </c>
      <c r="AJ1514" s="5" t="str">
        <f t="shared" si="285"/>
        <v>Friday</v>
      </c>
    </row>
    <row r="1515" spans="1:36" x14ac:dyDescent="0.3">
      <c r="A1515" s="5" t="s">
        <v>1549</v>
      </c>
      <c r="B1515" s="6">
        <v>45417</v>
      </c>
      <c r="C1515" s="7">
        <v>0.82638888888888884</v>
      </c>
      <c r="D1515" s="5" t="s">
        <v>1940</v>
      </c>
      <c r="E1515" s="5" t="s">
        <v>1998</v>
      </c>
      <c r="F1515" s="5" t="s">
        <v>2240</v>
      </c>
      <c r="G1515" s="5" t="s">
        <v>2251</v>
      </c>
      <c r="H1515" s="5" t="s">
        <v>2258</v>
      </c>
      <c r="I1515" s="5" t="s">
        <v>2260</v>
      </c>
      <c r="J1515" s="5" t="s">
        <v>2264</v>
      </c>
      <c r="K1515" s="8">
        <v>1</v>
      </c>
      <c r="L1515" s="9">
        <v>105</v>
      </c>
      <c r="M1515" s="10">
        <v>0.15</v>
      </c>
      <c r="N1515" s="9">
        <f t="shared" si="286"/>
        <v>105</v>
      </c>
      <c r="O1515" s="9">
        <f t="shared" si="276"/>
        <v>89.25</v>
      </c>
      <c r="P1515" s="5" t="s">
        <v>2268</v>
      </c>
      <c r="Q1515" s="5" t="s">
        <v>2272</v>
      </c>
      <c r="R1515" s="5" t="s">
        <v>2275</v>
      </c>
      <c r="S1515" s="5" t="s">
        <v>2284</v>
      </c>
      <c r="T1515" s="5" t="s">
        <v>2288</v>
      </c>
      <c r="U1515" s="8">
        <v>5</v>
      </c>
      <c r="V1515" s="8">
        <v>229</v>
      </c>
      <c r="W1515" s="19">
        <v>35</v>
      </c>
      <c r="X1515" s="9">
        <v>45.62</v>
      </c>
      <c r="Y1515" s="9">
        <f t="shared" si="277"/>
        <v>43.63</v>
      </c>
      <c r="Z1515" s="5" t="s">
        <v>2291</v>
      </c>
      <c r="AA1515" s="5" t="s">
        <v>1761</v>
      </c>
      <c r="AB1515" s="9">
        <f t="shared" si="278"/>
        <v>105</v>
      </c>
      <c r="AC1515" s="9">
        <f t="shared" si="279"/>
        <v>15.75</v>
      </c>
      <c r="AD1515" s="9">
        <f t="shared" si="280"/>
        <v>89.25</v>
      </c>
      <c r="AE1515" s="9">
        <f t="shared" si="281"/>
        <v>45.62</v>
      </c>
      <c r="AF1515" s="9">
        <f t="shared" si="287"/>
        <v>43.63</v>
      </c>
      <c r="AG1515" s="8">
        <f t="shared" si="282"/>
        <v>2024</v>
      </c>
      <c r="AH1515" s="8">
        <f t="shared" si="283"/>
        <v>5</v>
      </c>
      <c r="AI1515" s="5" t="str">
        <f t="shared" si="284"/>
        <v>May</v>
      </c>
      <c r="AJ1515" s="5" t="str">
        <f t="shared" si="285"/>
        <v>Sunday</v>
      </c>
    </row>
    <row r="1516" spans="1:36" x14ac:dyDescent="0.3">
      <c r="A1516" s="5" t="s">
        <v>1550</v>
      </c>
      <c r="B1516" s="6">
        <v>45427</v>
      </c>
      <c r="C1516" s="7">
        <v>0.8125</v>
      </c>
      <c r="D1516" s="5" t="s">
        <v>1772</v>
      </c>
      <c r="E1516" s="5" t="s">
        <v>2218</v>
      </c>
      <c r="F1516" s="5" t="s">
        <v>2240</v>
      </c>
      <c r="G1516" s="5" t="s">
        <v>2244</v>
      </c>
      <c r="H1516" s="5" t="s">
        <v>2257</v>
      </c>
      <c r="I1516" s="5" t="s">
        <v>2262</v>
      </c>
      <c r="J1516" s="5" t="s">
        <v>2264</v>
      </c>
      <c r="K1516" s="8">
        <v>1</v>
      </c>
      <c r="L1516" s="9">
        <v>120</v>
      </c>
      <c r="M1516" s="10">
        <v>0.1</v>
      </c>
      <c r="N1516" s="9">
        <f t="shared" si="286"/>
        <v>120</v>
      </c>
      <c r="O1516" s="9">
        <f t="shared" si="276"/>
        <v>108</v>
      </c>
      <c r="P1516" s="5" t="s">
        <v>2268</v>
      </c>
      <c r="Q1516" s="5" t="s">
        <v>2272</v>
      </c>
      <c r="R1516" s="5" t="s">
        <v>2274</v>
      </c>
      <c r="S1516" s="5" t="s">
        <v>2280</v>
      </c>
      <c r="T1516" s="5" t="s">
        <v>2289</v>
      </c>
      <c r="U1516" s="8">
        <v>2</v>
      </c>
      <c r="V1516" s="8">
        <v>369</v>
      </c>
      <c r="W1516" s="8">
        <v>37</v>
      </c>
      <c r="X1516" s="9">
        <v>48.85</v>
      </c>
      <c r="Y1516" s="9">
        <f t="shared" si="277"/>
        <v>59.15</v>
      </c>
      <c r="Z1516" s="5" t="s">
        <v>2292</v>
      </c>
      <c r="AA1516" s="5" t="s">
        <v>1761</v>
      </c>
      <c r="AB1516" s="9">
        <f t="shared" si="278"/>
        <v>120</v>
      </c>
      <c r="AC1516" s="9">
        <f t="shared" si="279"/>
        <v>12</v>
      </c>
      <c r="AD1516" s="9">
        <f t="shared" si="280"/>
        <v>108</v>
      </c>
      <c r="AE1516" s="9">
        <f t="shared" si="281"/>
        <v>48.85</v>
      </c>
      <c r="AF1516" s="9">
        <f t="shared" si="287"/>
        <v>59.15</v>
      </c>
      <c r="AG1516" s="8">
        <f t="shared" si="282"/>
        <v>2024</v>
      </c>
      <c r="AH1516" s="8">
        <f t="shared" si="283"/>
        <v>5</v>
      </c>
      <c r="AI1516" s="5" t="str">
        <f t="shared" si="284"/>
        <v>May</v>
      </c>
      <c r="AJ1516" s="5" t="str">
        <f t="shared" si="285"/>
        <v>Wednesday</v>
      </c>
    </row>
    <row r="1517" spans="1:36" x14ac:dyDescent="0.3">
      <c r="A1517" s="5" t="s">
        <v>1551</v>
      </c>
      <c r="B1517" s="6">
        <v>45532</v>
      </c>
      <c r="C1517" s="7">
        <v>0.71875</v>
      </c>
      <c r="D1517" s="5" t="s">
        <v>1770</v>
      </c>
      <c r="E1517" s="5" t="s">
        <v>1761</v>
      </c>
      <c r="F1517" s="5" t="s">
        <v>2240</v>
      </c>
      <c r="G1517" s="5" t="s">
        <v>2250</v>
      </c>
      <c r="H1517" s="5" t="s">
        <v>2259</v>
      </c>
      <c r="I1517" s="5" t="s">
        <v>2262</v>
      </c>
      <c r="J1517" s="5" t="s">
        <v>2264</v>
      </c>
      <c r="K1517" s="8">
        <v>5</v>
      </c>
      <c r="L1517" s="9">
        <v>90</v>
      </c>
      <c r="M1517" s="10">
        <v>0.15</v>
      </c>
      <c r="N1517" s="9">
        <f t="shared" si="286"/>
        <v>450</v>
      </c>
      <c r="O1517" s="9">
        <f t="shared" si="276"/>
        <v>382.5</v>
      </c>
      <c r="P1517" s="5" t="s">
        <v>2267</v>
      </c>
      <c r="Q1517" s="5" t="s">
        <v>2272</v>
      </c>
      <c r="R1517" s="5" t="s">
        <v>2275</v>
      </c>
      <c r="S1517" s="5" t="s">
        <v>2281</v>
      </c>
      <c r="T1517" s="5" t="s">
        <v>2288</v>
      </c>
      <c r="U1517" s="8">
        <v>5</v>
      </c>
      <c r="V1517" s="8">
        <v>259</v>
      </c>
      <c r="W1517" s="8">
        <v>28</v>
      </c>
      <c r="X1517" s="9">
        <v>31.31</v>
      </c>
      <c r="Y1517" s="9">
        <f t="shared" si="277"/>
        <v>225.95000000000002</v>
      </c>
      <c r="Z1517" s="5" t="s">
        <v>1761</v>
      </c>
      <c r="AA1517" s="5" t="s">
        <v>1761</v>
      </c>
      <c r="AB1517" s="9">
        <f t="shared" si="278"/>
        <v>450</v>
      </c>
      <c r="AC1517" s="9">
        <f t="shared" si="279"/>
        <v>67.5</v>
      </c>
      <c r="AD1517" s="9">
        <f t="shared" si="280"/>
        <v>382.5</v>
      </c>
      <c r="AE1517" s="9">
        <f t="shared" si="281"/>
        <v>156.54999999999998</v>
      </c>
      <c r="AF1517" s="9">
        <f t="shared" si="287"/>
        <v>225.95000000000002</v>
      </c>
      <c r="AG1517" s="8">
        <f t="shared" si="282"/>
        <v>2024</v>
      </c>
      <c r="AH1517" s="8">
        <f t="shared" si="283"/>
        <v>8</v>
      </c>
      <c r="AI1517" s="5" t="str">
        <f t="shared" si="284"/>
        <v>Aug</v>
      </c>
      <c r="AJ1517" s="5" t="str">
        <f t="shared" si="285"/>
        <v>Wednesday</v>
      </c>
    </row>
    <row r="1518" spans="1:36" x14ac:dyDescent="0.3">
      <c r="A1518" s="5" t="s">
        <v>1552</v>
      </c>
      <c r="B1518" s="6">
        <v>45437</v>
      </c>
      <c r="C1518" s="7">
        <v>0.68055555555555558</v>
      </c>
      <c r="D1518" s="5" t="s">
        <v>1796</v>
      </c>
      <c r="E1518" s="5" t="s">
        <v>1973</v>
      </c>
      <c r="F1518" s="5" t="s">
        <v>2239</v>
      </c>
      <c r="G1518" s="5" t="s">
        <v>2255</v>
      </c>
      <c r="H1518" s="5" t="s">
        <v>2260</v>
      </c>
      <c r="I1518" s="5" t="s">
        <v>2260</v>
      </c>
      <c r="J1518" s="5" t="s">
        <v>2265</v>
      </c>
      <c r="K1518" s="8">
        <v>1</v>
      </c>
      <c r="L1518" s="9">
        <v>190</v>
      </c>
      <c r="M1518" s="10">
        <v>0.15</v>
      </c>
      <c r="N1518" s="9">
        <f t="shared" si="286"/>
        <v>190</v>
      </c>
      <c r="O1518" s="9">
        <f t="shared" si="276"/>
        <v>161.5</v>
      </c>
      <c r="P1518" s="5" t="s">
        <v>2269</v>
      </c>
      <c r="Q1518" s="5" t="s">
        <v>2270</v>
      </c>
      <c r="R1518" s="5" t="s">
        <v>2276</v>
      </c>
      <c r="S1518" s="5" t="s">
        <v>2281</v>
      </c>
      <c r="T1518" s="5" t="s">
        <v>2288</v>
      </c>
      <c r="U1518" s="8">
        <v>5</v>
      </c>
      <c r="V1518" s="8">
        <v>460</v>
      </c>
      <c r="W1518" s="8">
        <v>60</v>
      </c>
      <c r="X1518" s="9">
        <v>73.349999999999994</v>
      </c>
      <c r="Y1518" s="9">
        <f t="shared" si="277"/>
        <v>88.15</v>
      </c>
      <c r="Z1518" s="5" t="s">
        <v>1761</v>
      </c>
      <c r="AA1518" s="5" t="s">
        <v>2297</v>
      </c>
      <c r="AB1518" s="9">
        <f t="shared" si="278"/>
        <v>190</v>
      </c>
      <c r="AC1518" s="9">
        <f t="shared" si="279"/>
        <v>28.5</v>
      </c>
      <c r="AD1518" s="9">
        <f t="shared" si="280"/>
        <v>161.5</v>
      </c>
      <c r="AE1518" s="9">
        <f t="shared" si="281"/>
        <v>73.349999999999994</v>
      </c>
      <c r="AF1518" s="9">
        <f t="shared" si="287"/>
        <v>88.15</v>
      </c>
      <c r="AG1518" s="8">
        <f t="shared" si="282"/>
        <v>2024</v>
      </c>
      <c r="AH1518" s="8">
        <f t="shared" si="283"/>
        <v>5</v>
      </c>
      <c r="AI1518" s="5" t="str">
        <f t="shared" si="284"/>
        <v>May</v>
      </c>
      <c r="AJ1518" s="5" t="str">
        <f t="shared" si="285"/>
        <v>Saturday</v>
      </c>
    </row>
    <row r="1519" spans="1:36" x14ac:dyDescent="0.3">
      <c r="A1519" s="5" t="s">
        <v>1553</v>
      </c>
      <c r="B1519" s="6">
        <v>45472</v>
      </c>
      <c r="C1519" s="7">
        <v>0.42708333333333331</v>
      </c>
      <c r="D1519" s="5" t="s">
        <v>1888</v>
      </c>
      <c r="E1519" s="5" t="s">
        <v>2002</v>
      </c>
      <c r="F1519" s="5" t="s">
        <v>2239</v>
      </c>
      <c r="G1519" s="5" t="s">
        <v>2256</v>
      </c>
      <c r="H1519" s="5" t="s">
        <v>2261</v>
      </c>
      <c r="I1519" s="5" t="s">
        <v>2260</v>
      </c>
      <c r="J1519" s="5" t="s">
        <v>2264</v>
      </c>
      <c r="K1519" s="8">
        <v>1</v>
      </c>
      <c r="L1519" s="9">
        <v>195</v>
      </c>
      <c r="M1519" s="10">
        <v>0.05</v>
      </c>
      <c r="N1519" s="9">
        <f t="shared" si="286"/>
        <v>195</v>
      </c>
      <c r="O1519" s="9">
        <f t="shared" si="276"/>
        <v>185.25</v>
      </c>
      <c r="P1519" s="5" t="s">
        <v>2268</v>
      </c>
      <c r="Q1519" s="5" t="s">
        <v>1761</v>
      </c>
      <c r="R1519" s="5" t="s">
        <v>2275</v>
      </c>
      <c r="S1519" s="5" t="s">
        <v>2280</v>
      </c>
      <c r="T1519" s="5" t="s">
        <v>2288</v>
      </c>
      <c r="U1519" s="8">
        <v>1</v>
      </c>
      <c r="V1519" s="8">
        <v>396</v>
      </c>
      <c r="W1519" s="19">
        <v>36</v>
      </c>
      <c r="X1519" s="9">
        <v>96.16</v>
      </c>
      <c r="Y1519" s="9">
        <f t="shared" si="277"/>
        <v>89.09</v>
      </c>
      <c r="Z1519" s="5" t="s">
        <v>2293</v>
      </c>
      <c r="AA1519" s="5" t="s">
        <v>2297</v>
      </c>
      <c r="AB1519" s="9">
        <f t="shared" si="278"/>
        <v>195</v>
      </c>
      <c r="AC1519" s="9">
        <f t="shared" si="279"/>
        <v>9.75</v>
      </c>
      <c r="AD1519" s="9">
        <f t="shared" si="280"/>
        <v>185.25</v>
      </c>
      <c r="AE1519" s="9">
        <f t="shared" si="281"/>
        <v>96.16</v>
      </c>
      <c r="AF1519" s="9">
        <f t="shared" si="287"/>
        <v>89.09</v>
      </c>
      <c r="AG1519" s="8">
        <f t="shared" si="282"/>
        <v>2024</v>
      </c>
      <c r="AH1519" s="8">
        <f t="shared" si="283"/>
        <v>6</v>
      </c>
      <c r="AI1519" s="5" t="str">
        <f t="shared" si="284"/>
        <v>Jun</v>
      </c>
      <c r="AJ1519" s="5" t="str">
        <f t="shared" si="285"/>
        <v>Saturday</v>
      </c>
    </row>
    <row r="1520" spans="1:36" x14ac:dyDescent="0.3">
      <c r="A1520" s="5" t="s">
        <v>1554</v>
      </c>
      <c r="B1520" s="6">
        <v>45420</v>
      </c>
      <c r="C1520" s="7">
        <v>0.4236111111111111</v>
      </c>
      <c r="D1520" s="5" t="s">
        <v>1782</v>
      </c>
      <c r="E1520" s="5" t="s">
        <v>2231</v>
      </c>
      <c r="F1520" s="5" t="s">
        <v>2240</v>
      </c>
      <c r="G1520" s="5" t="s">
        <v>2242</v>
      </c>
      <c r="H1520" s="5" t="s">
        <v>2258</v>
      </c>
      <c r="I1520" s="5" t="s">
        <v>2260</v>
      </c>
      <c r="J1520" s="5" t="s">
        <v>2265</v>
      </c>
      <c r="K1520" s="8">
        <v>2</v>
      </c>
      <c r="L1520" s="9">
        <v>120</v>
      </c>
      <c r="M1520" s="10">
        <v>0</v>
      </c>
      <c r="N1520" s="9">
        <f t="shared" si="286"/>
        <v>240</v>
      </c>
      <c r="O1520" s="9">
        <f t="shared" si="276"/>
        <v>240</v>
      </c>
      <c r="P1520" s="5" t="s">
        <v>2268</v>
      </c>
      <c r="Q1520" s="5" t="s">
        <v>2270</v>
      </c>
      <c r="R1520" s="5" t="s">
        <v>2276</v>
      </c>
      <c r="S1520" s="5" t="s">
        <v>2280</v>
      </c>
      <c r="T1520" s="5" t="s">
        <v>2288</v>
      </c>
      <c r="U1520" s="19">
        <v>3</v>
      </c>
      <c r="V1520" s="8">
        <v>391</v>
      </c>
      <c r="W1520" s="8">
        <v>40</v>
      </c>
      <c r="X1520" s="9">
        <v>64.540000000000006</v>
      </c>
      <c r="Y1520" s="9">
        <f t="shared" si="277"/>
        <v>110.91999999999999</v>
      </c>
      <c r="Z1520" s="5" t="s">
        <v>2292</v>
      </c>
      <c r="AA1520" s="5" t="s">
        <v>1761</v>
      </c>
      <c r="AB1520" s="9">
        <f t="shared" si="278"/>
        <v>240</v>
      </c>
      <c r="AC1520" s="9">
        <f t="shared" si="279"/>
        <v>0</v>
      </c>
      <c r="AD1520" s="9">
        <f t="shared" si="280"/>
        <v>240</v>
      </c>
      <c r="AE1520" s="9">
        <f t="shared" si="281"/>
        <v>129.08000000000001</v>
      </c>
      <c r="AF1520" s="9">
        <f t="shared" si="287"/>
        <v>110.91999999999999</v>
      </c>
      <c r="AG1520" s="8">
        <f t="shared" si="282"/>
        <v>2024</v>
      </c>
      <c r="AH1520" s="8">
        <f t="shared" si="283"/>
        <v>5</v>
      </c>
      <c r="AI1520" s="5" t="str">
        <f t="shared" si="284"/>
        <v>May</v>
      </c>
      <c r="AJ1520" s="5" t="str">
        <f t="shared" si="285"/>
        <v>Wednesday</v>
      </c>
    </row>
    <row r="1521" spans="1:36" x14ac:dyDescent="0.3">
      <c r="A1521" s="5" t="s">
        <v>1555</v>
      </c>
      <c r="B1521" s="6">
        <v>45524</v>
      </c>
      <c r="C1521" s="7">
        <v>0.70138888888888884</v>
      </c>
      <c r="D1521" s="5" t="s">
        <v>1936</v>
      </c>
      <c r="E1521" s="5" t="s">
        <v>2095</v>
      </c>
      <c r="F1521" s="5" t="s">
        <v>1761</v>
      </c>
      <c r="G1521" s="5" t="s">
        <v>2244</v>
      </c>
      <c r="H1521" s="5" t="s">
        <v>2257</v>
      </c>
      <c r="I1521" s="5" t="s">
        <v>2262</v>
      </c>
      <c r="J1521" s="5" t="s">
        <v>2266</v>
      </c>
      <c r="K1521" s="8">
        <v>2</v>
      </c>
      <c r="L1521" s="9">
        <v>130</v>
      </c>
      <c r="M1521" s="10">
        <v>0.05</v>
      </c>
      <c r="N1521" s="9">
        <f t="shared" si="286"/>
        <v>260</v>
      </c>
      <c r="O1521" s="9">
        <f t="shared" si="276"/>
        <v>247</v>
      </c>
      <c r="P1521" s="5" t="s">
        <v>1761</v>
      </c>
      <c r="Q1521" s="5" t="s">
        <v>2270</v>
      </c>
      <c r="R1521" s="5" t="s">
        <v>2273</v>
      </c>
      <c r="S1521" s="5" t="s">
        <v>2284</v>
      </c>
      <c r="T1521" s="5" t="s">
        <v>2288</v>
      </c>
      <c r="U1521" s="8">
        <v>2</v>
      </c>
      <c r="V1521" s="19">
        <v>244</v>
      </c>
      <c r="W1521" s="19">
        <v>34</v>
      </c>
      <c r="X1521" s="9">
        <v>60.01</v>
      </c>
      <c r="Y1521" s="9">
        <f t="shared" si="277"/>
        <v>126.98</v>
      </c>
      <c r="Z1521" s="5" t="s">
        <v>2293</v>
      </c>
      <c r="AA1521" s="5" t="s">
        <v>2296</v>
      </c>
      <c r="AB1521" s="9">
        <f t="shared" si="278"/>
        <v>260</v>
      </c>
      <c r="AC1521" s="9">
        <f t="shared" si="279"/>
        <v>13</v>
      </c>
      <c r="AD1521" s="9">
        <f t="shared" si="280"/>
        <v>247</v>
      </c>
      <c r="AE1521" s="9">
        <f t="shared" si="281"/>
        <v>120.02</v>
      </c>
      <c r="AF1521" s="9">
        <f t="shared" si="287"/>
        <v>126.98</v>
      </c>
      <c r="AG1521" s="8">
        <f t="shared" si="282"/>
        <v>2024</v>
      </c>
      <c r="AH1521" s="8">
        <f t="shared" si="283"/>
        <v>8</v>
      </c>
      <c r="AI1521" s="5" t="str">
        <f t="shared" si="284"/>
        <v>Aug</v>
      </c>
      <c r="AJ1521" s="5" t="str">
        <f t="shared" si="285"/>
        <v>Tuesday</v>
      </c>
    </row>
    <row r="1522" spans="1:36" x14ac:dyDescent="0.3">
      <c r="A1522" s="5" t="s">
        <v>1556</v>
      </c>
      <c r="B1522" s="6">
        <v>45582</v>
      </c>
      <c r="C1522" s="7">
        <v>0.29166666666666669</v>
      </c>
      <c r="D1522" s="5" t="s">
        <v>1801</v>
      </c>
      <c r="E1522" s="5" t="s">
        <v>2203</v>
      </c>
      <c r="F1522" s="5" t="s">
        <v>2240</v>
      </c>
      <c r="G1522" s="5" t="s">
        <v>2247</v>
      </c>
      <c r="H1522" s="5" t="s">
        <v>2257</v>
      </c>
      <c r="I1522" s="5" t="s">
        <v>2262</v>
      </c>
      <c r="J1522" s="5" t="s">
        <v>2265</v>
      </c>
      <c r="K1522" s="8">
        <v>1</v>
      </c>
      <c r="L1522" s="9">
        <v>95</v>
      </c>
      <c r="M1522" s="10">
        <v>0.1</v>
      </c>
      <c r="N1522" s="9">
        <f t="shared" si="286"/>
        <v>95</v>
      </c>
      <c r="O1522" s="9">
        <f t="shared" si="276"/>
        <v>85.5</v>
      </c>
      <c r="P1522" s="5" t="s">
        <v>2267</v>
      </c>
      <c r="Q1522" s="5" t="s">
        <v>2271</v>
      </c>
      <c r="R1522" s="5" t="s">
        <v>2273</v>
      </c>
      <c r="S1522" s="5" t="s">
        <v>2286</v>
      </c>
      <c r="T1522" s="5" t="s">
        <v>2288</v>
      </c>
      <c r="U1522" s="8">
        <v>4</v>
      </c>
      <c r="V1522" s="8">
        <v>80</v>
      </c>
      <c r="W1522" s="19">
        <v>37</v>
      </c>
      <c r="X1522" s="9">
        <v>40.14</v>
      </c>
      <c r="Y1522" s="9">
        <f t="shared" si="277"/>
        <v>45.36</v>
      </c>
      <c r="Z1522" s="5" t="s">
        <v>2293</v>
      </c>
      <c r="AA1522" s="5" t="s">
        <v>2298</v>
      </c>
      <c r="AB1522" s="9">
        <f t="shared" si="278"/>
        <v>95</v>
      </c>
      <c r="AC1522" s="9">
        <f t="shared" si="279"/>
        <v>9.5</v>
      </c>
      <c r="AD1522" s="9">
        <f t="shared" si="280"/>
        <v>85.5</v>
      </c>
      <c r="AE1522" s="9">
        <f t="shared" si="281"/>
        <v>40.14</v>
      </c>
      <c r="AF1522" s="9">
        <f t="shared" si="287"/>
        <v>45.36</v>
      </c>
      <c r="AG1522" s="8">
        <f t="shared" si="282"/>
        <v>2024</v>
      </c>
      <c r="AH1522" s="8">
        <f t="shared" si="283"/>
        <v>10</v>
      </c>
      <c r="AI1522" s="5" t="str">
        <f t="shared" si="284"/>
        <v>Oct</v>
      </c>
      <c r="AJ1522" s="5" t="str">
        <f t="shared" si="285"/>
        <v>Thursday</v>
      </c>
    </row>
    <row r="1523" spans="1:36" x14ac:dyDescent="0.3">
      <c r="A1523" s="5" t="s">
        <v>1557</v>
      </c>
      <c r="B1523" s="6">
        <v>45398</v>
      </c>
      <c r="C1523" s="7">
        <v>0.76388888888888884</v>
      </c>
      <c r="D1523" s="5" t="s">
        <v>1761</v>
      </c>
      <c r="E1523" s="5" t="s">
        <v>2202</v>
      </c>
      <c r="F1523" s="5" t="s">
        <v>2240</v>
      </c>
      <c r="G1523" s="5" t="s">
        <v>2249</v>
      </c>
      <c r="H1523" s="5" t="s">
        <v>2257</v>
      </c>
      <c r="I1523" s="5" t="s">
        <v>2263</v>
      </c>
      <c r="J1523" s="5" t="s">
        <v>2266</v>
      </c>
      <c r="K1523" s="8">
        <v>1</v>
      </c>
      <c r="L1523" s="9">
        <v>160</v>
      </c>
      <c r="M1523" s="10">
        <v>0.05</v>
      </c>
      <c r="N1523" s="9">
        <f t="shared" si="286"/>
        <v>160</v>
      </c>
      <c r="O1523" s="9">
        <f t="shared" si="276"/>
        <v>152</v>
      </c>
      <c r="P1523" s="5" t="s">
        <v>2269</v>
      </c>
      <c r="Q1523" s="5" t="s">
        <v>2272</v>
      </c>
      <c r="R1523" s="5" t="s">
        <v>2276</v>
      </c>
      <c r="S1523" s="5" t="s">
        <v>2285</v>
      </c>
      <c r="T1523" s="5" t="s">
        <v>2290</v>
      </c>
      <c r="U1523" s="19">
        <v>3</v>
      </c>
      <c r="V1523" s="8">
        <v>433</v>
      </c>
      <c r="W1523" s="8">
        <v>25</v>
      </c>
      <c r="X1523" s="9">
        <v>68.099999999999994</v>
      </c>
      <c r="Y1523" s="9">
        <f t="shared" si="277"/>
        <v>83.9</v>
      </c>
      <c r="Z1523" s="5" t="s">
        <v>1761</v>
      </c>
      <c r="AA1523" s="5" t="s">
        <v>2298</v>
      </c>
      <c r="AB1523" s="9">
        <f t="shared" si="278"/>
        <v>160</v>
      </c>
      <c r="AC1523" s="9">
        <f t="shared" si="279"/>
        <v>8</v>
      </c>
      <c r="AD1523" s="9">
        <f t="shared" si="280"/>
        <v>152</v>
      </c>
      <c r="AE1523" s="9">
        <f t="shared" si="281"/>
        <v>68.099999999999994</v>
      </c>
      <c r="AF1523" s="9">
        <f t="shared" si="287"/>
        <v>83.9</v>
      </c>
      <c r="AG1523" s="8">
        <f t="shared" si="282"/>
        <v>2024</v>
      </c>
      <c r="AH1523" s="8">
        <f t="shared" si="283"/>
        <v>4</v>
      </c>
      <c r="AI1523" s="5" t="str">
        <f t="shared" si="284"/>
        <v>Apr</v>
      </c>
      <c r="AJ1523" s="5" t="str">
        <f t="shared" si="285"/>
        <v>Tuesday</v>
      </c>
    </row>
    <row r="1524" spans="1:36" x14ac:dyDescent="0.3">
      <c r="A1524" s="5" t="s">
        <v>1558</v>
      </c>
      <c r="B1524" s="6">
        <v>45656</v>
      </c>
      <c r="C1524" s="7">
        <v>0.8125</v>
      </c>
      <c r="D1524" s="5" t="s">
        <v>1890</v>
      </c>
      <c r="E1524" s="5" t="s">
        <v>1761</v>
      </c>
      <c r="F1524" s="5" t="s">
        <v>2239</v>
      </c>
      <c r="G1524" s="5" t="s">
        <v>2245</v>
      </c>
      <c r="H1524" s="5" t="s">
        <v>2257</v>
      </c>
      <c r="I1524" s="5" t="s">
        <v>2263</v>
      </c>
      <c r="J1524" s="5" t="s">
        <v>2264</v>
      </c>
      <c r="K1524" s="8">
        <v>1</v>
      </c>
      <c r="L1524" s="9">
        <v>145</v>
      </c>
      <c r="M1524" s="10">
        <v>0.1</v>
      </c>
      <c r="N1524" s="9">
        <f t="shared" si="286"/>
        <v>145</v>
      </c>
      <c r="O1524" s="9">
        <f t="shared" si="276"/>
        <v>130.5</v>
      </c>
      <c r="P1524" s="5" t="s">
        <v>2268</v>
      </c>
      <c r="Q1524" s="5" t="s">
        <v>1761</v>
      </c>
      <c r="R1524" s="5" t="s">
        <v>2279</v>
      </c>
      <c r="S1524" s="5" t="s">
        <v>2286</v>
      </c>
      <c r="T1524" s="5" t="s">
        <v>2288</v>
      </c>
      <c r="U1524" s="8">
        <v>4</v>
      </c>
      <c r="V1524" s="8">
        <v>204</v>
      </c>
      <c r="W1524" s="8">
        <v>50</v>
      </c>
      <c r="X1524" s="9">
        <v>53.19</v>
      </c>
      <c r="Y1524" s="9">
        <f t="shared" si="277"/>
        <v>77.31</v>
      </c>
      <c r="Z1524" s="5" t="s">
        <v>1761</v>
      </c>
      <c r="AA1524" s="5" t="s">
        <v>2296</v>
      </c>
      <c r="AB1524" s="9">
        <f t="shared" si="278"/>
        <v>145</v>
      </c>
      <c r="AC1524" s="9">
        <f t="shared" si="279"/>
        <v>14.5</v>
      </c>
      <c r="AD1524" s="9">
        <f t="shared" si="280"/>
        <v>130.5</v>
      </c>
      <c r="AE1524" s="9">
        <f t="shared" si="281"/>
        <v>53.19</v>
      </c>
      <c r="AF1524" s="9">
        <f t="shared" si="287"/>
        <v>77.31</v>
      </c>
      <c r="AG1524" s="8">
        <f t="shared" si="282"/>
        <v>2024</v>
      </c>
      <c r="AH1524" s="8">
        <f t="shared" si="283"/>
        <v>12</v>
      </c>
      <c r="AI1524" s="5" t="str">
        <f t="shared" si="284"/>
        <v>Dec</v>
      </c>
      <c r="AJ1524" s="5" t="str">
        <f t="shared" si="285"/>
        <v>Monday</v>
      </c>
    </row>
    <row r="1525" spans="1:36" x14ac:dyDescent="0.3">
      <c r="A1525" s="5" t="s">
        <v>1559</v>
      </c>
      <c r="B1525" s="6">
        <v>45352</v>
      </c>
      <c r="C1525" s="7">
        <v>0.70833333333333337</v>
      </c>
      <c r="D1525" s="5" t="s">
        <v>1917</v>
      </c>
      <c r="E1525" s="5" t="s">
        <v>2111</v>
      </c>
      <c r="F1525" s="5" t="s">
        <v>2239</v>
      </c>
      <c r="G1525" s="5" t="s">
        <v>2242</v>
      </c>
      <c r="H1525" s="5" t="s">
        <v>2258</v>
      </c>
      <c r="I1525" s="5" t="s">
        <v>2260</v>
      </c>
      <c r="J1525" s="5" t="s">
        <v>2265</v>
      </c>
      <c r="K1525" s="8">
        <v>1</v>
      </c>
      <c r="L1525" s="9">
        <v>120</v>
      </c>
      <c r="M1525" s="10">
        <v>0.1</v>
      </c>
      <c r="N1525" s="9">
        <f t="shared" si="286"/>
        <v>120</v>
      </c>
      <c r="O1525" s="9">
        <f t="shared" si="276"/>
        <v>108</v>
      </c>
      <c r="P1525" s="5" t="s">
        <v>2269</v>
      </c>
      <c r="Q1525" s="5" t="s">
        <v>2272</v>
      </c>
      <c r="R1525" s="5" t="s">
        <v>2273</v>
      </c>
      <c r="S1525" s="5" t="s">
        <v>2286</v>
      </c>
      <c r="T1525" s="5" t="s">
        <v>2290</v>
      </c>
      <c r="U1525" s="19">
        <v>3</v>
      </c>
      <c r="V1525" s="8">
        <v>368</v>
      </c>
      <c r="W1525" s="19">
        <v>35</v>
      </c>
      <c r="X1525" s="9">
        <v>70.11</v>
      </c>
      <c r="Y1525" s="9">
        <f t="shared" si="277"/>
        <v>37.89</v>
      </c>
      <c r="Z1525" s="5" t="s">
        <v>1761</v>
      </c>
      <c r="AA1525" s="5" t="s">
        <v>2298</v>
      </c>
      <c r="AB1525" s="9">
        <f t="shared" si="278"/>
        <v>120</v>
      </c>
      <c r="AC1525" s="9">
        <f t="shared" si="279"/>
        <v>12</v>
      </c>
      <c r="AD1525" s="9">
        <f t="shared" si="280"/>
        <v>108</v>
      </c>
      <c r="AE1525" s="9">
        <f t="shared" si="281"/>
        <v>70.11</v>
      </c>
      <c r="AF1525" s="9">
        <f t="shared" si="287"/>
        <v>37.89</v>
      </c>
      <c r="AG1525" s="8">
        <f t="shared" si="282"/>
        <v>2024</v>
      </c>
      <c r="AH1525" s="8">
        <f t="shared" si="283"/>
        <v>3</v>
      </c>
      <c r="AI1525" s="5" t="str">
        <f t="shared" si="284"/>
        <v>Mar</v>
      </c>
      <c r="AJ1525" s="5" t="str">
        <f t="shared" si="285"/>
        <v>Friday</v>
      </c>
    </row>
    <row r="1526" spans="1:36" x14ac:dyDescent="0.3">
      <c r="A1526" s="5" t="s">
        <v>1560</v>
      </c>
      <c r="B1526" s="6">
        <v>45608</v>
      </c>
      <c r="C1526" s="7">
        <v>0.5625</v>
      </c>
      <c r="D1526" s="5" t="s">
        <v>1863</v>
      </c>
      <c r="E1526" s="5" t="s">
        <v>2192</v>
      </c>
      <c r="F1526" s="5" t="s">
        <v>2239</v>
      </c>
      <c r="G1526" s="5" t="s">
        <v>2245</v>
      </c>
      <c r="H1526" s="5" t="s">
        <v>2257</v>
      </c>
      <c r="I1526" s="5" t="s">
        <v>2263</v>
      </c>
      <c r="J1526" s="5" t="s">
        <v>1761</v>
      </c>
      <c r="K1526" s="8">
        <v>1</v>
      </c>
      <c r="L1526" s="9">
        <v>150</v>
      </c>
      <c r="M1526" s="10">
        <v>0.05</v>
      </c>
      <c r="N1526" s="9">
        <f t="shared" si="286"/>
        <v>150</v>
      </c>
      <c r="O1526" s="9">
        <f t="shared" si="276"/>
        <v>142.5</v>
      </c>
      <c r="P1526" s="5" t="s">
        <v>2268</v>
      </c>
      <c r="Q1526" s="5" t="s">
        <v>2272</v>
      </c>
      <c r="R1526" s="5" t="s">
        <v>2275</v>
      </c>
      <c r="S1526" s="5" t="s">
        <v>2286</v>
      </c>
      <c r="T1526" s="5" t="s">
        <v>2289</v>
      </c>
      <c r="U1526" s="8">
        <v>4</v>
      </c>
      <c r="V1526" s="8">
        <v>329</v>
      </c>
      <c r="W1526" s="19">
        <v>35</v>
      </c>
      <c r="X1526" s="9">
        <v>67</v>
      </c>
      <c r="Y1526" s="9">
        <f t="shared" si="277"/>
        <v>75.5</v>
      </c>
      <c r="Z1526" s="5" t="s">
        <v>2291</v>
      </c>
      <c r="AA1526" s="5" t="s">
        <v>2296</v>
      </c>
      <c r="AB1526" s="9">
        <f t="shared" si="278"/>
        <v>150</v>
      </c>
      <c r="AC1526" s="9">
        <f t="shared" si="279"/>
        <v>7.5</v>
      </c>
      <c r="AD1526" s="9">
        <f t="shared" si="280"/>
        <v>142.5</v>
      </c>
      <c r="AE1526" s="9">
        <f t="shared" si="281"/>
        <v>67</v>
      </c>
      <c r="AF1526" s="9">
        <f t="shared" si="287"/>
        <v>75.5</v>
      </c>
      <c r="AG1526" s="8">
        <f t="shared" si="282"/>
        <v>2024</v>
      </c>
      <c r="AH1526" s="8">
        <f t="shared" si="283"/>
        <v>11</v>
      </c>
      <c r="AI1526" s="5" t="str">
        <f t="shared" si="284"/>
        <v>Nov</v>
      </c>
      <c r="AJ1526" s="5" t="str">
        <f t="shared" si="285"/>
        <v>Tuesday</v>
      </c>
    </row>
    <row r="1527" spans="1:36" x14ac:dyDescent="0.3">
      <c r="A1527" s="5" t="s">
        <v>1561</v>
      </c>
      <c r="B1527" s="6">
        <v>45404</v>
      </c>
      <c r="C1527" s="7">
        <v>0.65972222222222221</v>
      </c>
      <c r="D1527" s="5" t="s">
        <v>1899</v>
      </c>
      <c r="E1527" s="5" t="s">
        <v>2081</v>
      </c>
      <c r="F1527" s="5" t="s">
        <v>2240</v>
      </c>
      <c r="G1527" s="5" t="s">
        <v>2249</v>
      </c>
      <c r="H1527" s="5" t="s">
        <v>2257</v>
      </c>
      <c r="I1527" s="5" t="s">
        <v>2263</v>
      </c>
      <c r="J1527" s="5" t="s">
        <v>2266</v>
      </c>
      <c r="K1527" s="8">
        <v>1</v>
      </c>
      <c r="L1527" s="9">
        <v>160</v>
      </c>
      <c r="M1527" s="10">
        <v>0.05</v>
      </c>
      <c r="N1527" s="9">
        <f t="shared" si="286"/>
        <v>160</v>
      </c>
      <c r="O1527" s="9">
        <f t="shared" si="276"/>
        <v>152</v>
      </c>
      <c r="P1527" s="5" t="s">
        <v>2269</v>
      </c>
      <c r="Q1527" s="5" t="s">
        <v>2271</v>
      </c>
      <c r="R1527" s="5" t="s">
        <v>2279</v>
      </c>
      <c r="S1527" s="5" t="s">
        <v>2283</v>
      </c>
      <c r="T1527" s="5" t="s">
        <v>2288</v>
      </c>
      <c r="U1527" s="8">
        <v>5</v>
      </c>
      <c r="V1527" s="8">
        <v>28</v>
      </c>
      <c r="W1527" s="8">
        <v>22</v>
      </c>
      <c r="X1527" s="9">
        <v>91.82</v>
      </c>
      <c r="Y1527" s="9">
        <f t="shared" si="277"/>
        <v>60.180000000000007</v>
      </c>
      <c r="Z1527" s="5" t="s">
        <v>2292</v>
      </c>
      <c r="AA1527" s="5" t="s">
        <v>2296</v>
      </c>
      <c r="AB1527" s="9">
        <f t="shared" si="278"/>
        <v>160</v>
      </c>
      <c r="AC1527" s="9">
        <f t="shared" si="279"/>
        <v>8</v>
      </c>
      <c r="AD1527" s="9">
        <f t="shared" si="280"/>
        <v>152</v>
      </c>
      <c r="AE1527" s="9">
        <f t="shared" si="281"/>
        <v>91.82</v>
      </c>
      <c r="AF1527" s="9">
        <f t="shared" si="287"/>
        <v>60.180000000000007</v>
      </c>
      <c r="AG1527" s="8">
        <f t="shared" si="282"/>
        <v>2024</v>
      </c>
      <c r="AH1527" s="8">
        <f t="shared" si="283"/>
        <v>4</v>
      </c>
      <c r="AI1527" s="5" t="str">
        <f t="shared" si="284"/>
        <v>Apr</v>
      </c>
      <c r="AJ1527" s="5" t="str">
        <f t="shared" si="285"/>
        <v>Monday</v>
      </c>
    </row>
    <row r="1528" spans="1:36" x14ac:dyDescent="0.3">
      <c r="A1528" s="5" t="s">
        <v>1562</v>
      </c>
      <c r="B1528" s="6">
        <v>45341</v>
      </c>
      <c r="C1528" s="7">
        <v>0.30208333333333331</v>
      </c>
      <c r="D1528" s="5" t="s">
        <v>1881</v>
      </c>
      <c r="E1528" s="5" t="s">
        <v>2156</v>
      </c>
      <c r="F1528" s="5" t="s">
        <v>2240</v>
      </c>
      <c r="G1528" s="5" t="s">
        <v>2251</v>
      </c>
      <c r="H1528" s="5" t="s">
        <v>2258</v>
      </c>
      <c r="I1528" s="5" t="s">
        <v>2260</v>
      </c>
      <c r="J1528" s="5" t="s">
        <v>2265</v>
      </c>
      <c r="K1528" s="8">
        <v>3</v>
      </c>
      <c r="L1528" s="9">
        <v>105</v>
      </c>
      <c r="M1528" s="10">
        <v>0</v>
      </c>
      <c r="N1528" s="9">
        <f t="shared" si="286"/>
        <v>315</v>
      </c>
      <c r="O1528" s="9">
        <f t="shared" si="276"/>
        <v>315</v>
      </c>
      <c r="P1528" s="5" t="s">
        <v>2269</v>
      </c>
      <c r="Q1528" s="5" t="s">
        <v>2270</v>
      </c>
      <c r="R1528" s="5" t="s">
        <v>2278</v>
      </c>
      <c r="S1528" s="5" t="s">
        <v>2283</v>
      </c>
      <c r="T1528" s="5" t="s">
        <v>2288</v>
      </c>
      <c r="U1528" s="8">
        <v>2</v>
      </c>
      <c r="V1528" s="19">
        <v>244</v>
      </c>
      <c r="W1528" s="8">
        <v>33</v>
      </c>
      <c r="X1528" s="9">
        <v>52.91</v>
      </c>
      <c r="Y1528" s="9">
        <f t="shared" si="277"/>
        <v>156.27000000000001</v>
      </c>
      <c r="Z1528" s="5" t="s">
        <v>1761</v>
      </c>
      <c r="AA1528" s="5" t="s">
        <v>2297</v>
      </c>
      <c r="AB1528" s="9">
        <f t="shared" si="278"/>
        <v>315</v>
      </c>
      <c r="AC1528" s="9">
        <f t="shared" si="279"/>
        <v>0</v>
      </c>
      <c r="AD1528" s="9">
        <f t="shared" si="280"/>
        <v>315</v>
      </c>
      <c r="AE1528" s="9">
        <f t="shared" si="281"/>
        <v>158.72999999999999</v>
      </c>
      <c r="AF1528" s="9">
        <f t="shared" si="287"/>
        <v>156.27000000000001</v>
      </c>
      <c r="AG1528" s="8">
        <f t="shared" si="282"/>
        <v>2024</v>
      </c>
      <c r="AH1528" s="8">
        <f t="shared" si="283"/>
        <v>2</v>
      </c>
      <c r="AI1528" s="5" t="str">
        <f t="shared" si="284"/>
        <v>Feb</v>
      </c>
      <c r="AJ1528" s="5" t="str">
        <f t="shared" si="285"/>
        <v>Monday</v>
      </c>
    </row>
    <row r="1529" spans="1:36" x14ac:dyDescent="0.3">
      <c r="A1529" s="5" t="s">
        <v>1563</v>
      </c>
      <c r="B1529" s="6">
        <v>45297</v>
      </c>
      <c r="C1529" s="7">
        <v>0.79166666666666663</v>
      </c>
      <c r="D1529" s="5" t="s">
        <v>1896</v>
      </c>
      <c r="E1529" s="5" t="s">
        <v>2129</v>
      </c>
      <c r="F1529" s="5" t="s">
        <v>2240</v>
      </c>
      <c r="G1529" s="5" t="s">
        <v>2252</v>
      </c>
      <c r="H1529" s="5" t="s">
        <v>2257</v>
      </c>
      <c r="I1529" s="5" t="s">
        <v>2262</v>
      </c>
      <c r="J1529" s="5" t="s">
        <v>2265</v>
      </c>
      <c r="K1529" s="19">
        <v>2</v>
      </c>
      <c r="L1529" s="9">
        <v>85</v>
      </c>
      <c r="M1529" s="10">
        <v>0.05</v>
      </c>
      <c r="N1529" s="9">
        <f t="shared" si="286"/>
        <v>170</v>
      </c>
      <c r="O1529" s="9">
        <f t="shared" si="276"/>
        <v>161.5</v>
      </c>
      <c r="P1529" s="5" t="s">
        <v>2268</v>
      </c>
      <c r="Q1529" s="5" t="s">
        <v>1761</v>
      </c>
      <c r="R1529" s="5" t="s">
        <v>2279</v>
      </c>
      <c r="S1529" s="5" t="s">
        <v>2281</v>
      </c>
      <c r="T1529" s="5" t="s">
        <v>2290</v>
      </c>
      <c r="U1529" s="8">
        <v>5</v>
      </c>
      <c r="V1529" s="8">
        <v>71</v>
      </c>
      <c r="W1529" s="19">
        <v>36</v>
      </c>
      <c r="X1529" s="9">
        <v>33.26</v>
      </c>
      <c r="Y1529" s="9">
        <f t="shared" si="277"/>
        <v>94.98</v>
      </c>
      <c r="Z1529" s="5" t="s">
        <v>2294</v>
      </c>
      <c r="AA1529" s="5" t="s">
        <v>2296</v>
      </c>
      <c r="AB1529" s="9">
        <f t="shared" si="278"/>
        <v>170</v>
      </c>
      <c r="AC1529" s="9">
        <f t="shared" si="279"/>
        <v>8.5</v>
      </c>
      <c r="AD1529" s="9">
        <f t="shared" si="280"/>
        <v>161.5</v>
      </c>
      <c r="AE1529" s="9">
        <f t="shared" si="281"/>
        <v>66.52</v>
      </c>
      <c r="AF1529" s="9">
        <f t="shared" si="287"/>
        <v>94.98</v>
      </c>
      <c r="AG1529" s="8">
        <f t="shared" si="282"/>
        <v>2024</v>
      </c>
      <c r="AH1529" s="8">
        <f t="shared" si="283"/>
        <v>1</v>
      </c>
      <c r="AI1529" s="5" t="str">
        <f t="shared" si="284"/>
        <v>Jan</v>
      </c>
      <c r="AJ1529" s="5" t="str">
        <f t="shared" si="285"/>
        <v>Saturday</v>
      </c>
    </row>
    <row r="1530" spans="1:36" x14ac:dyDescent="0.3">
      <c r="A1530" s="5" t="s">
        <v>1564</v>
      </c>
      <c r="B1530" s="6">
        <v>45577</v>
      </c>
      <c r="C1530" s="7">
        <v>0.46875</v>
      </c>
      <c r="D1530" s="5" t="s">
        <v>1822</v>
      </c>
      <c r="E1530" s="5" t="s">
        <v>2155</v>
      </c>
      <c r="F1530" s="5" t="s">
        <v>1761</v>
      </c>
      <c r="G1530" s="5" t="s">
        <v>2243</v>
      </c>
      <c r="H1530" s="5" t="s">
        <v>2258</v>
      </c>
      <c r="I1530" s="5" t="s">
        <v>2260</v>
      </c>
      <c r="J1530" s="5" t="s">
        <v>2266</v>
      </c>
      <c r="K1530" s="8">
        <v>1</v>
      </c>
      <c r="L1530" s="9">
        <v>80</v>
      </c>
      <c r="M1530" s="10">
        <v>0</v>
      </c>
      <c r="N1530" s="9">
        <f t="shared" si="286"/>
        <v>80</v>
      </c>
      <c r="O1530" s="9">
        <f t="shared" si="276"/>
        <v>80</v>
      </c>
      <c r="P1530" s="5" t="s">
        <v>2267</v>
      </c>
      <c r="Q1530" s="5" t="s">
        <v>1761</v>
      </c>
      <c r="R1530" s="5" t="s">
        <v>2275</v>
      </c>
      <c r="S1530" s="5" t="s">
        <v>2281</v>
      </c>
      <c r="T1530" s="5" t="s">
        <v>2288</v>
      </c>
      <c r="U1530" s="19">
        <v>3</v>
      </c>
      <c r="V1530" s="8">
        <v>345</v>
      </c>
      <c r="W1530" s="8">
        <v>32</v>
      </c>
      <c r="X1530" s="9">
        <v>30.27</v>
      </c>
      <c r="Y1530" s="9">
        <f t="shared" si="277"/>
        <v>49.730000000000004</v>
      </c>
      <c r="Z1530" s="5" t="s">
        <v>2293</v>
      </c>
      <c r="AA1530" s="5" t="s">
        <v>2299</v>
      </c>
      <c r="AB1530" s="9">
        <f t="shared" si="278"/>
        <v>80</v>
      </c>
      <c r="AC1530" s="9">
        <f t="shared" si="279"/>
        <v>0</v>
      </c>
      <c r="AD1530" s="9">
        <f t="shared" si="280"/>
        <v>80</v>
      </c>
      <c r="AE1530" s="9">
        <f t="shared" si="281"/>
        <v>30.27</v>
      </c>
      <c r="AF1530" s="9">
        <f t="shared" si="287"/>
        <v>49.730000000000004</v>
      </c>
      <c r="AG1530" s="8">
        <f t="shared" si="282"/>
        <v>2024</v>
      </c>
      <c r="AH1530" s="8">
        <f t="shared" si="283"/>
        <v>10</v>
      </c>
      <c r="AI1530" s="5" t="str">
        <f t="shared" si="284"/>
        <v>Oct</v>
      </c>
      <c r="AJ1530" s="5" t="str">
        <f t="shared" si="285"/>
        <v>Saturday</v>
      </c>
    </row>
    <row r="1531" spans="1:36" x14ac:dyDescent="0.3">
      <c r="A1531" s="5" t="s">
        <v>1565</v>
      </c>
      <c r="B1531" s="6">
        <v>45554</v>
      </c>
      <c r="C1531" s="7">
        <v>0.67361111111111116</v>
      </c>
      <c r="D1531" s="5" t="s">
        <v>1755</v>
      </c>
      <c r="E1531" s="5" t="s">
        <v>2191</v>
      </c>
      <c r="F1531" s="5" t="s">
        <v>2238</v>
      </c>
      <c r="G1531" s="5" t="s">
        <v>2241</v>
      </c>
      <c r="H1531" s="5" t="s">
        <v>2257</v>
      </c>
      <c r="I1531" s="5" t="s">
        <v>2262</v>
      </c>
      <c r="J1531" s="5" t="s">
        <v>2264</v>
      </c>
      <c r="K1531" s="8">
        <v>1</v>
      </c>
      <c r="L1531" s="9">
        <v>130</v>
      </c>
      <c r="M1531" s="10">
        <v>0.05</v>
      </c>
      <c r="N1531" s="9">
        <f t="shared" si="286"/>
        <v>130</v>
      </c>
      <c r="O1531" s="9">
        <f t="shared" si="276"/>
        <v>123.5</v>
      </c>
      <c r="P1531" s="5" t="s">
        <v>2268</v>
      </c>
      <c r="Q1531" s="5" t="s">
        <v>2270</v>
      </c>
      <c r="R1531" s="5" t="s">
        <v>2276</v>
      </c>
      <c r="S1531" s="5" t="s">
        <v>2286</v>
      </c>
      <c r="T1531" s="5" t="s">
        <v>2290</v>
      </c>
      <c r="U1531" s="8">
        <v>4</v>
      </c>
      <c r="V1531" s="8">
        <v>159</v>
      </c>
      <c r="W1531" s="8">
        <v>23</v>
      </c>
      <c r="X1531" s="9">
        <v>46.65</v>
      </c>
      <c r="Y1531" s="9">
        <f t="shared" si="277"/>
        <v>76.849999999999994</v>
      </c>
      <c r="Z1531" s="5" t="s">
        <v>1761</v>
      </c>
      <c r="AA1531" s="5" t="s">
        <v>2299</v>
      </c>
      <c r="AB1531" s="9">
        <f t="shared" si="278"/>
        <v>130</v>
      </c>
      <c r="AC1531" s="9">
        <f t="shared" si="279"/>
        <v>6.5</v>
      </c>
      <c r="AD1531" s="9">
        <f t="shared" si="280"/>
        <v>123.5</v>
      </c>
      <c r="AE1531" s="9">
        <f t="shared" si="281"/>
        <v>46.65</v>
      </c>
      <c r="AF1531" s="9">
        <f t="shared" si="287"/>
        <v>76.849999999999994</v>
      </c>
      <c r="AG1531" s="8">
        <f t="shared" si="282"/>
        <v>2024</v>
      </c>
      <c r="AH1531" s="8">
        <f t="shared" si="283"/>
        <v>9</v>
      </c>
      <c r="AI1531" s="5" t="str">
        <f t="shared" si="284"/>
        <v>Sep</v>
      </c>
      <c r="AJ1531" s="5" t="str">
        <f t="shared" si="285"/>
        <v>Thursday</v>
      </c>
    </row>
    <row r="1532" spans="1:36" x14ac:dyDescent="0.3">
      <c r="A1532" s="5" t="s">
        <v>1566</v>
      </c>
      <c r="B1532" s="6">
        <v>45366</v>
      </c>
      <c r="C1532" s="7">
        <v>0.57291666666666663</v>
      </c>
      <c r="D1532" s="5" t="s">
        <v>1825</v>
      </c>
      <c r="E1532" s="5" t="s">
        <v>2163</v>
      </c>
      <c r="F1532" s="5" t="s">
        <v>1761</v>
      </c>
      <c r="G1532" s="5" t="s">
        <v>2245</v>
      </c>
      <c r="H1532" s="5" t="s">
        <v>2257</v>
      </c>
      <c r="I1532" s="5" t="s">
        <v>2263</v>
      </c>
      <c r="J1532" s="5" t="s">
        <v>1761</v>
      </c>
      <c r="K1532" s="8">
        <v>2</v>
      </c>
      <c r="L1532" s="9">
        <v>150</v>
      </c>
      <c r="M1532" s="10">
        <v>0</v>
      </c>
      <c r="N1532" s="9">
        <f t="shared" si="286"/>
        <v>300</v>
      </c>
      <c r="O1532" s="9">
        <f t="shared" si="276"/>
        <v>300</v>
      </c>
      <c r="P1532" s="5" t="s">
        <v>2268</v>
      </c>
      <c r="Q1532" s="5" t="s">
        <v>1761</v>
      </c>
      <c r="R1532" s="5" t="s">
        <v>2278</v>
      </c>
      <c r="S1532" s="5" t="s">
        <v>2282</v>
      </c>
      <c r="T1532" s="5" t="s">
        <v>2288</v>
      </c>
      <c r="U1532" s="8">
        <v>3</v>
      </c>
      <c r="V1532" s="8">
        <v>76</v>
      </c>
      <c r="W1532" s="19">
        <v>36</v>
      </c>
      <c r="X1532" s="9">
        <v>64.739999999999995</v>
      </c>
      <c r="Y1532" s="9">
        <f t="shared" si="277"/>
        <v>170.52</v>
      </c>
      <c r="Z1532" s="5" t="s">
        <v>1761</v>
      </c>
      <c r="AA1532" s="5" t="s">
        <v>2296</v>
      </c>
      <c r="AB1532" s="9">
        <f t="shared" si="278"/>
        <v>300</v>
      </c>
      <c r="AC1532" s="9">
        <f t="shared" si="279"/>
        <v>0</v>
      </c>
      <c r="AD1532" s="9">
        <f t="shared" si="280"/>
        <v>300</v>
      </c>
      <c r="AE1532" s="9">
        <f t="shared" si="281"/>
        <v>129.47999999999999</v>
      </c>
      <c r="AF1532" s="9">
        <f t="shared" si="287"/>
        <v>170.52</v>
      </c>
      <c r="AG1532" s="8">
        <f t="shared" si="282"/>
        <v>2024</v>
      </c>
      <c r="AH1532" s="8">
        <f t="shared" si="283"/>
        <v>3</v>
      </c>
      <c r="AI1532" s="5" t="str">
        <f t="shared" si="284"/>
        <v>Mar</v>
      </c>
      <c r="AJ1532" s="5" t="str">
        <f t="shared" si="285"/>
        <v>Friday</v>
      </c>
    </row>
    <row r="1533" spans="1:36" x14ac:dyDescent="0.3">
      <c r="A1533" s="5" t="s">
        <v>1567</v>
      </c>
      <c r="B1533" s="6">
        <v>45589</v>
      </c>
      <c r="C1533" s="7">
        <v>0.79861111111111116</v>
      </c>
      <c r="D1533" s="5" t="s">
        <v>1932</v>
      </c>
      <c r="E1533" s="5" t="s">
        <v>1761</v>
      </c>
      <c r="F1533" s="5" t="s">
        <v>2239</v>
      </c>
      <c r="G1533" s="5" t="s">
        <v>2251</v>
      </c>
      <c r="H1533" s="5" t="s">
        <v>2258</v>
      </c>
      <c r="I1533" s="5" t="s">
        <v>2260</v>
      </c>
      <c r="J1533" s="5" t="s">
        <v>2266</v>
      </c>
      <c r="K1533" s="8">
        <v>1</v>
      </c>
      <c r="L1533" s="9">
        <v>100</v>
      </c>
      <c r="M1533" s="10">
        <v>0</v>
      </c>
      <c r="N1533" s="9">
        <f t="shared" si="286"/>
        <v>100</v>
      </c>
      <c r="O1533" s="9">
        <f t="shared" si="276"/>
        <v>100</v>
      </c>
      <c r="P1533" s="5" t="s">
        <v>2268</v>
      </c>
      <c r="Q1533" s="5" t="s">
        <v>1761</v>
      </c>
      <c r="R1533" s="5" t="s">
        <v>2274</v>
      </c>
      <c r="S1533" s="5" t="s">
        <v>2283</v>
      </c>
      <c r="T1533" s="5" t="s">
        <v>2290</v>
      </c>
      <c r="U1533" s="8">
        <v>2</v>
      </c>
      <c r="V1533" s="8">
        <v>138</v>
      </c>
      <c r="W1533" s="8">
        <v>43</v>
      </c>
      <c r="X1533" s="9">
        <v>51.33</v>
      </c>
      <c r="Y1533" s="9">
        <f t="shared" si="277"/>
        <v>48.67</v>
      </c>
      <c r="Z1533" s="5" t="s">
        <v>2292</v>
      </c>
      <c r="AA1533" s="5" t="s">
        <v>2296</v>
      </c>
      <c r="AB1533" s="9">
        <f t="shared" si="278"/>
        <v>100</v>
      </c>
      <c r="AC1533" s="9">
        <f t="shared" si="279"/>
        <v>0</v>
      </c>
      <c r="AD1533" s="9">
        <f t="shared" si="280"/>
        <v>100</v>
      </c>
      <c r="AE1533" s="9">
        <f t="shared" si="281"/>
        <v>51.33</v>
      </c>
      <c r="AF1533" s="9">
        <f t="shared" si="287"/>
        <v>48.67</v>
      </c>
      <c r="AG1533" s="8">
        <f t="shared" si="282"/>
        <v>2024</v>
      </c>
      <c r="AH1533" s="8">
        <f t="shared" si="283"/>
        <v>10</v>
      </c>
      <c r="AI1533" s="5" t="str">
        <f t="shared" si="284"/>
        <v>Oct</v>
      </c>
      <c r="AJ1533" s="5" t="str">
        <f t="shared" si="285"/>
        <v>Thursday</v>
      </c>
    </row>
    <row r="1534" spans="1:36" x14ac:dyDescent="0.3">
      <c r="A1534" s="5" t="s">
        <v>1568</v>
      </c>
      <c r="B1534" s="6">
        <v>45585</v>
      </c>
      <c r="C1534" s="7">
        <v>0.34722222222222221</v>
      </c>
      <c r="D1534" s="5" t="s">
        <v>1829</v>
      </c>
      <c r="E1534" s="5" t="s">
        <v>2110</v>
      </c>
      <c r="F1534" s="5" t="s">
        <v>2239</v>
      </c>
      <c r="G1534" s="5" t="s">
        <v>2254</v>
      </c>
      <c r="H1534" s="5" t="s">
        <v>2259</v>
      </c>
      <c r="I1534" s="5" t="s">
        <v>2263</v>
      </c>
      <c r="J1534" s="5" t="s">
        <v>2264</v>
      </c>
      <c r="K1534" s="8">
        <v>1</v>
      </c>
      <c r="L1534" s="9">
        <v>110</v>
      </c>
      <c r="M1534" s="10">
        <v>0</v>
      </c>
      <c r="N1534" s="9">
        <f t="shared" si="286"/>
        <v>110</v>
      </c>
      <c r="O1534" s="9">
        <f t="shared" si="276"/>
        <v>110</v>
      </c>
      <c r="P1534" s="5" t="s">
        <v>2268</v>
      </c>
      <c r="Q1534" s="5" t="s">
        <v>2272</v>
      </c>
      <c r="R1534" s="5" t="s">
        <v>2278</v>
      </c>
      <c r="S1534" s="5" t="s">
        <v>2286</v>
      </c>
      <c r="T1534" s="5" t="s">
        <v>2289</v>
      </c>
      <c r="U1534" s="8">
        <v>1</v>
      </c>
      <c r="V1534" s="8">
        <v>378</v>
      </c>
      <c r="W1534" s="19">
        <v>35</v>
      </c>
      <c r="X1534" s="9">
        <v>48.86</v>
      </c>
      <c r="Y1534" s="9">
        <f t="shared" si="277"/>
        <v>61.14</v>
      </c>
      <c r="Z1534" s="5" t="s">
        <v>2292</v>
      </c>
      <c r="AA1534" s="5" t="s">
        <v>2296</v>
      </c>
      <c r="AB1534" s="9">
        <f t="shared" si="278"/>
        <v>110</v>
      </c>
      <c r="AC1534" s="9">
        <f t="shared" si="279"/>
        <v>0</v>
      </c>
      <c r="AD1534" s="9">
        <f t="shared" si="280"/>
        <v>110</v>
      </c>
      <c r="AE1534" s="9">
        <f t="shared" si="281"/>
        <v>48.86</v>
      </c>
      <c r="AF1534" s="9">
        <f t="shared" si="287"/>
        <v>61.14</v>
      </c>
      <c r="AG1534" s="8">
        <f t="shared" si="282"/>
        <v>2024</v>
      </c>
      <c r="AH1534" s="8">
        <f t="shared" si="283"/>
        <v>10</v>
      </c>
      <c r="AI1534" s="5" t="str">
        <f t="shared" si="284"/>
        <v>Oct</v>
      </c>
      <c r="AJ1534" s="5" t="str">
        <f t="shared" si="285"/>
        <v>Sunday</v>
      </c>
    </row>
    <row r="1535" spans="1:36" x14ac:dyDescent="0.3">
      <c r="A1535" s="5" t="s">
        <v>1569</v>
      </c>
      <c r="B1535" s="6">
        <v>45494</v>
      </c>
      <c r="C1535" s="7">
        <v>0.48958333333333331</v>
      </c>
      <c r="D1535" s="5" t="s">
        <v>1770</v>
      </c>
      <c r="E1535" s="5" t="s">
        <v>2108</v>
      </c>
      <c r="F1535" s="5" t="s">
        <v>2238</v>
      </c>
      <c r="G1535" s="5" t="s">
        <v>2250</v>
      </c>
      <c r="H1535" s="5" t="s">
        <v>2259</v>
      </c>
      <c r="I1535" s="5" t="s">
        <v>2262</v>
      </c>
      <c r="J1535" s="5" t="s">
        <v>2264</v>
      </c>
      <c r="K1535" s="8">
        <v>1</v>
      </c>
      <c r="L1535" s="9">
        <v>80</v>
      </c>
      <c r="M1535" s="10">
        <v>0</v>
      </c>
      <c r="N1535" s="9">
        <f t="shared" si="286"/>
        <v>80</v>
      </c>
      <c r="O1535" s="9">
        <f t="shared" si="276"/>
        <v>80</v>
      </c>
      <c r="P1535" s="5" t="s">
        <v>2269</v>
      </c>
      <c r="Q1535" s="5" t="s">
        <v>2271</v>
      </c>
      <c r="R1535" s="5" t="s">
        <v>2277</v>
      </c>
      <c r="S1535" s="5" t="s">
        <v>2282</v>
      </c>
      <c r="T1535" s="5" t="s">
        <v>2288</v>
      </c>
      <c r="U1535" s="8">
        <v>4</v>
      </c>
      <c r="V1535" s="8">
        <v>434</v>
      </c>
      <c r="W1535" s="8">
        <v>39</v>
      </c>
      <c r="X1535" s="9">
        <v>32.51</v>
      </c>
      <c r="Y1535" s="9">
        <f t="shared" si="277"/>
        <v>47.49</v>
      </c>
      <c r="Z1535" s="5" t="s">
        <v>1761</v>
      </c>
      <c r="AA1535" s="5" t="s">
        <v>2298</v>
      </c>
      <c r="AB1535" s="9">
        <f t="shared" si="278"/>
        <v>80</v>
      </c>
      <c r="AC1535" s="9">
        <f t="shared" si="279"/>
        <v>0</v>
      </c>
      <c r="AD1535" s="9">
        <f t="shared" si="280"/>
        <v>80</v>
      </c>
      <c r="AE1535" s="9">
        <f t="shared" si="281"/>
        <v>32.51</v>
      </c>
      <c r="AF1535" s="9">
        <f t="shared" si="287"/>
        <v>47.49</v>
      </c>
      <c r="AG1535" s="8">
        <f t="shared" si="282"/>
        <v>2024</v>
      </c>
      <c r="AH1535" s="8">
        <f t="shared" si="283"/>
        <v>7</v>
      </c>
      <c r="AI1535" s="5" t="str">
        <f t="shared" si="284"/>
        <v>Jul</v>
      </c>
      <c r="AJ1535" s="5" t="str">
        <f t="shared" si="285"/>
        <v>Sunday</v>
      </c>
    </row>
    <row r="1536" spans="1:36" x14ac:dyDescent="0.3">
      <c r="A1536" s="5" t="s">
        <v>1570</v>
      </c>
      <c r="B1536" s="6">
        <v>45626</v>
      </c>
      <c r="C1536" s="7">
        <v>0.63541666666666663</v>
      </c>
      <c r="D1536" s="5" t="s">
        <v>1843</v>
      </c>
      <c r="E1536" s="5" t="s">
        <v>2035</v>
      </c>
      <c r="F1536" s="5" t="s">
        <v>2239</v>
      </c>
      <c r="G1536" s="5" t="s">
        <v>2249</v>
      </c>
      <c r="H1536" s="5" t="s">
        <v>2257</v>
      </c>
      <c r="I1536" s="5" t="s">
        <v>2263</v>
      </c>
      <c r="J1536" s="5" t="s">
        <v>2266</v>
      </c>
      <c r="K1536" s="8">
        <v>1</v>
      </c>
      <c r="L1536" s="9">
        <v>170</v>
      </c>
      <c r="M1536" s="10">
        <v>0</v>
      </c>
      <c r="N1536" s="9">
        <f t="shared" si="286"/>
        <v>170</v>
      </c>
      <c r="O1536" s="9">
        <f t="shared" si="276"/>
        <v>170</v>
      </c>
      <c r="P1536" s="5" t="s">
        <v>2267</v>
      </c>
      <c r="Q1536" s="5" t="s">
        <v>2272</v>
      </c>
      <c r="R1536" s="5" t="s">
        <v>2273</v>
      </c>
      <c r="S1536" s="5" t="s">
        <v>2283</v>
      </c>
      <c r="T1536" s="5" t="s">
        <v>2288</v>
      </c>
      <c r="U1536" s="19">
        <v>3</v>
      </c>
      <c r="V1536" s="8">
        <v>124</v>
      </c>
      <c r="W1536" s="8">
        <v>32</v>
      </c>
      <c r="X1536" s="9">
        <v>69.72</v>
      </c>
      <c r="Y1536" s="9">
        <f t="shared" si="277"/>
        <v>100.28</v>
      </c>
      <c r="Z1536" s="5" t="s">
        <v>2292</v>
      </c>
      <c r="AA1536" s="5" t="s">
        <v>1761</v>
      </c>
      <c r="AB1536" s="9">
        <f t="shared" si="278"/>
        <v>170</v>
      </c>
      <c r="AC1536" s="9">
        <f t="shared" si="279"/>
        <v>0</v>
      </c>
      <c r="AD1536" s="9">
        <f t="shared" si="280"/>
        <v>170</v>
      </c>
      <c r="AE1536" s="9">
        <f t="shared" si="281"/>
        <v>69.72</v>
      </c>
      <c r="AF1536" s="9">
        <f t="shared" si="287"/>
        <v>100.28</v>
      </c>
      <c r="AG1536" s="8">
        <f t="shared" si="282"/>
        <v>2024</v>
      </c>
      <c r="AH1536" s="8">
        <f t="shared" si="283"/>
        <v>11</v>
      </c>
      <c r="AI1536" s="5" t="str">
        <f t="shared" si="284"/>
        <v>Nov</v>
      </c>
      <c r="AJ1536" s="5" t="str">
        <f t="shared" si="285"/>
        <v>Saturday</v>
      </c>
    </row>
    <row r="1537" spans="1:36" x14ac:dyDescent="0.3">
      <c r="A1537" s="5" t="s">
        <v>1571</v>
      </c>
      <c r="B1537" s="6">
        <v>45498</v>
      </c>
      <c r="C1537" s="7">
        <v>0.78472222222222221</v>
      </c>
      <c r="D1537" s="5" t="s">
        <v>1888</v>
      </c>
      <c r="E1537" s="5" t="s">
        <v>2087</v>
      </c>
      <c r="F1537" s="5" t="s">
        <v>1761</v>
      </c>
      <c r="G1537" s="5" t="s">
        <v>2243</v>
      </c>
      <c r="H1537" s="5" t="s">
        <v>2258</v>
      </c>
      <c r="I1537" s="5" t="s">
        <v>2260</v>
      </c>
      <c r="J1537" s="5" t="s">
        <v>2265</v>
      </c>
      <c r="K1537" s="8">
        <v>2</v>
      </c>
      <c r="L1537" s="9">
        <v>75</v>
      </c>
      <c r="M1537" s="10">
        <v>0.1</v>
      </c>
      <c r="N1537" s="9">
        <f t="shared" si="286"/>
        <v>150</v>
      </c>
      <c r="O1537" s="9">
        <f t="shared" si="276"/>
        <v>135</v>
      </c>
      <c r="P1537" s="5" t="s">
        <v>2267</v>
      </c>
      <c r="Q1537" s="5" t="s">
        <v>2270</v>
      </c>
      <c r="R1537" s="5" t="s">
        <v>2276</v>
      </c>
      <c r="S1537" s="5" t="s">
        <v>2284</v>
      </c>
      <c r="T1537" s="5" t="s">
        <v>2289</v>
      </c>
      <c r="U1537" s="8">
        <v>4</v>
      </c>
      <c r="V1537" s="8">
        <v>237</v>
      </c>
      <c r="W1537" s="8">
        <v>19</v>
      </c>
      <c r="X1537" s="9">
        <v>40.71</v>
      </c>
      <c r="Y1537" s="9">
        <f t="shared" si="277"/>
        <v>53.58</v>
      </c>
      <c r="Z1537" s="5" t="s">
        <v>2292</v>
      </c>
      <c r="AA1537" s="5" t="s">
        <v>1761</v>
      </c>
      <c r="AB1537" s="9">
        <f t="shared" si="278"/>
        <v>150</v>
      </c>
      <c r="AC1537" s="9">
        <f t="shared" si="279"/>
        <v>15</v>
      </c>
      <c r="AD1537" s="9">
        <f t="shared" si="280"/>
        <v>135</v>
      </c>
      <c r="AE1537" s="9">
        <f t="shared" si="281"/>
        <v>81.42</v>
      </c>
      <c r="AF1537" s="9">
        <f t="shared" si="287"/>
        <v>53.58</v>
      </c>
      <c r="AG1537" s="8">
        <f t="shared" si="282"/>
        <v>2024</v>
      </c>
      <c r="AH1537" s="8">
        <f t="shared" si="283"/>
        <v>7</v>
      </c>
      <c r="AI1537" s="5" t="str">
        <f t="shared" si="284"/>
        <v>Jul</v>
      </c>
      <c r="AJ1537" s="5" t="str">
        <f t="shared" si="285"/>
        <v>Thursday</v>
      </c>
    </row>
    <row r="1538" spans="1:36" x14ac:dyDescent="0.3">
      <c r="A1538" s="5" t="s">
        <v>1572</v>
      </c>
      <c r="B1538" s="6">
        <v>45359</v>
      </c>
      <c r="C1538" s="7">
        <v>0.89583333333333337</v>
      </c>
      <c r="D1538" s="5" t="s">
        <v>1920</v>
      </c>
      <c r="E1538" s="5" t="s">
        <v>2055</v>
      </c>
      <c r="F1538" s="5" t="s">
        <v>2240</v>
      </c>
      <c r="G1538" s="5" t="s">
        <v>2246</v>
      </c>
      <c r="H1538" s="5" t="s">
        <v>2259</v>
      </c>
      <c r="I1538" s="5" t="s">
        <v>2262</v>
      </c>
      <c r="J1538" s="5" t="s">
        <v>2265</v>
      </c>
      <c r="K1538" s="8">
        <v>1</v>
      </c>
      <c r="L1538" s="9">
        <v>100</v>
      </c>
      <c r="M1538" s="10">
        <v>0.15</v>
      </c>
      <c r="N1538" s="9">
        <f t="shared" si="286"/>
        <v>100</v>
      </c>
      <c r="O1538" s="9">
        <f t="shared" ref="O1538:O1601" si="288">IF(N1538="","",N1538*(1-IF(M1538="",0,M1538)))</f>
        <v>85</v>
      </c>
      <c r="P1538" s="5" t="s">
        <v>2267</v>
      </c>
      <c r="Q1538" s="5" t="s">
        <v>1761</v>
      </c>
      <c r="R1538" s="5" t="s">
        <v>2279</v>
      </c>
      <c r="S1538" s="5" t="s">
        <v>2286</v>
      </c>
      <c r="T1538" s="5" t="s">
        <v>2288</v>
      </c>
      <c r="U1538" s="8">
        <v>1</v>
      </c>
      <c r="V1538" s="8">
        <v>38</v>
      </c>
      <c r="W1538" s="19">
        <v>36</v>
      </c>
      <c r="X1538" s="9">
        <v>38.020000000000003</v>
      </c>
      <c r="Y1538" s="9">
        <f t="shared" ref="Y1538:Y1601" si="289">IF(OR(O1538="",K1538="",X1538=""),"",O1538-K1538*X1538)</f>
        <v>46.98</v>
      </c>
      <c r="Z1538" s="5" t="s">
        <v>2293</v>
      </c>
      <c r="AA1538" s="5" t="s">
        <v>2296</v>
      </c>
      <c r="AB1538" s="9">
        <f t="shared" ref="AB1538:AB1601" si="290">N1538</f>
        <v>100</v>
      </c>
      <c r="AC1538" s="9">
        <f t="shared" ref="AC1538:AC1601" si="291">IF(N1538="","",N1538*IF(M1538="",0,M1538))</f>
        <v>15</v>
      </c>
      <c r="AD1538" s="9">
        <f t="shared" ref="AD1538:AD1601" si="292">O1538</f>
        <v>85</v>
      </c>
      <c r="AE1538" s="9">
        <f t="shared" ref="AE1538:AE1601" si="293">IF(OR(K1538="",X1538=""),"",K1538*X1538)</f>
        <v>38.020000000000003</v>
      </c>
      <c r="AF1538" s="9">
        <f t="shared" si="287"/>
        <v>46.98</v>
      </c>
      <c r="AG1538" s="8">
        <f t="shared" ref="AG1538:AG1601" si="294">IF(B1538="","",YEAR(B1538))</f>
        <v>2024</v>
      </c>
      <c r="AH1538" s="8">
        <f t="shared" ref="AH1538:AH1601" si="295">IF(B1538="","",MONTH(B1538))</f>
        <v>3</v>
      </c>
      <c r="AI1538" s="5" t="str">
        <f t="shared" ref="AI1538:AI1601" si="296">IF(B1538="","",TEXT(B1538,"mmm"))</f>
        <v>Mar</v>
      </c>
      <c r="AJ1538" s="5" t="str">
        <f t="shared" ref="AJ1538:AJ1601" si="297">IF(B1538="","",TEXT(B1538,"dddd"))</f>
        <v>Friday</v>
      </c>
    </row>
    <row r="1539" spans="1:36" x14ac:dyDescent="0.3">
      <c r="A1539" s="5" t="s">
        <v>1573</v>
      </c>
      <c r="B1539" s="6">
        <v>45419</v>
      </c>
      <c r="C1539" s="7">
        <v>0.36805555555555558</v>
      </c>
      <c r="D1539" s="5" t="s">
        <v>1783</v>
      </c>
      <c r="E1539" s="5" t="s">
        <v>1761</v>
      </c>
      <c r="F1539" s="5" t="s">
        <v>1761</v>
      </c>
      <c r="G1539" s="5" t="s">
        <v>2245</v>
      </c>
      <c r="H1539" s="5" t="s">
        <v>2257</v>
      </c>
      <c r="I1539" s="5" t="s">
        <v>2263</v>
      </c>
      <c r="J1539" s="5" t="s">
        <v>2264</v>
      </c>
      <c r="K1539" s="8">
        <v>2</v>
      </c>
      <c r="L1539" s="9">
        <v>160</v>
      </c>
      <c r="M1539" s="10">
        <v>0.1</v>
      </c>
      <c r="N1539" s="9">
        <f t="shared" ref="N1539:N1601" si="298">IFERROR(K1539*L1539,"")</f>
        <v>320</v>
      </c>
      <c r="O1539" s="9">
        <f t="shared" si="288"/>
        <v>288</v>
      </c>
      <c r="P1539" s="5" t="s">
        <v>2267</v>
      </c>
      <c r="Q1539" s="5" t="s">
        <v>2270</v>
      </c>
      <c r="R1539" s="5" t="s">
        <v>2273</v>
      </c>
      <c r="S1539" s="5" t="s">
        <v>2282</v>
      </c>
      <c r="T1539" s="5" t="s">
        <v>2288</v>
      </c>
      <c r="U1539" s="8">
        <v>5</v>
      </c>
      <c r="V1539" s="19">
        <v>244</v>
      </c>
      <c r="W1539" s="8">
        <v>10</v>
      </c>
      <c r="X1539" s="9">
        <v>74.47</v>
      </c>
      <c r="Y1539" s="9">
        <f t="shared" si="289"/>
        <v>139.06</v>
      </c>
      <c r="Z1539" s="5" t="s">
        <v>2294</v>
      </c>
      <c r="AA1539" s="5" t="s">
        <v>1761</v>
      </c>
      <c r="AB1539" s="9">
        <f t="shared" si="290"/>
        <v>320</v>
      </c>
      <c r="AC1539" s="9">
        <f t="shared" si="291"/>
        <v>32</v>
      </c>
      <c r="AD1539" s="9">
        <f t="shared" si="292"/>
        <v>288</v>
      </c>
      <c r="AE1539" s="9">
        <f t="shared" si="293"/>
        <v>148.94</v>
      </c>
      <c r="AF1539" s="9">
        <f t="shared" ref="AF1539:AF1601" si="299">Y1539</f>
        <v>139.06</v>
      </c>
      <c r="AG1539" s="8">
        <f t="shared" si="294"/>
        <v>2024</v>
      </c>
      <c r="AH1539" s="8">
        <f t="shared" si="295"/>
        <v>5</v>
      </c>
      <c r="AI1539" s="5" t="str">
        <f t="shared" si="296"/>
        <v>May</v>
      </c>
      <c r="AJ1539" s="5" t="str">
        <f t="shared" si="297"/>
        <v>Tuesday</v>
      </c>
    </row>
    <row r="1540" spans="1:36" x14ac:dyDescent="0.3">
      <c r="A1540" s="5" t="s">
        <v>1574</v>
      </c>
      <c r="B1540" s="6">
        <v>45315</v>
      </c>
      <c r="C1540" s="7">
        <v>0.3888888888888889</v>
      </c>
      <c r="D1540" s="5" t="s">
        <v>1862</v>
      </c>
      <c r="E1540" s="5" t="s">
        <v>1761</v>
      </c>
      <c r="F1540" s="5" t="s">
        <v>2239</v>
      </c>
      <c r="G1540" s="5" t="s">
        <v>2247</v>
      </c>
      <c r="H1540" s="5" t="s">
        <v>2257</v>
      </c>
      <c r="I1540" s="5" t="s">
        <v>2262</v>
      </c>
      <c r="J1540" s="5" t="s">
        <v>2266</v>
      </c>
      <c r="K1540" s="8">
        <v>2</v>
      </c>
      <c r="L1540" s="9">
        <v>110</v>
      </c>
      <c r="M1540" s="10">
        <v>0</v>
      </c>
      <c r="N1540" s="9">
        <f t="shared" si="298"/>
        <v>220</v>
      </c>
      <c r="O1540" s="9">
        <f t="shared" si="288"/>
        <v>220</v>
      </c>
      <c r="P1540" s="5" t="s">
        <v>2269</v>
      </c>
      <c r="Q1540" s="5" t="s">
        <v>1761</v>
      </c>
      <c r="R1540" s="5" t="s">
        <v>2273</v>
      </c>
      <c r="S1540" s="5" t="s">
        <v>2283</v>
      </c>
      <c r="T1540" s="5" t="s">
        <v>2288</v>
      </c>
      <c r="U1540" s="8">
        <v>1</v>
      </c>
      <c r="V1540" s="8">
        <v>426</v>
      </c>
      <c r="W1540" s="19">
        <v>36</v>
      </c>
      <c r="X1540" s="9">
        <v>58.84</v>
      </c>
      <c r="Y1540" s="9">
        <f t="shared" si="289"/>
        <v>102.32</v>
      </c>
      <c r="Z1540" s="5" t="s">
        <v>1761</v>
      </c>
      <c r="AA1540" s="5" t="s">
        <v>1761</v>
      </c>
      <c r="AB1540" s="9">
        <f t="shared" si="290"/>
        <v>220</v>
      </c>
      <c r="AC1540" s="9">
        <f t="shared" si="291"/>
        <v>0</v>
      </c>
      <c r="AD1540" s="9">
        <f t="shared" si="292"/>
        <v>220</v>
      </c>
      <c r="AE1540" s="9">
        <f t="shared" si="293"/>
        <v>117.68</v>
      </c>
      <c r="AF1540" s="9">
        <f t="shared" si="299"/>
        <v>102.32</v>
      </c>
      <c r="AG1540" s="8">
        <f t="shared" si="294"/>
        <v>2024</v>
      </c>
      <c r="AH1540" s="8">
        <f t="shared" si="295"/>
        <v>1</v>
      </c>
      <c r="AI1540" s="5" t="str">
        <f t="shared" si="296"/>
        <v>Jan</v>
      </c>
      <c r="AJ1540" s="5" t="str">
        <f t="shared" si="297"/>
        <v>Wednesday</v>
      </c>
    </row>
    <row r="1541" spans="1:36" x14ac:dyDescent="0.3">
      <c r="A1541" s="5" t="s">
        <v>1575</v>
      </c>
      <c r="B1541" s="6">
        <v>45458</v>
      </c>
      <c r="C1541" s="7">
        <v>0.88194444444444442</v>
      </c>
      <c r="D1541" s="5" t="s">
        <v>1910</v>
      </c>
      <c r="E1541" s="5" t="s">
        <v>2233</v>
      </c>
      <c r="F1541" s="5" t="s">
        <v>2238</v>
      </c>
      <c r="G1541" s="5" t="s">
        <v>2247</v>
      </c>
      <c r="H1541" s="5" t="s">
        <v>2257</v>
      </c>
      <c r="I1541" s="5" t="s">
        <v>2262</v>
      </c>
      <c r="J1541" s="5" t="s">
        <v>2265</v>
      </c>
      <c r="K1541" s="8">
        <v>3</v>
      </c>
      <c r="L1541" s="9">
        <v>100</v>
      </c>
      <c r="M1541" s="10">
        <v>0</v>
      </c>
      <c r="N1541" s="9">
        <f t="shared" si="298"/>
        <v>300</v>
      </c>
      <c r="O1541" s="9">
        <f t="shared" si="288"/>
        <v>300</v>
      </c>
      <c r="P1541" s="5" t="s">
        <v>2267</v>
      </c>
      <c r="Q1541" s="5" t="s">
        <v>2270</v>
      </c>
      <c r="R1541" s="5" t="s">
        <v>2276</v>
      </c>
      <c r="S1541" s="5" t="s">
        <v>2284</v>
      </c>
      <c r="T1541" s="5" t="s">
        <v>2288</v>
      </c>
      <c r="U1541" s="8">
        <v>4</v>
      </c>
      <c r="V1541" s="8">
        <v>0</v>
      </c>
      <c r="W1541" s="8">
        <v>29</v>
      </c>
      <c r="X1541" s="9">
        <v>41.08</v>
      </c>
      <c r="Y1541" s="9">
        <f t="shared" si="289"/>
        <v>176.76</v>
      </c>
      <c r="Z1541" s="5" t="s">
        <v>1761</v>
      </c>
      <c r="AA1541" s="5" t="s">
        <v>2297</v>
      </c>
      <c r="AB1541" s="9">
        <f t="shared" si="290"/>
        <v>300</v>
      </c>
      <c r="AC1541" s="9">
        <f t="shared" si="291"/>
        <v>0</v>
      </c>
      <c r="AD1541" s="9">
        <f t="shared" si="292"/>
        <v>300</v>
      </c>
      <c r="AE1541" s="9">
        <f t="shared" si="293"/>
        <v>123.24</v>
      </c>
      <c r="AF1541" s="9">
        <f t="shared" si="299"/>
        <v>176.76</v>
      </c>
      <c r="AG1541" s="8">
        <f t="shared" si="294"/>
        <v>2024</v>
      </c>
      <c r="AH1541" s="8">
        <f t="shared" si="295"/>
        <v>6</v>
      </c>
      <c r="AI1541" s="5" t="str">
        <f t="shared" si="296"/>
        <v>Jun</v>
      </c>
      <c r="AJ1541" s="5" t="str">
        <f t="shared" si="297"/>
        <v>Saturday</v>
      </c>
    </row>
    <row r="1542" spans="1:36" x14ac:dyDescent="0.3">
      <c r="A1542" s="5" t="s">
        <v>1576</v>
      </c>
      <c r="B1542" s="6">
        <v>45468</v>
      </c>
      <c r="C1542" s="7">
        <v>0.59027777777777779</v>
      </c>
      <c r="D1542" s="5" t="s">
        <v>1751</v>
      </c>
      <c r="E1542" s="5" t="s">
        <v>2154</v>
      </c>
      <c r="F1542" s="5" t="s">
        <v>2240</v>
      </c>
      <c r="G1542" s="5" t="s">
        <v>2243</v>
      </c>
      <c r="H1542" s="5" t="s">
        <v>2258</v>
      </c>
      <c r="I1542" s="5" t="s">
        <v>2260</v>
      </c>
      <c r="J1542" s="5" t="s">
        <v>1761</v>
      </c>
      <c r="K1542" s="8">
        <v>2</v>
      </c>
      <c r="L1542" s="9">
        <v>80</v>
      </c>
      <c r="M1542" s="10">
        <v>0.1</v>
      </c>
      <c r="N1542" s="9">
        <f t="shared" si="298"/>
        <v>160</v>
      </c>
      <c r="O1542" s="9">
        <f t="shared" si="288"/>
        <v>144</v>
      </c>
      <c r="P1542" s="5" t="s">
        <v>2269</v>
      </c>
      <c r="Q1542" s="5" t="s">
        <v>2271</v>
      </c>
      <c r="R1542" s="5" t="s">
        <v>2278</v>
      </c>
      <c r="S1542" s="5" t="s">
        <v>2281</v>
      </c>
      <c r="T1542" s="5" t="s">
        <v>2288</v>
      </c>
      <c r="U1542" s="8">
        <v>1</v>
      </c>
      <c r="V1542" s="8">
        <v>92</v>
      </c>
      <c r="W1542" s="19">
        <v>37</v>
      </c>
      <c r="X1542" s="9">
        <v>37.94</v>
      </c>
      <c r="Y1542" s="9">
        <f t="shared" si="289"/>
        <v>68.12</v>
      </c>
      <c r="Z1542" s="5" t="s">
        <v>2293</v>
      </c>
      <c r="AA1542" s="5" t="s">
        <v>2296</v>
      </c>
      <c r="AB1542" s="9">
        <f t="shared" si="290"/>
        <v>160</v>
      </c>
      <c r="AC1542" s="9">
        <f t="shared" si="291"/>
        <v>16</v>
      </c>
      <c r="AD1542" s="9">
        <f t="shared" si="292"/>
        <v>144</v>
      </c>
      <c r="AE1542" s="9">
        <f t="shared" si="293"/>
        <v>75.88</v>
      </c>
      <c r="AF1542" s="9">
        <f t="shared" si="299"/>
        <v>68.12</v>
      </c>
      <c r="AG1542" s="8">
        <f t="shared" si="294"/>
        <v>2024</v>
      </c>
      <c r="AH1542" s="8">
        <f t="shared" si="295"/>
        <v>6</v>
      </c>
      <c r="AI1542" s="5" t="str">
        <f t="shared" si="296"/>
        <v>Jun</v>
      </c>
      <c r="AJ1542" s="5" t="str">
        <f t="shared" si="297"/>
        <v>Tuesday</v>
      </c>
    </row>
    <row r="1543" spans="1:36" x14ac:dyDescent="0.3">
      <c r="A1543" s="5" t="s">
        <v>1577</v>
      </c>
      <c r="B1543" s="6">
        <v>45308</v>
      </c>
      <c r="C1543" s="7">
        <v>0.75694444444444442</v>
      </c>
      <c r="D1543" s="5" t="s">
        <v>1822</v>
      </c>
      <c r="E1543" s="5" t="s">
        <v>1963</v>
      </c>
      <c r="F1543" s="5" t="s">
        <v>2239</v>
      </c>
      <c r="G1543" s="5" t="s">
        <v>2246</v>
      </c>
      <c r="H1543" s="5" t="s">
        <v>2259</v>
      </c>
      <c r="I1543" s="5" t="s">
        <v>2262</v>
      </c>
      <c r="J1543" s="5" t="s">
        <v>2264</v>
      </c>
      <c r="K1543" s="8">
        <v>1</v>
      </c>
      <c r="L1543" s="9">
        <v>105</v>
      </c>
      <c r="M1543" s="10">
        <v>0.15</v>
      </c>
      <c r="N1543" s="9">
        <f t="shared" si="298"/>
        <v>105</v>
      </c>
      <c r="O1543" s="9">
        <f t="shared" si="288"/>
        <v>89.25</v>
      </c>
      <c r="P1543" s="5" t="s">
        <v>2267</v>
      </c>
      <c r="Q1543" s="5" t="s">
        <v>2272</v>
      </c>
      <c r="R1543" s="5" t="s">
        <v>2275</v>
      </c>
      <c r="S1543" s="5" t="s">
        <v>2286</v>
      </c>
      <c r="T1543" s="5" t="s">
        <v>2288</v>
      </c>
      <c r="U1543" s="8">
        <v>4</v>
      </c>
      <c r="V1543" s="8">
        <v>0</v>
      </c>
      <c r="W1543" s="8">
        <v>30</v>
      </c>
      <c r="X1543" s="9">
        <v>40.9</v>
      </c>
      <c r="Y1543" s="9">
        <f t="shared" si="289"/>
        <v>48.35</v>
      </c>
      <c r="Z1543" s="5" t="s">
        <v>2293</v>
      </c>
      <c r="AA1543" s="5" t="s">
        <v>2299</v>
      </c>
      <c r="AB1543" s="9">
        <f t="shared" si="290"/>
        <v>105</v>
      </c>
      <c r="AC1543" s="9">
        <f t="shared" si="291"/>
        <v>15.75</v>
      </c>
      <c r="AD1543" s="9">
        <f t="shared" si="292"/>
        <v>89.25</v>
      </c>
      <c r="AE1543" s="9">
        <f t="shared" si="293"/>
        <v>40.9</v>
      </c>
      <c r="AF1543" s="9">
        <f t="shared" si="299"/>
        <v>48.35</v>
      </c>
      <c r="AG1543" s="8">
        <f t="shared" si="294"/>
        <v>2024</v>
      </c>
      <c r="AH1543" s="8">
        <f t="shared" si="295"/>
        <v>1</v>
      </c>
      <c r="AI1543" s="5" t="str">
        <f t="shared" si="296"/>
        <v>Jan</v>
      </c>
      <c r="AJ1543" s="5" t="str">
        <f t="shared" si="297"/>
        <v>Wednesday</v>
      </c>
    </row>
    <row r="1544" spans="1:36" x14ac:dyDescent="0.3">
      <c r="A1544" s="5" t="s">
        <v>1578</v>
      </c>
      <c r="B1544" s="6">
        <v>45352</v>
      </c>
      <c r="C1544" s="7">
        <v>0.54166666666666663</v>
      </c>
      <c r="D1544" s="5" t="s">
        <v>1927</v>
      </c>
      <c r="E1544" s="5" t="s">
        <v>2123</v>
      </c>
      <c r="F1544" s="5" t="s">
        <v>2239</v>
      </c>
      <c r="G1544" s="5" t="s">
        <v>2243</v>
      </c>
      <c r="H1544" s="5" t="s">
        <v>2258</v>
      </c>
      <c r="I1544" s="5" t="s">
        <v>2260</v>
      </c>
      <c r="J1544" s="5" t="s">
        <v>1761</v>
      </c>
      <c r="K1544" s="8">
        <v>1</v>
      </c>
      <c r="L1544" s="9">
        <v>80</v>
      </c>
      <c r="M1544" s="10">
        <v>0.1</v>
      </c>
      <c r="N1544" s="9">
        <f t="shared" si="298"/>
        <v>80</v>
      </c>
      <c r="O1544" s="9">
        <f t="shared" si="288"/>
        <v>72</v>
      </c>
      <c r="P1544" s="5" t="s">
        <v>2267</v>
      </c>
      <c r="Q1544" s="5" t="s">
        <v>2270</v>
      </c>
      <c r="R1544" s="5" t="s">
        <v>2275</v>
      </c>
      <c r="S1544" s="5" t="s">
        <v>2282</v>
      </c>
      <c r="T1544" s="5" t="s">
        <v>2288</v>
      </c>
      <c r="U1544" s="19">
        <v>3</v>
      </c>
      <c r="V1544" s="8">
        <v>225</v>
      </c>
      <c r="W1544" s="8">
        <v>14</v>
      </c>
      <c r="X1544" s="9">
        <v>39.979999999999997</v>
      </c>
      <c r="Y1544" s="9">
        <f t="shared" si="289"/>
        <v>32.020000000000003</v>
      </c>
      <c r="Z1544" s="5" t="s">
        <v>2293</v>
      </c>
      <c r="AA1544" s="5" t="s">
        <v>2296</v>
      </c>
      <c r="AB1544" s="9">
        <f t="shared" si="290"/>
        <v>80</v>
      </c>
      <c r="AC1544" s="9">
        <f t="shared" si="291"/>
        <v>8</v>
      </c>
      <c r="AD1544" s="9">
        <f t="shared" si="292"/>
        <v>72</v>
      </c>
      <c r="AE1544" s="9">
        <f t="shared" si="293"/>
        <v>39.979999999999997</v>
      </c>
      <c r="AF1544" s="9">
        <f t="shared" si="299"/>
        <v>32.020000000000003</v>
      </c>
      <c r="AG1544" s="8">
        <f t="shared" si="294"/>
        <v>2024</v>
      </c>
      <c r="AH1544" s="8">
        <f t="shared" si="295"/>
        <v>3</v>
      </c>
      <c r="AI1544" s="5" t="str">
        <f t="shared" si="296"/>
        <v>Mar</v>
      </c>
      <c r="AJ1544" s="5" t="str">
        <f t="shared" si="297"/>
        <v>Friday</v>
      </c>
    </row>
    <row r="1545" spans="1:36" x14ac:dyDescent="0.3">
      <c r="A1545" s="5" t="s">
        <v>1579</v>
      </c>
      <c r="B1545" s="6">
        <v>45303</v>
      </c>
      <c r="C1545" s="7">
        <v>0.74305555555555558</v>
      </c>
      <c r="D1545" s="5" t="s">
        <v>1864</v>
      </c>
      <c r="E1545" s="5" t="s">
        <v>2152</v>
      </c>
      <c r="F1545" s="5" t="s">
        <v>2240</v>
      </c>
      <c r="G1545" s="5" t="s">
        <v>2250</v>
      </c>
      <c r="H1545" s="5" t="s">
        <v>2259</v>
      </c>
      <c r="I1545" s="5" t="s">
        <v>2262</v>
      </c>
      <c r="J1545" s="5" t="s">
        <v>2266</v>
      </c>
      <c r="K1545" s="8">
        <v>2</v>
      </c>
      <c r="L1545" s="9">
        <v>80</v>
      </c>
      <c r="M1545" s="10">
        <v>0</v>
      </c>
      <c r="N1545" s="9">
        <f t="shared" si="298"/>
        <v>160</v>
      </c>
      <c r="O1545" s="9">
        <f t="shared" si="288"/>
        <v>160</v>
      </c>
      <c r="P1545" s="5" t="s">
        <v>2267</v>
      </c>
      <c r="Q1545" s="5" t="s">
        <v>2272</v>
      </c>
      <c r="R1545" s="5" t="s">
        <v>2274</v>
      </c>
      <c r="S1545" s="5" t="s">
        <v>2286</v>
      </c>
      <c r="T1545" s="5" t="s">
        <v>2288</v>
      </c>
      <c r="U1545" s="8">
        <v>5</v>
      </c>
      <c r="V1545" s="8">
        <v>440</v>
      </c>
      <c r="W1545" s="8">
        <v>45</v>
      </c>
      <c r="X1545" s="9">
        <v>44.31</v>
      </c>
      <c r="Y1545" s="9">
        <f t="shared" si="289"/>
        <v>71.38</v>
      </c>
      <c r="Z1545" s="5" t="s">
        <v>1761</v>
      </c>
      <c r="AA1545" s="5" t="s">
        <v>2298</v>
      </c>
      <c r="AB1545" s="9">
        <f t="shared" si="290"/>
        <v>160</v>
      </c>
      <c r="AC1545" s="9">
        <f t="shared" si="291"/>
        <v>0</v>
      </c>
      <c r="AD1545" s="9">
        <f t="shared" si="292"/>
        <v>160</v>
      </c>
      <c r="AE1545" s="9">
        <f t="shared" si="293"/>
        <v>88.62</v>
      </c>
      <c r="AF1545" s="9">
        <f t="shared" si="299"/>
        <v>71.38</v>
      </c>
      <c r="AG1545" s="8">
        <f t="shared" si="294"/>
        <v>2024</v>
      </c>
      <c r="AH1545" s="8">
        <f t="shared" si="295"/>
        <v>1</v>
      </c>
      <c r="AI1545" s="5" t="str">
        <f t="shared" si="296"/>
        <v>Jan</v>
      </c>
      <c r="AJ1545" s="5" t="str">
        <f t="shared" si="297"/>
        <v>Friday</v>
      </c>
    </row>
    <row r="1546" spans="1:36" x14ac:dyDescent="0.3">
      <c r="A1546" s="5" t="s">
        <v>1580</v>
      </c>
      <c r="B1546" s="6">
        <v>45322</v>
      </c>
      <c r="C1546" s="7">
        <v>0.59375</v>
      </c>
      <c r="D1546" s="5" t="s">
        <v>1873</v>
      </c>
      <c r="E1546" s="5" t="s">
        <v>2117</v>
      </c>
      <c r="F1546" s="5" t="s">
        <v>2238</v>
      </c>
      <c r="G1546" s="5" t="s">
        <v>2254</v>
      </c>
      <c r="H1546" s="5" t="s">
        <v>2259</v>
      </c>
      <c r="I1546" s="5" t="s">
        <v>2263</v>
      </c>
      <c r="J1546" s="5" t="s">
        <v>2265</v>
      </c>
      <c r="K1546" s="8">
        <v>2</v>
      </c>
      <c r="L1546" s="9">
        <v>105</v>
      </c>
      <c r="M1546" s="10">
        <v>0</v>
      </c>
      <c r="N1546" s="9">
        <f t="shared" si="298"/>
        <v>210</v>
      </c>
      <c r="O1546" s="9">
        <f t="shared" si="288"/>
        <v>210</v>
      </c>
      <c r="P1546" s="5" t="s">
        <v>2269</v>
      </c>
      <c r="Q1546" s="5" t="s">
        <v>1761</v>
      </c>
      <c r="R1546" s="5" t="s">
        <v>2277</v>
      </c>
      <c r="S1546" s="5" t="s">
        <v>2282</v>
      </c>
      <c r="T1546" s="5" t="s">
        <v>2289</v>
      </c>
      <c r="U1546" s="8">
        <v>4</v>
      </c>
      <c r="V1546" s="8">
        <v>335</v>
      </c>
      <c r="W1546" s="19">
        <v>36</v>
      </c>
      <c r="X1546" s="9">
        <v>60.44</v>
      </c>
      <c r="Y1546" s="9">
        <f t="shared" si="289"/>
        <v>89.12</v>
      </c>
      <c r="Z1546" s="5" t="s">
        <v>2293</v>
      </c>
      <c r="AA1546" s="5" t="s">
        <v>2297</v>
      </c>
      <c r="AB1546" s="9">
        <f t="shared" si="290"/>
        <v>210</v>
      </c>
      <c r="AC1546" s="9">
        <f t="shared" si="291"/>
        <v>0</v>
      </c>
      <c r="AD1546" s="9">
        <f t="shared" si="292"/>
        <v>210</v>
      </c>
      <c r="AE1546" s="9">
        <f t="shared" si="293"/>
        <v>120.88</v>
      </c>
      <c r="AF1546" s="9">
        <f t="shared" si="299"/>
        <v>89.12</v>
      </c>
      <c r="AG1546" s="8">
        <f t="shared" si="294"/>
        <v>2024</v>
      </c>
      <c r="AH1546" s="8">
        <f t="shared" si="295"/>
        <v>1</v>
      </c>
      <c r="AI1546" s="5" t="str">
        <f t="shared" si="296"/>
        <v>Jan</v>
      </c>
      <c r="AJ1546" s="5" t="str">
        <f t="shared" si="297"/>
        <v>Wednesday</v>
      </c>
    </row>
    <row r="1547" spans="1:36" x14ac:dyDescent="0.3">
      <c r="A1547" s="5" t="s">
        <v>1581</v>
      </c>
      <c r="B1547" s="6">
        <v>45632</v>
      </c>
      <c r="C1547" s="7">
        <v>0.5</v>
      </c>
      <c r="D1547" s="5" t="s">
        <v>1856</v>
      </c>
      <c r="E1547" s="5" t="s">
        <v>2033</v>
      </c>
      <c r="F1547" s="5" t="s">
        <v>2240</v>
      </c>
      <c r="G1547" s="5" t="s">
        <v>2245</v>
      </c>
      <c r="H1547" s="5" t="s">
        <v>2257</v>
      </c>
      <c r="I1547" s="5" t="s">
        <v>2263</v>
      </c>
      <c r="J1547" s="5" t="s">
        <v>1761</v>
      </c>
      <c r="K1547" s="8">
        <v>2</v>
      </c>
      <c r="L1547" s="9">
        <v>160</v>
      </c>
      <c r="M1547" s="10">
        <v>0.15</v>
      </c>
      <c r="N1547" s="9">
        <f t="shared" si="298"/>
        <v>320</v>
      </c>
      <c r="O1547" s="9">
        <f t="shared" si="288"/>
        <v>272</v>
      </c>
      <c r="P1547" s="5" t="s">
        <v>2269</v>
      </c>
      <c r="Q1547" s="5" t="s">
        <v>2272</v>
      </c>
      <c r="R1547" s="5" t="s">
        <v>2273</v>
      </c>
      <c r="S1547" s="5" t="s">
        <v>2286</v>
      </c>
      <c r="T1547" s="5" t="s">
        <v>2288</v>
      </c>
      <c r="U1547" s="8">
        <v>1</v>
      </c>
      <c r="V1547" s="8">
        <v>305</v>
      </c>
      <c r="W1547" s="8">
        <v>11</v>
      </c>
      <c r="X1547" s="9">
        <v>87.28</v>
      </c>
      <c r="Y1547" s="9">
        <f t="shared" si="289"/>
        <v>97.44</v>
      </c>
      <c r="Z1547" s="5" t="s">
        <v>2294</v>
      </c>
      <c r="AA1547" s="5" t="s">
        <v>2298</v>
      </c>
      <c r="AB1547" s="9">
        <f t="shared" si="290"/>
        <v>320</v>
      </c>
      <c r="AC1547" s="9">
        <f t="shared" si="291"/>
        <v>48</v>
      </c>
      <c r="AD1547" s="9">
        <f t="shared" si="292"/>
        <v>272</v>
      </c>
      <c r="AE1547" s="9">
        <f t="shared" si="293"/>
        <v>174.56</v>
      </c>
      <c r="AF1547" s="9">
        <f t="shared" si="299"/>
        <v>97.44</v>
      </c>
      <c r="AG1547" s="8">
        <f t="shared" si="294"/>
        <v>2024</v>
      </c>
      <c r="AH1547" s="8">
        <f t="shared" si="295"/>
        <v>12</v>
      </c>
      <c r="AI1547" s="5" t="str">
        <f t="shared" si="296"/>
        <v>Dec</v>
      </c>
      <c r="AJ1547" s="5" t="str">
        <f t="shared" si="297"/>
        <v>Friday</v>
      </c>
    </row>
    <row r="1548" spans="1:36" x14ac:dyDescent="0.3">
      <c r="A1548" s="5" t="s">
        <v>1582</v>
      </c>
      <c r="B1548" s="6">
        <v>45292</v>
      </c>
      <c r="C1548" s="7">
        <v>0.89583333333333337</v>
      </c>
      <c r="D1548" s="5" t="s">
        <v>1925</v>
      </c>
      <c r="E1548" s="5" t="s">
        <v>2128</v>
      </c>
      <c r="F1548" s="5" t="s">
        <v>2239</v>
      </c>
      <c r="G1548" s="5" t="s">
        <v>2247</v>
      </c>
      <c r="H1548" s="5" t="s">
        <v>2257</v>
      </c>
      <c r="I1548" s="5" t="s">
        <v>2262</v>
      </c>
      <c r="J1548" s="5" t="s">
        <v>2266</v>
      </c>
      <c r="K1548" s="8">
        <v>4</v>
      </c>
      <c r="L1548" s="9">
        <v>95</v>
      </c>
      <c r="M1548" s="10">
        <v>0.1</v>
      </c>
      <c r="N1548" s="9">
        <f t="shared" si="298"/>
        <v>380</v>
      </c>
      <c r="O1548" s="9">
        <f t="shared" si="288"/>
        <v>342</v>
      </c>
      <c r="P1548" s="5" t="s">
        <v>2267</v>
      </c>
      <c r="Q1548" s="5" t="s">
        <v>2272</v>
      </c>
      <c r="R1548" s="5" t="s">
        <v>2277</v>
      </c>
      <c r="S1548" s="5" t="s">
        <v>2282</v>
      </c>
      <c r="T1548" s="5" t="s">
        <v>2289</v>
      </c>
      <c r="U1548" s="8">
        <v>3</v>
      </c>
      <c r="V1548" s="8">
        <v>232</v>
      </c>
      <c r="W1548" s="8">
        <v>43</v>
      </c>
      <c r="X1548" s="9">
        <v>43.04</v>
      </c>
      <c r="Y1548" s="9">
        <f t="shared" si="289"/>
        <v>169.84</v>
      </c>
      <c r="Z1548" s="5" t="s">
        <v>2293</v>
      </c>
      <c r="AA1548" s="5" t="s">
        <v>2298</v>
      </c>
      <c r="AB1548" s="9">
        <f t="shared" si="290"/>
        <v>380</v>
      </c>
      <c r="AC1548" s="9">
        <f t="shared" si="291"/>
        <v>38</v>
      </c>
      <c r="AD1548" s="9">
        <f t="shared" si="292"/>
        <v>342</v>
      </c>
      <c r="AE1548" s="9">
        <f t="shared" si="293"/>
        <v>172.16</v>
      </c>
      <c r="AF1548" s="9">
        <f t="shared" si="299"/>
        <v>169.84</v>
      </c>
      <c r="AG1548" s="8">
        <f t="shared" si="294"/>
        <v>2024</v>
      </c>
      <c r="AH1548" s="8">
        <f t="shared" si="295"/>
        <v>1</v>
      </c>
      <c r="AI1548" s="5" t="str">
        <f t="shared" si="296"/>
        <v>Jan</v>
      </c>
      <c r="AJ1548" s="5" t="str">
        <f t="shared" si="297"/>
        <v>Monday</v>
      </c>
    </row>
    <row r="1549" spans="1:36" x14ac:dyDescent="0.3">
      <c r="A1549" s="5" t="s">
        <v>1583</v>
      </c>
      <c r="B1549" s="6">
        <v>45296</v>
      </c>
      <c r="C1549" s="7">
        <v>0.3125</v>
      </c>
      <c r="D1549" s="5" t="s">
        <v>1845</v>
      </c>
      <c r="E1549" s="5" t="s">
        <v>2185</v>
      </c>
      <c r="F1549" s="5" t="s">
        <v>1761</v>
      </c>
      <c r="G1549" s="5" t="s">
        <v>2245</v>
      </c>
      <c r="H1549" s="5" t="s">
        <v>2257</v>
      </c>
      <c r="I1549" s="5" t="s">
        <v>2263</v>
      </c>
      <c r="J1549" s="5" t="s">
        <v>2266</v>
      </c>
      <c r="K1549" s="8">
        <v>1</v>
      </c>
      <c r="L1549" s="9">
        <v>150</v>
      </c>
      <c r="M1549" s="10">
        <v>0</v>
      </c>
      <c r="N1549" s="9">
        <f t="shared" si="298"/>
        <v>150</v>
      </c>
      <c r="O1549" s="9">
        <f t="shared" si="288"/>
        <v>150</v>
      </c>
      <c r="P1549" s="5" t="s">
        <v>2267</v>
      </c>
      <c r="Q1549" s="5" t="s">
        <v>2272</v>
      </c>
      <c r="R1549" s="5" t="s">
        <v>2275</v>
      </c>
      <c r="S1549" s="5" t="s">
        <v>2287</v>
      </c>
      <c r="T1549" s="5" t="s">
        <v>2288</v>
      </c>
      <c r="U1549" s="8">
        <v>5</v>
      </c>
      <c r="V1549" s="19">
        <v>244</v>
      </c>
      <c r="W1549" s="8">
        <v>29</v>
      </c>
      <c r="X1549" s="9">
        <v>82.03</v>
      </c>
      <c r="Y1549" s="9">
        <f t="shared" si="289"/>
        <v>67.97</v>
      </c>
      <c r="Z1549" s="5" t="s">
        <v>2292</v>
      </c>
      <c r="AA1549" s="5" t="s">
        <v>2296</v>
      </c>
      <c r="AB1549" s="9">
        <f t="shared" si="290"/>
        <v>150</v>
      </c>
      <c r="AC1549" s="9">
        <f t="shared" si="291"/>
        <v>0</v>
      </c>
      <c r="AD1549" s="9">
        <f t="shared" si="292"/>
        <v>150</v>
      </c>
      <c r="AE1549" s="9">
        <f t="shared" si="293"/>
        <v>82.03</v>
      </c>
      <c r="AF1549" s="9">
        <f t="shared" si="299"/>
        <v>67.97</v>
      </c>
      <c r="AG1549" s="8">
        <f t="shared" si="294"/>
        <v>2024</v>
      </c>
      <c r="AH1549" s="8">
        <f t="shared" si="295"/>
        <v>1</v>
      </c>
      <c r="AI1549" s="5" t="str">
        <f t="shared" si="296"/>
        <v>Jan</v>
      </c>
      <c r="AJ1549" s="5" t="str">
        <f t="shared" si="297"/>
        <v>Friday</v>
      </c>
    </row>
    <row r="1550" spans="1:36" x14ac:dyDescent="0.3">
      <c r="A1550" s="5" t="s">
        <v>1584</v>
      </c>
      <c r="B1550" s="6">
        <v>45368</v>
      </c>
      <c r="C1550" s="7">
        <v>0.59027777777777779</v>
      </c>
      <c r="D1550" s="5" t="s">
        <v>1913</v>
      </c>
      <c r="E1550" s="5" t="s">
        <v>2152</v>
      </c>
      <c r="F1550" s="5" t="s">
        <v>2238</v>
      </c>
      <c r="G1550" s="5" t="s">
        <v>2255</v>
      </c>
      <c r="H1550" s="5" t="s">
        <v>2260</v>
      </c>
      <c r="I1550" s="5" t="s">
        <v>2260</v>
      </c>
      <c r="J1550" s="5" t="s">
        <v>2265</v>
      </c>
      <c r="K1550" s="8">
        <v>1</v>
      </c>
      <c r="L1550" s="9">
        <v>180</v>
      </c>
      <c r="M1550" s="10">
        <v>0.05</v>
      </c>
      <c r="N1550" s="9">
        <f t="shared" si="298"/>
        <v>180</v>
      </c>
      <c r="O1550" s="9">
        <f t="shared" si="288"/>
        <v>171</v>
      </c>
      <c r="P1550" s="5" t="s">
        <v>1761</v>
      </c>
      <c r="Q1550" s="5" t="s">
        <v>1761</v>
      </c>
      <c r="R1550" s="5" t="s">
        <v>2277</v>
      </c>
      <c r="S1550" s="5" t="s">
        <v>2282</v>
      </c>
      <c r="T1550" s="5" t="s">
        <v>2288</v>
      </c>
      <c r="U1550" s="8">
        <v>5</v>
      </c>
      <c r="V1550" s="8">
        <v>204</v>
      </c>
      <c r="W1550" s="19">
        <v>36</v>
      </c>
      <c r="X1550" s="9">
        <v>100.02</v>
      </c>
      <c r="Y1550" s="9">
        <f t="shared" si="289"/>
        <v>70.98</v>
      </c>
      <c r="Z1550" s="5" t="s">
        <v>2293</v>
      </c>
      <c r="AA1550" s="5" t="s">
        <v>2299</v>
      </c>
      <c r="AB1550" s="9">
        <f t="shared" si="290"/>
        <v>180</v>
      </c>
      <c r="AC1550" s="9">
        <f t="shared" si="291"/>
        <v>9</v>
      </c>
      <c r="AD1550" s="9">
        <f t="shared" si="292"/>
        <v>171</v>
      </c>
      <c r="AE1550" s="9">
        <f t="shared" si="293"/>
        <v>100.02</v>
      </c>
      <c r="AF1550" s="9">
        <f t="shared" si="299"/>
        <v>70.98</v>
      </c>
      <c r="AG1550" s="8">
        <f t="shared" si="294"/>
        <v>2024</v>
      </c>
      <c r="AH1550" s="8">
        <f t="shared" si="295"/>
        <v>3</v>
      </c>
      <c r="AI1550" s="5" t="str">
        <f t="shared" si="296"/>
        <v>Mar</v>
      </c>
      <c r="AJ1550" s="5" t="str">
        <f t="shared" si="297"/>
        <v>Sunday</v>
      </c>
    </row>
    <row r="1551" spans="1:36" x14ac:dyDescent="0.3">
      <c r="A1551" s="5" t="s">
        <v>1585</v>
      </c>
      <c r="B1551" s="6">
        <v>45341</v>
      </c>
      <c r="C1551" s="7">
        <v>0.63194444444444442</v>
      </c>
      <c r="D1551" s="5" t="s">
        <v>1784</v>
      </c>
      <c r="E1551" s="5" t="s">
        <v>2129</v>
      </c>
      <c r="F1551" s="5" t="s">
        <v>2239</v>
      </c>
      <c r="G1551" s="5" t="s">
        <v>2249</v>
      </c>
      <c r="H1551" s="5" t="s">
        <v>2257</v>
      </c>
      <c r="I1551" s="5" t="s">
        <v>2263</v>
      </c>
      <c r="J1551" s="5" t="s">
        <v>2266</v>
      </c>
      <c r="K1551" s="8">
        <v>2</v>
      </c>
      <c r="L1551" s="9">
        <v>165</v>
      </c>
      <c r="M1551" s="10">
        <v>0.15</v>
      </c>
      <c r="N1551" s="9">
        <f t="shared" si="298"/>
        <v>330</v>
      </c>
      <c r="O1551" s="9">
        <f t="shared" si="288"/>
        <v>280.5</v>
      </c>
      <c r="P1551" s="5" t="s">
        <v>2267</v>
      </c>
      <c r="Q1551" s="5" t="s">
        <v>2272</v>
      </c>
      <c r="R1551" s="5" t="s">
        <v>2278</v>
      </c>
      <c r="S1551" s="5" t="s">
        <v>2285</v>
      </c>
      <c r="T1551" s="5" t="s">
        <v>2288</v>
      </c>
      <c r="U1551" s="8">
        <v>4</v>
      </c>
      <c r="V1551" s="8">
        <v>10</v>
      </c>
      <c r="W1551" s="8">
        <v>39</v>
      </c>
      <c r="X1551" s="9">
        <v>66.14</v>
      </c>
      <c r="Y1551" s="9">
        <f t="shared" si="289"/>
        <v>148.22</v>
      </c>
      <c r="Z1551" s="5" t="s">
        <v>2293</v>
      </c>
      <c r="AA1551" s="5" t="s">
        <v>2298</v>
      </c>
      <c r="AB1551" s="9">
        <f t="shared" si="290"/>
        <v>330</v>
      </c>
      <c r="AC1551" s="9">
        <f t="shared" si="291"/>
        <v>49.5</v>
      </c>
      <c r="AD1551" s="9">
        <f t="shared" si="292"/>
        <v>280.5</v>
      </c>
      <c r="AE1551" s="9">
        <f t="shared" si="293"/>
        <v>132.28</v>
      </c>
      <c r="AF1551" s="9">
        <f t="shared" si="299"/>
        <v>148.22</v>
      </c>
      <c r="AG1551" s="8">
        <f t="shared" si="294"/>
        <v>2024</v>
      </c>
      <c r="AH1551" s="8">
        <f t="shared" si="295"/>
        <v>2</v>
      </c>
      <c r="AI1551" s="5" t="str">
        <f t="shared" si="296"/>
        <v>Feb</v>
      </c>
      <c r="AJ1551" s="5" t="str">
        <f t="shared" si="297"/>
        <v>Monday</v>
      </c>
    </row>
    <row r="1552" spans="1:36" x14ac:dyDescent="0.3">
      <c r="A1552" s="5" t="s">
        <v>1586</v>
      </c>
      <c r="B1552" s="18">
        <v>45468</v>
      </c>
      <c r="C1552" s="7">
        <v>0.55555555555555558</v>
      </c>
      <c r="D1552" s="5" t="s">
        <v>1830</v>
      </c>
      <c r="E1552" s="5" t="s">
        <v>2197</v>
      </c>
      <c r="F1552" s="5" t="s">
        <v>2239</v>
      </c>
      <c r="G1552" s="5" t="s">
        <v>2252</v>
      </c>
      <c r="H1552" s="5" t="s">
        <v>2257</v>
      </c>
      <c r="I1552" s="5" t="s">
        <v>2262</v>
      </c>
      <c r="J1552" s="5" t="s">
        <v>2264</v>
      </c>
      <c r="K1552" s="8">
        <v>1</v>
      </c>
      <c r="L1552" s="9">
        <v>90</v>
      </c>
      <c r="M1552" s="10">
        <v>0</v>
      </c>
      <c r="N1552" s="9">
        <f t="shared" si="298"/>
        <v>90</v>
      </c>
      <c r="O1552" s="9">
        <f t="shared" si="288"/>
        <v>90</v>
      </c>
      <c r="P1552" s="5" t="s">
        <v>1761</v>
      </c>
      <c r="Q1552" s="5" t="s">
        <v>1761</v>
      </c>
      <c r="R1552" s="5" t="s">
        <v>2273</v>
      </c>
      <c r="S1552" s="5" t="s">
        <v>2286</v>
      </c>
      <c r="T1552" s="5" t="s">
        <v>2288</v>
      </c>
      <c r="U1552" s="19">
        <v>3</v>
      </c>
      <c r="V1552" s="8">
        <v>363</v>
      </c>
      <c r="W1552" s="8">
        <v>12</v>
      </c>
      <c r="X1552" s="9">
        <v>50.35</v>
      </c>
      <c r="Y1552" s="9">
        <f t="shared" si="289"/>
        <v>39.65</v>
      </c>
      <c r="Z1552" s="5" t="s">
        <v>2293</v>
      </c>
      <c r="AA1552" s="5" t="s">
        <v>2296</v>
      </c>
      <c r="AB1552" s="9">
        <f t="shared" si="290"/>
        <v>90</v>
      </c>
      <c r="AC1552" s="9">
        <f t="shared" si="291"/>
        <v>0</v>
      </c>
      <c r="AD1552" s="9">
        <f t="shared" si="292"/>
        <v>90</v>
      </c>
      <c r="AE1552" s="9">
        <f t="shared" si="293"/>
        <v>50.35</v>
      </c>
      <c r="AF1552" s="9">
        <f t="shared" si="299"/>
        <v>39.65</v>
      </c>
      <c r="AG1552" s="8">
        <f t="shared" si="294"/>
        <v>2024</v>
      </c>
      <c r="AH1552" s="8">
        <f t="shared" si="295"/>
        <v>6</v>
      </c>
      <c r="AI1552" s="5" t="str">
        <f t="shared" si="296"/>
        <v>Jun</v>
      </c>
      <c r="AJ1552" s="5" t="str">
        <f t="shared" si="297"/>
        <v>Tuesday</v>
      </c>
    </row>
    <row r="1553" spans="1:36" x14ac:dyDescent="0.3">
      <c r="A1553" s="5" t="s">
        <v>1587</v>
      </c>
      <c r="B1553" s="6">
        <v>45507</v>
      </c>
      <c r="C1553" s="7">
        <v>0.85416666666666663</v>
      </c>
      <c r="D1553" s="5" t="s">
        <v>1907</v>
      </c>
      <c r="E1553" s="5" t="s">
        <v>2060</v>
      </c>
      <c r="F1553" s="5" t="s">
        <v>2240</v>
      </c>
      <c r="G1553" s="5" t="s">
        <v>2246</v>
      </c>
      <c r="H1553" s="5" t="s">
        <v>2259</v>
      </c>
      <c r="I1553" s="5" t="s">
        <v>2262</v>
      </c>
      <c r="J1553" s="5" t="s">
        <v>2265</v>
      </c>
      <c r="K1553" s="8">
        <v>2</v>
      </c>
      <c r="L1553" s="9">
        <v>100</v>
      </c>
      <c r="M1553" s="10">
        <v>0.05</v>
      </c>
      <c r="N1553" s="9">
        <f t="shared" si="298"/>
        <v>200</v>
      </c>
      <c r="O1553" s="9">
        <f t="shared" si="288"/>
        <v>190</v>
      </c>
      <c r="P1553" s="5" t="s">
        <v>2267</v>
      </c>
      <c r="Q1553" s="5" t="s">
        <v>2272</v>
      </c>
      <c r="R1553" s="5" t="s">
        <v>2276</v>
      </c>
      <c r="S1553" s="5" t="s">
        <v>2281</v>
      </c>
      <c r="T1553" s="5" t="s">
        <v>2288</v>
      </c>
      <c r="U1553" s="8">
        <v>4</v>
      </c>
      <c r="V1553" s="8">
        <v>18</v>
      </c>
      <c r="W1553" s="19">
        <v>35</v>
      </c>
      <c r="X1553" s="9">
        <v>44.15</v>
      </c>
      <c r="Y1553" s="9">
        <f t="shared" si="289"/>
        <v>101.7</v>
      </c>
      <c r="Z1553" s="5" t="s">
        <v>2291</v>
      </c>
      <c r="AA1553" s="5" t="s">
        <v>1761</v>
      </c>
      <c r="AB1553" s="9">
        <f t="shared" si="290"/>
        <v>200</v>
      </c>
      <c r="AC1553" s="9">
        <f t="shared" si="291"/>
        <v>10</v>
      </c>
      <c r="AD1553" s="9">
        <f t="shared" si="292"/>
        <v>190</v>
      </c>
      <c r="AE1553" s="9">
        <f t="shared" si="293"/>
        <v>88.3</v>
      </c>
      <c r="AF1553" s="9">
        <f t="shared" si="299"/>
        <v>101.7</v>
      </c>
      <c r="AG1553" s="8">
        <f t="shared" si="294"/>
        <v>2024</v>
      </c>
      <c r="AH1553" s="8">
        <f t="shared" si="295"/>
        <v>8</v>
      </c>
      <c r="AI1553" s="5" t="str">
        <f t="shared" si="296"/>
        <v>Aug</v>
      </c>
      <c r="AJ1553" s="5" t="str">
        <f t="shared" si="297"/>
        <v>Saturday</v>
      </c>
    </row>
    <row r="1554" spans="1:36" x14ac:dyDescent="0.3">
      <c r="A1554" s="5" t="s">
        <v>1588</v>
      </c>
      <c r="B1554" s="6">
        <v>45385</v>
      </c>
      <c r="C1554" s="7">
        <v>0.35416666666666669</v>
      </c>
      <c r="D1554" s="5" t="s">
        <v>1885</v>
      </c>
      <c r="E1554" s="5" t="s">
        <v>2102</v>
      </c>
      <c r="F1554" s="5" t="s">
        <v>2240</v>
      </c>
      <c r="G1554" s="5" t="s">
        <v>2244</v>
      </c>
      <c r="H1554" s="5" t="s">
        <v>2257</v>
      </c>
      <c r="I1554" s="5" t="s">
        <v>2262</v>
      </c>
      <c r="J1554" s="5" t="s">
        <v>2266</v>
      </c>
      <c r="K1554" s="8">
        <v>3</v>
      </c>
      <c r="L1554" s="9">
        <v>120</v>
      </c>
      <c r="M1554" s="10">
        <v>0</v>
      </c>
      <c r="N1554" s="9">
        <f t="shared" si="298"/>
        <v>360</v>
      </c>
      <c r="O1554" s="9">
        <f t="shared" si="288"/>
        <v>360</v>
      </c>
      <c r="P1554" s="5" t="s">
        <v>2269</v>
      </c>
      <c r="Q1554" s="5" t="s">
        <v>2272</v>
      </c>
      <c r="R1554" s="5" t="s">
        <v>2276</v>
      </c>
      <c r="S1554" s="5" t="s">
        <v>2282</v>
      </c>
      <c r="T1554" s="5" t="s">
        <v>2288</v>
      </c>
      <c r="U1554" s="8">
        <v>2</v>
      </c>
      <c r="V1554" s="8">
        <v>202</v>
      </c>
      <c r="W1554" s="8">
        <v>46</v>
      </c>
      <c r="X1554" s="9">
        <v>54.57</v>
      </c>
      <c r="Y1554" s="9">
        <f t="shared" si="289"/>
        <v>196.29</v>
      </c>
      <c r="Z1554" s="5" t="s">
        <v>2293</v>
      </c>
      <c r="AA1554" s="5" t="s">
        <v>1761</v>
      </c>
      <c r="AB1554" s="9">
        <f t="shared" si="290"/>
        <v>360</v>
      </c>
      <c r="AC1554" s="9">
        <f t="shared" si="291"/>
        <v>0</v>
      </c>
      <c r="AD1554" s="9">
        <f t="shared" si="292"/>
        <v>360</v>
      </c>
      <c r="AE1554" s="9">
        <f t="shared" si="293"/>
        <v>163.71</v>
      </c>
      <c r="AF1554" s="9">
        <f t="shared" si="299"/>
        <v>196.29</v>
      </c>
      <c r="AG1554" s="8">
        <f t="shared" si="294"/>
        <v>2024</v>
      </c>
      <c r="AH1554" s="8">
        <f t="shared" si="295"/>
        <v>4</v>
      </c>
      <c r="AI1554" s="5" t="str">
        <f t="shared" si="296"/>
        <v>Apr</v>
      </c>
      <c r="AJ1554" s="5" t="str">
        <f t="shared" si="297"/>
        <v>Wednesday</v>
      </c>
    </row>
    <row r="1555" spans="1:36" x14ac:dyDescent="0.3">
      <c r="A1555" s="5" t="s">
        <v>1589</v>
      </c>
      <c r="B1555" s="6">
        <v>45570</v>
      </c>
      <c r="C1555" s="7">
        <v>0.79166666666666663</v>
      </c>
      <c r="D1555" s="5" t="s">
        <v>1785</v>
      </c>
      <c r="E1555" s="5" t="s">
        <v>1761</v>
      </c>
      <c r="F1555" s="5" t="s">
        <v>2240</v>
      </c>
      <c r="G1555" s="5" t="s">
        <v>2250</v>
      </c>
      <c r="H1555" s="5" t="s">
        <v>2259</v>
      </c>
      <c r="I1555" s="5" t="s">
        <v>2262</v>
      </c>
      <c r="J1555" s="5" t="s">
        <v>2264</v>
      </c>
      <c r="K1555" s="19">
        <v>3</v>
      </c>
      <c r="L1555" s="9">
        <v>90</v>
      </c>
      <c r="M1555" s="10">
        <v>0</v>
      </c>
      <c r="N1555" s="9">
        <f t="shared" si="298"/>
        <v>270</v>
      </c>
      <c r="O1555" s="9">
        <f t="shared" si="288"/>
        <v>270</v>
      </c>
      <c r="P1555" s="5" t="s">
        <v>2269</v>
      </c>
      <c r="Q1555" s="5" t="s">
        <v>1761</v>
      </c>
      <c r="R1555" s="5" t="s">
        <v>2275</v>
      </c>
      <c r="S1555" s="5" t="s">
        <v>2282</v>
      </c>
      <c r="T1555" s="5" t="s">
        <v>2288</v>
      </c>
      <c r="U1555" s="8">
        <v>5</v>
      </c>
      <c r="V1555" s="8">
        <v>456</v>
      </c>
      <c r="W1555" s="8">
        <v>43</v>
      </c>
      <c r="X1555" s="9">
        <v>43</v>
      </c>
      <c r="Y1555" s="9">
        <f t="shared" si="289"/>
        <v>141</v>
      </c>
      <c r="Z1555" s="5" t="s">
        <v>2292</v>
      </c>
      <c r="AA1555" s="5" t="s">
        <v>2297</v>
      </c>
      <c r="AB1555" s="9">
        <f t="shared" si="290"/>
        <v>270</v>
      </c>
      <c r="AC1555" s="9">
        <f t="shared" si="291"/>
        <v>0</v>
      </c>
      <c r="AD1555" s="9">
        <f t="shared" si="292"/>
        <v>270</v>
      </c>
      <c r="AE1555" s="9">
        <f t="shared" si="293"/>
        <v>129</v>
      </c>
      <c r="AF1555" s="9">
        <f t="shared" si="299"/>
        <v>141</v>
      </c>
      <c r="AG1555" s="8">
        <f t="shared" si="294"/>
        <v>2024</v>
      </c>
      <c r="AH1555" s="8">
        <f t="shared" si="295"/>
        <v>10</v>
      </c>
      <c r="AI1555" s="5" t="str">
        <f t="shared" si="296"/>
        <v>Oct</v>
      </c>
      <c r="AJ1555" s="5" t="str">
        <f t="shared" si="297"/>
        <v>Saturday</v>
      </c>
    </row>
    <row r="1556" spans="1:36" x14ac:dyDescent="0.3">
      <c r="A1556" s="5" t="s">
        <v>1590</v>
      </c>
      <c r="B1556" s="6">
        <v>45295</v>
      </c>
      <c r="C1556" s="7">
        <v>0.63541666666666663</v>
      </c>
      <c r="D1556" s="5" t="s">
        <v>1745</v>
      </c>
      <c r="E1556" s="5" t="s">
        <v>2074</v>
      </c>
      <c r="F1556" s="5" t="s">
        <v>2240</v>
      </c>
      <c r="G1556" s="5" t="s">
        <v>2253</v>
      </c>
      <c r="H1556" s="5" t="s">
        <v>2258</v>
      </c>
      <c r="I1556" s="5" t="s">
        <v>2260</v>
      </c>
      <c r="J1556" s="5" t="s">
        <v>2264</v>
      </c>
      <c r="K1556" s="8">
        <v>3</v>
      </c>
      <c r="L1556" s="9">
        <v>90</v>
      </c>
      <c r="M1556" s="10">
        <v>0.05</v>
      </c>
      <c r="N1556" s="9">
        <f t="shared" si="298"/>
        <v>270</v>
      </c>
      <c r="O1556" s="9">
        <f t="shared" si="288"/>
        <v>256.5</v>
      </c>
      <c r="P1556" s="5" t="s">
        <v>2268</v>
      </c>
      <c r="Q1556" s="5" t="s">
        <v>1761</v>
      </c>
      <c r="R1556" s="5" t="s">
        <v>2276</v>
      </c>
      <c r="S1556" s="5" t="s">
        <v>2286</v>
      </c>
      <c r="T1556" s="5" t="s">
        <v>2288</v>
      </c>
      <c r="U1556" s="19">
        <v>3</v>
      </c>
      <c r="V1556" s="8">
        <v>212</v>
      </c>
      <c r="W1556" s="8">
        <v>52</v>
      </c>
      <c r="X1556" s="9">
        <v>46.65</v>
      </c>
      <c r="Y1556" s="9">
        <f t="shared" si="289"/>
        <v>116.55000000000001</v>
      </c>
      <c r="Z1556" s="5" t="s">
        <v>2291</v>
      </c>
      <c r="AA1556" s="5" t="s">
        <v>2299</v>
      </c>
      <c r="AB1556" s="9">
        <f t="shared" si="290"/>
        <v>270</v>
      </c>
      <c r="AC1556" s="9">
        <f t="shared" si="291"/>
        <v>13.5</v>
      </c>
      <c r="AD1556" s="9">
        <f t="shared" si="292"/>
        <v>256.5</v>
      </c>
      <c r="AE1556" s="9">
        <f t="shared" si="293"/>
        <v>139.94999999999999</v>
      </c>
      <c r="AF1556" s="9">
        <f t="shared" si="299"/>
        <v>116.55000000000001</v>
      </c>
      <c r="AG1556" s="8">
        <f t="shared" si="294"/>
        <v>2024</v>
      </c>
      <c r="AH1556" s="8">
        <f t="shared" si="295"/>
        <v>1</v>
      </c>
      <c r="AI1556" s="5" t="str">
        <f t="shared" si="296"/>
        <v>Jan</v>
      </c>
      <c r="AJ1556" s="5" t="str">
        <f t="shared" si="297"/>
        <v>Thursday</v>
      </c>
    </row>
    <row r="1557" spans="1:36" x14ac:dyDescent="0.3">
      <c r="A1557" s="5" t="s">
        <v>1591</v>
      </c>
      <c r="B1557" s="6">
        <v>45645</v>
      </c>
      <c r="C1557" s="7">
        <v>0.66666666666666663</v>
      </c>
      <c r="D1557" s="5" t="s">
        <v>1744</v>
      </c>
      <c r="E1557" s="5" t="s">
        <v>2013</v>
      </c>
      <c r="F1557" s="5" t="s">
        <v>2239</v>
      </c>
      <c r="G1557" s="5" t="s">
        <v>2252</v>
      </c>
      <c r="H1557" s="5" t="s">
        <v>2257</v>
      </c>
      <c r="I1557" s="5" t="s">
        <v>2262</v>
      </c>
      <c r="J1557" s="5" t="s">
        <v>2266</v>
      </c>
      <c r="K1557" s="8">
        <v>1</v>
      </c>
      <c r="L1557" s="9">
        <v>90</v>
      </c>
      <c r="M1557" s="10">
        <v>0.1</v>
      </c>
      <c r="N1557" s="9">
        <f t="shared" si="298"/>
        <v>90</v>
      </c>
      <c r="O1557" s="9">
        <f t="shared" si="288"/>
        <v>81</v>
      </c>
      <c r="P1557" s="5" t="s">
        <v>2267</v>
      </c>
      <c r="Q1557" s="5" t="s">
        <v>2271</v>
      </c>
      <c r="R1557" s="5" t="s">
        <v>2274</v>
      </c>
      <c r="S1557" s="5" t="s">
        <v>2282</v>
      </c>
      <c r="T1557" s="5" t="s">
        <v>2288</v>
      </c>
      <c r="U1557" s="8">
        <v>5</v>
      </c>
      <c r="V1557" s="8">
        <v>210</v>
      </c>
      <c r="W1557" s="8">
        <v>46</v>
      </c>
      <c r="X1557" s="9">
        <v>33.25</v>
      </c>
      <c r="Y1557" s="9">
        <f t="shared" si="289"/>
        <v>47.75</v>
      </c>
      <c r="Z1557" s="5" t="s">
        <v>1761</v>
      </c>
      <c r="AA1557" s="5" t="s">
        <v>1761</v>
      </c>
      <c r="AB1557" s="9">
        <f t="shared" si="290"/>
        <v>90</v>
      </c>
      <c r="AC1557" s="9">
        <f t="shared" si="291"/>
        <v>9</v>
      </c>
      <c r="AD1557" s="9">
        <f t="shared" si="292"/>
        <v>81</v>
      </c>
      <c r="AE1557" s="9">
        <f t="shared" si="293"/>
        <v>33.25</v>
      </c>
      <c r="AF1557" s="9">
        <f t="shared" si="299"/>
        <v>47.75</v>
      </c>
      <c r="AG1557" s="8">
        <f t="shared" si="294"/>
        <v>2024</v>
      </c>
      <c r="AH1557" s="8">
        <f t="shared" si="295"/>
        <v>12</v>
      </c>
      <c r="AI1557" s="5" t="str">
        <f t="shared" si="296"/>
        <v>Dec</v>
      </c>
      <c r="AJ1557" s="5" t="str">
        <f t="shared" si="297"/>
        <v>Thursday</v>
      </c>
    </row>
    <row r="1558" spans="1:36" x14ac:dyDescent="0.3">
      <c r="A1558" s="5" t="s">
        <v>1592</v>
      </c>
      <c r="B1558" s="6">
        <v>45389</v>
      </c>
      <c r="C1558" s="7">
        <v>0.30208333333333331</v>
      </c>
      <c r="D1558" s="5" t="s">
        <v>1766</v>
      </c>
      <c r="E1558" s="5" t="s">
        <v>2186</v>
      </c>
      <c r="F1558" s="5" t="s">
        <v>2239</v>
      </c>
      <c r="G1558" s="5" t="s">
        <v>2252</v>
      </c>
      <c r="H1558" s="5" t="s">
        <v>2257</v>
      </c>
      <c r="I1558" s="5" t="s">
        <v>2262</v>
      </c>
      <c r="J1558" s="5" t="s">
        <v>2266</v>
      </c>
      <c r="K1558" s="8">
        <v>1</v>
      </c>
      <c r="L1558" s="9">
        <v>90</v>
      </c>
      <c r="M1558" s="10">
        <v>0</v>
      </c>
      <c r="N1558" s="9">
        <f t="shared" si="298"/>
        <v>90</v>
      </c>
      <c r="O1558" s="9">
        <f t="shared" si="288"/>
        <v>90</v>
      </c>
      <c r="P1558" s="5" t="s">
        <v>2269</v>
      </c>
      <c r="Q1558" s="5" t="s">
        <v>2272</v>
      </c>
      <c r="R1558" s="5" t="s">
        <v>2273</v>
      </c>
      <c r="S1558" s="5" t="s">
        <v>2280</v>
      </c>
      <c r="T1558" s="5" t="s">
        <v>2288</v>
      </c>
      <c r="U1558" s="8">
        <v>1</v>
      </c>
      <c r="V1558" s="8">
        <v>224</v>
      </c>
      <c r="W1558" s="8">
        <v>55</v>
      </c>
      <c r="X1558" s="9">
        <v>35.590000000000003</v>
      </c>
      <c r="Y1558" s="9">
        <f t="shared" si="289"/>
        <v>54.41</v>
      </c>
      <c r="Z1558" s="5" t="s">
        <v>1761</v>
      </c>
      <c r="AA1558" s="5" t="s">
        <v>2296</v>
      </c>
      <c r="AB1558" s="9">
        <f t="shared" si="290"/>
        <v>90</v>
      </c>
      <c r="AC1558" s="9">
        <f t="shared" si="291"/>
        <v>0</v>
      </c>
      <c r="AD1558" s="9">
        <f t="shared" si="292"/>
        <v>90</v>
      </c>
      <c r="AE1558" s="9">
        <f t="shared" si="293"/>
        <v>35.590000000000003</v>
      </c>
      <c r="AF1558" s="9">
        <f t="shared" si="299"/>
        <v>54.41</v>
      </c>
      <c r="AG1558" s="8">
        <f t="shared" si="294"/>
        <v>2024</v>
      </c>
      <c r="AH1558" s="8">
        <f t="shared" si="295"/>
        <v>4</v>
      </c>
      <c r="AI1558" s="5" t="str">
        <f t="shared" si="296"/>
        <v>Apr</v>
      </c>
      <c r="AJ1558" s="5" t="str">
        <f t="shared" si="297"/>
        <v>Sunday</v>
      </c>
    </row>
    <row r="1559" spans="1:36" x14ac:dyDescent="0.3">
      <c r="A1559" s="5" t="s">
        <v>1593</v>
      </c>
      <c r="B1559" s="6">
        <v>45305</v>
      </c>
      <c r="C1559" s="7">
        <v>0.60416666666666663</v>
      </c>
      <c r="D1559" s="5" t="s">
        <v>1755</v>
      </c>
      <c r="E1559" s="5" t="s">
        <v>2127</v>
      </c>
      <c r="F1559" s="5" t="s">
        <v>1761</v>
      </c>
      <c r="G1559" s="5" t="s">
        <v>2247</v>
      </c>
      <c r="H1559" s="5" t="s">
        <v>2257</v>
      </c>
      <c r="I1559" s="5" t="s">
        <v>2262</v>
      </c>
      <c r="J1559" s="5" t="s">
        <v>2266</v>
      </c>
      <c r="K1559" s="8">
        <v>1</v>
      </c>
      <c r="L1559" s="9">
        <v>110</v>
      </c>
      <c r="M1559" s="10">
        <v>0.1</v>
      </c>
      <c r="N1559" s="9">
        <f t="shared" si="298"/>
        <v>110</v>
      </c>
      <c r="O1559" s="9">
        <f t="shared" si="288"/>
        <v>99</v>
      </c>
      <c r="P1559" s="5" t="s">
        <v>2269</v>
      </c>
      <c r="Q1559" s="5" t="s">
        <v>2272</v>
      </c>
      <c r="R1559" s="5" t="s">
        <v>2276</v>
      </c>
      <c r="S1559" s="5" t="s">
        <v>2285</v>
      </c>
      <c r="T1559" s="5" t="s">
        <v>2288</v>
      </c>
      <c r="U1559" s="8">
        <v>5</v>
      </c>
      <c r="V1559" s="8">
        <v>4</v>
      </c>
      <c r="W1559" s="8">
        <v>48</v>
      </c>
      <c r="X1559" s="9">
        <v>38.07</v>
      </c>
      <c r="Y1559" s="9">
        <f t="shared" si="289"/>
        <v>60.93</v>
      </c>
      <c r="Z1559" s="5" t="s">
        <v>2291</v>
      </c>
      <c r="AA1559" s="5" t="s">
        <v>2298</v>
      </c>
      <c r="AB1559" s="9">
        <f t="shared" si="290"/>
        <v>110</v>
      </c>
      <c r="AC1559" s="9">
        <f t="shared" si="291"/>
        <v>11</v>
      </c>
      <c r="AD1559" s="9">
        <f t="shared" si="292"/>
        <v>99</v>
      </c>
      <c r="AE1559" s="9">
        <f t="shared" si="293"/>
        <v>38.07</v>
      </c>
      <c r="AF1559" s="9">
        <f t="shared" si="299"/>
        <v>60.93</v>
      </c>
      <c r="AG1559" s="8">
        <f t="shared" si="294"/>
        <v>2024</v>
      </c>
      <c r="AH1559" s="8">
        <f t="shared" si="295"/>
        <v>1</v>
      </c>
      <c r="AI1559" s="5" t="str">
        <f t="shared" si="296"/>
        <v>Jan</v>
      </c>
      <c r="AJ1559" s="5" t="str">
        <f t="shared" si="297"/>
        <v>Sunday</v>
      </c>
    </row>
    <row r="1560" spans="1:36" x14ac:dyDescent="0.3">
      <c r="A1560" s="5" t="s">
        <v>1594</v>
      </c>
      <c r="B1560" s="6">
        <v>45353</v>
      </c>
      <c r="C1560" s="7">
        <v>0.49305555555555558</v>
      </c>
      <c r="D1560" s="5" t="s">
        <v>1785</v>
      </c>
      <c r="E1560" s="5" t="s">
        <v>2114</v>
      </c>
      <c r="F1560" s="5" t="s">
        <v>2238</v>
      </c>
      <c r="G1560" s="5" t="s">
        <v>2254</v>
      </c>
      <c r="H1560" s="5" t="s">
        <v>2259</v>
      </c>
      <c r="I1560" s="5" t="s">
        <v>2263</v>
      </c>
      <c r="J1560" s="5" t="s">
        <v>2265</v>
      </c>
      <c r="K1560" s="8">
        <v>1</v>
      </c>
      <c r="L1560" s="9">
        <v>110</v>
      </c>
      <c r="M1560" s="10">
        <v>0.1</v>
      </c>
      <c r="N1560" s="9">
        <f t="shared" si="298"/>
        <v>110</v>
      </c>
      <c r="O1560" s="9">
        <f t="shared" si="288"/>
        <v>99</v>
      </c>
      <c r="P1560" s="5" t="s">
        <v>2269</v>
      </c>
      <c r="Q1560" s="5" t="s">
        <v>2272</v>
      </c>
      <c r="R1560" s="5" t="s">
        <v>2274</v>
      </c>
      <c r="S1560" s="5" t="s">
        <v>2284</v>
      </c>
      <c r="T1560" s="5" t="s">
        <v>2288</v>
      </c>
      <c r="U1560" s="8">
        <v>5</v>
      </c>
      <c r="V1560" s="8">
        <v>73</v>
      </c>
      <c r="W1560" s="8">
        <v>37</v>
      </c>
      <c r="X1560" s="9">
        <v>48.03</v>
      </c>
      <c r="Y1560" s="9">
        <f t="shared" si="289"/>
        <v>50.97</v>
      </c>
      <c r="Z1560" s="5" t="s">
        <v>2295</v>
      </c>
      <c r="AA1560" s="5" t="s">
        <v>2297</v>
      </c>
      <c r="AB1560" s="9">
        <f t="shared" si="290"/>
        <v>110</v>
      </c>
      <c r="AC1560" s="9">
        <f t="shared" si="291"/>
        <v>11</v>
      </c>
      <c r="AD1560" s="9">
        <f t="shared" si="292"/>
        <v>99</v>
      </c>
      <c r="AE1560" s="9">
        <f t="shared" si="293"/>
        <v>48.03</v>
      </c>
      <c r="AF1560" s="9">
        <f t="shared" si="299"/>
        <v>50.97</v>
      </c>
      <c r="AG1560" s="8">
        <f t="shared" si="294"/>
        <v>2024</v>
      </c>
      <c r="AH1560" s="8">
        <f t="shared" si="295"/>
        <v>3</v>
      </c>
      <c r="AI1560" s="5" t="str">
        <f t="shared" si="296"/>
        <v>Mar</v>
      </c>
      <c r="AJ1560" s="5" t="str">
        <f t="shared" si="297"/>
        <v>Saturday</v>
      </c>
    </row>
    <row r="1561" spans="1:36" x14ac:dyDescent="0.3">
      <c r="A1561" s="5" t="s">
        <v>1595</v>
      </c>
      <c r="B1561" s="6">
        <v>45555</v>
      </c>
      <c r="C1561" s="7">
        <v>0.34722222222222221</v>
      </c>
      <c r="D1561" s="5" t="s">
        <v>1930</v>
      </c>
      <c r="E1561" s="5" t="s">
        <v>2161</v>
      </c>
      <c r="F1561" s="5" t="s">
        <v>1761</v>
      </c>
      <c r="G1561" s="5" t="s">
        <v>2254</v>
      </c>
      <c r="H1561" s="5" t="s">
        <v>2259</v>
      </c>
      <c r="I1561" s="5" t="s">
        <v>2263</v>
      </c>
      <c r="J1561" s="5" t="s">
        <v>2266</v>
      </c>
      <c r="K1561" s="8">
        <v>1</v>
      </c>
      <c r="L1561" s="9">
        <v>110</v>
      </c>
      <c r="M1561" s="10">
        <v>0.1</v>
      </c>
      <c r="N1561" s="9">
        <f t="shared" si="298"/>
        <v>110</v>
      </c>
      <c r="O1561" s="9">
        <f t="shared" si="288"/>
        <v>99</v>
      </c>
      <c r="P1561" s="5" t="s">
        <v>2269</v>
      </c>
      <c r="Q1561" s="5" t="s">
        <v>2272</v>
      </c>
      <c r="R1561" s="5" t="s">
        <v>2277</v>
      </c>
      <c r="S1561" s="5" t="s">
        <v>2285</v>
      </c>
      <c r="T1561" s="5" t="s">
        <v>2288</v>
      </c>
      <c r="U1561" s="8">
        <v>5</v>
      </c>
      <c r="V1561" s="8">
        <v>168</v>
      </c>
      <c r="W1561" s="19">
        <v>35</v>
      </c>
      <c r="X1561" s="9">
        <v>52.72</v>
      </c>
      <c r="Y1561" s="9">
        <f t="shared" si="289"/>
        <v>46.28</v>
      </c>
      <c r="Z1561" s="5" t="s">
        <v>2292</v>
      </c>
      <c r="AA1561" s="5" t="s">
        <v>2299</v>
      </c>
      <c r="AB1561" s="9">
        <f t="shared" si="290"/>
        <v>110</v>
      </c>
      <c r="AC1561" s="9">
        <f t="shared" si="291"/>
        <v>11</v>
      </c>
      <c r="AD1561" s="9">
        <f t="shared" si="292"/>
        <v>99</v>
      </c>
      <c r="AE1561" s="9">
        <f t="shared" si="293"/>
        <v>52.72</v>
      </c>
      <c r="AF1561" s="9">
        <f t="shared" si="299"/>
        <v>46.28</v>
      </c>
      <c r="AG1561" s="8">
        <f t="shared" si="294"/>
        <v>2024</v>
      </c>
      <c r="AH1561" s="8">
        <f t="shared" si="295"/>
        <v>9</v>
      </c>
      <c r="AI1561" s="5" t="str">
        <f t="shared" si="296"/>
        <v>Sep</v>
      </c>
      <c r="AJ1561" s="5" t="str">
        <f t="shared" si="297"/>
        <v>Friday</v>
      </c>
    </row>
    <row r="1562" spans="1:36" x14ac:dyDescent="0.3">
      <c r="A1562" s="5" t="s">
        <v>1596</v>
      </c>
      <c r="B1562" s="6">
        <v>45584</v>
      </c>
      <c r="C1562" s="7">
        <v>0.85416666666666663</v>
      </c>
      <c r="D1562" s="5" t="s">
        <v>1872</v>
      </c>
      <c r="E1562" s="5" t="s">
        <v>2186</v>
      </c>
      <c r="F1562" s="5" t="s">
        <v>1761</v>
      </c>
      <c r="G1562" s="5" t="s">
        <v>2247</v>
      </c>
      <c r="H1562" s="5" t="s">
        <v>2257</v>
      </c>
      <c r="I1562" s="5" t="s">
        <v>2262</v>
      </c>
      <c r="J1562" s="5" t="s">
        <v>2264</v>
      </c>
      <c r="K1562" s="8">
        <v>1</v>
      </c>
      <c r="L1562" s="9">
        <v>105</v>
      </c>
      <c r="M1562" s="10">
        <v>0</v>
      </c>
      <c r="N1562" s="9">
        <f t="shared" si="298"/>
        <v>105</v>
      </c>
      <c r="O1562" s="9">
        <f t="shared" si="288"/>
        <v>105</v>
      </c>
      <c r="P1562" s="5" t="s">
        <v>2268</v>
      </c>
      <c r="Q1562" s="5" t="s">
        <v>2272</v>
      </c>
      <c r="R1562" s="5" t="s">
        <v>2279</v>
      </c>
      <c r="S1562" s="5" t="s">
        <v>2284</v>
      </c>
      <c r="T1562" s="5" t="s">
        <v>2288</v>
      </c>
      <c r="U1562" s="8">
        <v>3</v>
      </c>
      <c r="V1562" s="8">
        <v>353</v>
      </c>
      <c r="W1562" s="8">
        <v>13</v>
      </c>
      <c r="X1562" s="9">
        <v>51.87</v>
      </c>
      <c r="Y1562" s="9">
        <f t="shared" si="289"/>
        <v>53.13</v>
      </c>
      <c r="Z1562" s="5" t="s">
        <v>2293</v>
      </c>
      <c r="AA1562" s="5" t="s">
        <v>2298</v>
      </c>
      <c r="AB1562" s="9">
        <f t="shared" si="290"/>
        <v>105</v>
      </c>
      <c r="AC1562" s="9">
        <f t="shared" si="291"/>
        <v>0</v>
      </c>
      <c r="AD1562" s="9">
        <f t="shared" si="292"/>
        <v>105</v>
      </c>
      <c r="AE1562" s="9">
        <f t="shared" si="293"/>
        <v>51.87</v>
      </c>
      <c r="AF1562" s="9">
        <f t="shared" si="299"/>
        <v>53.13</v>
      </c>
      <c r="AG1562" s="8">
        <f t="shared" si="294"/>
        <v>2024</v>
      </c>
      <c r="AH1562" s="8">
        <f t="shared" si="295"/>
        <v>10</v>
      </c>
      <c r="AI1562" s="5" t="str">
        <f t="shared" si="296"/>
        <v>Oct</v>
      </c>
      <c r="AJ1562" s="5" t="str">
        <f t="shared" si="297"/>
        <v>Saturday</v>
      </c>
    </row>
    <row r="1563" spans="1:36" x14ac:dyDescent="0.3">
      <c r="A1563" s="5" t="s">
        <v>1597</v>
      </c>
      <c r="B1563" s="6">
        <v>45652</v>
      </c>
      <c r="C1563" s="7">
        <v>0.72222222222222221</v>
      </c>
      <c r="D1563" s="5" t="s">
        <v>1763</v>
      </c>
      <c r="E1563" s="5" t="s">
        <v>2209</v>
      </c>
      <c r="F1563" s="5" t="s">
        <v>1761</v>
      </c>
      <c r="G1563" s="5" t="s">
        <v>2255</v>
      </c>
      <c r="H1563" s="5" t="s">
        <v>2260</v>
      </c>
      <c r="I1563" s="5" t="s">
        <v>2260</v>
      </c>
      <c r="J1563" s="5" t="s">
        <v>2264</v>
      </c>
      <c r="K1563" s="8">
        <v>1</v>
      </c>
      <c r="L1563" s="9">
        <v>185</v>
      </c>
      <c r="M1563" s="10">
        <v>0.05</v>
      </c>
      <c r="N1563" s="9">
        <f t="shared" si="298"/>
        <v>185</v>
      </c>
      <c r="O1563" s="9">
        <f t="shared" si="288"/>
        <v>175.75</v>
      </c>
      <c r="P1563" s="5" t="s">
        <v>1761</v>
      </c>
      <c r="Q1563" s="5" t="s">
        <v>2272</v>
      </c>
      <c r="R1563" s="5" t="s">
        <v>2277</v>
      </c>
      <c r="S1563" s="5" t="s">
        <v>2284</v>
      </c>
      <c r="T1563" s="5" t="s">
        <v>2288</v>
      </c>
      <c r="U1563" s="8">
        <v>3</v>
      </c>
      <c r="V1563" s="8">
        <v>182</v>
      </c>
      <c r="W1563" s="19">
        <v>35</v>
      </c>
      <c r="X1563" s="9">
        <v>83.88</v>
      </c>
      <c r="Y1563" s="9">
        <f t="shared" si="289"/>
        <v>91.87</v>
      </c>
      <c r="Z1563" s="5" t="s">
        <v>2292</v>
      </c>
      <c r="AA1563" s="5" t="s">
        <v>2298</v>
      </c>
      <c r="AB1563" s="9">
        <f t="shared" si="290"/>
        <v>185</v>
      </c>
      <c r="AC1563" s="9">
        <f t="shared" si="291"/>
        <v>9.25</v>
      </c>
      <c r="AD1563" s="9">
        <f t="shared" si="292"/>
        <v>175.75</v>
      </c>
      <c r="AE1563" s="9">
        <f t="shared" si="293"/>
        <v>83.88</v>
      </c>
      <c r="AF1563" s="9">
        <f t="shared" si="299"/>
        <v>91.87</v>
      </c>
      <c r="AG1563" s="8">
        <f t="shared" si="294"/>
        <v>2024</v>
      </c>
      <c r="AH1563" s="8">
        <f t="shared" si="295"/>
        <v>12</v>
      </c>
      <c r="AI1563" s="5" t="str">
        <f t="shared" si="296"/>
        <v>Dec</v>
      </c>
      <c r="AJ1563" s="5" t="str">
        <f t="shared" si="297"/>
        <v>Thursday</v>
      </c>
    </row>
    <row r="1564" spans="1:36" x14ac:dyDescent="0.3">
      <c r="A1564" s="5" t="s">
        <v>1598</v>
      </c>
      <c r="B1564" s="6">
        <v>45555</v>
      </c>
      <c r="C1564" s="7">
        <v>0.61805555555555558</v>
      </c>
      <c r="D1564" s="5" t="s">
        <v>1853</v>
      </c>
      <c r="E1564" s="5" t="s">
        <v>1957</v>
      </c>
      <c r="F1564" s="5" t="s">
        <v>2239</v>
      </c>
      <c r="G1564" s="5" t="s">
        <v>2243</v>
      </c>
      <c r="H1564" s="5" t="s">
        <v>2258</v>
      </c>
      <c r="I1564" s="5" t="s">
        <v>2260</v>
      </c>
      <c r="J1564" s="5" t="s">
        <v>2266</v>
      </c>
      <c r="K1564" s="8">
        <v>1</v>
      </c>
      <c r="L1564" s="9">
        <v>70</v>
      </c>
      <c r="M1564" s="10">
        <v>0</v>
      </c>
      <c r="N1564" s="9">
        <f t="shared" si="298"/>
        <v>70</v>
      </c>
      <c r="O1564" s="9">
        <f t="shared" si="288"/>
        <v>70</v>
      </c>
      <c r="P1564" s="5" t="s">
        <v>1761</v>
      </c>
      <c r="Q1564" s="5" t="s">
        <v>2270</v>
      </c>
      <c r="R1564" s="5" t="s">
        <v>2274</v>
      </c>
      <c r="S1564" s="5" t="s">
        <v>2286</v>
      </c>
      <c r="T1564" s="5" t="s">
        <v>2289</v>
      </c>
      <c r="U1564" s="8">
        <v>5</v>
      </c>
      <c r="V1564" s="8">
        <v>56</v>
      </c>
      <c r="W1564" s="19">
        <v>34</v>
      </c>
      <c r="X1564" s="9">
        <v>24.61</v>
      </c>
      <c r="Y1564" s="9">
        <f t="shared" si="289"/>
        <v>45.39</v>
      </c>
      <c r="Z1564" s="5" t="s">
        <v>2293</v>
      </c>
      <c r="AA1564" s="5" t="s">
        <v>2299</v>
      </c>
      <c r="AB1564" s="9">
        <f t="shared" si="290"/>
        <v>70</v>
      </c>
      <c r="AC1564" s="9">
        <f t="shared" si="291"/>
        <v>0</v>
      </c>
      <c r="AD1564" s="9">
        <f t="shared" si="292"/>
        <v>70</v>
      </c>
      <c r="AE1564" s="9">
        <f t="shared" si="293"/>
        <v>24.61</v>
      </c>
      <c r="AF1564" s="9">
        <f t="shared" si="299"/>
        <v>45.39</v>
      </c>
      <c r="AG1564" s="8">
        <f t="shared" si="294"/>
        <v>2024</v>
      </c>
      <c r="AH1564" s="8">
        <f t="shared" si="295"/>
        <v>9</v>
      </c>
      <c r="AI1564" s="5" t="str">
        <f t="shared" si="296"/>
        <v>Sep</v>
      </c>
      <c r="AJ1564" s="5" t="str">
        <f t="shared" si="297"/>
        <v>Friday</v>
      </c>
    </row>
    <row r="1565" spans="1:36" x14ac:dyDescent="0.3">
      <c r="A1565" s="5" t="s">
        <v>1599</v>
      </c>
      <c r="B1565" s="6">
        <v>45521</v>
      </c>
      <c r="C1565" s="7">
        <v>0.78125</v>
      </c>
      <c r="D1565" s="5" t="s">
        <v>1856</v>
      </c>
      <c r="E1565" s="5" t="s">
        <v>2052</v>
      </c>
      <c r="F1565" s="5" t="s">
        <v>2240</v>
      </c>
      <c r="G1565" s="5" t="s">
        <v>2242</v>
      </c>
      <c r="H1565" s="5" t="s">
        <v>2258</v>
      </c>
      <c r="I1565" s="5" t="s">
        <v>2260</v>
      </c>
      <c r="J1565" s="5" t="s">
        <v>2266</v>
      </c>
      <c r="K1565" s="8">
        <v>1</v>
      </c>
      <c r="L1565" s="9">
        <v>115</v>
      </c>
      <c r="M1565" s="10">
        <v>0.1</v>
      </c>
      <c r="N1565" s="9">
        <f t="shared" si="298"/>
        <v>115</v>
      </c>
      <c r="O1565" s="9">
        <f t="shared" si="288"/>
        <v>103.5</v>
      </c>
      <c r="P1565" s="5" t="s">
        <v>2267</v>
      </c>
      <c r="Q1565" s="5" t="s">
        <v>2272</v>
      </c>
      <c r="R1565" s="5" t="s">
        <v>2274</v>
      </c>
      <c r="S1565" s="5" t="s">
        <v>2282</v>
      </c>
      <c r="T1565" s="5" t="s">
        <v>2288</v>
      </c>
      <c r="U1565" s="8">
        <v>5</v>
      </c>
      <c r="V1565" s="8">
        <v>282</v>
      </c>
      <c r="W1565" s="8">
        <v>23</v>
      </c>
      <c r="X1565" s="9">
        <v>42.81</v>
      </c>
      <c r="Y1565" s="9">
        <f t="shared" si="289"/>
        <v>60.69</v>
      </c>
      <c r="Z1565" s="5" t="s">
        <v>2293</v>
      </c>
      <c r="AA1565" s="5" t="s">
        <v>2296</v>
      </c>
      <c r="AB1565" s="9">
        <f t="shared" si="290"/>
        <v>115</v>
      </c>
      <c r="AC1565" s="9">
        <f t="shared" si="291"/>
        <v>11.5</v>
      </c>
      <c r="AD1565" s="9">
        <f t="shared" si="292"/>
        <v>103.5</v>
      </c>
      <c r="AE1565" s="9">
        <f t="shared" si="293"/>
        <v>42.81</v>
      </c>
      <c r="AF1565" s="9">
        <f t="shared" si="299"/>
        <v>60.69</v>
      </c>
      <c r="AG1565" s="8">
        <f t="shared" si="294"/>
        <v>2024</v>
      </c>
      <c r="AH1565" s="8">
        <f t="shared" si="295"/>
        <v>8</v>
      </c>
      <c r="AI1565" s="5" t="str">
        <f t="shared" si="296"/>
        <v>Aug</v>
      </c>
      <c r="AJ1565" s="5" t="str">
        <f t="shared" si="297"/>
        <v>Saturday</v>
      </c>
    </row>
    <row r="1566" spans="1:36" x14ac:dyDescent="0.3">
      <c r="A1566" s="5" t="s">
        <v>1600</v>
      </c>
      <c r="B1566" s="6">
        <v>45292</v>
      </c>
      <c r="C1566" s="7">
        <v>0.30208333333333331</v>
      </c>
      <c r="D1566" s="5" t="s">
        <v>1746</v>
      </c>
      <c r="E1566" s="5" t="s">
        <v>2016</v>
      </c>
      <c r="F1566" s="5" t="s">
        <v>2238</v>
      </c>
      <c r="G1566" s="5" t="s">
        <v>2251</v>
      </c>
      <c r="H1566" s="5" t="s">
        <v>2258</v>
      </c>
      <c r="I1566" s="5" t="s">
        <v>2260</v>
      </c>
      <c r="J1566" s="5" t="s">
        <v>2264</v>
      </c>
      <c r="K1566" s="8">
        <v>1</v>
      </c>
      <c r="L1566" s="9">
        <v>110</v>
      </c>
      <c r="M1566" s="10">
        <v>0</v>
      </c>
      <c r="N1566" s="9">
        <f t="shared" si="298"/>
        <v>110</v>
      </c>
      <c r="O1566" s="9">
        <f t="shared" si="288"/>
        <v>110</v>
      </c>
      <c r="P1566" s="5" t="s">
        <v>2268</v>
      </c>
      <c r="Q1566" s="5" t="s">
        <v>1761</v>
      </c>
      <c r="R1566" s="5" t="s">
        <v>2279</v>
      </c>
      <c r="S1566" s="5" t="s">
        <v>2286</v>
      </c>
      <c r="T1566" s="5" t="s">
        <v>2288</v>
      </c>
      <c r="U1566" s="8">
        <v>1</v>
      </c>
      <c r="V1566" s="8">
        <v>405</v>
      </c>
      <c r="W1566" s="8">
        <v>58</v>
      </c>
      <c r="X1566" s="9">
        <v>42.59</v>
      </c>
      <c r="Y1566" s="9">
        <f t="shared" si="289"/>
        <v>67.41</v>
      </c>
      <c r="Z1566" s="5" t="s">
        <v>2292</v>
      </c>
      <c r="AA1566" s="5" t="s">
        <v>2298</v>
      </c>
      <c r="AB1566" s="9">
        <f t="shared" si="290"/>
        <v>110</v>
      </c>
      <c r="AC1566" s="9">
        <f t="shared" si="291"/>
        <v>0</v>
      </c>
      <c r="AD1566" s="9">
        <f t="shared" si="292"/>
        <v>110</v>
      </c>
      <c r="AE1566" s="9">
        <f t="shared" si="293"/>
        <v>42.59</v>
      </c>
      <c r="AF1566" s="9">
        <f t="shared" si="299"/>
        <v>67.41</v>
      </c>
      <c r="AG1566" s="8">
        <f t="shared" si="294"/>
        <v>2024</v>
      </c>
      <c r="AH1566" s="8">
        <f t="shared" si="295"/>
        <v>1</v>
      </c>
      <c r="AI1566" s="5" t="str">
        <f t="shared" si="296"/>
        <v>Jan</v>
      </c>
      <c r="AJ1566" s="5" t="str">
        <f t="shared" si="297"/>
        <v>Monday</v>
      </c>
    </row>
    <row r="1567" spans="1:36" x14ac:dyDescent="0.3">
      <c r="A1567" s="5" t="s">
        <v>1601</v>
      </c>
      <c r="B1567" s="18">
        <v>45468</v>
      </c>
      <c r="C1567" s="7">
        <v>0.71527777777777779</v>
      </c>
      <c r="D1567" s="5" t="s">
        <v>1870</v>
      </c>
      <c r="E1567" s="5" t="s">
        <v>2004</v>
      </c>
      <c r="F1567" s="5" t="s">
        <v>2238</v>
      </c>
      <c r="G1567" s="5" t="s">
        <v>2244</v>
      </c>
      <c r="H1567" s="5" t="s">
        <v>2257</v>
      </c>
      <c r="I1567" s="5" t="s">
        <v>2262</v>
      </c>
      <c r="J1567" s="5" t="s">
        <v>2264</v>
      </c>
      <c r="K1567" s="8">
        <v>1</v>
      </c>
      <c r="L1567" s="9">
        <v>120</v>
      </c>
      <c r="M1567" s="10">
        <v>0</v>
      </c>
      <c r="N1567" s="9">
        <f t="shared" si="298"/>
        <v>120</v>
      </c>
      <c r="O1567" s="9">
        <f t="shared" si="288"/>
        <v>120</v>
      </c>
      <c r="P1567" s="5" t="s">
        <v>2269</v>
      </c>
      <c r="Q1567" s="5" t="s">
        <v>2270</v>
      </c>
      <c r="R1567" s="5" t="s">
        <v>2275</v>
      </c>
      <c r="S1567" s="5" t="s">
        <v>2284</v>
      </c>
      <c r="T1567" s="5" t="s">
        <v>2288</v>
      </c>
      <c r="U1567" s="8">
        <v>4</v>
      </c>
      <c r="V1567" s="8">
        <v>160</v>
      </c>
      <c r="W1567" s="8">
        <v>32</v>
      </c>
      <c r="X1567" s="9">
        <v>54.13</v>
      </c>
      <c r="Y1567" s="9">
        <f t="shared" si="289"/>
        <v>65.87</v>
      </c>
      <c r="Z1567" s="5" t="s">
        <v>2291</v>
      </c>
      <c r="AA1567" s="5" t="s">
        <v>2297</v>
      </c>
      <c r="AB1567" s="9">
        <f t="shared" si="290"/>
        <v>120</v>
      </c>
      <c r="AC1567" s="9">
        <f t="shared" si="291"/>
        <v>0</v>
      </c>
      <c r="AD1567" s="9">
        <f t="shared" si="292"/>
        <v>120</v>
      </c>
      <c r="AE1567" s="9">
        <f t="shared" si="293"/>
        <v>54.13</v>
      </c>
      <c r="AF1567" s="9">
        <f t="shared" si="299"/>
        <v>65.87</v>
      </c>
      <c r="AG1567" s="8">
        <f t="shared" si="294"/>
        <v>2024</v>
      </c>
      <c r="AH1567" s="8">
        <f t="shared" si="295"/>
        <v>6</v>
      </c>
      <c r="AI1567" s="5" t="str">
        <f t="shared" si="296"/>
        <v>Jun</v>
      </c>
      <c r="AJ1567" s="5" t="str">
        <f t="shared" si="297"/>
        <v>Tuesday</v>
      </c>
    </row>
    <row r="1568" spans="1:36" x14ac:dyDescent="0.3">
      <c r="A1568" s="5" t="s">
        <v>1602</v>
      </c>
      <c r="B1568" s="6">
        <v>45343</v>
      </c>
      <c r="C1568" s="7">
        <v>0.32291666666666669</v>
      </c>
      <c r="D1568" s="5" t="s">
        <v>1804</v>
      </c>
      <c r="E1568" s="5" t="s">
        <v>2116</v>
      </c>
      <c r="F1568" s="5" t="s">
        <v>1761</v>
      </c>
      <c r="G1568" s="5" t="s">
        <v>2242</v>
      </c>
      <c r="H1568" s="5" t="s">
        <v>2258</v>
      </c>
      <c r="I1568" s="5" t="s">
        <v>2260</v>
      </c>
      <c r="J1568" s="5" t="s">
        <v>2264</v>
      </c>
      <c r="K1568" s="8">
        <v>2</v>
      </c>
      <c r="L1568" s="9">
        <v>130</v>
      </c>
      <c r="M1568" s="10">
        <v>0.1</v>
      </c>
      <c r="N1568" s="9">
        <f t="shared" si="298"/>
        <v>260</v>
      </c>
      <c r="O1568" s="9">
        <f t="shared" si="288"/>
        <v>234</v>
      </c>
      <c r="P1568" s="5" t="s">
        <v>2268</v>
      </c>
      <c r="Q1568" s="5" t="s">
        <v>2272</v>
      </c>
      <c r="R1568" s="5" t="s">
        <v>2275</v>
      </c>
      <c r="S1568" s="5" t="s">
        <v>2283</v>
      </c>
      <c r="T1568" s="5" t="s">
        <v>2290</v>
      </c>
      <c r="U1568" s="8">
        <v>4</v>
      </c>
      <c r="V1568" s="8">
        <v>91</v>
      </c>
      <c r="W1568" s="8">
        <v>36</v>
      </c>
      <c r="X1568" s="9">
        <v>52.59</v>
      </c>
      <c r="Y1568" s="9">
        <f t="shared" si="289"/>
        <v>128.82</v>
      </c>
      <c r="Z1568" s="5" t="s">
        <v>1761</v>
      </c>
      <c r="AA1568" s="5" t="s">
        <v>2297</v>
      </c>
      <c r="AB1568" s="9">
        <f t="shared" si="290"/>
        <v>260</v>
      </c>
      <c r="AC1568" s="9">
        <f t="shared" si="291"/>
        <v>26</v>
      </c>
      <c r="AD1568" s="9">
        <f t="shared" si="292"/>
        <v>234</v>
      </c>
      <c r="AE1568" s="9">
        <f t="shared" si="293"/>
        <v>105.18</v>
      </c>
      <c r="AF1568" s="9">
        <f t="shared" si="299"/>
        <v>128.82</v>
      </c>
      <c r="AG1568" s="8">
        <f t="shared" si="294"/>
        <v>2024</v>
      </c>
      <c r="AH1568" s="8">
        <f t="shared" si="295"/>
        <v>2</v>
      </c>
      <c r="AI1568" s="5" t="str">
        <f t="shared" si="296"/>
        <v>Feb</v>
      </c>
      <c r="AJ1568" s="5" t="str">
        <f t="shared" si="297"/>
        <v>Wednesday</v>
      </c>
    </row>
    <row r="1569" spans="1:36" x14ac:dyDescent="0.3">
      <c r="A1569" s="5" t="s">
        <v>1603</v>
      </c>
      <c r="B1569" s="6">
        <v>45632</v>
      </c>
      <c r="C1569" s="7">
        <v>0.51388888888888884</v>
      </c>
      <c r="D1569" s="5" t="s">
        <v>1871</v>
      </c>
      <c r="E1569" s="5" t="s">
        <v>2212</v>
      </c>
      <c r="F1569" s="5" t="s">
        <v>2238</v>
      </c>
      <c r="G1569" s="5" t="s">
        <v>2254</v>
      </c>
      <c r="H1569" s="5" t="s">
        <v>2259</v>
      </c>
      <c r="I1569" s="5" t="s">
        <v>2263</v>
      </c>
      <c r="J1569" s="5" t="s">
        <v>2265</v>
      </c>
      <c r="K1569" s="8">
        <v>1</v>
      </c>
      <c r="L1569" s="9">
        <v>120</v>
      </c>
      <c r="M1569" s="10">
        <v>0.05</v>
      </c>
      <c r="N1569" s="9">
        <f t="shared" si="298"/>
        <v>120</v>
      </c>
      <c r="O1569" s="9">
        <f t="shared" si="288"/>
        <v>114</v>
      </c>
      <c r="P1569" s="5" t="s">
        <v>2267</v>
      </c>
      <c r="Q1569" s="5" t="s">
        <v>2270</v>
      </c>
      <c r="R1569" s="5" t="s">
        <v>2275</v>
      </c>
      <c r="S1569" s="5" t="s">
        <v>2283</v>
      </c>
      <c r="T1569" s="5" t="s">
        <v>2290</v>
      </c>
      <c r="U1569" s="8">
        <v>5</v>
      </c>
      <c r="V1569" s="8">
        <v>361</v>
      </c>
      <c r="W1569" s="19">
        <v>34</v>
      </c>
      <c r="X1569" s="9">
        <v>41.67</v>
      </c>
      <c r="Y1569" s="9">
        <f t="shared" si="289"/>
        <v>72.33</v>
      </c>
      <c r="Z1569" s="5" t="s">
        <v>2293</v>
      </c>
      <c r="AA1569" s="5" t="s">
        <v>1761</v>
      </c>
      <c r="AB1569" s="9">
        <f t="shared" si="290"/>
        <v>120</v>
      </c>
      <c r="AC1569" s="9">
        <f t="shared" si="291"/>
        <v>6</v>
      </c>
      <c r="AD1569" s="9">
        <f t="shared" si="292"/>
        <v>114</v>
      </c>
      <c r="AE1569" s="9">
        <f t="shared" si="293"/>
        <v>41.67</v>
      </c>
      <c r="AF1569" s="9">
        <f t="shared" si="299"/>
        <v>72.33</v>
      </c>
      <c r="AG1569" s="8">
        <f t="shared" si="294"/>
        <v>2024</v>
      </c>
      <c r="AH1569" s="8">
        <f t="shared" si="295"/>
        <v>12</v>
      </c>
      <c r="AI1569" s="5" t="str">
        <f t="shared" si="296"/>
        <v>Dec</v>
      </c>
      <c r="AJ1569" s="5" t="str">
        <f t="shared" si="297"/>
        <v>Friday</v>
      </c>
    </row>
    <row r="1570" spans="1:36" x14ac:dyDescent="0.3">
      <c r="A1570" s="5" t="s">
        <v>1604</v>
      </c>
      <c r="B1570" s="6">
        <v>45443</v>
      </c>
      <c r="C1570" s="7">
        <v>0.30208333333333331</v>
      </c>
      <c r="D1570" s="5" t="s">
        <v>1805</v>
      </c>
      <c r="E1570" s="5" t="s">
        <v>2211</v>
      </c>
      <c r="F1570" s="5" t="s">
        <v>2238</v>
      </c>
      <c r="G1570" s="5" t="s">
        <v>2248</v>
      </c>
      <c r="H1570" s="5" t="s">
        <v>2257</v>
      </c>
      <c r="I1570" s="5" t="s">
        <v>2262</v>
      </c>
      <c r="J1570" s="5" t="s">
        <v>2264</v>
      </c>
      <c r="K1570" s="8">
        <v>1</v>
      </c>
      <c r="L1570" s="9">
        <v>145</v>
      </c>
      <c r="M1570" s="10">
        <v>0.1</v>
      </c>
      <c r="N1570" s="9">
        <f t="shared" si="298"/>
        <v>145</v>
      </c>
      <c r="O1570" s="9">
        <f t="shared" si="288"/>
        <v>130.5</v>
      </c>
      <c r="P1570" s="5" t="s">
        <v>2267</v>
      </c>
      <c r="Q1570" s="5" t="s">
        <v>2271</v>
      </c>
      <c r="R1570" s="5" t="s">
        <v>2274</v>
      </c>
      <c r="S1570" s="5" t="s">
        <v>2286</v>
      </c>
      <c r="T1570" s="5" t="s">
        <v>2290</v>
      </c>
      <c r="U1570" s="8">
        <v>5</v>
      </c>
      <c r="V1570" s="19">
        <v>244</v>
      </c>
      <c r="W1570" s="8">
        <v>46</v>
      </c>
      <c r="X1570" s="9">
        <v>55.68</v>
      </c>
      <c r="Y1570" s="9">
        <f t="shared" si="289"/>
        <v>74.819999999999993</v>
      </c>
      <c r="Z1570" s="5" t="s">
        <v>1761</v>
      </c>
      <c r="AA1570" s="5" t="s">
        <v>2297</v>
      </c>
      <c r="AB1570" s="9">
        <f t="shared" si="290"/>
        <v>145</v>
      </c>
      <c r="AC1570" s="9">
        <f t="shared" si="291"/>
        <v>14.5</v>
      </c>
      <c r="AD1570" s="9">
        <f t="shared" si="292"/>
        <v>130.5</v>
      </c>
      <c r="AE1570" s="9">
        <f t="shared" si="293"/>
        <v>55.68</v>
      </c>
      <c r="AF1570" s="9">
        <f t="shared" si="299"/>
        <v>74.819999999999993</v>
      </c>
      <c r="AG1570" s="8">
        <f t="shared" si="294"/>
        <v>2024</v>
      </c>
      <c r="AH1570" s="8">
        <f t="shared" si="295"/>
        <v>5</v>
      </c>
      <c r="AI1570" s="5" t="str">
        <f t="shared" si="296"/>
        <v>May</v>
      </c>
      <c r="AJ1570" s="5" t="str">
        <f t="shared" si="297"/>
        <v>Friday</v>
      </c>
    </row>
    <row r="1571" spans="1:36" x14ac:dyDescent="0.3">
      <c r="A1571" s="5" t="s">
        <v>1605</v>
      </c>
      <c r="B1571" s="6">
        <v>45569</v>
      </c>
      <c r="C1571" s="7">
        <v>0.79861111111111116</v>
      </c>
      <c r="D1571" s="5" t="s">
        <v>1786</v>
      </c>
      <c r="E1571" s="5" t="s">
        <v>2130</v>
      </c>
      <c r="F1571" s="5" t="s">
        <v>2240</v>
      </c>
      <c r="G1571" s="5" t="s">
        <v>2242</v>
      </c>
      <c r="H1571" s="5" t="s">
        <v>2258</v>
      </c>
      <c r="I1571" s="5" t="s">
        <v>2260</v>
      </c>
      <c r="J1571" s="5" t="s">
        <v>2265</v>
      </c>
      <c r="K1571" s="8">
        <v>1</v>
      </c>
      <c r="L1571" s="9">
        <v>120</v>
      </c>
      <c r="M1571" s="10">
        <v>0.05</v>
      </c>
      <c r="N1571" s="9">
        <f t="shared" si="298"/>
        <v>120</v>
      </c>
      <c r="O1571" s="9">
        <f t="shared" si="288"/>
        <v>114</v>
      </c>
      <c r="P1571" s="5" t="s">
        <v>2269</v>
      </c>
      <c r="Q1571" s="5" t="s">
        <v>2271</v>
      </c>
      <c r="R1571" s="5" t="s">
        <v>2276</v>
      </c>
      <c r="S1571" s="5" t="s">
        <v>2281</v>
      </c>
      <c r="T1571" s="5" t="s">
        <v>2288</v>
      </c>
      <c r="U1571" s="8">
        <v>5</v>
      </c>
      <c r="V1571" s="8">
        <v>229</v>
      </c>
      <c r="W1571" s="8">
        <v>30</v>
      </c>
      <c r="X1571" s="9">
        <v>54.62</v>
      </c>
      <c r="Y1571" s="9">
        <f t="shared" si="289"/>
        <v>59.38</v>
      </c>
      <c r="Z1571" s="5" t="s">
        <v>2293</v>
      </c>
      <c r="AA1571" s="5" t="s">
        <v>2296</v>
      </c>
      <c r="AB1571" s="9">
        <f t="shared" si="290"/>
        <v>120</v>
      </c>
      <c r="AC1571" s="9">
        <f t="shared" si="291"/>
        <v>6</v>
      </c>
      <c r="AD1571" s="9">
        <f t="shared" si="292"/>
        <v>114</v>
      </c>
      <c r="AE1571" s="9">
        <f t="shared" si="293"/>
        <v>54.62</v>
      </c>
      <c r="AF1571" s="9">
        <f t="shared" si="299"/>
        <v>59.38</v>
      </c>
      <c r="AG1571" s="8">
        <f t="shared" si="294"/>
        <v>2024</v>
      </c>
      <c r="AH1571" s="8">
        <f t="shared" si="295"/>
        <v>10</v>
      </c>
      <c r="AI1571" s="5" t="str">
        <f t="shared" si="296"/>
        <v>Oct</v>
      </c>
      <c r="AJ1571" s="5" t="str">
        <f t="shared" si="297"/>
        <v>Friday</v>
      </c>
    </row>
    <row r="1572" spans="1:36" x14ac:dyDescent="0.3">
      <c r="A1572" s="5" t="s">
        <v>1606</v>
      </c>
      <c r="B1572" s="6">
        <v>45599</v>
      </c>
      <c r="C1572" s="7">
        <v>0.38541666666666669</v>
      </c>
      <c r="D1572" s="5" t="s">
        <v>1877</v>
      </c>
      <c r="E1572" s="5" t="s">
        <v>1761</v>
      </c>
      <c r="F1572" s="5" t="s">
        <v>2240</v>
      </c>
      <c r="G1572" s="5" t="s">
        <v>2250</v>
      </c>
      <c r="H1572" s="5" t="s">
        <v>2259</v>
      </c>
      <c r="I1572" s="5" t="s">
        <v>2262</v>
      </c>
      <c r="J1572" s="5" t="s">
        <v>2264</v>
      </c>
      <c r="K1572" s="8">
        <v>2</v>
      </c>
      <c r="L1572" s="9">
        <v>80</v>
      </c>
      <c r="M1572" s="10">
        <v>0</v>
      </c>
      <c r="N1572" s="9">
        <f t="shared" si="298"/>
        <v>160</v>
      </c>
      <c r="O1572" s="9">
        <f t="shared" si="288"/>
        <v>160</v>
      </c>
      <c r="P1572" s="5" t="s">
        <v>2267</v>
      </c>
      <c r="Q1572" s="5" t="s">
        <v>2270</v>
      </c>
      <c r="R1572" s="5" t="s">
        <v>2279</v>
      </c>
      <c r="S1572" s="5" t="s">
        <v>2282</v>
      </c>
      <c r="T1572" s="5" t="s">
        <v>2288</v>
      </c>
      <c r="U1572" s="8">
        <v>5</v>
      </c>
      <c r="V1572" s="8">
        <v>100</v>
      </c>
      <c r="W1572" s="8">
        <v>20</v>
      </c>
      <c r="X1572" s="9">
        <v>32.950000000000003</v>
      </c>
      <c r="Y1572" s="9">
        <f t="shared" si="289"/>
        <v>94.1</v>
      </c>
      <c r="Z1572" s="5" t="s">
        <v>2293</v>
      </c>
      <c r="AA1572" s="5" t="s">
        <v>2298</v>
      </c>
      <c r="AB1572" s="9">
        <f t="shared" si="290"/>
        <v>160</v>
      </c>
      <c r="AC1572" s="9">
        <f t="shared" si="291"/>
        <v>0</v>
      </c>
      <c r="AD1572" s="9">
        <f t="shared" si="292"/>
        <v>160</v>
      </c>
      <c r="AE1572" s="9">
        <f t="shared" si="293"/>
        <v>65.900000000000006</v>
      </c>
      <c r="AF1572" s="9">
        <f t="shared" si="299"/>
        <v>94.1</v>
      </c>
      <c r="AG1572" s="8">
        <f t="shared" si="294"/>
        <v>2024</v>
      </c>
      <c r="AH1572" s="8">
        <f t="shared" si="295"/>
        <v>11</v>
      </c>
      <c r="AI1572" s="5" t="str">
        <f t="shared" si="296"/>
        <v>Nov</v>
      </c>
      <c r="AJ1572" s="5" t="str">
        <f t="shared" si="297"/>
        <v>Sunday</v>
      </c>
    </row>
    <row r="1573" spans="1:36" x14ac:dyDescent="0.3">
      <c r="A1573" s="5" t="s">
        <v>1607</v>
      </c>
      <c r="B1573" s="6">
        <v>45318</v>
      </c>
      <c r="C1573" s="7">
        <v>0.36458333333333331</v>
      </c>
      <c r="D1573" s="5" t="s">
        <v>1862</v>
      </c>
      <c r="E1573" s="5" t="s">
        <v>2097</v>
      </c>
      <c r="F1573" s="5" t="s">
        <v>2240</v>
      </c>
      <c r="G1573" s="5" t="s">
        <v>2248</v>
      </c>
      <c r="H1573" s="5" t="s">
        <v>2257</v>
      </c>
      <c r="I1573" s="5" t="s">
        <v>2262</v>
      </c>
      <c r="J1573" s="5" t="s">
        <v>2266</v>
      </c>
      <c r="K1573" s="8">
        <v>1</v>
      </c>
      <c r="L1573" s="9">
        <v>145</v>
      </c>
      <c r="M1573" s="10">
        <v>0.05</v>
      </c>
      <c r="N1573" s="9">
        <f t="shared" si="298"/>
        <v>145</v>
      </c>
      <c r="O1573" s="9">
        <f t="shared" si="288"/>
        <v>137.75</v>
      </c>
      <c r="P1573" s="5" t="s">
        <v>2267</v>
      </c>
      <c r="Q1573" s="5" t="s">
        <v>2272</v>
      </c>
      <c r="R1573" s="5" t="s">
        <v>2275</v>
      </c>
      <c r="S1573" s="5" t="s">
        <v>2287</v>
      </c>
      <c r="T1573" s="5" t="s">
        <v>2288</v>
      </c>
      <c r="U1573" s="8">
        <v>1</v>
      </c>
      <c r="V1573" s="19">
        <v>244</v>
      </c>
      <c r="W1573" s="19">
        <v>35</v>
      </c>
      <c r="X1573" s="9">
        <v>80.75</v>
      </c>
      <c r="Y1573" s="9">
        <f t="shared" si="289"/>
        <v>57</v>
      </c>
      <c r="Z1573" s="5" t="s">
        <v>2294</v>
      </c>
      <c r="AA1573" s="5" t="s">
        <v>2296</v>
      </c>
      <c r="AB1573" s="9">
        <f t="shared" si="290"/>
        <v>145</v>
      </c>
      <c r="AC1573" s="9">
        <f t="shared" si="291"/>
        <v>7.25</v>
      </c>
      <c r="AD1573" s="9">
        <f t="shared" si="292"/>
        <v>137.75</v>
      </c>
      <c r="AE1573" s="9">
        <f t="shared" si="293"/>
        <v>80.75</v>
      </c>
      <c r="AF1573" s="9">
        <f t="shared" si="299"/>
        <v>57</v>
      </c>
      <c r="AG1573" s="8">
        <f t="shared" si="294"/>
        <v>2024</v>
      </c>
      <c r="AH1573" s="8">
        <f t="shared" si="295"/>
        <v>1</v>
      </c>
      <c r="AI1573" s="5" t="str">
        <f t="shared" si="296"/>
        <v>Jan</v>
      </c>
      <c r="AJ1573" s="5" t="str">
        <f t="shared" si="297"/>
        <v>Saturday</v>
      </c>
    </row>
    <row r="1574" spans="1:36" x14ac:dyDescent="0.3">
      <c r="A1574" s="5" t="s">
        <v>1608</v>
      </c>
      <c r="B1574" s="6">
        <v>45532</v>
      </c>
      <c r="C1574" s="7">
        <v>0.85416666666666663</v>
      </c>
      <c r="D1574" s="5" t="s">
        <v>1910</v>
      </c>
      <c r="E1574" s="5" t="s">
        <v>2209</v>
      </c>
      <c r="F1574" s="5" t="s">
        <v>2240</v>
      </c>
      <c r="G1574" s="5" t="s">
        <v>2251</v>
      </c>
      <c r="H1574" s="5" t="s">
        <v>2258</v>
      </c>
      <c r="I1574" s="5" t="s">
        <v>2260</v>
      </c>
      <c r="J1574" s="5" t="s">
        <v>2265</v>
      </c>
      <c r="K1574" s="8">
        <v>1</v>
      </c>
      <c r="L1574" s="9">
        <v>100</v>
      </c>
      <c r="M1574" s="10">
        <v>0</v>
      </c>
      <c r="N1574" s="9">
        <f t="shared" si="298"/>
        <v>100</v>
      </c>
      <c r="O1574" s="9">
        <f t="shared" si="288"/>
        <v>100</v>
      </c>
      <c r="P1574" s="5" t="s">
        <v>2269</v>
      </c>
      <c r="Q1574" s="5" t="s">
        <v>2270</v>
      </c>
      <c r="R1574" s="5" t="s">
        <v>2279</v>
      </c>
      <c r="S1574" s="5" t="s">
        <v>2286</v>
      </c>
      <c r="T1574" s="5" t="s">
        <v>2288</v>
      </c>
      <c r="U1574" s="8">
        <v>3</v>
      </c>
      <c r="V1574" s="8">
        <v>244</v>
      </c>
      <c r="W1574" s="19">
        <v>34</v>
      </c>
      <c r="X1574" s="9">
        <v>47.71</v>
      </c>
      <c r="Y1574" s="9">
        <f t="shared" si="289"/>
        <v>52.29</v>
      </c>
      <c r="Z1574" s="5" t="s">
        <v>2293</v>
      </c>
      <c r="AA1574" s="5" t="s">
        <v>2298</v>
      </c>
      <c r="AB1574" s="9">
        <f t="shared" si="290"/>
        <v>100</v>
      </c>
      <c r="AC1574" s="9">
        <f t="shared" si="291"/>
        <v>0</v>
      </c>
      <c r="AD1574" s="9">
        <f t="shared" si="292"/>
        <v>100</v>
      </c>
      <c r="AE1574" s="9">
        <f t="shared" si="293"/>
        <v>47.71</v>
      </c>
      <c r="AF1574" s="9">
        <f t="shared" si="299"/>
        <v>52.29</v>
      </c>
      <c r="AG1574" s="8">
        <f t="shared" si="294"/>
        <v>2024</v>
      </c>
      <c r="AH1574" s="8">
        <f t="shared" si="295"/>
        <v>8</v>
      </c>
      <c r="AI1574" s="5" t="str">
        <f t="shared" si="296"/>
        <v>Aug</v>
      </c>
      <c r="AJ1574" s="5" t="str">
        <f t="shared" si="297"/>
        <v>Wednesday</v>
      </c>
    </row>
    <row r="1575" spans="1:36" x14ac:dyDescent="0.3">
      <c r="A1575" s="5" t="s">
        <v>1609</v>
      </c>
      <c r="B1575" s="6">
        <v>45335</v>
      </c>
      <c r="C1575" s="7">
        <v>0.58333333333333337</v>
      </c>
      <c r="D1575" s="5" t="s">
        <v>1822</v>
      </c>
      <c r="E1575" s="5" t="s">
        <v>1984</v>
      </c>
      <c r="F1575" s="5" t="s">
        <v>2239</v>
      </c>
      <c r="G1575" s="5" t="s">
        <v>2243</v>
      </c>
      <c r="H1575" s="5" t="s">
        <v>2258</v>
      </c>
      <c r="I1575" s="5" t="s">
        <v>2260</v>
      </c>
      <c r="J1575" s="5" t="s">
        <v>2265</v>
      </c>
      <c r="K1575" s="8">
        <v>2</v>
      </c>
      <c r="L1575" s="9">
        <v>80</v>
      </c>
      <c r="M1575" s="10">
        <v>0.1</v>
      </c>
      <c r="N1575" s="9">
        <f t="shared" si="298"/>
        <v>160</v>
      </c>
      <c r="O1575" s="9">
        <f t="shared" si="288"/>
        <v>144</v>
      </c>
      <c r="P1575" s="5" t="s">
        <v>2269</v>
      </c>
      <c r="Q1575" s="5" t="s">
        <v>2272</v>
      </c>
      <c r="R1575" s="5" t="s">
        <v>2278</v>
      </c>
      <c r="S1575" s="5" t="s">
        <v>2283</v>
      </c>
      <c r="T1575" s="5" t="s">
        <v>2288</v>
      </c>
      <c r="U1575" s="8">
        <v>2</v>
      </c>
      <c r="V1575" s="8">
        <v>127</v>
      </c>
      <c r="W1575" s="8">
        <v>54</v>
      </c>
      <c r="X1575" s="9">
        <v>37.83</v>
      </c>
      <c r="Y1575" s="9">
        <f t="shared" si="289"/>
        <v>68.34</v>
      </c>
      <c r="Z1575" s="5" t="s">
        <v>2293</v>
      </c>
      <c r="AA1575" s="5" t="s">
        <v>2299</v>
      </c>
      <c r="AB1575" s="9">
        <f t="shared" si="290"/>
        <v>160</v>
      </c>
      <c r="AC1575" s="9">
        <f t="shared" si="291"/>
        <v>16</v>
      </c>
      <c r="AD1575" s="9">
        <f t="shared" si="292"/>
        <v>144</v>
      </c>
      <c r="AE1575" s="9">
        <f t="shared" si="293"/>
        <v>75.66</v>
      </c>
      <c r="AF1575" s="9">
        <f t="shared" si="299"/>
        <v>68.34</v>
      </c>
      <c r="AG1575" s="8">
        <f t="shared" si="294"/>
        <v>2024</v>
      </c>
      <c r="AH1575" s="8">
        <f t="shared" si="295"/>
        <v>2</v>
      </c>
      <c r="AI1575" s="5" t="str">
        <f t="shared" si="296"/>
        <v>Feb</v>
      </c>
      <c r="AJ1575" s="5" t="str">
        <f t="shared" si="297"/>
        <v>Tuesday</v>
      </c>
    </row>
    <row r="1576" spans="1:36" x14ac:dyDescent="0.3">
      <c r="A1576" s="5" t="s">
        <v>1610</v>
      </c>
      <c r="B1576" s="6">
        <v>45490</v>
      </c>
      <c r="C1576" s="7">
        <v>0.58333333333333337</v>
      </c>
      <c r="D1576" s="5" t="s">
        <v>1774</v>
      </c>
      <c r="E1576" s="5" t="s">
        <v>2189</v>
      </c>
      <c r="F1576" s="5" t="s">
        <v>2239</v>
      </c>
      <c r="G1576" s="5" t="s">
        <v>2251</v>
      </c>
      <c r="H1576" s="5" t="s">
        <v>2258</v>
      </c>
      <c r="I1576" s="5" t="s">
        <v>2260</v>
      </c>
      <c r="J1576" s="5" t="s">
        <v>1761</v>
      </c>
      <c r="K1576" s="8">
        <v>1</v>
      </c>
      <c r="L1576" s="9">
        <v>100</v>
      </c>
      <c r="M1576" s="10">
        <v>0.15</v>
      </c>
      <c r="N1576" s="9">
        <f t="shared" si="298"/>
        <v>100</v>
      </c>
      <c r="O1576" s="9">
        <f t="shared" si="288"/>
        <v>85</v>
      </c>
      <c r="P1576" s="5" t="s">
        <v>2269</v>
      </c>
      <c r="Q1576" s="5" t="s">
        <v>1761</v>
      </c>
      <c r="R1576" s="5" t="s">
        <v>2275</v>
      </c>
      <c r="S1576" s="5" t="s">
        <v>2286</v>
      </c>
      <c r="T1576" s="5" t="s">
        <v>2288</v>
      </c>
      <c r="U1576" s="8">
        <v>5</v>
      </c>
      <c r="V1576" s="8">
        <v>376</v>
      </c>
      <c r="W1576" s="8">
        <v>51</v>
      </c>
      <c r="X1576" s="9">
        <v>43.11</v>
      </c>
      <c r="Y1576" s="9">
        <f t="shared" si="289"/>
        <v>41.89</v>
      </c>
      <c r="Z1576" s="5" t="s">
        <v>2293</v>
      </c>
      <c r="AA1576" s="5" t="s">
        <v>2296</v>
      </c>
      <c r="AB1576" s="9">
        <f t="shared" si="290"/>
        <v>100</v>
      </c>
      <c r="AC1576" s="9">
        <f t="shared" si="291"/>
        <v>15</v>
      </c>
      <c r="AD1576" s="9">
        <f t="shared" si="292"/>
        <v>85</v>
      </c>
      <c r="AE1576" s="9">
        <f t="shared" si="293"/>
        <v>43.11</v>
      </c>
      <c r="AF1576" s="9">
        <f t="shared" si="299"/>
        <v>41.89</v>
      </c>
      <c r="AG1576" s="8">
        <f t="shared" si="294"/>
        <v>2024</v>
      </c>
      <c r="AH1576" s="8">
        <f t="shared" si="295"/>
        <v>7</v>
      </c>
      <c r="AI1576" s="5" t="str">
        <f t="shared" si="296"/>
        <v>Jul</v>
      </c>
      <c r="AJ1576" s="5" t="str">
        <f t="shared" si="297"/>
        <v>Wednesday</v>
      </c>
    </row>
    <row r="1577" spans="1:36" x14ac:dyDescent="0.3">
      <c r="A1577" s="5" t="s">
        <v>1611</v>
      </c>
      <c r="B1577" s="6">
        <v>45435</v>
      </c>
      <c r="C1577" s="7">
        <v>0.5625</v>
      </c>
      <c r="D1577" s="5" t="s">
        <v>1889</v>
      </c>
      <c r="E1577" s="5" t="s">
        <v>2222</v>
      </c>
      <c r="F1577" s="5" t="s">
        <v>2239</v>
      </c>
      <c r="G1577" s="5" t="s">
        <v>2242</v>
      </c>
      <c r="H1577" s="5" t="s">
        <v>2258</v>
      </c>
      <c r="I1577" s="5" t="s">
        <v>2260</v>
      </c>
      <c r="J1577" s="5" t="s">
        <v>2266</v>
      </c>
      <c r="K1577" s="8">
        <v>1</v>
      </c>
      <c r="L1577" s="9">
        <v>120</v>
      </c>
      <c r="M1577" s="10">
        <v>0.05</v>
      </c>
      <c r="N1577" s="9">
        <f t="shared" si="298"/>
        <v>120</v>
      </c>
      <c r="O1577" s="9">
        <f t="shared" si="288"/>
        <v>114</v>
      </c>
      <c r="P1577" s="5" t="s">
        <v>2268</v>
      </c>
      <c r="Q1577" s="5" t="s">
        <v>2272</v>
      </c>
      <c r="R1577" s="5" t="s">
        <v>2274</v>
      </c>
      <c r="S1577" s="5" t="s">
        <v>2284</v>
      </c>
      <c r="T1577" s="5" t="s">
        <v>2290</v>
      </c>
      <c r="U1577" s="8">
        <v>1</v>
      </c>
      <c r="V1577" s="8">
        <v>107</v>
      </c>
      <c r="W1577" s="8">
        <v>15</v>
      </c>
      <c r="X1577" s="9">
        <v>66.72</v>
      </c>
      <c r="Y1577" s="9">
        <f t="shared" si="289"/>
        <v>47.28</v>
      </c>
      <c r="Z1577" s="5" t="s">
        <v>1761</v>
      </c>
      <c r="AA1577" s="5" t="s">
        <v>2298</v>
      </c>
      <c r="AB1577" s="9">
        <f t="shared" si="290"/>
        <v>120</v>
      </c>
      <c r="AC1577" s="9">
        <f t="shared" si="291"/>
        <v>6</v>
      </c>
      <c r="AD1577" s="9">
        <f t="shared" si="292"/>
        <v>114</v>
      </c>
      <c r="AE1577" s="9">
        <f t="shared" si="293"/>
        <v>66.72</v>
      </c>
      <c r="AF1577" s="9">
        <f t="shared" si="299"/>
        <v>47.28</v>
      </c>
      <c r="AG1577" s="8">
        <f t="shared" si="294"/>
        <v>2024</v>
      </c>
      <c r="AH1577" s="8">
        <f t="shared" si="295"/>
        <v>5</v>
      </c>
      <c r="AI1577" s="5" t="str">
        <f t="shared" si="296"/>
        <v>May</v>
      </c>
      <c r="AJ1577" s="5" t="str">
        <f t="shared" si="297"/>
        <v>Thursday</v>
      </c>
    </row>
    <row r="1578" spans="1:36" x14ac:dyDescent="0.3">
      <c r="A1578" s="5" t="s">
        <v>1612</v>
      </c>
      <c r="B1578" s="6">
        <v>45544</v>
      </c>
      <c r="C1578" s="7">
        <v>0.73958333333333337</v>
      </c>
      <c r="D1578" s="5" t="s">
        <v>1791</v>
      </c>
      <c r="E1578" s="5" t="s">
        <v>1983</v>
      </c>
      <c r="F1578" s="5" t="s">
        <v>1761</v>
      </c>
      <c r="G1578" s="5" t="s">
        <v>2249</v>
      </c>
      <c r="H1578" s="5" t="s">
        <v>2257</v>
      </c>
      <c r="I1578" s="5" t="s">
        <v>2263</v>
      </c>
      <c r="J1578" s="5" t="s">
        <v>2266</v>
      </c>
      <c r="K1578" s="8">
        <v>2</v>
      </c>
      <c r="L1578" s="9">
        <v>155</v>
      </c>
      <c r="M1578" s="10">
        <v>0</v>
      </c>
      <c r="N1578" s="9">
        <f t="shared" si="298"/>
        <v>310</v>
      </c>
      <c r="O1578" s="9">
        <f t="shared" si="288"/>
        <v>310</v>
      </c>
      <c r="P1578" s="5" t="s">
        <v>2268</v>
      </c>
      <c r="Q1578" s="5" t="s">
        <v>2272</v>
      </c>
      <c r="R1578" s="5" t="s">
        <v>2276</v>
      </c>
      <c r="S1578" s="5" t="s">
        <v>2282</v>
      </c>
      <c r="T1578" s="5" t="s">
        <v>2288</v>
      </c>
      <c r="U1578" s="8">
        <v>4</v>
      </c>
      <c r="V1578" s="8">
        <v>224</v>
      </c>
      <c r="W1578" s="8">
        <v>43</v>
      </c>
      <c r="X1578" s="9">
        <v>90.57</v>
      </c>
      <c r="Y1578" s="9">
        <f t="shared" si="289"/>
        <v>128.86000000000001</v>
      </c>
      <c r="Z1578" s="5" t="s">
        <v>1761</v>
      </c>
      <c r="AA1578" s="5" t="s">
        <v>2296</v>
      </c>
      <c r="AB1578" s="9">
        <f t="shared" si="290"/>
        <v>310</v>
      </c>
      <c r="AC1578" s="9">
        <f t="shared" si="291"/>
        <v>0</v>
      </c>
      <c r="AD1578" s="9">
        <f t="shared" si="292"/>
        <v>310</v>
      </c>
      <c r="AE1578" s="9">
        <f t="shared" si="293"/>
        <v>181.14</v>
      </c>
      <c r="AF1578" s="9">
        <f t="shared" si="299"/>
        <v>128.86000000000001</v>
      </c>
      <c r="AG1578" s="8">
        <f t="shared" si="294"/>
        <v>2024</v>
      </c>
      <c r="AH1578" s="8">
        <f t="shared" si="295"/>
        <v>9</v>
      </c>
      <c r="AI1578" s="5" t="str">
        <f t="shared" si="296"/>
        <v>Sep</v>
      </c>
      <c r="AJ1578" s="5" t="str">
        <f t="shared" si="297"/>
        <v>Monday</v>
      </c>
    </row>
    <row r="1579" spans="1:36" x14ac:dyDescent="0.3">
      <c r="A1579" s="5" t="s">
        <v>1613</v>
      </c>
      <c r="B1579" s="18">
        <v>45468</v>
      </c>
      <c r="C1579" s="7">
        <v>0.84722222222222221</v>
      </c>
      <c r="D1579" s="5" t="s">
        <v>1771</v>
      </c>
      <c r="E1579" s="5" t="s">
        <v>2226</v>
      </c>
      <c r="F1579" s="5" t="s">
        <v>2239</v>
      </c>
      <c r="G1579" s="5" t="s">
        <v>2252</v>
      </c>
      <c r="H1579" s="5" t="s">
        <v>2257</v>
      </c>
      <c r="I1579" s="5" t="s">
        <v>2262</v>
      </c>
      <c r="J1579" s="5" t="s">
        <v>1761</v>
      </c>
      <c r="K1579" s="8">
        <v>3</v>
      </c>
      <c r="L1579" s="9">
        <v>100</v>
      </c>
      <c r="M1579" s="10">
        <v>0.15</v>
      </c>
      <c r="N1579" s="9">
        <f t="shared" si="298"/>
        <v>300</v>
      </c>
      <c r="O1579" s="9">
        <f t="shared" si="288"/>
        <v>255</v>
      </c>
      <c r="P1579" s="5" t="s">
        <v>2269</v>
      </c>
      <c r="Q1579" s="5" t="s">
        <v>2272</v>
      </c>
      <c r="R1579" s="5" t="s">
        <v>2274</v>
      </c>
      <c r="S1579" s="5" t="s">
        <v>2285</v>
      </c>
      <c r="T1579" s="5" t="s">
        <v>2288</v>
      </c>
      <c r="U1579" s="8">
        <v>4</v>
      </c>
      <c r="V1579" s="19">
        <v>244</v>
      </c>
      <c r="W1579" s="8">
        <v>23</v>
      </c>
      <c r="X1579" s="9">
        <v>44.47</v>
      </c>
      <c r="Y1579" s="9">
        <f t="shared" si="289"/>
        <v>121.59</v>
      </c>
      <c r="Z1579" s="5" t="s">
        <v>2292</v>
      </c>
      <c r="AA1579" s="5" t="s">
        <v>2298</v>
      </c>
      <c r="AB1579" s="9">
        <f t="shared" si="290"/>
        <v>300</v>
      </c>
      <c r="AC1579" s="9">
        <f t="shared" si="291"/>
        <v>45</v>
      </c>
      <c r="AD1579" s="9">
        <f t="shared" si="292"/>
        <v>255</v>
      </c>
      <c r="AE1579" s="9">
        <f t="shared" si="293"/>
        <v>133.41</v>
      </c>
      <c r="AF1579" s="9">
        <f t="shared" si="299"/>
        <v>121.59</v>
      </c>
      <c r="AG1579" s="8">
        <f t="shared" si="294"/>
        <v>2024</v>
      </c>
      <c r="AH1579" s="8">
        <f t="shared" si="295"/>
        <v>6</v>
      </c>
      <c r="AI1579" s="5" t="str">
        <f t="shared" si="296"/>
        <v>Jun</v>
      </c>
      <c r="AJ1579" s="5" t="str">
        <f t="shared" si="297"/>
        <v>Tuesday</v>
      </c>
    </row>
    <row r="1580" spans="1:36" x14ac:dyDescent="0.3">
      <c r="A1580" s="5" t="s">
        <v>1614</v>
      </c>
      <c r="B1580" s="6">
        <v>45601</v>
      </c>
      <c r="C1580" s="7">
        <v>0.36458333333333331</v>
      </c>
      <c r="D1580" s="5" t="s">
        <v>1807</v>
      </c>
      <c r="E1580" s="5" t="s">
        <v>2089</v>
      </c>
      <c r="F1580" s="5" t="s">
        <v>2239</v>
      </c>
      <c r="G1580" s="5" t="s">
        <v>2248</v>
      </c>
      <c r="H1580" s="5" t="s">
        <v>2257</v>
      </c>
      <c r="I1580" s="5" t="s">
        <v>2262</v>
      </c>
      <c r="J1580" s="5" t="s">
        <v>2265</v>
      </c>
      <c r="K1580" s="8">
        <v>1</v>
      </c>
      <c r="L1580" s="9">
        <v>150</v>
      </c>
      <c r="M1580" s="10">
        <v>0.15</v>
      </c>
      <c r="N1580" s="9">
        <f t="shared" si="298"/>
        <v>150</v>
      </c>
      <c r="O1580" s="9">
        <f t="shared" si="288"/>
        <v>127.5</v>
      </c>
      <c r="P1580" s="5" t="s">
        <v>2267</v>
      </c>
      <c r="Q1580" s="5" t="s">
        <v>2271</v>
      </c>
      <c r="R1580" s="5" t="s">
        <v>2273</v>
      </c>
      <c r="S1580" s="5" t="s">
        <v>2285</v>
      </c>
      <c r="T1580" s="5" t="s">
        <v>2288</v>
      </c>
      <c r="U1580" s="8">
        <v>1</v>
      </c>
      <c r="V1580" s="8">
        <v>466</v>
      </c>
      <c r="W1580" s="8">
        <v>49</v>
      </c>
      <c r="X1580" s="9">
        <v>73.58</v>
      </c>
      <c r="Y1580" s="9">
        <f t="shared" si="289"/>
        <v>53.92</v>
      </c>
      <c r="Z1580" s="5" t="s">
        <v>1761</v>
      </c>
      <c r="AA1580" s="5" t="s">
        <v>1761</v>
      </c>
      <c r="AB1580" s="9">
        <f t="shared" si="290"/>
        <v>150</v>
      </c>
      <c r="AC1580" s="9">
        <f t="shared" si="291"/>
        <v>22.5</v>
      </c>
      <c r="AD1580" s="9">
        <f t="shared" si="292"/>
        <v>127.5</v>
      </c>
      <c r="AE1580" s="9">
        <f t="shared" si="293"/>
        <v>73.58</v>
      </c>
      <c r="AF1580" s="9">
        <f t="shared" si="299"/>
        <v>53.92</v>
      </c>
      <c r="AG1580" s="8">
        <f t="shared" si="294"/>
        <v>2024</v>
      </c>
      <c r="AH1580" s="8">
        <f t="shared" si="295"/>
        <v>11</v>
      </c>
      <c r="AI1580" s="5" t="str">
        <f t="shared" si="296"/>
        <v>Nov</v>
      </c>
      <c r="AJ1580" s="5" t="str">
        <f t="shared" si="297"/>
        <v>Tuesday</v>
      </c>
    </row>
    <row r="1581" spans="1:36" x14ac:dyDescent="0.3">
      <c r="A1581" s="5" t="s">
        <v>1615</v>
      </c>
      <c r="B1581" s="6">
        <v>45472</v>
      </c>
      <c r="C1581" s="7">
        <v>0.58333333333333337</v>
      </c>
      <c r="D1581" s="5" t="s">
        <v>1895</v>
      </c>
      <c r="E1581" s="5" t="s">
        <v>1761</v>
      </c>
      <c r="F1581" s="5" t="s">
        <v>2240</v>
      </c>
      <c r="G1581" s="5" t="s">
        <v>2248</v>
      </c>
      <c r="H1581" s="5" t="s">
        <v>2257</v>
      </c>
      <c r="I1581" s="5" t="s">
        <v>2262</v>
      </c>
      <c r="J1581" s="5" t="s">
        <v>2266</v>
      </c>
      <c r="K1581" s="8">
        <v>3</v>
      </c>
      <c r="L1581" s="9">
        <v>140</v>
      </c>
      <c r="M1581" s="10">
        <v>0</v>
      </c>
      <c r="N1581" s="9">
        <f t="shared" si="298"/>
        <v>420</v>
      </c>
      <c r="O1581" s="9">
        <f t="shared" si="288"/>
        <v>420</v>
      </c>
      <c r="P1581" s="5" t="s">
        <v>2267</v>
      </c>
      <c r="Q1581" s="5" t="s">
        <v>2272</v>
      </c>
      <c r="R1581" s="5" t="s">
        <v>2278</v>
      </c>
      <c r="S1581" s="5" t="s">
        <v>2281</v>
      </c>
      <c r="T1581" s="5" t="s">
        <v>2288</v>
      </c>
      <c r="U1581" s="8">
        <v>2</v>
      </c>
      <c r="V1581" s="8">
        <v>254</v>
      </c>
      <c r="W1581" s="8">
        <v>55</v>
      </c>
      <c r="X1581" s="9">
        <v>73.31</v>
      </c>
      <c r="Y1581" s="9">
        <f t="shared" si="289"/>
        <v>200.07</v>
      </c>
      <c r="Z1581" s="5" t="s">
        <v>2291</v>
      </c>
      <c r="AA1581" s="5" t="s">
        <v>2297</v>
      </c>
      <c r="AB1581" s="9">
        <f t="shared" si="290"/>
        <v>420</v>
      </c>
      <c r="AC1581" s="9">
        <f t="shared" si="291"/>
        <v>0</v>
      </c>
      <c r="AD1581" s="9">
        <f t="shared" si="292"/>
        <v>420</v>
      </c>
      <c r="AE1581" s="9">
        <f t="shared" si="293"/>
        <v>219.93</v>
      </c>
      <c r="AF1581" s="9">
        <f t="shared" si="299"/>
        <v>200.07</v>
      </c>
      <c r="AG1581" s="8">
        <f t="shared" si="294"/>
        <v>2024</v>
      </c>
      <c r="AH1581" s="8">
        <f t="shared" si="295"/>
        <v>6</v>
      </c>
      <c r="AI1581" s="5" t="str">
        <f t="shared" si="296"/>
        <v>Jun</v>
      </c>
      <c r="AJ1581" s="5" t="str">
        <f t="shared" si="297"/>
        <v>Saturday</v>
      </c>
    </row>
    <row r="1582" spans="1:36" x14ac:dyDescent="0.3">
      <c r="A1582" s="5" t="s">
        <v>1616</v>
      </c>
      <c r="B1582" s="6">
        <v>45588</v>
      </c>
      <c r="C1582" s="7">
        <v>0.46875</v>
      </c>
      <c r="D1582" s="5" t="s">
        <v>1853</v>
      </c>
      <c r="E1582" s="5" t="s">
        <v>2161</v>
      </c>
      <c r="F1582" s="5" t="s">
        <v>2240</v>
      </c>
      <c r="G1582" s="5" t="s">
        <v>2242</v>
      </c>
      <c r="H1582" s="5" t="s">
        <v>2258</v>
      </c>
      <c r="I1582" s="5" t="s">
        <v>2260</v>
      </c>
      <c r="J1582" s="5" t="s">
        <v>2264</v>
      </c>
      <c r="K1582" s="8">
        <v>1</v>
      </c>
      <c r="L1582" s="9">
        <v>125</v>
      </c>
      <c r="M1582" s="10">
        <v>0.05</v>
      </c>
      <c r="N1582" s="9">
        <f t="shared" si="298"/>
        <v>125</v>
      </c>
      <c r="O1582" s="9">
        <f t="shared" si="288"/>
        <v>118.75</v>
      </c>
      <c r="P1582" s="5" t="s">
        <v>2267</v>
      </c>
      <c r="Q1582" s="5" t="s">
        <v>2270</v>
      </c>
      <c r="R1582" s="5" t="s">
        <v>2278</v>
      </c>
      <c r="S1582" s="5" t="s">
        <v>2281</v>
      </c>
      <c r="T1582" s="5" t="s">
        <v>2288</v>
      </c>
      <c r="U1582" s="8">
        <v>2</v>
      </c>
      <c r="V1582" s="8">
        <v>341</v>
      </c>
      <c r="W1582" s="8">
        <v>58</v>
      </c>
      <c r="X1582" s="9">
        <v>60.4</v>
      </c>
      <c r="Y1582" s="9">
        <f t="shared" si="289"/>
        <v>58.35</v>
      </c>
      <c r="Z1582" s="5" t="s">
        <v>2294</v>
      </c>
      <c r="AA1582" s="5" t="s">
        <v>2296</v>
      </c>
      <c r="AB1582" s="9">
        <f t="shared" si="290"/>
        <v>125</v>
      </c>
      <c r="AC1582" s="9">
        <f t="shared" si="291"/>
        <v>6.25</v>
      </c>
      <c r="AD1582" s="9">
        <f t="shared" si="292"/>
        <v>118.75</v>
      </c>
      <c r="AE1582" s="9">
        <f t="shared" si="293"/>
        <v>60.4</v>
      </c>
      <c r="AF1582" s="9">
        <f t="shared" si="299"/>
        <v>58.35</v>
      </c>
      <c r="AG1582" s="8">
        <f t="shared" si="294"/>
        <v>2024</v>
      </c>
      <c r="AH1582" s="8">
        <f t="shared" si="295"/>
        <v>10</v>
      </c>
      <c r="AI1582" s="5" t="str">
        <f t="shared" si="296"/>
        <v>Oct</v>
      </c>
      <c r="AJ1582" s="5" t="str">
        <f t="shared" si="297"/>
        <v>Wednesday</v>
      </c>
    </row>
    <row r="1583" spans="1:36" x14ac:dyDescent="0.3">
      <c r="A1583" s="5" t="s">
        <v>1617</v>
      </c>
      <c r="B1583" s="6">
        <v>45598</v>
      </c>
      <c r="C1583" s="7">
        <v>0.375</v>
      </c>
      <c r="D1583" s="5" t="s">
        <v>1877</v>
      </c>
      <c r="E1583" s="5" t="s">
        <v>2047</v>
      </c>
      <c r="F1583" s="5" t="s">
        <v>1761</v>
      </c>
      <c r="G1583" s="5" t="s">
        <v>2241</v>
      </c>
      <c r="H1583" s="5" t="s">
        <v>2257</v>
      </c>
      <c r="I1583" s="5" t="s">
        <v>2262</v>
      </c>
      <c r="J1583" s="5" t="s">
        <v>1761</v>
      </c>
      <c r="K1583" s="8">
        <v>2</v>
      </c>
      <c r="L1583" s="9">
        <v>130</v>
      </c>
      <c r="M1583" s="10">
        <v>0.05</v>
      </c>
      <c r="N1583" s="9">
        <f t="shared" si="298"/>
        <v>260</v>
      </c>
      <c r="O1583" s="9">
        <f t="shared" si="288"/>
        <v>247</v>
      </c>
      <c r="P1583" s="5" t="s">
        <v>2267</v>
      </c>
      <c r="Q1583" s="5" t="s">
        <v>2272</v>
      </c>
      <c r="R1583" s="5" t="s">
        <v>2275</v>
      </c>
      <c r="S1583" s="5" t="s">
        <v>2285</v>
      </c>
      <c r="T1583" s="5" t="s">
        <v>2290</v>
      </c>
      <c r="U1583" s="8">
        <v>4</v>
      </c>
      <c r="V1583" s="8">
        <v>298</v>
      </c>
      <c r="W1583" s="8">
        <v>12</v>
      </c>
      <c r="X1583" s="9">
        <v>75.73</v>
      </c>
      <c r="Y1583" s="9">
        <f t="shared" si="289"/>
        <v>95.539999999999992</v>
      </c>
      <c r="Z1583" s="5" t="s">
        <v>2291</v>
      </c>
      <c r="AA1583" s="5" t="s">
        <v>2297</v>
      </c>
      <c r="AB1583" s="9">
        <f t="shared" si="290"/>
        <v>260</v>
      </c>
      <c r="AC1583" s="9">
        <f t="shared" si="291"/>
        <v>13</v>
      </c>
      <c r="AD1583" s="9">
        <f t="shared" si="292"/>
        <v>247</v>
      </c>
      <c r="AE1583" s="9">
        <f t="shared" si="293"/>
        <v>151.46</v>
      </c>
      <c r="AF1583" s="9">
        <f t="shared" si="299"/>
        <v>95.539999999999992</v>
      </c>
      <c r="AG1583" s="8">
        <f t="shared" si="294"/>
        <v>2024</v>
      </c>
      <c r="AH1583" s="8">
        <f t="shared" si="295"/>
        <v>11</v>
      </c>
      <c r="AI1583" s="5" t="str">
        <f t="shared" si="296"/>
        <v>Nov</v>
      </c>
      <c r="AJ1583" s="5" t="str">
        <f t="shared" si="297"/>
        <v>Saturday</v>
      </c>
    </row>
    <row r="1584" spans="1:36" x14ac:dyDescent="0.3">
      <c r="A1584" s="5" t="s">
        <v>1618</v>
      </c>
      <c r="B1584" s="6">
        <v>45528</v>
      </c>
      <c r="C1584" s="7">
        <v>0.40625</v>
      </c>
      <c r="D1584" s="5" t="s">
        <v>1904</v>
      </c>
      <c r="E1584" s="5" t="s">
        <v>2109</v>
      </c>
      <c r="F1584" s="5" t="s">
        <v>1761</v>
      </c>
      <c r="G1584" s="5" t="s">
        <v>2255</v>
      </c>
      <c r="H1584" s="5" t="s">
        <v>2260</v>
      </c>
      <c r="I1584" s="5" t="s">
        <v>2260</v>
      </c>
      <c r="J1584" s="5" t="s">
        <v>2264</v>
      </c>
      <c r="K1584" s="8">
        <v>1</v>
      </c>
      <c r="L1584" s="9">
        <v>190</v>
      </c>
      <c r="M1584" s="10">
        <v>0.05</v>
      </c>
      <c r="N1584" s="9">
        <f t="shared" si="298"/>
        <v>190</v>
      </c>
      <c r="O1584" s="9">
        <f t="shared" si="288"/>
        <v>180.5</v>
      </c>
      <c r="P1584" s="5" t="s">
        <v>2269</v>
      </c>
      <c r="Q1584" s="5" t="s">
        <v>2270</v>
      </c>
      <c r="R1584" s="5" t="s">
        <v>2275</v>
      </c>
      <c r="S1584" s="5" t="s">
        <v>2282</v>
      </c>
      <c r="T1584" s="5" t="s">
        <v>2289</v>
      </c>
      <c r="U1584" s="8">
        <v>1</v>
      </c>
      <c r="V1584" s="8">
        <v>34</v>
      </c>
      <c r="W1584" s="19">
        <v>34</v>
      </c>
      <c r="X1584" s="9">
        <v>89.69</v>
      </c>
      <c r="Y1584" s="9">
        <f t="shared" si="289"/>
        <v>90.81</v>
      </c>
      <c r="Z1584" s="5" t="s">
        <v>2293</v>
      </c>
      <c r="AA1584" s="5" t="s">
        <v>2296</v>
      </c>
      <c r="AB1584" s="9">
        <f t="shared" si="290"/>
        <v>190</v>
      </c>
      <c r="AC1584" s="9">
        <f t="shared" si="291"/>
        <v>9.5</v>
      </c>
      <c r="AD1584" s="9">
        <f t="shared" si="292"/>
        <v>180.5</v>
      </c>
      <c r="AE1584" s="9">
        <f t="shared" si="293"/>
        <v>89.69</v>
      </c>
      <c r="AF1584" s="9">
        <f t="shared" si="299"/>
        <v>90.81</v>
      </c>
      <c r="AG1584" s="8">
        <f t="shared" si="294"/>
        <v>2024</v>
      </c>
      <c r="AH1584" s="8">
        <f t="shared" si="295"/>
        <v>8</v>
      </c>
      <c r="AI1584" s="5" t="str">
        <f t="shared" si="296"/>
        <v>Aug</v>
      </c>
      <c r="AJ1584" s="5" t="str">
        <f t="shared" si="297"/>
        <v>Saturday</v>
      </c>
    </row>
    <row r="1585" spans="1:36" x14ac:dyDescent="0.3">
      <c r="A1585" s="5" t="s">
        <v>1619</v>
      </c>
      <c r="B1585" s="6">
        <v>45349</v>
      </c>
      <c r="C1585" s="7">
        <v>0.63541666666666663</v>
      </c>
      <c r="D1585" s="5" t="s">
        <v>1935</v>
      </c>
      <c r="E1585" s="5" t="s">
        <v>2233</v>
      </c>
      <c r="F1585" s="5" t="s">
        <v>1761</v>
      </c>
      <c r="G1585" s="5" t="s">
        <v>2244</v>
      </c>
      <c r="H1585" s="5" t="s">
        <v>2257</v>
      </c>
      <c r="I1585" s="5" t="s">
        <v>2262</v>
      </c>
      <c r="J1585" s="5" t="s">
        <v>2266</v>
      </c>
      <c r="K1585" s="8">
        <v>3</v>
      </c>
      <c r="L1585" s="9">
        <v>115</v>
      </c>
      <c r="M1585" s="10">
        <v>0.05</v>
      </c>
      <c r="N1585" s="9">
        <f t="shared" si="298"/>
        <v>345</v>
      </c>
      <c r="O1585" s="9">
        <f t="shared" si="288"/>
        <v>327.75</v>
      </c>
      <c r="P1585" s="5" t="s">
        <v>2269</v>
      </c>
      <c r="Q1585" s="5" t="s">
        <v>2272</v>
      </c>
      <c r="R1585" s="5" t="s">
        <v>2276</v>
      </c>
      <c r="S1585" s="5" t="s">
        <v>2287</v>
      </c>
      <c r="T1585" s="5" t="s">
        <v>2290</v>
      </c>
      <c r="U1585" s="8">
        <v>1</v>
      </c>
      <c r="V1585" s="8">
        <v>427</v>
      </c>
      <c r="W1585" s="19">
        <v>35</v>
      </c>
      <c r="X1585" s="9">
        <v>55.51</v>
      </c>
      <c r="Y1585" s="9">
        <f t="shared" si="289"/>
        <v>161.22</v>
      </c>
      <c r="Z1585" s="5" t="s">
        <v>1761</v>
      </c>
      <c r="AA1585" s="5" t="s">
        <v>2299</v>
      </c>
      <c r="AB1585" s="9">
        <f t="shared" si="290"/>
        <v>345</v>
      </c>
      <c r="AC1585" s="9">
        <f t="shared" si="291"/>
        <v>17.25</v>
      </c>
      <c r="AD1585" s="9">
        <f t="shared" si="292"/>
        <v>327.75</v>
      </c>
      <c r="AE1585" s="9">
        <f t="shared" si="293"/>
        <v>166.53</v>
      </c>
      <c r="AF1585" s="9">
        <f t="shared" si="299"/>
        <v>161.22</v>
      </c>
      <c r="AG1585" s="8">
        <f t="shared" si="294"/>
        <v>2024</v>
      </c>
      <c r="AH1585" s="8">
        <f t="shared" si="295"/>
        <v>2</v>
      </c>
      <c r="AI1585" s="5" t="str">
        <f t="shared" si="296"/>
        <v>Feb</v>
      </c>
      <c r="AJ1585" s="5" t="str">
        <f t="shared" si="297"/>
        <v>Tuesday</v>
      </c>
    </row>
    <row r="1586" spans="1:36" x14ac:dyDescent="0.3">
      <c r="A1586" s="5" t="s">
        <v>1620</v>
      </c>
      <c r="B1586" s="6">
        <v>45556</v>
      </c>
      <c r="C1586" s="7">
        <v>0.67361111111111116</v>
      </c>
      <c r="D1586" s="5" t="s">
        <v>1800</v>
      </c>
      <c r="E1586" s="5" t="s">
        <v>2157</v>
      </c>
      <c r="F1586" s="5" t="s">
        <v>2238</v>
      </c>
      <c r="G1586" s="5" t="s">
        <v>2256</v>
      </c>
      <c r="H1586" s="5" t="s">
        <v>2261</v>
      </c>
      <c r="I1586" s="5" t="s">
        <v>2260</v>
      </c>
      <c r="J1586" s="5" t="s">
        <v>2265</v>
      </c>
      <c r="K1586" s="8">
        <v>4</v>
      </c>
      <c r="L1586" s="9">
        <v>190</v>
      </c>
      <c r="M1586" s="10">
        <v>0</v>
      </c>
      <c r="N1586" s="9">
        <f t="shared" si="298"/>
        <v>760</v>
      </c>
      <c r="O1586" s="9">
        <f t="shared" si="288"/>
        <v>760</v>
      </c>
      <c r="P1586" s="5" t="s">
        <v>2269</v>
      </c>
      <c r="Q1586" s="5" t="s">
        <v>2270</v>
      </c>
      <c r="R1586" s="5" t="s">
        <v>2276</v>
      </c>
      <c r="S1586" s="5" t="s">
        <v>2282</v>
      </c>
      <c r="T1586" s="5" t="s">
        <v>2289</v>
      </c>
      <c r="U1586" s="8">
        <v>5</v>
      </c>
      <c r="V1586" s="8">
        <v>314</v>
      </c>
      <c r="W1586" s="19">
        <v>34</v>
      </c>
      <c r="X1586" s="9">
        <v>95.54</v>
      </c>
      <c r="Y1586" s="9">
        <f t="shared" si="289"/>
        <v>377.84</v>
      </c>
      <c r="Z1586" s="5" t="s">
        <v>2291</v>
      </c>
      <c r="AA1586" s="5" t="s">
        <v>2296</v>
      </c>
      <c r="AB1586" s="9">
        <f t="shared" si="290"/>
        <v>760</v>
      </c>
      <c r="AC1586" s="9">
        <f t="shared" si="291"/>
        <v>0</v>
      </c>
      <c r="AD1586" s="9">
        <f t="shared" si="292"/>
        <v>760</v>
      </c>
      <c r="AE1586" s="9">
        <f t="shared" si="293"/>
        <v>382.16</v>
      </c>
      <c r="AF1586" s="9">
        <f t="shared" si="299"/>
        <v>377.84</v>
      </c>
      <c r="AG1586" s="8">
        <f t="shared" si="294"/>
        <v>2024</v>
      </c>
      <c r="AH1586" s="8">
        <f t="shared" si="295"/>
        <v>9</v>
      </c>
      <c r="AI1586" s="5" t="str">
        <f t="shared" si="296"/>
        <v>Sep</v>
      </c>
      <c r="AJ1586" s="5" t="str">
        <f t="shared" si="297"/>
        <v>Saturday</v>
      </c>
    </row>
    <row r="1587" spans="1:36" x14ac:dyDescent="0.3">
      <c r="A1587" s="5" t="s">
        <v>1621</v>
      </c>
      <c r="B1587" s="6">
        <v>45314</v>
      </c>
      <c r="C1587" s="7">
        <v>0.67361111111111116</v>
      </c>
      <c r="D1587" s="5" t="s">
        <v>1879</v>
      </c>
      <c r="E1587" s="5" t="s">
        <v>2187</v>
      </c>
      <c r="F1587" s="5" t="s">
        <v>2240</v>
      </c>
      <c r="G1587" s="5" t="s">
        <v>2249</v>
      </c>
      <c r="H1587" s="5" t="s">
        <v>2257</v>
      </c>
      <c r="I1587" s="5" t="s">
        <v>2263</v>
      </c>
      <c r="J1587" s="5" t="s">
        <v>2266</v>
      </c>
      <c r="K1587" s="8">
        <v>1</v>
      </c>
      <c r="L1587" s="9">
        <v>170</v>
      </c>
      <c r="M1587" s="10">
        <v>0</v>
      </c>
      <c r="N1587" s="9">
        <f t="shared" si="298"/>
        <v>170</v>
      </c>
      <c r="O1587" s="9">
        <f t="shared" si="288"/>
        <v>170</v>
      </c>
      <c r="P1587" s="5" t="s">
        <v>2268</v>
      </c>
      <c r="Q1587" s="5" t="s">
        <v>2270</v>
      </c>
      <c r="R1587" s="5" t="s">
        <v>2278</v>
      </c>
      <c r="S1587" s="5" t="s">
        <v>2285</v>
      </c>
      <c r="T1587" s="5" t="s">
        <v>2288</v>
      </c>
      <c r="U1587" s="8">
        <v>3</v>
      </c>
      <c r="V1587" s="8">
        <v>435</v>
      </c>
      <c r="W1587" s="19">
        <v>34</v>
      </c>
      <c r="X1587" s="9">
        <v>93.11</v>
      </c>
      <c r="Y1587" s="9">
        <f t="shared" si="289"/>
        <v>76.89</v>
      </c>
      <c r="Z1587" s="5" t="s">
        <v>1761</v>
      </c>
      <c r="AA1587" s="5" t="s">
        <v>2298</v>
      </c>
      <c r="AB1587" s="9">
        <f t="shared" si="290"/>
        <v>170</v>
      </c>
      <c r="AC1587" s="9">
        <f t="shared" si="291"/>
        <v>0</v>
      </c>
      <c r="AD1587" s="9">
        <f t="shared" si="292"/>
        <v>170</v>
      </c>
      <c r="AE1587" s="9">
        <f t="shared" si="293"/>
        <v>93.11</v>
      </c>
      <c r="AF1587" s="9">
        <f t="shared" si="299"/>
        <v>76.89</v>
      </c>
      <c r="AG1587" s="8">
        <f t="shared" si="294"/>
        <v>2024</v>
      </c>
      <c r="AH1587" s="8">
        <f t="shared" si="295"/>
        <v>1</v>
      </c>
      <c r="AI1587" s="5" t="str">
        <f t="shared" si="296"/>
        <v>Jan</v>
      </c>
      <c r="AJ1587" s="5" t="str">
        <f t="shared" si="297"/>
        <v>Tuesday</v>
      </c>
    </row>
    <row r="1588" spans="1:36" x14ac:dyDescent="0.3">
      <c r="A1588" s="5" t="s">
        <v>1622</v>
      </c>
      <c r="B1588" s="6">
        <v>45372</v>
      </c>
      <c r="C1588" s="7">
        <v>0.86805555555555558</v>
      </c>
      <c r="D1588" s="5" t="s">
        <v>1757</v>
      </c>
      <c r="E1588" s="5" t="s">
        <v>2091</v>
      </c>
      <c r="F1588" s="5" t="s">
        <v>2240</v>
      </c>
      <c r="G1588" s="5" t="s">
        <v>2253</v>
      </c>
      <c r="H1588" s="5" t="s">
        <v>2258</v>
      </c>
      <c r="I1588" s="5" t="s">
        <v>2260</v>
      </c>
      <c r="J1588" s="5" t="s">
        <v>1761</v>
      </c>
      <c r="K1588" s="8">
        <v>1</v>
      </c>
      <c r="L1588" s="9">
        <v>90</v>
      </c>
      <c r="M1588" s="10">
        <v>0</v>
      </c>
      <c r="N1588" s="9">
        <f t="shared" si="298"/>
        <v>90</v>
      </c>
      <c r="O1588" s="9">
        <f t="shared" si="288"/>
        <v>90</v>
      </c>
      <c r="P1588" s="5" t="s">
        <v>2269</v>
      </c>
      <c r="Q1588" s="5" t="s">
        <v>2272</v>
      </c>
      <c r="R1588" s="5" t="s">
        <v>2273</v>
      </c>
      <c r="S1588" s="5" t="s">
        <v>2285</v>
      </c>
      <c r="T1588" s="5" t="s">
        <v>2288</v>
      </c>
      <c r="U1588" s="8">
        <v>5</v>
      </c>
      <c r="V1588" s="8">
        <v>261</v>
      </c>
      <c r="W1588" s="19">
        <v>35</v>
      </c>
      <c r="X1588" s="9">
        <v>38.22</v>
      </c>
      <c r="Y1588" s="9">
        <f t="shared" si="289"/>
        <v>51.78</v>
      </c>
      <c r="Z1588" s="5" t="s">
        <v>2294</v>
      </c>
      <c r="AA1588" s="5" t="s">
        <v>1761</v>
      </c>
      <c r="AB1588" s="9">
        <f t="shared" si="290"/>
        <v>90</v>
      </c>
      <c r="AC1588" s="9">
        <f t="shared" si="291"/>
        <v>0</v>
      </c>
      <c r="AD1588" s="9">
        <f t="shared" si="292"/>
        <v>90</v>
      </c>
      <c r="AE1588" s="9">
        <f t="shared" si="293"/>
        <v>38.22</v>
      </c>
      <c r="AF1588" s="9">
        <f t="shared" si="299"/>
        <v>51.78</v>
      </c>
      <c r="AG1588" s="8">
        <f t="shared" si="294"/>
        <v>2024</v>
      </c>
      <c r="AH1588" s="8">
        <f t="shared" si="295"/>
        <v>3</v>
      </c>
      <c r="AI1588" s="5" t="str">
        <f t="shared" si="296"/>
        <v>Mar</v>
      </c>
      <c r="AJ1588" s="5" t="str">
        <f t="shared" si="297"/>
        <v>Thursday</v>
      </c>
    </row>
    <row r="1589" spans="1:36" x14ac:dyDescent="0.3">
      <c r="A1589" s="5" t="s">
        <v>1623</v>
      </c>
      <c r="B1589" s="6">
        <v>45380</v>
      </c>
      <c r="C1589" s="7">
        <v>0.82638888888888884</v>
      </c>
      <c r="D1589" s="5" t="s">
        <v>1898</v>
      </c>
      <c r="E1589" s="5" t="s">
        <v>2096</v>
      </c>
      <c r="F1589" s="5" t="s">
        <v>2240</v>
      </c>
      <c r="G1589" s="5" t="s">
        <v>2242</v>
      </c>
      <c r="H1589" s="5" t="s">
        <v>2258</v>
      </c>
      <c r="I1589" s="5" t="s">
        <v>2260</v>
      </c>
      <c r="J1589" s="5" t="s">
        <v>2264</v>
      </c>
      <c r="K1589" s="8">
        <v>2</v>
      </c>
      <c r="L1589" s="9">
        <v>130</v>
      </c>
      <c r="M1589" s="10">
        <v>0.05</v>
      </c>
      <c r="N1589" s="9">
        <f t="shared" si="298"/>
        <v>260</v>
      </c>
      <c r="O1589" s="9">
        <f t="shared" si="288"/>
        <v>247</v>
      </c>
      <c r="P1589" s="5" t="s">
        <v>2269</v>
      </c>
      <c r="Q1589" s="5" t="s">
        <v>2270</v>
      </c>
      <c r="R1589" s="5" t="s">
        <v>2279</v>
      </c>
      <c r="S1589" s="5" t="s">
        <v>2286</v>
      </c>
      <c r="T1589" s="5" t="s">
        <v>2288</v>
      </c>
      <c r="U1589" s="8">
        <v>4</v>
      </c>
      <c r="V1589" s="8">
        <v>85</v>
      </c>
      <c r="W1589" s="8">
        <v>36</v>
      </c>
      <c r="X1589" s="9">
        <v>54.49</v>
      </c>
      <c r="Y1589" s="9">
        <f t="shared" si="289"/>
        <v>138.01999999999998</v>
      </c>
      <c r="Z1589" s="5" t="s">
        <v>2292</v>
      </c>
      <c r="AA1589" s="5" t="s">
        <v>2298</v>
      </c>
      <c r="AB1589" s="9">
        <f t="shared" si="290"/>
        <v>260</v>
      </c>
      <c r="AC1589" s="9">
        <f t="shared" si="291"/>
        <v>13</v>
      </c>
      <c r="AD1589" s="9">
        <f t="shared" si="292"/>
        <v>247</v>
      </c>
      <c r="AE1589" s="9">
        <f t="shared" si="293"/>
        <v>108.98</v>
      </c>
      <c r="AF1589" s="9">
        <f t="shared" si="299"/>
        <v>138.01999999999998</v>
      </c>
      <c r="AG1589" s="8">
        <f t="shared" si="294"/>
        <v>2024</v>
      </c>
      <c r="AH1589" s="8">
        <f t="shared" si="295"/>
        <v>3</v>
      </c>
      <c r="AI1589" s="5" t="str">
        <f t="shared" si="296"/>
        <v>Mar</v>
      </c>
      <c r="AJ1589" s="5" t="str">
        <f t="shared" si="297"/>
        <v>Friday</v>
      </c>
    </row>
    <row r="1590" spans="1:36" x14ac:dyDescent="0.3">
      <c r="A1590" s="5" t="s">
        <v>1624</v>
      </c>
      <c r="B1590" s="6">
        <v>45494</v>
      </c>
      <c r="C1590" s="7">
        <v>0.57638888888888884</v>
      </c>
      <c r="D1590" s="5" t="s">
        <v>1778</v>
      </c>
      <c r="E1590" s="5" t="s">
        <v>1963</v>
      </c>
      <c r="F1590" s="5" t="s">
        <v>2238</v>
      </c>
      <c r="G1590" s="5" t="s">
        <v>2252</v>
      </c>
      <c r="H1590" s="5" t="s">
        <v>2257</v>
      </c>
      <c r="I1590" s="5" t="s">
        <v>2262</v>
      </c>
      <c r="J1590" s="5" t="s">
        <v>1761</v>
      </c>
      <c r="K1590" s="8">
        <v>1</v>
      </c>
      <c r="L1590" s="9">
        <v>90</v>
      </c>
      <c r="M1590" s="10">
        <v>0</v>
      </c>
      <c r="N1590" s="9">
        <f t="shared" si="298"/>
        <v>90</v>
      </c>
      <c r="O1590" s="9">
        <f t="shared" si="288"/>
        <v>90</v>
      </c>
      <c r="P1590" s="5" t="s">
        <v>2267</v>
      </c>
      <c r="Q1590" s="5" t="s">
        <v>1761</v>
      </c>
      <c r="R1590" s="5" t="s">
        <v>2277</v>
      </c>
      <c r="S1590" s="5" t="s">
        <v>2285</v>
      </c>
      <c r="T1590" s="5" t="s">
        <v>2288</v>
      </c>
      <c r="U1590" s="19">
        <v>3</v>
      </c>
      <c r="V1590" s="8">
        <v>118</v>
      </c>
      <c r="W1590" s="8">
        <v>10</v>
      </c>
      <c r="X1590" s="9">
        <v>37.72</v>
      </c>
      <c r="Y1590" s="9">
        <f t="shared" si="289"/>
        <v>52.28</v>
      </c>
      <c r="Z1590" s="5" t="s">
        <v>1761</v>
      </c>
      <c r="AA1590" s="5" t="s">
        <v>2297</v>
      </c>
      <c r="AB1590" s="9">
        <f t="shared" si="290"/>
        <v>90</v>
      </c>
      <c r="AC1590" s="9">
        <f t="shared" si="291"/>
        <v>0</v>
      </c>
      <c r="AD1590" s="9">
        <f t="shared" si="292"/>
        <v>90</v>
      </c>
      <c r="AE1590" s="9">
        <f t="shared" si="293"/>
        <v>37.72</v>
      </c>
      <c r="AF1590" s="9">
        <f t="shared" si="299"/>
        <v>52.28</v>
      </c>
      <c r="AG1590" s="8">
        <f t="shared" si="294"/>
        <v>2024</v>
      </c>
      <c r="AH1590" s="8">
        <f t="shared" si="295"/>
        <v>7</v>
      </c>
      <c r="AI1590" s="5" t="str">
        <f t="shared" si="296"/>
        <v>Jul</v>
      </c>
      <c r="AJ1590" s="5" t="str">
        <f t="shared" si="297"/>
        <v>Sunday</v>
      </c>
    </row>
    <row r="1591" spans="1:36" x14ac:dyDescent="0.3">
      <c r="A1591" s="5" t="s">
        <v>1625</v>
      </c>
      <c r="B1591" s="6">
        <v>45635</v>
      </c>
      <c r="C1591" s="7">
        <v>0.64583333333333337</v>
      </c>
      <c r="D1591" s="5" t="s">
        <v>1916</v>
      </c>
      <c r="E1591" s="5" t="s">
        <v>2015</v>
      </c>
      <c r="F1591" s="5" t="s">
        <v>1761</v>
      </c>
      <c r="G1591" s="5" t="s">
        <v>2242</v>
      </c>
      <c r="H1591" s="5" t="s">
        <v>2258</v>
      </c>
      <c r="I1591" s="5" t="s">
        <v>2260</v>
      </c>
      <c r="J1591" s="5" t="s">
        <v>2265</v>
      </c>
      <c r="K1591" s="8">
        <v>1</v>
      </c>
      <c r="L1591" s="9">
        <v>120</v>
      </c>
      <c r="M1591" s="10">
        <v>0.05</v>
      </c>
      <c r="N1591" s="9">
        <f t="shared" si="298"/>
        <v>120</v>
      </c>
      <c r="O1591" s="9">
        <f t="shared" si="288"/>
        <v>114</v>
      </c>
      <c r="P1591" s="5" t="s">
        <v>2269</v>
      </c>
      <c r="Q1591" s="5" t="s">
        <v>1761</v>
      </c>
      <c r="R1591" s="5" t="s">
        <v>2279</v>
      </c>
      <c r="S1591" s="5" t="s">
        <v>2287</v>
      </c>
      <c r="T1591" s="5" t="s">
        <v>2288</v>
      </c>
      <c r="U1591" s="8">
        <v>3</v>
      </c>
      <c r="V1591" s="19">
        <v>244</v>
      </c>
      <c r="W1591" s="8">
        <v>37</v>
      </c>
      <c r="X1591" s="9">
        <v>55.9</v>
      </c>
      <c r="Y1591" s="9">
        <f t="shared" si="289"/>
        <v>58.1</v>
      </c>
      <c r="Z1591" s="5" t="s">
        <v>1761</v>
      </c>
      <c r="AA1591" s="5" t="s">
        <v>1761</v>
      </c>
      <c r="AB1591" s="9">
        <f t="shared" si="290"/>
        <v>120</v>
      </c>
      <c r="AC1591" s="9">
        <f t="shared" si="291"/>
        <v>6</v>
      </c>
      <c r="AD1591" s="9">
        <f t="shared" si="292"/>
        <v>114</v>
      </c>
      <c r="AE1591" s="9">
        <f t="shared" si="293"/>
        <v>55.9</v>
      </c>
      <c r="AF1591" s="9">
        <f t="shared" si="299"/>
        <v>58.1</v>
      </c>
      <c r="AG1591" s="8">
        <f t="shared" si="294"/>
        <v>2024</v>
      </c>
      <c r="AH1591" s="8">
        <f t="shared" si="295"/>
        <v>12</v>
      </c>
      <c r="AI1591" s="5" t="str">
        <f t="shared" si="296"/>
        <v>Dec</v>
      </c>
      <c r="AJ1591" s="5" t="str">
        <f t="shared" si="297"/>
        <v>Monday</v>
      </c>
    </row>
    <row r="1592" spans="1:36" x14ac:dyDescent="0.3">
      <c r="A1592" s="5" t="s">
        <v>1626</v>
      </c>
      <c r="B1592" s="6">
        <v>45477</v>
      </c>
      <c r="C1592" s="7">
        <v>0.60416666666666663</v>
      </c>
      <c r="D1592" s="5" t="s">
        <v>1897</v>
      </c>
      <c r="E1592" s="5" t="s">
        <v>1761</v>
      </c>
      <c r="F1592" s="5" t="s">
        <v>2238</v>
      </c>
      <c r="G1592" s="5" t="s">
        <v>2247</v>
      </c>
      <c r="H1592" s="5" t="s">
        <v>2257</v>
      </c>
      <c r="I1592" s="5" t="s">
        <v>2262</v>
      </c>
      <c r="J1592" s="5" t="s">
        <v>2265</v>
      </c>
      <c r="K1592" s="8">
        <v>2</v>
      </c>
      <c r="L1592" s="9">
        <v>110</v>
      </c>
      <c r="M1592" s="10">
        <v>0</v>
      </c>
      <c r="N1592" s="9">
        <f t="shared" si="298"/>
        <v>220</v>
      </c>
      <c r="O1592" s="9">
        <f t="shared" si="288"/>
        <v>220</v>
      </c>
      <c r="P1592" s="5" t="s">
        <v>2267</v>
      </c>
      <c r="Q1592" s="5" t="s">
        <v>2270</v>
      </c>
      <c r="R1592" s="5" t="s">
        <v>2276</v>
      </c>
      <c r="S1592" s="5" t="s">
        <v>2284</v>
      </c>
      <c r="T1592" s="5" t="s">
        <v>2288</v>
      </c>
      <c r="U1592" s="8">
        <v>3</v>
      </c>
      <c r="V1592" s="8">
        <v>33</v>
      </c>
      <c r="W1592" s="8">
        <v>19</v>
      </c>
      <c r="X1592" s="9">
        <v>49.53</v>
      </c>
      <c r="Y1592" s="9">
        <f t="shared" si="289"/>
        <v>120.94</v>
      </c>
      <c r="Z1592" s="5" t="s">
        <v>2294</v>
      </c>
      <c r="AA1592" s="5" t="s">
        <v>2296</v>
      </c>
      <c r="AB1592" s="9">
        <f t="shared" si="290"/>
        <v>220</v>
      </c>
      <c r="AC1592" s="9">
        <f t="shared" si="291"/>
        <v>0</v>
      </c>
      <c r="AD1592" s="9">
        <f t="shared" si="292"/>
        <v>220</v>
      </c>
      <c r="AE1592" s="9">
        <f t="shared" si="293"/>
        <v>99.06</v>
      </c>
      <c r="AF1592" s="9">
        <f t="shared" si="299"/>
        <v>120.94</v>
      </c>
      <c r="AG1592" s="8">
        <f t="shared" si="294"/>
        <v>2024</v>
      </c>
      <c r="AH1592" s="8">
        <f t="shared" si="295"/>
        <v>7</v>
      </c>
      <c r="AI1592" s="5" t="str">
        <f t="shared" si="296"/>
        <v>Jul</v>
      </c>
      <c r="AJ1592" s="5" t="str">
        <f t="shared" si="297"/>
        <v>Thursday</v>
      </c>
    </row>
    <row r="1593" spans="1:36" x14ac:dyDescent="0.3">
      <c r="A1593" s="5" t="s">
        <v>1627</v>
      </c>
      <c r="B1593" s="6">
        <v>45463</v>
      </c>
      <c r="C1593" s="7">
        <v>0.84722222222222221</v>
      </c>
      <c r="D1593" s="5" t="s">
        <v>1755</v>
      </c>
      <c r="E1593" s="5" t="s">
        <v>2216</v>
      </c>
      <c r="F1593" s="5" t="s">
        <v>2240</v>
      </c>
      <c r="G1593" s="5" t="s">
        <v>2248</v>
      </c>
      <c r="H1593" s="5" t="s">
        <v>2257</v>
      </c>
      <c r="I1593" s="5" t="s">
        <v>2262</v>
      </c>
      <c r="J1593" s="5" t="s">
        <v>2264</v>
      </c>
      <c r="K1593" s="8">
        <v>1</v>
      </c>
      <c r="L1593" s="9">
        <v>145</v>
      </c>
      <c r="M1593" s="10">
        <v>0.05</v>
      </c>
      <c r="N1593" s="9">
        <f t="shared" si="298"/>
        <v>145</v>
      </c>
      <c r="O1593" s="9">
        <f t="shared" si="288"/>
        <v>137.75</v>
      </c>
      <c r="P1593" s="5" t="s">
        <v>2269</v>
      </c>
      <c r="Q1593" s="5" t="s">
        <v>2271</v>
      </c>
      <c r="R1593" s="5" t="s">
        <v>2274</v>
      </c>
      <c r="S1593" s="5" t="s">
        <v>2282</v>
      </c>
      <c r="T1593" s="5" t="s">
        <v>2288</v>
      </c>
      <c r="U1593" s="8">
        <v>4</v>
      </c>
      <c r="V1593" s="19">
        <v>244</v>
      </c>
      <c r="W1593" s="8">
        <v>52</v>
      </c>
      <c r="X1593" s="9">
        <v>72.760000000000005</v>
      </c>
      <c r="Y1593" s="9">
        <f t="shared" si="289"/>
        <v>64.989999999999995</v>
      </c>
      <c r="Z1593" s="5" t="s">
        <v>1761</v>
      </c>
      <c r="AA1593" s="5" t="s">
        <v>2297</v>
      </c>
      <c r="AB1593" s="9">
        <f t="shared" si="290"/>
        <v>145</v>
      </c>
      <c r="AC1593" s="9">
        <f t="shared" si="291"/>
        <v>7.25</v>
      </c>
      <c r="AD1593" s="9">
        <f t="shared" si="292"/>
        <v>137.75</v>
      </c>
      <c r="AE1593" s="9">
        <f t="shared" si="293"/>
        <v>72.760000000000005</v>
      </c>
      <c r="AF1593" s="9">
        <f t="shared" si="299"/>
        <v>64.989999999999995</v>
      </c>
      <c r="AG1593" s="8">
        <f t="shared" si="294"/>
        <v>2024</v>
      </c>
      <c r="AH1593" s="8">
        <f t="shared" si="295"/>
        <v>6</v>
      </c>
      <c r="AI1593" s="5" t="str">
        <f t="shared" si="296"/>
        <v>Jun</v>
      </c>
      <c r="AJ1593" s="5" t="str">
        <f t="shared" si="297"/>
        <v>Thursday</v>
      </c>
    </row>
    <row r="1594" spans="1:36" x14ac:dyDescent="0.3">
      <c r="A1594" s="5" t="s">
        <v>1628</v>
      </c>
      <c r="B1594" s="18">
        <v>45468</v>
      </c>
      <c r="C1594" s="7">
        <v>0.36805555555555558</v>
      </c>
      <c r="D1594" s="5" t="s">
        <v>1936</v>
      </c>
      <c r="E1594" s="5" t="s">
        <v>1761</v>
      </c>
      <c r="F1594" s="5" t="s">
        <v>2239</v>
      </c>
      <c r="G1594" s="5" t="s">
        <v>2244</v>
      </c>
      <c r="H1594" s="5" t="s">
        <v>2257</v>
      </c>
      <c r="I1594" s="5" t="s">
        <v>2262</v>
      </c>
      <c r="J1594" s="5" t="s">
        <v>2265</v>
      </c>
      <c r="K1594" s="19">
        <v>1</v>
      </c>
      <c r="L1594" s="9">
        <v>115</v>
      </c>
      <c r="M1594" s="10">
        <v>0</v>
      </c>
      <c r="N1594" s="9">
        <f t="shared" si="298"/>
        <v>115</v>
      </c>
      <c r="O1594" s="9">
        <f t="shared" si="288"/>
        <v>115</v>
      </c>
      <c r="P1594" s="5" t="s">
        <v>2269</v>
      </c>
      <c r="Q1594" s="5" t="s">
        <v>1761</v>
      </c>
      <c r="R1594" s="5" t="s">
        <v>2277</v>
      </c>
      <c r="S1594" s="5" t="s">
        <v>2280</v>
      </c>
      <c r="T1594" s="5" t="s">
        <v>2290</v>
      </c>
      <c r="U1594" s="8">
        <v>5</v>
      </c>
      <c r="V1594" s="8">
        <v>173</v>
      </c>
      <c r="W1594" s="8">
        <v>58</v>
      </c>
      <c r="X1594" s="9">
        <v>60.59</v>
      </c>
      <c r="Y1594" s="9">
        <f t="shared" si="289"/>
        <v>54.41</v>
      </c>
      <c r="Z1594" s="5" t="s">
        <v>1761</v>
      </c>
      <c r="AA1594" s="5" t="s">
        <v>2299</v>
      </c>
      <c r="AB1594" s="9">
        <f t="shared" si="290"/>
        <v>115</v>
      </c>
      <c r="AC1594" s="9">
        <f t="shared" si="291"/>
        <v>0</v>
      </c>
      <c r="AD1594" s="9">
        <f t="shared" si="292"/>
        <v>115</v>
      </c>
      <c r="AE1594" s="9">
        <f t="shared" si="293"/>
        <v>60.59</v>
      </c>
      <c r="AF1594" s="9">
        <f t="shared" si="299"/>
        <v>54.41</v>
      </c>
      <c r="AG1594" s="8">
        <f t="shared" si="294"/>
        <v>2024</v>
      </c>
      <c r="AH1594" s="8">
        <f t="shared" si="295"/>
        <v>6</v>
      </c>
      <c r="AI1594" s="5" t="str">
        <f t="shared" si="296"/>
        <v>Jun</v>
      </c>
      <c r="AJ1594" s="5" t="str">
        <f t="shared" si="297"/>
        <v>Tuesday</v>
      </c>
    </row>
    <row r="1595" spans="1:36" x14ac:dyDescent="0.3">
      <c r="A1595" s="5" t="s">
        <v>1629</v>
      </c>
      <c r="B1595" s="6">
        <v>45497</v>
      </c>
      <c r="C1595" s="7">
        <v>0.80208333333333337</v>
      </c>
      <c r="D1595" s="5" t="s">
        <v>1838</v>
      </c>
      <c r="E1595" s="5" t="s">
        <v>2021</v>
      </c>
      <c r="F1595" s="5" t="s">
        <v>2239</v>
      </c>
      <c r="G1595" s="5" t="s">
        <v>2248</v>
      </c>
      <c r="H1595" s="5" t="s">
        <v>2257</v>
      </c>
      <c r="I1595" s="5" t="s">
        <v>2262</v>
      </c>
      <c r="J1595" s="5" t="s">
        <v>2266</v>
      </c>
      <c r="K1595" s="8">
        <v>3</v>
      </c>
      <c r="L1595" s="9">
        <v>145</v>
      </c>
      <c r="M1595" s="10">
        <v>0</v>
      </c>
      <c r="N1595" s="9">
        <f t="shared" si="298"/>
        <v>435</v>
      </c>
      <c r="O1595" s="9">
        <f t="shared" si="288"/>
        <v>435</v>
      </c>
      <c r="P1595" s="5" t="s">
        <v>1761</v>
      </c>
      <c r="Q1595" s="5" t="s">
        <v>2270</v>
      </c>
      <c r="R1595" s="5" t="s">
        <v>2278</v>
      </c>
      <c r="S1595" s="5" t="s">
        <v>2284</v>
      </c>
      <c r="T1595" s="5" t="s">
        <v>2288</v>
      </c>
      <c r="U1595" s="8">
        <v>3</v>
      </c>
      <c r="V1595" s="8">
        <v>1</v>
      </c>
      <c r="W1595" s="8">
        <v>46</v>
      </c>
      <c r="X1595" s="9">
        <v>59.85</v>
      </c>
      <c r="Y1595" s="9">
        <f t="shared" si="289"/>
        <v>255.45</v>
      </c>
      <c r="Z1595" s="5" t="s">
        <v>2292</v>
      </c>
      <c r="AA1595" s="5" t="s">
        <v>2296</v>
      </c>
      <c r="AB1595" s="9">
        <f t="shared" si="290"/>
        <v>435</v>
      </c>
      <c r="AC1595" s="9">
        <f t="shared" si="291"/>
        <v>0</v>
      </c>
      <c r="AD1595" s="9">
        <f t="shared" si="292"/>
        <v>435</v>
      </c>
      <c r="AE1595" s="9">
        <f t="shared" si="293"/>
        <v>179.55</v>
      </c>
      <c r="AF1595" s="9">
        <f t="shared" si="299"/>
        <v>255.45</v>
      </c>
      <c r="AG1595" s="8">
        <f t="shared" si="294"/>
        <v>2024</v>
      </c>
      <c r="AH1595" s="8">
        <f t="shared" si="295"/>
        <v>7</v>
      </c>
      <c r="AI1595" s="5" t="str">
        <f t="shared" si="296"/>
        <v>Jul</v>
      </c>
      <c r="AJ1595" s="5" t="str">
        <f t="shared" si="297"/>
        <v>Wednesday</v>
      </c>
    </row>
    <row r="1596" spans="1:36" x14ac:dyDescent="0.3">
      <c r="A1596" s="5" t="s">
        <v>1630</v>
      </c>
      <c r="B1596" s="6">
        <v>45403</v>
      </c>
      <c r="C1596" s="7">
        <v>0.34027777777777779</v>
      </c>
      <c r="D1596" s="5" t="s">
        <v>1749</v>
      </c>
      <c r="E1596" s="5" t="s">
        <v>2218</v>
      </c>
      <c r="F1596" s="5" t="s">
        <v>1761</v>
      </c>
      <c r="G1596" s="5" t="s">
        <v>2246</v>
      </c>
      <c r="H1596" s="5" t="s">
        <v>2259</v>
      </c>
      <c r="I1596" s="5" t="s">
        <v>2262</v>
      </c>
      <c r="J1596" s="5" t="s">
        <v>1761</v>
      </c>
      <c r="K1596" s="8">
        <v>3</v>
      </c>
      <c r="L1596" s="9">
        <v>95</v>
      </c>
      <c r="M1596" s="10">
        <v>0</v>
      </c>
      <c r="N1596" s="9">
        <f t="shared" si="298"/>
        <v>285</v>
      </c>
      <c r="O1596" s="9">
        <f t="shared" si="288"/>
        <v>285</v>
      </c>
      <c r="P1596" s="5" t="s">
        <v>2267</v>
      </c>
      <c r="Q1596" s="5" t="s">
        <v>2270</v>
      </c>
      <c r="R1596" s="5" t="s">
        <v>2279</v>
      </c>
      <c r="S1596" s="5" t="s">
        <v>2286</v>
      </c>
      <c r="T1596" s="5" t="s">
        <v>2288</v>
      </c>
      <c r="U1596" s="8">
        <v>3</v>
      </c>
      <c r="V1596" s="8">
        <v>300</v>
      </c>
      <c r="W1596" s="8">
        <v>23</v>
      </c>
      <c r="X1596" s="9">
        <v>44.09</v>
      </c>
      <c r="Y1596" s="9">
        <f t="shared" si="289"/>
        <v>152.72999999999999</v>
      </c>
      <c r="Z1596" s="5" t="s">
        <v>2294</v>
      </c>
      <c r="AA1596" s="5" t="s">
        <v>2298</v>
      </c>
      <c r="AB1596" s="9">
        <f t="shared" si="290"/>
        <v>285</v>
      </c>
      <c r="AC1596" s="9">
        <f t="shared" si="291"/>
        <v>0</v>
      </c>
      <c r="AD1596" s="9">
        <f t="shared" si="292"/>
        <v>285</v>
      </c>
      <c r="AE1596" s="9">
        <f t="shared" si="293"/>
        <v>132.27000000000001</v>
      </c>
      <c r="AF1596" s="9">
        <f t="shared" si="299"/>
        <v>152.72999999999999</v>
      </c>
      <c r="AG1596" s="8">
        <f t="shared" si="294"/>
        <v>2024</v>
      </c>
      <c r="AH1596" s="8">
        <f t="shared" si="295"/>
        <v>4</v>
      </c>
      <c r="AI1596" s="5" t="str">
        <f t="shared" si="296"/>
        <v>Apr</v>
      </c>
      <c r="AJ1596" s="5" t="str">
        <f t="shared" si="297"/>
        <v>Sunday</v>
      </c>
    </row>
    <row r="1597" spans="1:36" x14ac:dyDescent="0.3">
      <c r="A1597" s="5" t="s">
        <v>1631</v>
      </c>
      <c r="B1597" s="6">
        <v>45564</v>
      </c>
      <c r="C1597" s="7">
        <v>0.61458333333333337</v>
      </c>
      <c r="D1597" s="5" t="s">
        <v>1906</v>
      </c>
      <c r="E1597" s="5" t="s">
        <v>1761</v>
      </c>
      <c r="F1597" s="5" t="s">
        <v>2240</v>
      </c>
      <c r="G1597" s="5" t="s">
        <v>2252</v>
      </c>
      <c r="H1597" s="5" t="s">
        <v>2257</v>
      </c>
      <c r="I1597" s="5" t="s">
        <v>2262</v>
      </c>
      <c r="J1597" s="5" t="s">
        <v>2264</v>
      </c>
      <c r="K1597" s="8">
        <v>1</v>
      </c>
      <c r="L1597" s="9">
        <v>95</v>
      </c>
      <c r="M1597" s="10">
        <v>0</v>
      </c>
      <c r="N1597" s="9">
        <f t="shared" si="298"/>
        <v>95</v>
      </c>
      <c r="O1597" s="9">
        <f t="shared" si="288"/>
        <v>95</v>
      </c>
      <c r="P1597" s="5" t="s">
        <v>2267</v>
      </c>
      <c r="Q1597" s="5" t="s">
        <v>2270</v>
      </c>
      <c r="R1597" s="5" t="s">
        <v>2278</v>
      </c>
      <c r="S1597" s="5" t="s">
        <v>2284</v>
      </c>
      <c r="T1597" s="5" t="s">
        <v>2288</v>
      </c>
      <c r="U1597" s="8">
        <v>5</v>
      </c>
      <c r="V1597" s="8">
        <v>119</v>
      </c>
      <c r="W1597" s="8">
        <v>35</v>
      </c>
      <c r="X1597" s="9">
        <v>31.97</v>
      </c>
      <c r="Y1597" s="9">
        <f t="shared" si="289"/>
        <v>63.03</v>
      </c>
      <c r="Z1597" s="5" t="s">
        <v>1761</v>
      </c>
      <c r="AA1597" s="5" t="s">
        <v>2296</v>
      </c>
      <c r="AB1597" s="9">
        <f t="shared" si="290"/>
        <v>95</v>
      </c>
      <c r="AC1597" s="9">
        <f t="shared" si="291"/>
        <v>0</v>
      </c>
      <c r="AD1597" s="9">
        <f t="shared" si="292"/>
        <v>95</v>
      </c>
      <c r="AE1597" s="9">
        <f t="shared" si="293"/>
        <v>31.97</v>
      </c>
      <c r="AF1597" s="9">
        <f t="shared" si="299"/>
        <v>63.03</v>
      </c>
      <c r="AG1597" s="8">
        <f t="shared" si="294"/>
        <v>2024</v>
      </c>
      <c r="AH1597" s="8">
        <f t="shared" si="295"/>
        <v>9</v>
      </c>
      <c r="AI1597" s="5" t="str">
        <f t="shared" si="296"/>
        <v>Sep</v>
      </c>
      <c r="AJ1597" s="5" t="str">
        <f t="shared" si="297"/>
        <v>Sunday</v>
      </c>
    </row>
    <row r="1598" spans="1:36" x14ac:dyDescent="0.3">
      <c r="A1598" s="5" t="s">
        <v>1632</v>
      </c>
      <c r="B1598" s="6">
        <v>45589</v>
      </c>
      <c r="C1598" s="7">
        <v>0.45833333333333331</v>
      </c>
      <c r="D1598" s="5" t="s">
        <v>1784</v>
      </c>
      <c r="E1598" s="5" t="s">
        <v>2093</v>
      </c>
      <c r="F1598" s="5" t="s">
        <v>2239</v>
      </c>
      <c r="G1598" s="5" t="s">
        <v>2244</v>
      </c>
      <c r="H1598" s="5" t="s">
        <v>2257</v>
      </c>
      <c r="I1598" s="5" t="s">
        <v>2262</v>
      </c>
      <c r="J1598" s="5" t="s">
        <v>2266</v>
      </c>
      <c r="K1598" s="8">
        <v>1</v>
      </c>
      <c r="L1598" s="9">
        <v>120</v>
      </c>
      <c r="M1598" s="10">
        <v>0.1</v>
      </c>
      <c r="N1598" s="9">
        <f t="shared" si="298"/>
        <v>120</v>
      </c>
      <c r="O1598" s="9">
        <f t="shared" si="288"/>
        <v>108</v>
      </c>
      <c r="P1598" s="5" t="s">
        <v>2268</v>
      </c>
      <c r="Q1598" s="5" t="s">
        <v>2270</v>
      </c>
      <c r="R1598" s="5" t="s">
        <v>2276</v>
      </c>
      <c r="S1598" s="5" t="s">
        <v>2281</v>
      </c>
      <c r="T1598" s="5" t="s">
        <v>2290</v>
      </c>
      <c r="U1598" s="19">
        <v>3</v>
      </c>
      <c r="V1598" s="19">
        <v>244</v>
      </c>
      <c r="W1598" s="8">
        <v>31</v>
      </c>
      <c r="X1598" s="9">
        <v>48.07</v>
      </c>
      <c r="Y1598" s="9">
        <f t="shared" si="289"/>
        <v>59.93</v>
      </c>
      <c r="Z1598" s="5" t="s">
        <v>2293</v>
      </c>
      <c r="AA1598" s="5" t="s">
        <v>1761</v>
      </c>
      <c r="AB1598" s="9">
        <f t="shared" si="290"/>
        <v>120</v>
      </c>
      <c r="AC1598" s="9">
        <f t="shared" si="291"/>
        <v>12</v>
      </c>
      <c r="AD1598" s="9">
        <f t="shared" si="292"/>
        <v>108</v>
      </c>
      <c r="AE1598" s="9">
        <f t="shared" si="293"/>
        <v>48.07</v>
      </c>
      <c r="AF1598" s="9">
        <f t="shared" si="299"/>
        <v>59.93</v>
      </c>
      <c r="AG1598" s="8">
        <f t="shared" si="294"/>
        <v>2024</v>
      </c>
      <c r="AH1598" s="8">
        <f t="shared" si="295"/>
        <v>10</v>
      </c>
      <c r="AI1598" s="5" t="str">
        <f t="shared" si="296"/>
        <v>Oct</v>
      </c>
      <c r="AJ1598" s="5" t="str">
        <f t="shared" si="297"/>
        <v>Thursday</v>
      </c>
    </row>
    <row r="1599" spans="1:36" x14ac:dyDescent="0.3">
      <c r="A1599" s="5" t="s">
        <v>1633</v>
      </c>
      <c r="B1599" s="6">
        <v>45622</v>
      </c>
      <c r="C1599" s="7">
        <v>0.67361111111111116</v>
      </c>
      <c r="D1599" s="5" t="s">
        <v>1898</v>
      </c>
      <c r="E1599" s="5" t="s">
        <v>2013</v>
      </c>
      <c r="F1599" s="5" t="s">
        <v>2239</v>
      </c>
      <c r="G1599" s="5" t="s">
        <v>2242</v>
      </c>
      <c r="H1599" s="5" t="s">
        <v>2258</v>
      </c>
      <c r="I1599" s="5" t="s">
        <v>2260</v>
      </c>
      <c r="J1599" s="5" t="s">
        <v>2264</v>
      </c>
      <c r="K1599" s="8">
        <v>2</v>
      </c>
      <c r="L1599" s="9">
        <v>125</v>
      </c>
      <c r="M1599" s="10">
        <v>0.05</v>
      </c>
      <c r="N1599" s="9">
        <f t="shared" si="298"/>
        <v>250</v>
      </c>
      <c r="O1599" s="9">
        <f t="shared" si="288"/>
        <v>237.5</v>
      </c>
      <c r="P1599" s="5" t="s">
        <v>2267</v>
      </c>
      <c r="Q1599" s="5" t="s">
        <v>2272</v>
      </c>
      <c r="R1599" s="5" t="s">
        <v>2275</v>
      </c>
      <c r="S1599" s="5" t="s">
        <v>2286</v>
      </c>
      <c r="T1599" s="5" t="s">
        <v>2288</v>
      </c>
      <c r="U1599" s="8">
        <v>4</v>
      </c>
      <c r="V1599" s="8">
        <v>170</v>
      </c>
      <c r="W1599" s="8">
        <v>38</v>
      </c>
      <c r="X1599" s="9">
        <v>44</v>
      </c>
      <c r="Y1599" s="9">
        <f t="shared" si="289"/>
        <v>149.5</v>
      </c>
      <c r="Z1599" s="5" t="s">
        <v>2293</v>
      </c>
      <c r="AA1599" s="5" t="s">
        <v>2298</v>
      </c>
      <c r="AB1599" s="9">
        <f t="shared" si="290"/>
        <v>250</v>
      </c>
      <c r="AC1599" s="9">
        <f t="shared" si="291"/>
        <v>12.5</v>
      </c>
      <c r="AD1599" s="9">
        <f t="shared" si="292"/>
        <v>237.5</v>
      </c>
      <c r="AE1599" s="9">
        <f t="shared" si="293"/>
        <v>88</v>
      </c>
      <c r="AF1599" s="9">
        <f t="shared" si="299"/>
        <v>149.5</v>
      </c>
      <c r="AG1599" s="8">
        <f t="shared" si="294"/>
        <v>2024</v>
      </c>
      <c r="AH1599" s="8">
        <f t="shared" si="295"/>
        <v>11</v>
      </c>
      <c r="AI1599" s="5" t="str">
        <f t="shared" si="296"/>
        <v>Nov</v>
      </c>
      <c r="AJ1599" s="5" t="str">
        <f t="shared" si="297"/>
        <v>Tuesday</v>
      </c>
    </row>
    <row r="1600" spans="1:36" x14ac:dyDescent="0.3">
      <c r="A1600" s="5" t="s">
        <v>1634</v>
      </c>
      <c r="B1600" s="6">
        <v>45325</v>
      </c>
      <c r="C1600" s="7">
        <v>0.67708333333333337</v>
      </c>
      <c r="D1600" s="5" t="s">
        <v>1916</v>
      </c>
      <c r="E1600" s="5" t="s">
        <v>2126</v>
      </c>
      <c r="F1600" s="5" t="s">
        <v>1761</v>
      </c>
      <c r="G1600" s="5" t="s">
        <v>2243</v>
      </c>
      <c r="H1600" s="5" t="s">
        <v>2258</v>
      </c>
      <c r="I1600" s="5" t="s">
        <v>2260</v>
      </c>
      <c r="J1600" s="5" t="s">
        <v>2265</v>
      </c>
      <c r="K1600" s="8">
        <v>1</v>
      </c>
      <c r="L1600" s="9">
        <v>70</v>
      </c>
      <c r="M1600" s="10">
        <v>0</v>
      </c>
      <c r="N1600" s="9">
        <f t="shared" si="298"/>
        <v>70</v>
      </c>
      <c r="O1600" s="9">
        <f t="shared" si="288"/>
        <v>70</v>
      </c>
      <c r="P1600" s="5" t="s">
        <v>2267</v>
      </c>
      <c r="Q1600" s="5" t="s">
        <v>1761</v>
      </c>
      <c r="R1600" s="5" t="s">
        <v>2275</v>
      </c>
      <c r="S1600" s="5" t="s">
        <v>2281</v>
      </c>
      <c r="T1600" s="5" t="s">
        <v>2288</v>
      </c>
      <c r="U1600" s="8">
        <v>3</v>
      </c>
      <c r="V1600" s="8">
        <v>320</v>
      </c>
      <c r="W1600" s="8">
        <v>56</v>
      </c>
      <c r="X1600" s="9">
        <v>38.14</v>
      </c>
      <c r="Y1600" s="9">
        <f t="shared" si="289"/>
        <v>31.86</v>
      </c>
      <c r="Z1600" s="5" t="s">
        <v>2292</v>
      </c>
      <c r="AA1600" s="5" t="s">
        <v>2296</v>
      </c>
      <c r="AB1600" s="9">
        <f t="shared" si="290"/>
        <v>70</v>
      </c>
      <c r="AC1600" s="9">
        <f t="shared" si="291"/>
        <v>0</v>
      </c>
      <c r="AD1600" s="9">
        <f t="shared" si="292"/>
        <v>70</v>
      </c>
      <c r="AE1600" s="9">
        <f t="shared" si="293"/>
        <v>38.14</v>
      </c>
      <c r="AF1600" s="9">
        <f t="shared" si="299"/>
        <v>31.86</v>
      </c>
      <c r="AG1600" s="8">
        <f t="shared" si="294"/>
        <v>2024</v>
      </c>
      <c r="AH1600" s="8">
        <f t="shared" si="295"/>
        <v>2</v>
      </c>
      <c r="AI1600" s="5" t="str">
        <f t="shared" si="296"/>
        <v>Feb</v>
      </c>
      <c r="AJ1600" s="5" t="str">
        <f t="shared" si="297"/>
        <v>Saturday</v>
      </c>
    </row>
    <row r="1601" spans="1:36" x14ac:dyDescent="0.3">
      <c r="A1601" s="5" t="s">
        <v>1635</v>
      </c>
      <c r="B1601" s="6">
        <v>45322</v>
      </c>
      <c r="C1601" s="7">
        <v>0.73958333333333337</v>
      </c>
      <c r="D1601" s="5" t="s">
        <v>1905</v>
      </c>
      <c r="E1601" s="5" t="s">
        <v>1966</v>
      </c>
      <c r="F1601" s="5" t="s">
        <v>1761</v>
      </c>
      <c r="G1601" s="5" t="s">
        <v>2244</v>
      </c>
      <c r="H1601" s="5" t="s">
        <v>2257</v>
      </c>
      <c r="I1601" s="5" t="s">
        <v>2262</v>
      </c>
      <c r="J1601" s="5" t="s">
        <v>2265</v>
      </c>
      <c r="K1601" s="19">
        <v>1</v>
      </c>
      <c r="L1601" s="9">
        <v>120</v>
      </c>
      <c r="M1601" s="10">
        <v>0</v>
      </c>
      <c r="N1601" s="9">
        <f t="shared" si="298"/>
        <v>120</v>
      </c>
      <c r="O1601" s="9">
        <f t="shared" si="288"/>
        <v>120</v>
      </c>
      <c r="P1601" s="5" t="s">
        <v>2267</v>
      </c>
      <c r="Q1601" s="5" t="s">
        <v>2270</v>
      </c>
      <c r="R1601" s="5" t="s">
        <v>2276</v>
      </c>
      <c r="S1601" s="5" t="s">
        <v>2287</v>
      </c>
      <c r="T1601" s="5" t="s">
        <v>2288</v>
      </c>
      <c r="U1601" s="19">
        <v>3</v>
      </c>
      <c r="V1601" s="8">
        <v>498</v>
      </c>
      <c r="W1601" s="8">
        <v>29</v>
      </c>
      <c r="X1601" s="9">
        <v>60.22</v>
      </c>
      <c r="Y1601" s="9">
        <f t="shared" si="289"/>
        <v>59.78</v>
      </c>
      <c r="Z1601" s="5" t="s">
        <v>2292</v>
      </c>
      <c r="AA1601" s="5" t="s">
        <v>2299</v>
      </c>
      <c r="AB1601" s="9">
        <f t="shared" si="290"/>
        <v>120</v>
      </c>
      <c r="AC1601" s="9">
        <f t="shared" si="291"/>
        <v>0</v>
      </c>
      <c r="AD1601" s="9">
        <f t="shared" si="292"/>
        <v>120</v>
      </c>
      <c r="AE1601" s="9">
        <f t="shared" si="293"/>
        <v>60.22</v>
      </c>
      <c r="AF1601" s="9">
        <f t="shared" si="299"/>
        <v>59.78</v>
      </c>
      <c r="AG1601" s="8">
        <f t="shared" si="294"/>
        <v>2024</v>
      </c>
      <c r="AH1601" s="8">
        <f t="shared" si="295"/>
        <v>1</v>
      </c>
      <c r="AI1601" s="5" t="str">
        <f t="shared" si="296"/>
        <v>Jan</v>
      </c>
      <c r="AJ1601" s="5" t="str">
        <f t="shared" si="297"/>
        <v>Wednesday</v>
      </c>
    </row>
  </sheetData>
  <conditionalFormatting sqref="T2:T1601">
    <cfRule type="expression" dxfId="1562" priority="1">
      <formula>$T2="Completed"</formula>
    </cfRule>
    <cfRule type="expression" dxfId="1561" priority="2">
      <formula>$T2="Pending"</formula>
    </cfRule>
    <cfRule type="expression" dxfId="1560" priority="3">
      <formula>$T2="Cancelled"</formula>
    </cfRule>
  </conditionalFormatting>
  <conditionalFormatting sqref="U2:U1601">
    <cfRule type="colorScale" priority="4">
      <colorScale>
        <cfvo type="min"/>
        <cfvo type="percentile" val="50"/>
        <cfvo type="max"/>
        <color rgb="FFF8696B"/>
        <color rgb="FFFFEB84"/>
        <color rgb="FF63BE7B"/>
      </colorScale>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6796-E8B7-418D-81D8-EE07B5ADC599}">
  <dimension ref="A1:AD145"/>
  <sheetViews>
    <sheetView zoomScale="85" workbookViewId="0">
      <pane ySplit="3" topLeftCell="A40" activePane="bottomLeft" state="frozen"/>
      <selection pane="bottomLeft" activeCell="J54" sqref="J54"/>
    </sheetView>
  </sheetViews>
  <sheetFormatPr defaultRowHeight="14.4" x14ac:dyDescent="0.3"/>
  <cols>
    <col min="1" max="1" width="8.77734375" bestFit="1" customWidth="1"/>
    <col min="2" max="2" width="13.77734375" bestFit="1" customWidth="1"/>
    <col min="3" max="3" width="10.44140625" customWidth="1"/>
    <col min="4" max="4" width="6.88671875" customWidth="1"/>
    <col min="5" max="5" width="5.6640625" bestFit="1" customWidth="1"/>
    <col min="6" max="7" width="9.21875" customWidth="1"/>
    <col min="8" max="8" width="14" bestFit="1" customWidth="1"/>
    <col min="9" max="9" width="13.77734375" customWidth="1"/>
    <col min="10" max="10" width="10.44140625" bestFit="1" customWidth="1"/>
    <col min="11" max="11" width="6.88671875" bestFit="1" customWidth="1"/>
    <col min="12" max="12" width="25" customWidth="1"/>
    <col min="13" max="13" width="9.21875" customWidth="1"/>
    <col min="14" max="14" width="17.77734375" bestFit="1" customWidth="1"/>
    <col min="15" max="15" width="6.88671875" bestFit="1" customWidth="1"/>
    <col min="16" max="16" width="13.77734375" bestFit="1" customWidth="1"/>
    <col min="17" max="17" width="6.88671875" customWidth="1"/>
    <col min="18" max="18" width="25" bestFit="1" customWidth="1"/>
    <col min="22" max="22" width="12.88671875" bestFit="1" customWidth="1"/>
    <col min="23" max="23" width="13.77734375" bestFit="1" customWidth="1"/>
    <col min="24" max="24" width="10.44140625" bestFit="1" customWidth="1"/>
    <col min="25" max="25" width="6.88671875" bestFit="1" customWidth="1"/>
    <col min="26" max="26" width="25" bestFit="1" customWidth="1"/>
  </cols>
  <sheetData>
    <row r="1" spans="1:26" x14ac:dyDescent="0.3">
      <c r="A1" s="28" t="s">
        <v>2388</v>
      </c>
      <c r="B1" s="28"/>
      <c r="C1" s="28"/>
      <c r="D1" s="28"/>
      <c r="E1" s="28"/>
      <c r="F1" s="28"/>
      <c r="G1" s="28"/>
      <c r="H1" s="28"/>
      <c r="I1" s="28"/>
      <c r="J1" s="28"/>
      <c r="K1" s="28"/>
      <c r="L1" s="28"/>
      <c r="M1" s="28"/>
      <c r="N1" s="28"/>
      <c r="O1" s="28"/>
      <c r="P1" s="28"/>
      <c r="Q1" s="28"/>
      <c r="R1" s="28"/>
      <c r="S1" s="28"/>
      <c r="T1" s="28"/>
      <c r="U1" s="28"/>
      <c r="V1" s="28"/>
      <c r="W1" s="28"/>
      <c r="X1" s="28"/>
      <c r="Y1" s="28"/>
      <c r="Z1" s="28"/>
    </row>
    <row r="2" spans="1:26" x14ac:dyDescent="0.3">
      <c r="A2" s="3"/>
      <c r="B2" s="3"/>
      <c r="C2" s="3"/>
      <c r="D2" s="3"/>
      <c r="E2" s="3"/>
      <c r="F2" s="3"/>
      <c r="G2" s="3"/>
      <c r="H2" s="3"/>
      <c r="I2" s="3"/>
      <c r="J2" s="3"/>
      <c r="K2" s="3"/>
      <c r="L2" s="3"/>
      <c r="M2" s="3"/>
      <c r="N2" s="3"/>
      <c r="O2" s="3"/>
      <c r="P2" s="3"/>
      <c r="Q2" s="3"/>
      <c r="R2" s="3"/>
      <c r="S2" s="3"/>
      <c r="T2" s="3"/>
      <c r="U2" s="3"/>
      <c r="V2" s="3"/>
      <c r="W2" s="3"/>
      <c r="X2" s="3"/>
      <c r="Y2" s="3"/>
      <c r="Z2" s="3"/>
    </row>
    <row r="3" spans="1:26" x14ac:dyDescent="0.3">
      <c r="A3" s="27" t="s">
        <v>2389</v>
      </c>
      <c r="B3" s="27"/>
      <c r="C3" s="27"/>
      <c r="D3" s="27"/>
      <c r="E3" s="27"/>
      <c r="F3" s="3"/>
      <c r="G3" s="3"/>
      <c r="H3" s="27" t="s">
        <v>2390</v>
      </c>
      <c r="I3" s="27"/>
      <c r="J3" s="27"/>
      <c r="K3" s="27"/>
      <c r="L3" s="27"/>
      <c r="M3" s="3"/>
      <c r="N3" s="27" t="s">
        <v>2391</v>
      </c>
      <c r="O3" s="27"/>
      <c r="P3" s="27"/>
      <c r="Q3" s="27"/>
      <c r="R3" s="27"/>
      <c r="S3" s="3"/>
      <c r="T3" s="3"/>
      <c r="U3" s="3"/>
      <c r="V3" s="27" t="s">
        <v>2392</v>
      </c>
      <c r="W3" s="27"/>
      <c r="X3" s="27"/>
      <c r="Y3" s="27"/>
      <c r="Z3" s="27"/>
    </row>
    <row r="4" spans="1:26" x14ac:dyDescent="0.3">
      <c r="A4" s="3"/>
      <c r="B4" s="3"/>
      <c r="C4" s="3"/>
      <c r="D4" s="3"/>
      <c r="E4" s="3"/>
      <c r="F4" s="3"/>
      <c r="G4" s="3"/>
      <c r="H4" s="3"/>
      <c r="I4" s="3"/>
      <c r="J4" s="3"/>
      <c r="K4" s="3"/>
      <c r="L4" s="3"/>
      <c r="M4" s="3"/>
      <c r="N4" s="3"/>
      <c r="O4" s="3"/>
      <c r="P4" s="3"/>
      <c r="Q4" s="3"/>
      <c r="R4" s="3"/>
      <c r="S4" s="3"/>
      <c r="T4" s="3"/>
      <c r="U4" s="3"/>
      <c r="V4" s="3"/>
      <c r="W4" s="3"/>
      <c r="X4" s="3"/>
      <c r="Y4" s="3"/>
      <c r="Z4" s="3"/>
    </row>
    <row r="5" spans="1:26" x14ac:dyDescent="0.3">
      <c r="A5" s="41" t="s">
        <v>34</v>
      </c>
      <c r="B5" s="42" t="s">
        <v>2382</v>
      </c>
      <c r="C5" s="42" t="s">
        <v>2383</v>
      </c>
      <c r="D5" s="42" t="s">
        <v>2384</v>
      </c>
      <c r="E5" s="42" t="s">
        <v>2385</v>
      </c>
      <c r="G5" s="3"/>
      <c r="H5" s="41" t="s">
        <v>7</v>
      </c>
      <c r="I5" s="42" t="s">
        <v>2382</v>
      </c>
      <c r="J5" s="42" t="s">
        <v>2383</v>
      </c>
      <c r="K5" s="42" t="s">
        <v>2385</v>
      </c>
      <c r="L5" s="42" t="s">
        <v>2386</v>
      </c>
      <c r="M5" s="3"/>
      <c r="N5" s="41" t="s">
        <v>6</v>
      </c>
      <c r="O5" s="42" t="s">
        <v>2382</v>
      </c>
      <c r="P5" s="42" t="s">
        <v>2383</v>
      </c>
      <c r="Q5" s="42" t="s">
        <v>2384</v>
      </c>
      <c r="R5" s="42" t="s">
        <v>2385</v>
      </c>
      <c r="S5" s="3"/>
      <c r="T5" s="3"/>
      <c r="U5" s="3"/>
      <c r="V5" s="41" t="s">
        <v>2328</v>
      </c>
      <c r="W5" s="42" t="s">
        <v>2382</v>
      </c>
      <c r="X5" s="42" t="s">
        <v>2383</v>
      </c>
      <c r="Y5" s="42" t="s">
        <v>2384</v>
      </c>
      <c r="Z5" s="42" t="s">
        <v>2387</v>
      </c>
    </row>
    <row r="6" spans="1:26" x14ac:dyDescent="0.3">
      <c r="A6" s="42" t="s">
        <v>2302</v>
      </c>
      <c r="B6" s="43">
        <v>26205.75</v>
      </c>
      <c r="C6" s="43">
        <v>13644.089999999997</v>
      </c>
      <c r="D6" s="44">
        <v>140</v>
      </c>
      <c r="E6" s="44">
        <v>224</v>
      </c>
      <c r="G6" s="3"/>
      <c r="H6" s="42" t="s">
        <v>2258</v>
      </c>
      <c r="I6" s="43">
        <v>64160.75</v>
      </c>
      <c r="J6" s="43">
        <v>32524.93999999997</v>
      </c>
      <c r="K6" s="44">
        <v>705</v>
      </c>
      <c r="L6" s="45">
        <v>3.4133016627078385</v>
      </c>
      <c r="M6" s="3"/>
      <c r="N6" s="42" t="s">
        <v>2247</v>
      </c>
      <c r="O6" s="43">
        <v>15288.25</v>
      </c>
      <c r="P6" s="43">
        <v>7716.1099999999969</v>
      </c>
      <c r="Q6" s="44">
        <v>91</v>
      </c>
      <c r="R6" s="44">
        <v>158</v>
      </c>
      <c r="S6" s="3"/>
      <c r="T6" s="3"/>
      <c r="U6" s="3"/>
      <c r="V6" s="42" t="s">
        <v>2273</v>
      </c>
      <c r="W6" s="43">
        <v>43703.5</v>
      </c>
      <c r="X6" s="43">
        <v>21830.909999999996</v>
      </c>
      <c r="Y6" s="44">
        <v>242</v>
      </c>
      <c r="Z6" s="45">
        <v>34.041322314049587</v>
      </c>
    </row>
    <row r="7" spans="1:26" x14ac:dyDescent="0.3">
      <c r="A7" s="42" t="s">
        <v>2303</v>
      </c>
      <c r="B7" s="43">
        <v>23017.5</v>
      </c>
      <c r="C7" s="43">
        <v>11738.309999999998</v>
      </c>
      <c r="D7" s="44">
        <v>116</v>
      </c>
      <c r="E7" s="44">
        <v>200</v>
      </c>
      <c r="G7" s="3"/>
      <c r="H7" s="42" t="s">
        <v>2257</v>
      </c>
      <c r="I7" s="43">
        <v>148718.75</v>
      </c>
      <c r="J7" s="43">
        <v>75411.850000000049</v>
      </c>
      <c r="K7" s="44">
        <v>1207</v>
      </c>
      <c r="L7" s="45">
        <v>3.2582025677603426</v>
      </c>
      <c r="M7" s="3"/>
      <c r="N7" s="42" t="s">
        <v>2242</v>
      </c>
      <c r="O7" s="43">
        <v>19715.5</v>
      </c>
      <c r="P7" s="43">
        <v>9828.5899999999983</v>
      </c>
      <c r="Q7" s="44">
        <v>100</v>
      </c>
      <c r="R7" s="44">
        <v>171</v>
      </c>
      <c r="S7" s="3"/>
      <c r="T7" s="3"/>
      <c r="U7" s="3"/>
      <c r="V7" s="42" t="s">
        <v>2276</v>
      </c>
      <c r="W7" s="43">
        <v>49120.75</v>
      </c>
      <c r="X7" s="43">
        <v>25448.920000000006</v>
      </c>
      <c r="Y7" s="44">
        <v>225</v>
      </c>
      <c r="Z7" s="45">
        <v>34.555555555555557</v>
      </c>
    </row>
    <row r="8" spans="1:26" x14ac:dyDescent="0.3">
      <c r="A8" s="42" t="s">
        <v>2305</v>
      </c>
      <c r="B8" s="43">
        <v>28172.75</v>
      </c>
      <c r="C8" s="43">
        <v>13916.569999999994</v>
      </c>
      <c r="D8" s="44">
        <v>141</v>
      </c>
      <c r="E8" s="44">
        <v>246</v>
      </c>
      <c r="G8" s="3"/>
      <c r="H8" s="42" t="s">
        <v>2261</v>
      </c>
      <c r="I8" s="43">
        <v>25950.5</v>
      </c>
      <c r="J8" s="43">
        <v>13291.75</v>
      </c>
      <c r="K8" s="44">
        <v>143</v>
      </c>
      <c r="L8" s="45">
        <v>2.9450549450549453</v>
      </c>
      <c r="M8" s="3"/>
      <c r="N8" s="42" t="s">
        <v>2241</v>
      </c>
      <c r="O8" s="43">
        <v>22526.5</v>
      </c>
      <c r="P8" s="43">
        <v>11688.689999999999</v>
      </c>
      <c r="Q8" s="44">
        <v>98</v>
      </c>
      <c r="R8" s="44">
        <v>178</v>
      </c>
      <c r="S8" s="3"/>
      <c r="T8" s="3"/>
      <c r="U8" s="3"/>
      <c r="V8" s="42" t="s">
        <v>2277</v>
      </c>
      <c r="W8" s="43">
        <v>41779.75</v>
      </c>
      <c r="X8" s="43">
        <v>21762.400000000005</v>
      </c>
      <c r="Y8" s="44">
        <v>218</v>
      </c>
      <c r="Z8" s="45">
        <v>34.922018348623851</v>
      </c>
    </row>
    <row r="9" spans="1:26" x14ac:dyDescent="0.3">
      <c r="A9" s="42" t="s">
        <v>2308</v>
      </c>
      <c r="B9" s="43">
        <v>24501.25</v>
      </c>
      <c r="C9" s="43">
        <v>12577.569999999992</v>
      </c>
      <c r="D9" s="44">
        <v>126</v>
      </c>
      <c r="E9" s="44">
        <v>199</v>
      </c>
      <c r="G9" s="3"/>
      <c r="H9" s="42" t="s">
        <v>2260</v>
      </c>
      <c r="I9" s="43">
        <v>28758</v>
      </c>
      <c r="J9" s="43">
        <v>14302.589999999998</v>
      </c>
      <c r="K9" s="44">
        <v>166</v>
      </c>
      <c r="L9" s="45">
        <v>3.1770833333333335</v>
      </c>
      <c r="M9" s="3"/>
      <c r="N9" s="42" t="s">
        <v>2256</v>
      </c>
      <c r="O9" s="43">
        <v>25950.5</v>
      </c>
      <c r="P9" s="43">
        <v>13291.75</v>
      </c>
      <c r="Q9" s="44">
        <v>91</v>
      </c>
      <c r="R9" s="44">
        <v>143</v>
      </c>
      <c r="S9" s="3"/>
      <c r="T9" s="3"/>
      <c r="U9" s="3"/>
      <c r="V9" s="42" t="s">
        <v>2278</v>
      </c>
      <c r="W9" s="43">
        <v>44104.75</v>
      </c>
      <c r="X9" s="43">
        <v>22373.670000000002</v>
      </c>
      <c r="Y9" s="44">
        <v>225</v>
      </c>
      <c r="Z9" s="45">
        <v>34.564444444444447</v>
      </c>
    </row>
    <row r="10" spans="1:26" x14ac:dyDescent="0.3">
      <c r="A10" s="42" t="s">
        <v>2306</v>
      </c>
      <c r="B10" s="43">
        <v>26799</v>
      </c>
      <c r="C10" s="43">
        <v>13484.019999999999</v>
      </c>
      <c r="D10" s="44">
        <v>145</v>
      </c>
      <c r="E10" s="44">
        <v>240</v>
      </c>
      <c r="G10" s="3"/>
      <c r="H10" s="42" t="s">
        <v>2259</v>
      </c>
      <c r="I10" s="43">
        <v>43504.5</v>
      </c>
      <c r="J10" s="43">
        <v>22486.679999999997</v>
      </c>
      <c r="K10" s="44">
        <v>472</v>
      </c>
      <c r="L10" s="45">
        <v>3.3745704467353952</v>
      </c>
      <c r="M10" s="3"/>
      <c r="N10" s="42" t="s">
        <v>2249</v>
      </c>
      <c r="O10" s="43">
        <v>27844.5</v>
      </c>
      <c r="P10" s="43">
        <v>13683.159999999998</v>
      </c>
      <c r="Q10" s="44">
        <v>108</v>
      </c>
      <c r="R10" s="44">
        <v>182</v>
      </c>
      <c r="S10" s="3"/>
      <c r="T10" s="3"/>
      <c r="U10" s="3"/>
      <c r="V10" s="42" t="s">
        <v>2275</v>
      </c>
      <c r="W10" s="43">
        <v>41601.5</v>
      </c>
      <c r="X10" s="43">
        <v>21281.37999999999</v>
      </c>
      <c r="Y10" s="44">
        <v>222</v>
      </c>
      <c r="Z10" s="45">
        <v>36.693693693693696</v>
      </c>
    </row>
    <row r="11" spans="1:26" x14ac:dyDescent="0.3">
      <c r="A11" s="42" t="s">
        <v>2304</v>
      </c>
      <c r="B11" s="43">
        <v>39701</v>
      </c>
      <c r="C11" s="43">
        <v>19924.86</v>
      </c>
      <c r="D11" s="44">
        <v>190</v>
      </c>
      <c r="E11" s="44">
        <v>343</v>
      </c>
      <c r="G11" s="3"/>
      <c r="H11" s="3"/>
      <c r="I11" s="3"/>
      <c r="J11" s="3"/>
      <c r="K11" s="3"/>
      <c r="L11" s="3"/>
      <c r="M11" s="3"/>
      <c r="N11" s="42" t="s">
        <v>2243</v>
      </c>
      <c r="O11" s="43">
        <v>13444.5</v>
      </c>
      <c r="P11" s="43">
        <v>7009.0099999999984</v>
      </c>
      <c r="Q11" s="44">
        <v>114</v>
      </c>
      <c r="R11" s="44">
        <v>197</v>
      </c>
      <c r="S11" s="3"/>
      <c r="T11" s="3"/>
      <c r="U11" s="3"/>
      <c r="V11" s="42" t="s">
        <v>2274</v>
      </c>
      <c r="W11" s="43">
        <v>41910.25</v>
      </c>
      <c r="X11" s="43">
        <v>21088.969999999987</v>
      </c>
      <c r="Y11" s="44">
        <v>216</v>
      </c>
      <c r="Z11" s="45">
        <v>35.800925925925924</v>
      </c>
    </row>
    <row r="12" spans="1:26" x14ac:dyDescent="0.3">
      <c r="A12" s="42" t="s">
        <v>2307</v>
      </c>
      <c r="B12" s="43">
        <v>20692.75</v>
      </c>
      <c r="C12" s="43">
        <v>10424.420000000004</v>
      </c>
      <c r="D12" s="44">
        <v>108</v>
      </c>
      <c r="E12" s="44">
        <v>177</v>
      </c>
      <c r="G12" s="3"/>
      <c r="H12" s="3"/>
      <c r="I12" s="3"/>
      <c r="J12" s="3"/>
      <c r="K12" s="3"/>
      <c r="L12" s="3"/>
      <c r="M12" s="3"/>
      <c r="N12" s="42" t="s">
        <v>2251</v>
      </c>
      <c r="O12" s="43">
        <v>15309</v>
      </c>
      <c r="P12" s="43">
        <v>7662.9</v>
      </c>
      <c r="Q12" s="44">
        <v>96</v>
      </c>
      <c r="R12" s="44">
        <v>157</v>
      </c>
      <c r="S12" s="3"/>
      <c r="T12" s="3"/>
      <c r="U12" s="3"/>
      <c r="V12" s="42" t="s">
        <v>2279</v>
      </c>
      <c r="W12" s="43">
        <v>48872</v>
      </c>
      <c r="X12" s="43">
        <v>24231.559999999998</v>
      </c>
      <c r="Y12" s="44">
        <v>252</v>
      </c>
      <c r="Z12" s="45">
        <v>34.694444444444443</v>
      </c>
    </row>
    <row r="13" spans="1:26" x14ac:dyDescent="0.3">
      <c r="A13" s="42" t="s">
        <v>2301</v>
      </c>
      <c r="B13" s="43">
        <v>26761.75</v>
      </c>
      <c r="C13" s="43">
        <v>13688.300000000001</v>
      </c>
      <c r="D13" s="44">
        <v>131</v>
      </c>
      <c r="E13" s="44">
        <v>231</v>
      </c>
      <c r="G13" s="3"/>
      <c r="H13" s="3"/>
      <c r="I13" s="3"/>
      <c r="J13" s="3"/>
      <c r="K13" s="3"/>
      <c r="L13" s="3"/>
      <c r="M13" s="3"/>
      <c r="N13" s="42" t="s">
        <v>2252</v>
      </c>
      <c r="O13" s="43">
        <v>15349.75</v>
      </c>
      <c r="P13" s="43">
        <v>7896.7999999999993</v>
      </c>
      <c r="Q13" s="44">
        <v>103</v>
      </c>
      <c r="R13" s="44">
        <v>179</v>
      </c>
      <c r="S13" s="3"/>
      <c r="T13" s="3"/>
      <c r="U13" s="3"/>
      <c r="V13" s="3"/>
      <c r="W13" s="3"/>
      <c r="X13" s="3"/>
      <c r="Y13" s="3"/>
      <c r="Z13" s="3"/>
    </row>
    <row r="14" spans="1:26" x14ac:dyDescent="0.3">
      <c r="A14" s="42" t="s">
        <v>2300</v>
      </c>
      <c r="B14" s="43">
        <v>22288</v>
      </c>
      <c r="C14" s="43">
        <v>11174.919999999998</v>
      </c>
      <c r="D14" s="44">
        <v>116</v>
      </c>
      <c r="E14" s="44">
        <v>198</v>
      </c>
      <c r="G14" s="3"/>
      <c r="H14" s="3"/>
      <c r="I14" s="3"/>
      <c r="J14" s="3"/>
      <c r="K14" s="3"/>
      <c r="L14" s="3"/>
      <c r="M14" s="3"/>
      <c r="N14" s="42" t="s">
        <v>2246</v>
      </c>
      <c r="O14" s="43">
        <v>12956.25</v>
      </c>
      <c r="P14" s="43">
        <v>6819.1899999999978</v>
      </c>
      <c r="Q14" s="44">
        <v>90</v>
      </c>
      <c r="R14" s="44">
        <v>139</v>
      </c>
      <c r="S14" s="3"/>
      <c r="T14" s="3"/>
      <c r="U14" s="3"/>
      <c r="V14" s="3"/>
      <c r="W14" s="3"/>
      <c r="X14" s="3"/>
      <c r="Y14" s="3"/>
      <c r="Z14" s="3"/>
    </row>
    <row r="15" spans="1:26" x14ac:dyDescent="0.3">
      <c r="A15" s="42" t="s">
        <v>2310</v>
      </c>
      <c r="B15" s="43">
        <v>21279.5</v>
      </c>
      <c r="C15" s="43">
        <v>11025.97</v>
      </c>
      <c r="D15" s="44">
        <v>114</v>
      </c>
      <c r="E15" s="44">
        <v>183</v>
      </c>
      <c r="G15" s="3"/>
      <c r="H15" s="3"/>
      <c r="I15" s="3"/>
      <c r="J15" s="3"/>
      <c r="K15" s="3"/>
      <c r="L15" s="3"/>
      <c r="M15" s="3"/>
      <c r="N15" s="42" t="s">
        <v>2245</v>
      </c>
      <c r="O15" s="43">
        <v>21165.25</v>
      </c>
      <c r="P15" s="43">
        <v>10789.359999999999</v>
      </c>
      <c r="Q15" s="44">
        <v>93</v>
      </c>
      <c r="R15" s="44">
        <v>148</v>
      </c>
      <c r="S15" s="3"/>
      <c r="T15" s="3"/>
      <c r="U15" s="3"/>
      <c r="V15" s="3"/>
      <c r="W15" s="3"/>
      <c r="X15" s="3"/>
      <c r="Y15" s="3"/>
      <c r="Z15" s="3"/>
    </row>
    <row r="16" spans="1:26" x14ac:dyDescent="0.3">
      <c r="A16" s="42" t="s">
        <v>2311</v>
      </c>
      <c r="B16" s="43">
        <v>23978</v>
      </c>
      <c r="C16" s="43">
        <v>12458.099999999999</v>
      </c>
      <c r="D16" s="44">
        <v>126</v>
      </c>
      <c r="E16" s="44">
        <v>212</v>
      </c>
      <c r="G16" s="3"/>
      <c r="H16" s="3"/>
      <c r="I16" s="3"/>
      <c r="J16" s="3"/>
      <c r="K16" s="3"/>
      <c r="L16" s="3"/>
      <c r="M16" s="3"/>
      <c r="N16" s="42" t="s">
        <v>2254</v>
      </c>
      <c r="O16" s="43">
        <v>17533</v>
      </c>
      <c r="P16" s="43">
        <v>8908.5200000000041</v>
      </c>
      <c r="Q16" s="44">
        <v>102</v>
      </c>
      <c r="R16" s="44">
        <v>166</v>
      </c>
      <c r="S16" s="3"/>
      <c r="T16" s="3"/>
      <c r="U16" s="3"/>
      <c r="V16" s="3"/>
      <c r="W16" s="3"/>
      <c r="X16" s="3"/>
      <c r="Y16" s="3"/>
      <c r="Z16" s="3"/>
    </row>
    <row r="17" spans="1:26" x14ac:dyDescent="0.3">
      <c r="A17" s="42" t="s">
        <v>2309</v>
      </c>
      <c r="B17" s="43">
        <v>27695.25</v>
      </c>
      <c r="C17" s="43">
        <v>13960.679999999998</v>
      </c>
      <c r="D17" s="44">
        <v>147</v>
      </c>
      <c r="E17" s="44">
        <v>240</v>
      </c>
      <c r="G17" s="3"/>
      <c r="H17" s="3"/>
      <c r="I17" s="3"/>
      <c r="J17" s="3"/>
      <c r="K17" s="3"/>
      <c r="L17" s="3"/>
      <c r="M17" s="3"/>
      <c r="N17" s="42" t="s">
        <v>2244</v>
      </c>
      <c r="O17" s="43">
        <v>19876</v>
      </c>
      <c r="P17" s="43">
        <v>10091.219999999998</v>
      </c>
      <c r="Q17" s="44">
        <v>102</v>
      </c>
      <c r="R17" s="44">
        <v>171</v>
      </c>
      <c r="S17" s="3"/>
      <c r="T17" s="3"/>
      <c r="U17" s="3"/>
      <c r="V17" s="3"/>
      <c r="W17" s="3"/>
      <c r="X17" s="3"/>
      <c r="Y17" s="3"/>
      <c r="Z17" s="3"/>
    </row>
    <row r="18" spans="1:26" x14ac:dyDescent="0.3">
      <c r="A18" s="3"/>
      <c r="B18" s="3"/>
      <c r="C18" s="3"/>
      <c r="D18" s="3"/>
      <c r="E18" s="3"/>
      <c r="F18" s="3"/>
      <c r="G18" s="3"/>
      <c r="H18" s="3"/>
      <c r="I18" s="3"/>
      <c r="J18" s="3"/>
      <c r="K18" s="3"/>
      <c r="L18" s="3"/>
      <c r="M18" s="3"/>
      <c r="N18" s="42" t="s">
        <v>2250</v>
      </c>
      <c r="O18" s="43">
        <v>13015.25</v>
      </c>
      <c r="P18" s="43">
        <v>6758.9699999999993</v>
      </c>
      <c r="Q18" s="44">
        <v>99</v>
      </c>
      <c r="R18" s="44">
        <v>167</v>
      </c>
      <c r="S18" s="3"/>
      <c r="T18" s="3"/>
      <c r="U18" s="3"/>
      <c r="V18" s="3"/>
      <c r="W18" s="3"/>
      <c r="X18" s="3"/>
      <c r="Y18" s="3"/>
      <c r="Z18" s="3"/>
    </row>
    <row r="19" spans="1:26" x14ac:dyDescent="0.3">
      <c r="A19" s="3"/>
      <c r="B19" s="3"/>
      <c r="C19" s="3"/>
      <c r="D19" s="3"/>
      <c r="E19" s="3"/>
      <c r="F19" s="3"/>
      <c r="G19" s="3"/>
      <c r="H19" s="3"/>
      <c r="I19" s="3"/>
      <c r="J19" s="3"/>
      <c r="K19" s="3"/>
      <c r="L19" s="3"/>
      <c r="M19" s="3"/>
      <c r="N19" s="42" t="s">
        <v>2248</v>
      </c>
      <c r="O19" s="43">
        <v>26668.5</v>
      </c>
      <c r="P19" s="43">
        <v>13546.509999999998</v>
      </c>
      <c r="Q19" s="44">
        <v>106</v>
      </c>
      <c r="R19" s="44">
        <v>191</v>
      </c>
      <c r="S19" s="3"/>
      <c r="T19" s="3"/>
      <c r="U19" s="3"/>
      <c r="V19" s="3"/>
      <c r="W19" s="3"/>
      <c r="X19" s="3"/>
      <c r="Y19" s="3"/>
      <c r="Z19" s="3"/>
    </row>
    <row r="20" spans="1:26" x14ac:dyDescent="0.3">
      <c r="A20" s="3"/>
      <c r="B20" s="3"/>
      <c r="C20" s="3"/>
      <c r="D20" s="3"/>
      <c r="E20" s="3"/>
      <c r="F20" s="3"/>
      <c r="G20" s="3"/>
      <c r="H20" s="3"/>
      <c r="I20" s="3"/>
      <c r="J20" s="3"/>
      <c r="K20" s="3"/>
      <c r="L20" s="3"/>
      <c r="M20" s="3"/>
      <c r="N20" s="42" t="s">
        <v>2253</v>
      </c>
      <c r="O20" s="43">
        <v>15691.75</v>
      </c>
      <c r="P20" s="43">
        <v>8024.4400000000005</v>
      </c>
      <c r="Q20" s="44">
        <v>111</v>
      </c>
      <c r="R20" s="44">
        <v>180</v>
      </c>
      <c r="S20" s="3"/>
      <c r="T20" s="3"/>
      <c r="U20" s="3"/>
      <c r="V20" s="3"/>
      <c r="W20" s="3"/>
      <c r="X20" s="3"/>
      <c r="Y20" s="3"/>
      <c r="Z20" s="3"/>
    </row>
    <row r="21" spans="1:26" x14ac:dyDescent="0.3">
      <c r="A21" s="3"/>
      <c r="B21" s="3"/>
      <c r="C21" s="3"/>
      <c r="D21" s="3"/>
      <c r="E21" s="3"/>
      <c r="F21" s="3"/>
      <c r="G21" s="3"/>
      <c r="H21" s="3"/>
      <c r="I21" s="3"/>
      <c r="J21" s="3"/>
      <c r="K21" s="3"/>
      <c r="L21" s="3"/>
      <c r="M21" s="3"/>
      <c r="N21" s="42" t="s">
        <v>2255</v>
      </c>
      <c r="O21" s="43">
        <v>28758</v>
      </c>
      <c r="P21" s="43">
        <v>14302.589999999998</v>
      </c>
      <c r="Q21" s="44">
        <v>96</v>
      </c>
      <c r="R21" s="44">
        <v>166</v>
      </c>
      <c r="S21" s="3"/>
      <c r="T21" s="3"/>
      <c r="U21" s="3"/>
      <c r="V21" s="3"/>
      <c r="W21" s="3"/>
      <c r="X21" s="3"/>
      <c r="Y21" s="3"/>
      <c r="Z21" s="3"/>
    </row>
    <row r="22" spans="1:26"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3">
      <c r="A26" s="27" t="s">
        <v>2393</v>
      </c>
      <c r="B26" s="27"/>
      <c r="C26" s="27"/>
      <c r="D26" s="27"/>
      <c r="E26" s="27"/>
      <c r="F26" s="3"/>
      <c r="G26" s="3"/>
      <c r="H26" s="27" t="s">
        <v>2394</v>
      </c>
      <c r="I26" s="27"/>
      <c r="J26" s="27"/>
      <c r="K26" s="27"/>
      <c r="L26" s="27"/>
      <c r="M26" s="3"/>
      <c r="N26" s="27" t="s">
        <v>2395</v>
      </c>
      <c r="O26" s="27"/>
      <c r="P26" s="27"/>
      <c r="Q26" s="27"/>
      <c r="R26" s="27"/>
      <c r="S26" s="3"/>
      <c r="T26" s="3"/>
      <c r="U26" s="3"/>
      <c r="V26" s="27" t="s">
        <v>2396</v>
      </c>
      <c r="W26" s="27"/>
      <c r="X26" s="27"/>
      <c r="Y26" s="27"/>
      <c r="Z26" s="27"/>
    </row>
    <row r="27" spans="1:26"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3">
      <c r="A28" s="41" t="s">
        <v>2327</v>
      </c>
      <c r="B28" s="42" t="s">
        <v>2382</v>
      </c>
      <c r="C28" s="42" t="s">
        <v>2383</v>
      </c>
      <c r="D28" s="42" t="s">
        <v>2384</v>
      </c>
      <c r="E28" s="42" t="s">
        <v>2387</v>
      </c>
      <c r="F28" s="3"/>
      <c r="G28" s="3"/>
      <c r="H28" s="41" t="s">
        <v>2326</v>
      </c>
      <c r="I28" s="42" t="s">
        <v>2382</v>
      </c>
      <c r="J28" s="42" t="s">
        <v>2384</v>
      </c>
      <c r="K28" s="42" t="s">
        <v>2383</v>
      </c>
      <c r="L28" s="3"/>
      <c r="M28" s="3"/>
      <c r="N28" s="41" t="s">
        <v>25</v>
      </c>
      <c r="O28" s="42" t="s">
        <v>2382</v>
      </c>
      <c r="P28" s="42" t="s">
        <v>2383</v>
      </c>
      <c r="Q28" s="42" t="s">
        <v>2384</v>
      </c>
      <c r="R28" s="42" t="s">
        <v>2386</v>
      </c>
      <c r="S28" s="3"/>
      <c r="T28" s="3"/>
      <c r="U28" s="3"/>
      <c r="V28" s="41" t="s">
        <v>2329</v>
      </c>
      <c r="W28" s="42" t="s">
        <v>2382</v>
      </c>
      <c r="X28" s="42" t="s">
        <v>2383</v>
      </c>
      <c r="Y28" s="42" t="s">
        <v>2384</v>
      </c>
      <c r="Z28" s="42" t="s">
        <v>2386</v>
      </c>
    </row>
    <row r="29" spans="1:26" x14ac:dyDescent="0.3">
      <c r="A29" s="42" t="s">
        <v>2271</v>
      </c>
      <c r="B29" s="43">
        <v>54947.25</v>
      </c>
      <c r="C29" s="43">
        <v>27477.31</v>
      </c>
      <c r="D29" s="44">
        <v>274</v>
      </c>
      <c r="E29" s="45">
        <v>35.587591240875909</v>
      </c>
      <c r="F29" s="3"/>
      <c r="G29" s="3"/>
      <c r="H29" s="42" t="s">
        <v>2267</v>
      </c>
      <c r="I29" s="43">
        <v>115649.75</v>
      </c>
      <c r="J29" s="44">
        <v>578</v>
      </c>
      <c r="K29" s="43">
        <v>58529.510000000024</v>
      </c>
      <c r="L29" s="3"/>
      <c r="M29" s="3"/>
      <c r="N29" s="42" t="s">
        <v>2294</v>
      </c>
      <c r="O29" s="43">
        <v>38381</v>
      </c>
      <c r="P29" s="43">
        <v>19258.159999999985</v>
      </c>
      <c r="Q29" s="44">
        <v>205</v>
      </c>
      <c r="R29" s="45">
        <v>3.126829268292683</v>
      </c>
      <c r="S29" s="3"/>
      <c r="T29" s="3"/>
      <c r="U29" s="3"/>
      <c r="V29" s="42" t="s">
        <v>2287</v>
      </c>
      <c r="W29" s="43">
        <v>37451</v>
      </c>
      <c r="X29" s="43">
        <v>18747.659999999993</v>
      </c>
      <c r="Y29" s="44">
        <v>191</v>
      </c>
      <c r="Z29" s="45">
        <v>3.3350785340314135</v>
      </c>
    </row>
    <row r="30" spans="1:26" x14ac:dyDescent="0.3">
      <c r="A30" s="42" t="s">
        <v>2272</v>
      </c>
      <c r="B30" s="43">
        <v>102136.75</v>
      </c>
      <c r="C30" s="43">
        <v>51184.15999999996</v>
      </c>
      <c r="D30" s="44">
        <v>534</v>
      </c>
      <c r="E30" s="45">
        <v>35.205992509363298</v>
      </c>
      <c r="F30" s="3"/>
      <c r="G30" s="3"/>
      <c r="H30" s="42" t="s">
        <v>2268</v>
      </c>
      <c r="I30" s="43">
        <v>61214.25</v>
      </c>
      <c r="J30" s="44">
        <v>324</v>
      </c>
      <c r="K30" s="43">
        <v>31377.609999999997</v>
      </c>
      <c r="L30" s="3"/>
      <c r="M30" s="3"/>
      <c r="N30" s="42" t="s">
        <v>2293</v>
      </c>
      <c r="O30" s="43">
        <v>95471.25</v>
      </c>
      <c r="P30" s="43">
        <v>48310.929999999993</v>
      </c>
      <c r="Q30" s="44">
        <v>491</v>
      </c>
      <c r="R30" s="45">
        <v>3.3625254582484727</v>
      </c>
      <c r="S30" s="3"/>
      <c r="T30" s="3"/>
      <c r="U30" s="3"/>
      <c r="V30" s="42" t="s">
        <v>2284</v>
      </c>
      <c r="W30" s="43">
        <v>43057.5</v>
      </c>
      <c r="X30" s="43">
        <v>21681.379999999983</v>
      </c>
      <c r="Y30" s="44">
        <v>214</v>
      </c>
      <c r="Z30" s="45">
        <v>3.2476635514018692</v>
      </c>
    </row>
    <row r="31" spans="1:26" x14ac:dyDescent="0.3">
      <c r="A31" s="42" t="s">
        <v>1761</v>
      </c>
      <c r="B31" s="43">
        <v>62501.5</v>
      </c>
      <c r="C31" s="43">
        <v>32152.269999999971</v>
      </c>
      <c r="D31" s="44">
        <v>303</v>
      </c>
      <c r="E31" s="45">
        <v>35.590759075907592</v>
      </c>
      <c r="F31" s="3"/>
      <c r="G31" s="3"/>
      <c r="H31" s="42" t="s">
        <v>1761</v>
      </c>
      <c r="I31" s="43">
        <v>32480.5</v>
      </c>
      <c r="J31" s="44">
        <v>162</v>
      </c>
      <c r="K31" s="43">
        <v>16685.349999999991</v>
      </c>
      <c r="L31" s="3"/>
      <c r="M31" s="3"/>
      <c r="N31" s="42" t="s">
        <v>2295</v>
      </c>
      <c r="O31" s="43">
        <v>2331.75</v>
      </c>
      <c r="P31" s="43">
        <v>1156.6099999999999</v>
      </c>
      <c r="Q31" s="44">
        <v>11</v>
      </c>
      <c r="R31" s="45">
        <v>3.6363636363636362</v>
      </c>
      <c r="S31" s="3"/>
      <c r="T31" s="3"/>
      <c r="U31" s="3"/>
      <c r="V31" s="42" t="s">
        <v>2282</v>
      </c>
      <c r="W31" s="43">
        <v>38292.25</v>
      </c>
      <c r="X31" s="43">
        <v>19753.810000000012</v>
      </c>
      <c r="Y31" s="44">
        <v>204</v>
      </c>
      <c r="Z31" s="45">
        <v>3.3284313725490198</v>
      </c>
    </row>
    <row r="32" spans="1:26" x14ac:dyDescent="0.3">
      <c r="A32" s="42" t="s">
        <v>2270</v>
      </c>
      <c r="B32" s="43">
        <v>91507</v>
      </c>
      <c r="C32" s="43">
        <v>47204.069999999971</v>
      </c>
      <c r="D32" s="44">
        <v>489</v>
      </c>
      <c r="E32" s="45">
        <v>34.130879345603269</v>
      </c>
      <c r="F32" s="3"/>
      <c r="G32" s="3"/>
      <c r="H32" s="42" t="s">
        <v>2269</v>
      </c>
      <c r="I32" s="43">
        <v>101748</v>
      </c>
      <c r="J32" s="44">
        <v>536</v>
      </c>
      <c r="K32" s="43">
        <v>51425.340000000011</v>
      </c>
      <c r="L32" s="3"/>
      <c r="M32" s="3"/>
      <c r="N32" s="42" t="s">
        <v>2291</v>
      </c>
      <c r="O32" s="43">
        <v>48231.5</v>
      </c>
      <c r="P32" s="43">
        <v>24733.359999999997</v>
      </c>
      <c r="Q32" s="44">
        <v>236</v>
      </c>
      <c r="R32" s="45">
        <v>3.3305084745762712</v>
      </c>
      <c r="S32" s="3"/>
      <c r="T32" s="3"/>
      <c r="U32" s="3"/>
      <c r="V32" s="42" t="s">
        <v>2280</v>
      </c>
      <c r="W32" s="43">
        <v>37494.5</v>
      </c>
      <c r="X32" s="43">
        <v>19344.580000000002</v>
      </c>
      <c r="Y32" s="44">
        <v>198</v>
      </c>
      <c r="Z32" s="45">
        <v>3.2525252525252526</v>
      </c>
    </row>
    <row r="33" spans="1:26" x14ac:dyDescent="0.3">
      <c r="A33" s="3"/>
      <c r="B33" s="3"/>
      <c r="C33" s="3"/>
      <c r="D33" s="3"/>
      <c r="E33" s="3"/>
      <c r="F33" s="3"/>
      <c r="G33" s="3"/>
      <c r="H33" s="3"/>
      <c r="I33" s="3"/>
      <c r="J33" s="3"/>
      <c r="K33" s="3"/>
      <c r="L33" s="3"/>
      <c r="M33" s="3"/>
      <c r="N33" s="42" t="s">
        <v>1761</v>
      </c>
      <c r="O33" s="43">
        <v>80353.5</v>
      </c>
      <c r="P33" s="43">
        <v>41168.17</v>
      </c>
      <c r="Q33" s="44">
        <v>429</v>
      </c>
      <c r="R33" s="45">
        <v>3.2610722610722611</v>
      </c>
      <c r="S33" s="3"/>
      <c r="T33" s="3"/>
      <c r="U33" s="3"/>
      <c r="V33" s="42" t="s">
        <v>2283</v>
      </c>
      <c r="W33" s="43">
        <v>33905.75</v>
      </c>
      <c r="X33" s="43">
        <v>17131.829999999998</v>
      </c>
      <c r="Y33" s="44">
        <v>183</v>
      </c>
      <c r="Z33" s="45">
        <v>3.360655737704918</v>
      </c>
    </row>
    <row r="34" spans="1:26" x14ac:dyDescent="0.3">
      <c r="A34" s="3"/>
      <c r="B34" s="3"/>
      <c r="C34" s="3"/>
      <c r="D34" s="3"/>
      <c r="E34" s="3"/>
      <c r="F34" s="3"/>
      <c r="G34" s="3"/>
      <c r="H34" s="3"/>
      <c r="I34" s="3"/>
      <c r="J34" s="3"/>
      <c r="K34" s="3"/>
      <c r="L34" s="3"/>
      <c r="M34" s="3"/>
      <c r="N34" s="42" t="s">
        <v>2292</v>
      </c>
      <c r="O34" s="43">
        <v>46323.5</v>
      </c>
      <c r="P34" s="43">
        <v>23390.579999999998</v>
      </c>
      <c r="Q34" s="44">
        <v>228</v>
      </c>
      <c r="R34" s="45">
        <v>3.3289473684210527</v>
      </c>
      <c r="S34" s="3"/>
      <c r="T34" s="3"/>
      <c r="U34" s="3"/>
      <c r="V34" s="42" t="s">
        <v>2281</v>
      </c>
      <c r="W34" s="43">
        <v>39792.75</v>
      </c>
      <c r="X34" s="43">
        <v>20007.899999999998</v>
      </c>
      <c r="Y34" s="44">
        <v>186</v>
      </c>
      <c r="Z34" s="45">
        <v>3.274193548387097</v>
      </c>
    </row>
    <row r="35" spans="1:26" x14ac:dyDescent="0.3">
      <c r="A35" s="3"/>
      <c r="B35" s="3"/>
      <c r="C35" s="3"/>
      <c r="D35" s="3"/>
      <c r="E35" s="3"/>
      <c r="F35" s="3"/>
      <c r="G35" s="3"/>
      <c r="H35" s="3"/>
      <c r="I35" s="3"/>
      <c r="J35" s="3"/>
      <c r="K35" s="3"/>
      <c r="L35" s="3"/>
      <c r="M35" s="3"/>
      <c r="N35" s="3"/>
      <c r="O35" s="3"/>
      <c r="P35" s="3"/>
      <c r="Q35" s="3"/>
      <c r="R35" s="3"/>
      <c r="S35" s="3"/>
      <c r="T35" s="3"/>
      <c r="U35" s="3"/>
      <c r="V35" s="42" t="s">
        <v>2286</v>
      </c>
      <c r="W35" s="43">
        <v>39083.25</v>
      </c>
      <c r="X35" s="43">
        <v>19880.779999999995</v>
      </c>
      <c r="Y35" s="44">
        <v>211</v>
      </c>
      <c r="Z35" s="45">
        <v>3.3838862559241707</v>
      </c>
    </row>
    <row r="36" spans="1:26" x14ac:dyDescent="0.3">
      <c r="A36" s="3"/>
      <c r="B36" s="3"/>
      <c r="C36" s="3"/>
      <c r="D36" s="3"/>
      <c r="E36" s="3"/>
      <c r="F36" s="3"/>
      <c r="G36" s="3"/>
      <c r="H36" s="3"/>
      <c r="I36" s="3"/>
      <c r="J36" s="3"/>
      <c r="K36" s="3"/>
      <c r="L36" s="3"/>
      <c r="M36" s="3"/>
      <c r="N36" s="3"/>
      <c r="O36" s="3"/>
      <c r="P36" s="3"/>
      <c r="Q36" s="3"/>
      <c r="R36" s="3"/>
      <c r="S36" s="3"/>
      <c r="T36" s="3"/>
      <c r="U36" s="3"/>
      <c r="V36" s="42" t="s">
        <v>2285</v>
      </c>
      <c r="W36" s="43">
        <v>42015.5</v>
      </c>
      <c r="X36" s="43">
        <v>21469.870000000003</v>
      </c>
      <c r="Y36" s="44">
        <v>213</v>
      </c>
      <c r="Z36" s="45">
        <v>3.2065727699530515</v>
      </c>
    </row>
    <row r="37" spans="1:26"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3">
      <c r="A43" s="27" t="s">
        <v>2397</v>
      </c>
      <c r="B43" s="27"/>
      <c r="C43" s="27"/>
      <c r="D43" s="27"/>
      <c r="E43" s="27"/>
      <c r="F43" s="3"/>
      <c r="G43" s="3"/>
      <c r="H43" s="27" t="s">
        <v>2398</v>
      </c>
      <c r="I43" s="27"/>
      <c r="J43" s="27"/>
      <c r="K43" s="27"/>
      <c r="L43" s="27"/>
      <c r="M43" s="3"/>
      <c r="N43" s="27" t="s">
        <v>2399</v>
      </c>
      <c r="O43" s="27"/>
      <c r="P43" s="27"/>
      <c r="Q43" s="27"/>
      <c r="R43" s="27"/>
      <c r="S43" s="3"/>
      <c r="T43" s="3"/>
      <c r="U43" s="3"/>
      <c r="V43" s="27" t="s">
        <v>2400</v>
      </c>
      <c r="W43" s="27"/>
      <c r="X43" s="27"/>
      <c r="Y43" s="27"/>
      <c r="Z43" s="27"/>
    </row>
    <row r="44" spans="1:26"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3">
      <c r="A45" s="41" t="s">
        <v>2322</v>
      </c>
      <c r="B45" s="42" t="s">
        <v>2382</v>
      </c>
      <c r="C45" s="42" t="s">
        <v>2383</v>
      </c>
      <c r="D45" s="42" t="s">
        <v>2384</v>
      </c>
      <c r="E45" s="42" t="s">
        <v>2386</v>
      </c>
      <c r="F45" s="3"/>
      <c r="G45" s="3"/>
      <c r="H45" s="41" t="s">
        <v>2330</v>
      </c>
      <c r="I45" s="42" t="s">
        <v>2382</v>
      </c>
      <c r="J45" s="42" t="s">
        <v>2383</v>
      </c>
      <c r="K45" s="42" t="s">
        <v>2384</v>
      </c>
      <c r="L45" s="3"/>
      <c r="M45" s="3"/>
      <c r="N45" s="41" t="s">
        <v>2331</v>
      </c>
      <c r="O45" s="42" t="s">
        <v>2384</v>
      </c>
      <c r="P45" s="42" t="s">
        <v>2382</v>
      </c>
      <c r="Q45" s="3"/>
      <c r="R45" s="3"/>
      <c r="S45" s="3"/>
      <c r="T45" s="3"/>
      <c r="U45" s="3"/>
      <c r="V45" s="41" t="s">
        <v>26</v>
      </c>
      <c r="W45" s="42" t="s">
        <v>2384</v>
      </c>
      <c r="X45" s="42" t="s">
        <v>2382</v>
      </c>
      <c r="Y45" s="42" t="s">
        <v>2386</v>
      </c>
      <c r="Z45" s="3"/>
    </row>
    <row r="46" spans="1:26" x14ac:dyDescent="0.3">
      <c r="A46" s="42" t="s">
        <v>2239</v>
      </c>
      <c r="B46" s="43">
        <v>105480.5</v>
      </c>
      <c r="C46" s="43">
        <v>53795.099999999991</v>
      </c>
      <c r="D46" s="44">
        <v>535</v>
      </c>
      <c r="E46" s="45">
        <v>3.297196261682243</v>
      </c>
      <c r="F46" s="3"/>
      <c r="G46" s="3"/>
      <c r="H46" s="42" t="s">
        <v>2289</v>
      </c>
      <c r="I46" s="43">
        <v>52648.5</v>
      </c>
      <c r="J46" s="43">
        <v>26838.749999999989</v>
      </c>
      <c r="K46" s="44">
        <v>263</v>
      </c>
      <c r="L46" s="3"/>
      <c r="M46" s="3"/>
      <c r="N46" s="46">
        <v>1</v>
      </c>
      <c r="O46" s="44">
        <v>206</v>
      </c>
      <c r="P46" s="43">
        <v>40607.5</v>
      </c>
      <c r="Q46" s="3"/>
      <c r="R46" s="3"/>
      <c r="S46" s="3"/>
      <c r="T46" s="3"/>
      <c r="U46" s="3"/>
      <c r="V46" s="42" t="s">
        <v>2298</v>
      </c>
      <c r="W46" s="44">
        <v>285</v>
      </c>
      <c r="X46" s="43">
        <v>52201.25</v>
      </c>
      <c r="Y46" s="45">
        <v>3.2912280701754386</v>
      </c>
      <c r="Z46" s="3"/>
    </row>
    <row r="47" spans="1:26" x14ac:dyDescent="0.3">
      <c r="A47" s="42" t="s">
        <v>2238</v>
      </c>
      <c r="B47" s="43">
        <v>49924.75</v>
      </c>
      <c r="C47" s="43">
        <v>25201.53</v>
      </c>
      <c r="D47" s="44">
        <v>255</v>
      </c>
      <c r="E47" s="45">
        <v>3.1843137254901959</v>
      </c>
      <c r="F47" s="3"/>
      <c r="G47" s="3"/>
      <c r="H47" s="42" t="s">
        <v>2288</v>
      </c>
      <c r="I47" s="43">
        <v>203344.25</v>
      </c>
      <c r="J47" s="43">
        <v>103283.95000000001</v>
      </c>
      <c r="K47" s="44">
        <v>1076</v>
      </c>
      <c r="L47" s="3"/>
      <c r="M47" s="3"/>
      <c r="N47" s="46">
        <v>2</v>
      </c>
      <c r="O47" s="44">
        <v>244</v>
      </c>
      <c r="P47" s="43">
        <v>50013.5</v>
      </c>
      <c r="Q47" s="3"/>
      <c r="R47" s="3"/>
      <c r="S47" s="3"/>
      <c r="T47" s="3"/>
      <c r="U47" s="3"/>
      <c r="V47" s="42" t="s">
        <v>2296</v>
      </c>
      <c r="W47" s="44">
        <v>520</v>
      </c>
      <c r="X47" s="43">
        <v>103283.5</v>
      </c>
      <c r="Y47" s="45">
        <v>3.3134615384615387</v>
      </c>
      <c r="Z47" s="3"/>
    </row>
    <row r="48" spans="1:26" x14ac:dyDescent="0.3">
      <c r="A48" s="42" t="s">
        <v>2240</v>
      </c>
      <c r="B48" s="43">
        <v>104515.75</v>
      </c>
      <c r="C48" s="43">
        <v>52854.339999999982</v>
      </c>
      <c r="D48" s="44">
        <v>544</v>
      </c>
      <c r="E48" s="45">
        <v>3.3970588235294117</v>
      </c>
      <c r="F48" s="3"/>
      <c r="G48" s="3"/>
      <c r="H48" s="42" t="s">
        <v>2290</v>
      </c>
      <c r="I48" s="43">
        <v>55099.75</v>
      </c>
      <c r="J48" s="43">
        <v>27895.109999999979</v>
      </c>
      <c r="K48" s="44">
        <v>261</v>
      </c>
      <c r="L48" s="3"/>
      <c r="M48" s="3"/>
      <c r="N48" s="46">
        <v>3</v>
      </c>
      <c r="O48" s="44">
        <v>466</v>
      </c>
      <c r="P48" s="43">
        <v>87158</v>
      </c>
      <c r="Q48" s="3"/>
      <c r="R48" s="3"/>
      <c r="S48" s="3"/>
      <c r="T48" s="3"/>
      <c r="U48" s="3"/>
      <c r="V48" s="42" t="s">
        <v>2299</v>
      </c>
      <c r="W48" s="44">
        <v>272</v>
      </c>
      <c r="X48" s="43">
        <v>53375.75</v>
      </c>
      <c r="Y48" s="45">
        <v>3.3272058823529411</v>
      </c>
      <c r="Z48" s="3"/>
    </row>
    <row r="49" spans="1:30" x14ac:dyDescent="0.3">
      <c r="A49" s="42" t="s">
        <v>1761</v>
      </c>
      <c r="B49" s="43">
        <v>51171.5</v>
      </c>
      <c r="C49" s="43">
        <v>26166.839999999986</v>
      </c>
      <c r="D49" s="44">
        <v>266</v>
      </c>
      <c r="E49" s="45">
        <v>3.2030075187969924</v>
      </c>
      <c r="F49" s="3"/>
      <c r="G49" s="3"/>
      <c r="H49" s="3"/>
      <c r="I49" s="3"/>
      <c r="J49" s="3"/>
      <c r="K49" s="3"/>
      <c r="L49" s="3"/>
      <c r="M49" s="3"/>
      <c r="N49" s="46">
        <v>4</v>
      </c>
      <c r="O49" s="44">
        <v>236</v>
      </c>
      <c r="P49" s="43">
        <v>45494.5</v>
      </c>
      <c r="Q49" s="3"/>
      <c r="R49" s="3"/>
      <c r="S49" s="3"/>
      <c r="T49" s="3"/>
      <c r="U49" s="3"/>
      <c r="V49" s="42" t="s">
        <v>2297</v>
      </c>
      <c r="W49" s="44">
        <v>271</v>
      </c>
      <c r="X49" s="43">
        <v>52207.5</v>
      </c>
      <c r="Y49" s="45">
        <v>3.2250922509225091</v>
      </c>
      <c r="Z49" s="3"/>
    </row>
    <row r="50" spans="1:30" x14ac:dyDescent="0.3">
      <c r="A50" s="3"/>
      <c r="B50" s="3"/>
      <c r="C50" s="3"/>
      <c r="D50" s="3"/>
      <c r="E50" s="3"/>
      <c r="F50" s="3"/>
      <c r="G50" s="3"/>
      <c r="H50" s="3"/>
      <c r="I50" s="3"/>
      <c r="J50" s="3"/>
      <c r="K50" s="3"/>
      <c r="L50" s="3"/>
      <c r="M50" s="3"/>
      <c r="N50" s="46">
        <v>5</v>
      </c>
      <c r="O50" s="44">
        <v>448</v>
      </c>
      <c r="P50" s="43">
        <v>87819</v>
      </c>
      <c r="Q50" s="3"/>
      <c r="R50" s="3"/>
      <c r="S50" s="3"/>
      <c r="T50" s="3"/>
      <c r="U50" s="3"/>
      <c r="V50" s="42" t="s">
        <v>1761</v>
      </c>
      <c r="W50" s="44">
        <v>252</v>
      </c>
      <c r="X50" s="43">
        <v>50024.5</v>
      </c>
      <c r="Y50" s="45">
        <v>3.3174603174603177</v>
      </c>
      <c r="Z50" s="3"/>
    </row>
    <row r="53" spans="1:30" x14ac:dyDescent="0.3">
      <c r="A53" s="22" t="s">
        <v>2407</v>
      </c>
      <c r="B53" t="s">
        <v>2406</v>
      </c>
    </row>
    <row r="54" spans="1:30" x14ac:dyDescent="0.3">
      <c r="A54" s="23" t="s">
        <v>2273</v>
      </c>
      <c r="B54" s="21">
        <v>43703.5</v>
      </c>
    </row>
    <row r="55" spans="1:30" x14ac:dyDescent="0.3">
      <c r="A55" s="24" t="s">
        <v>2302</v>
      </c>
      <c r="B55" s="21">
        <v>4493</v>
      </c>
    </row>
    <row r="56" spans="1:30" x14ac:dyDescent="0.3">
      <c r="A56" s="24" t="s">
        <v>2303</v>
      </c>
      <c r="B56" s="21">
        <v>2102.5</v>
      </c>
    </row>
    <row r="57" spans="1:30" x14ac:dyDescent="0.3">
      <c r="A57" s="24" t="s">
        <v>2305</v>
      </c>
      <c r="B57" s="21">
        <v>3707.5</v>
      </c>
    </row>
    <row r="58" spans="1:30" x14ac:dyDescent="0.3">
      <c r="A58" s="24" t="s">
        <v>2308</v>
      </c>
      <c r="B58" s="21">
        <v>3521.75</v>
      </c>
    </row>
    <row r="59" spans="1:30" x14ac:dyDescent="0.3">
      <c r="A59" s="24" t="s">
        <v>2306</v>
      </c>
      <c r="B59" s="21">
        <v>4670.25</v>
      </c>
    </row>
    <row r="60" spans="1:30" x14ac:dyDescent="0.3">
      <c r="A60" s="24" t="s">
        <v>2304</v>
      </c>
      <c r="B60" s="21">
        <v>6919.5</v>
      </c>
    </row>
    <row r="61" spans="1:30" x14ac:dyDescent="0.3">
      <c r="A61" s="24" t="s">
        <v>2307</v>
      </c>
      <c r="B61" s="21">
        <v>3456.5</v>
      </c>
      <c r="AB61" s="29"/>
      <c r="AC61" s="29"/>
      <c r="AD61" s="29"/>
    </row>
    <row r="62" spans="1:30" x14ac:dyDescent="0.3">
      <c r="A62" s="24" t="s">
        <v>2301</v>
      </c>
      <c r="B62" s="21">
        <v>3450.5</v>
      </c>
      <c r="AB62" s="29"/>
      <c r="AC62" s="29"/>
      <c r="AD62" s="29"/>
    </row>
    <row r="63" spans="1:30" x14ac:dyDescent="0.3">
      <c r="A63" s="24" t="s">
        <v>2300</v>
      </c>
      <c r="B63" s="21">
        <v>2137.5</v>
      </c>
      <c r="AB63" s="29"/>
      <c r="AC63" s="29"/>
      <c r="AD63" s="29"/>
    </row>
    <row r="64" spans="1:30" x14ac:dyDescent="0.3">
      <c r="A64" s="24" t="s">
        <v>2310</v>
      </c>
      <c r="B64" s="21">
        <v>1522.5</v>
      </c>
      <c r="AB64" s="29"/>
      <c r="AC64" s="29"/>
      <c r="AD64" s="29"/>
    </row>
    <row r="65" spans="1:30" x14ac:dyDescent="0.3">
      <c r="A65" s="24" t="s">
        <v>2311</v>
      </c>
      <c r="B65" s="21">
        <v>3996.75</v>
      </c>
      <c r="AB65" s="29"/>
      <c r="AC65" s="29"/>
      <c r="AD65" s="29"/>
    </row>
    <row r="66" spans="1:30" x14ac:dyDescent="0.3">
      <c r="A66" s="24" t="s">
        <v>2309</v>
      </c>
      <c r="B66" s="21">
        <v>3725.25</v>
      </c>
      <c r="AB66" s="29"/>
      <c r="AC66" s="29"/>
      <c r="AD66" s="29"/>
    </row>
    <row r="67" spans="1:30" x14ac:dyDescent="0.3">
      <c r="A67" s="23" t="s">
        <v>2276</v>
      </c>
      <c r="B67" s="21">
        <v>49120.75</v>
      </c>
      <c r="AB67" s="29"/>
      <c r="AC67" s="29"/>
      <c r="AD67" s="29"/>
    </row>
    <row r="68" spans="1:30" x14ac:dyDescent="0.3">
      <c r="A68" s="24" t="s">
        <v>2302</v>
      </c>
      <c r="B68" s="21">
        <v>3735.25</v>
      </c>
      <c r="AB68" s="29"/>
      <c r="AC68" s="29"/>
      <c r="AD68" s="29"/>
    </row>
    <row r="69" spans="1:30" x14ac:dyDescent="0.3">
      <c r="A69" s="24" t="s">
        <v>2303</v>
      </c>
      <c r="B69" s="21">
        <v>2911.25</v>
      </c>
      <c r="AB69" s="29"/>
      <c r="AC69" s="29"/>
      <c r="AD69" s="29"/>
    </row>
    <row r="70" spans="1:30" x14ac:dyDescent="0.3">
      <c r="A70" s="24" t="s">
        <v>2305</v>
      </c>
      <c r="B70" s="21">
        <v>2468.25</v>
      </c>
      <c r="AB70" s="29"/>
      <c r="AC70" s="29"/>
      <c r="AD70" s="29"/>
    </row>
    <row r="71" spans="1:30" x14ac:dyDescent="0.3">
      <c r="A71" s="24" t="s">
        <v>2308</v>
      </c>
      <c r="B71" s="21">
        <v>3489.75</v>
      </c>
      <c r="AB71" s="29"/>
      <c r="AC71" s="29"/>
      <c r="AD71" s="29"/>
    </row>
    <row r="72" spans="1:30" x14ac:dyDescent="0.3">
      <c r="A72" s="24" t="s">
        <v>2306</v>
      </c>
      <c r="B72" s="21">
        <v>5016.5</v>
      </c>
      <c r="AB72" s="29"/>
      <c r="AC72" s="29"/>
      <c r="AD72" s="29"/>
    </row>
    <row r="73" spans="1:30" x14ac:dyDescent="0.3">
      <c r="A73" s="24" t="s">
        <v>2304</v>
      </c>
      <c r="B73" s="21">
        <v>4738</v>
      </c>
      <c r="AB73" s="29"/>
      <c r="AC73" s="29"/>
      <c r="AD73" s="29"/>
    </row>
    <row r="74" spans="1:30" x14ac:dyDescent="0.3">
      <c r="A74" s="24" t="s">
        <v>2307</v>
      </c>
      <c r="B74" s="21">
        <v>2341.75</v>
      </c>
      <c r="AB74" s="29"/>
      <c r="AC74" s="29"/>
      <c r="AD74" s="29"/>
    </row>
    <row r="75" spans="1:30" x14ac:dyDescent="0.3">
      <c r="A75" s="24" t="s">
        <v>2301</v>
      </c>
      <c r="B75" s="21">
        <v>4741</v>
      </c>
      <c r="AB75" s="29"/>
      <c r="AC75" s="29"/>
      <c r="AD75" s="29"/>
    </row>
    <row r="76" spans="1:30" x14ac:dyDescent="0.3">
      <c r="A76" s="24" t="s">
        <v>2300</v>
      </c>
      <c r="B76" s="21">
        <v>3961.75</v>
      </c>
    </row>
    <row r="77" spans="1:30" x14ac:dyDescent="0.3">
      <c r="A77" s="24" t="s">
        <v>2310</v>
      </c>
      <c r="B77" s="21">
        <v>4227</v>
      </c>
    </row>
    <row r="78" spans="1:30" x14ac:dyDescent="0.3">
      <c r="A78" s="24" t="s">
        <v>2311</v>
      </c>
      <c r="B78" s="21">
        <v>5413.75</v>
      </c>
    </row>
    <row r="79" spans="1:30" x14ac:dyDescent="0.3">
      <c r="A79" s="24" t="s">
        <v>2309</v>
      </c>
      <c r="B79" s="21">
        <v>6076.5</v>
      </c>
    </row>
    <row r="80" spans="1:30" x14ac:dyDescent="0.3">
      <c r="A80" s="23" t="s">
        <v>2277</v>
      </c>
      <c r="B80" s="21">
        <v>41779.75</v>
      </c>
    </row>
    <row r="81" spans="1:2" x14ac:dyDescent="0.3">
      <c r="A81" s="24" t="s">
        <v>2302</v>
      </c>
      <c r="B81" s="21">
        <v>4504.25</v>
      </c>
    </row>
    <row r="82" spans="1:2" x14ac:dyDescent="0.3">
      <c r="A82" s="24" t="s">
        <v>2303</v>
      </c>
      <c r="B82" s="21">
        <v>1941</v>
      </c>
    </row>
    <row r="83" spans="1:2" x14ac:dyDescent="0.3">
      <c r="A83" s="24" t="s">
        <v>2305</v>
      </c>
      <c r="B83" s="21">
        <v>4208</v>
      </c>
    </row>
    <row r="84" spans="1:2" x14ac:dyDescent="0.3">
      <c r="A84" s="24" t="s">
        <v>2308</v>
      </c>
      <c r="B84" s="21">
        <v>2371</v>
      </c>
    </row>
    <row r="85" spans="1:2" x14ac:dyDescent="0.3">
      <c r="A85" s="24" t="s">
        <v>2306</v>
      </c>
      <c r="B85" s="21">
        <v>2152.5</v>
      </c>
    </row>
    <row r="86" spans="1:2" x14ac:dyDescent="0.3">
      <c r="A86" s="24" t="s">
        <v>2304</v>
      </c>
      <c r="B86" s="21">
        <v>5252</v>
      </c>
    </row>
    <row r="87" spans="1:2" x14ac:dyDescent="0.3">
      <c r="A87" s="24" t="s">
        <v>2307</v>
      </c>
      <c r="B87" s="21">
        <v>3955.75</v>
      </c>
    </row>
    <row r="88" spans="1:2" x14ac:dyDescent="0.3">
      <c r="A88" s="24" t="s">
        <v>2301</v>
      </c>
      <c r="B88" s="21">
        <v>3401.75</v>
      </c>
    </row>
    <row r="89" spans="1:2" x14ac:dyDescent="0.3">
      <c r="A89" s="24" t="s">
        <v>2300</v>
      </c>
      <c r="B89" s="21">
        <v>3398.75</v>
      </c>
    </row>
    <row r="90" spans="1:2" x14ac:dyDescent="0.3">
      <c r="A90" s="24" t="s">
        <v>2310</v>
      </c>
      <c r="B90" s="21">
        <v>4253.75</v>
      </c>
    </row>
    <row r="91" spans="1:2" x14ac:dyDescent="0.3">
      <c r="A91" s="24" t="s">
        <v>2311</v>
      </c>
      <c r="B91" s="21">
        <v>2351.75</v>
      </c>
    </row>
    <row r="92" spans="1:2" x14ac:dyDescent="0.3">
      <c r="A92" s="24" t="s">
        <v>2309</v>
      </c>
      <c r="B92" s="21">
        <v>3989.25</v>
      </c>
    </row>
    <row r="93" spans="1:2" x14ac:dyDescent="0.3">
      <c r="A93" s="23" t="s">
        <v>2278</v>
      </c>
      <c r="B93" s="21">
        <v>44104.75</v>
      </c>
    </row>
    <row r="94" spans="1:2" x14ac:dyDescent="0.3">
      <c r="A94" s="24" t="s">
        <v>2302</v>
      </c>
      <c r="B94" s="21">
        <v>4044.5</v>
      </c>
    </row>
    <row r="95" spans="1:2" x14ac:dyDescent="0.3">
      <c r="A95" s="24" t="s">
        <v>2303</v>
      </c>
      <c r="B95" s="21">
        <v>4702.5</v>
      </c>
    </row>
    <row r="96" spans="1:2" x14ac:dyDescent="0.3">
      <c r="A96" s="24" t="s">
        <v>2305</v>
      </c>
      <c r="B96" s="21">
        <v>5201.5</v>
      </c>
    </row>
    <row r="97" spans="1:2" x14ac:dyDescent="0.3">
      <c r="A97" s="24" t="s">
        <v>2308</v>
      </c>
      <c r="B97" s="21">
        <v>3233.5</v>
      </c>
    </row>
    <row r="98" spans="1:2" x14ac:dyDescent="0.3">
      <c r="A98" s="24" t="s">
        <v>2306</v>
      </c>
      <c r="B98" s="21">
        <v>3628.5</v>
      </c>
    </row>
    <row r="99" spans="1:2" x14ac:dyDescent="0.3">
      <c r="A99" s="24" t="s">
        <v>2304</v>
      </c>
      <c r="B99" s="21">
        <v>4372</v>
      </c>
    </row>
    <row r="100" spans="1:2" x14ac:dyDescent="0.3">
      <c r="A100" s="24" t="s">
        <v>2307</v>
      </c>
      <c r="B100" s="21">
        <v>2076</v>
      </c>
    </row>
    <row r="101" spans="1:2" x14ac:dyDescent="0.3">
      <c r="A101" s="24" t="s">
        <v>2301</v>
      </c>
      <c r="B101" s="21">
        <v>3475.75</v>
      </c>
    </row>
    <row r="102" spans="1:2" x14ac:dyDescent="0.3">
      <c r="A102" s="24" t="s">
        <v>2300</v>
      </c>
      <c r="B102" s="21">
        <v>3140.5</v>
      </c>
    </row>
    <row r="103" spans="1:2" x14ac:dyDescent="0.3">
      <c r="A103" s="24" t="s">
        <v>2310</v>
      </c>
      <c r="B103" s="21">
        <v>3449.75</v>
      </c>
    </row>
    <row r="104" spans="1:2" x14ac:dyDescent="0.3">
      <c r="A104" s="24" t="s">
        <v>2311</v>
      </c>
      <c r="B104" s="21">
        <v>2992.75</v>
      </c>
    </row>
    <row r="105" spans="1:2" x14ac:dyDescent="0.3">
      <c r="A105" s="24" t="s">
        <v>2309</v>
      </c>
      <c r="B105" s="21">
        <v>3787.5</v>
      </c>
    </row>
    <row r="106" spans="1:2" x14ac:dyDescent="0.3">
      <c r="A106" s="23" t="s">
        <v>2275</v>
      </c>
      <c r="B106" s="21">
        <v>41601.5</v>
      </c>
    </row>
    <row r="107" spans="1:2" x14ac:dyDescent="0.3">
      <c r="A107" s="24" t="s">
        <v>2302</v>
      </c>
      <c r="B107" s="21">
        <v>3511.5</v>
      </c>
    </row>
    <row r="108" spans="1:2" x14ac:dyDescent="0.3">
      <c r="A108" s="24" t="s">
        <v>2303</v>
      </c>
      <c r="B108" s="21">
        <v>3269</v>
      </c>
    </row>
    <row r="109" spans="1:2" x14ac:dyDescent="0.3">
      <c r="A109" s="24" t="s">
        <v>2305</v>
      </c>
      <c r="B109" s="21">
        <v>3913.25</v>
      </c>
    </row>
    <row r="110" spans="1:2" x14ac:dyDescent="0.3">
      <c r="A110" s="24" t="s">
        <v>2308</v>
      </c>
      <c r="B110" s="21">
        <v>3362.25</v>
      </c>
    </row>
    <row r="111" spans="1:2" x14ac:dyDescent="0.3">
      <c r="A111" s="24" t="s">
        <v>2306</v>
      </c>
      <c r="B111" s="21">
        <v>3979.5</v>
      </c>
    </row>
    <row r="112" spans="1:2" x14ac:dyDescent="0.3">
      <c r="A112" s="24" t="s">
        <v>2304</v>
      </c>
      <c r="B112" s="21">
        <v>5501.5</v>
      </c>
    </row>
    <row r="113" spans="1:2" x14ac:dyDescent="0.3">
      <c r="A113" s="24" t="s">
        <v>2307</v>
      </c>
      <c r="B113" s="21">
        <v>3414</v>
      </c>
    </row>
    <row r="114" spans="1:2" x14ac:dyDescent="0.3">
      <c r="A114" s="24" t="s">
        <v>2301</v>
      </c>
      <c r="B114" s="21">
        <v>3546.5</v>
      </c>
    </row>
    <row r="115" spans="1:2" x14ac:dyDescent="0.3">
      <c r="A115" s="24" t="s">
        <v>2300</v>
      </c>
      <c r="B115" s="21">
        <v>2834</v>
      </c>
    </row>
    <row r="116" spans="1:2" x14ac:dyDescent="0.3">
      <c r="A116" s="24" t="s">
        <v>2310</v>
      </c>
      <c r="B116" s="21">
        <v>2387</v>
      </c>
    </row>
    <row r="117" spans="1:2" x14ac:dyDescent="0.3">
      <c r="A117" s="24" t="s">
        <v>2311</v>
      </c>
      <c r="B117" s="21">
        <v>2697</v>
      </c>
    </row>
    <row r="118" spans="1:2" x14ac:dyDescent="0.3">
      <c r="A118" s="24" t="s">
        <v>2309</v>
      </c>
      <c r="B118" s="21">
        <v>3186</v>
      </c>
    </row>
    <row r="119" spans="1:2" x14ac:dyDescent="0.3">
      <c r="A119" s="23" t="s">
        <v>2274</v>
      </c>
      <c r="B119" s="21">
        <v>41910.25</v>
      </c>
    </row>
    <row r="120" spans="1:2" x14ac:dyDescent="0.3">
      <c r="A120" s="24" t="s">
        <v>2302</v>
      </c>
      <c r="B120" s="21">
        <v>2239.5</v>
      </c>
    </row>
    <row r="121" spans="1:2" x14ac:dyDescent="0.3">
      <c r="A121" s="24" t="s">
        <v>2303</v>
      </c>
      <c r="B121" s="21">
        <v>3447.75</v>
      </c>
    </row>
    <row r="122" spans="1:2" x14ac:dyDescent="0.3">
      <c r="A122" s="24" t="s">
        <v>2305</v>
      </c>
      <c r="B122" s="21">
        <v>4909.5</v>
      </c>
    </row>
    <row r="123" spans="1:2" x14ac:dyDescent="0.3">
      <c r="A123" s="24" t="s">
        <v>2308</v>
      </c>
      <c r="B123" s="21">
        <v>3353</v>
      </c>
    </row>
    <row r="124" spans="1:2" x14ac:dyDescent="0.3">
      <c r="A124" s="24" t="s">
        <v>2306</v>
      </c>
      <c r="B124" s="21">
        <v>4649</v>
      </c>
    </row>
    <row r="125" spans="1:2" x14ac:dyDescent="0.3">
      <c r="A125" s="24" t="s">
        <v>2304</v>
      </c>
      <c r="B125" s="21">
        <v>6354.5</v>
      </c>
    </row>
    <row r="126" spans="1:2" x14ac:dyDescent="0.3">
      <c r="A126" s="24" t="s">
        <v>2307</v>
      </c>
      <c r="B126" s="21">
        <v>1765.75</v>
      </c>
    </row>
    <row r="127" spans="1:2" x14ac:dyDescent="0.3">
      <c r="A127" s="24" t="s">
        <v>2301</v>
      </c>
      <c r="B127" s="21">
        <v>3856.75</v>
      </c>
    </row>
    <row r="128" spans="1:2" x14ac:dyDescent="0.3">
      <c r="A128" s="24" t="s">
        <v>2300</v>
      </c>
      <c r="B128" s="21">
        <v>3723.5</v>
      </c>
    </row>
    <row r="129" spans="1:2" x14ac:dyDescent="0.3">
      <c r="A129" s="24" t="s">
        <v>2310</v>
      </c>
      <c r="B129" s="21">
        <v>1655.5</v>
      </c>
    </row>
    <row r="130" spans="1:2" x14ac:dyDescent="0.3">
      <c r="A130" s="24" t="s">
        <v>2311</v>
      </c>
      <c r="B130" s="21">
        <v>2947.75</v>
      </c>
    </row>
    <row r="131" spans="1:2" x14ac:dyDescent="0.3">
      <c r="A131" s="24" t="s">
        <v>2309</v>
      </c>
      <c r="B131" s="21">
        <v>3007.75</v>
      </c>
    </row>
    <row r="132" spans="1:2" x14ac:dyDescent="0.3">
      <c r="A132" s="23" t="s">
        <v>2279</v>
      </c>
      <c r="B132" s="21">
        <v>48872</v>
      </c>
    </row>
    <row r="133" spans="1:2" x14ac:dyDescent="0.3">
      <c r="A133" s="24" t="s">
        <v>2302</v>
      </c>
      <c r="B133" s="21">
        <v>3677.75</v>
      </c>
    </row>
    <row r="134" spans="1:2" x14ac:dyDescent="0.3">
      <c r="A134" s="24" t="s">
        <v>2303</v>
      </c>
      <c r="B134" s="21">
        <v>4643.5</v>
      </c>
    </row>
    <row r="135" spans="1:2" x14ac:dyDescent="0.3">
      <c r="A135" s="24" t="s">
        <v>2305</v>
      </c>
      <c r="B135" s="21">
        <v>3764.75</v>
      </c>
    </row>
    <row r="136" spans="1:2" x14ac:dyDescent="0.3">
      <c r="A136" s="24" t="s">
        <v>2308</v>
      </c>
      <c r="B136" s="21">
        <v>5170</v>
      </c>
    </row>
    <row r="137" spans="1:2" x14ac:dyDescent="0.3">
      <c r="A137" s="24" t="s">
        <v>2306</v>
      </c>
      <c r="B137" s="21">
        <v>2702.75</v>
      </c>
    </row>
    <row r="138" spans="1:2" x14ac:dyDescent="0.3">
      <c r="A138" s="24" t="s">
        <v>2304</v>
      </c>
      <c r="B138" s="21">
        <v>6563.5</v>
      </c>
    </row>
    <row r="139" spans="1:2" x14ac:dyDescent="0.3">
      <c r="A139" s="24" t="s">
        <v>2307</v>
      </c>
      <c r="B139" s="21">
        <v>3683</v>
      </c>
    </row>
    <row r="140" spans="1:2" x14ac:dyDescent="0.3">
      <c r="A140" s="24" t="s">
        <v>2301</v>
      </c>
      <c r="B140" s="21">
        <v>4289.5</v>
      </c>
    </row>
    <row r="141" spans="1:2" x14ac:dyDescent="0.3">
      <c r="A141" s="24" t="s">
        <v>2300</v>
      </c>
      <c r="B141" s="21">
        <v>3092</v>
      </c>
    </row>
    <row r="142" spans="1:2" x14ac:dyDescent="0.3">
      <c r="A142" s="24" t="s">
        <v>2310</v>
      </c>
      <c r="B142" s="21">
        <v>3784</v>
      </c>
    </row>
    <row r="143" spans="1:2" x14ac:dyDescent="0.3">
      <c r="A143" s="24" t="s">
        <v>2311</v>
      </c>
      <c r="B143" s="21">
        <v>3578.25</v>
      </c>
    </row>
    <row r="144" spans="1:2" x14ac:dyDescent="0.3">
      <c r="A144" s="24" t="s">
        <v>2309</v>
      </c>
      <c r="B144" s="21">
        <v>3923</v>
      </c>
    </row>
    <row r="145" spans="1:2" x14ac:dyDescent="0.3">
      <c r="A145" s="23" t="s">
        <v>2408</v>
      </c>
      <c r="B145" s="21">
        <v>311092.5</v>
      </c>
    </row>
  </sheetData>
  <mergeCells count="14">
    <mergeCell ref="AB61:AD75"/>
    <mergeCell ref="A43:E43"/>
    <mergeCell ref="H43:L43"/>
    <mergeCell ref="N43:R43"/>
    <mergeCell ref="V43:Z43"/>
    <mergeCell ref="A26:E26"/>
    <mergeCell ref="H26:L26"/>
    <mergeCell ref="N26:R26"/>
    <mergeCell ref="V26:Z26"/>
    <mergeCell ref="A1:Z1"/>
    <mergeCell ref="A3:E3"/>
    <mergeCell ref="H3:L3"/>
    <mergeCell ref="N3:R3"/>
    <mergeCell ref="V3:Z3"/>
  </mergeCells>
  <conditionalFormatting pivot="1" sqref="B6:B17">
    <cfRule type="dataBar" priority="1">
      <dataBar>
        <cfvo type="min"/>
        <cfvo type="max"/>
        <color rgb="FF638EC6"/>
      </dataBar>
      <extLst>
        <ext xmlns:x14="http://schemas.microsoft.com/office/spreadsheetml/2009/9/main" uri="{B025F937-C7B1-47D3-B67F-A62EFF666E3E}">
          <x14:id>{68030199-4587-4C10-AF64-A5D9B3E6B23A}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8030199-4587-4C10-AF64-A5D9B3E6B23A}">
            <x14:dataBar minLength="0" maxLength="100" negativeBarColorSameAsPositive="1" axisPosition="none">
              <x14:cfvo type="min"/>
              <x14:cfvo type="max"/>
            </x14:dataBar>
          </x14:cfRule>
          <xm:sqref>B6:B17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DD119-36EF-4E47-A7A4-737F1BDAF415}">
  <dimension ref="A1:W95"/>
  <sheetViews>
    <sheetView tabSelected="1" topLeftCell="A3" zoomScale="60" zoomScaleNormal="54" workbookViewId="0">
      <selection activeCell="A11" sqref="A11:W49"/>
    </sheetView>
  </sheetViews>
  <sheetFormatPr defaultRowHeight="14.4" x14ac:dyDescent="0.3"/>
  <cols>
    <col min="1" max="23" width="10.77734375" customWidth="1"/>
    <col min="24" max="24" width="32" customWidth="1"/>
    <col min="25" max="25" width="28.109375" customWidth="1"/>
    <col min="26" max="26" width="40.21875" customWidth="1"/>
    <col min="27" max="27" width="36.33203125" customWidth="1"/>
    <col min="28" max="28" width="20.88671875" customWidth="1"/>
    <col min="29" max="29" width="32" customWidth="1"/>
    <col min="30" max="30" width="28.109375" customWidth="1"/>
    <col min="31" max="31" width="20.88671875" customWidth="1"/>
    <col min="32" max="32" width="32" customWidth="1"/>
    <col min="33" max="33" width="28.109375" customWidth="1"/>
    <col min="34" max="34" width="20.88671875" customWidth="1"/>
    <col min="35" max="35" width="32" customWidth="1"/>
    <col min="36" max="36" width="28.109375" customWidth="1"/>
    <col min="37" max="37" width="20.88671875" customWidth="1"/>
    <col min="38" max="38" width="40.21875" customWidth="1"/>
    <col min="39" max="39" width="36.33203125" customWidth="1"/>
    <col min="40" max="40" width="29.109375" customWidth="1"/>
    <col min="41" max="41" width="12.109375" customWidth="1"/>
    <col min="42" max="42" width="20.6640625" customWidth="1"/>
    <col min="43" max="43" width="17.33203125" customWidth="1"/>
    <col min="44" max="44" width="13.5546875" customWidth="1"/>
    <col min="45" max="45" width="12.109375" customWidth="1"/>
    <col min="46" max="46" width="20.6640625" customWidth="1"/>
    <col min="47" max="47" width="17.33203125" customWidth="1"/>
    <col min="48" max="48" width="13.5546875" customWidth="1"/>
    <col min="49" max="49" width="12.109375" customWidth="1"/>
    <col min="50" max="50" width="25.77734375" customWidth="1"/>
    <col min="51" max="51" width="22.44140625" customWidth="1"/>
    <col min="52" max="52" width="18.6640625" customWidth="1"/>
    <col min="53" max="53" width="17.109375" customWidth="1"/>
  </cols>
  <sheetData>
    <row r="1" spans="1:23" ht="31.2" x14ac:dyDescent="0.6">
      <c r="A1" s="35"/>
      <c r="B1" s="40" t="s">
        <v>2409</v>
      </c>
      <c r="C1" s="40"/>
      <c r="D1" s="40"/>
      <c r="E1" s="40"/>
      <c r="F1" s="40"/>
      <c r="G1" s="40"/>
      <c r="H1" s="40"/>
      <c r="I1" s="40"/>
      <c r="J1" s="40"/>
      <c r="K1" s="40"/>
      <c r="L1" s="40"/>
      <c r="M1" s="40"/>
      <c r="N1" s="40"/>
      <c r="O1" s="40"/>
      <c r="P1" s="40"/>
      <c r="Q1" s="40"/>
      <c r="R1" s="40"/>
      <c r="S1" s="40"/>
      <c r="T1" s="40"/>
      <c r="U1" s="40"/>
      <c r="V1" s="40"/>
      <c r="W1" s="38"/>
    </row>
    <row r="2" spans="1:23" ht="31.2" x14ac:dyDescent="0.6">
      <c r="A2" s="35"/>
      <c r="B2" s="39" t="s">
        <v>2410</v>
      </c>
      <c r="C2" s="39"/>
      <c r="D2" s="39"/>
      <c r="E2" s="39"/>
      <c r="F2" s="39"/>
      <c r="G2" s="39"/>
      <c r="H2" s="39"/>
      <c r="I2" s="39"/>
      <c r="J2" s="39"/>
      <c r="K2" s="39"/>
      <c r="L2" s="39"/>
      <c r="M2" s="39"/>
      <c r="N2" s="39"/>
      <c r="O2" s="39"/>
      <c r="P2" s="39"/>
      <c r="Q2" s="39"/>
      <c r="R2" s="39"/>
      <c r="S2" s="39"/>
      <c r="T2" s="39"/>
      <c r="U2" s="39"/>
      <c r="V2" s="39"/>
      <c r="W2" s="38"/>
    </row>
    <row r="3" spans="1:23" ht="31.2" x14ac:dyDescent="0.6">
      <c r="A3" s="35"/>
      <c r="B3" s="37"/>
      <c r="C3" s="37"/>
      <c r="D3" s="37"/>
      <c r="E3" s="37"/>
      <c r="F3" s="37"/>
      <c r="G3" s="37"/>
      <c r="H3" s="37"/>
      <c r="I3" s="37"/>
      <c r="J3" s="37"/>
      <c r="K3" s="37"/>
      <c r="L3" s="37"/>
      <c r="M3" s="37"/>
      <c r="N3" s="37"/>
      <c r="O3" s="37"/>
      <c r="P3" s="37"/>
      <c r="Q3" s="37"/>
      <c r="R3" s="37"/>
      <c r="S3" s="37"/>
      <c r="T3" s="37"/>
      <c r="U3" s="37"/>
      <c r="V3" s="37"/>
      <c r="W3" s="38"/>
    </row>
    <row r="4" spans="1:23" ht="14.4" customHeight="1" x14ac:dyDescent="0.6">
      <c r="A4" s="35"/>
      <c r="B4" s="31" t="s">
        <v>2402</v>
      </c>
      <c r="C4" s="31"/>
      <c r="D4" s="31"/>
      <c r="E4" s="34"/>
      <c r="F4" s="31" t="s">
        <v>2403</v>
      </c>
      <c r="G4" s="31"/>
      <c r="H4" s="31"/>
      <c r="I4" s="34"/>
      <c r="J4" s="34"/>
      <c r="K4" s="31" t="s">
        <v>2405</v>
      </c>
      <c r="L4" s="31"/>
      <c r="M4" s="31"/>
      <c r="N4" s="34"/>
      <c r="O4" s="34"/>
      <c r="P4" s="31" t="s">
        <v>2404</v>
      </c>
      <c r="Q4" s="31"/>
      <c r="R4" s="31"/>
      <c r="S4" s="34"/>
      <c r="T4" s="31" t="s">
        <v>2401</v>
      </c>
      <c r="U4" s="31"/>
      <c r="V4" s="31"/>
      <c r="W4" s="38"/>
    </row>
    <row r="5" spans="1:23" ht="14.4" customHeight="1" x14ac:dyDescent="0.6">
      <c r="A5" s="35"/>
      <c r="B5" s="31"/>
      <c r="C5" s="31"/>
      <c r="D5" s="31"/>
      <c r="E5" s="34"/>
      <c r="F5" s="31"/>
      <c r="G5" s="31"/>
      <c r="H5" s="31"/>
      <c r="I5" s="34"/>
      <c r="J5" s="34"/>
      <c r="K5" s="31"/>
      <c r="L5" s="31"/>
      <c r="M5" s="31"/>
      <c r="N5" s="34"/>
      <c r="O5" s="34"/>
      <c r="P5" s="31"/>
      <c r="Q5" s="31"/>
      <c r="R5" s="31"/>
      <c r="S5" s="34"/>
      <c r="T5" s="31"/>
      <c r="U5" s="31"/>
      <c r="V5" s="31"/>
      <c r="W5" s="38"/>
    </row>
    <row r="6" spans="1:23" ht="14.4" customHeight="1" x14ac:dyDescent="0.6">
      <c r="A6" s="35"/>
      <c r="B6" s="31"/>
      <c r="C6" s="31"/>
      <c r="D6" s="31"/>
      <c r="E6" s="34"/>
      <c r="F6" s="31"/>
      <c r="G6" s="31"/>
      <c r="H6" s="31"/>
      <c r="I6" s="34"/>
      <c r="J6" s="34"/>
      <c r="K6" s="31"/>
      <c r="L6" s="31"/>
      <c r="M6" s="31"/>
      <c r="N6" s="34"/>
      <c r="O6" s="34"/>
      <c r="P6" s="31"/>
      <c r="Q6" s="31"/>
      <c r="R6" s="31"/>
      <c r="S6" s="34"/>
      <c r="T6" s="31"/>
      <c r="U6" s="31"/>
      <c r="V6" s="31"/>
      <c r="W6" s="38"/>
    </row>
    <row r="7" spans="1:23" ht="14.4" customHeight="1" x14ac:dyDescent="0.6">
      <c r="A7" s="35"/>
      <c r="B7" s="31"/>
      <c r="C7" s="31"/>
      <c r="D7" s="31"/>
      <c r="E7" s="34"/>
      <c r="F7" s="31"/>
      <c r="G7" s="31"/>
      <c r="H7" s="31"/>
      <c r="I7" s="34"/>
      <c r="J7" s="34"/>
      <c r="K7" s="31"/>
      <c r="L7" s="31"/>
      <c r="M7" s="31"/>
      <c r="N7" s="34"/>
      <c r="O7" s="34"/>
      <c r="P7" s="31"/>
      <c r="Q7" s="31"/>
      <c r="R7" s="31"/>
      <c r="S7" s="34"/>
      <c r="T7" s="31"/>
      <c r="U7" s="31"/>
      <c r="V7" s="31"/>
      <c r="W7" s="38"/>
    </row>
    <row r="8" spans="1:23" ht="14.4" customHeight="1" x14ac:dyDescent="0.6">
      <c r="A8" s="35"/>
      <c r="B8" s="32">
        <f>SUM('Cleaned Data'!N:N)</f>
        <v>328085</v>
      </c>
      <c r="C8" s="32"/>
      <c r="D8" s="32"/>
      <c r="E8" s="34"/>
      <c r="F8" s="32">
        <f>SUM('Cleaned Data'!V:V)</f>
        <v>394462</v>
      </c>
      <c r="G8" s="32"/>
      <c r="H8" s="32"/>
      <c r="I8" s="34"/>
      <c r="J8" s="34"/>
      <c r="K8" s="32">
        <f>SUM('Cleaned Data'!AE:AE)</f>
        <v>153074.68999999994</v>
      </c>
      <c r="L8" s="32"/>
      <c r="M8" s="32"/>
      <c r="N8" s="34"/>
      <c r="O8" s="34"/>
      <c r="P8" s="32">
        <f>SUM('Cleaned Data'!AF:AF)</f>
        <v>158017.81000000003</v>
      </c>
      <c r="Q8" s="32"/>
      <c r="R8" s="32"/>
      <c r="S8" s="34"/>
      <c r="T8" s="32">
        <f>SUM('Cleaned Data'!O:O)</f>
        <v>311092.5</v>
      </c>
      <c r="U8" s="32"/>
      <c r="V8" s="32"/>
      <c r="W8" s="38"/>
    </row>
    <row r="9" spans="1:23" ht="14.4" customHeight="1" x14ac:dyDescent="0.6">
      <c r="A9" s="35"/>
      <c r="B9" s="32"/>
      <c r="C9" s="32"/>
      <c r="D9" s="32"/>
      <c r="E9" s="34"/>
      <c r="F9" s="32"/>
      <c r="G9" s="32"/>
      <c r="H9" s="32"/>
      <c r="I9" s="34"/>
      <c r="J9" s="34"/>
      <c r="K9" s="32"/>
      <c r="L9" s="32"/>
      <c r="M9" s="32"/>
      <c r="N9" s="34"/>
      <c r="O9" s="34"/>
      <c r="P9" s="32"/>
      <c r="Q9" s="32"/>
      <c r="R9" s="32"/>
      <c r="S9" s="34"/>
      <c r="T9" s="32"/>
      <c r="U9" s="32"/>
      <c r="V9" s="32"/>
      <c r="W9" s="38"/>
    </row>
    <row r="10" spans="1:23" x14ac:dyDescent="0.3">
      <c r="A10" s="36"/>
      <c r="B10" s="36"/>
      <c r="C10" s="36"/>
      <c r="D10" s="36"/>
      <c r="E10" s="36"/>
      <c r="F10" s="36"/>
      <c r="G10" s="36"/>
      <c r="H10" s="36"/>
      <c r="I10" s="36"/>
      <c r="J10" s="36"/>
      <c r="K10" s="36"/>
      <c r="L10" s="36"/>
      <c r="M10" s="36"/>
      <c r="N10" s="36"/>
      <c r="O10" s="36"/>
      <c r="P10" s="36"/>
      <c r="Q10" s="36"/>
      <c r="R10" s="36"/>
      <c r="S10" s="36"/>
      <c r="T10" s="36"/>
      <c r="U10" s="36"/>
      <c r="V10" s="36"/>
      <c r="W10" s="36"/>
    </row>
    <row r="11" spans="1:23" x14ac:dyDescent="0.3">
      <c r="A11" s="30"/>
      <c r="B11" s="30"/>
      <c r="C11" s="30"/>
      <c r="D11" s="30"/>
      <c r="E11" s="30"/>
      <c r="F11" s="30"/>
      <c r="G11" s="30"/>
      <c r="H11" s="30"/>
      <c r="I11" s="30"/>
      <c r="J11" s="30"/>
      <c r="K11" s="30"/>
      <c r="L11" s="30"/>
      <c r="M11" s="30"/>
      <c r="N11" s="30"/>
      <c r="O11" s="30"/>
      <c r="P11" s="30"/>
      <c r="Q11" s="30"/>
      <c r="R11" s="30"/>
      <c r="S11" s="30"/>
      <c r="T11" s="30"/>
      <c r="U11" s="30"/>
      <c r="V11" s="30"/>
      <c r="W11" s="30"/>
    </row>
    <row r="12" spans="1:23" x14ac:dyDescent="0.3">
      <c r="A12" s="30"/>
      <c r="B12" s="30"/>
      <c r="C12" s="30"/>
      <c r="D12" s="30"/>
      <c r="E12" s="30"/>
      <c r="F12" s="30"/>
      <c r="G12" s="30"/>
      <c r="H12" s="30"/>
      <c r="I12" s="30"/>
      <c r="J12" s="30"/>
      <c r="K12" s="30"/>
      <c r="L12" s="30"/>
      <c r="M12" s="30"/>
      <c r="N12" s="30"/>
      <c r="O12" s="30"/>
      <c r="P12" s="30"/>
      <c r="Q12" s="30"/>
      <c r="R12" s="30"/>
      <c r="S12" s="30"/>
      <c r="T12" s="30"/>
      <c r="U12" s="30"/>
      <c r="V12" s="30"/>
      <c r="W12" s="30"/>
    </row>
    <row r="13" spans="1:23" x14ac:dyDescent="0.3">
      <c r="A13" s="30"/>
      <c r="B13" s="30"/>
      <c r="C13" s="30"/>
      <c r="D13" s="30"/>
      <c r="E13" s="30"/>
      <c r="F13" s="30"/>
      <c r="G13" s="30"/>
      <c r="H13" s="30"/>
      <c r="I13" s="30"/>
      <c r="J13" s="30"/>
      <c r="K13" s="30"/>
      <c r="L13" s="30"/>
      <c r="M13" s="30"/>
      <c r="N13" s="30"/>
      <c r="O13" s="30"/>
      <c r="P13" s="30"/>
      <c r="Q13" s="30"/>
      <c r="R13" s="30"/>
      <c r="S13" s="30"/>
      <c r="T13" s="30"/>
      <c r="U13" s="30"/>
      <c r="V13" s="30"/>
      <c r="W13" s="30"/>
    </row>
    <row r="14" spans="1:23" x14ac:dyDescent="0.3">
      <c r="A14" s="30"/>
      <c r="B14" s="30"/>
      <c r="C14" s="30"/>
      <c r="D14" s="30"/>
      <c r="E14" s="30"/>
      <c r="F14" s="30"/>
      <c r="G14" s="30"/>
      <c r="H14" s="30"/>
      <c r="I14" s="30"/>
      <c r="J14" s="30"/>
      <c r="K14" s="30"/>
      <c r="L14" s="30"/>
      <c r="M14" s="30"/>
      <c r="N14" s="30"/>
      <c r="O14" s="30"/>
      <c r="P14" s="30"/>
      <c r="Q14" s="30"/>
      <c r="R14" s="30"/>
      <c r="S14" s="30"/>
      <c r="T14" s="30"/>
      <c r="U14" s="30"/>
      <c r="V14" s="30"/>
      <c r="W14" s="30"/>
    </row>
    <row r="15" spans="1:23" x14ac:dyDescent="0.3">
      <c r="A15" s="30"/>
      <c r="B15" s="30"/>
      <c r="C15" s="30"/>
      <c r="D15" s="30"/>
      <c r="E15" s="30"/>
      <c r="F15" s="30"/>
      <c r="G15" s="30"/>
      <c r="H15" s="30"/>
      <c r="I15" s="30"/>
      <c r="J15" s="30"/>
      <c r="K15" s="30"/>
      <c r="L15" s="30"/>
      <c r="M15" s="30"/>
      <c r="N15" s="30"/>
      <c r="O15" s="30"/>
      <c r="P15" s="30"/>
      <c r="Q15" s="30"/>
      <c r="R15" s="30"/>
      <c r="S15" s="30"/>
      <c r="T15" s="30"/>
      <c r="U15" s="30"/>
      <c r="V15" s="30"/>
      <c r="W15" s="30"/>
    </row>
    <row r="16" spans="1:23" x14ac:dyDescent="0.3">
      <c r="A16" s="30"/>
      <c r="B16" s="30"/>
      <c r="C16" s="30"/>
      <c r="D16" s="30"/>
      <c r="E16" s="30"/>
      <c r="F16" s="30"/>
      <c r="G16" s="30"/>
      <c r="H16" s="30"/>
      <c r="I16" s="30"/>
      <c r="J16" s="30"/>
      <c r="K16" s="30"/>
      <c r="L16" s="30"/>
      <c r="M16" s="30"/>
      <c r="N16" s="30"/>
      <c r="O16" s="30"/>
      <c r="P16" s="30"/>
      <c r="Q16" s="30"/>
      <c r="R16" s="30"/>
      <c r="S16" s="30"/>
      <c r="T16" s="30"/>
      <c r="U16" s="30"/>
      <c r="V16" s="30"/>
      <c r="W16" s="30"/>
    </row>
    <row r="17" spans="1:23" x14ac:dyDescent="0.3">
      <c r="A17" s="30"/>
      <c r="B17" s="30"/>
      <c r="C17" s="30"/>
      <c r="D17" s="30"/>
      <c r="E17" s="30"/>
      <c r="F17" s="30"/>
      <c r="G17" s="30"/>
      <c r="H17" s="30"/>
      <c r="I17" s="30"/>
      <c r="J17" s="30"/>
      <c r="K17" s="30"/>
      <c r="L17" s="30"/>
      <c r="M17" s="30"/>
      <c r="N17" s="30"/>
      <c r="O17" s="30"/>
      <c r="P17" s="30"/>
      <c r="Q17" s="30"/>
      <c r="R17" s="30"/>
      <c r="S17" s="30"/>
      <c r="T17" s="30"/>
      <c r="U17" s="30"/>
      <c r="V17" s="30"/>
      <c r="W17" s="30"/>
    </row>
    <row r="18" spans="1:23" x14ac:dyDescent="0.3">
      <c r="A18" s="30"/>
      <c r="B18" s="30"/>
      <c r="C18" s="30"/>
      <c r="D18" s="30"/>
      <c r="E18" s="30"/>
      <c r="F18" s="30"/>
      <c r="G18" s="30"/>
      <c r="H18" s="30"/>
      <c r="I18" s="30"/>
      <c r="J18" s="30"/>
      <c r="K18" s="30"/>
      <c r="L18" s="30"/>
      <c r="M18" s="30"/>
      <c r="N18" s="30"/>
      <c r="O18" s="30"/>
      <c r="P18" s="30"/>
      <c r="Q18" s="30"/>
      <c r="R18" s="30"/>
      <c r="S18" s="30"/>
      <c r="T18" s="30"/>
      <c r="U18" s="30"/>
      <c r="V18" s="30"/>
      <c r="W18" s="30"/>
    </row>
    <row r="19" spans="1:23" x14ac:dyDescent="0.3">
      <c r="A19" s="30"/>
      <c r="B19" s="30"/>
      <c r="C19" s="30"/>
      <c r="D19" s="30"/>
      <c r="E19" s="30"/>
      <c r="F19" s="30"/>
      <c r="G19" s="30"/>
      <c r="H19" s="30"/>
      <c r="I19" s="30"/>
      <c r="J19" s="30"/>
      <c r="K19" s="30"/>
      <c r="L19" s="30"/>
      <c r="M19" s="30"/>
      <c r="N19" s="30"/>
      <c r="O19" s="30"/>
      <c r="P19" s="30"/>
      <c r="Q19" s="30"/>
      <c r="R19" s="30"/>
      <c r="S19" s="30"/>
      <c r="T19" s="30"/>
      <c r="U19" s="30"/>
      <c r="V19" s="30"/>
      <c r="W19" s="30"/>
    </row>
    <row r="20" spans="1:23" x14ac:dyDescent="0.3">
      <c r="A20" s="30"/>
      <c r="B20" s="30"/>
      <c r="C20" s="30"/>
      <c r="D20" s="30"/>
      <c r="E20" s="30"/>
      <c r="F20" s="30"/>
      <c r="G20" s="30"/>
      <c r="H20" s="30"/>
      <c r="I20" s="30"/>
      <c r="J20" s="30"/>
      <c r="K20" s="30"/>
      <c r="L20" s="30"/>
      <c r="M20" s="30"/>
      <c r="N20" s="30"/>
      <c r="O20" s="30"/>
      <c r="P20" s="30"/>
      <c r="Q20" s="30"/>
      <c r="R20" s="30"/>
      <c r="S20" s="30"/>
      <c r="T20" s="30"/>
      <c r="U20" s="30"/>
      <c r="V20" s="30"/>
      <c r="W20" s="30"/>
    </row>
    <row r="21" spans="1:23" x14ac:dyDescent="0.3">
      <c r="A21" s="30"/>
      <c r="B21" s="30"/>
      <c r="C21" s="30"/>
      <c r="D21" s="30"/>
      <c r="E21" s="30"/>
      <c r="F21" s="30"/>
      <c r="G21" s="30"/>
      <c r="H21" s="30"/>
      <c r="I21" s="30"/>
      <c r="J21" s="30"/>
      <c r="K21" s="30"/>
      <c r="L21" s="30"/>
      <c r="M21" s="30"/>
      <c r="N21" s="30"/>
      <c r="O21" s="30"/>
      <c r="P21" s="30"/>
      <c r="Q21" s="30"/>
      <c r="R21" s="30"/>
      <c r="S21" s="30"/>
      <c r="T21" s="30"/>
      <c r="U21" s="30"/>
      <c r="V21" s="30"/>
      <c r="W21" s="30"/>
    </row>
    <row r="22" spans="1:23" x14ac:dyDescent="0.3">
      <c r="A22" s="30"/>
      <c r="B22" s="30"/>
      <c r="C22" s="30"/>
      <c r="D22" s="30"/>
      <c r="E22" s="30"/>
      <c r="F22" s="30"/>
      <c r="G22" s="30"/>
      <c r="H22" s="30"/>
      <c r="I22" s="30"/>
      <c r="J22" s="30"/>
      <c r="K22" s="30"/>
      <c r="L22" s="30"/>
      <c r="M22" s="30"/>
      <c r="N22" s="30"/>
      <c r="O22" s="30"/>
      <c r="P22" s="30"/>
      <c r="Q22" s="30"/>
      <c r="R22" s="30"/>
      <c r="S22" s="30"/>
      <c r="T22" s="30"/>
      <c r="U22" s="30"/>
      <c r="V22" s="30"/>
      <c r="W22" s="30"/>
    </row>
    <row r="23" spans="1:23" x14ac:dyDescent="0.3">
      <c r="A23" s="30"/>
      <c r="B23" s="30"/>
      <c r="C23" s="30"/>
      <c r="D23" s="30"/>
      <c r="E23" s="30"/>
      <c r="F23" s="30"/>
      <c r="G23" s="30"/>
      <c r="H23" s="30"/>
      <c r="I23" s="30"/>
      <c r="J23" s="30"/>
      <c r="K23" s="30"/>
      <c r="L23" s="30"/>
      <c r="M23" s="30"/>
      <c r="N23" s="30"/>
      <c r="O23" s="30"/>
      <c r="P23" s="30"/>
      <c r="Q23" s="30"/>
      <c r="R23" s="30"/>
      <c r="S23" s="30"/>
      <c r="T23" s="30"/>
      <c r="U23" s="30"/>
      <c r="V23" s="30"/>
      <c r="W23" s="30"/>
    </row>
    <row r="24" spans="1:23" x14ac:dyDescent="0.3">
      <c r="A24" s="30"/>
      <c r="B24" s="30"/>
      <c r="C24" s="30"/>
      <c r="D24" s="30"/>
      <c r="E24" s="30"/>
      <c r="F24" s="30"/>
      <c r="G24" s="30"/>
      <c r="H24" s="30"/>
      <c r="I24" s="30"/>
      <c r="J24" s="30"/>
      <c r="K24" s="30"/>
      <c r="L24" s="30"/>
      <c r="M24" s="30"/>
      <c r="N24" s="30"/>
      <c r="O24" s="30"/>
      <c r="P24" s="30"/>
      <c r="Q24" s="30"/>
      <c r="R24" s="30"/>
      <c r="S24" s="30"/>
      <c r="T24" s="30"/>
      <c r="U24" s="30"/>
      <c r="V24" s="30"/>
      <c r="W24" s="30"/>
    </row>
    <row r="25" spans="1:23" x14ac:dyDescent="0.3">
      <c r="A25" s="30"/>
      <c r="B25" s="30"/>
      <c r="C25" s="30"/>
      <c r="D25" s="30"/>
      <c r="E25" s="30"/>
      <c r="F25" s="30"/>
      <c r="G25" s="30"/>
      <c r="H25" s="30"/>
      <c r="I25" s="30"/>
      <c r="J25" s="30"/>
      <c r="K25" s="30"/>
      <c r="L25" s="30"/>
      <c r="M25" s="30"/>
      <c r="N25" s="30"/>
      <c r="O25" s="30"/>
      <c r="P25" s="30"/>
      <c r="Q25" s="30"/>
      <c r="R25" s="30"/>
      <c r="S25" s="30"/>
      <c r="T25" s="30"/>
      <c r="U25" s="30"/>
      <c r="V25" s="30"/>
      <c r="W25" s="30"/>
    </row>
    <row r="26" spans="1:23" x14ac:dyDescent="0.3">
      <c r="A26" s="30"/>
      <c r="B26" s="30"/>
      <c r="C26" s="30"/>
      <c r="D26" s="30"/>
      <c r="E26" s="30"/>
      <c r="F26" s="30"/>
      <c r="G26" s="30"/>
      <c r="H26" s="30"/>
      <c r="I26" s="30"/>
      <c r="J26" s="30"/>
      <c r="K26" s="30"/>
      <c r="L26" s="30"/>
      <c r="M26" s="30"/>
      <c r="N26" s="30"/>
      <c r="O26" s="30"/>
      <c r="P26" s="30"/>
      <c r="Q26" s="30"/>
      <c r="R26" s="30"/>
      <c r="S26" s="30"/>
      <c r="T26" s="30"/>
      <c r="U26" s="30"/>
      <c r="V26" s="30"/>
      <c r="W26" s="30"/>
    </row>
    <row r="27" spans="1:23" x14ac:dyDescent="0.3">
      <c r="A27" s="30"/>
      <c r="B27" s="30"/>
      <c r="C27" s="30"/>
      <c r="D27" s="30"/>
      <c r="E27" s="30"/>
      <c r="F27" s="30"/>
      <c r="G27" s="30"/>
      <c r="H27" s="30"/>
      <c r="I27" s="30"/>
      <c r="J27" s="30"/>
      <c r="K27" s="30"/>
      <c r="L27" s="30"/>
      <c r="M27" s="30"/>
      <c r="N27" s="30"/>
      <c r="O27" s="30"/>
      <c r="P27" s="30"/>
      <c r="Q27" s="30"/>
      <c r="R27" s="30"/>
      <c r="S27" s="30"/>
      <c r="T27" s="30"/>
      <c r="U27" s="30"/>
      <c r="V27" s="30"/>
      <c r="W27" s="30"/>
    </row>
    <row r="28" spans="1:23" x14ac:dyDescent="0.3">
      <c r="A28" s="30"/>
      <c r="B28" s="30"/>
      <c r="C28" s="30"/>
      <c r="D28" s="30"/>
      <c r="E28" s="30"/>
      <c r="F28" s="30"/>
      <c r="G28" s="30"/>
      <c r="H28" s="30"/>
      <c r="I28" s="30"/>
      <c r="J28" s="30"/>
      <c r="K28" s="30"/>
      <c r="L28" s="30"/>
      <c r="M28" s="30"/>
      <c r="N28" s="30"/>
      <c r="O28" s="30"/>
      <c r="P28" s="30"/>
      <c r="Q28" s="30"/>
      <c r="R28" s="30"/>
      <c r="S28" s="30"/>
      <c r="T28" s="30"/>
      <c r="U28" s="30"/>
      <c r="V28" s="30"/>
      <c r="W28" s="30"/>
    </row>
    <row r="29" spans="1:23" x14ac:dyDescent="0.3">
      <c r="A29" s="30"/>
      <c r="B29" s="30"/>
      <c r="C29" s="30"/>
      <c r="D29" s="30"/>
      <c r="E29" s="30"/>
      <c r="F29" s="30"/>
      <c r="G29" s="30"/>
      <c r="H29" s="30"/>
      <c r="I29" s="30"/>
      <c r="J29" s="30"/>
      <c r="K29" s="30"/>
      <c r="L29" s="30"/>
      <c r="M29" s="30"/>
      <c r="N29" s="30"/>
      <c r="O29" s="30"/>
      <c r="P29" s="30"/>
      <c r="Q29" s="30"/>
      <c r="R29" s="30"/>
      <c r="S29" s="30"/>
      <c r="T29" s="30"/>
      <c r="U29" s="30"/>
      <c r="V29" s="30"/>
      <c r="W29" s="30"/>
    </row>
    <row r="30" spans="1:23" x14ac:dyDescent="0.3">
      <c r="A30" s="30"/>
      <c r="B30" s="30"/>
      <c r="C30" s="30"/>
      <c r="D30" s="30"/>
      <c r="E30" s="30"/>
      <c r="F30" s="30"/>
      <c r="G30" s="30"/>
      <c r="H30" s="30"/>
      <c r="I30" s="30"/>
      <c r="J30" s="30"/>
      <c r="K30" s="30"/>
      <c r="L30" s="30"/>
      <c r="M30" s="30"/>
      <c r="N30" s="30"/>
      <c r="O30" s="30"/>
      <c r="P30" s="30"/>
      <c r="Q30" s="30"/>
      <c r="R30" s="30"/>
      <c r="S30" s="30"/>
      <c r="T30" s="30"/>
      <c r="U30" s="30"/>
      <c r="V30" s="30"/>
      <c r="W30" s="30"/>
    </row>
    <row r="31" spans="1:23" x14ac:dyDescent="0.3">
      <c r="A31" s="30"/>
      <c r="B31" s="30"/>
      <c r="C31" s="30"/>
      <c r="D31" s="30"/>
      <c r="E31" s="30"/>
      <c r="F31" s="30"/>
      <c r="G31" s="30"/>
      <c r="H31" s="30"/>
      <c r="I31" s="30"/>
      <c r="J31" s="30"/>
      <c r="K31" s="30"/>
      <c r="L31" s="30"/>
      <c r="M31" s="30"/>
      <c r="N31" s="30"/>
      <c r="O31" s="30"/>
      <c r="P31" s="30"/>
      <c r="Q31" s="30"/>
      <c r="R31" s="30"/>
      <c r="S31" s="30"/>
      <c r="T31" s="30"/>
      <c r="U31" s="30"/>
      <c r="V31" s="30"/>
      <c r="W31" s="30"/>
    </row>
    <row r="32" spans="1:23" x14ac:dyDescent="0.3">
      <c r="A32" s="30"/>
      <c r="B32" s="30"/>
      <c r="C32" s="30"/>
      <c r="D32" s="30"/>
      <c r="E32" s="30"/>
      <c r="F32" s="30"/>
      <c r="G32" s="30"/>
      <c r="H32" s="30"/>
      <c r="I32" s="30"/>
      <c r="J32" s="30"/>
      <c r="K32" s="30"/>
      <c r="L32" s="30"/>
      <c r="M32" s="30"/>
      <c r="N32" s="30"/>
      <c r="O32" s="30"/>
      <c r="P32" s="30"/>
      <c r="Q32" s="30"/>
      <c r="R32" s="30"/>
      <c r="S32" s="30"/>
      <c r="T32" s="30"/>
      <c r="U32" s="30"/>
      <c r="V32" s="30"/>
      <c r="W32" s="30"/>
    </row>
    <row r="33" spans="1:23" x14ac:dyDescent="0.3">
      <c r="A33" s="30"/>
      <c r="B33" s="30"/>
      <c r="C33" s="30"/>
      <c r="D33" s="30"/>
      <c r="E33" s="30"/>
      <c r="F33" s="30"/>
      <c r="G33" s="30"/>
      <c r="H33" s="30"/>
      <c r="I33" s="30"/>
      <c r="J33" s="30"/>
      <c r="K33" s="30"/>
      <c r="L33" s="30"/>
      <c r="M33" s="30"/>
      <c r="N33" s="30"/>
      <c r="O33" s="30"/>
      <c r="P33" s="30"/>
      <c r="Q33" s="30"/>
      <c r="R33" s="30"/>
      <c r="S33" s="30"/>
      <c r="T33" s="30"/>
      <c r="U33" s="30"/>
      <c r="V33" s="30"/>
      <c r="W33" s="30"/>
    </row>
    <row r="34" spans="1:23" x14ac:dyDescent="0.3">
      <c r="A34" s="30"/>
      <c r="B34" s="30"/>
      <c r="C34" s="30"/>
      <c r="D34" s="30"/>
      <c r="E34" s="30"/>
      <c r="F34" s="30"/>
      <c r="G34" s="30"/>
      <c r="H34" s="30"/>
      <c r="I34" s="30"/>
      <c r="J34" s="30"/>
      <c r="K34" s="30"/>
      <c r="L34" s="30"/>
      <c r="M34" s="30"/>
      <c r="N34" s="30"/>
      <c r="O34" s="30"/>
      <c r="P34" s="30"/>
      <c r="Q34" s="30"/>
      <c r="R34" s="30"/>
      <c r="S34" s="30"/>
      <c r="T34" s="30"/>
      <c r="U34" s="30"/>
      <c r="V34" s="30"/>
      <c r="W34" s="30"/>
    </row>
    <row r="35" spans="1:23" x14ac:dyDescent="0.3">
      <c r="A35" s="30"/>
      <c r="B35" s="30"/>
      <c r="C35" s="30"/>
      <c r="D35" s="30"/>
      <c r="E35" s="30"/>
      <c r="F35" s="30"/>
      <c r="G35" s="30"/>
      <c r="H35" s="30"/>
      <c r="I35" s="30"/>
      <c r="J35" s="30"/>
      <c r="K35" s="30"/>
      <c r="L35" s="30"/>
      <c r="M35" s="30"/>
      <c r="N35" s="30"/>
      <c r="O35" s="30"/>
      <c r="P35" s="30"/>
      <c r="Q35" s="30"/>
      <c r="R35" s="30"/>
      <c r="S35" s="30"/>
      <c r="T35" s="30"/>
      <c r="U35" s="30"/>
      <c r="V35" s="30"/>
      <c r="W35" s="30"/>
    </row>
    <row r="36" spans="1:23" x14ac:dyDescent="0.3">
      <c r="A36" s="30"/>
      <c r="B36" s="30"/>
      <c r="C36" s="30"/>
      <c r="D36" s="30"/>
      <c r="E36" s="30"/>
      <c r="F36" s="30"/>
      <c r="G36" s="30"/>
      <c r="H36" s="30"/>
      <c r="I36" s="30"/>
      <c r="J36" s="30"/>
      <c r="K36" s="30"/>
      <c r="L36" s="30"/>
      <c r="M36" s="30"/>
      <c r="N36" s="30"/>
      <c r="O36" s="30"/>
      <c r="P36" s="30"/>
      <c r="Q36" s="30"/>
      <c r="R36" s="30"/>
      <c r="S36" s="30"/>
      <c r="T36" s="30"/>
      <c r="U36" s="30"/>
      <c r="V36" s="30"/>
      <c r="W36" s="30"/>
    </row>
    <row r="37" spans="1:23" x14ac:dyDescent="0.3">
      <c r="A37" s="30"/>
      <c r="B37" s="30"/>
      <c r="C37" s="30"/>
      <c r="D37" s="30"/>
      <c r="E37" s="30"/>
      <c r="F37" s="30"/>
      <c r="G37" s="30"/>
      <c r="H37" s="30"/>
      <c r="I37" s="30"/>
      <c r="J37" s="30"/>
      <c r="K37" s="30"/>
      <c r="L37" s="30"/>
      <c r="M37" s="30"/>
      <c r="N37" s="30"/>
      <c r="O37" s="30"/>
      <c r="P37" s="30"/>
      <c r="Q37" s="30"/>
      <c r="R37" s="30"/>
      <c r="S37" s="30"/>
      <c r="T37" s="30"/>
      <c r="U37" s="30"/>
      <c r="V37" s="30"/>
      <c r="W37" s="30"/>
    </row>
    <row r="38" spans="1:23" x14ac:dyDescent="0.3">
      <c r="A38" s="30"/>
      <c r="B38" s="30"/>
      <c r="C38" s="30"/>
      <c r="D38" s="30"/>
      <c r="E38" s="30"/>
      <c r="F38" s="30"/>
      <c r="G38" s="30"/>
      <c r="H38" s="30"/>
      <c r="I38" s="30"/>
      <c r="J38" s="30"/>
      <c r="K38" s="30"/>
      <c r="L38" s="30"/>
      <c r="M38" s="30"/>
      <c r="N38" s="30"/>
      <c r="O38" s="30"/>
      <c r="P38" s="30"/>
      <c r="Q38" s="30"/>
      <c r="R38" s="30"/>
      <c r="S38" s="30"/>
      <c r="T38" s="30"/>
      <c r="U38" s="30"/>
      <c r="V38" s="30"/>
      <c r="W38" s="30"/>
    </row>
    <row r="39" spans="1:23" x14ac:dyDescent="0.3">
      <c r="A39" s="30"/>
      <c r="B39" s="30"/>
      <c r="C39" s="30"/>
      <c r="D39" s="30"/>
      <c r="E39" s="30"/>
      <c r="F39" s="30"/>
      <c r="G39" s="30"/>
      <c r="H39" s="30"/>
      <c r="I39" s="30"/>
      <c r="J39" s="30"/>
      <c r="K39" s="30"/>
      <c r="L39" s="30"/>
      <c r="M39" s="30"/>
      <c r="N39" s="30"/>
      <c r="O39" s="30"/>
      <c r="P39" s="30"/>
      <c r="Q39" s="30"/>
      <c r="R39" s="30"/>
      <c r="S39" s="30"/>
      <c r="T39" s="30"/>
      <c r="U39" s="30"/>
      <c r="V39" s="30"/>
      <c r="W39" s="30"/>
    </row>
    <row r="40" spans="1:23" x14ac:dyDescent="0.3">
      <c r="A40" s="30"/>
      <c r="B40" s="30"/>
      <c r="C40" s="30"/>
      <c r="D40" s="30"/>
      <c r="E40" s="30"/>
      <c r="F40" s="30"/>
      <c r="G40" s="30"/>
      <c r="H40" s="30"/>
      <c r="I40" s="30"/>
      <c r="J40" s="30"/>
      <c r="K40" s="30"/>
      <c r="L40" s="30"/>
      <c r="M40" s="30"/>
      <c r="N40" s="30"/>
      <c r="O40" s="30"/>
      <c r="P40" s="30"/>
      <c r="Q40" s="30"/>
      <c r="R40" s="30"/>
      <c r="S40" s="30"/>
      <c r="T40" s="30"/>
      <c r="U40" s="30"/>
      <c r="V40" s="30"/>
      <c r="W40" s="30"/>
    </row>
    <row r="41" spans="1:23" x14ac:dyDescent="0.3">
      <c r="A41" s="30"/>
      <c r="B41" s="30"/>
      <c r="C41" s="30"/>
      <c r="D41" s="30"/>
      <c r="E41" s="30"/>
      <c r="F41" s="30"/>
      <c r="G41" s="30"/>
      <c r="H41" s="30"/>
      <c r="I41" s="30"/>
      <c r="J41" s="30"/>
      <c r="K41" s="30"/>
      <c r="L41" s="30"/>
      <c r="M41" s="30"/>
      <c r="N41" s="30"/>
      <c r="O41" s="30"/>
      <c r="P41" s="30"/>
      <c r="Q41" s="30"/>
      <c r="R41" s="30"/>
      <c r="S41" s="30"/>
      <c r="T41" s="30"/>
      <c r="U41" s="30"/>
      <c r="V41" s="30"/>
      <c r="W41" s="30"/>
    </row>
    <row r="42" spans="1:23" x14ac:dyDescent="0.3">
      <c r="A42" s="30"/>
      <c r="B42" s="30"/>
      <c r="C42" s="30"/>
      <c r="D42" s="30"/>
      <c r="E42" s="30"/>
      <c r="F42" s="30"/>
      <c r="G42" s="30"/>
      <c r="H42" s="30"/>
      <c r="I42" s="30"/>
      <c r="J42" s="30"/>
      <c r="K42" s="30"/>
      <c r="L42" s="30"/>
      <c r="M42" s="30"/>
      <c r="N42" s="30"/>
      <c r="O42" s="30"/>
      <c r="P42" s="30"/>
      <c r="Q42" s="30"/>
      <c r="R42" s="30"/>
      <c r="S42" s="30"/>
      <c r="T42" s="30"/>
      <c r="U42" s="30"/>
      <c r="V42" s="30"/>
      <c r="W42" s="30"/>
    </row>
    <row r="43" spans="1:23" x14ac:dyDescent="0.3">
      <c r="A43" s="30"/>
      <c r="B43" s="30"/>
      <c r="C43" s="30"/>
      <c r="D43" s="30"/>
      <c r="E43" s="30"/>
      <c r="F43" s="30"/>
      <c r="G43" s="30"/>
      <c r="H43" s="30"/>
      <c r="I43" s="30"/>
      <c r="J43" s="30"/>
      <c r="K43" s="30"/>
      <c r="L43" s="30"/>
      <c r="M43" s="30"/>
      <c r="N43" s="30"/>
      <c r="O43" s="30"/>
      <c r="P43" s="30"/>
      <c r="Q43" s="30"/>
      <c r="R43" s="30"/>
      <c r="S43" s="30"/>
      <c r="T43" s="30"/>
      <c r="U43" s="30"/>
      <c r="V43" s="30"/>
      <c r="W43" s="30"/>
    </row>
    <row r="44" spans="1:23" x14ac:dyDescent="0.3">
      <c r="A44" s="30"/>
      <c r="B44" s="30"/>
      <c r="C44" s="30"/>
      <c r="D44" s="30"/>
      <c r="E44" s="30"/>
      <c r="F44" s="30"/>
      <c r="G44" s="30"/>
      <c r="H44" s="30"/>
      <c r="I44" s="30"/>
      <c r="J44" s="30"/>
      <c r="K44" s="30"/>
      <c r="L44" s="30"/>
      <c r="M44" s="30"/>
      <c r="N44" s="30"/>
      <c r="O44" s="30"/>
      <c r="P44" s="30"/>
      <c r="Q44" s="30"/>
      <c r="R44" s="30"/>
      <c r="S44" s="30"/>
      <c r="T44" s="30"/>
      <c r="U44" s="30"/>
      <c r="V44" s="30"/>
      <c r="W44" s="30"/>
    </row>
    <row r="45" spans="1:23" x14ac:dyDescent="0.3">
      <c r="A45" s="30"/>
      <c r="B45" s="30"/>
      <c r="C45" s="30"/>
      <c r="D45" s="30"/>
      <c r="E45" s="30"/>
      <c r="F45" s="30"/>
      <c r="G45" s="30"/>
      <c r="H45" s="30"/>
      <c r="I45" s="30"/>
      <c r="J45" s="30"/>
      <c r="K45" s="30"/>
      <c r="L45" s="30"/>
      <c r="M45" s="30"/>
      <c r="N45" s="30"/>
      <c r="O45" s="30"/>
      <c r="P45" s="30"/>
      <c r="Q45" s="30"/>
      <c r="R45" s="30"/>
      <c r="S45" s="30"/>
      <c r="T45" s="30"/>
      <c r="U45" s="30"/>
      <c r="V45" s="30"/>
      <c r="W45" s="30"/>
    </row>
    <row r="46" spans="1:23" x14ac:dyDescent="0.3">
      <c r="A46" s="30"/>
      <c r="B46" s="30"/>
      <c r="C46" s="30"/>
      <c r="D46" s="30"/>
      <c r="E46" s="30"/>
      <c r="F46" s="30"/>
      <c r="G46" s="30"/>
      <c r="H46" s="30"/>
      <c r="I46" s="30"/>
      <c r="J46" s="30"/>
      <c r="K46" s="30"/>
      <c r="L46" s="30"/>
      <c r="M46" s="30"/>
      <c r="N46" s="30"/>
      <c r="O46" s="30"/>
      <c r="P46" s="30"/>
      <c r="Q46" s="30"/>
      <c r="R46" s="30"/>
      <c r="S46" s="30"/>
      <c r="T46" s="30"/>
      <c r="U46" s="30"/>
      <c r="V46" s="30"/>
      <c r="W46" s="30"/>
    </row>
    <row r="47" spans="1:23" x14ac:dyDescent="0.3">
      <c r="A47" s="30"/>
      <c r="B47" s="30"/>
      <c r="C47" s="30"/>
      <c r="D47" s="30"/>
      <c r="E47" s="30"/>
      <c r="F47" s="30"/>
      <c r="G47" s="30"/>
      <c r="H47" s="30"/>
      <c r="I47" s="30"/>
      <c r="J47" s="30"/>
      <c r="K47" s="30"/>
      <c r="L47" s="30"/>
      <c r="M47" s="30"/>
      <c r="N47" s="30"/>
      <c r="O47" s="30"/>
      <c r="P47" s="30"/>
      <c r="Q47" s="30"/>
      <c r="R47" s="30"/>
      <c r="S47" s="30"/>
      <c r="T47" s="30"/>
      <c r="U47" s="30"/>
      <c r="V47" s="30"/>
      <c r="W47" s="30"/>
    </row>
    <row r="48" spans="1:23" x14ac:dyDescent="0.3">
      <c r="A48" s="30"/>
      <c r="B48" s="30"/>
      <c r="C48" s="30"/>
      <c r="D48" s="30"/>
      <c r="E48" s="30"/>
      <c r="F48" s="30"/>
      <c r="G48" s="30"/>
      <c r="H48" s="30"/>
      <c r="I48" s="30"/>
      <c r="J48" s="30"/>
      <c r="K48" s="30"/>
      <c r="L48" s="30"/>
      <c r="M48" s="30"/>
      <c r="N48" s="30"/>
      <c r="O48" s="30"/>
      <c r="P48" s="30"/>
      <c r="Q48" s="30"/>
      <c r="R48" s="30"/>
      <c r="S48" s="30"/>
      <c r="T48" s="30"/>
      <c r="U48" s="30"/>
      <c r="V48" s="30"/>
      <c r="W48" s="30"/>
    </row>
    <row r="49" spans="1:23" x14ac:dyDescent="0.3">
      <c r="A49" s="30"/>
      <c r="B49" s="30"/>
      <c r="C49" s="30"/>
      <c r="D49" s="30"/>
      <c r="E49" s="30"/>
      <c r="F49" s="30"/>
      <c r="G49" s="30"/>
      <c r="H49" s="30"/>
      <c r="I49" s="30"/>
      <c r="J49" s="30"/>
      <c r="K49" s="30"/>
      <c r="L49" s="30"/>
      <c r="M49" s="30"/>
      <c r="N49" s="30"/>
      <c r="O49" s="30"/>
      <c r="P49" s="30"/>
      <c r="Q49" s="30"/>
      <c r="R49" s="30"/>
      <c r="S49" s="30"/>
      <c r="T49" s="30"/>
      <c r="U49" s="30"/>
      <c r="V49" s="30"/>
      <c r="W49" s="30"/>
    </row>
    <row r="50" spans="1:23" x14ac:dyDescent="0.3">
      <c r="A50" s="33"/>
      <c r="B50" s="33"/>
      <c r="C50" s="33"/>
      <c r="D50" s="33"/>
      <c r="E50" s="33"/>
      <c r="F50" s="33"/>
      <c r="G50" s="33"/>
      <c r="H50" s="33"/>
      <c r="I50" s="33"/>
      <c r="J50" s="33"/>
      <c r="K50" s="33"/>
      <c r="L50" s="33"/>
      <c r="M50" s="33"/>
      <c r="N50" s="33"/>
      <c r="O50" s="33"/>
      <c r="P50" s="33"/>
      <c r="Q50" s="33"/>
      <c r="R50" s="33"/>
      <c r="S50" s="33"/>
      <c r="T50" s="33"/>
      <c r="U50" s="33"/>
      <c r="V50" s="33"/>
      <c r="W50" s="33"/>
    </row>
    <row r="51" spans="1:23" x14ac:dyDescent="0.3">
      <c r="A51" s="33"/>
      <c r="B51" s="33"/>
      <c r="C51" s="33"/>
      <c r="D51" s="33"/>
      <c r="E51" s="33"/>
      <c r="F51" s="33"/>
      <c r="G51" s="33"/>
      <c r="H51" s="33"/>
      <c r="I51" s="33"/>
      <c r="J51" s="33"/>
      <c r="K51" s="33"/>
      <c r="L51" s="33"/>
      <c r="M51" s="33"/>
      <c r="N51" s="33"/>
      <c r="O51" s="33"/>
      <c r="P51" s="33"/>
      <c r="Q51" s="33"/>
      <c r="R51" s="33"/>
      <c r="S51" s="33"/>
      <c r="T51" s="33"/>
      <c r="U51" s="33"/>
      <c r="V51" s="33"/>
      <c r="W51" s="33"/>
    </row>
    <row r="52" spans="1:23" x14ac:dyDescent="0.3">
      <c r="A52" s="33"/>
      <c r="B52" s="33"/>
      <c r="C52" s="33"/>
      <c r="D52" s="33"/>
      <c r="E52" s="33"/>
      <c r="F52" s="33"/>
      <c r="G52" s="33"/>
      <c r="H52" s="33"/>
      <c r="I52" s="33"/>
      <c r="J52" s="33"/>
      <c r="K52" s="33"/>
      <c r="L52" s="33"/>
      <c r="M52" s="33"/>
      <c r="N52" s="33"/>
      <c r="O52" s="33"/>
      <c r="P52" s="33"/>
      <c r="Q52" s="33"/>
      <c r="R52" s="33"/>
      <c r="S52" s="33"/>
      <c r="T52" s="33"/>
      <c r="U52" s="33"/>
      <c r="V52" s="33"/>
      <c r="W52" s="33"/>
    </row>
    <row r="53" spans="1:23" x14ac:dyDescent="0.3">
      <c r="A53" s="33"/>
      <c r="B53" s="33"/>
      <c r="C53" s="33"/>
      <c r="D53" s="33"/>
      <c r="E53" s="33"/>
      <c r="F53" s="33"/>
      <c r="G53" s="33"/>
      <c r="H53" s="33"/>
      <c r="I53" s="33"/>
      <c r="J53" s="33"/>
      <c r="K53" s="33"/>
      <c r="L53" s="33"/>
      <c r="M53" s="33"/>
      <c r="N53" s="33"/>
      <c r="O53" s="33"/>
      <c r="P53" s="33"/>
      <c r="Q53" s="33"/>
      <c r="R53" s="33"/>
      <c r="S53" s="33"/>
      <c r="T53" s="33"/>
      <c r="U53" s="33"/>
      <c r="V53" s="33"/>
      <c r="W53" s="33"/>
    </row>
    <row r="54" spans="1:23" x14ac:dyDescent="0.3">
      <c r="A54" s="33"/>
      <c r="B54" s="33"/>
      <c r="C54" s="33"/>
      <c r="D54" s="33"/>
      <c r="E54" s="33"/>
      <c r="F54" s="33"/>
      <c r="G54" s="33"/>
      <c r="H54" s="33"/>
      <c r="I54" s="33"/>
      <c r="J54" s="33"/>
      <c r="K54" s="33"/>
      <c r="L54" s="33"/>
      <c r="M54" s="33"/>
      <c r="N54" s="33"/>
      <c r="O54" s="33"/>
      <c r="P54" s="33"/>
      <c r="Q54" s="33"/>
      <c r="R54" s="33"/>
      <c r="S54" s="33"/>
      <c r="T54" s="33"/>
      <c r="U54" s="33"/>
      <c r="V54" s="33"/>
      <c r="W54" s="33"/>
    </row>
    <row r="55" spans="1:23" x14ac:dyDescent="0.3">
      <c r="A55" s="33"/>
      <c r="B55" s="33"/>
      <c r="C55" s="33"/>
      <c r="D55" s="33"/>
      <c r="E55" s="33"/>
      <c r="F55" s="33"/>
      <c r="G55" s="33"/>
      <c r="H55" s="33"/>
      <c r="I55" s="33"/>
      <c r="J55" s="33"/>
      <c r="K55" s="33"/>
      <c r="L55" s="33"/>
      <c r="M55" s="33"/>
      <c r="N55" s="33"/>
      <c r="O55" s="33"/>
      <c r="P55" s="33"/>
      <c r="Q55" s="33"/>
      <c r="R55" s="33"/>
      <c r="S55" s="33"/>
      <c r="T55" s="33"/>
      <c r="U55" s="33"/>
      <c r="V55" s="33"/>
      <c r="W55" s="33"/>
    </row>
    <row r="56" spans="1:23" x14ac:dyDescent="0.3">
      <c r="A56" s="33"/>
      <c r="B56" s="33"/>
      <c r="C56" s="33"/>
      <c r="D56" s="33"/>
      <c r="E56" s="33"/>
      <c r="F56" s="33"/>
      <c r="G56" s="33"/>
      <c r="H56" s="33"/>
      <c r="I56" s="33"/>
      <c r="J56" s="33"/>
      <c r="K56" s="33"/>
      <c r="L56" s="33"/>
      <c r="M56" s="33"/>
      <c r="N56" s="33"/>
      <c r="O56" s="33"/>
      <c r="P56" s="33"/>
      <c r="Q56" s="33"/>
      <c r="R56" s="33"/>
      <c r="S56" s="33"/>
      <c r="T56" s="33"/>
      <c r="U56" s="33"/>
      <c r="V56" s="33"/>
      <c r="W56" s="33"/>
    </row>
    <row r="57" spans="1:23" x14ac:dyDescent="0.3">
      <c r="A57" s="33"/>
      <c r="B57" s="33"/>
      <c r="C57" s="33"/>
      <c r="D57" s="33"/>
      <c r="E57" s="33"/>
      <c r="F57" s="33"/>
      <c r="G57" s="33"/>
      <c r="H57" s="33"/>
      <c r="I57" s="33"/>
      <c r="J57" s="33"/>
      <c r="K57" s="33"/>
      <c r="L57" s="33"/>
      <c r="M57" s="33"/>
      <c r="N57" s="33"/>
      <c r="O57" s="33"/>
      <c r="P57" s="33"/>
      <c r="Q57" s="33"/>
      <c r="R57" s="33"/>
      <c r="S57" s="33"/>
      <c r="T57" s="33"/>
      <c r="U57" s="33"/>
      <c r="V57" s="33"/>
      <c r="W57" s="33"/>
    </row>
    <row r="58" spans="1:23" x14ac:dyDescent="0.3">
      <c r="A58" s="33"/>
      <c r="B58" s="33"/>
      <c r="C58" s="33"/>
      <c r="D58" s="33"/>
      <c r="E58" s="33"/>
      <c r="F58" s="33"/>
      <c r="G58" s="33"/>
      <c r="H58" s="33"/>
      <c r="I58" s="33"/>
      <c r="J58" s="33"/>
      <c r="K58" s="33"/>
      <c r="L58" s="33"/>
      <c r="M58" s="33"/>
      <c r="N58" s="33"/>
      <c r="O58" s="33"/>
      <c r="P58" s="33"/>
      <c r="Q58" s="33"/>
      <c r="R58" s="33"/>
      <c r="S58" s="33"/>
      <c r="T58" s="33"/>
      <c r="U58" s="33"/>
      <c r="V58" s="33"/>
      <c r="W58" s="33"/>
    </row>
    <row r="59" spans="1:23" x14ac:dyDescent="0.3">
      <c r="A59" s="33"/>
      <c r="B59" s="33"/>
      <c r="C59" s="33"/>
      <c r="D59" s="33"/>
      <c r="E59" s="33"/>
      <c r="F59" s="33"/>
      <c r="G59" s="33"/>
      <c r="H59" s="33"/>
      <c r="I59" s="33"/>
      <c r="J59" s="33"/>
      <c r="K59" s="33"/>
      <c r="L59" s="33"/>
      <c r="M59" s="33"/>
      <c r="N59" s="33"/>
      <c r="O59" s="33"/>
      <c r="P59" s="33"/>
      <c r="Q59" s="33"/>
      <c r="R59" s="33"/>
      <c r="S59" s="33"/>
      <c r="T59" s="33"/>
      <c r="U59" s="33"/>
      <c r="V59" s="33"/>
      <c r="W59" s="33"/>
    </row>
    <row r="60" spans="1:23" x14ac:dyDescent="0.3">
      <c r="A60" s="33"/>
      <c r="B60" s="33"/>
      <c r="C60" s="33"/>
      <c r="D60" s="33"/>
      <c r="E60" s="33"/>
      <c r="F60" s="33"/>
      <c r="G60" s="33"/>
      <c r="H60" s="33"/>
      <c r="I60" s="33"/>
      <c r="J60" s="33"/>
      <c r="K60" s="33"/>
      <c r="L60" s="33"/>
      <c r="M60" s="33"/>
      <c r="N60" s="33"/>
      <c r="O60" s="33"/>
      <c r="P60" s="33"/>
      <c r="Q60" s="33"/>
      <c r="R60" s="33"/>
      <c r="S60" s="33"/>
      <c r="T60" s="33"/>
      <c r="U60" s="33"/>
      <c r="V60" s="33"/>
      <c r="W60" s="33"/>
    </row>
    <row r="61" spans="1:23" x14ac:dyDescent="0.3">
      <c r="A61" s="33"/>
      <c r="B61" s="33"/>
      <c r="C61" s="33"/>
      <c r="D61" s="33"/>
      <c r="E61" s="33"/>
      <c r="F61" s="33"/>
      <c r="G61" s="33"/>
      <c r="H61" s="33"/>
      <c r="I61" s="33"/>
      <c r="J61" s="33"/>
      <c r="K61" s="33"/>
      <c r="L61" s="33"/>
      <c r="M61" s="33"/>
      <c r="N61" s="33"/>
      <c r="O61" s="33"/>
      <c r="P61" s="33"/>
      <c r="Q61" s="33"/>
      <c r="R61" s="33"/>
      <c r="S61" s="33"/>
      <c r="T61" s="33"/>
      <c r="U61" s="33"/>
      <c r="V61" s="33"/>
      <c r="W61" s="33"/>
    </row>
    <row r="62" spans="1:23" x14ac:dyDescent="0.3">
      <c r="A62" s="33"/>
      <c r="B62" s="33"/>
      <c r="C62" s="33"/>
      <c r="D62" s="33"/>
      <c r="E62" s="33"/>
      <c r="F62" s="33"/>
      <c r="G62" s="33"/>
      <c r="H62" s="33"/>
      <c r="I62" s="33"/>
      <c r="J62" s="33"/>
      <c r="K62" s="33"/>
      <c r="L62" s="33"/>
      <c r="M62" s="33"/>
      <c r="N62" s="33"/>
      <c r="O62" s="33"/>
      <c r="P62" s="33"/>
      <c r="Q62" s="33"/>
      <c r="R62" s="33"/>
      <c r="S62" s="33"/>
      <c r="T62" s="33"/>
      <c r="U62" s="33"/>
      <c r="V62" s="33"/>
      <c r="W62" s="33"/>
    </row>
    <row r="63" spans="1:23" x14ac:dyDescent="0.3">
      <c r="A63" s="33"/>
      <c r="B63" s="33"/>
      <c r="C63" s="33"/>
      <c r="D63" s="33"/>
      <c r="E63" s="33"/>
      <c r="F63" s="33"/>
      <c r="G63" s="33"/>
      <c r="H63" s="33"/>
      <c r="I63" s="33"/>
      <c r="J63" s="33"/>
      <c r="K63" s="33"/>
      <c r="L63" s="33"/>
      <c r="M63" s="33"/>
      <c r="N63" s="33"/>
      <c r="O63" s="33"/>
      <c r="P63" s="33"/>
      <c r="Q63" s="33"/>
      <c r="R63" s="33"/>
      <c r="S63" s="33"/>
      <c r="T63" s="33"/>
      <c r="U63" s="33"/>
      <c r="V63" s="33"/>
      <c r="W63" s="33"/>
    </row>
    <row r="64" spans="1:23" x14ac:dyDescent="0.3">
      <c r="A64" s="33"/>
      <c r="B64" s="33"/>
      <c r="C64" s="33"/>
      <c r="D64" s="33"/>
      <c r="E64" s="33"/>
      <c r="F64" s="33"/>
      <c r="G64" s="33"/>
      <c r="H64" s="33"/>
      <c r="I64" s="33"/>
      <c r="J64" s="33"/>
      <c r="K64" s="33"/>
      <c r="L64" s="33"/>
      <c r="M64" s="33"/>
      <c r="N64" s="33"/>
      <c r="O64" s="33"/>
      <c r="P64" s="33"/>
      <c r="Q64" s="33"/>
      <c r="R64" s="33"/>
      <c r="S64" s="33"/>
      <c r="T64" s="33"/>
      <c r="U64" s="33"/>
      <c r="V64" s="33"/>
      <c r="W64" s="33"/>
    </row>
    <row r="65" spans="1:23" x14ac:dyDescent="0.3">
      <c r="A65" s="33"/>
      <c r="B65" s="33"/>
      <c r="C65" s="33"/>
      <c r="D65" s="33"/>
      <c r="E65" s="33"/>
      <c r="F65" s="33"/>
      <c r="G65" s="33"/>
      <c r="H65" s="33"/>
      <c r="I65" s="33"/>
      <c r="J65" s="33"/>
      <c r="K65" s="33"/>
      <c r="L65" s="33"/>
      <c r="M65" s="33"/>
      <c r="N65" s="33"/>
      <c r="O65" s="33"/>
      <c r="P65" s="33"/>
      <c r="Q65" s="33"/>
      <c r="R65" s="33"/>
      <c r="S65" s="33"/>
      <c r="T65" s="33"/>
      <c r="U65" s="33"/>
      <c r="V65" s="33"/>
      <c r="W65" s="33"/>
    </row>
    <row r="66" spans="1:23" x14ac:dyDescent="0.3">
      <c r="A66" s="33"/>
      <c r="B66" s="33"/>
      <c r="C66" s="33"/>
      <c r="D66" s="33"/>
      <c r="E66" s="33"/>
      <c r="F66" s="33"/>
      <c r="G66" s="33"/>
      <c r="H66" s="33"/>
      <c r="I66" s="33"/>
      <c r="J66" s="33"/>
      <c r="K66" s="33"/>
      <c r="L66" s="33"/>
      <c r="M66" s="33"/>
      <c r="N66" s="33"/>
      <c r="O66" s="33"/>
      <c r="P66" s="33"/>
      <c r="Q66" s="33"/>
      <c r="R66" s="33"/>
      <c r="S66" s="33"/>
      <c r="T66" s="33"/>
      <c r="U66" s="33"/>
      <c r="V66" s="33"/>
      <c r="W66" s="33"/>
    </row>
    <row r="67" spans="1:23" x14ac:dyDescent="0.3">
      <c r="A67" s="33"/>
      <c r="B67" s="33"/>
      <c r="C67" s="33"/>
      <c r="D67" s="33"/>
      <c r="E67" s="33"/>
      <c r="F67" s="33"/>
      <c r="G67" s="33"/>
      <c r="H67" s="33"/>
      <c r="I67" s="33"/>
      <c r="J67" s="33"/>
      <c r="K67" s="33"/>
      <c r="L67" s="33"/>
      <c r="M67" s="33"/>
      <c r="N67" s="33"/>
      <c r="O67" s="33"/>
      <c r="P67" s="33"/>
      <c r="Q67" s="33"/>
      <c r="R67" s="33"/>
      <c r="S67" s="33"/>
      <c r="T67" s="33"/>
      <c r="U67" s="33"/>
      <c r="V67" s="33"/>
      <c r="W67" s="33"/>
    </row>
    <row r="68" spans="1:23" x14ac:dyDescent="0.3">
      <c r="A68" s="33"/>
      <c r="B68" s="33"/>
      <c r="C68" s="33"/>
      <c r="D68" s="33"/>
      <c r="E68" s="33"/>
      <c r="F68" s="33"/>
      <c r="G68" s="33"/>
      <c r="H68" s="33"/>
      <c r="I68" s="33"/>
      <c r="J68" s="33"/>
      <c r="K68" s="33"/>
      <c r="L68" s="33"/>
      <c r="M68" s="33"/>
      <c r="N68" s="33"/>
      <c r="O68" s="33"/>
      <c r="P68" s="33"/>
      <c r="Q68" s="33"/>
      <c r="R68" s="33"/>
      <c r="S68" s="33"/>
      <c r="T68" s="33"/>
      <c r="U68" s="33"/>
      <c r="V68" s="33"/>
      <c r="W68" s="33"/>
    </row>
    <row r="69" spans="1:23" x14ac:dyDescent="0.3">
      <c r="A69" s="33"/>
      <c r="B69" s="33"/>
      <c r="C69" s="33"/>
      <c r="D69" s="33"/>
      <c r="E69" s="33"/>
      <c r="F69" s="33"/>
      <c r="G69" s="33"/>
      <c r="H69" s="33"/>
      <c r="I69" s="33"/>
      <c r="J69" s="33"/>
      <c r="K69" s="33"/>
      <c r="L69" s="33"/>
      <c r="M69" s="33"/>
      <c r="N69" s="33"/>
      <c r="O69" s="33"/>
      <c r="P69" s="33"/>
      <c r="Q69" s="33"/>
      <c r="R69" s="33"/>
      <c r="S69" s="33"/>
      <c r="T69" s="33"/>
      <c r="U69" s="33"/>
      <c r="V69" s="33"/>
      <c r="W69" s="33"/>
    </row>
    <row r="70" spans="1:23" x14ac:dyDescent="0.3">
      <c r="A70" s="33"/>
      <c r="B70" s="33"/>
      <c r="C70" s="33"/>
      <c r="D70" s="33"/>
      <c r="E70" s="33"/>
      <c r="F70" s="33"/>
      <c r="G70" s="33"/>
      <c r="H70" s="33"/>
      <c r="I70" s="33"/>
      <c r="J70" s="33"/>
      <c r="K70" s="33"/>
      <c r="L70" s="33"/>
      <c r="M70" s="33"/>
      <c r="N70" s="33"/>
      <c r="O70" s="33"/>
      <c r="P70" s="33"/>
      <c r="Q70" s="33"/>
      <c r="R70" s="33"/>
      <c r="S70" s="33"/>
      <c r="T70" s="33"/>
      <c r="U70" s="33"/>
      <c r="V70" s="33"/>
      <c r="W70" s="33"/>
    </row>
    <row r="71" spans="1:23" x14ac:dyDescent="0.3">
      <c r="A71" s="33"/>
      <c r="B71" s="33"/>
      <c r="C71" s="33"/>
      <c r="D71" s="33"/>
      <c r="E71" s="33"/>
      <c r="F71" s="33"/>
      <c r="G71" s="33"/>
      <c r="H71" s="33"/>
      <c r="I71" s="33"/>
      <c r="J71" s="33"/>
      <c r="K71" s="33"/>
      <c r="L71" s="33"/>
      <c r="M71" s="33"/>
      <c r="N71" s="33"/>
      <c r="O71" s="33"/>
      <c r="P71" s="33"/>
      <c r="Q71" s="33"/>
      <c r="R71" s="33"/>
      <c r="S71" s="33"/>
      <c r="T71" s="33"/>
      <c r="U71" s="33"/>
      <c r="V71" s="33"/>
      <c r="W71" s="33"/>
    </row>
    <row r="72" spans="1:23" x14ac:dyDescent="0.3">
      <c r="A72" s="33"/>
      <c r="B72" s="33"/>
      <c r="C72" s="33"/>
      <c r="D72" s="33"/>
      <c r="E72" s="33"/>
      <c r="F72" s="33"/>
      <c r="G72" s="33"/>
      <c r="H72" s="33"/>
      <c r="I72" s="33"/>
      <c r="J72" s="33"/>
      <c r="K72" s="33"/>
      <c r="L72" s="33"/>
      <c r="M72" s="33"/>
      <c r="N72" s="33"/>
      <c r="O72" s="33"/>
      <c r="P72" s="33"/>
      <c r="Q72" s="33"/>
      <c r="R72" s="33"/>
      <c r="S72" s="33"/>
      <c r="T72" s="33"/>
      <c r="U72" s="33"/>
      <c r="V72" s="33"/>
      <c r="W72" s="33"/>
    </row>
    <row r="73" spans="1:23" x14ac:dyDescent="0.3">
      <c r="A73" s="20"/>
      <c r="B73" s="20"/>
      <c r="C73" s="20"/>
      <c r="D73" s="20"/>
      <c r="E73" s="20"/>
      <c r="F73" s="20"/>
      <c r="G73" s="20"/>
      <c r="H73" s="20"/>
      <c r="I73" s="20"/>
      <c r="J73" s="20"/>
      <c r="K73" s="20"/>
      <c r="L73" s="20"/>
      <c r="M73" s="20"/>
      <c r="N73" s="20"/>
      <c r="O73" s="20"/>
      <c r="P73" s="20"/>
      <c r="Q73" s="20"/>
      <c r="R73" s="20"/>
      <c r="S73" s="20"/>
      <c r="T73" s="20"/>
      <c r="U73" s="20"/>
      <c r="V73" s="20"/>
      <c r="W73" s="20"/>
    </row>
    <row r="74" spans="1:23" x14ac:dyDescent="0.3">
      <c r="A74" s="20"/>
      <c r="B74" s="20"/>
      <c r="C74" s="20"/>
      <c r="D74" s="20"/>
      <c r="E74" s="20"/>
      <c r="F74" s="20"/>
      <c r="G74" s="20"/>
      <c r="H74" s="20"/>
      <c r="I74" s="20"/>
      <c r="J74" s="20"/>
      <c r="K74" s="20"/>
      <c r="L74" s="20"/>
      <c r="M74" s="20"/>
      <c r="N74" s="20"/>
      <c r="O74" s="20"/>
      <c r="P74" s="20"/>
      <c r="Q74" s="20"/>
      <c r="R74" s="20"/>
      <c r="S74" s="20"/>
      <c r="T74" s="20"/>
      <c r="U74" s="20"/>
      <c r="V74" s="20"/>
      <c r="W74" s="20"/>
    </row>
    <row r="75" spans="1:23" x14ac:dyDescent="0.3">
      <c r="A75" s="20"/>
      <c r="B75" s="20"/>
      <c r="C75" s="20"/>
      <c r="D75" s="20"/>
      <c r="E75" s="20"/>
      <c r="F75" s="20"/>
      <c r="G75" s="20"/>
      <c r="H75" s="20"/>
      <c r="I75" s="20"/>
      <c r="J75" s="20"/>
      <c r="K75" s="20"/>
      <c r="L75" s="20"/>
      <c r="M75" s="20"/>
      <c r="N75" s="20"/>
      <c r="O75" s="20"/>
      <c r="P75" s="20"/>
      <c r="Q75" s="20"/>
      <c r="R75" s="20"/>
      <c r="S75" s="20"/>
      <c r="T75" s="20"/>
      <c r="U75" s="20"/>
      <c r="V75" s="20"/>
      <c r="W75" s="20"/>
    </row>
    <row r="76" spans="1:23" x14ac:dyDescent="0.3">
      <c r="A76" s="20"/>
      <c r="B76" s="20"/>
      <c r="C76" s="20"/>
      <c r="D76" s="20"/>
      <c r="E76" s="20"/>
      <c r="F76" s="20"/>
      <c r="G76" s="20"/>
      <c r="H76" s="20"/>
      <c r="I76" s="20"/>
      <c r="J76" s="20"/>
      <c r="K76" s="20"/>
      <c r="L76" s="20"/>
      <c r="M76" s="20"/>
      <c r="N76" s="20"/>
      <c r="O76" s="20"/>
      <c r="P76" s="20"/>
      <c r="Q76" s="20"/>
      <c r="R76" s="20"/>
      <c r="S76" s="20"/>
      <c r="T76" s="20"/>
      <c r="U76" s="20"/>
      <c r="V76" s="20"/>
      <c r="W76" s="20"/>
    </row>
    <row r="77" spans="1:23" x14ac:dyDescent="0.3">
      <c r="A77" s="20"/>
      <c r="B77" s="20"/>
      <c r="C77" s="20"/>
      <c r="D77" s="20"/>
      <c r="E77" s="20"/>
      <c r="F77" s="20"/>
      <c r="G77" s="20"/>
      <c r="H77" s="20"/>
      <c r="I77" s="20"/>
      <c r="J77" s="20"/>
      <c r="K77" s="20"/>
      <c r="L77" s="20"/>
      <c r="M77" s="20"/>
      <c r="N77" s="20"/>
      <c r="O77" s="20"/>
      <c r="P77" s="20"/>
      <c r="Q77" s="20"/>
      <c r="R77" s="20"/>
      <c r="S77" s="20"/>
      <c r="T77" s="20"/>
      <c r="U77" s="20"/>
      <c r="V77" s="20"/>
      <c r="W77" s="20"/>
    </row>
    <row r="78" spans="1:23" x14ac:dyDescent="0.3">
      <c r="A78" s="20"/>
      <c r="B78" s="20"/>
      <c r="C78" s="20"/>
      <c r="D78" s="20"/>
      <c r="E78" s="20"/>
      <c r="F78" s="20"/>
      <c r="G78" s="20"/>
      <c r="H78" s="20"/>
      <c r="I78" s="20"/>
      <c r="J78" s="20"/>
      <c r="K78" s="20"/>
      <c r="L78" s="20"/>
      <c r="M78" s="20"/>
      <c r="N78" s="20"/>
      <c r="O78" s="20"/>
      <c r="P78" s="20"/>
      <c r="Q78" s="20"/>
      <c r="R78" s="20"/>
      <c r="S78" s="20"/>
      <c r="T78" s="20"/>
      <c r="U78" s="20"/>
      <c r="V78" s="20"/>
      <c r="W78" s="20"/>
    </row>
    <row r="79" spans="1:23" x14ac:dyDescent="0.3">
      <c r="A79" s="20"/>
      <c r="B79" s="20"/>
      <c r="C79" s="20"/>
      <c r="D79" s="20"/>
      <c r="E79" s="20"/>
      <c r="F79" s="20"/>
      <c r="G79" s="20"/>
      <c r="H79" s="20"/>
      <c r="I79" s="20"/>
      <c r="J79" s="20"/>
      <c r="K79" s="20"/>
      <c r="L79" s="20"/>
      <c r="M79" s="20"/>
      <c r="N79" s="20"/>
      <c r="O79" s="20"/>
      <c r="P79" s="20"/>
      <c r="Q79" s="20"/>
      <c r="R79" s="20"/>
      <c r="S79" s="20"/>
      <c r="T79" s="20"/>
      <c r="U79" s="20"/>
      <c r="V79" s="20"/>
      <c r="W79" s="20"/>
    </row>
    <row r="80" spans="1:23" x14ac:dyDescent="0.3">
      <c r="A80" s="20"/>
      <c r="B80" s="20"/>
      <c r="C80" s="20"/>
      <c r="D80" s="20"/>
      <c r="E80" s="20"/>
      <c r="F80" s="20"/>
      <c r="G80" s="20"/>
      <c r="H80" s="20"/>
      <c r="I80" s="20"/>
      <c r="J80" s="20"/>
      <c r="K80" s="20"/>
      <c r="L80" s="20"/>
      <c r="M80" s="20"/>
      <c r="N80" s="20"/>
      <c r="O80" s="20"/>
      <c r="P80" s="20"/>
      <c r="Q80" s="20"/>
      <c r="R80" s="20"/>
      <c r="S80" s="20"/>
      <c r="T80" s="20"/>
      <c r="U80" s="20"/>
      <c r="V80" s="20"/>
      <c r="W80" s="20"/>
    </row>
    <row r="81" spans="1:23" x14ac:dyDescent="0.3">
      <c r="A81" s="20"/>
      <c r="B81" s="20"/>
      <c r="C81" s="20"/>
      <c r="D81" s="20"/>
      <c r="E81" s="20"/>
      <c r="F81" s="20"/>
      <c r="G81" s="20"/>
      <c r="H81" s="20"/>
      <c r="I81" s="20"/>
      <c r="J81" s="20"/>
      <c r="K81" s="20"/>
      <c r="L81" s="20"/>
      <c r="M81" s="20"/>
      <c r="N81" s="20"/>
      <c r="O81" s="20"/>
      <c r="P81" s="20"/>
      <c r="Q81" s="20"/>
      <c r="R81" s="20"/>
      <c r="S81" s="20"/>
      <c r="T81" s="20"/>
      <c r="U81" s="20"/>
      <c r="V81" s="20"/>
      <c r="W81" s="20"/>
    </row>
    <row r="82" spans="1:23" x14ac:dyDescent="0.3">
      <c r="A82" s="20"/>
      <c r="B82" s="20"/>
      <c r="C82" s="20"/>
      <c r="D82" s="20"/>
      <c r="E82" s="20"/>
      <c r="F82" s="20"/>
      <c r="G82" s="20"/>
      <c r="H82" s="20"/>
      <c r="I82" s="20"/>
      <c r="J82" s="20"/>
      <c r="K82" s="20"/>
      <c r="L82" s="20"/>
      <c r="M82" s="20"/>
      <c r="N82" s="20"/>
      <c r="O82" s="20"/>
      <c r="P82" s="20"/>
      <c r="Q82" s="20"/>
      <c r="R82" s="20"/>
      <c r="S82" s="20"/>
      <c r="T82" s="20"/>
      <c r="U82" s="20"/>
      <c r="V82" s="20"/>
      <c r="W82" s="20"/>
    </row>
    <row r="83" spans="1:23" x14ac:dyDescent="0.3">
      <c r="A83" s="20"/>
      <c r="B83" s="20"/>
      <c r="C83" s="20"/>
      <c r="D83" s="20"/>
      <c r="E83" s="20"/>
      <c r="F83" s="20"/>
      <c r="G83" s="20"/>
      <c r="H83" s="20"/>
      <c r="I83" s="20"/>
      <c r="J83" s="20"/>
      <c r="K83" s="20"/>
      <c r="L83" s="20"/>
      <c r="M83" s="20"/>
      <c r="N83" s="20"/>
      <c r="O83" s="20"/>
      <c r="P83" s="20"/>
      <c r="Q83" s="20"/>
      <c r="R83" s="20"/>
      <c r="S83" s="20"/>
      <c r="T83" s="20"/>
      <c r="U83" s="20"/>
      <c r="V83" s="20"/>
      <c r="W83" s="20"/>
    </row>
    <row r="84" spans="1:23" x14ac:dyDescent="0.3">
      <c r="A84" s="20"/>
      <c r="B84" s="20"/>
      <c r="C84" s="20"/>
      <c r="D84" s="20"/>
      <c r="E84" s="20"/>
      <c r="F84" s="20"/>
      <c r="G84" s="20"/>
      <c r="H84" s="20"/>
      <c r="I84" s="20"/>
      <c r="J84" s="20"/>
      <c r="K84" s="20"/>
      <c r="L84" s="20"/>
      <c r="M84" s="20"/>
      <c r="N84" s="20"/>
      <c r="O84" s="20"/>
      <c r="P84" s="20"/>
      <c r="Q84" s="20"/>
      <c r="R84" s="20"/>
      <c r="S84" s="20"/>
      <c r="T84" s="20"/>
      <c r="U84" s="20"/>
      <c r="V84" s="20"/>
      <c r="W84" s="20"/>
    </row>
    <row r="85" spans="1:23" x14ac:dyDescent="0.3">
      <c r="A85" s="20"/>
      <c r="B85" s="20"/>
      <c r="C85" s="20"/>
      <c r="D85" s="20"/>
      <c r="E85" s="20"/>
      <c r="F85" s="20"/>
      <c r="G85" s="20"/>
      <c r="H85" s="20"/>
      <c r="I85" s="20"/>
      <c r="J85" s="20"/>
      <c r="K85" s="20"/>
      <c r="L85" s="20"/>
      <c r="M85" s="20"/>
      <c r="N85" s="20"/>
      <c r="O85" s="20"/>
      <c r="P85" s="20"/>
      <c r="Q85" s="20"/>
      <c r="R85" s="20"/>
      <c r="S85" s="20"/>
      <c r="T85" s="20"/>
      <c r="U85" s="20"/>
      <c r="V85" s="20"/>
      <c r="W85" s="20"/>
    </row>
    <row r="86" spans="1:23" x14ac:dyDescent="0.3">
      <c r="A86" s="20"/>
      <c r="B86" s="20"/>
      <c r="C86" s="20"/>
      <c r="D86" s="20"/>
      <c r="E86" s="20"/>
      <c r="F86" s="20"/>
      <c r="G86" s="20"/>
      <c r="H86" s="20"/>
      <c r="I86" s="20"/>
      <c r="J86" s="20"/>
      <c r="K86" s="20"/>
      <c r="L86" s="20"/>
      <c r="M86" s="20"/>
      <c r="N86" s="20"/>
      <c r="O86" s="20"/>
      <c r="P86" s="20"/>
      <c r="Q86" s="20"/>
      <c r="R86" s="20"/>
      <c r="S86" s="20"/>
      <c r="T86" s="20"/>
      <c r="U86" s="20"/>
      <c r="V86" s="20"/>
      <c r="W86" s="20"/>
    </row>
    <row r="87" spans="1:23" x14ac:dyDescent="0.3">
      <c r="A87" s="20"/>
      <c r="B87" s="20"/>
      <c r="C87" s="20"/>
      <c r="D87" s="20"/>
      <c r="E87" s="20"/>
      <c r="F87" s="20"/>
      <c r="G87" s="20"/>
      <c r="H87" s="20"/>
      <c r="I87" s="20"/>
      <c r="J87" s="20"/>
      <c r="K87" s="20"/>
      <c r="L87" s="20"/>
      <c r="M87" s="20"/>
      <c r="N87" s="20"/>
      <c r="O87" s="20"/>
      <c r="P87" s="20"/>
      <c r="Q87" s="20"/>
      <c r="R87" s="20"/>
      <c r="S87" s="20"/>
      <c r="T87" s="20"/>
      <c r="U87" s="20"/>
      <c r="V87" s="20"/>
      <c r="W87" s="20"/>
    </row>
    <row r="88" spans="1:23" x14ac:dyDescent="0.3">
      <c r="A88" s="20"/>
      <c r="B88" s="20"/>
      <c r="C88" s="20"/>
      <c r="D88" s="20"/>
      <c r="E88" s="20"/>
      <c r="F88" s="20"/>
      <c r="G88" s="20"/>
      <c r="H88" s="20"/>
      <c r="I88" s="20"/>
      <c r="J88" s="20"/>
      <c r="K88" s="20"/>
      <c r="L88" s="20"/>
      <c r="M88" s="20"/>
      <c r="N88" s="20"/>
      <c r="O88" s="20"/>
      <c r="P88" s="20"/>
      <c r="Q88" s="20"/>
      <c r="R88" s="20"/>
      <c r="S88" s="20"/>
      <c r="T88" s="20"/>
      <c r="U88" s="20"/>
      <c r="V88" s="20"/>
      <c r="W88" s="20"/>
    </row>
    <row r="89" spans="1:23" x14ac:dyDescent="0.3">
      <c r="A89" s="20"/>
      <c r="B89" s="20"/>
      <c r="C89" s="20"/>
      <c r="D89" s="20"/>
      <c r="E89" s="20"/>
      <c r="F89" s="20"/>
      <c r="G89" s="20"/>
      <c r="H89" s="20"/>
      <c r="I89" s="20"/>
      <c r="J89" s="20"/>
      <c r="K89" s="20"/>
      <c r="L89" s="20"/>
      <c r="M89" s="20"/>
      <c r="N89" s="20"/>
      <c r="O89" s="20"/>
      <c r="P89" s="20"/>
      <c r="Q89" s="20"/>
      <c r="R89" s="20"/>
      <c r="S89" s="20"/>
      <c r="T89" s="20"/>
      <c r="U89" s="20"/>
      <c r="V89" s="20"/>
      <c r="W89" s="20"/>
    </row>
    <row r="90" spans="1:23" x14ac:dyDescent="0.3">
      <c r="A90" s="20"/>
      <c r="B90" s="20"/>
      <c r="C90" s="20"/>
      <c r="D90" s="20"/>
      <c r="E90" s="20"/>
      <c r="F90" s="20"/>
      <c r="G90" s="20"/>
      <c r="H90" s="20"/>
      <c r="I90" s="20"/>
      <c r="J90" s="20"/>
      <c r="K90" s="20"/>
      <c r="L90" s="20"/>
      <c r="M90" s="20"/>
      <c r="N90" s="20"/>
      <c r="O90" s="20"/>
      <c r="P90" s="20"/>
      <c r="Q90" s="20"/>
      <c r="R90" s="20"/>
      <c r="S90" s="20"/>
      <c r="T90" s="20"/>
      <c r="U90" s="20"/>
      <c r="V90" s="20"/>
      <c r="W90" s="20"/>
    </row>
    <row r="91" spans="1:23" x14ac:dyDescent="0.3">
      <c r="A91" s="20"/>
      <c r="B91" s="20"/>
      <c r="C91" s="20"/>
      <c r="D91" s="20"/>
      <c r="E91" s="20"/>
      <c r="F91" s="20"/>
      <c r="G91" s="20"/>
      <c r="H91" s="20"/>
      <c r="I91" s="20"/>
      <c r="J91" s="20"/>
      <c r="K91" s="20"/>
      <c r="L91" s="20"/>
      <c r="M91" s="20"/>
      <c r="N91" s="20"/>
      <c r="O91" s="20"/>
      <c r="P91" s="20"/>
      <c r="Q91" s="20"/>
      <c r="R91" s="20"/>
      <c r="S91" s="20"/>
      <c r="T91" s="20"/>
      <c r="U91" s="20"/>
      <c r="V91" s="20"/>
      <c r="W91" s="20"/>
    </row>
    <row r="92" spans="1:23" x14ac:dyDescent="0.3">
      <c r="A92" s="20"/>
      <c r="B92" s="20"/>
      <c r="C92" s="20"/>
      <c r="D92" s="20"/>
      <c r="E92" s="20"/>
      <c r="F92" s="20"/>
      <c r="G92" s="20"/>
      <c r="H92" s="20"/>
      <c r="I92" s="20"/>
      <c r="J92" s="20"/>
      <c r="K92" s="20"/>
      <c r="L92" s="20"/>
      <c r="M92" s="20"/>
      <c r="N92" s="20"/>
      <c r="O92" s="20"/>
      <c r="P92" s="20"/>
      <c r="Q92" s="20"/>
      <c r="R92" s="20"/>
      <c r="S92" s="20"/>
      <c r="T92" s="20"/>
      <c r="U92" s="20"/>
      <c r="V92" s="20"/>
      <c r="W92" s="20"/>
    </row>
    <row r="93" spans="1:23" x14ac:dyDescent="0.3">
      <c r="A93" s="20"/>
      <c r="B93" s="20"/>
      <c r="C93" s="20"/>
      <c r="D93" s="20"/>
      <c r="E93" s="20"/>
      <c r="F93" s="20"/>
      <c r="G93" s="20"/>
      <c r="H93" s="20"/>
      <c r="I93" s="20"/>
      <c r="J93" s="20"/>
      <c r="K93" s="20"/>
      <c r="L93" s="20"/>
      <c r="M93" s="20"/>
      <c r="N93" s="20"/>
      <c r="O93" s="20"/>
      <c r="P93" s="20"/>
      <c r="Q93" s="20"/>
      <c r="R93" s="20"/>
      <c r="S93" s="20"/>
      <c r="T93" s="20"/>
      <c r="U93" s="20"/>
      <c r="V93" s="20"/>
      <c r="W93" s="20"/>
    </row>
    <row r="94" spans="1:23" x14ac:dyDescent="0.3">
      <c r="A94" s="20"/>
      <c r="B94" s="20"/>
      <c r="C94" s="20"/>
      <c r="D94" s="20"/>
      <c r="E94" s="20"/>
      <c r="F94" s="20"/>
      <c r="G94" s="20"/>
      <c r="H94" s="20"/>
      <c r="I94" s="20"/>
      <c r="J94" s="20"/>
      <c r="K94" s="20"/>
      <c r="L94" s="20"/>
      <c r="M94" s="20"/>
      <c r="N94" s="20"/>
      <c r="O94" s="20"/>
      <c r="P94" s="20"/>
      <c r="Q94" s="20"/>
      <c r="R94" s="20"/>
      <c r="S94" s="20"/>
      <c r="T94" s="20"/>
      <c r="U94" s="20"/>
      <c r="V94" s="20"/>
      <c r="W94" s="20"/>
    </row>
    <row r="95" spans="1:23" x14ac:dyDescent="0.3">
      <c r="A95" s="20"/>
      <c r="B95" s="20"/>
      <c r="C95" s="20"/>
      <c r="D95" s="20"/>
      <c r="E95" s="20"/>
      <c r="F95" s="20"/>
      <c r="G95" s="20"/>
      <c r="H95" s="20"/>
      <c r="I95" s="20"/>
      <c r="J95" s="20"/>
      <c r="K95" s="20"/>
      <c r="L95" s="20"/>
      <c r="M95" s="20"/>
      <c r="N95" s="20"/>
      <c r="O95" s="20"/>
      <c r="P95" s="20"/>
      <c r="Q95" s="20"/>
      <c r="R95" s="20"/>
      <c r="S95" s="20"/>
      <c r="T95" s="20"/>
      <c r="U95" s="20"/>
      <c r="V95" s="20"/>
      <c r="W95" s="20"/>
    </row>
  </sheetData>
  <mergeCells count="18">
    <mergeCell ref="K4:M7"/>
    <mergeCell ref="K8:M9"/>
    <mergeCell ref="S4:S9"/>
    <mergeCell ref="E4:E9"/>
    <mergeCell ref="W1:W9"/>
    <mergeCell ref="B1:V1"/>
    <mergeCell ref="B2:V2"/>
    <mergeCell ref="A11:W49"/>
    <mergeCell ref="T4:V7"/>
    <mergeCell ref="T8:V9"/>
    <mergeCell ref="B4:D7"/>
    <mergeCell ref="B8:D9"/>
    <mergeCell ref="F4:H7"/>
    <mergeCell ref="F8:H9"/>
    <mergeCell ref="P4:R7"/>
    <mergeCell ref="P8:R9"/>
    <mergeCell ref="I4:J9"/>
    <mergeCell ref="N4:O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Uncleaned Data</vt:lpstr>
      <vt:lpstr>Data Quality</vt:lpstr>
      <vt:lpstr>Cleaned Data</vt:lpstr>
      <vt:lpstr>Pivot Analysis</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Ankita Bansal</cp:lastModifiedBy>
  <dcterms:created xsi:type="dcterms:W3CDTF">2026-09-30T04:32:14Z</dcterms:created>
  <dcterms:modified xsi:type="dcterms:W3CDTF">2026-10-06T04:45:39Z</dcterms:modified>
</cp:coreProperties>
</file>